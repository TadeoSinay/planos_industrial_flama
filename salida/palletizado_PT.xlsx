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  <sheet name="Recargas" sheetId="6" state="visible" r:id="rId8"/>
    <sheet name="Recargas_camion" sheetId="7" state="visible" r:id="rId9"/>
    <sheet name="Vista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<sst xmlns="http://schemas.openxmlformats.org/spreadsheetml/2006/main" count="787" uniqueCount="286">
  <si>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</si>
  <si>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</si>
  <si>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</si>
  <si>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</si>
  <si>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</si>
  <si>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</si>
  <si>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</si>
  <si>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</si>
  <si>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</si>
  <si>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</si>
  <si>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</si>
  <si>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</si>
  <si>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</si>
  <si>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</si>
  <si>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</si>
  <si>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</si>
  <si>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</si>
  <si>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</si>
  <si>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</si>
  <si>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</si>
  <si>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</si>
  <si>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</si>
  <si>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</si>
  <si>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</si>
  <si>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</si>
  <si>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</si>
  <si>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</si>
  <si>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</si>
  <si>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</si>
  <si>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</si>
  <si>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</si>
  <si>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</si>
  <si>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</si>
  <si>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</si>
  <si>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</si>
  <si>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</si>
  <si>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</si>
  <si>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</si>
  <si>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</si>
  <si>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</si>
  <si>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</si>
  <si>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</si>
  <si>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</si>
  <si>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</si>
  <si>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</si>
  <si>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</si>
  <si>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</si>
  <si>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</si>
  <si>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</si>
  <si>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</si>
  <si>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</si>
  <si>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</si>
  <si>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</si>
  <si>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</si>
  <si>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</si>
  <si>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</si>
  <si>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</si>
  <si>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</si>
  <si>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</si>
  <si>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</si>
  <si>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</si>
  <si>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</si>
  <si>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</si>
  <si>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</si>
  <si>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Camión chico (manuales): GyL baranda volcable para camión liviano</t>
  </si>
  <si>
    <t xml:space="preserve">4,30 m, el más corto de GyL para camión liviano (agroads.com.ar/detalle.asp?clasi=882258) − 0,10 m (criterio)</t>
  </si>
  <si>
    <t xml:space="preserve">2,40 m, ancho de carrocería de camión liviano (criterio; ej. sider 8 pallets 5,20 × 2,40 m) − 0,10 m (criterio)</t>
  </si>
  <si>
    <t xml:space="preserve">Mercedes-Benz Accelo 1016: PBT 9,6 t, unas 6 t de carga útil (autoweb.com.ar)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</si>
  <si>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</si>
  <si>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</si>
  <si>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</si>
  <si>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</si>
  <si>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</si>
  <si>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</si>
  <si>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</si>
  <si>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</si>
  <si>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</si>
  <si>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</si>
  <si>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</si>
  <si>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</si>
  <si>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</si>
  <si>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</si>
  <si>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</si>
  <si>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</si>
  <si>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</si>
  <si>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</si>
  <si>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</si>
  <si>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</si>
  <si>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</si>
  <si>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</si>
  <si>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</si>
  <si>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</si>
  <si>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</si>
  <si>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</si>
  <si>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</si>
  <si>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</si>
  <si>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</si>
  <si>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</si>
  <si>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</si>
  <si>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</si>
  <si>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</si>
  <si>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</si>
  <si>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</si>
  <si>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</si>
  <si>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</si>
  <si>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</si>
  <si>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</si>
  <si>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</si>
  <si>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</si>
  <si>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</si>
  <si>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</si>
  <si>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</si>
  <si>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</si>
  <si>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</si>
  <si>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</si>
  <si>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</si>
  <si>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</si>
  <si>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</si>
  <si>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</si>
  <si>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</si>
  <si>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</si>
  <si>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</si>
  <si>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</si>
  <si>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</si>
  <si>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</si>
  <si>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</si>
  <si>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</si>
  <si>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</si>
  <si>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</si>
  <si>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</si>
  <si>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</si>
  <si>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</si>
  <si>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</si>
  <si>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</si>
  <si>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</si>
  <si>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</si>
  <si>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</si>
  <si>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</si>
  <si>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</si>
  <si>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</si>
  <si>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</si>
  <si>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</si>
  <si>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</si>
  <si>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</si>
  <si>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</si>
  <si>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</si>
  <si>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</si>
  <si>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</si>
  <si>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</si>
  <si>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</si>
  <si>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Camión chico: GyL baranda volcable para camión liviano (manuales)</t>
  </si>
  <si>
    <t xml:space="preserve">Matafuegos manuales en caja (camión chico)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</si>
  <si>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</si>
  <si>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</si>
  <si>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</si>
  <si>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</si>
  <si>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</si>
  <si>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</si>
  <si>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</si>
  <si>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</si>
  <si>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</si>
  <si>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</si>
  <si>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</si>
  <si>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</si>
  <si>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</si>
  <si>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</si>
  <si>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</si>
  <si>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</si>
  <si>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</si>
  <si>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</si>
  <si>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</si>
  <si>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por viaje (promedio)</t>
  </si>
  <si>
    <t xml:space="preserve">Pallets en un viaje tipo</t>
  </si>
  <si>
    <t xml:space="preserve">Unidades en el viaje tipo</t>
  </si>
  <si>
    <t xml:space="preserve">Peso en el viaje tipo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</si>
  <si>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</si>
  <si>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</si>
  <si>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</si>
  <si>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</si>
  <si>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</si>
  <si>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</si>
  <si>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</si>
  <si>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</si>
  <si>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</si>
  <si>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</si>
  <si>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por viaje (promedio)</t>
  </si>
  <si>
    <t xml:space="preserve">Carros en un viaje tipo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</si>
  <si>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</si>
  <si>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</si>
  <si>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</si>
  <si>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</si>
  <si>
    <t xml:space="preserve">Recargas anuales (Proyecciones 5, hoja Indexado Dim Técnico, filas 27 a 43)</t>
  </si>
  <si>
    <t xml:space="preserve">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</si>
  <si>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</si>
  <si>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</si>
  <si>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</si>
  <si>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</si>
  <si>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</si>
  <si>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</si>
  <si>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</si>
  <si>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</si>
  <si>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</si>
  <si>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</si>
  <si>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</si>
  <si>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</si>
  <si>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</si>
  <si>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</si>
  <si>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</si>
  <si>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</si>
  <si>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</si>
  <si>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Planta industrial</t>
  </si>
  <si>
    <t xml:space="preserve">Fuente: zonas de la planta industrial (CABA Sur, PBA Sur, PBA Oeste e Interior), Indexado Dim Técnico filas 61 a 74</t>
  </si>
  <si>
    <t xml:space="preserve">Jaulas metálicas palletizables de 1.200 × 1.000 (Word Proceso de recargas, Recepción y registro)</t>
  </si>
  <si>
    <t xml:space="preserve">Formato</t>
  </si>
  <si>
    <t xml:space="preserve">Clase</t>
  </si>
  <si>
    <t xml:space="preserve">Por piso</t>
  </si>
  <si>
    <t xml:space="preserve">Pisos</t>
  </si>
  <si>
    <t xml:space="preserve">U por jaula</t>
  </si>
  <si>
    <t xml:space="preserve">A 1 kg</t>
  </si>
  <si>
    <t xml:space="preserve">A</t>
  </si>
  <si>
    <t xml:space="preserve">Tipo A: 8 × 9 celdas de 100 × 140 mm por piso (el Word la da de 1 nivel). 2 pisos (Word: «se puede hacer más de un piso»); 2 cajas de 1 kg de Datos = 820 mm (criterio)</t>
  </si>
  <si>
    <t xml:space="preserve">B 2,5 kg</t>
  </si>
  <si>
    <t xml:space="preserve">B</t>
  </si>
  <si>
    <t xml:space="preserve">Tipo B multiformato: 30 por piso. 2 pisos (Word: «se puede hacer más de un piso»); 2 cajas de 10 kg de Datos = 1.370 mm ≤ 1.455 mm (criterio)</t>
  </si>
  <si>
    <t xml:space="preserve">B 5 kg</t>
  </si>
  <si>
    <t xml:space="preserve">Tipo B multiformato: 24 por piso. 2 pisos (Word: «se puede hacer más de un piso»); 2 cajas de 10 kg de Datos = 1.370 mm ≤ 1.455 mm (criterio)</t>
  </si>
  <si>
    <t xml:space="preserve">B 10 kg</t>
  </si>
  <si>
    <t xml:space="preserve">Tipo B multiformato: 16 por piso. 2 pisos (Word: «se puede hacer más de un piso»); 2 cajas de 10 kg de Datos = 1.370 mm ≤ 1.455 mm (criterio)</t>
  </si>
  <si>
    <t xml:space="preserve">R 25 kg</t>
  </si>
  <si>
    <t xml:space="preserve">R</t>
  </si>
  <si>
    <t xml:space="preserve">Pallet de rodantes: carros por 1.200 × 1.000 (huella de Datos)</t>
  </si>
  <si>
    <t xml:space="preserve">R 50 kg</t>
  </si>
  <si>
    <t xml:space="preserve">R 70 kg</t>
  </si>
  <si>
    <t xml:space="preserve">R 100 kg</t>
  </si>
  <si>
    <t xml:space="preserve">Datos de la recarga</t>
  </si>
  <si>
    <t xml:space="preserve">Sustitutos por extintor retirado (máximo)</t>
  </si>
  <si>
    <t xml:space="preserve">Máximo: uno por extintor (IRAM 3517-2 9.4.5); la reserva del cliente cubre 6,5 % (Reservas y Sustitutos, fila 33)</t>
  </si>
  <si>
    <t xml:space="preserve">Tara de la jaula</t>
  </si>
  <si>
    <t xml:space="preserve">Criterio: base de acero 1.200 × 1.000 de 22 a 37,5 kg (fltgrupa.pl, hellopro.fr) + reja y varillas</t>
  </si>
  <si>
    <t xml:space="preserve">Días hábiles por semana</t>
  </si>
  <si>
    <t xml:space="preserve">días</t>
  </si>
  <si>
    <t xml:space="preserve">Lunes a viernes</t>
  </si>
  <si>
    <t xml:space="preserve">Planta industrial: recargados + sustitutos por semana del año elegido (máximo)</t>
  </si>
  <si>
    <t xml:space="preserve">Recargas año (todas)</t>
  </si>
  <si>
    <t xml:space="preserve">Planta ind. por semana</t>
  </si>
  <si>
    <t xml:space="preserve">Jaulas</t>
  </si>
  <si>
    <t xml:space="preserve">Peso u. (kg)</t>
  </si>
  <si>
    <t xml:space="preserve">Sustituto</t>
  </si>
  <si>
    <t xml:space="preserve">Sust. por semana</t>
  </si>
  <si>
    <t xml:space="preserve">Jaulas sust.</t>
  </si>
  <si>
    <t xml:space="preserve">Kg por semana</t>
  </si>
  <si>
    <t xml:space="preserve">Clase sust.</t>
  </si>
  <si>
    <t xml:space="preserve">Fuentes: formato, Word (ABC) y por tamaño el resto (criterio); peso, FLAMA_BOM hoja Resumen (peso de catálogo); sustituto, Reservas y Sustitutos filas 54 a 65, salvo el 1 kg: sustituto de 1 kg (IRAM 3517-2 9.4.5: igual clasificación y por lo menos igual capacidad).</t>
  </si>
  <si>
    <t xml:space="preserve">Recargas y sustitutos de la planta industrial: lugares, peso y viajes</t>
  </si>
  <si>
    <t xml:space="preserve">Por semana</t>
  </si>
  <si>
    <t xml:space="preserve">Jaulas A</t>
  </si>
  <si>
    <t xml:space="preserve">Jaulas B</t>
  </si>
  <si>
    <t xml:space="preserve">Pallets rodantes</t>
  </si>
  <si>
    <t xml:space="preserve">Lugares</t>
  </si>
  <si>
    <t xml:space="preserve">Peso (kg)</t>
  </si>
  <si>
    <t xml:space="preserve">Solo recargados</t>
  </si>
  <si>
    <t xml:space="preserve">Recargados + sustitutos (máximo)</t>
  </si>
  <si>
    <t xml:space="preserve">Vehículo</t>
  </si>
  <si>
    <t xml:space="preserve">Lugares por viaje</t>
  </si>
  <si>
    <t xml:space="preserve">Carga útil (kg)</t>
  </si>
  <si>
    <t xml:space="preserve">Viajes/sem por lugar</t>
  </si>
  <si>
    <t xml:space="preserve">Viajes/sem por peso</t>
  </si>
  <si>
    <t xml:space="preserve">Viajes por día</t>
  </si>
  <si>
    <t xml:space="preserve">Iveco cabina simple del Word (9 A + 8 B + 2 rodantes)</t>
  </si>
  <si>
    <t xml:space="preserve">Camión chico: GyL baranda volcable 4,30 m (Accelo 1016)</t>
  </si>
  <si>
    <t xml:space="preserve">Sider GyL Full para balancín 7,50 m</t>
  </si>
  <si>
    <t xml:space="preserve">Máximo de viajes por día</t>
  </si>
  <si>
    <t xml:space="preserve">Vehículo elegido (el de menos viajes)</t>
  </si>
  <si>
    <t xml:space="preserve">¿Cumple el máximo de viajes por día?</t>
  </si>
  <si>
    <t xml:space="preserve">Comparación con la demanda (por día hábil)</t>
  </si>
  <si>
    <t xml:space="preserve">Demanda</t>
  </si>
  <si>
    <t xml:space="preserve">Matafuegos manuales nuevos (PT, mes pico)</t>
  </si>
  <si>
    <t xml:space="preserve">Camión chico</t>
  </si>
  <si>
    <t xml:space="preserve">Recargados de la planta industrial</t>
  </si>
  <si>
    <t xml:space="preserve">Control del pico de 1,2 t del Word</t>
  </si>
  <si>
    <t xml:space="preserve">Viaje del Word</t>
  </si>
  <si>
    <t xml:space="preserve">Peso de 9 jaulas A llenas de 1 kg</t>
  </si>
  <si>
    <t xml:space="preserve">Peso de un viaje lleno (9 A de 1 kg, 8 B de 5 kg, 2 pallets de 50 kg y jaulas)</t>
  </si>
  <si>
    <t xml:space="preserve">¿Entra en la carga útil?</t>
  </si>
  <si>
    <t xml:space="preserve">Fuentes: Iveco, 9 jaulas A, 8 jaulas B, 2 pallets de rodantes, unas 2 t y pico de 1,2 t (Word Proceso de recargas, Recepción y registro). Camión chico y sider: hojas Datos y Camion. Máximo de 3 viajes por día: dato del usuario.</t>
  </si>
  <si>
    <t xml:space="preserve">Vista superior de los vehículos por escenario (dibujada con los valores de 2035)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</si>
</sst>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7</xdr:col>
      <xdr:colOff>837720</xdr:colOff>
      <xdr:row>49</xdr:row>
      <xdr:rowOff>85320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7840" y="380880"/>
          <a:ext cx="7238520" cy="9038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837720</xdr:colOff>
      <xdr:row>98</xdr:row>
      <xdr:rowOff>85680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77840" y="9715680"/>
          <a:ext cx="7238520" cy="9038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0</xdr:rowOff>
    </xdr:from>
    <xdr:to>
      <xdr:col>7</xdr:col>
      <xdr:colOff>837720</xdr:colOff>
      <xdr:row>147</xdr:row>
      <xdr:rowOff>85320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77840" y="19050120"/>
          <a:ext cx="7238520" cy="9038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0</xdr:rowOff>
    </xdr:from>
    <xdr:to>
      <xdr:col>7</xdr:col>
      <xdr:colOff>837720</xdr:colOff>
      <xdr:row>196</xdr:row>
      <xdr:rowOff>85320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77840" y="28384560"/>
          <a:ext cx="7238520" cy="9038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0</xdr:rowOff>
    </xdr:from>
    <xdr:to>
      <xdr:col>7</xdr:col>
      <xdr:colOff>837720</xdr:colOff>
      <xdr:row>209</xdr:row>
      <xdr:rowOff>56880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77840" y="37719000"/>
          <a:ext cx="7238520" cy="2152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23.85" hidden="false" customHeight="false" outlineLevel="0" collapsed="false">
      <c r="A46" s="3" t="s">
        <v>57</v>
      </c>
      <c r="B46" s="4" t="s">
        <v>58</v>
      </c>
      <c r="C46" s="8" t="n">
        <v>4.2</v>
      </c>
      <c r="K46" s="3" t="s">
        <v>65</v>
      </c>
    </row>
    <row r="47" customFormat="false" ht="15" hidden="false" customHeight="false" outlineLevel="0" collapsed="false">
      <c r="A47" s="3" t="s">
        <v>60</v>
      </c>
      <c r="B47" s="4" t="s">
        <v>58</v>
      </c>
      <c r="C47" s="8" t="n">
        <v>2.3</v>
      </c>
      <c r="K47" s="3" t="s">
        <v>66</v>
      </c>
    </row>
    <row r="48" customFormat="false" ht="15" hidden="false" customHeight="false" outlineLevel="0" collapsed="false">
      <c r="A48" s="3" t="s">
        <v>62</v>
      </c>
      <c r="B48" s="4" t="s">
        <v>18</v>
      </c>
      <c r="C48" s="6" t="n">
        <v>6000</v>
      </c>
      <c r="K48" s="3" t="s">
        <v>67</v>
      </c>
    </row>
    <row r="50" customFormat="false" ht="15" hidden="false" customHeight="false" outlineLevel="0" collapsed="false">
      <c r="A50" s="1" t="s">
        <v>68</v>
      </c>
    </row>
    <row r="51" customFormat="false" ht="15" hidden="false" customHeight="false" outlineLevel="0" collapsed="false">
      <c r="A51" s="2" t="s">
        <v>1</v>
      </c>
      <c r="B51" s="2" t="s">
        <v>2</v>
      </c>
      <c r="C51" s="2" t="s">
        <v>3</v>
      </c>
      <c r="D51" s="2"/>
      <c r="E51" s="2"/>
      <c r="F51" s="2"/>
      <c r="G51" s="2"/>
      <c r="H51" s="2"/>
      <c r="I51" s="2"/>
      <c r="J51" s="2"/>
      <c r="K51" s="2" t="s">
        <v>4</v>
      </c>
    </row>
    <row r="52" customFormat="false" ht="15" hidden="false" customHeight="false" outlineLevel="0" collapsed="false">
      <c r="A52" s="3" t="s">
        <v>69</v>
      </c>
      <c r="B52" s="4" t="s">
        <v>58</v>
      </c>
      <c r="C52" s="10" t="n">
        <v>3.857</v>
      </c>
      <c r="K52" s="3" t="s">
        <v>70</v>
      </c>
    </row>
    <row r="53" customFormat="false" ht="15" hidden="false" customHeight="false" outlineLevel="0" collapsed="false">
      <c r="A53" s="3" t="s">
        <v>71</v>
      </c>
      <c r="B53" s="4" t="s">
        <v>58</v>
      </c>
      <c r="C53" s="10" t="n">
        <v>1.765</v>
      </c>
      <c r="K53" s="3" t="s">
        <v>72</v>
      </c>
    </row>
    <row r="54" customFormat="false" ht="15" hidden="false" customHeight="false" outlineLevel="0" collapsed="false">
      <c r="A54" s="3" t="s">
        <v>73</v>
      </c>
      <c r="B54" s="4" t="s">
        <v>58</v>
      </c>
      <c r="C54" s="10" t="n">
        <v>1.38</v>
      </c>
      <c r="K54" s="3" t="s">
        <v>74</v>
      </c>
    </row>
    <row r="55" customFormat="false" ht="15" hidden="false" customHeight="false" outlineLevel="0" collapsed="false">
      <c r="A55" s="3" t="s">
        <v>75</v>
      </c>
      <c r="B55" s="4" t="s">
        <v>58</v>
      </c>
      <c r="C55" s="10" t="n">
        <v>1</v>
      </c>
      <c r="K55" s="3" t="s">
        <v>76</v>
      </c>
    </row>
    <row r="56" customFormat="false" ht="15" hidden="false" customHeight="false" outlineLevel="0" collapsed="false">
      <c r="A56" s="3" t="s">
        <v>77</v>
      </c>
      <c r="B56" s="4" t="s">
        <v>58</v>
      </c>
      <c r="C56" s="10" t="n">
        <v>0.6</v>
      </c>
      <c r="K56" s="3" t="s">
        <v>76</v>
      </c>
    </row>
    <row r="57" customFormat="false" ht="15" hidden="false" customHeight="false" outlineLevel="0" collapsed="false">
      <c r="A57" s="3" t="s">
        <v>62</v>
      </c>
      <c r="B57" s="4" t="s">
        <v>18</v>
      </c>
      <c r="C57" s="6" t="n">
        <v>1593</v>
      </c>
      <c r="K57" s="3" t="s">
        <v>78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97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98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99</v>
      </c>
    </row>
    <row r="17" customFormat="false" ht="15" hidden="false" customHeight="false" outlineLevel="0" collapsed="false">
      <c r="A17" s="2" t="s">
        <v>98</v>
      </c>
      <c r="B17" s="2" t="s">
        <v>100</v>
      </c>
      <c r="C17" s="2" t="s">
        <v>101</v>
      </c>
      <c r="D17" s="2" t="s">
        <v>102</v>
      </c>
      <c r="E17" s="2" t="s">
        <v>103</v>
      </c>
      <c r="F17" s="2" t="s">
        <v>104</v>
      </c>
      <c r="G17" s="2" t="s">
        <v>105</v>
      </c>
      <c r="H17" s="2" t="s">
        <v>106</v>
      </c>
      <c r="I17" s="2" t="s">
        <v>107</v>
      </c>
      <c r="J17" s="2" t="s">
        <v>108</v>
      </c>
      <c r="K17" s="2" t="s">
        <v>109</v>
      </c>
      <c r="L17" s="2" t="s">
        <v>110</v>
      </c>
      <c r="M17" s="2" t="s">
        <v>111</v>
      </c>
      <c r="N17" s="2" t="s">
        <v>112</v>
      </c>
    </row>
    <row r="18" customFormat="false" ht="15" hidden="false" customHeight="false" outlineLevel="0" collapsed="false">
      <c r="A18" s="3" t="s">
        <v>113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114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115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116</v>
      </c>
    </row>
    <row r="23" customFormat="false" ht="30" hidden="false" customHeight="true" outlineLevel="0" collapsed="false">
      <c r="A23" s="2" t="s">
        <v>117</v>
      </c>
      <c r="B23" s="2" t="s">
        <v>81</v>
      </c>
      <c r="C23" s="2" t="s">
        <v>82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">
        <v>87</v>
      </c>
      <c r="I23" s="2" t="s">
        <v>88</v>
      </c>
      <c r="J23" s="2" t="s">
        <v>89</v>
      </c>
      <c r="K23" s="2" t="s">
        <v>90</v>
      </c>
      <c r="L23" s="2" t="s">
        <v>91</v>
      </c>
      <c r="M23" s="2" t="s">
        <v>92</v>
      </c>
      <c r="N23" s="2" t="s">
        <v>93</v>
      </c>
      <c r="O23" s="2" t="s">
        <v>94</v>
      </c>
      <c r="P23" s="2" t="s">
        <v>95</v>
      </c>
      <c r="Q23" s="2" t="s">
        <v>96</v>
      </c>
      <c r="R23" s="2" t="s">
        <v>118</v>
      </c>
      <c r="S23" s="2" t="s">
        <v>119</v>
      </c>
      <c r="T23" s="2" t="s">
        <v>120</v>
      </c>
      <c r="U23" s="2" t="s">
        <v>121</v>
      </c>
    </row>
    <row r="24" customFormat="false" ht="15" hidden="false" customHeight="false" outlineLevel="0" collapsed="false">
      <c r="A24" s="12" t="s">
        <v>100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101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102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103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104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105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106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107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108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109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110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111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122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123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124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125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126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127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128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129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130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131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132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133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134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135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136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137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127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128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129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138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132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133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140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141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144</v>
      </c>
      <c r="B9" s="4" t="s">
        <v>32</v>
      </c>
      <c r="C9" s="16" t="n">
        <f aca="false">MAX(INT(ROUND((Datos!$C$52-Datos!$C$55-Datos!$C$56)/(Datos!$C$34/1000),6))*INT(ROUND(Datos!$C$53/(Datos!$C$35/1000),6)),INT(ROUND((Datos!$C$52-Datos!$C$55-Datos!$C$56)/(Datos!$C$35/1000),6))*INT(ROUND(Datos!$C$53/(Datos!$C$34/1000),6)))</f>
        <v>9</v>
      </c>
      <c r="D9" s="16" t="n">
        <f aca="false">MAX(INT(ROUND((Datos!$C$52-Datos!$C$55-Datos!$C$56)/(Datos!$D$34/1000),6))*INT(ROUND(Datos!$C$53/(Datos!$D$35/1000),6)),INT(ROUND((Datos!$C$52-Datos!$C$55-Datos!$C$56)/(Datos!$D$35/1000),6))*INT(ROUND(Datos!$C$53/(Datos!$D$34/1000),6)))</f>
        <v>6</v>
      </c>
      <c r="E9" s="16" t="n">
        <f aca="false">MAX(INT(ROUND((Datos!$C$52-Datos!$C$55-Datos!$C$56)/(Datos!$E$34/1000),6))*INT(ROUND(Datos!$C$53/(Datos!$E$35/1000),6)),INT(ROUND((Datos!$C$52-Datos!$C$55-Datos!$C$56)/(Datos!$E$35/1000),6))*INT(ROUND(Datos!$C$53/(Datos!$E$34/1000),6)))</f>
        <v>6</v>
      </c>
      <c r="F9" s="16" t="n">
        <f aca="false">MAX(INT(ROUND((Datos!$C$52-Datos!$C$55-Datos!$C$56)/(Datos!$F$34/1000),6))*INT(ROUND(Datos!$C$53/(Datos!$F$35/1000),6)),INT(ROUND((Datos!$C$52-Datos!$C$55-Datos!$C$56)/(Datos!$F$35/1000),6))*INT(ROUND(Datos!$C$53/(Datos!$F$34/1000),6)))</f>
        <v>6</v>
      </c>
    </row>
    <row r="10" customFormat="false" ht="15" hidden="false" customHeight="false" outlineLevel="0" collapsed="false">
      <c r="A10" s="3" t="s">
        <v>145</v>
      </c>
      <c r="B10" s="4" t="s">
        <v>32</v>
      </c>
      <c r="C10" s="16" t="n">
        <f aca="false">MAX(INT(ROUND(Datos!$C$55/(Datos!$C$34/1000),6))*INT(ROUND(Datos!$C$54/(Datos!$C$35/1000),6)),INT(ROUND(Datos!$C$55/(Datos!$C$35/1000),6))*INT(ROUND(Datos!$C$54/(Datos!$C$34/1000),6)))</f>
        <v>2</v>
      </c>
      <c r="D10" s="16" t="n">
        <f aca="false">MAX(INT(ROUND(Datos!$C$55/(Datos!$D$34/1000),6))*INT(ROUND(Datos!$C$54/(Datos!$D$35/1000),6)),INT(ROUND(Datos!$C$55/(Datos!$D$35/1000),6))*INT(ROUND(Datos!$C$54/(Datos!$D$34/1000),6)))</f>
        <v>2</v>
      </c>
      <c r="E10" s="16" t="n">
        <f aca="false">MAX(INT(ROUND(Datos!$C$55/(Datos!$E$34/1000),6))*INT(ROUND(Datos!$C$54/(Datos!$E$35/1000),6)),INT(ROUND(Datos!$C$55/(Datos!$E$35/1000),6))*INT(ROUND(Datos!$C$54/(Datos!$E$34/1000),6)))</f>
        <v>1</v>
      </c>
      <c r="F10" s="16" t="n">
        <f aca="false">MAX(INT(ROUND(Datos!$C$55/(Datos!$F$34/1000),6))*INT(ROUND(Datos!$C$54/(Datos!$F$35/1000),6)),INT(ROUND(Datos!$C$55/(Datos!$F$35/1000),6))*INT(ROUND(Datos!$C$54/(Datos!$F$34/1000),6)))</f>
        <v>1</v>
      </c>
    </row>
    <row r="11" customFormat="false" ht="15" hidden="false" customHeight="false" outlineLevel="0" collapsed="false">
      <c r="A11" s="3" t="s">
        <v>146</v>
      </c>
      <c r="B11" s="4" t="s">
        <v>32</v>
      </c>
      <c r="C11" s="16" t="n">
        <f aca="false">MAX(INT(ROUND(Datos!$C$56/(Datos!$C$34/1000),6))*INT(ROUND(Datos!$C$53/(Datos!$C$35/1000),6)),INT(ROUND(Datos!$C$56/(Datos!$C$35/1000),6))*INT(ROUND(Datos!$C$53/(Datos!$C$34/1000),6)))</f>
        <v>3</v>
      </c>
      <c r="D11" s="16" t="n">
        <f aca="false">MAX(INT(ROUND(Datos!$C$56/(Datos!$D$34/1000),6))*INT(ROUND(Datos!$C$53/(Datos!$D$35/1000),6)),INT(ROUND(Datos!$C$56/(Datos!$D$35/1000),6))*INT(ROUND(Datos!$C$53/(Datos!$D$34/1000),6)))</f>
        <v>2</v>
      </c>
      <c r="E11" s="16" t="n">
        <f aca="false">MAX(INT(ROUND(Datos!$C$56/(Datos!$E$34/1000),6))*INT(ROUND(Datos!$C$53/(Datos!$E$35/1000),6)),INT(ROUND(Datos!$C$56/(Datos!$E$35/1000),6))*INT(ROUND(Datos!$C$53/(Datos!$E$34/1000),6)))</f>
        <v>0</v>
      </c>
      <c r="F11" s="16" t="n">
        <f aca="false">MAX(INT(ROUND(Datos!$C$56/(Datos!$F$34/1000),6))*INT(ROUND(Datos!$C$53/(Datos!$F$35/1000),6)),INT(ROUND(Datos!$C$56/(Datos!$F$35/1000),6))*INT(ROUND(Datos!$C$53/(Datos!$F$34/1000),6)))</f>
        <v>0</v>
      </c>
    </row>
    <row r="12" customFormat="false" ht="15" hidden="false" customHeight="false" outlineLevel="0" collapsed="false">
      <c r="A12" s="3" t="s">
        <v>147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148</v>
      </c>
      <c r="B13" s="4" t="s">
        <v>32</v>
      </c>
      <c r="C13" s="16" t="n">
        <f aca="false">INT(Datos!$C$57/Datos!$C$36)</f>
        <v>28</v>
      </c>
      <c r="D13" s="16" t="n">
        <f aca="false">INT(Datos!$C$57/Datos!$D$36)</f>
        <v>15</v>
      </c>
      <c r="E13" s="16" t="n">
        <f aca="false">INT(Datos!$C$57/Datos!$E$36)</f>
        <v>11</v>
      </c>
      <c r="F13" s="16" t="n">
        <f aca="false">INT(Datos!$C$57/Datos!$F$36)</f>
        <v>8</v>
      </c>
    </row>
    <row r="14" customFormat="false" ht="15" hidden="false" customHeight="false" outlineLevel="0" collapsed="false">
      <c r="A14" s="12" t="s">
        <v>149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  <row r="16" customFormat="false" ht="15" hidden="false" customHeight="false" outlineLevel="0" collapsed="false">
      <c r="A16" s="1" t="s">
        <v>150</v>
      </c>
    </row>
    <row r="17" customFormat="false" ht="15" hidden="false" customHeight="false" outlineLevel="0" collapsed="false">
      <c r="A17" s="2"/>
      <c r="B17" s="2" t="s">
        <v>2</v>
      </c>
      <c r="C17" s="2" t="s">
        <v>3</v>
      </c>
    </row>
    <row r="18" customFormat="false" ht="15" hidden="false" customHeight="false" outlineLevel="0" collapsed="false">
      <c r="A18" s="3" t="s">
        <v>140</v>
      </c>
      <c r="B18" s="4" t="s">
        <v>32</v>
      </c>
      <c r="C18" s="16" t="n">
        <f aca="false">IF(INT(Datos!$C$46*1000/Datos!$C$9)*INT(Datos!$C$47*1000/Datos!$C$8)&gt;=INT(Datos!$C$46*1000/Datos!$C$8)*INT(Datos!$C$47*1000/Datos!$C$9),INT(Datos!$C$46*1000/Datos!$C$9),INT(Datos!$C$46*1000/Datos!$C$8))</f>
        <v>3</v>
      </c>
    </row>
    <row r="19" customFormat="false" ht="15" hidden="false" customHeight="false" outlineLevel="0" collapsed="false">
      <c r="A19" s="3" t="s">
        <v>141</v>
      </c>
      <c r="B19" s="4" t="s">
        <v>32</v>
      </c>
      <c r="C19" s="16" t="n">
        <f aca="false">IF(INT(Datos!$C$46*1000/Datos!$C$9)*INT(Datos!$C$47*1000/Datos!$C$8)&gt;=INT(Datos!$C$46*1000/Datos!$C$8)*INT(Datos!$C$47*1000/Datos!$C$9),INT(Datos!$C$47*1000/Datos!$C$8),INT(Datos!$C$47*1000/Datos!$C$9))</f>
        <v>2</v>
      </c>
    </row>
    <row r="20" customFormat="false" ht="15" hidden="false" customHeight="false" outlineLevel="0" collapsed="false">
      <c r="A20" s="12" t="s">
        <v>142</v>
      </c>
      <c r="B20" s="4" t="s">
        <v>32</v>
      </c>
      <c r="C20" s="13" t="n">
        <f aca="false">C18*C19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/>
      <c r="B2" s="2" t="s">
        <v>2</v>
      </c>
      <c r="C2" s="2" t="s">
        <v>152</v>
      </c>
      <c r="D2" s="2" t="s">
        <v>153</v>
      </c>
      <c r="E2" s="2" t="s">
        <v>154</v>
      </c>
      <c r="F2" s="2" t="s">
        <v>155</v>
      </c>
      <c r="G2" s="2" t="s">
        <v>156</v>
      </c>
    </row>
    <row r="3" customFormat="false" ht="15" hidden="false" customHeight="false" outlineLevel="0" collapsed="false">
      <c r="A3" s="3" t="s">
        <v>157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158</v>
      </c>
    </row>
    <row r="4" customFormat="false" ht="15" hidden="false" customHeight="false" outlineLevel="0" collapsed="false">
      <c r="A4" s="3" t="s">
        <v>132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158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IF(C4=0,0,MIN(Camion!$C$20,INT(Datos!$C$48/C4)))</f>
        <v>6</v>
      </c>
      <c r="D5" s="13" t="n">
        <f aca="false">IF(D4=0,0,MIN(Camion!$C$20,INT(Datos!$C$48/D4)))</f>
        <v>6</v>
      </c>
      <c r="E5" s="13" t="n">
        <f aca="false">IF(E4=0,0,MIN(Camion!$C$20,INT(Datos!$C$48/E4)))</f>
        <v>6</v>
      </c>
      <c r="F5" s="13" t="n">
        <f aca="false">IF(F4=0,0,MIN(Camion!$C$20,INT(Datos!$C$48/F4)))</f>
        <v>5</v>
      </c>
      <c r="G5" s="13" t="n">
        <f aca="false">$G$32</f>
        <v>6</v>
      </c>
    </row>
    <row r="6" customFormat="false" ht="15" hidden="false" customHeight="false" outlineLevel="0" collapsed="false">
      <c r="A6" s="12" t="s">
        <v>159</v>
      </c>
      <c r="B6" s="4" t="s">
        <v>32</v>
      </c>
      <c r="C6" s="13" t="n">
        <f aca="false">C5*C3</f>
        <v>2160</v>
      </c>
      <c r="D6" s="13" t="n">
        <f aca="false">D5*D3</f>
        <v>1008</v>
      </c>
      <c r="E6" s="13" t="n">
        <f aca="false">E5*E3</f>
        <v>504</v>
      </c>
      <c r="F6" s="13" t="n">
        <f aca="false">F5*F3</f>
        <v>300</v>
      </c>
      <c r="G6" s="13" t="n">
        <f aca="false">$G$33</f>
        <v>864</v>
      </c>
    </row>
    <row r="7" customFormat="false" ht="15" hidden="false" customHeight="false" outlineLevel="0" collapsed="false">
      <c r="A7" s="12" t="s">
        <v>160</v>
      </c>
    </row>
    <row r="8" customFormat="false" ht="15" hidden="false" customHeight="false" outlineLevel="0" collapsed="false">
      <c r="A8" s="3" t="s">
        <v>100</v>
      </c>
      <c r="B8" s="4" t="s">
        <v>161</v>
      </c>
      <c r="C8" s="19" t="n">
        <f aca="false">IF(C$6=0,0,Demanda!B24/C$6)</f>
        <v>0.44545332125</v>
      </c>
      <c r="D8" s="19" t="n">
        <f aca="false">IF(D$6=0,0,Demanda!C24/D$6)</f>
        <v>0.184148274900794</v>
      </c>
      <c r="E8" s="19" t="n">
        <f aca="false">IF(E$6=0,0,Demanda!D24/E$6)</f>
        <v>1.52533624603175</v>
      </c>
      <c r="F8" s="19" t="n">
        <f aca="false">IF(F$6=0,0,Demanda!E24/F$6)</f>
        <v>0.153404006583333</v>
      </c>
      <c r="G8" s="19" t="n">
        <f aca="false">IF($G$32=0,0,Demanda!R24/$G$32)</f>
        <v>2.28277451433532</v>
      </c>
    </row>
    <row r="9" customFormat="false" ht="15" hidden="false" customHeight="false" outlineLevel="0" collapsed="false">
      <c r="A9" s="3" t="s">
        <v>101</v>
      </c>
      <c r="B9" s="4" t="s">
        <v>161</v>
      </c>
      <c r="C9" s="19" t="n">
        <f aca="false">IF(C$6=0,0,Demanda!B25/C$6)</f>
        <v>0.3340899909375</v>
      </c>
      <c r="D9" s="19" t="n">
        <f aca="false">IF(D$6=0,0,Demanda!C25/D$6)</f>
        <v>0.147318619920635</v>
      </c>
      <c r="E9" s="19" t="n">
        <f aca="false">IF(E$6=0,0,Demanda!D25/E$6)</f>
        <v>1.2202689968254</v>
      </c>
      <c r="F9" s="19" t="n">
        <f aca="false">IF(F$6=0,0,Demanda!E25/F$6)</f>
        <v>0.122723205266667</v>
      </c>
      <c r="G9" s="19" t="n">
        <f aca="false">IF($G$32=0,0,Demanda!R25/$G$32)</f>
        <v>1.80394694540575</v>
      </c>
    </row>
    <row r="10" customFormat="false" ht="15" hidden="false" customHeight="false" outlineLevel="0" collapsed="false">
      <c r="A10" s="3" t="s">
        <v>102</v>
      </c>
      <c r="B10" s="4" t="s">
        <v>161</v>
      </c>
      <c r="C10" s="19" t="n">
        <f aca="false">IF(C$6=0,0,Demanda!B26/C$6)</f>
        <v>0.296968880833333</v>
      </c>
      <c r="D10" s="19" t="n">
        <f aca="false">IF(D$6=0,0,Demanda!C26/D$6)</f>
        <v>0.156526033665675</v>
      </c>
      <c r="E10" s="19" t="n">
        <f aca="false">IF(E$6=0,0,Demanda!D26/E$6)</f>
        <v>1.29653580912698</v>
      </c>
      <c r="F10" s="19" t="n">
        <f aca="false">IF(F$6=0,0,Demanda!E26/F$6)</f>
        <v>0.130393405595833</v>
      </c>
      <c r="G10" s="19" t="n">
        <f aca="false">IF($G$32=0,0,Demanda!R26/$G$32)</f>
        <v>1.85869189495585</v>
      </c>
    </row>
    <row r="11" customFormat="false" ht="15" hidden="false" customHeight="false" outlineLevel="0" collapsed="false">
      <c r="A11" s="3" t="s">
        <v>103</v>
      </c>
      <c r="B11" s="4" t="s">
        <v>161</v>
      </c>
      <c r="C11" s="19" t="n">
        <f aca="false">IF(C$6=0,0,Demanda!B27/C$6)</f>
        <v>0.27840832578125</v>
      </c>
      <c r="D11" s="19" t="n">
        <f aca="false">IF(D$6=0,0,Demanda!C27/D$6)</f>
        <v>0.156526033665675</v>
      </c>
      <c r="E11" s="19" t="n">
        <f aca="false">IF(E$6=0,0,Demanda!D27/E$6)</f>
        <v>1.29653580912698</v>
      </c>
      <c r="F11" s="19" t="n">
        <f aca="false">IF(F$6=0,0,Demanda!E27/F$6)</f>
        <v>0.130393405595833</v>
      </c>
      <c r="G11" s="19" t="n">
        <f aca="false">IF($G$32=0,0,Demanda!R27/$G$32)</f>
        <v>1.84013133990377</v>
      </c>
    </row>
    <row r="12" customFormat="false" ht="15" hidden="false" customHeight="false" outlineLevel="0" collapsed="false">
      <c r="A12" s="3" t="s">
        <v>104</v>
      </c>
      <c r="B12" s="4" t="s">
        <v>161</v>
      </c>
      <c r="C12" s="19" t="n">
        <f aca="false">IF(C$6=0,0,Demanda!B28/C$6)</f>
        <v>0.259847770729167</v>
      </c>
      <c r="D12" s="19" t="n">
        <f aca="false">IF(D$6=0,0,Demanda!C28/D$6)</f>
        <v>0.147318619920635</v>
      </c>
      <c r="E12" s="19" t="n">
        <f aca="false">IF(E$6=0,0,Demanda!D28/E$6)</f>
        <v>1.2202689968254</v>
      </c>
      <c r="F12" s="19" t="n">
        <f aca="false">IF(F$6=0,0,Demanda!E28/F$6)</f>
        <v>0.122723205266667</v>
      </c>
      <c r="G12" s="19" t="n">
        <f aca="false">IF($G$32=0,0,Demanda!R28/$G$32)</f>
        <v>1.72970472519742</v>
      </c>
    </row>
    <row r="13" customFormat="false" ht="15" hidden="false" customHeight="false" outlineLevel="0" collapsed="false">
      <c r="A13" s="3" t="s">
        <v>105</v>
      </c>
      <c r="B13" s="4" t="s">
        <v>161</v>
      </c>
      <c r="C13" s="19" t="n">
        <f aca="false">IF(C$6=0,0,Demanda!B29/C$6)</f>
        <v>0.259847770729167</v>
      </c>
      <c r="D13" s="19" t="n">
        <f aca="false">IF(D$6=0,0,Demanda!C29/D$6)</f>
        <v>0.138111206175595</v>
      </c>
      <c r="E13" s="19" t="n">
        <f aca="false">IF(E$6=0,0,Demanda!D29/E$6)</f>
        <v>1.14400218452381</v>
      </c>
      <c r="F13" s="19" t="n">
        <f aca="false">IF(F$6=0,0,Demanda!E29/F$6)</f>
        <v>0.1150530049375</v>
      </c>
      <c r="G13" s="19" t="n">
        <f aca="false">IF($G$32=0,0,Demanda!R29/$G$32)</f>
        <v>1.63783866554316</v>
      </c>
    </row>
    <row r="14" customFormat="false" ht="15" hidden="false" customHeight="false" outlineLevel="0" collapsed="false">
      <c r="A14" s="3" t="s">
        <v>106</v>
      </c>
      <c r="B14" s="4" t="s">
        <v>161</v>
      </c>
      <c r="C14" s="19" t="n">
        <f aca="false">IF(C$6=0,0,Demanda!B30/C$6)</f>
        <v>0.27840832578125</v>
      </c>
      <c r="D14" s="19" t="n">
        <f aca="false">IF(D$6=0,0,Demanda!C30/D$6)</f>
        <v>0.147318619920635</v>
      </c>
      <c r="E14" s="19" t="n">
        <f aca="false">IF(E$6=0,0,Demanda!D30/E$6)</f>
        <v>1.2202689968254</v>
      </c>
      <c r="F14" s="19" t="n">
        <f aca="false">IF(F$6=0,0,Demanda!E30/F$6)</f>
        <v>0.122723205266667</v>
      </c>
      <c r="G14" s="19" t="n">
        <f aca="false">IF($G$32=0,0,Demanda!R30/$G$32)</f>
        <v>1.7482652802495</v>
      </c>
    </row>
    <row r="15" customFormat="false" ht="15" hidden="false" customHeight="false" outlineLevel="0" collapsed="false">
      <c r="A15" s="3" t="s">
        <v>107</v>
      </c>
      <c r="B15" s="4" t="s">
        <v>161</v>
      </c>
      <c r="C15" s="19" t="n">
        <f aca="false">IF(C$6=0,0,Demanda!B31/C$6)</f>
        <v>0.27840832578125</v>
      </c>
      <c r="D15" s="19" t="n">
        <f aca="false">IF(D$6=0,0,Demanda!C31/D$6)</f>
        <v>0.147318619920635</v>
      </c>
      <c r="E15" s="19" t="n">
        <f aca="false">IF(E$6=0,0,Demanda!D31/E$6)</f>
        <v>1.2202689968254</v>
      </c>
      <c r="F15" s="19" t="n">
        <f aca="false">IF(F$6=0,0,Demanda!E31/F$6)</f>
        <v>0.122723205266667</v>
      </c>
      <c r="G15" s="19" t="n">
        <f aca="false">IF($G$32=0,0,Demanda!R31/$G$32)</f>
        <v>1.7482652802495</v>
      </c>
    </row>
    <row r="16" customFormat="false" ht="15" hidden="false" customHeight="false" outlineLevel="0" collapsed="false">
      <c r="A16" s="3" t="s">
        <v>108</v>
      </c>
      <c r="B16" s="4" t="s">
        <v>161</v>
      </c>
      <c r="C16" s="19" t="n">
        <f aca="false">IF(C$6=0,0,Demanda!B32/C$6)</f>
        <v>0.27840832578125</v>
      </c>
      <c r="D16" s="19" t="n">
        <f aca="false">IF(D$6=0,0,Demanda!C32/D$6)</f>
        <v>0.147318619920635</v>
      </c>
      <c r="E16" s="19" t="n">
        <f aca="false">IF(E$6=0,0,Demanda!D32/E$6)</f>
        <v>1.2202689968254</v>
      </c>
      <c r="F16" s="19" t="n">
        <f aca="false">IF(F$6=0,0,Demanda!E32/F$6)</f>
        <v>0.122723205266667</v>
      </c>
      <c r="G16" s="19" t="n">
        <f aca="false">IF($G$32=0,0,Demanda!R32/$G$32)</f>
        <v>1.7482652802495</v>
      </c>
    </row>
    <row r="17" customFormat="false" ht="15" hidden="false" customHeight="false" outlineLevel="0" collapsed="false">
      <c r="A17" s="3" t="s">
        <v>109</v>
      </c>
      <c r="B17" s="4" t="s">
        <v>161</v>
      </c>
      <c r="C17" s="19" t="n">
        <f aca="false">IF(C$6=0,0,Demanda!B33/C$6)</f>
        <v>0.27840832578125</v>
      </c>
      <c r="D17" s="19" t="n">
        <f aca="false">IF(D$6=0,0,Demanda!C33/D$6)</f>
        <v>0.138111206175595</v>
      </c>
      <c r="E17" s="19" t="n">
        <f aca="false">IF(E$6=0,0,Demanda!D33/E$6)</f>
        <v>1.14400218452381</v>
      </c>
      <c r="F17" s="19" t="n">
        <f aca="false">IF(F$6=0,0,Demanda!E33/F$6)</f>
        <v>0.1150530049375</v>
      </c>
      <c r="G17" s="19" t="n">
        <f aca="false">IF($G$32=0,0,Demanda!R33/$G$32)</f>
        <v>1.65639922059524</v>
      </c>
    </row>
    <row r="18" customFormat="false" ht="15" hidden="false" customHeight="false" outlineLevel="0" collapsed="false">
      <c r="A18" s="3" t="s">
        <v>110</v>
      </c>
      <c r="B18" s="4" t="s">
        <v>161</v>
      </c>
      <c r="C18" s="19" t="n">
        <f aca="false">IF(C$6=0,0,Demanda!B34/C$6)</f>
        <v>0.27840832578125</v>
      </c>
      <c r="D18" s="19" t="n">
        <f aca="false">IF(D$6=0,0,Demanda!C34/D$6)</f>
        <v>0.128903792430556</v>
      </c>
      <c r="E18" s="19" t="n">
        <f aca="false">IF(E$6=0,0,Demanda!D34/E$6)</f>
        <v>1.06773537222222</v>
      </c>
      <c r="F18" s="19" t="n">
        <f aca="false">IF(F$6=0,0,Demanda!E34/F$6)</f>
        <v>0.107382804608333</v>
      </c>
      <c r="G18" s="19" t="n">
        <f aca="false">IF($G$32=0,0,Demanda!R34/$G$32)</f>
        <v>1.56453316094097</v>
      </c>
    </row>
    <row r="19" customFormat="false" ht="15" hidden="false" customHeight="false" outlineLevel="0" collapsed="false">
      <c r="A19" s="3" t="s">
        <v>111</v>
      </c>
      <c r="B19" s="4" t="s">
        <v>161</v>
      </c>
      <c r="C19" s="19" t="n">
        <f aca="false">IF(C$6=0,0,Demanda!B35/C$6)</f>
        <v>0.44545332125</v>
      </c>
      <c r="D19" s="19" t="n">
        <f aca="false">IF(D$6=0,0,Demanda!C35/D$6)</f>
        <v>0.202563102390873</v>
      </c>
      <c r="E19" s="19" t="n">
        <f aca="false">IF(E$6=0,0,Demanda!D35/E$6)</f>
        <v>1.67786987063492</v>
      </c>
      <c r="F19" s="19" t="n">
        <f aca="false">IF(F$6=0,0,Demanda!E35/F$6)</f>
        <v>0.168744407241667</v>
      </c>
      <c r="G19" s="19" t="n">
        <f aca="false">IF($G$32=0,0,Demanda!R35/$G$32)</f>
        <v>2.46650663364385</v>
      </c>
    </row>
    <row r="20" customFormat="false" ht="15" hidden="false" customHeight="false" outlineLevel="0" collapsed="false">
      <c r="A20" s="12" t="s">
        <v>162</v>
      </c>
      <c r="B20" s="4" t="s">
        <v>161</v>
      </c>
      <c r="C20" s="21" t="n">
        <f aca="false">MAX(C8:C19)</f>
        <v>0.44545332125</v>
      </c>
      <c r="D20" s="21" t="n">
        <f aca="false">MAX(D8:D19)</f>
        <v>0.202563102390873</v>
      </c>
      <c r="E20" s="21" t="n">
        <f aca="false">MAX(E8:E19)</f>
        <v>1.67786987063492</v>
      </c>
      <c r="F20" s="21" t="n">
        <f aca="false">MAX(F8:F19)</f>
        <v>0.168744407241667</v>
      </c>
      <c r="G20" s="21" t="n">
        <f aca="false">MAX(G8:G19)</f>
        <v>2.46650663364385</v>
      </c>
    </row>
    <row r="21" customFormat="false" ht="15" hidden="false" customHeight="false" outlineLevel="0" collapsed="false">
      <c r="A21" s="12" t="s">
        <v>163</v>
      </c>
      <c r="B21" s="4"/>
      <c r="C21" s="22" t="str">
        <f aca="false">IF(C20=0,"-",IF(C20&gt;=1,ROUNDUP(C20*Datos!$C$4,0)&amp;" por mes",IF(INT(1/C20)=1,"1 por semana","1 cada "&amp;INT(1/C20)&amp;" semanas")))</f>
        <v>1 cada 2 semanas</v>
      </c>
      <c r="D21" s="22" t="str">
        <f aca="false">IF(D20=0,"-",IF(D20&gt;=1,ROUNDUP(D20*Datos!$C$4,0)&amp;" por mes",IF(INT(1/D20)=1,"1 por semana","1 cada "&amp;INT(1/D20)&amp;" semanas")))</f>
        <v>1 cada 4 semanas</v>
      </c>
      <c r="E21" s="22" t="str">
        <f aca="false">IF(E20=0,"-",IF(E20&gt;=1,ROUNDUP(E20*Datos!$C$4,0)&amp;" por mes",IF(INT(1/E20)=1,"1 por semana","1 cada "&amp;INT(1/E20)&amp;" semanas")))</f>
        <v>7 por mes</v>
      </c>
      <c r="F21" s="22" t="str">
        <f aca="false">IF(F20=0,"-",IF(F20&gt;=1,ROUNDUP(F20*Datos!$C$4,0)&amp;" por mes",IF(INT(1/F20)=1,"1 por semana","1 cada "&amp;INT(1/F20)&amp;" semanas")))</f>
        <v>1 cada 5 semanas</v>
      </c>
      <c r="G21" s="22" t="str">
        <f aca="false">IF(G20=0,"-",IF(G20&gt;=1,ROUNDUP(G20*Datos!$C$4,0)&amp;" por mes",IF(INT(1/G20)=1,"1 por semana","1 cada "&amp;INT(1/G20)&amp;" semanas")))</f>
        <v>10 por mes</v>
      </c>
    </row>
    <row r="22" customFormat="false" ht="15" hidden="false" customHeight="false" outlineLevel="0" collapsed="false">
      <c r="A22" s="3" t="s">
        <v>164</v>
      </c>
      <c r="B22" s="4" t="s">
        <v>165</v>
      </c>
      <c r="C22" s="15" t="n">
        <f aca="false">IF(C20=0,0,IF(C20&gt;=1,C20*Datos!$C$4/ROUNDUP(C20*Datos!$C$4,0),C20*INT(1/C20)))</f>
        <v>0.8909066425</v>
      </c>
      <c r="D22" s="15" t="n">
        <f aca="false">IF(D20=0,0,IF(D20&gt;=1,D20*Datos!$C$4/ROUNDUP(D20*Datos!$C$4,0),D20*INT(1/D20)))</f>
        <v>0.810252409563492</v>
      </c>
      <c r="E22" s="15" t="n">
        <f aca="false">IF(E20=0,0,IF(E20&gt;=1,E20*Datos!$C$4/ROUNDUP(E20*Datos!$C$4,0),E20*INT(1/E20)))</f>
        <v>0.958782783219955</v>
      </c>
      <c r="F22" s="15" t="n">
        <f aca="false">IF(F20=0,0,IF(F20&gt;=1,F20*Datos!$C$4/ROUNDUP(F20*Datos!$C$4,0),F20*INT(1/F20)))</f>
        <v>0.843722036208333</v>
      </c>
      <c r="G22" s="15" t="n">
        <f aca="false">IF(G20=0,0,IF(G20&gt;=1,G20*Datos!$C$4/ROUNDUP(G20*Datos!$C$4,0),G20*INT(1/G20)))</f>
        <v>0.98660265345754</v>
      </c>
    </row>
    <row r="24" customFormat="false" ht="15" hidden="false" customHeight="false" outlineLevel="0" collapsed="false">
      <c r="A24" s="1" t="s">
        <v>166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112</v>
      </c>
    </row>
    <row r="26" customFormat="false" ht="15" hidden="false" customHeight="false" outlineLevel="0" collapsed="false">
      <c r="A26" s="3" t="s">
        <v>162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167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157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168</v>
      </c>
      <c r="B29" s="4" t="s">
        <v>169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170</v>
      </c>
      <c r="B30" s="4" t="s">
        <v>165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3" t="s">
        <v>171</v>
      </c>
      <c r="B31" s="4" t="s">
        <v>169</v>
      </c>
      <c r="C31" s="17" t="n">
        <f aca="false">C30*$G$32</f>
        <v>1.08360540816852</v>
      </c>
      <c r="D31" s="17" t="n">
        <f aca="false">D30*$G$32</f>
        <v>0.492753028825112</v>
      </c>
      <c r="E31" s="17" t="n">
        <f aca="false">E30*$G$32</f>
        <v>4.08156989585586</v>
      </c>
      <c r="F31" s="17" t="n">
        <f aca="false">F30*$G$32</f>
        <v>0.342071667150506</v>
      </c>
      <c r="G31" s="17" t="n">
        <f aca="false">SUM(C31:F31)</f>
        <v>6</v>
      </c>
    </row>
    <row r="32" customFormat="false" ht="15" hidden="false" customHeight="false" outlineLevel="0" collapsed="false">
      <c r="A32" s="12" t="s">
        <v>172</v>
      </c>
      <c r="B32" s="4" t="s">
        <v>169</v>
      </c>
      <c r="C32" s="13" t="n">
        <f aca="false">ROUND(SUM($C30:C30)*$G32,0)</f>
        <v>1</v>
      </c>
      <c r="D32" s="13" t="n">
        <f aca="false">ROUND(SUM($C30:D30)*$G32,0)-ROUND(SUM($C30:C30)*$G32,0)</f>
        <v>1</v>
      </c>
      <c r="E32" s="13" t="n">
        <f aca="false">ROUND(SUM($C30:E30)*$G32,0)-ROUND(SUM($C30:D30)*$G32,0)</f>
        <v>4</v>
      </c>
      <c r="F32" s="13" t="n">
        <f aca="false">ROUND(SUM($C30:F30)*$G32,0)-ROUND(SUM($C30:E30)*$G32,0)</f>
        <v>0</v>
      </c>
      <c r="G32" s="13" t="n">
        <f aca="false">IF(G29=0,0,MIN(Camion!$C$20,INT(Datos!$C$48/(C30*Pallet!C12+D30*Pallet!D12+E30*Pallet!E12+F30*Pallet!F12))))</f>
        <v>6</v>
      </c>
    </row>
    <row r="33" customFormat="false" ht="15" hidden="false" customHeight="false" outlineLevel="0" collapsed="false">
      <c r="A33" s="3" t="s">
        <v>173</v>
      </c>
      <c r="B33" s="4" t="s">
        <v>32</v>
      </c>
      <c r="C33" s="16" t="n">
        <f aca="false">C32*Pallet!C11</f>
        <v>360</v>
      </c>
      <c r="D33" s="16" t="n">
        <f aca="false">D32*Pallet!D11</f>
        <v>168</v>
      </c>
      <c r="E33" s="16" t="n">
        <f aca="false">E32*Pallet!E11</f>
        <v>336</v>
      </c>
      <c r="F33" s="16" t="n">
        <f aca="false">F32*Pallet!F11</f>
        <v>0</v>
      </c>
      <c r="G33" s="16" t="n">
        <f aca="false">SUM(C33:F33)</f>
        <v>864</v>
      </c>
    </row>
    <row r="34" customFormat="false" ht="15" hidden="false" customHeight="false" outlineLevel="0" collapsed="false">
      <c r="A34" s="3" t="s">
        <v>174</v>
      </c>
      <c r="B34" s="4" t="s">
        <v>18</v>
      </c>
      <c r="C34" s="16" t="n">
        <f aca="false">C32*Pallet!C12</f>
        <v>804.8</v>
      </c>
      <c r="D34" s="16" t="n">
        <f aca="false">D32*Pallet!D12</f>
        <v>854.84</v>
      </c>
      <c r="E34" s="16" t="n">
        <f aca="false">E32*Pallet!E12</f>
        <v>3106.88</v>
      </c>
      <c r="F34" s="16" t="n">
        <f aca="false">F32*Pallet!F12</f>
        <v>0</v>
      </c>
      <c r="G34" s="16" t="n">
        <f aca="false">SUM(C34:F34)</f>
        <v>4766.52</v>
      </c>
    </row>
    <row r="35" customFormat="false" ht="15" hidden="false" customHeight="false" outlineLevel="0" collapsed="false">
      <c r="A35" s="12" t="s">
        <v>175</v>
      </c>
      <c r="B35" s="4" t="s">
        <v>161</v>
      </c>
      <c r="C35" s="23"/>
      <c r="D35" s="23"/>
      <c r="E35" s="23"/>
      <c r="F35" s="23"/>
      <c r="G35" s="18" t="n">
        <f aca="false">IF(G32=0,0,G29/G32)</f>
        <v>9.8660265345754</v>
      </c>
    </row>
    <row r="38" customFormat="false" ht="15" hidden="false" customHeight="false" outlineLevel="0" collapsed="false">
      <c r="A38" s="1" t="s">
        <v>176</v>
      </c>
    </row>
    <row r="39" customFormat="false" ht="15" hidden="false" customHeight="false" outlineLevel="0" collapsed="false">
      <c r="A39" s="2"/>
      <c r="B39" s="2" t="s">
        <v>2</v>
      </c>
      <c r="C39" s="2" t="s">
        <v>177</v>
      </c>
      <c r="D39" s="2" t="s">
        <v>178</v>
      </c>
      <c r="E39" s="2" t="s">
        <v>179</v>
      </c>
      <c r="F39" s="2" t="s">
        <v>180</v>
      </c>
      <c r="G39" s="2" t="s">
        <v>181</v>
      </c>
    </row>
    <row r="40" customFormat="false" ht="15" hidden="false" customHeight="false" outlineLevel="0" collapsed="false">
      <c r="A40" s="12" t="s">
        <v>149</v>
      </c>
      <c r="B40" s="4" t="s">
        <v>32</v>
      </c>
      <c r="C40" s="13" t="n">
        <f aca="false">Camion!C14</f>
        <v>14</v>
      </c>
      <c r="D40" s="13" t="n">
        <f aca="false">Camion!D14</f>
        <v>10</v>
      </c>
      <c r="E40" s="13" t="n">
        <f aca="false">Camion!E14</f>
        <v>7</v>
      </c>
      <c r="F40" s="13" t="n">
        <f aca="false">Camion!F14</f>
        <v>7</v>
      </c>
      <c r="G40" s="13" t="n">
        <f aca="false">$G$66</f>
        <v>9</v>
      </c>
    </row>
    <row r="41" customFormat="false" ht="15" hidden="false" customHeight="false" outlineLevel="0" collapsed="false">
      <c r="A41" s="12" t="s">
        <v>159</v>
      </c>
      <c r="B41" s="4" t="s">
        <v>32</v>
      </c>
      <c r="C41" s="13" t="n">
        <f aca="false">C40</f>
        <v>14</v>
      </c>
      <c r="D41" s="13" t="n">
        <f aca="false">D40</f>
        <v>10</v>
      </c>
      <c r="E41" s="13" t="n">
        <f aca="false">E40</f>
        <v>7</v>
      </c>
      <c r="F41" s="13" t="n">
        <f aca="false">F40</f>
        <v>7</v>
      </c>
      <c r="G41" s="13" t="n">
        <f aca="false">G40</f>
        <v>9</v>
      </c>
    </row>
    <row r="42" customFormat="false" ht="15" hidden="false" customHeight="false" outlineLevel="0" collapsed="false">
      <c r="A42" s="12" t="s">
        <v>160</v>
      </c>
    </row>
    <row r="43" customFormat="false" ht="15" hidden="false" customHeight="false" outlineLevel="0" collapsed="false">
      <c r="A43" s="3" t="s">
        <v>100</v>
      </c>
      <c r="B43" s="4" t="s">
        <v>161</v>
      </c>
      <c r="C43" s="19" t="n">
        <f aca="false">IF(C$41=0,0,Demanda!F24/C$41)</f>
        <v>0.687999916464286</v>
      </c>
      <c r="D43" s="19" t="n">
        <f aca="false">IF(D$41=0,0,Demanda!G24/D$41)</f>
        <v>2.1190397428375</v>
      </c>
      <c r="E43" s="19" t="n">
        <f aca="false">IF(E$41=0,0,Demanda!H24/E$41)</f>
        <v>0.66047992</v>
      </c>
      <c r="F43" s="19" t="n">
        <f aca="false">IF(F$41=0,0,Demanda!I24/F$41)</f>
        <v>0.440319946464286</v>
      </c>
      <c r="G43" s="19" t="n">
        <f aca="false">IF($G$66=0,0,Demanda!S24/$G$66)</f>
        <v>4.28088836934722</v>
      </c>
    </row>
    <row r="44" customFormat="false" ht="15" hidden="false" customHeight="false" outlineLevel="0" collapsed="false">
      <c r="A44" s="3" t="s">
        <v>101</v>
      </c>
      <c r="B44" s="4" t="s">
        <v>161</v>
      </c>
      <c r="C44" s="19" t="n">
        <f aca="false">IF(C$41=0,0,Demanda!F25/C$41)</f>
        <v>0.607058749821429</v>
      </c>
      <c r="D44" s="19" t="n">
        <f aca="false">IF(D$41=0,0,Demanda!G25/D$41)</f>
        <v>1.8697409495625</v>
      </c>
      <c r="E44" s="19" t="n">
        <f aca="false">IF(E$41=0,0,Demanda!H25/E$41)</f>
        <v>0.5827764</v>
      </c>
      <c r="F44" s="19" t="n">
        <f aca="false">IF(F$41=0,0,Demanda!I25/F$41)</f>
        <v>0.388517599821429</v>
      </c>
      <c r="G44" s="19" t="n">
        <f aca="false">IF($G$66=0,0,Demanda!S25/$G$66)</f>
        <v>3.77725444354167</v>
      </c>
    </row>
    <row r="45" customFormat="false" ht="15" hidden="false" customHeight="false" outlineLevel="0" collapsed="false">
      <c r="A45" s="3" t="s">
        <v>102</v>
      </c>
      <c r="B45" s="4" t="s">
        <v>161</v>
      </c>
      <c r="C45" s="19" t="n">
        <f aca="false">IF(C$41=0,0,Demanda!F26/C$41)</f>
        <v>0.728470499785714</v>
      </c>
      <c r="D45" s="19" t="n">
        <f aca="false">IF(D$41=0,0,Demanda!G26/D$41)</f>
        <v>2.243689139475</v>
      </c>
      <c r="E45" s="19" t="n">
        <f aca="false">IF(E$41=0,0,Demanda!H26/E$41)</f>
        <v>0.69933168</v>
      </c>
      <c r="F45" s="19" t="n">
        <f aca="false">IF(F$41=0,0,Demanda!I26/F$41)</f>
        <v>0.466221119785714</v>
      </c>
      <c r="G45" s="19" t="n">
        <f aca="false">IF($G$66=0,0,Demanda!S26/$G$66)</f>
        <v>4.53270533225</v>
      </c>
    </row>
    <row r="46" customFormat="false" ht="15" hidden="false" customHeight="false" outlineLevel="0" collapsed="false">
      <c r="A46" s="3" t="s">
        <v>103</v>
      </c>
      <c r="B46" s="4" t="s">
        <v>161</v>
      </c>
      <c r="C46" s="19" t="n">
        <f aca="false">IF(C$41=0,0,Demanda!F27/C$41)</f>
        <v>0.728470499785714</v>
      </c>
      <c r="D46" s="19" t="n">
        <f aca="false">IF(D$41=0,0,Demanda!G27/D$41)</f>
        <v>2.243689139475</v>
      </c>
      <c r="E46" s="19" t="n">
        <f aca="false">IF(E$41=0,0,Demanda!H27/E$41)</f>
        <v>0.69933168</v>
      </c>
      <c r="F46" s="19" t="n">
        <f aca="false">IF(F$41=0,0,Demanda!I27/F$41)</f>
        <v>0.466221119785714</v>
      </c>
      <c r="G46" s="19" t="n">
        <f aca="false">IF($G$66=0,0,Demanda!S27/$G$66)</f>
        <v>4.53270533225</v>
      </c>
    </row>
    <row r="47" customFormat="false" ht="15" hidden="false" customHeight="false" outlineLevel="0" collapsed="false">
      <c r="A47" s="3" t="s">
        <v>104</v>
      </c>
      <c r="B47" s="4" t="s">
        <v>161</v>
      </c>
      <c r="C47" s="19" t="n">
        <f aca="false">IF(C$41=0,0,Demanda!F28/C$41)</f>
        <v>0.728470499785714</v>
      </c>
      <c r="D47" s="19" t="n">
        <f aca="false">IF(D$41=0,0,Demanda!G28/D$41)</f>
        <v>2.243689139475</v>
      </c>
      <c r="E47" s="19" t="n">
        <f aca="false">IF(E$41=0,0,Demanda!H28/E$41)</f>
        <v>0.69933168</v>
      </c>
      <c r="F47" s="19" t="n">
        <f aca="false">IF(F$41=0,0,Demanda!I28/F$41)</f>
        <v>0.466221119785714</v>
      </c>
      <c r="G47" s="19" t="n">
        <f aca="false">IF($G$66=0,0,Demanda!S28/$G$66)</f>
        <v>4.53270533225</v>
      </c>
    </row>
    <row r="48" customFormat="false" ht="15" hidden="false" customHeight="false" outlineLevel="0" collapsed="false">
      <c r="A48" s="3" t="s">
        <v>105</v>
      </c>
      <c r="B48" s="4" t="s">
        <v>161</v>
      </c>
      <c r="C48" s="19" t="n">
        <f aca="false">IF(C$41=0,0,Demanda!F29/C$41)</f>
        <v>0.647529333142857</v>
      </c>
      <c r="D48" s="19" t="n">
        <f aca="false">IF(D$41=0,0,Demanda!G29/D$41)</f>
        <v>1.9943903462</v>
      </c>
      <c r="E48" s="19" t="n">
        <f aca="false">IF(E$41=0,0,Demanda!H29/E$41)</f>
        <v>0.62162816</v>
      </c>
      <c r="F48" s="19" t="n">
        <f aca="false">IF(F$41=0,0,Demanda!I29/F$41)</f>
        <v>0.414418773142857</v>
      </c>
      <c r="G48" s="19" t="n">
        <f aca="false">IF($G$66=0,0,Demanda!S29/$G$66)</f>
        <v>4.02907140644444</v>
      </c>
    </row>
    <row r="49" customFormat="false" ht="15" hidden="false" customHeight="false" outlineLevel="0" collapsed="false">
      <c r="A49" s="3" t="s">
        <v>106</v>
      </c>
      <c r="B49" s="4" t="s">
        <v>161</v>
      </c>
      <c r="C49" s="19" t="n">
        <f aca="false">IF(C$41=0,0,Demanda!F30/C$41)</f>
        <v>0.728470499785714</v>
      </c>
      <c r="D49" s="19" t="n">
        <f aca="false">IF(D$41=0,0,Demanda!G30/D$41)</f>
        <v>2.243689139475</v>
      </c>
      <c r="E49" s="19" t="n">
        <f aca="false">IF(E$41=0,0,Demanda!H30/E$41)</f>
        <v>0.69933168</v>
      </c>
      <c r="F49" s="19" t="n">
        <f aca="false">IF(F$41=0,0,Demanda!I30/F$41)</f>
        <v>0.466221119785714</v>
      </c>
      <c r="G49" s="19" t="n">
        <f aca="false">IF($G$66=0,0,Demanda!S30/$G$66)</f>
        <v>4.53270533225</v>
      </c>
    </row>
    <row r="50" customFormat="false" ht="15" hidden="false" customHeight="false" outlineLevel="0" collapsed="false">
      <c r="A50" s="3" t="s">
        <v>107</v>
      </c>
      <c r="B50" s="4" t="s">
        <v>161</v>
      </c>
      <c r="C50" s="19" t="n">
        <f aca="false">IF(C$41=0,0,Demanda!F31/C$41)</f>
        <v>0.728470499785714</v>
      </c>
      <c r="D50" s="19" t="n">
        <f aca="false">IF(D$41=0,0,Demanda!G31/D$41)</f>
        <v>2.243689139475</v>
      </c>
      <c r="E50" s="19" t="n">
        <f aca="false">IF(E$41=0,0,Demanda!H31/E$41)</f>
        <v>0.69933168</v>
      </c>
      <c r="F50" s="19" t="n">
        <f aca="false">IF(F$41=0,0,Demanda!I31/F$41)</f>
        <v>0.466221119785714</v>
      </c>
      <c r="G50" s="19" t="n">
        <f aca="false">IF($G$66=0,0,Demanda!S31/$G$66)</f>
        <v>4.53270533225</v>
      </c>
    </row>
    <row r="51" customFormat="false" ht="15" hidden="false" customHeight="false" outlineLevel="0" collapsed="false">
      <c r="A51" s="3" t="s">
        <v>108</v>
      </c>
      <c r="B51" s="4" t="s">
        <v>161</v>
      </c>
      <c r="C51" s="19" t="n">
        <f aca="false">IF(C$41=0,0,Demanda!F32/C$41)</f>
        <v>0.687999916464286</v>
      </c>
      <c r="D51" s="19" t="n">
        <f aca="false">IF(D$41=0,0,Demanda!G32/D$41)</f>
        <v>2.1190397428375</v>
      </c>
      <c r="E51" s="19" t="n">
        <f aca="false">IF(E$41=0,0,Demanda!H32/E$41)</f>
        <v>0.66047992</v>
      </c>
      <c r="F51" s="19" t="n">
        <f aca="false">IF(F$41=0,0,Demanda!I32/F$41)</f>
        <v>0.440319946464286</v>
      </c>
      <c r="G51" s="19" t="n">
        <f aca="false">IF($G$66=0,0,Demanda!S32/$G$66)</f>
        <v>4.28088836934722</v>
      </c>
    </row>
    <row r="52" customFormat="false" ht="15" hidden="false" customHeight="false" outlineLevel="0" collapsed="false">
      <c r="A52" s="3" t="s">
        <v>109</v>
      </c>
      <c r="B52" s="4" t="s">
        <v>161</v>
      </c>
      <c r="C52" s="19" t="n">
        <f aca="false">IF(C$41=0,0,Demanda!F33/C$41)</f>
        <v>0.607058749821429</v>
      </c>
      <c r="D52" s="19" t="n">
        <f aca="false">IF(D$41=0,0,Demanda!G33/D$41)</f>
        <v>1.8697409495625</v>
      </c>
      <c r="E52" s="19" t="n">
        <f aca="false">IF(E$41=0,0,Demanda!H33/E$41)</f>
        <v>0.5827764</v>
      </c>
      <c r="F52" s="19" t="n">
        <f aca="false">IF(F$41=0,0,Demanda!I33/F$41)</f>
        <v>0.388517599821429</v>
      </c>
      <c r="G52" s="19" t="n">
        <f aca="false">IF($G$66=0,0,Demanda!S33/$G$66)</f>
        <v>3.77725444354167</v>
      </c>
    </row>
    <row r="53" customFormat="false" ht="15" hidden="false" customHeight="false" outlineLevel="0" collapsed="false">
      <c r="A53" s="3" t="s">
        <v>110</v>
      </c>
      <c r="B53" s="4" t="s">
        <v>161</v>
      </c>
      <c r="C53" s="19" t="n">
        <f aca="false">IF(C$41=0,0,Demanda!F34/C$41)</f>
        <v>0.5665881665</v>
      </c>
      <c r="D53" s="19" t="n">
        <f aca="false">IF(D$41=0,0,Demanda!G34/D$41)</f>
        <v>1.745091552925</v>
      </c>
      <c r="E53" s="19" t="n">
        <f aca="false">IF(E$41=0,0,Demanda!H34/E$41)</f>
        <v>0.54392464</v>
      </c>
      <c r="F53" s="19" t="n">
        <f aca="false">IF(F$41=0,0,Demanda!I34/F$41)</f>
        <v>0.3626164265</v>
      </c>
      <c r="G53" s="19" t="n">
        <f aca="false">IF($G$66=0,0,Demanda!S34/$G$66)</f>
        <v>3.52543748063889</v>
      </c>
    </row>
    <row r="54" customFormat="false" ht="15" hidden="false" customHeight="false" outlineLevel="0" collapsed="false">
      <c r="A54" s="3" t="s">
        <v>111</v>
      </c>
      <c r="B54" s="4" t="s">
        <v>161</v>
      </c>
      <c r="C54" s="19" t="n">
        <f aca="false">IF(C$41=0,0,Demanda!F35/C$41)</f>
        <v>0.647529333142857</v>
      </c>
      <c r="D54" s="19" t="n">
        <f aca="false">IF(D$41=0,0,Demanda!G35/D$41)</f>
        <v>1.9943903462</v>
      </c>
      <c r="E54" s="19" t="n">
        <f aca="false">IF(E$41=0,0,Demanda!H35/E$41)</f>
        <v>0.62162816</v>
      </c>
      <c r="F54" s="19" t="n">
        <f aca="false">IF(F$41=0,0,Demanda!I35/F$41)</f>
        <v>0.414418773142857</v>
      </c>
      <c r="G54" s="19" t="n">
        <f aca="false">IF($G$66=0,0,Demanda!S35/$G$66)</f>
        <v>4.02907140644444</v>
      </c>
    </row>
    <row r="55" customFormat="false" ht="15" hidden="false" customHeight="false" outlineLevel="0" collapsed="false">
      <c r="A55" s="12" t="s">
        <v>162</v>
      </c>
      <c r="B55" s="4" t="s">
        <v>161</v>
      </c>
      <c r="C55" s="21" t="n">
        <f aca="false">MAX(C43:C54)</f>
        <v>0.728470499785714</v>
      </c>
      <c r="D55" s="21" t="n">
        <f aca="false">MAX(D43:D54)</f>
        <v>2.243689139475</v>
      </c>
      <c r="E55" s="21" t="n">
        <f aca="false">MAX(E43:E54)</f>
        <v>0.69933168</v>
      </c>
      <c r="F55" s="21" t="n">
        <f aca="false">MAX(F43:F54)</f>
        <v>0.466221119785714</v>
      </c>
      <c r="G55" s="21" t="n">
        <f aca="false">MAX(G43:G54)</f>
        <v>4.53270533225</v>
      </c>
    </row>
    <row r="56" customFormat="false" ht="15" hidden="false" customHeight="false" outlineLevel="0" collapsed="false">
      <c r="A56" s="12" t="s">
        <v>163</v>
      </c>
      <c r="B56" s="4"/>
      <c r="C56" s="22" t="str">
        <f aca="false">IF(C55=0,"-",IF(C55&gt;=1,ROUNDUP(C55*Datos!$C$4,0)&amp;" por mes",IF(INT(1/C55)=1,"1 por semana","1 cada "&amp;INT(1/C55)&amp;" semanas")))</f>
        <v>1 por semana</v>
      </c>
      <c r="D56" s="22" t="str">
        <f aca="false">IF(D55=0,"-",IF(D55&gt;=1,ROUNDUP(D55*Datos!$C$4,0)&amp;" por mes",IF(INT(1/D55)=1,"1 por semana","1 cada "&amp;INT(1/D55)&amp;" semanas")))</f>
        <v>9 por mes</v>
      </c>
      <c r="E56" s="22" t="str">
        <f aca="false">IF(E55=0,"-",IF(E55&gt;=1,ROUNDUP(E55*Datos!$C$4,0)&amp;" por mes",IF(INT(1/E55)=1,"1 por semana","1 cada "&amp;INT(1/E55)&amp;" semanas")))</f>
        <v>1 por semana</v>
      </c>
      <c r="F56" s="22" t="str">
        <f aca="false">IF(F55=0,"-",IF(F55&gt;=1,ROUNDUP(F55*Datos!$C$4,0)&amp;" por mes",IF(INT(1/F55)=1,"1 por semana","1 cada "&amp;INT(1/F55)&amp;" semanas")))</f>
        <v>1 cada 2 semanas</v>
      </c>
      <c r="G56" s="22" t="str">
        <f aca="false">IF(G55=0,"-",IF(G55&gt;=1,ROUNDUP(G55*Datos!$C$4,0)&amp;" por mes",IF(INT(1/G55)=1,"1 por semana","1 cada "&amp;INT(1/G55)&amp;" semanas")))</f>
        <v>19 por mes</v>
      </c>
    </row>
    <row r="57" customFormat="false" ht="15" hidden="false" customHeight="false" outlineLevel="0" collapsed="false">
      <c r="A57" s="3" t="s">
        <v>164</v>
      </c>
      <c r="B57" s="4" t="s">
        <v>165</v>
      </c>
      <c r="C57" s="15" t="n">
        <f aca="false">IF(C55=0,0,IF(C55&gt;=1,C55*Datos!$C$4/ROUNDUP(C55*Datos!$C$4,0),C55*INT(1/C55)))</f>
        <v>0.728470499785714</v>
      </c>
      <c r="D57" s="15" t="n">
        <f aca="false">IF(D55=0,0,IF(D55&gt;=1,D55*Datos!$C$4/ROUNDUP(D55*Datos!$C$4,0),D55*INT(1/D55)))</f>
        <v>0.9971951731</v>
      </c>
      <c r="E57" s="15" t="n">
        <f aca="false">IF(E55=0,0,IF(E55&gt;=1,E55*Datos!$C$4/ROUNDUP(E55*Datos!$C$4,0),E55*INT(1/E55)))</f>
        <v>0.69933168</v>
      </c>
      <c r="F57" s="15" t="n">
        <f aca="false">IF(F55=0,0,IF(F55&gt;=1,F55*Datos!$C$4/ROUNDUP(F55*Datos!$C$4,0),F55*INT(1/F55)))</f>
        <v>0.932442239571429</v>
      </c>
      <c r="G57" s="15" t="n">
        <f aca="false">IF(G55=0,0,IF(G55&gt;=1,G55*Datos!$C$4/ROUNDUP(G55*Datos!$C$4,0),G55*INT(1/G55)))</f>
        <v>0.954253754157895</v>
      </c>
    </row>
    <row r="59" customFormat="false" ht="15" hidden="false" customHeight="false" outlineLevel="0" collapsed="false">
      <c r="A59" s="1" t="s">
        <v>182</v>
      </c>
    </row>
    <row r="60" customFormat="false" ht="15" hidden="false" customHeight="false" outlineLevel="0" collapsed="false">
      <c r="A60" s="2"/>
      <c r="B60" s="2" t="s">
        <v>2</v>
      </c>
      <c r="C60" s="2" t="s">
        <v>42</v>
      </c>
      <c r="D60" s="2" t="s">
        <v>43</v>
      </c>
      <c r="E60" s="2" t="s">
        <v>44</v>
      </c>
      <c r="F60" s="2" t="s">
        <v>45</v>
      </c>
      <c r="G60" s="2" t="s">
        <v>112</v>
      </c>
    </row>
    <row r="61" customFormat="false" ht="15" hidden="false" customHeight="false" outlineLevel="0" collapsed="false">
      <c r="A61" s="3" t="s">
        <v>162</v>
      </c>
      <c r="B61" s="4"/>
      <c r="C61" s="4" t="str">
        <f aca="false">INDEX(Demanda!$A$24:$A$35,MATCH(MAX(Demanda!$S$24:$S$35),Demanda!$S$24:$S$35,0))</f>
        <v>Mar</v>
      </c>
    </row>
    <row r="62" customFormat="false" ht="15" hidden="false" customHeight="false" outlineLevel="0" collapsed="false">
      <c r="A62" s="3" t="s">
        <v>167</v>
      </c>
      <c r="B62" s="4" t="s">
        <v>32</v>
      </c>
      <c r="C62" s="16" t="n">
        <f aca="false">INDEX(Demanda!F$24:F$35,MATCH(MAX(Demanda!$S$24:$S$35),Demanda!$S$24:$S$35,0))*Datos!$C$4</f>
        <v>40.794347988</v>
      </c>
      <c r="D62" s="16" t="n">
        <f aca="false">INDEX(Demanda!G$24:G$35,MATCH(MAX(Demanda!$S$24:$S$35),Demanda!$S$24:$S$35,0))*Datos!$C$4</f>
        <v>89.747565579</v>
      </c>
      <c r="E62" s="16" t="n">
        <f aca="false">INDEX(Demanda!H$24:H$35,MATCH(MAX(Demanda!$S$24:$S$35),Demanda!$S$24:$S$35,0))*Datos!$C$4</f>
        <v>19.58128704</v>
      </c>
      <c r="F62" s="16" t="n">
        <f aca="false">INDEX(Demanda!I$24:I$35,MATCH(MAX(Demanda!$S$24:$S$35),Demanda!$S$24:$S$35,0))*Datos!$C$4</f>
        <v>13.054191354</v>
      </c>
      <c r="G62" s="16" t="n">
        <f aca="false">SUM(C62:F62)</f>
        <v>163.177391961</v>
      </c>
    </row>
    <row r="63" customFormat="false" ht="15" hidden="false" customHeight="false" outlineLevel="0" collapsed="false">
      <c r="A63" s="3" t="s">
        <v>183</v>
      </c>
      <c r="B63" s="4" t="s">
        <v>184</v>
      </c>
      <c r="C63" s="16" t="n">
        <f aca="false">Camion!C12</f>
        <v>14</v>
      </c>
      <c r="D63" s="16" t="n">
        <f aca="false">Camion!D12</f>
        <v>10</v>
      </c>
      <c r="E63" s="16" t="n">
        <f aca="false">Camion!E12</f>
        <v>7</v>
      </c>
      <c r="F63" s="16" t="n">
        <f aca="false">Camion!F12</f>
        <v>7</v>
      </c>
    </row>
    <row r="64" customFormat="false" ht="15" hidden="false" customHeight="false" outlineLevel="0" collapsed="false">
      <c r="A64" s="3" t="s">
        <v>170</v>
      </c>
      <c r="B64" s="4" t="s">
        <v>165</v>
      </c>
      <c r="C64" s="15" t="n">
        <f aca="false">IF($G62=0,0,C62/$G62)</f>
        <v>0.249999999986211</v>
      </c>
      <c r="D64" s="15" t="n">
        <f aca="false">IF($G62=0,0,D62/$G62)</f>
        <v>0.550000000002758</v>
      </c>
      <c r="E64" s="15" t="n">
        <f aca="false">IF($G62=0,0,E62/$G62)</f>
        <v>0.12000000002868</v>
      </c>
      <c r="F64" s="15" t="n">
        <f aca="false">IF($G62=0,0,F62/$G62)</f>
        <v>0.0799999999823505</v>
      </c>
      <c r="G64" s="15" t="n">
        <f aca="false">SUM(C64:F64)</f>
        <v>1</v>
      </c>
    </row>
    <row r="65" customFormat="false" ht="15" hidden="false" customHeight="false" outlineLevel="0" collapsed="false">
      <c r="A65" s="3" t="s">
        <v>185</v>
      </c>
      <c r="B65" s="4" t="s">
        <v>184</v>
      </c>
      <c r="C65" s="17" t="n">
        <f aca="false">C64*$G$66</f>
        <v>2.2499999998759</v>
      </c>
      <c r="D65" s="17" t="n">
        <f aca="false">D64*$G$66</f>
        <v>4.95000000002482</v>
      </c>
      <c r="E65" s="17" t="n">
        <f aca="false">E64*$G$66</f>
        <v>1.08000000025812</v>
      </c>
      <c r="F65" s="17" t="n">
        <f aca="false">F64*$G$66</f>
        <v>0.719999999841154</v>
      </c>
      <c r="G65" s="17" t="n">
        <f aca="false">SUM(C65:F65)</f>
        <v>9</v>
      </c>
    </row>
    <row r="66" customFormat="false" ht="15" hidden="false" customHeight="false" outlineLevel="0" collapsed="false">
      <c r="A66" s="12" t="s">
        <v>186</v>
      </c>
      <c r="B66" s="4" t="s">
        <v>184</v>
      </c>
      <c r="C66" s="13" t="n">
        <f aca="false">ROUND(SUM($C64:C64)*$G66,0)</f>
        <v>2</v>
      </c>
      <c r="D66" s="13" t="n">
        <f aca="false">ROUND(SUM($C64:D64)*$G66,0)-ROUND(SUM($C64:C64)*$G66,0)</f>
        <v>5</v>
      </c>
      <c r="E66" s="13" t="n">
        <f aca="false">ROUND(SUM($C64:E64)*$G66,0)-ROUND(SUM($C64:D64)*$G66,0)</f>
        <v>1</v>
      </c>
      <c r="F66" s="13" t="n">
        <f aca="false">ROUND(SUM($C64:F64)*$G66,0)-ROUND(SUM($C64:E64)*$G66,0)</f>
        <v>1</v>
      </c>
      <c r="G66" s="13" t="n">
        <f aca="false">IF(G62=0,0,MIN(INT(1/(C64/C63+D64/D63+E64/E63+F64/F63)),INT(Datos!$C$57/(C64*Datos!$C$36+D64*Datos!$D$36+E64*Datos!$E$36+F64*Datos!$F$36))))</f>
        <v>9</v>
      </c>
    </row>
    <row r="67" customFormat="false" ht="15" hidden="false" customHeight="false" outlineLevel="0" collapsed="false">
      <c r="A67" s="3" t="s">
        <v>187</v>
      </c>
      <c r="B67" s="4" t="s">
        <v>165</v>
      </c>
      <c r="C67" s="15" t="n">
        <f aca="false">IF(C63=0,0,C66/C63)</f>
        <v>0.142857142857143</v>
      </c>
      <c r="D67" s="15" t="n">
        <f aca="false">IF(D63=0,0,D66/D63)</f>
        <v>0.5</v>
      </c>
      <c r="E67" s="15" t="n">
        <f aca="false">IF(E63=0,0,E66/E63)</f>
        <v>0.142857142857143</v>
      </c>
      <c r="F67" s="15" t="n">
        <f aca="false">IF(F63=0,0,F66/F63)</f>
        <v>0.142857142857143</v>
      </c>
      <c r="G67" s="15" t="n">
        <f aca="false">SUM(C67:F67)</f>
        <v>0.928571428571429</v>
      </c>
    </row>
    <row r="68" customFormat="false" ht="15" hidden="false" customHeight="false" outlineLevel="0" collapsed="false">
      <c r="A68" s="3" t="s">
        <v>188</v>
      </c>
      <c r="B68" s="4" t="s">
        <v>18</v>
      </c>
      <c r="C68" s="16" t="n">
        <f aca="false">C66*Datos!$C$36</f>
        <v>110</v>
      </c>
      <c r="D68" s="16" t="n">
        <f aca="false">D66*Datos!$D$36</f>
        <v>500</v>
      </c>
      <c r="E68" s="16" t="n">
        <f aca="false">E66*Datos!$E$36</f>
        <v>140</v>
      </c>
      <c r="F68" s="16" t="n">
        <f aca="false">F66*Datos!$F$36</f>
        <v>185</v>
      </c>
      <c r="G68" s="16" t="n">
        <f aca="false">SUM(C68:F68)</f>
        <v>935</v>
      </c>
    </row>
    <row r="69" customFormat="false" ht="15" hidden="false" customHeight="false" outlineLevel="0" collapsed="false">
      <c r="A69" s="12" t="s">
        <v>175</v>
      </c>
      <c r="B69" s="4" t="s">
        <v>161</v>
      </c>
      <c r="C69" s="23"/>
      <c r="D69" s="23"/>
      <c r="E69" s="23"/>
      <c r="F69" s="23"/>
      <c r="G69" s="18" t="n">
        <f aca="false">IF(G66=0,0,G62/G66)</f>
        <v>18.130821329</v>
      </c>
    </row>
    <row r="72" customFormat="false" ht="15" hidden="false" customHeight="false" outlineLevel="0" collapsed="false">
      <c r="A72" s="1" t="s">
        <v>189</v>
      </c>
    </row>
    <row r="73" customFormat="false" ht="15" hidden="false" customHeight="false" outlineLevel="0" collapsed="false">
      <c r="A73" s="2"/>
      <c r="B73" s="2" t="s">
        <v>2</v>
      </c>
      <c r="C73" s="2" t="s">
        <v>152</v>
      </c>
      <c r="D73" s="2" t="s">
        <v>153</v>
      </c>
      <c r="E73" s="2" t="s">
        <v>154</v>
      </c>
      <c r="F73" s="2" t="s">
        <v>155</v>
      </c>
      <c r="G73" s="2" t="s">
        <v>156</v>
      </c>
    </row>
    <row r="74" customFormat="false" ht="15" hidden="false" customHeight="false" outlineLevel="0" collapsed="false">
      <c r="A74" s="3" t="s">
        <v>157</v>
      </c>
      <c r="B74" s="4" t="s">
        <v>32</v>
      </c>
      <c r="C74" s="16" t="n">
        <f aca="false">Pallet!C23</f>
        <v>780</v>
      </c>
      <c r="D74" s="16" t="n">
        <f aca="false">Pallet!D23</f>
        <v>288</v>
      </c>
      <c r="E74" s="16" t="n">
        <f aca="false">Pallet!E23</f>
        <v>126</v>
      </c>
      <c r="F74" s="16" t="n">
        <f aca="false">Pallet!F23</f>
        <v>60</v>
      </c>
      <c r="G74" s="20" t="s">
        <v>158</v>
      </c>
    </row>
    <row r="75" customFormat="false" ht="15" hidden="false" customHeight="false" outlineLevel="0" collapsed="false">
      <c r="A75" s="3" t="s">
        <v>132</v>
      </c>
      <c r="B75" s="4" t="s">
        <v>18</v>
      </c>
      <c r="C75" s="16" t="n">
        <f aca="false">Pallet!C24</f>
        <v>630.8</v>
      </c>
      <c r="D75" s="16" t="n">
        <f aca="false">Pallet!D24</f>
        <v>464.24</v>
      </c>
      <c r="E75" s="16" t="n">
        <f aca="false">Pallet!E24</f>
        <v>387.68</v>
      </c>
      <c r="F75" s="16" t="n">
        <f aca="false">Pallet!F24</f>
        <v>365.6</v>
      </c>
      <c r="G75" s="20" t="s">
        <v>158</v>
      </c>
    </row>
    <row r="76" customFormat="false" ht="15" hidden="false" customHeight="false" outlineLevel="0" collapsed="false">
      <c r="A76" s="12" t="s">
        <v>142</v>
      </c>
      <c r="B76" s="4" t="s">
        <v>32</v>
      </c>
      <c r="C76" s="13" t="n">
        <f aca="false">IF(C75=0,0,MIN(Camion!$C$5,INT(Datos!$C$42/C75)))</f>
        <v>14</v>
      </c>
      <c r="D76" s="13" t="n">
        <f aca="false">IF(D75=0,0,MIN(Camion!$C$5,INT(Datos!$C$42/D75)))</f>
        <v>14</v>
      </c>
      <c r="E76" s="13" t="n">
        <f aca="false">IF(E75=0,0,MIN(Camion!$C$5,INT(Datos!$C$42/E75)))</f>
        <v>14</v>
      </c>
      <c r="F76" s="13" t="n">
        <f aca="false">IF(F75=0,0,MIN(Camion!$C$5,INT(Datos!$C$42/F75)))</f>
        <v>14</v>
      </c>
      <c r="G76" s="13" t="n">
        <f aca="false">$G$103</f>
        <v>14</v>
      </c>
    </row>
    <row r="77" customFormat="false" ht="15" hidden="false" customHeight="false" outlineLevel="0" collapsed="false">
      <c r="A77" s="12" t="s">
        <v>159</v>
      </c>
      <c r="B77" s="4" t="s">
        <v>32</v>
      </c>
      <c r="C77" s="13" t="n">
        <f aca="false">C76*C74</f>
        <v>10920</v>
      </c>
      <c r="D77" s="13" t="n">
        <f aca="false">D76*D74</f>
        <v>4032</v>
      </c>
      <c r="E77" s="13" t="n">
        <f aca="false">E76*E74</f>
        <v>1764</v>
      </c>
      <c r="F77" s="13" t="n">
        <f aca="false">F76*F74</f>
        <v>840</v>
      </c>
      <c r="G77" s="13" t="n">
        <f aca="false">$G$104</f>
        <v>5784</v>
      </c>
    </row>
    <row r="78" customFormat="false" ht="15" hidden="false" customHeight="false" outlineLevel="0" collapsed="false">
      <c r="A78" s="12" t="s">
        <v>160</v>
      </c>
    </row>
    <row r="79" customFormat="false" ht="15" hidden="false" customHeight="false" outlineLevel="0" collapsed="false">
      <c r="A79" s="3" t="s">
        <v>100</v>
      </c>
      <c r="B79" s="4" t="s">
        <v>161</v>
      </c>
      <c r="C79" s="19" t="n">
        <f aca="false">IF(C$77=0,0,Demanda!J24/C$77)</f>
        <v>0.468538461538462</v>
      </c>
      <c r="D79" s="19" t="n">
        <f aca="false">IF(D$77=0,0,Demanda!K24/D$77)</f>
        <v>0.0413504464285714</v>
      </c>
      <c r="E79" s="19" t="n">
        <f aca="false">IF(E$77=0,0,Demanda!L24/E$77)</f>
        <v>0.466482426303855</v>
      </c>
      <c r="F79" s="19" t="n">
        <f aca="false">IF(F$77=0,0,Demanda!M24/F$77)</f>
        <v>0.0598511904761905</v>
      </c>
      <c r="G79" s="19" t="n">
        <f aca="false">IF($G$103=0,0,Demanda!T24/$G$103)</f>
        <v>1.03622252474708</v>
      </c>
    </row>
    <row r="80" customFormat="false" ht="15" hidden="false" customHeight="false" outlineLevel="0" collapsed="false">
      <c r="A80" s="3" t="s">
        <v>101</v>
      </c>
      <c r="B80" s="4" t="s">
        <v>161</v>
      </c>
      <c r="C80" s="19" t="n">
        <f aca="false">IF(C$77=0,0,Demanda!J25/C$77)</f>
        <v>0.351403846153846</v>
      </c>
      <c r="D80" s="19" t="n">
        <f aca="false">IF(D$77=0,0,Demanda!K25/D$77)</f>
        <v>0.0330803571428571</v>
      </c>
      <c r="E80" s="19" t="n">
        <f aca="false">IF(E$77=0,0,Demanda!L25/E$77)</f>
        <v>0.373185941043084</v>
      </c>
      <c r="F80" s="19" t="n">
        <f aca="false">IF(F$77=0,0,Demanda!M25/F$77)</f>
        <v>0.0478809523809524</v>
      </c>
      <c r="G80" s="19" t="n">
        <f aca="false">IF($G$103=0,0,Demanda!T25/$G$103)</f>
        <v>0.80555109672074</v>
      </c>
    </row>
    <row r="81" customFormat="false" ht="15" hidden="false" customHeight="false" outlineLevel="0" collapsed="false">
      <c r="A81" s="3" t="s">
        <v>102</v>
      </c>
      <c r="B81" s="4" t="s">
        <v>161</v>
      </c>
      <c r="C81" s="19" t="n">
        <f aca="false">IF(C$77=0,0,Demanda!J26/C$77)</f>
        <v>0.312358974358974</v>
      </c>
      <c r="D81" s="19" t="n">
        <f aca="false">IF(D$77=0,0,Demanda!K26/D$77)</f>
        <v>0.0351478794642857</v>
      </c>
      <c r="E81" s="19" t="n">
        <f aca="false">IF(E$77=0,0,Demanda!L26/E$77)</f>
        <v>0.396510062358277</v>
      </c>
      <c r="F81" s="19" t="n">
        <f aca="false">IF(F$77=0,0,Demanda!M26/F$77)</f>
        <v>0.0508735119047619</v>
      </c>
      <c r="G81" s="19" t="n">
        <f aca="false">IF($G$103=0,0,Demanda!T26/$G$103)</f>
        <v>0.794890428086299</v>
      </c>
    </row>
    <row r="82" customFormat="false" ht="15" hidden="false" customHeight="false" outlineLevel="0" collapsed="false">
      <c r="A82" s="3" t="s">
        <v>103</v>
      </c>
      <c r="B82" s="4" t="s">
        <v>161</v>
      </c>
      <c r="C82" s="19" t="n">
        <f aca="false">IF(C$77=0,0,Demanda!J27/C$77)</f>
        <v>0.292836538461538</v>
      </c>
      <c r="D82" s="19" t="n">
        <f aca="false">IF(D$77=0,0,Demanda!K27/D$77)</f>
        <v>0.0351478794642857</v>
      </c>
      <c r="E82" s="19" t="n">
        <f aca="false">IF(E$77=0,0,Demanda!L27/E$77)</f>
        <v>0.396510062358277</v>
      </c>
      <c r="F82" s="19" t="n">
        <f aca="false">IF(F$77=0,0,Demanda!M27/F$77)</f>
        <v>0.0508735119047619</v>
      </c>
      <c r="G82" s="19" t="n">
        <f aca="false">IF($G$103=0,0,Demanda!T27/$G$103)</f>
        <v>0.775367992188863</v>
      </c>
    </row>
    <row r="83" customFormat="false" ht="15" hidden="false" customHeight="false" outlineLevel="0" collapsed="false">
      <c r="A83" s="3" t="s">
        <v>104</v>
      </c>
      <c r="B83" s="4" t="s">
        <v>161</v>
      </c>
      <c r="C83" s="19" t="n">
        <f aca="false">IF(C$77=0,0,Demanda!J28/C$77)</f>
        <v>0.273314102564103</v>
      </c>
      <c r="D83" s="19" t="n">
        <f aca="false">IF(D$77=0,0,Demanda!K28/D$77)</f>
        <v>0.0330803571428571</v>
      </c>
      <c r="E83" s="19" t="n">
        <f aca="false">IF(E$77=0,0,Demanda!L28/E$77)</f>
        <v>0.373185941043084</v>
      </c>
      <c r="F83" s="19" t="n">
        <f aca="false">IF(F$77=0,0,Demanda!M28/F$77)</f>
        <v>0.0478809523809524</v>
      </c>
      <c r="G83" s="19" t="n">
        <f aca="false">IF($G$103=0,0,Demanda!T28/$G$103)</f>
        <v>0.727461353130996</v>
      </c>
    </row>
    <row r="84" customFormat="false" ht="15" hidden="false" customHeight="false" outlineLevel="0" collapsed="false">
      <c r="A84" s="3" t="s">
        <v>105</v>
      </c>
      <c r="B84" s="4" t="s">
        <v>161</v>
      </c>
      <c r="C84" s="19" t="n">
        <f aca="false">IF(C$77=0,0,Demanda!J29/C$77)</f>
        <v>0.273314102564103</v>
      </c>
      <c r="D84" s="19" t="n">
        <f aca="false">IF(D$77=0,0,Demanda!K29/D$77)</f>
        <v>0.0310128348214286</v>
      </c>
      <c r="E84" s="19" t="n">
        <f aca="false">IF(E$77=0,0,Demanda!L29/E$77)</f>
        <v>0.349861819727891</v>
      </c>
      <c r="F84" s="19" t="n">
        <f aca="false">IF(F$77=0,0,Demanda!M29/F$77)</f>
        <v>0.0448883928571429</v>
      </c>
      <c r="G84" s="19" t="n">
        <f aca="false">IF($G$103=0,0,Demanda!T29/$G$103)</f>
        <v>0.699077149970565</v>
      </c>
    </row>
    <row r="85" customFormat="false" ht="15" hidden="false" customHeight="false" outlineLevel="0" collapsed="false">
      <c r="A85" s="3" t="s">
        <v>106</v>
      </c>
      <c r="B85" s="4" t="s">
        <v>161</v>
      </c>
      <c r="C85" s="19" t="n">
        <f aca="false">IF(C$77=0,0,Demanda!J30/C$77)</f>
        <v>0.292836538461538</v>
      </c>
      <c r="D85" s="19" t="n">
        <f aca="false">IF(D$77=0,0,Demanda!K30/D$77)</f>
        <v>0.0330803571428571</v>
      </c>
      <c r="E85" s="19" t="n">
        <f aca="false">IF(E$77=0,0,Demanda!L30/E$77)</f>
        <v>0.373185941043084</v>
      </c>
      <c r="F85" s="19" t="n">
        <f aca="false">IF(F$77=0,0,Demanda!M30/F$77)</f>
        <v>0.0478809523809524</v>
      </c>
      <c r="G85" s="19" t="n">
        <f aca="false">IF($G$103=0,0,Demanda!T30/$G$103)</f>
        <v>0.746983789028432</v>
      </c>
    </row>
    <row r="86" customFormat="false" ht="15" hidden="false" customHeight="false" outlineLevel="0" collapsed="false">
      <c r="A86" s="3" t="s">
        <v>107</v>
      </c>
      <c r="B86" s="4" t="s">
        <v>161</v>
      </c>
      <c r="C86" s="19" t="n">
        <f aca="false">IF(C$77=0,0,Demanda!J31/C$77)</f>
        <v>0.292836538461538</v>
      </c>
      <c r="D86" s="19" t="n">
        <f aca="false">IF(D$77=0,0,Demanda!K31/D$77)</f>
        <v>0.0330803571428571</v>
      </c>
      <c r="E86" s="19" t="n">
        <f aca="false">IF(E$77=0,0,Demanda!L31/E$77)</f>
        <v>0.373185941043084</v>
      </c>
      <c r="F86" s="19" t="n">
        <f aca="false">IF(F$77=0,0,Demanda!M31/F$77)</f>
        <v>0.0478809523809524</v>
      </c>
      <c r="G86" s="19" t="n">
        <f aca="false">IF($G$103=0,0,Demanda!T31/$G$103)</f>
        <v>0.746983789028432</v>
      </c>
    </row>
    <row r="87" customFormat="false" ht="15" hidden="false" customHeight="false" outlineLevel="0" collapsed="false">
      <c r="A87" s="3" t="s">
        <v>108</v>
      </c>
      <c r="B87" s="4" t="s">
        <v>161</v>
      </c>
      <c r="C87" s="19" t="n">
        <f aca="false">IF(C$77=0,0,Demanda!J32/C$77)</f>
        <v>0.292836538461538</v>
      </c>
      <c r="D87" s="19" t="n">
        <f aca="false">IF(D$77=0,0,Demanda!K32/D$77)</f>
        <v>0.0330803571428571</v>
      </c>
      <c r="E87" s="19" t="n">
        <f aca="false">IF(E$77=0,0,Demanda!L32/E$77)</f>
        <v>0.373185941043084</v>
      </c>
      <c r="F87" s="19" t="n">
        <f aca="false">IF(F$77=0,0,Demanda!M32/F$77)</f>
        <v>0.0478809523809524</v>
      </c>
      <c r="G87" s="19" t="n">
        <f aca="false">IF($G$103=0,0,Demanda!T32/$G$103)</f>
        <v>0.746983789028432</v>
      </c>
    </row>
    <row r="88" customFormat="false" ht="15" hidden="false" customHeight="false" outlineLevel="0" collapsed="false">
      <c r="A88" s="3" t="s">
        <v>109</v>
      </c>
      <c r="B88" s="4" t="s">
        <v>161</v>
      </c>
      <c r="C88" s="19" t="n">
        <f aca="false">IF(C$77=0,0,Demanda!J33/C$77)</f>
        <v>0.292836538461538</v>
      </c>
      <c r="D88" s="19" t="n">
        <f aca="false">IF(D$77=0,0,Demanda!K33/D$77)</f>
        <v>0.0310128348214286</v>
      </c>
      <c r="E88" s="19" t="n">
        <f aca="false">IF(E$77=0,0,Demanda!L33/E$77)</f>
        <v>0.349861819727891</v>
      </c>
      <c r="F88" s="19" t="n">
        <f aca="false">IF(F$77=0,0,Demanda!M33/F$77)</f>
        <v>0.0448883928571429</v>
      </c>
      <c r="G88" s="19" t="n">
        <f aca="false">IF($G$103=0,0,Demanda!T33/$G$103)</f>
        <v>0.718599585868001</v>
      </c>
    </row>
    <row r="89" customFormat="false" ht="15" hidden="false" customHeight="false" outlineLevel="0" collapsed="false">
      <c r="A89" s="3" t="s">
        <v>110</v>
      </c>
      <c r="B89" s="4" t="s">
        <v>161</v>
      </c>
      <c r="C89" s="19" t="n">
        <f aca="false">IF(C$77=0,0,Demanda!J34/C$77)</f>
        <v>0.292836538461538</v>
      </c>
      <c r="D89" s="19" t="n">
        <f aca="false">IF(D$77=0,0,Demanda!K34/D$77)</f>
        <v>0.0289453125</v>
      </c>
      <c r="E89" s="19" t="n">
        <f aca="false">IF(E$77=0,0,Demanda!L34/E$77)</f>
        <v>0.326537698412698</v>
      </c>
      <c r="F89" s="19" t="n">
        <f aca="false">IF(F$77=0,0,Demanda!M34/F$77)</f>
        <v>0.0418958333333333</v>
      </c>
      <c r="G89" s="19" t="n">
        <f aca="false">IF($G$103=0,0,Demanda!T34/$G$103)</f>
        <v>0.69021538270757</v>
      </c>
    </row>
    <row r="90" customFormat="false" ht="15" hidden="false" customHeight="false" outlineLevel="0" collapsed="false">
      <c r="A90" s="3" t="s">
        <v>111</v>
      </c>
      <c r="B90" s="4" t="s">
        <v>161</v>
      </c>
      <c r="C90" s="19" t="n">
        <f aca="false">IF(C$77=0,0,Demanda!J35/C$77)</f>
        <v>0.468538461538462</v>
      </c>
      <c r="D90" s="19" t="n">
        <f aca="false">IF(D$77=0,0,Demanda!K35/D$77)</f>
        <v>0.0454854910714286</v>
      </c>
      <c r="E90" s="19" t="n">
        <f aca="false">IF(E$77=0,0,Demanda!L35/E$77)</f>
        <v>0.51313066893424</v>
      </c>
      <c r="F90" s="19" t="n">
        <f aca="false">IF(F$77=0,0,Demanda!M35/F$77)</f>
        <v>0.0658363095238095</v>
      </c>
      <c r="G90" s="19" t="n">
        <f aca="false">IF($G$103=0,0,Demanda!T35/$G$103)</f>
        <v>1.09299093106794</v>
      </c>
    </row>
    <row r="91" customFormat="false" ht="15" hidden="false" customHeight="false" outlineLevel="0" collapsed="false">
      <c r="A91" s="12" t="s">
        <v>162</v>
      </c>
      <c r="B91" s="4" t="s">
        <v>161</v>
      </c>
      <c r="C91" s="21" t="n">
        <f aca="false">MAX(C79:C90)</f>
        <v>0.468538461538462</v>
      </c>
      <c r="D91" s="21" t="n">
        <f aca="false">MAX(D79:D90)</f>
        <v>0.0454854910714286</v>
      </c>
      <c r="E91" s="21" t="n">
        <f aca="false">MAX(E79:E90)</f>
        <v>0.51313066893424</v>
      </c>
      <c r="F91" s="21" t="n">
        <f aca="false">MAX(F79:F90)</f>
        <v>0.0658363095238095</v>
      </c>
      <c r="G91" s="21" t="n">
        <f aca="false">MAX(G79:G90)</f>
        <v>1.09299093106794</v>
      </c>
    </row>
    <row r="92" customFormat="false" ht="15" hidden="false" customHeight="false" outlineLevel="0" collapsed="false">
      <c r="A92" s="12" t="s">
        <v>163</v>
      </c>
      <c r="B92" s="4"/>
      <c r="C92" s="22" t="str">
        <f aca="false">IF(C91=0,"-",IF(C91&gt;=1,ROUNDUP(C91*Datos!$C$4,0)&amp;" por mes",IF(INT(1/C91)=1,"1 por semana","1 cada "&amp;INT(1/C91)&amp;" semanas")))</f>
        <v>1 cada 2 semanas</v>
      </c>
      <c r="D92" s="22" t="str">
        <f aca="false">IF(D91=0,"-",IF(D91&gt;=1,ROUNDUP(D91*Datos!$C$4,0)&amp;" por mes",IF(INT(1/D91)=1,"1 por semana","1 cada "&amp;INT(1/D91)&amp;" semanas")))</f>
        <v>1 cada 21 semanas</v>
      </c>
      <c r="E92" s="22" t="str">
        <f aca="false">IF(E91=0,"-",IF(E91&gt;=1,ROUNDUP(E91*Datos!$C$4,0)&amp;" por mes",IF(INT(1/E91)=1,"1 por semana","1 cada "&amp;INT(1/E91)&amp;" semanas")))</f>
        <v>1 por semana</v>
      </c>
      <c r="F92" s="22" t="str">
        <f aca="false">IF(F91=0,"-",IF(F91&gt;=1,ROUNDUP(F91*Datos!$C$4,0)&amp;" por mes",IF(INT(1/F91)=1,"1 por semana","1 cada "&amp;INT(1/F91)&amp;" semanas")))</f>
        <v>1 cada 15 semanas</v>
      </c>
      <c r="G92" s="22" t="str">
        <f aca="false">IF(G91=0,"-",IF(G91&gt;=1,ROUNDUP(G91*Datos!$C$4,0)&amp;" por mes",IF(INT(1/G91)=1,"1 por semana","1 cada "&amp;INT(1/G91)&amp;" semanas")))</f>
        <v>5 por mes</v>
      </c>
    </row>
    <row r="93" customFormat="false" ht="15" hidden="false" customHeight="false" outlineLevel="0" collapsed="false">
      <c r="A93" s="3" t="s">
        <v>164</v>
      </c>
      <c r="B93" s="4" t="s">
        <v>165</v>
      </c>
      <c r="C93" s="15" t="n">
        <f aca="false">IF(C91=0,0,IF(C91&gt;=1,C91*Datos!$C$4/ROUNDUP(C91*Datos!$C$4,0),C91*INT(1/C91)))</f>
        <v>0.937076923076923</v>
      </c>
      <c r="D93" s="15" t="n">
        <f aca="false">IF(D91=0,0,IF(D91&gt;=1,D91*Datos!$C$4/ROUNDUP(D91*Datos!$C$4,0),D91*INT(1/D91)))</f>
        <v>0.9551953125</v>
      </c>
      <c r="E93" s="15" t="n">
        <f aca="false">IF(E91=0,0,IF(E91&gt;=1,E91*Datos!$C$4/ROUNDUP(E91*Datos!$C$4,0),E91*INT(1/E91)))</f>
        <v>0.51313066893424</v>
      </c>
      <c r="F93" s="15" t="n">
        <f aca="false">IF(F91=0,0,IF(F91&gt;=1,F91*Datos!$C$4/ROUNDUP(F91*Datos!$C$4,0),F91*INT(1/F91)))</f>
        <v>0.987544642857143</v>
      </c>
      <c r="G93" s="15" t="n">
        <f aca="false">IF(G91=0,0,IF(G91&gt;=1,G91*Datos!$C$4/ROUNDUP(G91*Datos!$C$4,0),G91*INT(1/G91)))</f>
        <v>0.874392744854352</v>
      </c>
    </row>
    <row r="95" customFormat="false" ht="15" hidden="false" customHeight="false" outlineLevel="0" collapsed="false">
      <c r="A95" s="1" t="s">
        <v>166</v>
      </c>
    </row>
    <row r="96" customFormat="false" ht="15" hidden="false" customHeight="false" outlineLevel="0" collapsed="false">
      <c r="A96" s="2"/>
      <c r="B96" s="2" t="s">
        <v>2</v>
      </c>
      <c r="C96" s="2" t="s">
        <v>27</v>
      </c>
      <c r="D96" s="2" t="s">
        <v>28</v>
      </c>
      <c r="E96" s="2" t="s">
        <v>29</v>
      </c>
      <c r="F96" s="2" t="s">
        <v>30</v>
      </c>
      <c r="G96" s="2" t="s">
        <v>112</v>
      </c>
    </row>
    <row r="97" customFormat="false" ht="15" hidden="false" customHeight="false" outlineLevel="0" collapsed="false">
      <c r="A97" s="3" t="s">
        <v>162</v>
      </c>
      <c r="B97" s="4"/>
      <c r="C97" s="4" t="str">
        <f aca="false">INDEX(Demanda!$A$24:$A$35,MATCH(MAX(Demanda!$T$24:$T$35),Demanda!$T$24:$T$35,0))</f>
        <v>Dic</v>
      </c>
    </row>
    <row r="98" customFormat="false" ht="15" hidden="false" customHeight="false" outlineLevel="0" collapsed="false">
      <c r="A98" s="3" t="s">
        <v>167</v>
      </c>
      <c r="B98" s="4" t="s">
        <v>32</v>
      </c>
      <c r="C98" s="16" t="n">
        <f aca="false">INDEX(Demanda!J$24:J$35,MATCH(MAX(Demanda!$T$24:$T$35),Demanda!$T$24:$T$35,0))*Datos!$C$4</f>
        <v>20465.76</v>
      </c>
      <c r="D98" s="16" t="n">
        <f aca="false">INDEX(Demanda!K$24:K$35,MATCH(MAX(Demanda!$T$24:$T$35),Demanda!$T$24:$T$35,0))*Datos!$C$4</f>
        <v>733.59</v>
      </c>
      <c r="E98" s="16" t="n">
        <f aca="false">INDEX(Demanda!L$24:L$35,MATCH(MAX(Demanda!$T$24:$T$35),Demanda!$T$24:$T$35,0))*Datos!$C$4</f>
        <v>3620.65</v>
      </c>
      <c r="F98" s="16" t="n">
        <f aca="false">INDEX(Demanda!M$24:M$35,MATCH(MAX(Demanda!$T$24:$T$35),Demanda!$T$24:$T$35,0))*Datos!$C$4</f>
        <v>221.21</v>
      </c>
      <c r="G98" s="16" t="n">
        <f aca="false">SUM(C98:F98)</f>
        <v>25041.21</v>
      </c>
    </row>
    <row r="99" customFormat="false" ht="15" hidden="false" customHeight="false" outlineLevel="0" collapsed="false">
      <c r="A99" s="3" t="s">
        <v>157</v>
      </c>
      <c r="B99" s="4" t="s">
        <v>32</v>
      </c>
      <c r="C99" s="16" t="n">
        <f aca="false">Pallet!C23</f>
        <v>780</v>
      </c>
      <c r="D99" s="16" t="n">
        <f aca="false">Pallet!D23</f>
        <v>288</v>
      </c>
      <c r="E99" s="16" t="n">
        <f aca="false">Pallet!E23</f>
        <v>126</v>
      </c>
      <c r="F99" s="16" t="n">
        <f aca="false">Pallet!F23</f>
        <v>60</v>
      </c>
    </row>
    <row r="100" customFormat="false" ht="15" hidden="false" customHeight="false" outlineLevel="0" collapsed="false">
      <c r="A100" s="3" t="s">
        <v>168</v>
      </c>
      <c r="B100" s="4" t="s">
        <v>169</v>
      </c>
      <c r="C100" s="17" t="n">
        <f aca="false">IF(C99=0,0,C98/C99)</f>
        <v>26.2381538461538</v>
      </c>
      <c r="D100" s="17" t="n">
        <f aca="false">IF(D99=0,0,D98/D99)</f>
        <v>2.5471875</v>
      </c>
      <c r="E100" s="17" t="n">
        <f aca="false">IF(E99=0,0,E98/E99)</f>
        <v>28.7353174603175</v>
      </c>
      <c r="F100" s="17" t="n">
        <f aca="false">IF(F99=0,0,F98/F99)</f>
        <v>3.68683333333333</v>
      </c>
      <c r="G100" s="17" t="n">
        <f aca="false">SUM(C100:F100)</f>
        <v>61.2074921398046</v>
      </c>
    </row>
    <row r="101" customFormat="false" ht="15" hidden="false" customHeight="false" outlineLevel="0" collapsed="false">
      <c r="A101" s="3" t="s">
        <v>170</v>
      </c>
      <c r="B101" s="4" t="s">
        <v>165</v>
      </c>
      <c r="C101" s="15" t="n">
        <f aca="false">IF($G100=0,0,C100/$G100)</f>
        <v>0.428675525313519</v>
      </c>
      <c r="D101" s="15" t="n">
        <f aca="false">IF($G100=0,0,D100/$G100)</f>
        <v>0.0416156161762345</v>
      </c>
      <c r="E101" s="15" t="n">
        <f aca="false">IF($G100=0,0,E100/$G100)</f>
        <v>0.469473857786606</v>
      </c>
      <c r="F101" s="15" t="n">
        <f aca="false">IF($G100=0,0,F100/$G100)</f>
        <v>0.0602350007236402</v>
      </c>
      <c r="G101" s="15" t="n">
        <f aca="false">SUM(C101:F101)</f>
        <v>1</v>
      </c>
    </row>
    <row r="102" customFormat="false" ht="15" hidden="false" customHeight="false" outlineLevel="0" collapsed="false">
      <c r="A102" s="3" t="s">
        <v>171</v>
      </c>
      <c r="B102" s="4" t="s">
        <v>169</v>
      </c>
      <c r="C102" s="17" t="n">
        <f aca="false">C101*$G$103</f>
        <v>6.00145735438927</v>
      </c>
      <c r="D102" s="17" t="n">
        <f aca="false">D101*$G$103</f>
        <v>0.582618626467283</v>
      </c>
      <c r="E102" s="17" t="n">
        <f aca="false">E101*$G$103</f>
        <v>6.57263400901249</v>
      </c>
      <c r="F102" s="17" t="n">
        <f aca="false">F101*$G$103</f>
        <v>0.843290010130963</v>
      </c>
      <c r="G102" s="17" t="n">
        <f aca="false">SUM(C102:F102)</f>
        <v>14</v>
      </c>
    </row>
    <row r="103" customFormat="false" ht="15" hidden="false" customHeight="false" outlineLevel="0" collapsed="false">
      <c r="A103" s="12" t="s">
        <v>172</v>
      </c>
      <c r="B103" s="4" t="s">
        <v>169</v>
      </c>
      <c r="C103" s="13" t="n">
        <f aca="false">ROUND(SUM($C101:C101)*$G103,0)</f>
        <v>6</v>
      </c>
      <c r="D103" s="13" t="n">
        <f aca="false">ROUND(SUM($C101:D101)*$G103,0)-ROUND(SUM($C101:C101)*$G103,0)</f>
        <v>1</v>
      </c>
      <c r="E103" s="13" t="n">
        <f aca="false">ROUND(SUM($C101:E101)*$G103,0)-ROUND(SUM($C101:D101)*$G103,0)</f>
        <v>6</v>
      </c>
      <c r="F103" s="13" t="n">
        <f aca="false">ROUND(SUM($C101:F101)*$G103,0)-ROUND(SUM($C101:E101)*$G103,0)</f>
        <v>1</v>
      </c>
      <c r="G103" s="13" t="n">
        <f aca="false">IF(G100=0,0,MIN(Camion!$C$5,INT(Datos!$C$42/(C101*Pallet!C24+D101*Pallet!D24+E101*Pallet!E24+F101*Pallet!F24))))</f>
        <v>14</v>
      </c>
    </row>
    <row r="104" customFormat="false" ht="15" hidden="false" customHeight="false" outlineLevel="0" collapsed="false">
      <c r="A104" s="3" t="s">
        <v>173</v>
      </c>
      <c r="B104" s="4" t="s">
        <v>32</v>
      </c>
      <c r="C104" s="16" t="n">
        <f aca="false">C103*Pallet!C23</f>
        <v>4680</v>
      </c>
      <c r="D104" s="16" t="n">
        <f aca="false">D103*Pallet!D23</f>
        <v>288</v>
      </c>
      <c r="E104" s="16" t="n">
        <f aca="false">E103*Pallet!E23</f>
        <v>756</v>
      </c>
      <c r="F104" s="16" t="n">
        <f aca="false">F103*Pallet!F23</f>
        <v>60</v>
      </c>
      <c r="G104" s="16" t="n">
        <f aca="false">SUM(C104:F104)</f>
        <v>5784</v>
      </c>
    </row>
    <row r="105" customFormat="false" ht="15" hidden="false" customHeight="false" outlineLevel="0" collapsed="false">
      <c r="A105" s="3" t="s">
        <v>174</v>
      </c>
      <c r="B105" s="4" t="s">
        <v>18</v>
      </c>
      <c r="C105" s="16" t="n">
        <f aca="false">C103*Pallet!C24</f>
        <v>3784.8</v>
      </c>
      <c r="D105" s="16" t="n">
        <f aca="false">D103*Pallet!D24</f>
        <v>464.24</v>
      </c>
      <c r="E105" s="16" t="n">
        <f aca="false">E103*Pallet!E24</f>
        <v>2326.08</v>
      </c>
      <c r="F105" s="16" t="n">
        <f aca="false">F103*Pallet!F24</f>
        <v>365.6</v>
      </c>
      <c r="G105" s="16" t="n">
        <f aca="false">SUM(C105:F105)</f>
        <v>6940.72</v>
      </c>
    </row>
    <row r="106" customFormat="false" ht="15" hidden="false" customHeight="false" outlineLevel="0" collapsed="false">
      <c r="A106" s="12" t="s">
        <v>175</v>
      </c>
      <c r="B106" s="4" t="s">
        <v>161</v>
      </c>
      <c r="C106" s="23"/>
      <c r="D106" s="23"/>
      <c r="E106" s="23"/>
      <c r="F106" s="23"/>
      <c r="G106" s="18" t="n">
        <f aca="false">IF(G103=0,0,G100/G103)</f>
        <v>4.37196372427176</v>
      </c>
    </row>
    <row r="109" customFormat="false" ht="15" hidden="false" customHeight="false" outlineLevel="0" collapsed="false">
      <c r="A109" s="1" t="s">
        <v>190</v>
      </c>
    </row>
    <row r="110" customFormat="false" ht="15" hidden="false" customHeight="false" outlineLevel="0" collapsed="false">
      <c r="A110" s="2"/>
      <c r="B110" s="2" t="s">
        <v>2</v>
      </c>
      <c r="C110" s="2" t="s">
        <v>177</v>
      </c>
      <c r="D110" s="2" t="s">
        <v>178</v>
      </c>
      <c r="E110" s="2" t="s">
        <v>179</v>
      </c>
      <c r="F110" s="2" t="s">
        <v>180</v>
      </c>
      <c r="G110" s="2" t="s">
        <v>181</v>
      </c>
    </row>
    <row r="111" customFormat="false" ht="15" hidden="false" customHeight="false" outlineLevel="0" collapsed="false">
      <c r="A111" s="3" t="s">
        <v>157</v>
      </c>
      <c r="B111" s="4" t="s">
        <v>32</v>
      </c>
      <c r="C111" s="16" t="n">
        <f aca="false">Pallet!G23</f>
        <v>24</v>
      </c>
      <c r="D111" s="16" t="n">
        <f aca="false">Pallet!H23</f>
        <v>9</v>
      </c>
      <c r="E111" s="16" t="n">
        <f aca="false">Pallet!I23</f>
        <v>6</v>
      </c>
      <c r="F111" s="16" t="n">
        <f aca="false">Pallet!J23</f>
        <v>6</v>
      </c>
      <c r="G111" s="20" t="s">
        <v>158</v>
      </c>
    </row>
    <row r="112" customFormat="false" ht="15" hidden="false" customHeight="false" outlineLevel="0" collapsed="false">
      <c r="A112" s="3" t="s">
        <v>132</v>
      </c>
      <c r="B112" s="4" t="s">
        <v>18</v>
      </c>
      <c r="C112" s="16" t="n">
        <f aca="false">Pallet!G24</f>
        <v>418.88</v>
      </c>
      <c r="D112" s="16" t="n">
        <f aca="false">Pallet!H24</f>
        <v>245.9</v>
      </c>
      <c r="E112" s="16" t="n">
        <f aca="false">Pallet!I24</f>
        <v>317.37057704</v>
      </c>
      <c r="F112" s="16" t="n">
        <f aca="false">Pallet!J24</f>
        <v>377.27790434</v>
      </c>
      <c r="G112" s="20" t="s">
        <v>158</v>
      </c>
    </row>
    <row r="113" customFormat="false" ht="15" hidden="false" customHeight="false" outlineLevel="0" collapsed="false">
      <c r="A113" s="12" t="s">
        <v>142</v>
      </c>
      <c r="B113" s="4" t="s">
        <v>32</v>
      </c>
      <c r="C113" s="13" t="n">
        <f aca="false">IF(C112=0,0,MIN(Camion!$C$5,INT(Datos!$C$42/C112)))</f>
        <v>14</v>
      </c>
      <c r="D113" s="13" t="n">
        <f aca="false">IF(D112=0,0,MIN(Camion!$C$5,INT(Datos!$C$42/D112)))</f>
        <v>14</v>
      </c>
      <c r="E113" s="13" t="n">
        <f aca="false">IF(E112=0,0,MIN(Camion!$C$5,INT(Datos!$C$42/E112)))</f>
        <v>14</v>
      </c>
      <c r="F113" s="13" t="n">
        <f aca="false">IF(F112=0,0,MIN(Camion!$C$5,INT(Datos!$C$42/F112)))</f>
        <v>14</v>
      </c>
      <c r="G113" s="13" t="n">
        <f aca="false">$G$140</f>
        <v>14</v>
      </c>
    </row>
    <row r="114" customFormat="false" ht="15" hidden="false" customHeight="false" outlineLevel="0" collapsed="false">
      <c r="A114" s="12" t="s">
        <v>159</v>
      </c>
      <c r="B114" s="4" t="s">
        <v>32</v>
      </c>
      <c r="C114" s="13" t="n">
        <f aca="false">C113*C111</f>
        <v>336</v>
      </c>
      <c r="D114" s="13" t="n">
        <f aca="false">D113*D111</f>
        <v>126</v>
      </c>
      <c r="E114" s="13" t="n">
        <f aca="false">E113*E111</f>
        <v>84</v>
      </c>
      <c r="F114" s="13" t="n">
        <f aca="false">F113*F111</f>
        <v>84</v>
      </c>
      <c r="G114" s="13" t="n">
        <f aca="false">$G$141</f>
        <v>129</v>
      </c>
    </row>
    <row r="115" customFormat="false" ht="15" hidden="false" customHeight="false" outlineLevel="0" collapsed="false">
      <c r="A115" s="12" t="s">
        <v>160</v>
      </c>
    </row>
    <row r="116" customFormat="false" ht="15" hidden="false" customHeight="false" outlineLevel="0" collapsed="false">
      <c r="A116" s="3" t="s">
        <v>100</v>
      </c>
      <c r="B116" s="4" t="s">
        <v>161</v>
      </c>
      <c r="C116" s="19" t="n">
        <f aca="false">IF(C$114=0,0,Demanda!N24/C$114)</f>
        <v>0.0203645833333333</v>
      </c>
      <c r="D116" s="19" t="n">
        <f aca="false">IF(D$114=0,0,Demanda!O24/D$114)</f>
        <v>0.119404761904762</v>
      </c>
      <c r="E116" s="19" t="n">
        <f aca="false">IF(E$114=0,0,Demanda!P24/E$114)</f>
        <v>0.0392113095238095</v>
      </c>
      <c r="F116" s="19" t="n">
        <f aca="false">IF(F$114=0,0,Demanda!Q24/F$114)</f>
        <v>0.0258035714285714</v>
      </c>
      <c r="G116" s="19" t="n">
        <f aca="false">IF($G$140=0,0,Demanda!U24/$G$140)</f>
        <v>0.204784226190476</v>
      </c>
    </row>
    <row r="117" customFormat="false" ht="15" hidden="false" customHeight="false" outlineLevel="0" collapsed="false">
      <c r="A117" s="3" t="s">
        <v>101</v>
      </c>
      <c r="B117" s="4" t="s">
        <v>161</v>
      </c>
      <c r="C117" s="19" t="n">
        <f aca="false">IF(C$114=0,0,Demanda!N25/C$114)</f>
        <v>0.01796875</v>
      </c>
      <c r="D117" s="19" t="n">
        <f aca="false">IF(D$114=0,0,Demanda!O25/D$114)</f>
        <v>0.105357142857143</v>
      </c>
      <c r="E117" s="19" t="n">
        <f aca="false">IF(E$114=0,0,Demanda!P25/E$114)</f>
        <v>0.0345982142857143</v>
      </c>
      <c r="F117" s="19" t="n">
        <f aca="false">IF(F$114=0,0,Demanda!Q25/F$114)</f>
        <v>0.0227678571428571</v>
      </c>
      <c r="G117" s="19" t="n">
        <f aca="false">IF($G$140=0,0,Demanda!U25/$G$140)</f>
        <v>0.180691964285714</v>
      </c>
    </row>
    <row r="118" customFormat="false" ht="15" hidden="false" customHeight="false" outlineLevel="0" collapsed="false">
      <c r="A118" s="3" t="s">
        <v>102</v>
      </c>
      <c r="B118" s="4" t="s">
        <v>161</v>
      </c>
      <c r="C118" s="19" t="n">
        <f aca="false">IF(C$114=0,0,Demanda!N26/C$114)</f>
        <v>0.0215625</v>
      </c>
      <c r="D118" s="19" t="n">
        <f aca="false">IF(D$114=0,0,Demanda!O26/D$114)</f>
        <v>0.126428571428571</v>
      </c>
      <c r="E118" s="19" t="n">
        <f aca="false">IF(E$114=0,0,Demanda!P26/E$114)</f>
        <v>0.0415178571428571</v>
      </c>
      <c r="F118" s="19" t="n">
        <f aca="false">IF(F$114=0,0,Demanda!Q26/F$114)</f>
        <v>0.0273214285714286</v>
      </c>
      <c r="G118" s="19" t="n">
        <f aca="false">IF($G$140=0,0,Demanda!U26/$G$140)</f>
        <v>0.216830357142857</v>
      </c>
    </row>
    <row r="119" customFormat="false" ht="15" hidden="false" customHeight="false" outlineLevel="0" collapsed="false">
      <c r="A119" s="3" t="s">
        <v>103</v>
      </c>
      <c r="B119" s="4" t="s">
        <v>161</v>
      </c>
      <c r="C119" s="19" t="n">
        <f aca="false">IF(C$114=0,0,Demanda!N27/C$114)</f>
        <v>0.0215625</v>
      </c>
      <c r="D119" s="19" t="n">
        <f aca="false">IF(D$114=0,0,Demanda!O27/D$114)</f>
        <v>0.126428571428571</v>
      </c>
      <c r="E119" s="19" t="n">
        <f aca="false">IF(E$114=0,0,Demanda!P27/E$114)</f>
        <v>0.0415178571428571</v>
      </c>
      <c r="F119" s="19" t="n">
        <f aca="false">IF(F$114=0,0,Demanda!Q27/F$114)</f>
        <v>0.0273214285714286</v>
      </c>
      <c r="G119" s="19" t="n">
        <f aca="false">IF($G$140=0,0,Demanda!U27/$G$140)</f>
        <v>0.216830357142857</v>
      </c>
    </row>
    <row r="120" customFormat="false" ht="15" hidden="false" customHeight="false" outlineLevel="0" collapsed="false">
      <c r="A120" s="3" t="s">
        <v>104</v>
      </c>
      <c r="B120" s="4" t="s">
        <v>161</v>
      </c>
      <c r="C120" s="19" t="n">
        <f aca="false">IF(C$114=0,0,Demanda!N28/C$114)</f>
        <v>0.0215625</v>
      </c>
      <c r="D120" s="19" t="n">
        <f aca="false">IF(D$114=0,0,Demanda!O28/D$114)</f>
        <v>0.126428571428571</v>
      </c>
      <c r="E120" s="19" t="n">
        <f aca="false">IF(E$114=0,0,Demanda!P28/E$114)</f>
        <v>0.0415178571428571</v>
      </c>
      <c r="F120" s="19" t="n">
        <f aca="false">IF(F$114=0,0,Demanda!Q28/F$114)</f>
        <v>0.0273214285714286</v>
      </c>
      <c r="G120" s="19" t="n">
        <f aca="false">IF($G$140=0,0,Demanda!U28/$G$140)</f>
        <v>0.216830357142857</v>
      </c>
    </row>
    <row r="121" customFormat="false" ht="15" hidden="false" customHeight="false" outlineLevel="0" collapsed="false">
      <c r="A121" s="3" t="s">
        <v>105</v>
      </c>
      <c r="B121" s="4" t="s">
        <v>161</v>
      </c>
      <c r="C121" s="19" t="n">
        <f aca="false">IF(C$114=0,0,Demanda!N29/C$114)</f>
        <v>0.0191666666666667</v>
      </c>
      <c r="D121" s="19" t="n">
        <f aca="false">IF(D$114=0,0,Demanda!O29/D$114)</f>
        <v>0.112380952380952</v>
      </c>
      <c r="E121" s="19" t="n">
        <f aca="false">IF(E$114=0,0,Demanda!P29/E$114)</f>
        <v>0.0369047619047619</v>
      </c>
      <c r="F121" s="19" t="n">
        <f aca="false">IF(F$114=0,0,Demanda!Q29/F$114)</f>
        <v>0.0242857142857143</v>
      </c>
      <c r="G121" s="19" t="n">
        <f aca="false">IF($G$140=0,0,Demanda!U29/$G$140)</f>
        <v>0.192738095238095</v>
      </c>
    </row>
    <row r="122" customFormat="false" ht="15" hidden="false" customHeight="false" outlineLevel="0" collapsed="false">
      <c r="A122" s="3" t="s">
        <v>106</v>
      </c>
      <c r="B122" s="4" t="s">
        <v>161</v>
      </c>
      <c r="C122" s="19" t="n">
        <f aca="false">IF(C$114=0,0,Demanda!N30/C$114)</f>
        <v>0.0215625</v>
      </c>
      <c r="D122" s="19" t="n">
        <f aca="false">IF(D$114=0,0,Demanda!O30/D$114)</f>
        <v>0.126428571428571</v>
      </c>
      <c r="E122" s="19" t="n">
        <f aca="false">IF(E$114=0,0,Demanda!P30/E$114)</f>
        <v>0.0415178571428571</v>
      </c>
      <c r="F122" s="19" t="n">
        <f aca="false">IF(F$114=0,0,Demanda!Q30/F$114)</f>
        <v>0.0273214285714286</v>
      </c>
      <c r="G122" s="19" t="n">
        <f aca="false">IF($G$140=0,0,Demanda!U30/$G$140)</f>
        <v>0.216830357142857</v>
      </c>
    </row>
    <row r="123" customFormat="false" ht="15" hidden="false" customHeight="false" outlineLevel="0" collapsed="false">
      <c r="A123" s="3" t="s">
        <v>107</v>
      </c>
      <c r="B123" s="4" t="s">
        <v>161</v>
      </c>
      <c r="C123" s="19" t="n">
        <f aca="false">IF(C$114=0,0,Demanda!N31/C$114)</f>
        <v>0.0215625</v>
      </c>
      <c r="D123" s="19" t="n">
        <f aca="false">IF(D$114=0,0,Demanda!O31/D$114)</f>
        <v>0.126428571428571</v>
      </c>
      <c r="E123" s="19" t="n">
        <f aca="false">IF(E$114=0,0,Demanda!P31/E$114)</f>
        <v>0.0415178571428571</v>
      </c>
      <c r="F123" s="19" t="n">
        <f aca="false">IF(F$114=0,0,Demanda!Q31/F$114)</f>
        <v>0.0273214285714286</v>
      </c>
      <c r="G123" s="19" t="n">
        <f aca="false">IF($G$140=0,0,Demanda!U31/$G$140)</f>
        <v>0.216830357142857</v>
      </c>
    </row>
    <row r="124" customFormat="false" ht="15" hidden="false" customHeight="false" outlineLevel="0" collapsed="false">
      <c r="A124" s="3" t="s">
        <v>108</v>
      </c>
      <c r="B124" s="4" t="s">
        <v>161</v>
      </c>
      <c r="C124" s="19" t="n">
        <f aca="false">IF(C$114=0,0,Demanda!N32/C$114)</f>
        <v>0.0203645833333333</v>
      </c>
      <c r="D124" s="19" t="n">
        <f aca="false">IF(D$114=0,0,Demanda!O32/D$114)</f>
        <v>0.119404761904762</v>
      </c>
      <c r="E124" s="19" t="n">
        <f aca="false">IF(E$114=0,0,Demanda!P32/E$114)</f>
        <v>0.0392113095238095</v>
      </c>
      <c r="F124" s="19" t="n">
        <f aca="false">IF(F$114=0,0,Demanda!Q32/F$114)</f>
        <v>0.0258035714285714</v>
      </c>
      <c r="G124" s="19" t="n">
        <f aca="false">IF($G$140=0,0,Demanda!U32/$G$140)</f>
        <v>0.204784226190476</v>
      </c>
    </row>
    <row r="125" customFormat="false" ht="15" hidden="false" customHeight="false" outlineLevel="0" collapsed="false">
      <c r="A125" s="3" t="s">
        <v>109</v>
      </c>
      <c r="B125" s="4" t="s">
        <v>161</v>
      </c>
      <c r="C125" s="19" t="n">
        <f aca="false">IF(C$114=0,0,Demanda!N33/C$114)</f>
        <v>0.01796875</v>
      </c>
      <c r="D125" s="19" t="n">
        <f aca="false">IF(D$114=0,0,Demanda!O33/D$114)</f>
        <v>0.105357142857143</v>
      </c>
      <c r="E125" s="19" t="n">
        <f aca="false">IF(E$114=0,0,Demanda!P33/E$114)</f>
        <v>0.0345982142857143</v>
      </c>
      <c r="F125" s="19" t="n">
        <f aca="false">IF(F$114=0,0,Demanda!Q33/F$114)</f>
        <v>0.0227678571428571</v>
      </c>
      <c r="G125" s="19" t="n">
        <f aca="false">IF($G$140=0,0,Demanda!U33/$G$140)</f>
        <v>0.180691964285714</v>
      </c>
    </row>
    <row r="126" customFormat="false" ht="15" hidden="false" customHeight="false" outlineLevel="0" collapsed="false">
      <c r="A126" s="3" t="s">
        <v>110</v>
      </c>
      <c r="B126" s="4" t="s">
        <v>161</v>
      </c>
      <c r="C126" s="19" t="n">
        <f aca="false">IF(C$114=0,0,Demanda!N34/C$114)</f>
        <v>0.0167708333333333</v>
      </c>
      <c r="D126" s="19" t="n">
        <f aca="false">IF(D$114=0,0,Demanda!O34/D$114)</f>
        <v>0.0983333333333333</v>
      </c>
      <c r="E126" s="19" t="n">
        <f aca="false">IF(E$114=0,0,Demanda!P34/E$114)</f>
        <v>0.0322916666666667</v>
      </c>
      <c r="F126" s="19" t="n">
        <f aca="false">IF(F$114=0,0,Demanda!Q34/F$114)</f>
        <v>0.02125</v>
      </c>
      <c r="G126" s="19" t="n">
        <f aca="false">IF($G$140=0,0,Demanda!U34/$G$140)</f>
        <v>0.168645833333333</v>
      </c>
    </row>
    <row r="127" customFormat="false" ht="15" hidden="false" customHeight="false" outlineLevel="0" collapsed="false">
      <c r="A127" s="3" t="s">
        <v>111</v>
      </c>
      <c r="B127" s="4" t="s">
        <v>161</v>
      </c>
      <c r="C127" s="19" t="n">
        <f aca="false">IF(C$114=0,0,Demanda!N35/C$114)</f>
        <v>0.0191666666666667</v>
      </c>
      <c r="D127" s="19" t="n">
        <f aca="false">IF(D$114=0,0,Demanda!O35/D$114)</f>
        <v>0.112380952380952</v>
      </c>
      <c r="E127" s="19" t="n">
        <f aca="false">IF(E$114=0,0,Demanda!P35/E$114)</f>
        <v>0.0369047619047619</v>
      </c>
      <c r="F127" s="19" t="n">
        <f aca="false">IF(F$114=0,0,Demanda!Q35/F$114)</f>
        <v>0.0242857142857143</v>
      </c>
      <c r="G127" s="19" t="n">
        <f aca="false">IF($G$140=0,0,Demanda!U35/$G$140)</f>
        <v>0.192738095238095</v>
      </c>
    </row>
    <row r="128" customFormat="false" ht="15" hidden="false" customHeight="false" outlineLevel="0" collapsed="false">
      <c r="A128" s="12" t="s">
        <v>162</v>
      </c>
      <c r="B128" s="4" t="s">
        <v>161</v>
      </c>
      <c r="C128" s="21" t="n">
        <f aca="false">MAX(C116:C127)</f>
        <v>0.0215625</v>
      </c>
      <c r="D128" s="21" t="n">
        <f aca="false">MAX(D116:D127)</f>
        <v>0.126428571428571</v>
      </c>
      <c r="E128" s="21" t="n">
        <f aca="false">MAX(E116:E127)</f>
        <v>0.0415178571428571</v>
      </c>
      <c r="F128" s="21" t="n">
        <f aca="false">MAX(F116:F127)</f>
        <v>0.0273214285714286</v>
      </c>
      <c r="G128" s="21" t="n">
        <f aca="false">MAX(G116:G127)</f>
        <v>0.216830357142857</v>
      </c>
    </row>
    <row r="129" customFormat="false" ht="15" hidden="false" customHeight="false" outlineLevel="0" collapsed="false">
      <c r="A129" s="12" t="s">
        <v>163</v>
      </c>
      <c r="B129" s="4"/>
      <c r="C129" s="22" t="str">
        <f aca="false">IF(C128=0,"-",IF(C128&gt;=1,ROUNDUP(C128*Datos!$C$4,0)&amp;" por mes",IF(INT(1/C128)=1,"1 por semana","1 cada "&amp;INT(1/C128)&amp;" semanas")))</f>
        <v>1 cada 46 semanas</v>
      </c>
      <c r="D129" s="22" t="str">
        <f aca="false">IF(D128=0,"-",IF(D128&gt;=1,ROUNDUP(D128*Datos!$C$4,0)&amp;" por mes",IF(INT(1/D128)=1,"1 por semana","1 cada "&amp;INT(1/D128)&amp;" semanas")))</f>
        <v>1 cada 7 semanas</v>
      </c>
      <c r="E129" s="22" t="str">
        <f aca="false">IF(E128=0,"-",IF(E128&gt;=1,ROUNDUP(E128*Datos!$C$4,0)&amp;" por mes",IF(INT(1/E128)=1,"1 por semana","1 cada "&amp;INT(1/E128)&amp;" semanas")))</f>
        <v>1 cada 24 semanas</v>
      </c>
      <c r="F129" s="22" t="str">
        <f aca="false">IF(F128=0,"-",IF(F128&gt;=1,ROUNDUP(F128*Datos!$C$4,0)&amp;" por mes",IF(INT(1/F128)=1,"1 por semana","1 cada "&amp;INT(1/F128)&amp;" semanas")))</f>
        <v>1 cada 36 semanas</v>
      </c>
      <c r="G129" s="22" t="str">
        <f aca="false">IF(G128=0,"-",IF(G128&gt;=1,ROUNDUP(G128*Datos!$C$4,0)&amp;" por mes",IF(INT(1/G128)=1,"1 por semana","1 cada "&amp;INT(1/G128)&amp;" semanas")))</f>
        <v>1 cada 4 semanas</v>
      </c>
    </row>
    <row r="130" customFormat="false" ht="15" hidden="false" customHeight="false" outlineLevel="0" collapsed="false">
      <c r="A130" s="3" t="s">
        <v>164</v>
      </c>
      <c r="B130" s="4" t="s">
        <v>165</v>
      </c>
      <c r="C130" s="15" t="n">
        <f aca="false">IF(C128=0,0,IF(C128&gt;=1,C128*Datos!$C$4/ROUNDUP(C128*Datos!$C$4,0),C128*INT(1/C128)))</f>
        <v>0.991875</v>
      </c>
      <c r="D130" s="15" t="n">
        <f aca="false">IF(D128=0,0,IF(D128&gt;=1,D128*Datos!$C$4/ROUNDUP(D128*Datos!$C$4,0),D128*INT(1/D128)))</f>
        <v>0.885</v>
      </c>
      <c r="E130" s="15" t="n">
        <f aca="false">IF(E128=0,0,IF(E128&gt;=1,E128*Datos!$C$4/ROUNDUP(E128*Datos!$C$4,0),E128*INT(1/E128)))</f>
        <v>0.996428571428571</v>
      </c>
      <c r="F130" s="15" t="n">
        <f aca="false">IF(F128=0,0,IF(F128&gt;=1,F128*Datos!$C$4/ROUNDUP(F128*Datos!$C$4,0),F128*INT(1/F128)))</f>
        <v>0.983571428571429</v>
      </c>
      <c r="G130" s="15" t="n">
        <f aca="false">IF(G128=0,0,IF(G128&gt;=1,G128*Datos!$C$4/ROUNDUP(G128*Datos!$C$4,0),G128*INT(1/G128)))</f>
        <v>0.867321428571429</v>
      </c>
    </row>
    <row r="132" customFormat="false" ht="15" hidden="false" customHeight="false" outlineLevel="0" collapsed="false">
      <c r="A132" s="1" t="s">
        <v>166</v>
      </c>
    </row>
    <row r="133" customFormat="false" ht="15" hidden="false" customHeight="false" outlineLevel="0" collapsed="false">
      <c r="A133" s="2"/>
      <c r="B133" s="2" t="s">
        <v>2</v>
      </c>
      <c r="C133" s="2" t="s">
        <v>42</v>
      </c>
      <c r="D133" s="2" t="s">
        <v>43</v>
      </c>
      <c r="E133" s="2" t="s">
        <v>44</v>
      </c>
      <c r="F133" s="2" t="s">
        <v>45</v>
      </c>
      <c r="G133" s="2" t="s">
        <v>112</v>
      </c>
    </row>
    <row r="134" customFormat="false" ht="15" hidden="false" customHeight="false" outlineLevel="0" collapsed="false">
      <c r="A134" s="3" t="s">
        <v>162</v>
      </c>
      <c r="B134" s="4"/>
      <c r="C134" s="4" t="str">
        <f aca="false">INDEX(Demanda!$A$24:$A$35,MATCH(MAX(Demanda!$U$24:$U$35),Demanda!$U$24:$U$35,0))</f>
        <v>Mar</v>
      </c>
    </row>
    <row r="135" customFormat="false" ht="15" hidden="false" customHeight="false" outlineLevel="0" collapsed="false">
      <c r="A135" s="3" t="s">
        <v>167</v>
      </c>
      <c r="B135" s="4" t="s">
        <v>32</v>
      </c>
      <c r="C135" s="16" t="n">
        <f aca="false">INDEX(Demanda!N$24:N$35,MATCH(MAX(Demanda!$U$24:$U$35),Demanda!$U$24:$U$35,0))*Datos!$C$4</f>
        <v>28.98</v>
      </c>
      <c r="D135" s="16" t="n">
        <f aca="false">INDEX(Demanda!O$24:O$35,MATCH(MAX(Demanda!$U$24:$U$35),Demanda!$U$24:$U$35,0))*Datos!$C$4</f>
        <v>63.72</v>
      </c>
      <c r="E135" s="16" t="n">
        <f aca="false">INDEX(Demanda!P$24:P$35,MATCH(MAX(Demanda!$U$24:$U$35),Demanda!$U$24:$U$35,0))*Datos!$C$4</f>
        <v>13.95</v>
      </c>
      <c r="F135" s="16" t="n">
        <f aca="false">INDEX(Demanda!Q$24:Q$35,MATCH(MAX(Demanda!$U$24:$U$35),Demanda!$U$24:$U$35,0))*Datos!$C$4</f>
        <v>9.18</v>
      </c>
      <c r="G135" s="16" t="n">
        <f aca="false">SUM(C135:F135)</f>
        <v>115.83</v>
      </c>
    </row>
    <row r="136" customFormat="false" ht="15" hidden="false" customHeight="false" outlineLevel="0" collapsed="false">
      <c r="A136" s="3" t="s">
        <v>157</v>
      </c>
      <c r="B136" s="4" t="s">
        <v>32</v>
      </c>
      <c r="C136" s="16" t="n">
        <f aca="false">Pallet!G23</f>
        <v>24</v>
      </c>
      <c r="D136" s="16" t="n">
        <f aca="false">Pallet!H23</f>
        <v>9</v>
      </c>
      <c r="E136" s="16" t="n">
        <f aca="false">Pallet!I23</f>
        <v>6</v>
      </c>
      <c r="F136" s="16" t="n">
        <f aca="false">Pallet!J23</f>
        <v>6</v>
      </c>
    </row>
    <row r="137" customFormat="false" ht="15" hidden="false" customHeight="false" outlineLevel="0" collapsed="false">
      <c r="A137" s="3" t="s">
        <v>168</v>
      </c>
      <c r="B137" s="4" t="s">
        <v>169</v>
      </c>
      <c r="C137" s="17" t="n">
        <f aca="false">IF(C136=0,0,C135/C136)</f>
        <v>1.2075</v>
      </c>
      <c r="D137" s="17" t="n">
        <f aca="false">IF(D136=0,0,D135/D136)</f>
        <v>7.08</v>
      </c>
      <c r="E137" s="17" t="n">
        <f aca="false">IF(E136=0,0,E135/E136)</f>
        <v>2.325</v>
      </c>
      <c r="F137" s="17" t="n">
        <f aca="false">IF(F136=0,0,F135/F136)</f>
        <v>1.53</v>
      </c>
      <c r="G137" s="17" t="n">
        <f aca="false">SUM(C137:F137)</f>
        <v>12.1425</v>
      </c>
    </row>
    <row r="138" customFormat="false" ht="15" hidden="false" customHeight="false" outlineLevel="0" collapsed="false">
      <c r="A138" s="3" t="s">
        <v>170</v>
      </c>
      <c r="B138" s="4" t="s">
        <v>165</v>
      </c>
      <c r="C138" s="15" t="n">
        <f aca="false">IF($G137=0,0,C137/$G137)</f>
        <v>0.099444101297097</v>
      </c>
      <c r="D138" s="15" t="n">
        <f aca="false">IF($G137=0,0,D137/$G137)</f>
        <v>0.58307597282273</v>
      </c>
      <c r="E138" s="15" t="n">
        <f aca="false">IF($G137=0,0,E137/$G137)</f>
        <v>0.19147621988882</v>
      </c>
      <c r="F138" s="15" t="n">
        <f aca="false">IF($G137=0,0,F137/$G137)</f>
        <v>0.126003705991353</v>
      </c>
      <c r="G138" s="15" t="n">
        <f aca="false">SUM(C138:F138)</f>
        <v>1</v>
      </c>
    </row>
    <row r="139" customFormat="false" ht="15" hidden="false" customHeight="false" outlineLevel="0" collapsed="false">
      <c r="A139" s="3" t="s">
        <v>171</v>
      </c>
      <c r="B139" s="4" t="s">
        <v>169</v>
      </c>
      <c r="C139" s="17" t="n">
        <f aca="false">C138*$G$140</f>
        <v>1.39221741815936</v>
      </c>
      <c r="D139" s="17" t="n">
        <f aca="false">D138*$G$140</f>
        <v>8.16306361951822</v>
      </c>
      <c r="E139" s="17" t="n">
        <f aca="false">E138*$G$140</f>
        <v>2.68066707844348</v>
      </c>
      <c r="F139" s="17" t="n">
        <f aca="false">F138*$G$140</f>
        <v>1.76405188387894</v>
      </c>
      <c r="G139" s="17" t="n">
        <f aca="false">SUM(C139:F139)</f>
        <v>14</v>
      </c>
    </row>
    <row r="140" customFormat="false" ht="15" hidden="false" customHeight="false" outlineLevel="0" collapsed="false">
      <c r="A140" s="12" t="s">
        <v>172</v>
      </c>
      <c r="B140" s="4" t="s">
        <v>169</v>
      </c>
      <c r="C140" s="13" t="n">
        <f aca="false">ROUND(SUM($C138:C138)*$G140,0)</f>
        <v>1</v>
      </c>
      <c r="D140" s="13" t="n">
        <f aca="false">ROUND(SUM($C138:D138)*$G140,0)-ROUND(SUM($C138:C138)*$G140,0)</f>
        <v>9</v>
      </c>
      <c r="E140" s="13" t="n">
        <f aca="false">ROUND(SUM($C138:E138)*$G140,0)-ROUND(SUM($C138:D138)*$G140,0)</f>
        <v>2</v>
      </c>
      <c r="F140" s="13" t="n">
        <f aca="false">ROUND(SUM($C138:F138)*$G140,0)-ROUND(SUM($C138:E138)*$G140,0)</f>
        <v>2</v>
      </c>
      <c r="G140" s="13" t="n">
        <f aca="false">IF(G137=0,0,MIN(Camion!$C$5,INT(Datos!$C$42/(C138*Pallet!G24+D138*Pallet!H24+E138*Pallet!I24+F138*Pallet!J24))))</f>
        <v>14</v>
      </c>
    </row>
    <row r="141" customFormat="false" ht="15" hidden="false" customHeight="false" outlineLevel="0" collapsed="false">
      <c r="A141" s="3" t="s">
        <v>173</v>
      </c>
      <c r="B141" s="4" t="s">
        <v>32</v>
      </c>
      <c r="C141" s="16" t="n">
        <f aca="false">C140*Pallet!G23</f>
        <v>24</v>
      </c>
      <c r="D141" s="16" t="n">
        <f aca="false">D140*Pallet!H23</f>
        <v>81</v>
      </c>
      <c r="E141" s="16" t="n">
        <f aca="false">E140*Pallet!I23</f>
        <v>12</v>
      </c>
      <c r="F141" s="16" t="n">
        <f aca="false">F140*Pallet!J23</f>
        <v>12</v>
      </c>
      <c r="G141" s="16" t="n">
        <f aca="false">SUM(C141:F141)</f>
        <v>129</v>
      </c>
    </row>
    <row r="142" customFormat="false" ht="15" hidden="false" customHeight="false" outlineLevel="0" collapsed="false">
      <c r="A142" s="3" t="s">
        <v>174</v>
      </c>
      <c r="B142" s="4" t="s">
        <v>18</v>
      </c>
      <c r="C142" s="16" t="n">
        <f aca="false">C140*Pallet!G24</f>
        <v>418.88</v>
      </c>
      <c r="D142" s="16" t="n">
        <f aca="false">D140*Pallet!H24</f>
        <v>2213.1</v>
      </c>
      <c r="E142" s="16" t="n">
        <f aca="false">E140*Pallet!I24</f>
        <v>634.74115408</v>
      </c>
      <c r="F142" s="16" t="n">
        <f aca="false">F140*Pallet!J24</f>
        <v>754.55580868</v>
      </c>
      <c r="G142" s="16" t="n">
        <f aca="false">SUM(C142:F142)</f>
        <v>4021.27696276</v>
      </c>
    </row>
    <row r="143" customFormat="false" ht="15" hidden="false" customHeight="false" outlineLevel="0" collapsed="false">
      <c r="A143" s="12" t="s">
        <v>175</v>
      </c>
      <c r="B143" s="4" t="s">
        <v>161</v>
      </c>
      <c r="C143" s="23"/>
      <c r="D143" s="23"/>
      <c r="E143" s="23"/>
      <c r="F143" s="23"/>
      <c r="G143" s="18" t="n">
        <f aca="false">IF(G140=0,0,G137/G140)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  <c r="G2" s="2" t="n">
        <v>2031</v>
      </c>
      <c r="H2" s="2" t="n">
        <v>2032</v>
      </c>
      <c r="I2" s="2" t="n">
        <v>2033</v>
      </c>
      <c r="J2" s="2" t="n">
        <v>2034</v>
      </c>
      <c r="K2" s="2" t="n">
        <v>2035</v>
      </c>
    </row>
    <row r="3" customFormat="false" ht="15" hidden="false" customHeight="false" outlineLevel="0" collapsed="false">
      <c r="A3" s="12" t="s">
        <v>193</v>
      </c>
      <c r="B3" s="6" t="n">
        <v>3477.4821</v>
      </c>
      <c r="C3" s="6" t="n">
        <v>16970.5856</v>
      </c>
      <c r="D3" s="6" t="n">
        <v>30546.0895</v>
      </c>
      <c r="E3" s="6" t="n">
        <v>56048.3111</v>
      </c>
      <c r="F3" s="6" t="n">
        <v>84270.2261</v>
      </c>
      <c r="G3" s="6" t="n">
        <v>117407.8231</v>
      </c>
      <c r="H3" s="6" t="n">
        <v>147610.6356</v>
      </c>
      <c r="I3" s="6" t="n">
        <v>171404.3607</v>
      </c>
      <c r="J3" s="6" t="n">
        <v>183690.566</v>
      </c>
      <c r="K3" s="6" t="n">
        <v>196282.6907</v>
      </c>
    </row>
    <row r="4" customFormat="false" ht="15" hidden="false" customHeight="false" outlineLevel="0" collapsed="false">
      <c r="A4" s="12" t="s">
        <v>194</v>
      </c>
      <c r="B4" s="6" t="n">
        <v>329.9967</v>
      </c>
      <c r="C4" s="6" t="n">
        <v>1287.414</v>
      </c>
      <c r="D4" s="6" t="n">
        <v>2947.1692</v>
      </c>
      <c r="E4" s="6" t="n">
        <v>5426.0433</v>
      </c>
      <c r="F4" s="6" t="n">
        <v>7850.8758</v>
      </c>
      <c r="G4" s="6" t="n">
        <v>10423.9436</v>
      </c>
      <c r="H4" s="6" t="n">
        <v>12809.8957</v>
      </c>
      <c r="I4" s="6" t="n">
        <v>14263.0683</v>
      </c>
      <c r="J4" s="6" t="n">
        <v>15432.8698</v>
      </c>
      <c r="K4" s="6" t="n">
        <v>16620.7612</v>
      </c>
    </row>
    <row r="5" customFormat="false" ht="15" hidden="false" customHeight="false" outlineLevel="0" collapsed="false">
      <c r="A5" s="12" t="s">
        <v>195</v>
      </c>
      <c r="B5" s="6" t="n">
        <v>1950.3941</v>
      </c>
      <c r="C5" s="6" t="n">
        <v>7852.6185</v>
      </c>
      <c r="D5" s="6" t="n">
        <v>17775.857</v>
      </c>
      <c r="E5" s="6" t="n">
        <v>33605.5684</v>
      </c>
      <c r="F5" s="6" t="n">
        <v>48407.5719</v>
      </c>
      <c r="G5" s="6" t="n">
        <v>64323.0428</v>
      </c>
      <c r="H5" s="6" t="n">
        <v>78721.1004</v>
      </c>
      <c r="I5" s="6" t="n">
        <v>87237.2124</v>
      </c>
      <c r="J5" s="6" t="n">
        <v>94103.6676</v>
      </c>
      <c r="K5" s="6" t="n">
        <v>101095.1762</v>
      </c>
    </row>
    <row r="6" customFormat="false" ht="15" hidden="false" customHeight="false" outlineLevel="0" collapsed="false">
      <c r="A6" s="12" t="s">
        <v>196</v>
      </c>
      <c r="B6" s="6" t="n">
        <v>118.3436</v>
      </c>
      <c r="C6" s="6" t="n">
        <v>437.7166</v>
      </c>
      <c r="D6" s="6" t="n">
        <v>1024.9748</v>
      </c>
      <c r="E6" s="6" t="n">
        <v>1960.4099</v>
      </c>
      <c r="F6" s="6" t="n">
        <v>2844.9768</v>
      </c>
      <c r="G6" s="6" t="n">
        <v>3810.3906</v>
      </c>
      <c r="H6" s="6" t="n">
        <v>4663.6781</v>
      </c>
      <c r="I6" s="6" t="n">
        <v>5164.5146</v>
      </c>
      <c r="J6" s="6" t="n">
        <v>5571.5443</v>
      </c>
      <c r="K6" s="6" t="n">
        <v>5985.9509</v>
      </c>
    </row>
    <row r="7" customFormat="false" ht="15" hidden="false" customHeight="false" outlineLevel="0" collapsed="false">
      <c r="A7" s="12" t="s">
        <v>197</v>
      </c>
      <c r="B7" s="6" t="n">
        <v>159.3087</v>
      </c>
      <c r="C7" s="6" t="n">
        <v>643.4235</v>
      </c>
      <c r="D7" s="6" t="n">
        <v>1474.3627</v>
      </c>
      <c r="E7" s="6" t="n">
        <v>2766.4512</v>
      </c>
      <c r="F7" s="6" t="n">
        <v>3991.4652</v>
      </c>
      <c r="G7" s="6" t="n">
        <v>5335.7558</v>
      </c>
      <c r="H7" s="6" t="n">
        <v>6538.9589</v>
      </c>
      <c r="I7" s="6" t="n">
        <v>7269.8197</v>
      </c>
      <c r="J7" s="6" t="n">
        <v>7855.4414</v>
      </c>
      <c r="K7" s="6" t="n">
        <v>8450.8141</v>
      </c>
    </row>
    <row r="8" customFormat="false" ht="15" hidden="false" customHeight="false" outlineLevel="0" collapsed="false">
      <c r="A8" s="12" t="s">
        <v>198</v>
      </c>
      <c r="B8" s="6" t="n">
        <v>22.7584</v>
      </c>
      <c r="C8" s="6" t="n">
        <v>161.3158</v>
      </c>
      <c r="D8" s="6" t="n">
        <v>316.6073</v>
      </c>
      <c r="E8" s="6" t="n">
        <v>527.3946</v>
      </c>
      <c r="F8" s="6" t="n">
        <v>743.7889</v>
      </c>
      <c r="G8" s="6" t="n">
        <v>962.8743</v>
      </c>
      <c r="H8" s="6" t="n">
        <v>1194.9422</v>
      </c>
      <c r="I8" s="6" t="n">
        <v>1351.6172</v>
      </c>
      <c r="J8" s="6" t="n">
        <v>1477.5489</v>
      </c>
      <c r="K8" s="6" t="n">
        <v>1604.4414</v>
      </c>
    </row>
    <row r="9" customFormat="false" ht="15" hidden="false" customHeight="false" outlineLevel="0" collapsed="false">
      <c r="A9" s="12" t="s">
        <v>199</v>
      </c>
      <c r="B9" s="6" t="n">
        <v>11.3792</v>
      </c>
      <c r="C9" s="6" t="n">
        <v>83.2235</v>
      </c>
      <c r="D9" s="6" t="n">
        <v>164.4638</v>
      </c>
      <c r="E9" s="6" t="n">
        <v>281.3411</v>
      </c>
      <c r="F9" s="6" t="n">
        <v>398.9025</v>
      </c>
      <c r="G9" s="6" t="n">
        <v>514.5273</v>
      </c>
      <c r="H9" s="6" t="n">
        <v>629.0655</v>
      </c>
      <c r="I9" s="6" t="n">
        <v>711.178</v>
      </c>
      <c r="J9" s="6" t="n">
        <v>773.411</v>
      </c>
      <c r="K9" s="6" t="n">
        <v>836.3508</v>
      </c>
    </row>
    <row r="10" customFormat="false" ht="15" hidden="false" customHeight="false" outlineLevel="0" collapsed="false">
      <c r="A10" s="12" t="s">
        <v>200</v>
      </c>
      <c r="B10" s="6" t="n">
        <v>6.8275</v>
      </c>
      <c r="C10" s="6" t="n">
        <v>47.0731</v>
      </c>
      <c r="D10" s="6" t="n">
        <v>88.8897</v>
      </c>
      <c r="E10" s="6" t="n">
        <v>159.5025</v>
      </c>
      <c r="F10" s="6" t="n">
        <v>219.7962</v>
      </c>
      <c r="G10" s="6" t="n">
        <v>291.8699</v>
      </c>
      <c r="H10" s="6" t="n">
        <v>368.8442</v>
      </c>
      <c r="I10" s="6" t="n">
        <v>408.409</v>
      </c>
      <c r="J10" s="6" t="n">
        <v>445.7819</v>
      </c>
      <c r="K10" s="6" t="n">
        <v>483.4792</v>
      </c>
    </row>
    <row r="11" customFormat="false" ht="15" hidden="false" customHeight="false" outlineLevel="0" collapsed="false">
      <c r="A11" s="12" t="s">
        <v>201</v>
      </c>
      <c r="B11" s="6" t="n">
        <v>81.9302</v>
      </c>
      <c r="C11" s="6" t="n">
        <v>335.3989</v>
      </c>
      <c r="D11" s="6" t="n">
        <v>746.5984</v>
      </c>
      <c r="E11" s="6" t="n">
        <v>1358.8998</v>
      </c>
      <c r="F11" s="6" t="n">
        <v>1961.1255</v>
      </c>
      <c r="G11" s="6" t="n">
        <v>2598.5414</v>
      </c>
      <c r="H11" s="6" t="n">
        <v>3197.2635</v>
      </c>
      <c r="I11" s="6" t="n">
        <v>3578.5395</v>
      </c>
      <c r="J11" s="6" t="n">
        <v>3870.748</v>
      </c>
      <c r="K11" s="6" t="n">
        <v>4167.5596</v>
      </c>
    </row>
    <row r="12" customFormat="false" ht="15" hidden="false" customHeight="false" outlineLevel="0" collapsed="false">
      <c r="A12" s="12" t="s">
        <v>202</v>
      </c>
      <c r="B12" s="6" t="n">
        <v>450.6161</v>
      </c>
      <c r="C12" s="6" t="n">
        <v>1697.1815</v>
      </c>
      <c r="D12" s="6" t="n">
        <v>3955.1969</v>
      </c>
      <c r="E12" s="6" t="n">
        <v>7561.2603</v>
      </c>
      <c r="F12" s="6" t="n">
        <v>10920.1448</v>
      </c>
      <c r="G12" s="6" t="n">
        <v>14514.8852</v>
      </c>
      <c r="H12" s="6" t="n">
        <v>17746.4993</v>
      </c>
      <c r="I12" s="6" t="n">
        <v>19617.2055</v>
      </c>
      <c r="J12" s="6" t="n">
        <v>21161.8063</v>
      </c>
      <c r="K12" s="6" t="n">
        <v>22734.5017</v>
      </c>
    </row>
    <row r="13" customFormat="false" ht="15" hidden="false" customHeight="false" outlineLevel="0" collapsed="false">
      <c r="A13" s="12" t="s">
        <v>203</v>
      </c>
      <c r="B13" s="6" t="n">
        <v>125.1711</v>
      </c>
      <c r="C13" s="6" t="n">
        <v>643.6304</v>
      </c>
      <c r="D13" s="6" t="n">
        <v>1375.6267</v>
      </c>
      <c r="E13" s="6" t="n">
        <v>2460.2843</v>
      </c>
      <c r="F13" s="6" t="n">
        <v>3545.2577</v>
      </c>
      <c r="G13" s="6" t="n">
        <v>4723.4618</v>
      </c>
      <c r="H13" s="6" t="n">
        <v>5853.9052</v>
      </c>
      <c r="I13" s="6" t="n">
        <v>6608.4599</v>
      </c>
      <c r="J13" s="6" t="n">
        <v>7185.7084</v>
      </c>
      <c r="K13" s="6" t="n">
        <v>7769.5771</v>
      </c>
    </row>
    <row r="14" customFormat="false" ht="15" hidden="false" customHeight="false" outlineLevel="0" collapsed="false">
      <c r="A14" s="12" t="s">
        <v>204</v>
      </c>
      <c r="B14" s="6" t="n">
        <v>18.2067</v>
      </c>
      <c r="C14" s="6" t="n">
        <v>112.0751</v>
      </c>
      <c r="D14" s="6" t="n">
        <v>230.854</v>
      </c>
      <c r="E14" s="6" t="n">
        <v>400.7153</v>
      </c>
      <c r="F14" s="6" t="n">
        <v>574.5078</v>
      </c>
      <c r="G14" s="6" t="n">
        <v>754.3456</v>
      </c>
      <c r="H14" s="6" t="n">
        <v>944.8488</v>
      </c>
      <c r="I14" s="6" t="n">
        <v>1072.2347</v>
      </c>
      <c r="J14" s="6" t="n">
        <v>1171.6958</v>
      </c>
      <c r="K14" s="6" t="n">
        <v>1271.9411</v>
      </c>
    </row>
    <row r="15" customFormat="false" ht="15" hidden="false" customHeight="false" outlineLevel="0" collapsed="false">
      <c r="A15" s="12" t="s">
        <v>205</v>
      </c>
      <c r="B15" s="6" t="n">
        <v>6.8275</v>
      </c>
      <c r="C15" s="6" t="n">
        <v>47.0731</v>
      </c>
      <c r="D15" s="6" t="n">
        <v>88.8897</v>
      </c>
      <c r="E15" s="6" t="n">
        <v>148.2792</v>
      </c>
      <c r="F15" s="6" t="n">
        <v>205.2261</v>
      </c>
      <c r="G15" s="6" t="n">
        <v>255.7651</v>
      </c>
      <c r="H15" s="6" t="n">
        <v>328.4179</v>
      </c>
      <c r="I15" s="6" t="n">
        <v>366.9081</v>
      </c>
      <c r="J15" s="6" t="n">
        <v>401.6817</v>
      </c>
      <c r="K15" s="6" t="n">
        <v>436.6868</v>
      </c>
    </row>
    <row r="16" customFormat="false" ht="15" hidden="false" customHeight="false" outlineLevel="0" collapsed="false">
      <c r="A16" s="12" t="s">
        <v>206</v>
      </c>
      <c r="B16" s="6" t="n">
        <v>17.6378</v>
      </c>
      <c r="C16" s="6" t="n">
        <v>85.9878</v>
      </c>
      <c r="D16" s="6" t="n">
        <v>186.8696</v>
      </c>
      <c r="E16" s="6" t="n">
        <v>336.5836</v>
      </c>
      <c r="F16" s="6" t="n">
        <v>484.1326</v>
      </c>
      <c r="G16" s="6" t="n">
        <v>643.2204</v>
      </c>
      <c r="H16" s="6" t="n">
        <v>792.4317</v>
      </c>
      <c r="I16" s="6" t="n">
        <v>889.6777</v>
      </c>
      <c r="J16" s="6" t="n">
        <v>965.3111</v>
      </c>
      <c r="K16" s="6" t="n">
        <v>1041.9397</v>
      </c>
    </row>
    <row r="17" customFormat="false" ht="15" hidden="false" customHeight="false" outlineLevel="0" collapsed="false">
      <c r="A17" s="12" t="s">
        <v>207</v>
      </c>
      <c r="B17" s="6" t="n">
        <v>38.8031</v>
      </c>
      <c r="C17" s="6" t="n">
        <v>189.1732</v>
      </c>
      <c r="D17" s="6" t="n">
        <v>411.113</v>
      </c>
      <c r="E17" s="6" t="n">
        <v>740.484</v>
      </c>
      <c r="F17" s="6" t="n">
        <v>1065.0917</v>
      </c>
      <c r="G17" s="6" t="n">
        <v>1415.0848</v>
      </c>
      <c r="H17" s="6" t="n">
        <v>1743.3498</v>
      </c>
      <c r="I17" s="6" t="n">
        <v>1957.291</v>
      </c>
      <c r="J17" s="6" t="n">
        <v>2123.6844</v>
      </c>
      <c r="K17" s="6" t="n">
        <v>2292.2673</v>
      </c>
    </row>
    <row r="18" customFormat="false" ht="15" hidden="false" customHeight="false" outlineLevel="0" collapsed="false">
      <c r="A18" s="12" t="s">
        <v>208</v>
      </c>
      <c r="B18" s="6" t="n">
        <v>8.4661</v>
      </c>
      <c r="C18" s="6" t="n">
        <v>41.2742</v>
      </c>
      <c r="D18" s="6" t="n">
        <v>89.6974</v>
      </c>
      <c r="E18" s="6" t="n">
        <v>161.5601</v>
      </c>
      <c r="F18" s="6" t="n">
        <v>232.3836</v>
      </c>
      <c r="G18" s="6" t="n">
        <v>308.7458</v>
      </c>
      <c r="H18" s="6" t="n">
        <v>380.3672</v>
      </c>
      <c r="I18" s="6" t="n">
        <v>427.0453</v>
      </c>
      <c r="J18" s="6" t="n">
        <v>463.3493</v>
      </c>
      <c r="K18" s="6" t="n">
        <v>500.1311</v>
      </c>
    </row>
    <row r="19" customFormat="false" ht="15" hidden="false" customHeight="false" outlineLevel="0" collapsed="false">
      <c r="A19" s="12" t="s">
        <v>209</v>
      </c>
      <c r="B19" s="6" t="n">
        <v>5.6441</v>
      </c>
      <c r="C19" s="6" t="n">
        <v>27.5161</v>
      </c>
      <c r="D19" s="6" t="n">
        <v>59.7983</v>
      </c>
      <c r="E19" s="6" t="n">
        <v>107.7068</v>
      </c>
      <c r="F19" s="6" t="n">
        <v>154.9224</v>
      </c>
      <c r="G19" s="6" t="n">
        <v>205.8305</v>
      </c>
      <c r="H19" s="6" t="n">
        <v>253.5782</v>
      </c>
      <c r="I19" s="6" t="n">
        <v>284.6969</v>
      </c>
      <c r="J19" s="6" t="n">
        <v>308.8996</v>
      </c>
      <c r="K19" s="6" t="n">
        <v>333.4207</v>
      </c>
    </row>
    <row r="20" customFormat="false" ht="15" hidden="false" customHeight="false" outlineLevel="0" collapsed="false">
      <c r="A20" s="12" t="s">
        <v>210</v>
      </c>
      <c r="B20" s="14" t="n">
        <v>0.616614</v>
      </c>
      <c r="C20" s="14" t="n">
        <v>0.616547</v>
      </c>
      <c r="D20" s="14" t="n">
        <v>0.616464</v>
      </c>
      <c r="E20" s="14" t="n">
        <v>0.616363</v>
      </c>
      <c r="F20" s="14" t="n">
        <v>0.616237</v>
      </c>
      <c r="G20" s="14" t="n">
        <v>0.616086</v>
      </c>
      <c r="H20" s="14" t="n">
        <v>0.615903</v>
      </c>
      <c r="I20" s="14" t="n">
        <v>0.615684</v>
      </c>
      <c r="J20" s="14" t="n">
        <v>0.615422</v>
      </c>
      <c r="K20" s="14" t="n">
        <v>0.615111</v>
      </c>
    </row>
    <row r="21" customFormat="false" ht="15" hidden="false" customHeight="true" outlineLevel="0" collapsed="false">
      <c r="A21" s="3" t="s">
        <v>211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3" customFormat="false" ht="15" hidden="false" customHeight="false" outlineLevel="0" collapsed="false">
      <c r="A23" s="1" t="s">
        <v>212</v>
      </c>
    </row>
    <row r="24" customFormat="false" ht="15" hidden="false" customHeight="true" outlineLevel="0" collapsed="false">
      <c r="A24" s="2" t="s">
        <v>213</v>
      </c>
      <c r="B24" s="2" t="s">
        <v>214</v>
      </c>
      <c r="C24" s="2" t="s">
        <v>215</v>
      </c>
      <c r="D24" s="2" t="s">
        <v>216</v>
      </c>
      <c r="E24" s="2" t="s">
        <v>217</v>
      </c>
      <c r="F24" s="2" t="s">
        <v>4</v>
      </c>
      <c r="G24" s="2"/>
      <c r="H24" s="2"/>
      <c r="I24" s="2"/>
      <c r="J24" s="2"/>
      <c r="K24" s="2"/>
      <c r="L24" s="2"/>
      <c r="M24" s="2"/>
    </row>
    <row r="25" customFormat="false" ht="23.85" hidden="false" customHeight="true" outlineLevel="0" collapsed="false">
      <c r="A25" s="12" t="s">
        <v>218</v>
      </c>
      <c r="B25" s="4" t="s">
        <v>219</v>
      </c>
      <c r="C25" s="6" t="n">
        <v>72</v>
      </c>
      <c r="D25" s="5" t="n">
        <v>2</v>
      </c>
      <c r="E25" s="13" t="n">
        <f aca="false">C25*D25</f>
        <v>144</v>
      </c>
      <c r="F25" s="3" t="s">
        <v>220</v>
      </c>
      <c r="G25" s="3"/>
      <c r="H25" s="3"/>
      <c r="I25" s="3"/>
      <c r="J25" s="3"/>
      <c r="K25" s="3"/>
      <c r="L25" s="3"/>
      <c r="M25" s="3"/>
    </row>
    <row r="26" customFormat="false" ht="23.85" hidden="false" customHeight="true" outlineLevel="0" collapsed="false">
      <c r="A26" s="12" t="s">
        <v>221</v>
      </c>
      <c r="B26" s="4" t="s">
        <v>222</v>
      </c>
      <c r="C26" s="6" t="n">
        <v>30</v>
      </c>
      <c r="D26" s="5" t="n">
        <v>2</v>
      </c>
      <c r="E26" s="13" t="n">
        <f aca="false">C26*D26</f>
        <v>60</v>
      </c>
      <c r="F26" s="3" t="s">
        <v>223</v>
      </c>
      <c r="G26" s="3"/>
      <c r="H26" s="3"/>
      <c r="I26" s="3"/>
      <c r="J26" s="3"/>
      <c r="K26" s="3"/>
      <c r="L26" s="3"/>
      <c r="M26" s="3"/>
    </row>
    <row r="27" customFormat="false" ht="23.85" hidden="false" customHeight="true" outlineLevel="0" collapsed="false">
      <c r="A27" s="12" t="s">
        <v>224</v>
      </c>
      <c r="B27" s="4" t="s">
        <v>222</v>
      </c>
      <c r="C27" s="6" t="n">
        <v>24</v>
      </c>
      <c r="D27" s="5" t="n">
        <v>2</v>
      </c>
      <c r="E27" s="13" t="n">
        <f aca="false">C27*D27</f>
        <v>48</v>
      </c>
      <c r="F27" s="3" t="s">
        <v>225</v>
      </c>
      <c r="G27" s="3"/>
      <c r="H27" s="3"/>
      <c r="I27" s="3"/>
      <c r="J27" s="3"/>
      <c r="K27" s="3"/>
      <c r="L27" s="3"/>
      <c r="M27" s="3"/>
    </row>
    <row r="28" customFormat="false" ht="23.85" hidden="false" customHeight="true" outlineLevel="0" collapsed="false">
      <c r="A28" s="12" t="s">
        <v>226</v>
      </c>
      <c r="B28" s="4" t="s">
        <v>222</v>
      </c>
      <c r="C28" s="6" t="n">
        <v>16</v>
      </c>
      <c r="D28" s="5" t="n">
        <v>2</v>
      </c>
      <c r="E28" s="13" t="n">
        <f aca="false">C28*D28</f>
        <v>32</v>
      </c>
      <c r="F28" s="3" t="s">
        <v>227</v>
      </c>
      <c r="G28" s="3"/>
      <c r="H28" s="3"/>
      <c r="I28" s="3"/>
      <c r="J28" s="3"/>
      <c r="K28" s="3"/>
      <c r="L28" s="3"/>
      <c r="M28" s="3"/>
    </row>
    <row r="29" customFormat="false" ht="15" hidden="false" customHeight="true" outlineLevel="0" collapsed="false">
      <c r="A29" s="12" t="s">
        <v>228</v>
      </c>
      <c r="B29" s="4" t="s">
        <v>229</v>
      </c>
      <c r="C29" s="16" t="n">
        <f aca="false">MAX(INT(Datos!$C$8/Datos!$C$34)*INT(Datos!$C$9/Datos!$C$35),INT(Datos!$C$8/Datos!$C$35)*INT(Datos!$C$9/Datos!$C$34))</f>
        <v>2</v>
      </c>
      <c r="D29" s="5" t="n">
        <v>1</v>
      </c>
      <c r="E29" s="13" t="n">
        <f aca="false">C29*D29</f>
        <v>2</v>
      </c>
      <c r="F29" s="3" t="s">
        <v>230</v>
      </c>
      <c r="G29" s="3"/>
      <c r="H29" s="3"/>
      <c r="I29" s="3"/>
      <c r="J29" s="3"/>
      <c r="K29" s="3"/>
      <c r="L29" s="3"/>
      <c r="M29" s="3"/>
    </row>
    <row r="30" customFormat="false" ht="15" hidden="false" customHeight="true" outlineLevel="0" collapsed="false">
      <c r="A30" s="12" t="s">
        <v>231</v>
      </c>
      <c r="B30" s="4" t="s">
        <v>229</v>
      </c>
      <c r="C30" s="16" t="n">
        <f aca="false">MAX(INT(Datos!$C$8/Datos!$D$34)*INT(Datos!$C$9/Datos!$D$35),INT(Datos!$C$8/Datos!$D$35)*INT(Datos!$C$9/Datos!$D$34))</f>
        <v>2</v>
      </c>
      <c r="D30" s="5" t="n">
        <v>1</v>
      </c>
      <c r="E30" s="13" t="n">
        <f aca="false">C30*D30</f>
        <v>2</v>
      </c>
      <c r="F30" s="3" t="s">
        <v>230</v>
      </c>
      <c r="G30" s="3"/>
      <c r="H30" s="3"/>
      <c r="I30" s="3"/>
      <c r="J30" s="3"/>
      <c r="K30" s="3"/>
      <c r="L30" s="3"/>
      <c r="M30" s="3"/>
    </row>
    <row r="31" customFormat="false" ht="15" hidden="false" customHeight="true" outlineLevel="0" collapsed="false">
      <c r="A31" s="12" t="s">
        <v>232</v>
      </c>
      <c r="B31" s="4" t="s">
        <v>229</v>
      </c>
      <c r="C31" s="16" t="n">
        <f aca="false">MAX(INT(Datos!$C$8/Datos!$E$34)*INT(Datos!$C$9/Datos!$E$35),INT(Datos!$C$8/Datos!$E$35)*INT(Datos!$C$9/Datos!$E$34))</f>
        <v>1</v>
      </c>
      <c r="D31" s="5" t="n">
        <v>1</v>
      </c>
      <c r="E31" s="13" t="n">
        <f aca="false">C31*D31</f>
        <v>1</v>
      </c>
      <c r="F31" s="3" t="s">
        <v>230</v>
      </c>
      <c r="G31" s="3"/>
      <c r="H31" s="3"/>
      <c r="I31" s="3"/>
      <c r="J31" s="3"/>
      <c r="K31" s="3"/>
      <c r="L31" s="3"/>
      <c r="M31" s="3"/>
    </row>
    <row r="32" customFormat="false" ht="15" hidden="false" customHeight="true" outlineLevel="0" collapsed="false">
      <c r="A32" s="12" t="s">
        <v>233</v>
      </c>
      <c r="B32" s="4" t="s">
        <v>229</v>
      </c>
      <c r="C32" s="16" t="n">
        <f aca="false">MAX(INT(Datos!$C$8/Datos!$F$34)*INT(Datos!$C$9/Datos!$F$35),INT(Datos!$C$8/Datos!$F$35)*INT(Datos!$C$9/Datos!$F$34))</f>
        <v>1</v>
      </c>
      <c r="D32" s="5" t="n">
        <v>1</v>
      </c>
      <c r="E32" s="13" t="n">
        <f aca="false">C32*D32</f>
        <v>1</v>
      </c>
      <c r="F32" s="3" t="s">
        <v>230</v>
      </c>
      <c r="G32" s="3"/>
      <c r="H32" s="3"/>
      <c r="I32" s="3"/>
      <c r="J32" s="3"/>
      <c r="K32" s="3"/>
      <c r="L32" s="3"/>
      <c r="M32" s="3"/>
    </row>
    <row r="34" customFormat="false" ht="15" hidden="false" customHeight="false" outlineLevel="0" collapsed="false">
      <c r="A34" s="1" t="s">
        <v>234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3</v>
      </c>
      <c r="D35" s="2" t="s">
        <v>4</v>
      </c>
      <c r="E35" s="2"/>
      <c r="F35" s="2"/>
      <c r="G35" s="2"/>
      <c r="H35" s="2"/>
      <c r="I35" s="2"/>
      <c r="J35" s="2"/>
      <c r="K35" s="2"/>
      <c r="L35" s="2"/>
      <c r="M35" s="2"/>
    </row>
    <row r="36" customFormat="false" ht="23.85" hidden="false" customHeight="true" outlineLevel="0" collapsed="false">
      <c r="A36" s="3" t="s">
        <v>235</v>
      </c>
      <c r="B36" s="4" t="s">
        <v>165</v>
      </c>
      <c r="C36" s="24" t="n">
        <v>1</v>
      </c>
      <c r="D36" s="3" t="s">
        <v>236</v>
      </c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true" outlineLevel="0" collapsed="false">
      <c r="A37" s="3" t="s">
        <v>237</v>
      </c>
      <c r="B37" s="4" t="s">
        <v>18</v>
      </c>
      <c r="C37" s="6" t="n">
        <v>60</v>
      </c>
      <c r="D37" s="3" t="s">
        <v>238</v>
      </c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true" outlineLevel="0" collapsed="false">
      <c r="A38" s="3" t="s">
        <v>239</v>
      </c>
      <c r="B38" s="4" t="s">
        <v>240</v>
      </c>
      <c r="C38" s="5" t="n">
        <v>5</v>
      </c>
      <c r="D38" s="3" t="s">
        <v>241</v>
      </c>
      <c r="E38" s="3"/>
      <c r="F38" s="3"/>
      <c r="G38" s="3"/>
      <c r="H38" s="3"/>
      <c r="I38" s="3"/>
      <c r="J38" s="3"/>
      <c r="K38" s="3"/>
      <c r="L38" s="3"/>
      <c r="M38" s="3"/>
    </row>
    <row r="40" customFormat="false" ht="15" hidden="false" customHeight="false" outlineLevel="0" collapsed="false">
      <c r="A40" s="1" t="s">
        <v>242</v>
      </c>
    </row>
    <row r="41" customFormat="false" ht="23.85" hidden="false" customHeight="false" outlineLevel="0" collapsed="false">
      <c r="A41" s="2" t="s">
        <v>192</v>
      </c>
      <c r="B41" s="2" t="s">
        <v>243</v>
      </c>
      <c r="C41" s="2" t="s">
        <v>244</v>
      </c>
      <c r="D41" s="2" t="s">
        <v>213</v>
      </c>
      <c r="E41" s="2" t="s">
        <v>217</v>
      </c>
      <c r="F41" s="2" t="s">
        <v>245</v>
      </c>
      <c r="G41" s="2" t="s">
        <v>246</v>
      </c>
      <c r="H41" s="2" t="s">
        <v>247</v>
      </c>
      <c r="I41" s="2" t="s">
        <v>248</v>
      </c>
      <c r="J41" s="2" t="s">
        <v>249</v>
      </c>
      <c r="K41" s="2" t="s">
        <v>250</v>
      </c>
      <c r="L41" s="2" t="s">
        <v>214</v>
      </c>
      <c r="M41" s="2" t="s">
        <v>251</v>
      </c>
    </row>
    <row r="42" customFormat="false" ht="15" hidden="false" customHeight="false" outlineLevel="0" collapsed="false">
      <c r="A42" s="12" t="s">
        <v>193</v>
      </c>
      <c r="B42" s="16" t="n">
        <f aca="false">INDEX($B$3:$K$3,MATCH(Datos!$C$3,$B$2:$K$2,0))</f>
        <v>196282.6907</v>
      </c>
      <c r="C42" s="16" t="n">
        <f aca="false">B42*INDEX($B$20:$K$20,MATCH(Datos!$C$3,$B$2:$K$2,0))/(12*Datos!$C$4)</f>
        <v>2515.32587831599</v>
      </c>
      <c r="D42" s="25" t="s">
        <v>218</v>
      </c>
      <c r="E42" s="16" t="n">
        <f aca="false">INDEX($E$25:$E$32,MATCH(D42,$A$25:$A$32,0))</f>
        <v>144</v>
      </c>
      <c r="F42" s="17" t="n">
        <f aca="false">IF(E42=0,0,C42/E42)</f>
        <v>17.4675408216388</v>
      </c>
      <c r="G42" s="7" t="n">
        <v>1.9</v>
      </c>
      <c r="H42" s="26" t="s">
        <v>193</v>
      </c>
      <c r="I42" s="16" t="n">
        <f aca="false">C42*$C$36</f>
        <v>2515.32587831599</v>
      </c>
      <c r="J42" s="17" t="n">
        <f aca="false">IF(INDEX($E$42:$E$58,MATCH($H42,$A$42:$A$58,0))=0,0,I42/INDEX($E$42:$E$58,MATCH($H42,$A$42:$A$58,0)))</f>
        <v>17.4675408216388</v>
      </c>
      <c r="K42" s="16" t="n">
        <f aca="false">C42*G42+I42*INDEX($G$42:$G$58,MATCH($H42,$A$42:$A$58,0))+(F42+J42)*$C$37</f>
        <v>11654.3432361974</v>
      </c>
      <c r="L42" s="4" t="str">
        <f aca="false">INDEX($B$25:$B$32,MATCH(D42,$A$25:$A$32,0))</f>
        <v>A</v>
      </c>
      <c r="M42" s="4" t="str">
        <f aca="false">INDEX($L$42:$L$58,MATCH($H42,$A$42:$A$58,0))</f>
        <v>A</v>
      </c>
    </row>
    <row r="43" customFormat="false" ht="15" hidden="false" customHeight="false" outlineLevel="0" collapsed="false">
      <c r="A43" s="12" t="s">
        <v>194</v>
      </c>
      <c r="B43" s="16" t="n">
        <f aca="false">INDEX($B$4:$K$4,MATCH(Datos!$C$3,$B$2:$K$2,0))</f>
        <v>16620.7612</v>
      </c>
      <c r="C43" s="16" t="n">
        <f aca="false">B43*INDEX($B$20:$K$20,MATCH(Datos!$C$3,$B$2:$K$2,0))/(12*Datos!$C$4)</f>
        <v>212.991938385275</v>
      </c>
      <c r="D43" s="25" t="s">
        <v>221</v>
      </c>
      <c r="E43" s="16" t="n">
        <f aca="false">INDEX($E$25:$E$32,MATCH(D43,$A$25:$A$32,0))</f>
        <v>60</v>
      </c>
      <c r="F43" s="17" t="n">
        <f aca="false">IF(E43=0,0,C43/E43)</f>
        <v>3.54986563975458</v>
      </c>
      <c r="G43" s="7" t="n">
        <v>4.6</v>
      </c>
      <c r="H43" s="26" t="s">
        <v>195</v>
      </c>
      <c r="I43" s="16" t="n">
        <f aca="false">C43*$C$36</f>
        <v>212.991938385275</v>
      </c>
      <c r="J43" s="17" t="n">
        <f aca="false">IF(INDEX($E$42:$E$58,MATCH($H43,$A$42:$A$58,0))=0,0,I43/INDEX($E$42:$E$58,MATCH($H43,$A$42:$A$58,0)))</f>
        <v>4.43733204969323</v>
      </c>
      <c r="K43" s="16" t="n">
        <f aca="false">C43*G43+I43*INDEX($G$42:$G$58,MATCH($H43,$A$42:$A$58,0))+(F43+J43)*$C$37</f>
        <v>3269.42625421397</v>
      </c>
      <c r="L43" s="4" t="str">
        <f aca="false">INDEX($B$25:$B$32,MATCH(D43,$A$25:$A$32,0))</f>
        <v>B</v>
      </c>
      <c r="M43" s="4" t="str">
        <f aca="false">INDEX($L$42:$L$58,MATCH($H43,$A$42:$A$58,0))</f>
        <v>B</v>
      </c>
    </row>
    <row r="44" customFormat="false" ht="15" hidden="false" customHeight="false" outlineLevel="0" collapsed="false">
      <c r="A44" s="12" t="s">
        <v>195</v>
      </c>
      <c r="B44" s="16" t="n">
        <f aca="false">INDEX($B$5:$K$5,MATCH(Datos!$C$3,$B$2:$K$2,0))</f>
        <v>101095.1762</v>
      </c>
      <c r="C44" s="16" t="n">
        <f aca="false">B44*INDEX($B$20:$K$20,MATCH(Datos!$C$3,$B$2:$K$2,0))/(12*Datos!$C$4)</f>
        <v>1295.51572765746</v>
      </c>
      <c r="D44" s="25" t="s">
        <v>224</v>
      </c>
      <c r="E44" s="16" t="n">
        <f aca="false">INDEX($E$25:$E$32,MATCH(D44,$A$25:$A$32,0))</f>
        <v>48</v>
      </c>
      <c r="F44" s="17" t="n">
        <f aca="false">IF(E44=0,0,C44/E44)</f>
        <v>26.9899109928638</v>
      </c>
      <c r="G44" s="7" t="n">
        <v>8.5</v>
      </c>
      <c r="H44" s="26" t="s">
        <v>195</v>
      </c>
      <c r="I44" s="16" t="n">
        <f aca="false">C44*$C$36</f>
        <v>1295.51572765746</v>
      </c>
      <c r="J44" s="17" t="n">
        <f aca="false">IF(INDEX($E$42:$E$58,MATCH($H44,$A$42:$A$58,0))=0,0,I44/INDEX($E$42:$E$58,MATCH($H44,$A$42:$A$58,0)))</f>
        <v>26.9899109928638</v>
      </c>
      <c r="K44" s="16" t="n">
        <f aca="false">C44*G44+I44*INDEX($G$42:$G$58,MATCH($H44,$A$42:$A$58,0))+(F44+J44)*$C$37</f>
        <v>25262.5566893205</v>
      </c>
      <c r="L44" s="4" t="str">
        <f aca="false">INDEX($B$25:$B$32,MATCH(D44,$A$25:$A$32,0))</f>
        <v>B</v>
      </c>
      <c r="M44" s="4" t="str">
        <f aca="false">INDEX($L$42:$L$58,MATCH($H44,$A$42:$A$58,0))</f>
        <v>B</v>
      </c>
    </row>
    <row r="45" customFormat="false" ht="15" hidden="false" customHeight="false" outlineLevel="0" collapsed="false">
      <c r="A45" s="12" t="s">
        <v>196</v>
      </c>
      <c r="B45" s="16" t="n">
        <f aca="false">INDEX($B$6:$K$6,MATCH(Datos!$C$3,$B$2:$K$2,0))</f>
        <v>5985.9509</v>
      </c>
      <c r="C45" s="16" t="n">
        <f aca="false">B45*INDEX($B$20:$K$20,MATCH(Datos!$C$3,$B$2:$K$2,0))/(12*Datos!$C$4)</f>
        <v>76.7088384177063</v>
      </c>
      <c r="D45" s="25" t="s">
        <v>226</v>
      </c>
      <c r="E45" s="16" t="n">
        <f aca="false">INDEX($E$25:$E$32,MATCH(D45,$A$25:$A$32,0))</f>
        <v>32</v>
      </c>
      <c r="F45" s="17" t="n">
        <f aca="false">IF(E45=0,0,C45/E45)</f>
        <v>2.39715120055332</v>
      </c>
      <c r="G45" s="7" t="n">
        <v>16.5</v>
      </c>
      <c r="H45" s="26" t="s">
        <v>196</v>
      </c>
      <c r="I45" s="16" t="n">
        <f aca="false">C45*$C$36</f>
        <v>76.7088384177063</v>
      </c>
      <c r="J45" s="17" t="n">
        <f aca="false">IF(INDEX($E$42:$E$58,MATCH($H45,$A$42:$A$58,0))=0,0,I45/INDEX($E$42:$E$58,MATCH($H45,$A$42:$A$58,0)))</f>
        <v>2.39715120055332</v>
      </c>
      <c r="K45" s="16" t="n">
        <f aca="false">C45*G45+I45*INDEX($G$42:$G$58,MATCH($H45,$A$42:$A$58,0))+(F45+J45)*$C$37</f>
        <v>2819.04981185071</v>
      </c>
      <c r="L45" s="4" t="str">
        <f aca="false">INDEX($B$25:$B$32,MATCH(D45,$A$25:$A$32,0))</f>
        <v>B</v>
      </c>
      <c r="M45" s="4" t="str">
        <f aca="false">INDEX($L$42:$L$58,MATCH($H45,$A$42:$A$58,0))</f>
        <v>B</v>
      </c>
    </row>
    <row r="46" customFormat="false" ht="15" hidden="false" customHeight="false" outlineLevel="0" collapsed="false">
      <c r="A46" s="12" t="s">
        <v>197</v>
      </c>
      <c r="B46" s="16" t="n">
        <f aca="false">INDEX($B$7:$K$7,MATCH(Datos!$C$3,$B$2:$K$2,0))</f>
        <v>8450.8141</v>
      </c>
      <c r="C46" s="16" t="n">
        <f aca="false">B46*INDEX($B$20:$K$20,MATCH(Datos!$C$3,$B$2:$K$2,0))/(12*Datos!$C$4)</f>
        <v>108.295598163856</v>
      </c>
      <c r="D46" s="25" t="s">
        <v>226</v>
      </c>
      <c r="E46" s="16" t="n">
        <f aca="false">INDEX($E$25:$E$32,MATCH(D46,$A$25:$A$32,0))</f>
        <v>32</v>
      </c>
      <c r="F46" s="17" t="n">
        <f aca="false">IF(E46=0,0,C46/E46)</f>
        <v>3.38423744262051</v>
      </c>
      <c r="G46" s="7" t="n">
        <v>12.55</v>
      </c>
      <c r="H46" s="26" t="s">
        <v>197</v>
      </c>
      <c r="I46" s="16" t="n">
        <f aca="false">C46*$C$36</f>
        <v>108.295598163856</v>
      </c>
      <c r="J46" s="17" t="n">
        <f aca="false">IF(INDEX($E$42:$E$58,MATCH($H46,$A$42:$A$58,0))=0,0,I46/INDEX($E$42:$E$58,MATCH($H46,$A$42:$A$58,0)))</f>
        <v>3.38423744262051</v>
      </c>
      <c r="K46" s="16" t="n">
        <f aca="false">C46*G46+I46*INDEX($G$42:$G$58,MATCH($H46,$A$42:$A$58,0))+(F46+J46)*$C$37</f>
        <v>3124.32800702725</v>
      </c>
      <c r="L46" s="4" t="str">
        <f aca="false">INDEX($B$25:$B$32,MATCH(D46,$A$25:$A$32,0))</f>
        <v>B</v>
      </c>
      <c r="M46" s="4" t="str">
        <f aca="false">INDEX($L$42:$L$58,MATCH($H46,$A$42:$A$58,0))</f>
        <v>B</v>
      </c>
    </row>
    <row r="47" customFormat="false" ht="15" hidden="false" customHeight="false" outlineLevel="0" collapsed="false">
      <c r="A47" s="12" t="s">
        <v>198</v>
      </c>
      <c r="B47" s="16" t="n">
        <f aca="false">INDEX($B$8:$K$8,MATCH(Datos!$C$3,$B$2:$K$2,0))</f>
        <v>1604.4414</v>
      </c>
      <c r="C47" s="16" t="n">
        <f aca="false">B47*INDEX($B$20:$K$20,MATCH(Datos!$C$3,$B$2:$K$2,0))/(12*Datos!$C$4)</f>
        <v>20.5606157082375</v>
      </c>
      <c r="D47" s="25" t="s">
        <v>226</v>
      </c>
      <c r="E47" s="16" t="n">
        <f aca="false">INDEX($E$25:$E$32,MATCH(D47,$A$25:$A$32,0))</f>
        <v>32</v>
      </c>
      <c r="F47" s="17" t="n">
        <f aca="false">IF(E47=0,0,C47/E47)</f>
        <v>0.642519240882422</v>
      </c>
      <c r="G47" s="7" t="n">
        <v>12.6</v>
      </c>
      <c r="H47" s="26" t="s">
        <v>198</v>
      </c>
      <c r="I47" s="16" t="n">
        <f aca="false">C47*$C$36</f>
        <v>20.5606157082375</v>
      </c>
      <c r="J47" s="17" t="n">
        <f aca="false">IF(INDEX($E$42:$E$58,MATCH($H47,$A$42:$A$58,0))=0,0,I47/INDEX($E$42:$E$58,MATCH($H47,$A$42:$A$58,0)))</f>
        <v>0.642519240882422</v>
      </c>
      <c r="K47" s="16" t="n">
        <f aca="false">C47*G47+I47*INDEX($G$42:$G$58,MATCH($H47,$A$42:$A$58,0))+(F47+J47)*$C$37</f>
        <v>595.229824753475</v>
      </c>
      <c r="L47" s="4" t="str">
        <f aca="false">INDEX($B$25:$B$32,MATCH(D47,$A$25:$A$32,0))</f>
        <v>B</v>
      </c>
      <c r="M47" s="4" t="str">
        <f aca="false">INDEX($L$42:$L$58,MATCH($H47,$A$42:$A$58,0))</f>
        <v>B</v>
      </c>
    </row>
    <row r="48" customFormat="false" ht="23.85" hidden="false" customHeight="false" outlineLevel="0" collapsed="false">
      <c r="A48" s="12" t="s">
        <v>199</v>
      </c>
      <c r="B48" s="16" t="n">
        <f aca="false">INDEX($B$9:$K$9,MATCH(Datos!$C$3,$B$2:$K$2,0))</f>
        <v>836.3508</v>
      </c>
      <c r="C48" s="16" t="n">
        <f aca="false">B48*INDEX($B$20:$K$20,MATCH(Datos!$C$3,$B$2:$K$2,0))/(12*Datos!$C$4)</f>
        <v>10.717678686225</v>
      </c>
      <c r="D48" s="25" t="s">
        <v>231</v>
      </c>
      <c r="E48" s="16" t="n">
        <f aca="false">INDEX($E$25:$E$32,MATCH(D48,$A$25:$A$32,0))</f>
        <v>2</v>
      </c>
      <c r="F48" s="17" t="n">
        <f aca="false">IF(E48=0,0,C48/E48)</f>
        <v>5.3588393431125</v>
      </c>
      <c r="G48" s="7" t="n">
        <v>100</v>
      </c>
      <c r="H48" s="26" t="s">
        <v>199</v>
      </c>
      <c r="I48" s="16" t="n">
        <f aca="false">C48*$C$36</f>
        <v>10.717678686225</v>
      </c>
      <c r="J48" s="17" t="n">
        <f aca="false">IF(INDEX($E$42:$E$58,MATCH($H48,$A$42:$A$58,0))=0,0,I48/INDEX($E$42:$E$58,MATCH($H48,$A$42:$A$58,0)))</f>
        <v>5.3588393431125</v>
      </c>
      <c r="K48" s="16" t="n">
        <f aca="false">C48*G48+I48*INDEX($G$42:$G$58,MATCH($H48,$A$42:$A$58,0))+(F48+J48)*$C$37</f>
        <v>2786.5964584185</v>
      </c>
      <c r="L48" s="4" t="str">
        <f aca="false">INDEX($B$25:$B$32,MATCH(D48,$A$25:$A$32,0))</f>
        <v>R</v>
      </c>
      <c r="M48" s="4" t="str">
        <f aca="false">INDEX($L$42:$L$58,MATCH($H48,$A$42:$A$58,0))</f>
        <v>R</v>
      </c>
    </row>
    <row r="49" customFormat="false" ht="15" hidden="false" customHeight="false" outlineLevel="0" collapsed="false">
      <c r="A49" s="12" t="s">
        <v>200</v>
      </c>
      <c r="B49" s="16" t="n">
        <f aca="false">INDEX($B$10:$K$10,MATCH(Datos!$C$3,$B$2:$K$2,0))</f>
        <v>483.4792</v>
      </c>
      <c r="C49" s="16" t="n">
        <f aca="false">B49*INDEX($B$20:$K$20,MATCH(Datos!$C$3,$B$2:$K$2,0))/(12*Datos!$C$4)</f>
        <v>6.19569529565</v>
      </c>
      <c r="D49" s="25" t="s">
        <v>224</v>
      </c>
      <c r="E49" s="16" t="n">
        <f aca="false">INDEX($E$25:$E$32,MATCH(D49,$A$25:$A$32,0))</f>
        <v>48</v>
      </c>
      <c r="F49" s="17" t="n">
        <f aca="false">IF(E49=0,0,C49/E49)</f>
        <v>0.129076985326042</v>
      </c>
      <c r="G49" s="7" t="n">
        <v>8.5</v>
      </c>
      <c r="H49" s="26" t="s">
        <v>200</v>
      </c>
      <c r="I49" s="16" t="n">
        <f aca="false">C49*$C$36</f>
        <v>6.19569529565</v>
      </c>
      <c r="J49" s="17" t="n">
        <f aca="false">IF(INDEX($E$42:$E$58,MATCH($H49,$A$42:$A$58,0))=0,0,I49/INDEX($E$42:$E$58,MATCH($H49,$A$42:$A$58,0)))</f>
        <v>0.129076985326042</v>
      </c>
      <c r="K49" s="16" t="n">
        <f aca="false">C49*G49+I49*INDEX($G$42:$G$58,MATCH($H49,$A$42:$A$58,0))+(F49+J49)*$C$37</f>
        <v>120.816058265175</v>
      </c>
      <c r="L49" s="4" t="str">
        <f aca="false">INDEX($B$25:$B$32,MATCH(D49,$A$25:$A$32,0))</f>
        <v>B</v>
      </c>
      <c r="M49" s="4" t="str">
        <f aca="false">INDEX($L$42:$L$58,MATCH($H49,$A$42:$A$58,0))</f>
        <v>B</v>
      </c>
    </row>
    <row r="50" customFormat="false" ht="15" hidden="false" customHeight="false" outlineLevel="0" collapsed="false">
      <c r="A50" s="12" t="s">
        <v>201</v>
      </c>
      <c r="B50" s="16" t="n">
        <f aca="false">INDEX($B$11:$K$11,MATCH(Datos!$C$3,$B$2:$K$2,0))</f>
        <v>4167.5596</v>
      </c>
      <c r="C50" s="16" t="n">
        <f aca="false">B50*INDEX($B$20:$K$20,MATCH(Datos!$C$3,$B$2:$K$2,0))/(12*Datos!$C$4)</f>
        <v>53.406494856575</v>
      </c>
      <c r="D50" s="25" t="s">
        <v>226</v>
      </c>
      <c r="E50" s="16" t="n">
        <f aca="false">INDEX($E$25:$E$32,MATCH(D50,$A$25:$A$32,0))</f>
        <v>32</v>
      </c>
      <c r="F50" s="17" t="n">
        <f aca="false">IF(E50=0,0,C50/E50)</f>
        <v>1.66895296426797</v>
      </c>
      <c r="G50" s="7" t="n">
        <v>8.25</v>
      </c>
      <c r="H50" s="26" t="s">
        <v>201</v>
      </c>
      <c r="I50" s="16" t="n">
        <f aca="false">C50*$C$36</f>
        <v>53.406494856575</v>
      </c>
      <c r="J50" s="17" t="n">
        <f aca="false">IF(INDEX($E$42:$E$58,MATCH($H50,$A$42:$A$58,0))=0,0,I50/INDEX($E$42:$E$58,MATCH($H50,$A$42:$A$58,0)))</f>
        <v>1.66895296426797</v>
      </c>
      <c r="K50" s="16" t="n">
        <f aca="false">C50*G50+I50*INDEX($G$42:$G$58,MATCH($H50,$A$42:$A$58,0))+(F50+J50)*$C$37</f>
        <v>1081.48152084564</v>
      </c>
      <c r="L50" s="4" t="str">
        <f aca="false">INDEX($B$25:$B$32,MATCH(D50,$A$25:$A$32,0))</f>
        <v>B</v>
      </c>
      <c r="M50" s="4" t="str">
        <f aca="false">INDEX($L$42:$L$58,MATCH($H50,$A$42:$A$58,0))</f>
        <v>B</v>
      </c>
    </row>
    <row r="51" customFormat="false" ht="15" hidden="false" customHeight="false" outlineLevel="0" collapsed="false">
      <c r="A51" s="12" t="s">
        <v>202</v>
      </c>
      <c r="B51" s="16" t="n">
        <f aca="false">INDEX($B$12:$K$12,MATCH(Datos!$C$3,$B$2:$K$2,0))</f>
        <v>22734.5017</v>
      </c>
      <c r="C51" s="16" t="n">
        <f aca="false">B51*INDEX($B$20:$K$20,MATCH(Datos!$C$3,$B$2:$K$2,0))/(12*Datos!$C$4)</f>
        <v>291.338376566431</v>
      </c>
      <c r="D51" s="25" t="s">
        <v>221</v>
      </c>
      <c r="E51" s="16" t="n">
        <f aca="false">INDEX($E$25:$E$32,MATCH(D51,$A$25:$A$32,0))</f>
        <v>60</v>
      </c>
      <c r="F51" s="17" t="n">
        <f aca="false">IF(E51=0,0,C51/E51)</f>
        <v>4.85563960944052</v>
      </c>
      <c r="G51" s="7" t="n">
        <v>9</v>
      </c>
      <c r="H51" s="26" t="s">
        <v>203</v>
      </c>
      <c r="I51" s="16" t="n">
        <f aca="false">C51*$C$36</f>
        <v>291.338376566431</v>
      </c>
      <c r="J51" s="17" t="n">
        <f aca="false">IF(INDEX($E$42:$E$58,MATCH($H51,$A$42:$A$58,0))=0,0,I51/INDEX($E$42:$E$58,MATCH($H51,$A$42:$A$58,0)))</f>
        <v>9.10432426770098</v>
      </c>
      <c r="K51" s="16" t="n">
        <f aca="false">C51*G51+I51*INDEX($G$42:$G$58,MATCH($H51,$A$42:$A$58,0))+(F51+J51)*$C$37</f>
        <v>9286.410753055</v>
      </c>
      <c r="L51" s="4" t="str">
        <f aca="false">INDEX($B$25:$B$32,MATCH(D51,$A$25:$A$32,0))</f>
        <v>B</v>
      </c>
      <c r="M51" s="4" t="str">
        <f aca="false">INDEX($L$42:$L$58,MATCH($H51,$A$42:$A$58,0))</f>
        <v>B</v>
      </c>
    </row>
    <row r="52" customFormat="false" ht="15" hidden="false" customHeight="false" outlineLevel="0" collapsed="false">
      <c r="A52" s="12" t="s">
        <v>203</v>
      </c>
      <c r="B52" s="16" t="n">
        <f aca="false">INDEX($B$13:$K$13,MATCH(Datos!$C$3,$B$2:$K$2,0))</f>
        <v>7769.5771</v>
      </c>
      <c r="C52" s="16" t="n">
        <f aca="false">B52*INDEX($B$20:$K$20,MATCH(Datos!$C$3,$B$2:$K$2,0))/(12*Datos!$C$4)</f>
        <v>99.5656737407937</v>
      </c>
      <c r="D52" s="25" t="s">
        <v>226</v>
      </c>
      <c r="E52" s="16" t="n">
        <f aca="false">INDEX($E$25:$E$32,MATCH(D52,$A$25:$A$32,0))</f>
        <v>32</v>
      </c>
      <c r="F52" s="17" t="n">
        <f aca="false">IF(E52=0,0,C52/E52)</f>
        <v>3.1114273043998</v>
      </c>
      <c r="G52" s="7" t="n">
        <v>20</v>
      </c>
      <c r="H52" s="26" t="s">
        <v>203</v>
      </c>
      <c r="I52" s="16" t="n">
        <f aca="false">C52*$C$36</f>
        <v>99.5656737407937</v>
      </c>
      <c r="J52" s="17" t="n">
        <f aca="false">IF(INDEX($E$42:$E$58,MATCH($H52,$A$42:$A$58,0))=0,0,I52/INDEX($E$42:$E$58,MATCH($H52,$A$42:$A$58,0)))</f>
        <v>3.1114273043998</v>
      </c>
      <c r="K52" s="16" t="n">
        <f aca="false">C52*G52+I52*INDEX($G$42:$G$58,MATCH($H52,$A$42:$A$58,0))+(F52+J52)*$C$37</f>
        <v>4355.99822615973</v>
      </c>
      <c r="L52" s="4" t="str">
        <f aca="false">INDEX($B$25:$B$32,MATCH(D52,$A$25:$A$32,0))</f>
        <v>B</v>
      </c>
      <c r="M52" s="4" t="str">
        <f aca="false">INDEX($L$42:$L$58,MATCH($H52,$A$42:$A$58,0))</f>
        <v>B</v>
      </c>
    </row>
    <row r="53" customFormat="false" ht="15" hidden="false" customHeight="false" outlineLevel="0" collapsed="false">
      <c r="A53" s="12" t="s">
        <v>204</v>
      </c>
      <c r="B53" s="16" t="n">
        <f aca="false">INDEX($B$14:$K$14,MATCH(Datos!$C$3,$B$2:$K$2,0))</f>
        <v>1271.9411</v>
      </c>
      <c r="C53" s="16" t="n">
        <f aca="false">B53*INDEX($B$20:$K$20,MATCH(Datos!$C$3,$B$2:$K$2,0))/(12*Datos!$C$4)</f>
        <v>16.2996867075438</v>
      </c>
      <c r="D53" s="25" t="s">
        <v>224</v>
      </c>
      <c r="E53" s="16" t="n">
        <f aca="false">INDEX($E$25:$E$32,MATCH(D53,$A$25:$A$32,0))</f>
        <v>48</v>
      </c>
      <c r="F53" s="17" t="n">
        <f aca="false">IF(E53=0,0,C53/E53)</f>
        <v>0.339576806407161</v>
      </c>
      <c r="G53" s="7" t="n">
        <v>8.5</v>
      </c>
      <c r="H53" s="26" t="s">
        <v>204</v>
      </c>
      <c r="I53" s="16" t="n">
        <f aca="false">C53*$C$36</f>
        <v>16.2996867075438</v>
      </c>
      <c r="J53" s="17" t="n">
        <f aca="false">IF(INDEX($E$42:$E$58,MATCH($H53,$A$42:$A$58,0))=0,0,I53/INDEX($E$42:$E$58,MATCH($H53,$A$42:$A$58,0)))</f>
        <v>0.339576806407161</v>
      </c>
      <c r="K53" s="16" t="n">
        <f aca="false">C53*G53+I53*INDEX($G$42:$G$58,MATCH($H53,$A$42:$A$58,0))+(F53+J53)*$C$37</f>
        <v>317.843890797103</v>
      </c>
      <c r="L53" s="4" t="str">
        <f aca="false">INDEX($B$25:$B$32,MATCH(D53,$A$25:$A$32,0))</f>
        <v>B</v>
      </c>
      <c r="M53" s="4" t="str">
        <f aca="false">INDEX($L$42:$L$58,MATCH($H53,$A$42:$A$58,0))</f>
        <v>B</v>
      </c>
    </row>
    <row r="54" customFormat="false" ht="15" hidden="false" customHeight="false" outlineLevel="0" collapsed="false">
      <c r="A54" s="12" t="s">
        <v>205</v>
      </c>
      <c r="B54" s="16" t="n">
        <f aca="false">INDEX($B$15:$K$15,MATCH(Datos!$C$3,$B$2:$K$2,0))</f>
        <v>436.6868</v>
      </c>
      <c r="C54" s="16" t="n">
        <f aca="false">B54*INDEX($B$20:$K$20,MATCH(Datos!$C$3,$B$2:$K$2,0))/(12*Datos!$C$4)</f>
        <v>5.596059463225</v>
      </c>
      <c r="D54" s="25" t="s">
        <v>226</v>
      </c>
      <c r="E54" s="16" t="n">
        <f aca="false">INDEX($E$25:$E$32,MATCH(D54,$A$25:$A$32,0))</f>
        <v>32</v>
      </c>
      <c r="F54" s="17" t="n">
        <f aca="false">IF(E54=0,0,C54/E54)</f>
        <v>0.174876858225781</v>
      </c>
      <c r="G54" s="7" t="n">
        <v>16.5</v>
      </c>
      <c r="H54" s="26" t="s">
        <v>205</v>
      </c>
      <c r="I54" s="16" t="n">
        <f aca="false">C54*$C$36</f>
        <v>5.596059463225</v>
      </c>
      <c r="J54" s="17" t="n">
        <f aca="false">IF(INDEX($E$42:$E$58,MATCH($H54,$A$42:$A$58,0))=0,0,I54/INDEX($E$42:$E$58,MATCH($H54,$A$42:$A$58,0)))</f>
        <v>0.174876858225781</v>
      </c>
      <c r="K54" s="16" t="n">
        <f aca="false">C54*G54+I54*INDEX($G$42:$G$58,MATCH($H54,$A$42:$A$58,0))+(F54+J54)*$C$37</f>
        <v>205.655185273519</v>
      </c>
      <c r="L54" s="4" t="str">
        <f aca="false">INDEX($B$25:$B$32,MATCH(D54,$A$25:$A$32,0))</f>
        <v>B</v>
      </c>
      <c r="M54" s="4" t="str">
        <f aca="false">INDEX($L$42:$L$58,MATCH($H54,$A$42:$A$58,0))</f>
        <v>B</v>
      </c>
    </row>
    <row r="55" customFormat="false" ht="23.85" hidden="false" customHeight="false" outlineLevel="0" collapsed="false">
      <c r="A55" s="12" t="s">
        <v>206</v>
      </c>
      <c r="B55" s="16" t="n">
        <f aca="false">INDEX($B$16:$K$16,MATCH(Datos!$C$3,$B$2:$K$2,0))</f>
        <v>1041.9397</v>
      </c>
      <c r="C55" s="16" t="n">
        <f aca="false">B55*INDEX($B$20:$K$20,MATCH(Datos!$C$3,$B$2:$K$2,0))/(12*Datos!$C$4)</f>
        <v>13.3522618918062</v>
      </c>
      <c r="D55" s="25" t="s">
        <v>228</v>
      </c>
      <c r="E55" s="16" t="n">
        <f aca="false">INDEX($E$25:$E$32,MATCH(D55,$A$25:$A$32,0))</f>
        <v>2</v>
      </c>
      <c r="F55" s="17" t="n">
        <f aca="false">IF(E55=0,0,C55/E55)</f>
        <v>6.67613094590312</v>
      </c>
      <c r="G55" s="7" t="n">
        <v>55</v>
      </c>
      <c r="H55" s="26" t="s">
        <v>207</v>
      </c>
      <c r="I55" s="16" t="n">
        <f aca="false">C55*$C$36</f>
        <v>13.3522618918062</v>
      </c>
      <c r="J55" s="17" t="n">
        <f aca="false">IF(INDEX($E$42:$E$58,MATCH($H55,$A$42:$A$58,0))=0,0,I55/INDEX($E$42:$E$58,MATCH($H55,$A$42:$A$58,0)))</f>
        <v>6.67613094590312</v>
      </c>
      <c r="K55" s="16" t="n">
        <f aca="false">C55*G55+I55*INDEX($G$42:$G$58,MATCH($H55,$A$42:$A$58,0))+(F55+J55)*$C$37</f>
        <v>2870.73630673834</v>
      </c>
      <c r="L55" s="4" t="str">
        <f aca="false">INDEX($B$25:$B$32,MATCH(D55,$A$25:$A$32,0))</f>
        <v>R</v>
      </c>
      <c r="M55" s="4" t="str">
        <f aca="false">INDEX($L$42:$L$58,MATCH($H55,$A$42:$A$58,0))</f>
        <v>R</v>
      </c>
    </row>
    <row r="56" customFormat="false" ht="23.85" hidden="false" customHeight="false" outlineLevel="0" collapsed="false">
      <c r="A56" s="12" t="s">
        <v>207</v>
      </c>
      <c r="B56" s="16" t="n">
        <f aca="false">INDEX($B$17:$K$17,MATCH(Datos!$C$3,$B$2:$K$2,0))</f>
        <v>2292.2673</v>
      </c>
      <c r="C56" s="16" t="n">
        <f aca="false">B56*INDEX($B$20:$K$20,MATCH(Datos!$C$3,$B$2:$K$2,0))/(12*Datos!$C$4)</f>
        <v>29.3749756493812</v>
      </c>
      <c r="D56" s="25" t="s">
        <v>231</v>
      </c>
      <c r="E56" s="16" t="n">
        <f aca="false">INDEX($E$25:$E$32,MATCH(D56,$A$25:$A$32,0))</f>
        <v>2</v>
      </c>
      <c r="F56" s="17" t="n">
        <f aca="false">IF(E56=0,0,C56/E56)</f>
        <v>14.6874878246906</v>
      </c>
      <c r="G56" s="7" t="n">
        <v>100</v>
      </c>
      <c r="H56" s="26" t="s">
        <v>207</v>
      </c>
      <c r="I56" s="16" t="n">
        <f aca="false">C56*$C$36</f>
        <v>29.3749756493812</v>
      </c>
      <c r="J56" s="17" t="n">
        <f aca="false">IF(INDEX($E$42:$E$58,MATCH($H56,$A$42:$A$58,0))=0,0,I56/INDEX($E$42:$E$58,MATCH($H56,$A$42:$A$58,0)))</f>
        <v>14.6874878246906</v>
      </c>
      <c r="K56" s="16" t="n">
        <f aca="false">C56*G56+I56*INDEX($G$42:$G$58,MATCH($H56,$A$42:$A$58,0))+(F56+J56)*$C$37</f>
        <v>7637.49366883912</v>
      </c>
      <c r="L56" s="4" t="str">
        <f aca="false">INDEX($B$25:$B$32,MATCH(D56,$A$25:$A$32,0))</f>
        <v>R</v>
      </c>
      <c r="M56" s="4" t="str">
        <f aca="false">INDEX($L$42:$L$58,MATCH($H56,$A$42:$A$58,0))</f>
        <v>R</v>
      </c>
    </row>
    <row r="57" customFormat="false" ht="23.85" hidden="false" customHeight="false" outlineLevel="0" collapsed="false">
      <c r="A57" s="12" t="s">
        <v>208</v>
      </c>
      <c r="B57" s="16" t="n">
        <f aca="false">INDEX($B$18:$K$18,MATCH(Datos!$C$3,$B$2:$K$2,0))</f>
        <v>500.1311</v>
      </c>
      <c r="C57" s="16" t="n">
        <f aca="false">B57*INDEX($B$20:$K$20,MATCH(Datos!$C$3,$B$2:$K$2,0))/(12*Datos!$C$4)</f>
        <v>6.40908627191875</v>
      </c>
      <c r="D57" s="25" t="s">
        <v>232</v>
      </c>
      <c r="E57" s="16" t="n">
        <f aca="false">INDEX($E$25:$E$32,MATCH(D57,$A$25:$A$32,0))</f>
        <v>1</v>
      </c>
      <c r="F57" s="17" t="n">
        <f aca="false">IF(E57=0,0,C57/E57)</f>
        <v>6.40908627191875</v>
      </c>
      <c r="G57" s="7" t="n">
        <v>140</v>
      </c>
      <c r="H57" s="26" t="s">
        <v>209</v>
      </c>
      <c r="I57" s="16" t="n">
        <f aca="false">C57*$C$36</f>
        <v>6.40908627191875</v>
      </c>
      <c r="J57" s="17" t="n">
        <f aca="false">IF(INDEX($E$42:$E$58,MATCH($H57,$A$42:$A$58,0))=0,0,I57/INDEX($E$42:$E$58,MATCH($H57,$A$42:$A$58,0)))</f>
        <v>6.40908627191875</v>
      </c>
      <c r="K57" s="16" t="n">
        <f aca="false">C57*G57+I57*INDEX($G$42:$G$58,MATCH($H57,$A$42:$A$58,0))+(F57+J57)*$C$37</f>
        <v>2852.04339100384</v>
      </c>
      <c r="L57" s="4" t="str">
        <f aca="false">INDEX($B$25:$B$32,MATCH(D57,$A$25:$A$32,0))</f>
        <v>R</v>
      </c>
      <c r="M57" s="4" t="str">
        <f aca="false">INDEX($L$42:$L$58,MATCH($H57,$A$42:$A$58,0))</f>
        <v>R</v>
      </c>
    </row>
    <row r="58" customFormat="false" ht="23.85" hidden="false" customHeight="false" outlineLevel="0" collapsed="false">
      <c r="A58" s="12" t="s">
        <v>209</v>
      </c>
      <c r="B58" s="16" t="n">
        <f aca="false">INDEX($B$19:$K$19,MATCH(Datos!$C$3,$B$2:$K$2,0))</f>
        <v>333.4207</v>
      </c>
      <c r="C58" s="16" t="n">
        <f aca="false">B58*INDEX($B$20:$K$20,MATCH(Datos!$C$3,$B$2:$K$2,0))/(12*Datos!$C$4)</f>
        <v>4.27272375411875</v>
      </c>
      <c r="D58" s="25" t="s">
        <v>233</v>
      </c>
      <c r="E58" s="16" t="n">
        <f aca="false">INDEX($E$25:$E$32,MATCH(D58,$A$25:$A$32,0))</f>
        <v>1</v>
      </c>
      <c r="F58" s="17" t="n">
        <f aca="false">IF(E58=0,0,C58/E58)</f>
        <v>4.27272375411875</v>
      </c>
      <c r="G58" s="7" t="n">
        <v>185</v>
      </c>
      <c r="H58" s="26" t="s">
        <v>209</v>
      </c>
      <c r="I58" s="16" t="n">
        <f aca="false">C58*$C$36</f>
        <v>4.27272375411875</v>
      </c>
      <c r="J58" s="17" t="n">
        <f aca="false">IF(INDEX($E$42:$E$58,MATCH($H58,$A$42:$A$58,0))=0,0,I58/INDEX($E$42:$E$58,MATCH($H58,$A$42:$A$58,0)))</f>
        <v>4.27272375411875</v>
      </c>
      <c r="K58" s="16" t="n">
        <f aca="false">C58*G58+I58*INDEX($G$42:$G$58,MATCH($H58,$A$42:$A$58,0))+(F58+J58)*$C$37</f>
        <v>2093.63463951819</v>
      </c>
      <c r="L58" s="4" t="str">
        <f aca="false">INDEX($B$25:$B$32,MATCH(D58,$A$25:$A$32,0))</f>
        <v>R</v>
      </c>
      <c r="M58" s="4" t="str">
        <f aca="false">INDEX($L$42:$L$58,MATCH($H58,$A$42:$A$58,0))</f>
        <v>R</v>
      </c>
    </row>
    <row r="59" customFormat="false" ht="15" hidden="false" customHeight="false" outlineLevel="0" collapsed="false">
      <c r="A59" s="12" t="s">
        <v>112</v>
      </c>
      <c r="B59" s="13" t="n">
        <f aca="false">SUM(B42:B58)</f>
        <v>371907.6896</v>
      </c>
      <c r="C59" s="13" t="n">
        <f aca="false">SUM(C42:C58)</f>
        <v>4765.9273095322</v>
      </c>
      <c r="F59" s="13" t="n">
        <f aca="false">SUM(F42:F58)</f>
        <v>102.115044006124</v>
      </c>
      <c r="I59" s="13" t="n">
        <f aca="false">SUM(I42:I58)</f>
        <v>4765.9273095322</v>
      </c>
      <c r="J59" s="13" t="n">
        <f aca="false">SUM(J42:J58)</f>
        <v>107.251195074324</v>
      </c>
      <c r="K59" s="13" t="n">
        <f aca="false">SUM(K42:K58)</f>
        <v>80333.6439222775</v>
      </c>
    </row>
    <row r="60" customFormat="false" ht="23.85" hidden="false" customHeight="true" outlineLevel="0" collapsed="false">
      <c r="A60" s="3" t="s">
        <v>252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</sheetData>
  <mergeCells count="15">
    <mergeCell ref="A21:M21"/>
    <mergeCell ref="F24:M24"/>
    <mergeCell ref="F25:M25"/>
    <mergeCell ref="F26:M26"/>
    <mergeCell ref="F27:M27"/>
    <mergeCell ref="F28:M28"/>
    <mergeCell ref="F29:M29"/>
    <mergeCell ref="F30:M30"/>
    <mergeCell ref="F31:M31"/>
    <mergeCell ref="F32:M32"/>
    <mergeCell ref="D35:M35"/>
    <mergeCell ref="D36:M36"/>
    <mergeCell ref="D37:M37"/>
    <mergeCell ref="D38:M38"/>
    <mergeCell ref="A60:M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  <c r="B2" s="2" t="s">
        <v>2</v>
      </c>
      <c r="C2" s="2" t="s">
        <v>255</v>
      </c>
      <c r="D2" s="2" t="s">
        <v>256</v>
      </c>
      <c r="E2" s="2" t="s">
        <v>257</v>
      </c>
      <c r="F2" s="2" t="s">
        <v>258</v>
      </c>
      <c r="G2" s="2" t="s">
        <v>259</v>
      </c>
    </row>
    <row r="3" customFormat="false" ht="15" hidden="false" customHeight="false" outlineLevel="0" collapsed="false">
      <c r="A3" s="3" t="s">
        <v>260</v>
      </c>
      <c r="B3" s="4"/>
      <c r="C3" s="16" t="n">
        <f aca="false">SUMIF(Recargas!$L$42:$L$58,"A",Recargas!$F$42:$F$58)</f>
        <v>17.4675408216388</v>
      </c>
      <c r="D3" s="16" t="n">
        <f aca="false">SUMIF(Recargas!$L$42:$L$58,"B",Recargas!$F$42:$F$58)</f>
        <v>47.2432350447419</v>
      </c>
      <c r="E3" s="16" t="n">
        <f aca="false">SUMIF(Recargas!$L$42:$L$58,"R",Recargas!$F$42:$F$58)</f>
        <v>37.4042681397438</v>
      </c>
      <c r="F3" s="16" t="n">
        <f aca="false">SUM(C3:E3)</f>
        <v>102.115044006125</v>
      </c>
      <c r="G3" s="16" t="n">
        <f aca="false">SUMPRODUCT(Recargas!$C$42:$C$58,Recargas!$G$42:$G$58)+SUM(Recargas!$F$42:$F$58)*Recargas!$C$37</f>
        <v>37550.4117444423</v>
      </c>
    </row>
    <row r="4" customFormat="false" ht="15" hidden="false" customHeight="false" outlineLevel="0" collapsed="false">
      <c r="A4" s="12" t="s">
        <v>261</v>
      </c>
      <c r="B4" s="4"/>
      <c r="C4" s="13" t="n">
        <f aca="false">SUMIF(Recargas!$L$42:$L$58,"A",Recargas!$F$42:$F$58)+SUMIF(Recargas!$M$42:$M$58,"A",Recargas!$J$42:$J$58)</f>
        <v>34.9350816432777</v>
      </c>
      <c r="D4" s="13" t="n">
        <f aca="false">SUMIF(Recargas!$L$42:$L$58,"B",Recargas!$F$42:$F$58)+SUMIF(Recargas!$M$42:$M$58,"B",Recargas!$J$42:$J$58)</f>
        <v>99.6226211576829</v>
      </c>
      <c r="E4" s="13" t="n">
        <f aca="false">SUMIF(Recargas!$L$42:$L$58,"R",Recargas!$F$42:$F$58)+SUMIF(Recargas!$M$42:$M$58,"R",Recargas!$J$42:$J$58)</f>
        <v>74.8085362794875</v>
      </c>
      <c r="F4" s="13" t="n">
        <f aca="false">SUM(C4:E4)</f>
        <v>209.366239080448</v>
      </c>
      <c r="G4" s="13" t="n">
        <f aca="false">Recargas!K59</f>
        <v>80333.6439222775</v>
      </c>
    </row>
    <row r="6" customFormat="false" ht="23.85" hidden="false" customHeight="false" outlineLevel="0" collapsed="false">
      <c r="A6" s="2" t="s">
        <v>262</v>
      </c>
      <c r="B6" s="2" t="s">
        <v>263</v>
      </c>
      <c r="C6" s="2" t="s">
        <v>264</v>
      </c>
      <c r="D6" s="2" t="s">
        <v>265</v>
      </c>
      <c r="E6" s="2" t="s">
        <v>266</v>
      </c>
      <c r="F6" s="2" t="s">
        <v>160</v>
      </c>
      <c r="G6" s="2" t="s">
        <v>267</v>
      </c>
    </row>
    <row r="7" customFormat="false" ht="15" hidden="false" customHeight="false" outlineLevel="0" collapsed="false">
      <c r="A7" s="3" t="s">
        <v>268</v>
      </c>
      <c r="B7" s="6" t="n">
        <v>19</v>
      </c>
      <c r="C7" s="6" t="n">
        <v>2000</v>
      </c>
      <c r="D7" s="17" t="n">
        <f aca="false">IF(B7=0,0,$F$4/B7)</f>
        <v>11.0192757410762</v>
      </c>
      <c r="E7" s="17" t="n">
        <f aca="false">IF(C7=0,0,$G$4/C7)</f>
        <v>40.1668219611388</v>
      </c>
      <c r="F7" s="18" t="n">
        <f aca="false">MAX(D7,E7)</f>
        <v>40.1668219611388</v>
      </c>
      <c r="G7" s="18" t="n">
        <f aca="false">F7/Recargas!$C$38</f>
        <v>8.03336439222775</v>
      </c>
    </row>
    <row r="8" customFormat="false" ht="15" hidden="false" customHeight="false" outlineLevel="0" collapsed="false">
      <c r="A8" s="3" t="s">
        <v>269</v>
      </c>
      <c r="B8" s="16" t="n">
        <f aca="false">Camion!C20</f>
        <v>6</v>
      </c>
      <c r="C8" s="16" t="n">
        <f aca="false">Datos!$C$48</f>
        <v>6000</v>
      </c>
      <c r="D8" s="17" t="n">
        <f aca="false">IF(B8=0,0,$F$4/B8)</f>
        <v>34.8943731800747</v>
      </c>
      <c r="E8" s="17" t="n">
        <f aca="false">IF(C8=0,0,$G$4/C8)</f>
        <v>13.3889406537129</v>
      </c>
      <c r="F8" s="18" t="n">
        <f aca="false">MAX(D8,E8)</f>
        <v>34.8943731800747</v>
      </c>
      <c r="G8" s="18" t="n">
        <f aca="false">F8/Recargas!$C$38</f>
        <v>6.97887463601494</v>
      </c>
    </row>
    <row r="9" customFormat="false" ht="15" hidden="false" customHeight="false" outlineLevel="0" collapsed="false">
      <c r="A9" s="3" t="s">
        <v>270</v>
      </c>
      <c r="B9" s="16" t="n">
        <f aca="false">Camion!C5</f>
        <v>14</v>
      </c>
      <c r="C9" s="16" t="n">
        <f aca="false">Datos!$C$42</f>
        <v>12000</v>
      </c>
      <c r="D9" s="17" t="n">
        <f aca="false">IF(B9=0,0,$F$4/B9)</f>
        <v>14.9547313628892</v>
      </c>
      <c r="E9" s="17" t="n">
        <f aca="false">IF(C9=0,0,$G$4/C9)</f>
        <v>6.69447032685646</v>
      </c>
      <c r="F9" s="18" t="n">
        <f aca="false">MAX(D9,E9)</f>
        <v>14.9547313628892</v>
      </c>
      <c r="G9" s="18" t="n">
        <f aca="false">F9/Recargas!$C$38</f>
        <v>2.99094627257783</v>
      </c>
    </row>
    <row r="10" customFormat="false" ht="15" hidden="false" customHeight="false" outlineLevel="0" collapsed="false">
      <c r="A10" s="3" t="s">
        <v>271</v>
      </c>
      <c r="B10" s="4" t="s">
        <v>161</v>
      </c>
      <c r="C10" s="27"/>
      <c r="D10" s="27"/>
      <c r="E10" s="27"/>
      <c r="F10" s="27"/>
      <c r="G10" s="5" t="n">
        <v>3</v>
      </c>
    </row>
    <row r="11" customFormat="false" ht="15" hidden="false" customHeight="false" outlineLevel="0" collapsed="false">
      <c r="A11" s="12" t="s">
        <v>272</v>
      </c>
      <c r="B11" s="22" t="str">
        <f aca="false">INDEX(A7:A9,MATCH(MIN(F7:F9),F7:F9,0))</f>
        <v>Sider GyL Full para balancín 7,50 m</v>
      </c>
      <c r="C11" s="22"/>
      <c r="D11" s="22"/>
      <c r="E11" s="22"/>
      <c r="F11" s="18" t="n">
        <f aca="false">MIN(F7:F9)</f>
        <v>14.9547313628892</v>
      </c>
      <c r="G11" s="18" t="n">
        <f aca="false">MIN(G7:G9)</f>
        <v>2.99094627257783</v>
      </c>
    </row>
    <row r="12" customFormat="false" ht="15" hidden="false" customHeight="false" outlineLevel="0" collapsed="false">
      <c r="A12" s="12" t="s">
        <v>273</v>
      </c>
      <c r="B12" s="4"/>
      <c r="C12" s="12"/>
      <c r="D12" s="12"/>
      <c r="E12" s="12"/>
      <c r="F12" s="12"/>
      <c r="G12" s="22" t="str">
        <f aca="false">IF(G11&lt;=G10,"sí","no")</f>
        <v>sí</v>
      </c>
    </row>
    <row r="14" customFormat="false" ht="15" hidden="false" customHeight="false" outlineLevel="0" collapsed="false">
      <c r="A14" s="2" t="s">
        <v>274</v>
      </c>
      <c r="B14" s="2" t="s">
        <v>2</v>
      </c>
      <c r="C14" s="2" t="s">
        <v>275</v>
      </c>
      <c r="D14" s="2" t="s">
        <v>267</v>
      </c>
      <c r="E14" s="2" t="s">
        <v>262</v>
      </c>
    </row>
    <row r="15" customFormat="false" ht="15" hidden="false" customHeight="true" outlineLevel="0" collapsed="false">
      <c r="A15" s="3" t="s">
        <v>276</v>
      </c>
      <c r="B15" s="4" t="s">
        <v>32</v>
      </c>
      <c r="C15" s="16" t="n">
        <f aca="false">Escenarios!G27/(Datos!$C$4*Recargas!$C$38)</f>
        <v>412.5265036165</v>
      </c>
      <c r="D15" s="17" t="n">
        <f aca="false">Escenarios!G35/(Datos!$C$4*Recargas!$C$38)</f>
        <v>0.49330132672877</v>
      </c>
      <c r="E15" s="28" t="s">
        <v>277</v>
      </c>
      <c r="F15" s="28"/>
      <c r="G15" s="28"/>
    </row>
    <row r="16" customFormat="false" ht="15" hidden="false" customHeight="false" outlineLevel="0" collapsed="false">
      <c r="A16" s="3" t="s">
        <v>278</v>
      </c>
      <c r="B16" s="4" t="s">
        <v>32</v>
      </c>
      <c r="C16" s="16" t="n">
        <f aca="false">Recargas!C59/Recargas!$C$38</f>
        <v>953.18546190644</v>
      </c>
      <c r="D16" s="17" t="n">
        <f aca="false">MAX(F3/INDEX(B7:B9,MATCH(MIN(F7:F9),F7:F9,0)),G3/INDEX(C7:C9,MATCH(MIN(F7:F9),F7:F9,0)))/Recargas!$C$38</f>
        <v>1.45878634294464</v>
      </c>
      <c r="E16" s="28" t="str">
        <f aca="false">B11</f>
        <v>Sider GyL Full para balancín 7,50 m</v>
      </c>
      <c r="F16" s="28"/>
      <c r="G16" s="28"/>
    </row>
    <row r="17" customFormat="false" ht="15" hidden="false" customHeight="false" outlineLevel="0" collapsed="false">
      <c r="A17" s="12" t="s">
        <v>261</v>
      </c>
      <c r="B17" s="4" t="s">
        <v>32</v>
      </c>
      <c r="C17" s="13" t="n">
        <f aca="false">(Recargas!C59+Recargas!I59)/Recargas!$C$38</f>
        <v>1906.37092381288</v>
      </c>
      <c r="D17" s="18" t="n">
        <f aca="false">G11</f>
        <v>2.99094627257783</v>
      </c>
      <c r="E17" s="29" t="str">
        <f aca="false">B11</f>
        <v>Sider GyL Full para balancín 7,50 m</v>
      </c>
      <c r="F17" s="29"/>
      <c r="G17" s="29"/>
    </row>
    <row r="19" customFormat="false" ht="15" hidden="false" customHeight="false" outlineLevel="0" collapsed="false">
      <c r="A19" s="2" t="s">
        <v>279</v>
      </c>
      <c r="B19" s="2" t="s">
        <v>2</v>
      </c>
      <c r="C19" s="2" t="s">
        <v>255</v>
      </c>
      <c r="D19" s="2" t="s">
        <v>256</v>
      </c>
      <c r="E19" s="2" t="s">
        <v>257</v>
      </c>
      <c r="F19" s="2" t="s">
        <v>259</v>
      </c>
    </row>
    <row r="20" customFormat="false" ht="15" hidden="false" customHeight="false" outlineLevel="0" collapsed="false">
      <c r="A20" s="3" t="s">
        <v>280</v>
      </c>
      <c r="B20" s="4"/>
      <c r="C20" s="6" t="n">
        <v>9</v>
      </c>
      <c r="D20" s="6" t="n">
        <v>8</v>
      </c>
      <c r="E20" s="6" t="n">
        <v>2</v>
      </c>
      <c r="F20" s="6" t="n">
        <v>2000</v>
      </c>
    </row>
    <row r="21" customFormat="false" ht="15" hidden="false" customHeight="false" outlineLevel="0" collapsed="false">
      <c r="A21" s="3" t="s">
        <v>281</v>
      </c>
      <c r="B21" s="4" t="s">
        <v>18</v>
      </c>
      <c r="C21" s="16" t="n">
        <f aca="false">C20*INDEX(Recargas!$C$25:$C$32,MATCH("A 1 kg",Recargas!$A$25:$A$32,0))*INDEX(Recargas!$G$42:$G$58,MATCH("ABC 1 kg",Recargas!$A$42:$A$58,0))</f>
        <v>1231.2</v>
      </c>
    </row>
    <row r="22" customFormat="false" ht="23.85" hidden="false" customHeight="false" outlineLevel="0" collapsed="false">
      <c r="A22" s="12" t="s">
        <v>282</v>
      </c>
      <c r="B22" s="4" t="s">
        <v>18</v>
      </c>
      <c r="C22" s="13" t="n">
        <f aca="false">C21+D20*INDEX(Recargas!$C$25:$C$32,MATCH("B 5 kg",Recargas!$A$25:$A$32,0))*INDEX(Recargas!$G$42:$G$58,MATCH("ABC 5 kg",Recargas!$A$42:$A$58,0))+E20*INDEX(Recargas!$C$25:$C$32,MATCH("R 50 kg",Recargas!$A$25:$A$32,0))*INDEX(Recargas!$G$42:$G$58,MATCH("ABC 50 kg s/ruedas",Recargas!$A$42:$A$58,0))+(C20+D20+E20)*Recargas!$C$37</f>
        <v>4403.2</v>
      </c>
    </row>
    <row r="23" customFormat="false" ht="15" hidden="false" customHeight="false" outlineLevel="0" collapsed="false">
      <c r="A23" s="12" t="s">
        <v>283</v>
      </c>
      <c r="B23" s="4"/>
      <c r="C23" s="22" t="str">
        <f aca="false">IF(C22&lt;=F20,"sí","no")</f>
        <v>no</v>
      </c>
    </row>
    <row r="25" customFormat="false" ht="23.85" hidden="false" customHeight="true" outlineLevel="0" collapsed="false">
      <c r="A25" s="3" t="s">
        <v>284</v>
      </c>
      <c r="B25" s="3"/>
      <c r="C25" s="3"/>
      <c r="D25" s="3"/>
      <c r="E25" s="3"/>
      <c r="F25" s="3"/>
      <c r="G25" s="3"/>
    </row>
  </sheetData>
  <mergeCells count="5">
    <mergeCell ref="B11:E11"/>
    <mergeCell ref="E15:G15"/>
    <mergeCell ref="E16:G16"/>
    <mergeCell ref="E17:G17"/>
    <mergeCell ref="A25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1" min="2" style="0" width="12"/>
  </cols>
  <sheetData>
    <row r="1" customFormat="false" ht="15" hidden="false" customHeight="false" outlineLevel="0" collapsed="false">
      <c r="A1" s="1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2026-10-16T22:10:21Z</dcterms:created>
  <dc:creator>openpyxl</dc:creator>
  <dc:description/>
  <dc:language>en-US</dc:language>
  <cp:lastModifiedBy/>
  <dcterms:modified xsi:type="dcterms:W3CDTF">2026-10-16T22:10:24Z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