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Produccion" sheetId="2" state="visible" r:id="rId4"/>
    <sheet name="Pallet" sheetId="3" state="visible" r:id="rId5"/>
    <sheet name="Camion" sheetId="4" state="visible" r:id="rId6"/>
    <sheet name="E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<sst xmlns="http://schemas.openxmlformats.org/spreadsheetml/2006/main" count="541" uniqueCount="178">
  <si>
    <t xml:space="preserve">General</t>
  </si>
  <si>
    <t xml:space="preserve">Parámetro</t>
  </si>
  <si>
    <t xml:space="preserve">Unidad</t>
  </si>
  <si>
    <t xml:space="preserve">Valor</t>
  </si>
  <si>
    <t xml:space="preserve">Fuente</t>
  </si>
  <si>
    <t xml:space="preserve">Año de análisis</t>
  </si>
  <si>
    <t xml:space="preserve">año</t>
  </si>
  <si>
    <t xml:space="preserve">Año de diseño de la planta</t>
  </si>
  <si>
    <t xml:space="preserve">Semanas por mes</t>
  </si>
  <si>
    <t xml:space="preserve">sem</t>
  </si>
  <si>
    <t xml:space="preserve">20 días hábiles ÷ 5 (MP, hoja Volumenes)</t>
  </si>
  <si>
    <t xml:space="preserve">Pallet</t>
  </si>
  <si>
    <t xml:space="preserve">Largo</t>
  </si>
  <si>
    <t xml:space="preserve">mm</t>
  </si>
  <si>
    <t xml:space="preserve">ARLOG IRAM 10016 (MP - Abastecimiento y Almacenamiento, hoja Pallets PT)</t>
  </si>
  <si>
    <t xml:space="preserve">Ancho</t>
  </si>
  <si>
    <t xml:space="preserve">Alto</t>
  </si>
  <si>
    <t xml:space="preserve">Tara</t>
  </si>
  <si>
    <t xml:space="preserve">kg</t>
  </si>
  <si>
    <t xml:space="preserve">Altura máxima con la carga</t>
  </si>
  <si>
    <t xml:space="preserve">Envolvedora EDOS, 1.000 a 1.700 mm (MP - Abastecimiento y Almacenamiento, hoja Pallets PT)</t>
  </si>
  <si>
    <t xml:space="preserve">Peso máximo de la carga</t>
  </si>
  <si>
    <t xml:space="preserve">EDOS 600 a 1.200 kg; ARLOG 1.500 kg (MP - Abastecimiento y Almacenamiento, hoja Pallets PT)</t>
  </si>
  <si>
    <t xml:space="preserve">Separador de cartón: espesor</t>
  </si>
  <si>
    <t xml:space="preserve">MP - Abastecimiento y Almacenamiento, hoja Pallets PT (estimación)</t>
  </si>
  <si>
    <t xml:space="preserve">Separador de cartón: masa</t>
  </si>
  <si>
    <t xml:space="preserve">Matafuegos manuales en caja</t>
  </si>
  <si>
    <t xml:space="preserve">1 kg</t>
  </si>
  <si>
    <t xml:space="preserve">2,5 kg</t>
  </si>
  <si>
    <t xml:space="preserve">5 kg</t>
  </si>
  <si>
    <t xml:space="preserve">10 kg</t>
  </si>
  <si>
    <t xml:space="preserve">Matafuegos por caja</t>
  </si>
  <si>
    <t xml:space="preserve">u</t>
  </si>
  <si>
    <t xml:space="preserve">ET's Matafuegos (MP - Abastecimiento y Almacenamiento, hoja Pallets PT, sección B)</t>
  </si>
  <si>
    <t xml:space="preserve">Caja: largo</t>
  </si>
  <si>
    <t xml:space="preserve">MP - Abastecimiento y Almacenamiento, hoja Pallets PT, sección B</t>
  </si>
  <si>
    <t xml:space="preserve">Caja: ancho</t>
  </si>
  <si>
    <t xml:space="preserve">Caja: alto</t>
  </si>
  <si>
    <t xml:space="preserve">Caja: tara</t>
  </si>
  <si>
    <t xml:space="preserve">MP - Abastecimiento y Almacenamiento, hoja Pallets PT, sección B (estimación)</t>
  </si>
  <si>
    <t xml:space="preserve">Matafuego lleno con accesorios</t>
  </si>
  <si>
    <t xml:space="preserve">Cilindros vendidos vacíos</t>
  </si>
  <si>
    <t xml:space="preserve">25 kg</t>
  </si>
  <si>
    <t xml:space="preserve">50 kg</t>
  </si>
  <si>
    <t xml:space="preserve">70 kg</t>
  </si>
  <si>
    <t xml:space="preserve">100 kg</t>
  </si>
  <si>
    <t xml:space="preserve">Ø</t>
  </si>
  <si>
    <t xml:space="preserve">MP, hoja Geometria Acero</t>
  </si>
  <si>
    <t xml:space="preserve">Alto con tapón</t>
  </si>
  <si>
    <t xml:space="preserve">Masa</t>
  </si>
  <si>
    <t xml:space="preserve">Rodantes terminados</t>
  </si>
  <si>
    <t xml:space="preserve">Carro: largo</t>
  </si>
  <si>
    <t xml:space="preserve">MP - Abastecimiento y Almacenamiento, hoja Pallets PT, sección C</t>
  </si>
  <si>
    <t xml:space="preserve">Carro: ancho</t>
  </si>
  <si>
    <t xml:space="preserve">Peso cargado</t>
  </si>
  <si>
    <t xml:space="preserve">Ficha técnica Georgia ABC 90 (FLAMA_BOM, hoja Mercado)</t>
  </si>
  <si>
    <t xml:space="preserve">Camión: Sider GyL Full para balancín (carga por los laterales)</t>
  </si>
  <si>
    <t xml:space="preserve">Largo útil</t>
  </si>
  <si>
    <t xml:space="preserve">m</t>
  </si>
  <si>
    <t xml:space="preserve">7,50 m (GyL, agroads.com.ar/detalle.asp?clasi=957986) − 0,10 m (criterio)</t>
  </si>
  <si>
    <t xml:space="preserve">Ancho útil</t>
  </si>
  <si>
    <t xml:space="preserve">2,60 m (GyL) − 0,14 m de parantes y lonas (criterio)</t>
  </si>
  <si>
    <t xml:space="preserve">Carga útil</t>
  </si>
  <si>
    <t xml:space="preserve">Balancín sider 7,50 m: 12/14 t (logisticashc.com.ar/nosotros/nuestra-flota)</t>
  </si>
  <si>
    <t xml:space="preserve">Furgón: Renault Master L3H2 (rodantes)</t>
  </si>
  <si>
    <t xml:space="preserve">Largo de carga</t>
  </si>
  <si>
    <t xml:space="preserve">vansdirect.co.uk, Renault Master dimensions</t>
  </si>
  <si>
    <t xml:space="preserve">Ancho de carga</t>
  </si>
  <si>
    <t xml:space="preserve">vansdirect.co.uk</t>
  </si>
  <si>
    <t xml:space="preserve">Ancho entre pasos de rueda</t>
  </si>
  <si>
    <t xml:space="preserve">vansdirect.co.uk (renault.com.mt da 1,73 para la Master nueva: se toma el menor)</t>
  </si>
  <si>
    <t xml:space="preserve">Largo de los pasos de rueda</t>
  </si>
  <si>
    <t xml:space="preserve">Criterio</t>
  </si>
  <si>
    <t xml:space="preserve">Largo libre detrás de los pasos de rueda</t>
  </si>
  <si>
    <t xml:space="preserve">autocosmos.com.ar, Master L3H2 Furgón 2.3</t>
  </si>
  <si>
    <t xml:space="preserve">Producción anual (Proyecciones 5, hoja Indexado Dim Técnico)</t>
  </si>
  <si>
    <t xml:space="preserve">Año</t>
  </si>
  <si>
    <t xml:space="preserve">Term. 1 kg</t>
  </si>
  <si>
    <t xml:space="preserve">Term. 2,5 kg</t>
  </si>
  <si>
    <t xml:space="preserve">Term. 5 kg</t>
  </si>
  <si>
    <t xml:space="preserve">Term. 10 kg</t>
  </si>
  <si>
    <t xml:space="preserve">Term. 25 kg</t>
  </si>
  <si>
    <t xml:space="preserve">Term. 50 kg</t>
  </si>
  <si>
    <t xml:space="preserve">Term. 70 kg</t>
  </si>
  <si>
    <t xml:space="preserve">Term. 100 kg</t>
  </si>
  <si>
    <t xml:space="preserve">Cil. 1 kg</t>
  </si>
  <si>
    <t xml:space="preserve">Cil. 2,5 kg</t>
  </si>
  <si>
    <t xml:space="preserve">Cil. 5 kg</t>
  </si>
  <si>
    <t xml:space="preserve">Cil. 10 kg</t>
  </si>
  <si>
    <t xml:space="preserve">Cil. 25 kg</t>
  </si>
  <si>
    <t xml:space="preserve">Cil. 50 kg</t>
  </si>
  <si>
    <t xml:space="preserve">Cil. 70 kg</t>
  </si>
  <si>
    <t xml:space="preserve">Cil. 100 kg</t>
  </si>
  <si>
    <t xml:space="preserve">Año elegido</t>
  </si>
  <si>
    <t xml:space="preserve">Perfil</t>
  </si>
  <si>
    <t xml:space="preserve">Estacionalidad (Dimensionamiento Técnico FLAMA, DATOS-BASE filas 102 a 104)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</si>
  <si>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</si>
  <si>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</si>
  <si>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</si>
  <si>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</si>
  <si>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</si>
  <si>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</si>
  <si>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</si>
  <si>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</si>
  <si>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</si>
  <si>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</si>
  <si>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</si>
  <si>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</si>
  <si>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</si>
  <si>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1. Automovilístico</t>
  </si>
  <si>
    <t xml:space="preserve">2. Manual comercial</t>
  </si>
  <si>
    <t xml:space="preserve">3. Industrial sobre ruedas</t>
  </si>
  <si>
    <t xml:space="preserve">Producción por semana del año elegido (u/semana = anual × % del mes ÷ semanas por mes)</t>
  </si>
  <si>
    <t xml:space="preserve">Mes</t>
  </si>
  <si>
    <t xml:space="preserve">Semana pico</t>
  </si>
  <si>
    <t xml:space="preserve">Peso por caja</t>
  </si>
  <si>
    <t xml:space="preserve">Cajas a lo largo (1.200)</t>
  </si>
  <si>
    <t xml:space="preserve">Cajas a lo ancho (1.000)</t>
  </si>
  <si>
    <t xml:space="preserve">Cajas por capa</t>
  </si>
  <si>
    <t xml:space="preserve">Capas por altura</t>
  </si>
  <si>
    <t xml:space="preserve">Capas por peso</t>
  </si>
  <si>
    <t xml:space="preserve">Capas</t>
  </si>
  <si>
    <t xml:space="preserve">Cajas por pallet</t>
  </si>
  <si>
    <t xml:space="preserve">Matafuegos por pallet</t>
  </si>
  <si>
    <t xml:space="preserve">Peso del pallet</t>
  </si>
  <si>
    <t xml:space="preserve">Altura del pallet</t>
  </si>
  <si>
    <t xml:space="preserve">Cilindros vendidos vacíos (parados, separador entre capas)</t>
  </si>
  <si>
    <t xml:space="preserve">Cilindros a lo largo (1.200)</t>
  </si>
  <si>
    <t xml:space="preserve">Cilindros a lo ancho (1.000)</t>
  </si>
  <si>
    <t xml:space="preserve">Cilindros por capa</t>
  </si>
  <si>
    <t xml:space="preserve">Cilindros por pallet</t>
  </si>
  <si>
    <t xml:space="preserve">Sider GyL Full para balancín</t>
  </si>
  <si>
    <t xml:space="preserve">Pallets a lo largo</t>
  </si>
  <si>
    <t xml:space="preserve">Pallets a lo ancho</t>
  </si>
  <si>
    <t xml:space="preserve">Pallets por camión</t>
  </si>
  <si>
    <t xml:space="preserve">Renault Master L3H2</t>
  </si>
  <si>
    <t xml:space="preserve">Carros en la zona delantera</t>
  </si>
  <si>
    <t xml:space="preserve">Carros entre los pasos de rueda</t>
  </si>
  <si>
    <t xml:space="preserve">Carros en la zona trasera</t>
  </si>
  <si>
    <t xml:space="preserve">Carros por lugar</t>
  </si>
  <si>
    <t xml:space="preserve">Carros por peso</t>
  </si>
  <si>
    <t xml:space="preserve">Carros por furgón</t>
  </si>
  <si>
    <t xml:space="preserve">Matafuegos manuales en caja (sider)</t>
  </si>
  <si>
    <t xml:space="preserve">1. Todo 1 kg</t>
  </si>
  <si>
    <t xml:space="preserve">2. Todo 2,5 kg</t>
  </si>
  <si>
    <t xml:space="preserve">3. Todo 5 kg</t>
  </si>
  <si>
    <t xml:space="preserve">4. Todo 10 kg</t>
  </si>
  <si>
    <t xml:space="preserve">5. Mix 2,5 + 5 + 10</t>
  </si>
  <si>
    <t xml:space="preserve">Unidades por pallet</t>
  </si>
  <si>
    <t xml:space="preserve">por tipo</t>
  </si>
  <si>
    <t xml:space="preserve">Unidades por viaje</t>
  </si>
  <si>
    <t xml:space="preserve">Viajes por semana</t>
  </si>
  <si>
    <t xml:space="preserve">viajes</t>
  </si>
  <si>
    <t xml:space="preserve">Mes pico</t>
  </si>
  <si>
    <t xml:space="preserve">Frecuencia (mes pico)</t>
  </si>
  <si>
    <t xml:space="preserve">Carga del vehículo</t>
  </si>
  <si>
    <t xml:space="preserve">%</t>
  </si>
  <si>
    <t xml:space="preserve">5. Mix: pallets de cada tipo en el camión</t>
  </si>
  <si>
    <t xml:space="preserve">Pallets por semana (pico)</t>
  </si>
  <si>
    <t xml:space="preserve">pallets</t>
  </si>
  <si>
    <t xml:space="preserve">Participación</t>
  </si>
  <si>
    <t xml:space="preserve">Pallets en el camión</t>
  </si>
  <si>
    <t xml:space="preserve">Unidades en el camión</t>
  </si>
  <si>
    <t xml:space="preserve">Peso en el camión</t>
  </si>
  <si>
    <t xml:space="preserve">Rodantes (Master L3H2)</t>
  </si>
  <si>
    <t xml:space="preserve">1. Todo 25 kg</t>
  </si>
  <si>
    <t xml:space="preserve">2. Todo 50 kg</t>
  </si>
  <si>
    <t xml:space="preserve">3. Todo 70 kg</t>
  </si>
  <si>
    <t xml:space="preserve">4. Todo 100 kg</t>
  </si>
  <si>
    <t xml:space="preserve">5. Mix 25 a 100</t>
  </si>
  <si>
    <t xml:space="preserve">5. Mix: carros de cada tipo en el furgón</t>
  </si>
  <si>
    <t xml:space="preserve">Carros por semana (pico)</t>
  </si>
  <si>
    <t xml:space="preserve">carros</t>
  </si>
  <si>
    <t xml:space="preserve">Carros en el furgón</t>
  </si>
  <si>
    <t xml:space="preserve">Ocupación del piso</t>
  </si>
  <si>
    <t xml:space="preserve">Peso en el furgón</t>
  </si>
  <si>
    <t xml:space="preserve">Cilindros de manuales (sider)</t>
  </si>
  <si>
    <t xml:space="preserve">Cilindros de rodantes (sider)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</si>
</sst>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.0"/>
    <numFmt numFmtId="168" formatCode="0.00"/>
    <numFmt numFmtId="169" formatCode="#,##0.0"/>
    <numFmt numFmtId="170" formatCode="0.000"/>
    <numFmt numFmtId="171" formatCode="0.0%"/>
    <numFmt numFmtId="172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0" min="3" style="0" width="11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 t="s">
        <v>4</v>
      </c>
    </row>
    <row r="3" customFormat="false" ht="15" hidden="false" customHeight="false" outlineLevel="0" collapsed="false">
      <c r="A3" s="3" t="s">
        <v>5</v>
      </c>
      <c r="B3" s="4" t="s">
        <v>6</v>
      </c>
      <c r="C3" s="5" t="n">
        <v>2035</v>
      </c>
      <c r="K3" s="3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5" t="n">
        <v>4</v>
      </c>
      <c r="K4" s="3" t="s">
        <v>10</v>
      </c>
    </row>
    <row r="6" customFormat="false" ht="15" hidden="false" customHeight="false" outlineLevel="0" collapsed="false">
      <c r="A6" s="1" t="s">
        <v>11</v>
      </c>
    </row>
    <row r="7" customFormat="false" ht="15" hidden="false" customHeight="false" outlineLevel="0" collapsed="false">
      <c r="A7" s="2" t="s">
        <v>1</v>
      </c>
      <c r="B7" s="2" t="s">
        <v>2</v>
      </c>
      <c r="C7" s="2" t="s">
        <v>3</v>
      </c>
      <c r="D7" s="2"/>
      <c r="E7" s="2"/>
      <c r="F7" s="2"/>
      <c r="G7" s="2"/>
      <c r="H7" s="2"/>
      <c r="I7" s="2"/>
      <c r="J7" s="2"/>
      <c r="K7" s="2" t="s">
        <v>4</v>
      </c>
    </row>
    <row r="8" customFormat="false" ht="15" hidden="false" customHeight="false" outlineLevel="0" collapsed="false">
      <c r="A8" s="3" t="s">
        <v>12</v>
      </c>
      <c r="B8" s="4" t="s">
        <v>13</v>
      </c>
      <c r="C8" s="6" t="n">
        <v>1200</v>
      </c>
      <c r="K8" s="3" t="s">
        <v>14</v>
      </c>
    </row>
    <row r="9" customFormat="false" ht="15" hidden="false" customHeight="false" outlineLevel="0" collapsed="false">
      <c r="A9" s="3" t="s">
        <v>15</v>
      </c>
      <c r="B9" s="4" t="s">
        <v>13</v>
      </c>
      <c r="C9" s="6" t="n">
        <v>1000</v>
      </c>
      <c r="K9" s="3" t="s">
        <v>14</v>
      </c>
    </row>
    <row r="10" customFormat="false" ht="15" hidden="false" customHeight="false" outlineLevel="0" collapsed="false">
      <c r="A10" s="3" t="s">
        <v>16</v>
      </c>
      <c r="B10" s="4" t="s">
        <v>13</v>
      </c>
      <c r="C10" s="6" t="n">
        <v>145</v>
      </c>
      <c r="K10" s="3" t="s">
        <v>14</v>
      </c>
    </row>
    <row r="11" customFormat="false" ht="15" hidden="false" customHeight="false" outlineLevel="0" collapsed="false">
      <c r="A11" s="3" t="s">
        <v>17</v>
      </c>
      <c r="B11" s="4" t="s">
        <v>18</v>
      </c>
      <c r="C11" s="6" t="n">
        <v>35</v>
      </c>
      <c r="K11" s="3" t="s">
        <v>14</v>
      </c>
    </row>
    <row r="12" customFormat="false" ht="15" hidden="false" customHeight="false" outlineLevel="0" collapsed="false">
      <c r="A12" s="3" t="s">
        <v>19</v>
      </c>
      <c r="B12" s="4" t="s">
        <v>13</v>
      </c>
      <c r="C12" s="6" t="n">
        <v>1600</v>
      </c>
      <c r="K12" s="3" t="s">
        <v>20</v>
      </c>
    </row>
    <row r="13" customFormat="false" ht="15" hidden="false" customHeight="false" outlineLevel="0" collapsed="false">
      <c r="A13" s="3" t="s">
        <v>21</v>
      </c>
      <c r="B13" s="4" t="s">
        <v>18</v>
      </c>
      <c r="C13" s="6" t="n">
        <v>1100</v>
      </c>
      <c r="K13" s="3" t="s">
        <v>22</v>
      </c>
    </row>
    <row r="14" customFormat="false" ht="15" hidden="false" customHeight="false" outlineLevel="0" collapsed="false">
      <c r="A14" s="3" t="s">
        <v>23</v>
      </c>
      <c r="B14" s="4" t="s">
        <v>13</v>
      </c>
      <c r="C14" s="6" t="n">
        <v>3</v>
      </c>
      <c r="K14" s="3" t="s">
        <v>24</v>
      </c>
    </row>
    <row r="15" customFormat="false" ht="15" hidden="false" customHeight="false" outlineLevel="0" collapsed="false">
      <c r="A15" s="3" t="s">
        <v>25</v>
      </c>
      <c r="B15" s="4" t="s">
        <v>18</v>
      </c>
      <c r="C15" s="7" t="n">
        <v>0.6</v>
      </c>
      <c r="K15" s="3" t="s">
        <v>24</v>
      </c>
    </row>
    <row r="17" customFormat="false" ht="15" hidden="false" customHeight="false" outlineLevel="0" collapsed="false">
      <c r="A17" s="1" t="s">
        <v>26</v>
      </c>
    </row>
    <row r="18" customFormat="false" ht="15" hidden="false" customHeight="false" outlineLevel="0" collapsed="false">
      <c r="A18" s="2" t="s">
        <v>1</v>
      </c>
      <c r="B18" s="2" t="s">
        <v>2</v>
      </c>
      <c r="C18" s="2" t="s">
        <v>27</v>
      </c>
      <c r="D18" s="2" t="s">
        <v>28</v>
      </c>
      <c r="E18" s="2" t="s">
        <v>29</v>
      </c>
      <c r="F18" s="2" t="s">
        <v>30</v>
      </c>
      <c r="G18" s="2"/>
      <c r="H18" s="2"/>
      <c r="I18" s="2"/>
      <c r="J18" s="2"/>
      <c r="K18" s="2" t="s">
        <v>4</v>
      </c>
    </row>
    <row r="19" customFormat="false" ht="15" hidden="false" customHeight="false" outlineLevel="0" collapsed="false">
      <c r="A19" s="3" t="s">
        <v>31</v>
      </c>
      <c r="B19" s="4" t="s">
        <v>32</v>
      </c>
      <c r="C19" s="6" t="n">
        <v>6</v>
      </c>
      <c r="D19" s="6" t="n">
        <v>1</v>
      </c>
      <c r="E19" s="6" t="n">
        <v>1</v>
      </c>
      <c r="F19" s="6" t="n">
        <v>1</v>
      </c>
      <c r="K19" s="3" t="s">
        <v>33</v>
      </c>
    </row>
    <row r="20" customFormat="false" ht="15" hidden="false" customHeight="false" outlineLevel="0" collapsed="false">
      <c r="A20" s="3" t="s">
        <v>34</v>
      </c>
      <c r="B20" s="4" t="s">
        <v>13</v>
      </c>
      <c r="C20" s="6" t="n">
        <v>265</v>
      </c>
      <c r="D20" s="6" t="n">
        <v>135</v>
      </c>
      <c r="E20" s="6" t="n">
        <v>165</v>
      </c>
      <c r="F20" s="6" t="n">
        <v>195</v>
      </c>
      <c r="K20" s="3" t="s">
        <v>35</v>
      </c>
    </row>
    <row r="21" customFormat="false" ht="15" hidden="false" customHeight="false" outlineLevel="0" collapsed="false">
      <c r="A21" s="3" t="s">
        <v>36</v>
      </c>
      <c r="B21" s="4" t="s">
        <v>13</v>
      </c>
      <c r="C21" s="6" t="n">
        <v>190</v>
      </c>
      <c r="D21" s="6" t="n">
        <v>135</v>
      </c>
      <c r="E21" s="6" t="n">
        <v>165</v>
      </c>
      <c r="F21" s="6" t="n">
        <v>195</v>
      </c>
      <c r="K21" s="3" t="s">
        <v>35</v>
      </c>
    </row>
    <row r="22" customFormat="false" ht="15" hidden="false" customHeight="false" outlineLevel="0" collapsed="false">
      <c r="A22" s="3" t="s">
        <v>37</v>
      </c>
      <c r="B22" s="4" t="s">
        <v>13</v>
      </c>
      <c r="C22" s="6" t="n">
        <v>410</v>
      </c>
      <c r="D22" s="6" t="n">
        <v>435</v>
      </c>
      <c r="E22" s="6" t="n">
        <v>515</v>
      </c>
      <c r="F22" s="6" t="n">
        <v>685</v>
      </c>
      <c r="K22" s="3" t="s">
        <v>35</v>
      </c>
    </row>
    <row r="23" customFormat="false" ht="15" hidden="false" customHeight="false" outlineLevel="0" collapsed="false">
      <c r="A23" s="3" t="s">
        <v>38</v>
      </c>
      <c r="B23" s="4" t="s">
        <v>18</v>
      </c>
      <c r="C23" s="8" t="n">
        <v>0.35</v>
      </c>
      <c r="D23" s="8" t="n">
        <v>0.25</v>
      </c>
      <c r="E23" s="8" t="n">
        <v>0.35</v>
      </c>
      <c r="F23" s="8" t="n">
        <v>0.5</v>
      </c>
      <c r="K23" s="3" t="s">
        <v>39</v>
      </c>
    </row>
    <row r="24" customFormat="false" ht="15" hidden="false" customHeight="false" outlineLevel="0" collapsed="false">
      <c r="A24" s="3" t="s">
        <v>40</v>
      </c>
      <c r="B24" s="4" t="s">
        <v>18</v>
      </c>
      <c r="C24" s="8" t="n">
        <v>2.08</v>
      </c>
      <c r="D24" s="8" t="n">
        <v>4.63</v>
      </c>
      <c r="E24" s="8" t="n">
        <v>8.48</v>
      </c>
      <c r="F24" s="8" t="n">
        <v>16.23</v>
      </c>
      <c r="K24" s="3" t="s">
        <v>35</v>
      </c>
    </row>
    <row r="26" customFormat="false" ht="15" hidden="false" customHeight="false" outlineLevel="0" collapsed="false">
      <c r="A26" s="1" t="s">
        <v>41</v>
      </c>
    </row>
    <row r="27" customFormat="false" ht="15" hidden="false" customHeight="false" outlineLevel="0" collapsed="false">
      <c r="A27" s="2" t="s">
        <v>1</v>
      </c>
      <c r="B27" s="2" t="s">
        <v>2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42</v>
      </c>
      <c r="H27" s="2" t="s">
        <v>43</v>
      </c>
      <c r="I27" s="2" t="s">
        <v>44</v>
      </c>
      <c r="J27" s="2" t="s">
        <v>45</v>
      </c>
      <c r="K27" s="2" t="s">
        <v>4</v>
      </c>
    </row>
    <row r="28" customFormat="false" ht="15" hidden="false" customHeight="false" outlineLevel="0" collapsed="false">
      <c r="A28" s="3" t="s">
        <v>46</v>
      </c>
      <c r="B28" s="4" t="s">
        <v>13</v>
      </c>
      <c r="C28" s="9" t="n">
        <v>76.2</v>
      </c>
      <c r="D28" s="9" t="n">
        <v>124</v>
      </c>
      <c r="E28" s="9" t="n">
        <v>153</v>
      </c>
      <c r="F28" s="9" t="n">
        <v>181.5</v>
      </c>
      <c r="G28" s="9" t="n">
        <v>276.5</v>
      </c>
      <c r="H28" s="9" t="n">
        <v>320</v>
      </c>
      <c r="I28" s="9" t="n">
        <v>390</v>
      </c>
      <c r="J28" s="9" t="n">
        <v>390</v>
      </c>
      <c r="K28" s="3" t="s">
        <v>47</v>
      </c>
    </row>
    <row r="29" customFormat="false" ht="15" hidden="false" customHeight="false" outlineLevel="0" collapsed="false">
      <c r="A29" s="3" t="s">
        <v>48</v>
      </c>
      <c r="B29" s="4" t="s">
        <v>13</v>
      </c>
      <c r="C29" s="9" t="n">
        <v>297.5</v>
      </c>
      <c r="D29" s="9" t="n">
        <v>333</v>
      </c>
      <c r="E29" s="9" t="n">
        <v>414</v>
      </c>
      <c r="F29" s="9" t="n">
        <v>582</v>
      </c>
      <c r="G29" s="9" t="n">
        <v>672</v>
      </c>
      <c r="H29" s="9" t="n">
        <v>858</v>
      </c>
      <c r="I29" s="9" t="n">
        <v>908</v>
      </c>
      <c r="J29" s="9" t="n">
        <v>1128</v>
      </c>
      <c r="K29" s="3" t="s">
        <v>47</v>
      </c>
    </row>
    <row r="30" customFormat="false" ht="15" hidden="false" customHeight="false" outlineLevel="0" collapsed="false">
      <c r="A30" s="3" t="s">
        <v>49</v>
      </c>
      <c r="B30" s="4" t="s">
        <v>18</v>
      </c>
      <c r="C30" s="8" t="n">
        <v>0.76</v>
      </c>
      <c r="D30" s="8" t="n">
        <v>1.48</v>
      </c>
      <c r="E30" s="8" t="n">
        <v>2.78</v>
      </c>
      <c r="F30" s="8" t="n">
        <v>5.48</v>
      </c>
      <c r="G30" s="8" t="n">
        <v>15.92</v>
      </c>
      <c r="H30" s="8" t="n">
        <v>23.3</v>
      </c>
      <c r="I30" s="8" t="n">
        <v>46.86176284</v>
      </c>
      <c r="J30" s="8" t="n">
        <v>56.84631739</v>
      </c>
      <c r="K30" s="3" t="s">
        <v>47</v>
      </c>
    </row>
    <row r="32" customFormat="false" ht="15" hidden="false" customHeight="false" outlineLevel="0" collapsed="false">
      <c r="A32" s="1" t="s">
        <v>50</v>
      </c>
    </row>
    <row r="33" customFormat="false" ht="15" hidden="false" customHeight="false" outlineLevel="0" collapsed="false">
      <c r="A33" s="2" t="s">
        <v>1</v>
      </c>
      <c r="B33" s="2" t="s">
        <v>2</v>
      </c>
      <c r="C33" s="2" t="s">
        <v>42</v>
      </c>
      <c r="D33" s="2" t="s">
        <v>43</v>
      </c>
      <c r="E33" s="2" t="s">
        <v>44</v>
      </c>
      <c r="F33" s="2" t="s">
        <v>45</v>
      </c>
      <c r="G33" s="2"/>
      <c r="H33" s="2"/>
      <c r="I33" s="2"/>
      <c r="J33" s="2"/>
      <c r="K33" s="2" t="s">
        <v>4</v>
      </c>
    </row>
    <row r="34" customFormat="false" ht="15" hidden="false" customHeight="false" outlineLevel="0" collapsed="false">
      <c r="A34" s="3" t="s">
        <v>51</v>
      </c>
      <c r="B34" s="4" t="s">
        <v>13</v>
      </c>
      <c r="C34" s="6" t="n">
        <v>600</v>
      </c>
      <c r="D34" s="6" t="n">
        <v>700</v>
      </c>
      <c r="E34" s="6" t="n">
        <v>800</v>
      </c>
      <c r="F34" s="6" t="n">
        <v>800</v>
      </c>
      <c r="K34" s="3" t="s">
        <v>52</v>
      </c>
    </row>
    <row r="35" customFormat="false" ht="15" hidden="false" customHeight="false" outlineLevel="0" collapsed="false">
      <c r="A35" s="3" t="s">
        <v>53</v>
      </c>
      <c r="B35" s="4" t="s">
        <v>13</v>
      </c>
      <c r="C35" s="6" t="n">
        <v>550</v>
      </c>
      <c r="D35" s="6" t="n">
        <v>600</v>
      </c>
      <c r="E35" s="6" t="n">
        <v>700</v>
      </c>
      <c r="F35" s="6" t="n">
        <v>750</v>
      </c>
      <c r="K35" s="3" t="s">
        <v>52</v>
      </c>
    </row>
    <row r="36" customFormat="false" ht="15" hidden="false" customHeight="false" outlineLevel="0" collapsed="false">
      <c r="A36" s="3" t="s">
        <v>54</v>
      </c>
      <c r="B36" s="4" t="s">
        <v>18</v>
      </c>
      <c r="C36" s="6" t="n">
        <v>55</v>
      </c>
      <c r="D36" s="6" t="n">
        <v>100</v>
      </c>
      <c r="E36" s="6" t="n">
        <v>140</v>
      </c>
      <c r="F36" s="6" t="n">
        <v>185</v>
      </c>
      <c r="K36" s="3" t="s">
        <v>55</v>
      </c>
    </row>
    <row r="38" customFormat="false" ht="15" hidden="false" customHeight="false" outlineLevel="0" collapsed="false">
      <c r="A38" s="1" t="s">
        <v>56</v>
      </c>
    </row>
    <row r="39" customFormat="false" ht="15" hidden="false" customHeight="false" outlineLevel="0" collapsed="false">
      <c r="A39" s="2" t="s">
        <v>1</v>
      </c>
      <c r="B39" s="2" t="s">
        <v>2</v>
      </c>
      <c r="C39" s="2" t="s">
        <v>3</v>
      </c>
      <c r="D39" s="2"/>
      <c r="E39" s="2"/>
      <c r="F39" s="2"/>
      <c r="G39" s="2"/>
      <c r="H39" s="2"/>
      <c r="I39" s="2"/>
      <c r="J39" s="2"/>
      <c r="K39" s="2" t="s">
        <v>4</v>
      </c>
    </row>
    <row r="40" customFormat="false" ht="15" hidden="false" customHeight="false" outlineLevel="0" collapsed="false">
      <c r="A40" s="3" t="s">
        <v>57</v>
      </c>
      <c r="B40" s="4" t="s">
        <v>58</v>
      </c>
      <c r="C40" s="8" t="n">
        <v>7.4</v>
      </c>
      <c r="K40" s="3" t="s">
        <v>59</v>
      </c>
    </row>
    <row r="41" customFormat="false" ht="15" hidden="false" customHeight="false" outlineLevel="0" collapsed="false">
      <c r="A41" s="3" t="s">
        <v>60</v>
      </c>
      <c r="B41" s="4" t="s">
        <v>58</v>
      </c>
      <c r="C41" s="8" t="n">
        <v>2.46</v>
      </c>
      <c r="K41" s="3" t="s">
        <v>61</v>
      </c>
    </row>
    <row r="42" customFormat="false" ht="15" hidden="false" customHeight="false" outlineLevel="0" collapsed="false">
      <c r="A42" s="3" t="s">
        <v>62</v>
      </c>
      <c r="B42" s="4" t="s">
        <v>18</v>
      </c>
      <c r="C42" s="6" t="n">
        <v>12000</v>
      </c>
      <c r="K42" s="3" t="s">
        <v>63</v>
      </c>
    </row>
    <row r="44" customFormat="false" ht="15" hidden="false" customHeight="false" outlineLevel="0" collapsed="false">
      <c r="A44" s="1" t="s">
        <v>64</v>
      </c>
    </row>
    <row r="45" customFormat="false" ht="15" hidden="false" customHeight="false" outlineLevel="0" collapsed="false">
      <c r="A45" s="2" t="s">
        <v>1</v>
      </c>
      <c r="B45" s="2" t="s">
        <v>2</v>
      </c>
      <c r="C45" s="2" t="s">
        <v>3</v>
      </c>
      <c r="D45" s="2"/>
      <c r="E45" s="2"/>
      <c r="F45" s="2"/>
      <c r="G45" s="2"/>
      <c r="H45" s="2"/>
      <c r="I45" s="2"/>
      <c r="J45" s="2"/>
      <c r="K45" s="2" t="s">
        <v>4</v>
      </c>
    </row>
    <row r="46" customFormat="false" ht="15" hidden="false" customHeight="false" outlineLevel="0" collapsed="false">
      <c r="A46" s="3" t="s">
        <v>65</v>
      </c>
      <c r="B46" s="4" t="s">
        <v>58</v>
      </c>
      <c r="C46" s="10" t="n">
        <v>3.857</v>
      </c>
      <c r="K46" s="3" t="s">
        <v>66</v>
      </c>
    </row>
    <row r="47" customFormat="false" ht="15" hidden="false" customHeight="false" outlineLevel="0" collapsed="false">
      <c r="A47" s="3" t="s">
        <v>67</v>
      </c>
      <c r="B47" s="4" t="s">
        <v>58</v>
      </c>
      <c r="C47" s="10" t="n">
        <v>1.765</v>
      </c>
      <c r="K47" s="3" t="s">
        <v>68</v>
      </c>
    </row>
    <row r="48" customFormat="false" ht="15" hidden="false" customHeight="false" outlineLevel="0" collapsed="false">
      <c r="A48" s="3" t="s">
        <v>69</v>
      </c>
      <c r="B48" s="4" t="s">
        <v>58</v>
      </c>
      <c r="C48" s="10" t="n">
        <v>1.38</v>
      </c>
      <c r="K48" s="3" t="s">
        <v>70</v>
      </c>
    </row>
    <row r="49" customFormat="false" ht="15" hidden="false" customHeight="false" outlineLevel="0" collapsed="false">
      <c r="A49" s="3" t="s">
        <v>71</v>
      </c>
      <c r="B49" s="4" t="s">
        <v>58</v>
      </c>
      <c r="C49" s="10" t="n">
        <v>1</v>
      </c>
      <c r="K49" s="3" t="s">
        <v>72</v>
      </c>
    </row>
    <row r="50" customFormat="false" ht="15" hidden="false" customHeight="false" outlineLevel="0" collapsed="false">
      <c r="A50" s="3" t="s">
        <v>73</v>
      </c>
      <c r="B50" s="4" t="s">
        <v>58</v>
      </c>
      <c r="C50" s="10" t="n">
        <v>0.6</v>
      </c>
      <c r="K50" s="3" t="s">
        <v>72</v>
      </c>
    </row>
    <row r="51" customFormat="false" ht="15" hidden="false" customHeight="false" outlineLevel="0" collapsed="false">
      <c r="A51" s="3" t="s">
        <v>62</v>
      </c>
      <c r="B51" s="4" t="s">
        <v>18</v>
      </c>
      <c r="C51" s="6" t="n">
        <v>1593</v>
      </c>
      <c r="K51" s="3" t="s">
        <v>74</v>
      </c>
    </row>
  </sheetData>
  <dataValidations count="1">
    <dataValidation allowBlank="false" errorStyle="stop" operator="between" showDropDown="false" showErrorMessage="false" showInputMessage="false" sqref="C3" type="list">
      <formula1>"2026,2027,2028,2029,2030,2031,2032,2033,2034,2035"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7" min="2" style="0" width="10"/>
  </cols>
  <sheetData>
    <row r="1" customFormat="false" ht="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  <c r="Q2" s="2" t="s">
        <v>92</v>
      </c>
    </row>
    <row r="3" customFormat="false" ht="15" hidden="false" customHeight="false" outlineLevel="0" collapsed="false">
      <c r="A3" s="11" t="n">
        <v>2026</v>
      </c>
      <c r="B3" s="6" t="n">
        <v>4178.736543</v>
      </c>
      <c r="C3" s="6" t="n">
        <v>295.0303572</v>
      </c>
      <c r="D3" s="6" t="n">
        <v>2255.773025</v>
      </c>
      <c r="E3" s="6" t="n">
        <v>91.83318153</v>
      </c>
      <c r="F3" s="6" t="n">
        <v>34.05179136</v>
      </c>
      <c r="G3" s="6" t="n">
        <v>74.913941</v>
      </c>
      <c r="H3" s="6" t="n">
        <v>16.34485985</v>
      </c>
      <c r="I3" s="6" t="n">
        <v>10.89657324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</row>
    <row r="4" customFormat="false" ht="15" hidden="false" customHeight="false" outlineLevel="0" collapsed="false">
      <c r="A4" s="11" t="n">
        <v>2027</v>
      </c>
      <c r="B4" s="6" t="n">
        <v>5997.303977</v>
      </c>
      <c r="C4" s="6" t="n">
        <v>709.7274503</v>
      </c>
      <c r="D4" s="6" t="n">
        <v>3846.978881</v>
      </c>
      <c r="E4" s="6" t="n">
        <v>177.2472967</v>
      </c>
      <c r="F4" s="6" t="n">
        <v>58.46214745</v>
      </c>
      <c r="G4" s="6" t="n">
        <v>128.6167244</v>
      </c>
      <c r="H4" s="6" t="n">
        <v>28.06183078</v>
      </c>
      <c r="I4" s="6" t="n">
        <v>18.70788719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</row>
    <row r="5" customFormat="false" ht="15" hidden="false" customHeight="false" outlineLevel="0" collapsed="false">
      <c r="A5" s="11" t="n">
        <v>2028</v>
      </c>
      <c r="B5" s="6" t="n">
        <v>6851.747758</v>
      </c>
      <c r="C5" s="6" t="n">
        <v>986.8680576</v>
      </c>
      <c r="D5" s="6" t="n">
        <v>5093.537591</v>
      </c>
      <c r="E5" s="6" t="n">
        <v>252.9787798</v>
      </c>
      <c r="F5" s="6" t="n">
        <v>75.20853998</v>
      </c>
      <c r="G5" s="6" t="n">
        <v>165.458788</v>
      </c>
      <c r="H5" s="6" t="n">
        <v>36.10009919</v>
      </c>
      <c r="I5" s="6" t="n">
        <v>24.06673279</v>
      </c>
      <c r="J5" s="6" t="n">
        <v>7662.4</v>
      </c>
      <c r="K5" s="6" t="n">
        <v>299.6</v>
      </c>
      <c r="L5" s="6" t="n">
        <v>1478.8</v>
      </c>
      <c r="M5" s="6" t="n">
        <v>90.4</v>
      </c>
      <c r="N5" s="6" t="n">
        <v>14.4</v>
      </c>
      <c r="O5" s="6" t="n">
        <v>31.8</v>
      </c>
      <c r="P5" s="6" t="n">
        <v>7</v>
      </c>
      <c r="Q5" s="6" t="n">
        <v>4.6</v>
      </c>
    </row>
    <row r="6" customFormat="false" ht="15" hidden="false" customHeight="false" outlineLevel="0" collapsed="false">
      <c r="A6" s="11" t="n">
        <v>2029</v>
      </c>
      <c r="B6" s="6" t="n">
        <v>8467.135549</v>
      </c>
      <c r="C6" s="6" t="n">
        <v>1500.638174</v>
      </c>
      <c r="D6" s="6" t="n">
        <v>6823.115313</v>
      </c>
      <c r="E6" s="6" t="n">
        <v>358.0204941</v>
      </c>
      <c r="F6" s="6" t="n">
        <v>100.5298529</v>
      </c>
      <c r="G6" s="6" t="n">
        <v>221.1656765</v>
      </c>
      <c r="H6" s="6" t="n">
        <v>48.25432941</v>
      </c>
      <c r="I6" s="6" t="n">
        <v>32.16955294</v>
      </c>
      <c r="J6" s="6" t="n">
        <v>26694.8</v>
      </c>
      <c r="K6" s="6" t="n">
        <v>1043.8</v>
      </c>
      <c r="L6" s="6" t="n">
        <v>5152</v>
      </c>
      <c r="M6" s="6" t="n">
        <v>315</v>
      </c>
      <c r="N6" s="6" t="n">
        <v>50.2</v>
      </c>
      <c r="O6" s="6" t="n">
        <v>110.8</v>
      </c>
      <c r="P6" s="6" t="n">
        <v>24.4</v>
      </c>
      <c r="Q6" s="6" t="n">
        <v>16</v>
      </c>
    </row>
    <row r="7" customFormat="false" ht="15" hidden="false" customHeight="false" outlineLevel="0" collapsed="false">
      <c r="A7" s="11" t="n">
        <v>2030</v>
      </c>
      <c r="B7" s="6" t="n">
        <v>12680.63271</v>
      </c>
      <c r="C7" s="6" t="n">
        <v>2312.627726</v>
      </c>
      <c r="D7" s="6" t="n">
        <v>10819.30694</v>
      </c>
      <c r="E7" s="6" t="n">
        <v>602.7181519</v>
      </c>
      <c r="F7" s="6" t="n">
        <v>155.8760035</v>
      </c>
      <c r="G7" s="6" t="n">
        <v>342.9272077</v>
      </c>
      <c r="H7" s="6" t="n">
        <v>74.82048167</v>
      </c>
      <c r="I7" s="6" t="n">
        <v>49.88032112</v>
      </c>
      <c r="J7" s="6" t="n">
        <v>49434.8</v>
      </c>
      <c r="K7" s="6" t="n">
        <v>1933</v>
      </c>
      <c r="L7" s="6" t="n">
        <v>9540.8</v>
      </c>
      <c r="M7" s="6" t="n">
        <v>583.4</v>
      </c>
      <c r="N7" s="6" t="n">
        <v>93</v>
      </c>
      <c r="O7" s="6" t="n">
        <v>205.2</v>
      </c>
      <c r="P7" s="6" t="n">
        <v>45.2</v>
      </c>
      <c r="Q7" s="6" t="n">
        <v>29.6</v>
      </c>
    </row>
    <row r="8" customFormat="false" ht="15" hidden="false" customHeight="false" outlineLevel="0" collapsed="false">
      <c r="A8" s="11" t="n">
        <v>2031</v>
      </c>
      <c r="B8" s="6" t="n">
        <v>15620.25307</v>
      </c>
      <c r="C8" s="6" t="n">
        <v>3252.869887</v>
      </c>
      <c r="D8" s="6" t="n">
        <v>14605.96411</v>
      </c>
      <c r="E8" s="6" t="n">
        <v>872.605032</v>
      </c>
      <c r="F8" s="6" t="n">
        <v>211.9344827</v>
      </c>
      <c r="G8" s="6" t="n">
        <v>466.255862</v>
      </c>
      <c r="H8" s="6" t="n">
        <v>101.7285517</v>
      </c>
      <c r="I8" s="6" t="n">
        <v>67.81903447</v>
      </c>
      <c r="J8" s="6" t="n">
        <v>71680.2</v>
      </c>
      <c r="K8" s="6" t="n">
        <v>2803</v>
      </c>
      <c r="L8" s="6" t="n">
        <v>13834.2</v>
      </c>
      <c r="M8" s="6" t="n">
        <v>845.8</v>
      </c>
      <c r="N8" s="6" t="n">
        <v>135</v>
      </c>
      <c r="O8" s="6" t="n">
        <v>297.6</v>
      </c>
      <c r="P8" s="6" t="n">
        <v>65.4</v>
      </c>
      <c r="Q8" s="6" t="n">
        <v>42.8</v>
      </c>
    </row>
    <row r="9" customFormat="false" ht="15" hidden="false" customHeight="false" outlineLevel="0" collapsed="false">
      <c r="A9" s="11" t="n">
        <v>2032</v>
      </c>
      <c r="B9" s="6" t="n">
        <v>20332.55326</v>
      </c>
      <c r="C9" s="6" t="n">
        <v>4102.315524</v>
      </c>
      <c r="D9" s="6" t="n">
        <v>18877.75984</v>
      </c>
      <c r="E9" s="6" t="n">
        <v>1127.160545</v>
      </c>
      <c r="F9" s="6" t="n">
        <v>272.6682332</v>
      </c>
      <c r="G9" s="6" t="n">
        <v>599.8701129</v>
      </c>
      <c r="H9" s="6" t="n">
        <v>130.8807519</v>
      </c>
      <c r="I9" s="6" t="n">
        <v>87.25383461</v>
      </c>
      <c r="J9" s="6" t="n">
        <v>101340.6</v>
      </c>
      <c r="K9" s="6" t="n">
        <v>3963</v>
      </c>
      <c r="L9" s="6" t="n">
        <v>19558.6</v>
      </c>
      <c r="M9" s="6" t="n">
        <v>1195.4</v>
      </c>
      <c r="N9" s="6" t="n">
        <v>191</v>
      </c>
      <c r="O9" s="6" t="n">
        <v>420.8</v>
      </c>
      <c r="P9" s="6" t="n">
        <v>92.2</v>
      </c>
      <c r="Q9" s="6" t="n">
        <v>60.4</v>
      </c>
    </row>
    <row r="10" customFormat="false" ht="15" hidden="false" customHeight="false" outlineLevel="0" collapsed="false">
      <c r="A10" s="11" t="n">
        <v>2033</v>
      </c>
      <c r="B10" s="6" t="n">
        <v>25132.07848</v>
      </c>
      <c r="C10" s="6" t="n">
        <v>5104.306587</v>
      </c>
      <c r="D10" s="6" t="n">
        <v>23368.18637</v>
      </c>
      <c r="E10" s="6" t="n">
        <v>1395.444812</v>
      </c>
      <c r="F10" s="6" t="n">
        <v>337.8486707</v>
      </c>
      <c r="G10" s="6" t="n">
        <v>743.2670756</v>
      </c>
      <c r="H10" s="6" t="n">
        <v>162.1673619</v>
      </c>
      <c r="I10" s="6" t="n">
        <v>108.1115746</v>
      </c>
      <c r="J10" s="6" t="n">
        <v>131001</v>
      </c>
      <c r="K10" s="6" t="n">
        <v>5123</v>
      </c>
      <c r="L10" s="6" t="n">
        <v>25283</v>
      </c>
      <c r="M10" s="6" t="n">
        <v>1545</v>
      </c>
      <c r="N10" s="6" t="n">
        <v>247</v>
      </c>
      <c r="O10" s="6" t="n">
        <v>544</v>
      </c>
      <c r="P10" s="6" t="n">
        <v>119</v>
      </c>
      <c r="Q10" s="6" t="n">
        <v>78</v>
      </c>
    </row>
    <row r="11" customFormat="false" ht="15" hidden="false" customHeight="false" outlineLevel="0" collapsed="false">
      <c r="A11" s="11" t="n">
        <v>2034</v>
      </c>
      <c r="B11" s="6" t="n">
        <v>28573.33614</v>
      </c>
      <c r="C11" s="6" t="n">
        <v>6195.186243</v>
      </c>
      <c r="D11" s="6" t="n">
        <v>26967.72455</v>
      </c>
      <c r="E11" s="6" t="n">
        <v>1612.350054</v>
      </c>
      <c r="F11" s="6" t="n">
        <v>393.6274156</v>
      </c>
      <c r="G11" s="6" t="n">
        <v>865.9803143</v>
      </c>
      <c r="H11" s="6" t="n">
        <v>188.9411595</v>
      </c>
      <c r="I11" s="6" t="n">
        <v>125.960773</v>
      </c>
      <c r="J11" s="6" t="n">
        <v>146819.8</v>
      </c>
      <c r="K11" s="6" t="n">
        <v>5741.4</v>
      </c>
      <c r="L11" s="6" t="n">
        <v>28335.8</v>
      </c>
      <c r="M11" s="6" t="n">
        <v>1731.4</v>
      </c>
      <c r="N11" s="6" t="n">
        <v>277</v>
      </c>
      <c r="O11" s="6" t="n">
        <v>609.6</v>
      </c>
      <c r="P11" s="6" t="n">
        <v>133.4</v>
      </c>
      <c r="Q11" s="6" t="n">
        <v>87.6</v>
      </c>
    </row>
    <row r="12" customFormat="false" ht="15" hidden="false" customHeight="false" outlineLevel="0" collapsed="false">
      <c r="A12" s="11" t="n">
        <v>2035</v>
      </c>
      <c r="B12" s="6" t="n">
        <v>32072.63913</v>
      </c>
      <c r="C12" s="6" t="n">
        <v>7424.858444</v>
      </c>
      <c r="D12" s="6" t="n">
        <v>30750.77872</v>
      </c>
      <c r="E12" s="6" t="n">
        <v>1840.848079</v>
      </c>
      <c r="F12" s="6" t="n">
        <v>453.2705332</v>
      </c>
      <c r="G12" s="6" t="n">
        <v>997.1951731</v>
      </c>
      <c r="H12" s="6" t="n">
        <v>217.569856</v>
      </c>
      <c r="I12" s="6" t="n">
        <v>145.0465706</v>
      </c>
      <c r="J12" s="6" t="n">
        <v>170548</v>
      </c>
      <c r="K12" s="6" t="n">
        <v>6669</v>
      </c>
      <c r="L12" s="6" t="n">
        <v>32915</v>
      </c>
      <c r="M12" s="6" t="n">
        <v>2011</v>
      </c>
      <c r="N12" s="6" t="n">
        <v>322</v>
      </c>
      <c r="O12" s="6" t="n">
        <v>708</v>
      </c>
      <c r="P12" s="6" t="n">
        <v>155</v>
      </c>
      <c r="Q12" s="6" t="n">
        <v>102</v>
      </c>
    </row>
    <row r="13" customFormat="false" ht="15" hidden="false" customHeight="false" outlineLevel="0" collapsed="false">
      <c r="A13" s="12" t="s">
        <v>93</v>
      </c>
      <c r="B13" s="13" t="n">
        <f aca="false">INDEX(B3:B12,MATCH(Datos!$C$3,$A$3:$A$12,0))</f>
        <v>32072.63913</v>
      </c>
      <c r="C13" s="13" t="n">
        <f aca="false">INDEX(C3:C12,MATCH(Datos!$C$3,$A$3:$A$12,0))</f>
        <v>7424.858444</v>
      </c>
      <c r="D13" s="13" t="n">
        <f aca="false">INDEX(D3:D12,MATCH(Datos!$C$3,$A$3:$A$12,0))</f>
        <v>30750.77872</v>
      </c>
      <c r="E13" s="13" t="n">
        <f aca="false">INDEX(E3:E12,MATCH(Datos!$C$3,$A$3:$A$12,0))</f>
        <v>1840.848079</v>
      </c>
      <c r="F13" s="13" t="n">
        <f aca="false">INDEX(F3:F12,MATCH(Datos!$C$3,$A$3:$A$12,0))</f>
        <v>453.2705332</v>
      </c>
      <c r="G13" s="13" t="n">
        <f aca="false">INDEX(G3:G12,MATCH(Datos!$C$3,$A$3:$A$12,0))</f>
        <v>997.1951731</v>
      </c>
      <c r="H13" s="13" t="n">
        <f aca="false">INDEX(H3:H12,MATCH(Datos!$C$3,$A$3:$A$12,0))</f>
        <v>217.569856</v>
      </c>
      <c r="I13" s="13" t="n">
        <f aca="false">INDEX(I3:I12,MATCH(Datos!$C$3,$A$3:$A$12,0))</f>
        <v>145.0465706</v>
      </c>
      <c r="J13" s="13" t="n">
        <f aca="false">INDEX(J3:J12,MATCH(Datos!$C$3,$A$3:$A$12,0))</f>
        <v>170548</v>
      </c>
      <c r="K13" s="13" t="n">
        <f aca="false">INDEX(K3:K12,MATCH(Datos!$C$3,$A$3:$A$12,0))</f>
        <v>6669</v>
      </c>
      <c r="L13" s="13" t="n">
        <f aca="false">INDEX(L3:L12,MATCH(Datos!$C$3,$A$3:$A$12,0))</f>
        <v>32915</v>
      </c>
      <c r="M13" s="13" t="n">
        <f aca="false">INDEX(M3:M12,MATCH(Datos!$C$3,$A$3:$A$12,0))</f>
        <v>2011</v>
      </c>
      <c r="N13" s="13" t="n">
        <f aca="false">INDEX(N3:N12,MATCH(Datos!$C$3,$A$3:$A$12,0))</f>
        <v>322</v>
      </c>
      <c r="O13" s="13" t="n">
        <f aca="false">INDEX(O3:O12,MATCH(Datos!$C$3,$A$3:$A$12,0))</f>
        <v>708</v>
      </c>
      <c r="P13" s="13" t="n">
        <f aca="false">INDEX(P3:P12,MATCH(Datos!$C$3,$A$3:$A$12,0))</f>
        <v>155</v>
      </c>
      <c r="Q13" s="13" t="n">
        <f aca="false">INDEX(Q3:Q12,MATCH(Datos!$C$3,$A$3:$A$12,0))</f>
        <v>102</v>
      </c>
    </row>
    <row r="14" customFormat="false" ht="15" hidden="false" customHeight="false" outlineLevel="0" collapsed="false">
      <c r="A14" s="12" t="s">
        <v>94</v>
      </c>
      <c r="B14" s="5" t="n">
        <v>1</v>
      </c>
      <c r="C14" s="5" t="n">
        <v>2</v>
      </c>
      <c r="D14" s="5" t="n">
        <v>2</v>
      </c>
      <c r="E14" s="5" t="n">
        <v>2</v>
      </c>
      <c r="F14" s="5" t="n">
        <v>3</v>
      </c>
      <c r="G14" s="5" t="n">
        <v>3</v>
      </c>
      <c r="H14" s="5" t="n">
        <v>3</v>
      </c>
      <c r="I14" s="5" t="n">
        <v>3</v>
      </c>
      <c r="J14" s="5" t="n">
        <v>1</v>
      </c>
      <c r="K14" s="5" t="n">
        <v>2</v>
      </c>
      <c r="L14" s="5" t="n">
        <v>2</v>
      </c>
      <c r="M14" s="5" t="n">
        <v>2</v>
      </c>
      <c r="N14" s="5" t="n">
        <v>3</v>
      </c>
      <c r="O14" s="5" t="n">
        <v>3</v>
      </c>
      <c r="P14" s="5" t="n">
        <v>3</v>
      </c>
      <c r="Q14" s="5" t="n">
        <v>3</v>
      </c>
    </row>
    <row r="16" customFormat="false" ht="15" hidden="false" customHeight="false" outlineLevel="0" collapsed="false">
      <c r="A16" s="1" t="s">
        <v>95</v>
      </c>
    </row>
    <row r="17" customFormat="false" ht="15" hidden="false" customHeight="false" outlineLevel="0" collapsed="false">
      <c r="A17" s="2" t="s">
        <v>94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2" t="s">
        <v>102</v>
      </c>
      <c r="I17" s="2" t="s">
        <v>103</v>
      </c>
      <c r="J17" s="2" t="s">
        <v>104</v>
      </c>
      <c r="K17" s="2" t="s">
        <v>105</v>
      </c>
      <c r="L17" s="2" t="s">
        <v>106</v>
      </c>
      <c r="M17" s="2" t="s">
        <v>107</v>
      </c>
      <c r="N17" s="2" t="s">
        <v>108</v>
      </c>
    </row>
    <row r="18" customFormat="false" ht="15" hidden="false" customHeight="false" outlineLevel="0" collapsed="false">
      <c r="A18" s="3" t="s">
        <v>109</v>
      </c>
      <c r="B18" s="14" t="n">
        <v>0.12</v>
      </c>
      <c r="C18" s="14" t="n">
        <v>0.09</v>
      </c>
      <c r="D18" s="14" t="n">
        <v>0.08</v>
      </c>
      <c r="E18" s="14" t="n">
        <v>0.075</v>
      </c>
      <c r="F18" s="14" t="n">
        <v>0.07</v>
      </c>
      <c r="G18" s="14" t="n">
        <v>0.07</v>
      </c>
      <c r="H18" s="14" t="n">
        <v>0.075</v>
      </c>
      <c r="I18" s="14" t="n">
        <v>0.075</v>
      </c>
      <c r="J18" s="14" t="n">
        <v>0.075</v>
      </c>
      <c r="K18" s="14" t="n">
        <v>0.075</v>
      </c>
      <c r="L18" s="14" t="n">
        <v>0.075</v>
      </c>
      <c r="M18" s="14" t="n">
        <v>0.12</v>
      </c>
      <c r="N18" s="15" t="n">
        <f aca="false">SUM(B18:M18)</f>
        <v>1</v>
      </c>
    </row>
    <row r="19" customFormat="false" ht="15" hidden="false" customHeight="false" outlineLevel="0" collapsed="false">
      <c r="A19" s="3" t="s">
        <v>110</v>
      </c>
      <c r="B19" s="14" t="n">
        <v>0.1</v>
      </c>
      <c r="C19" s="14" t="n">
        <v>0.08</v>
      </c>
      <c r="D19" s="14" t="n">
        <v>0.085</v>
      </c>
      <c r="E19" s="14" t="n">
        <v>0.085</v>
      </c>
      <c r="F19" s="14" t="n">
        <v>0.08</v>
      </c>
      <c r="G19" s="14" t="n">
        <v>0.075</v>
      </c>
      <c r="H19" s="14" t="n">
        <v>0.08</v>
      </c>
      <c r="I19" s="14" t="n">
        <v>0.08</v>
      </c>
      <c r="J19" s="14" t="n">
        <v>0.08</v>
      </c>
      <c r="K19" s="14" t="n">
        <v>0.075</v>
      </c>
      <c r="L19" s="14" t="n">
        <v>0.07</v>
      </c>
      <c r="M19" s="14" t="n">
        <v>0.11</v>
      </c>
      <c r="N19" s="15" t="n">
        <f aca="false">SUM(B19:M19)</f>
        <v>1</v>
      </c>
    </row>
    <row r="20" customFormat="false" ht="15" hidden="false" customHeight="false" outlineLevel="0" collapsed="false">
      <c r="A20" s="3" t="s">
        <v>111</v>
      </c>
      <c r="B20" s="14" t="n">
        <v>0.085</v>
      </c>
      <c r="C20" s="14" t="n">
        <v>0.075</v>
      </c>
      <c r="D20" s="14" t="n">
        <v>0.09</v>
      </c>
      <c r="E20" s="14" t="n">
        <v>0.09</v>
      </c>
      <c r="F20" s="14" t="n">
        <v>0.09</v>
      </c>
      <c r="G20" s="14" t="n">
        <v>0.08</v>
      </c>
      <c r="H20" s="14" t="n">
        <v>0.09</v>
      </c>
      <c r="I20" s="14" t="n">
        <v>0.09</v>
      </c>
      <c r="J20" s="14" t="n">
        <v>0.085</v>
      </c>
      <c r="K20" s="14" t="n">
        <v>0.075</v>
      </c>
      <c r="L20" s="14" t="n">
        <v>0.07</v>
      </c>
      <c r="M20" s="14" t="n">
        <v>0.08</v>
      </c>
      <c r="N20" s="15" t="n">
        <f aca="false">SUM(B20:M20)</f>
        <v>1</v>
      </c>
    </row>
    <row r="22" customFormat="false" ht="15" hidden="false" customHeight="false" outlineLevel="0" collapsed="false">
      <c r="A22" s="1" t="s">
        <v>112</v>
      </c>
    </row>
    <row r="23" customFormat="false" ht="15" hidden="false" customHeight="false" outlineLevel="0" collapsed="false">
      <c r="A23" s="2" t="s">
        <v>113</v>
      </c>
      <c r="B23" s="2" t="s">
        <v>77</v>
      </c>
      <c r="C23" s="2" t="s">
        <v>78</v>
      </c>
      <c r="D23" s="2" t="s">
        <v>79</v>
      </c>
      <c r="E23" s="2" t="s">
        <v>80</v>
      </c>
      <c r="F23" s="2" t="s">
        <v>81</v>
      </c>
      <c r="G23" s="2" t="s">
        <v>82</v>
      </c>
      <c r="H23" s="2" t="s">
        <v>83</v>
      </c>
      <c r="I23" s="2" t="s">
        <v>84</v>
      </c>
      <c r="J23" s="2" t="s">
        <v>85</v>
      </c>
      <c r="K23" s="2" t="s">
        <v>86</v>
      </c>
      <c r="L23" s="2" t="s">
        <v>87</v>
      </c>
      <c r="M23" s="2" t="s">
        <v>88</v>
      </c>
      <c r="N23" s="2" t="s">
        <v>89</v>
      </c>
      <c r="O23" s="2" t="s">
        <v>90</v>
      </c>
      <c r="P23" s="2" t="s">
        <v>91</v>
      </c>
      <c r="Q23" s="2" t="s">
        <v>92</v>
      </c>
    </row>
    <row r="24" customFormat="false" ht="15" hidden="false" customHeight="false" outlineLevel="0" collapsed="false">
      <c r="A24" s="12" t="s">
        <v>96</v>
      </c>
      <c r="B24" s="16" t="n">
        <f aca="false">B$13*INDEX($B$18:$M$20,B$14,1)/Datos!$C$4</f>
        <v>962.1791739</v>
      </c>
      <c r="C24" s="16" t="n">
        <f aca="false">C$13*INDEX($B$18:$M$20,C$14,1)/Datos!$C$4</f>
        <v>185.6214611</v>
      </c>
      <c r="D24" s="16" t="n">
        <f aca="false">D$13*INDEX($B$18:$M$20,D$14,1)/Datos!$C$4</f>
        <v>768.769468</v>
      </c>
      <c r="E24" s="16" t="n">
        <f aca="false">E$13*INDEX($B$18:$M$20,E$14,1)/Datos!$C$4</f>
        <v>46.021201975</v>
      </c>
      <c r="F24" s="16" t="n">
        <f aca="false">F$13*INDEX($B$18:$M$20,F$14,1)/Datos!$C$4</f>
        <v>9.6319988305</v>
      </c>
      <c r="G24" s="16" t="n">
        <f aca="false">G$13*INDEX($B$18:$M$20,G$14,1)/Datos!$C$4</f>
        <v>21.190397428375</v>
      </c>
      <c r="H24" s="16" t="n">
        <f aca="false">H$13*INDEX($B$18:$M$20,H$14,1)/Datos!$C$4</f>
        <v>4.62335944</v>
      </c>
      <c r="I24" s="16" t="n">
        <f aca="false">I$13*INDEX($B$18:$M$20,I$14,1)/Datos!$C$4</f>
        <v>3.08223962525</v>
      </c>
      <c r="J24" s="16" t="n">
        <f aca="false">J$13*INDEX($B$18:$M$20,J$14,1)/Datos!$C$4</f>
        <v>5116.44</v>
      </c>
      <c r="K24" s="16" t="n">
        <f aca="false">K$13*INDEX($B$18:$M$20,K$14,1)/Datos!$C$4</f>
        <v>166.725</v>
      </c>
      <c r="L24" s="16" t="n">
        <f aca="false">L$13*INDEX($B$18:$M$20,L$14,1)/Datos!$C$4</f>
        <v>822.875</v>
      </c>
      <c r="M24" s="16" t="n">
        <f aca="false">M$13*INDEX($B$18:$M$20,M$14,1)/Datos!$C$4</f>
        <v>50.275</v>
      </c>
      <c r="N24" s="16" t="n">
        <f aca="false">N$13*INDEX($B$18:$M$20,N$14,1)/Datos!$C$4</f>
        <v>6.8425</v>
      </c>
      <c r="O24" s="16" t="n">
        <f aca="false">O$13*INDEX($B$18:$M$20,O$14,1)/Datos!$C$4</f>
        <v>15.045</v>
      </c>
      <c r="P24" s="16" t="n">
        <f aca="false">P$13*INDEX($B$18:$M$20,P$14,1)/Datos!$C$4</f>
        <v>3.29375</v>
      </c>
      <c r="Q24" s="16" t="n">
        <f aca="false">Q$13*INDEX($B$18:$M$20,Q$14,1)/Datos!$C$4</f>
        <v>2.1675</v>
      </c>
    </row>
    <row r="25" customFormat="false" ht="15" hidden="false" customHeight="false" outlineLevel="0" collapsed="false">
      <c r="A25" s="12" t="s">
        <v>97</v>
      </c>
      <c r="B25" s="16" t="n">
        <f aca="false">B$13*INDEX($B$18:$M$20,B$14,2)/Datos!$C$4</f>
        <v>721.634380425</v>
      </c>
      <c r="C25" s="16" t="n">
        <f aca="false">C$13*INDEX($B$18:$M$20,C$14,2)/Datos!$C$4</f>
        <v>148.49716888</v>
      </c>
      <c r="D25" s="16" t="n">
        <f aca="false">D$13*INDEX($B$18:$M$20,D$14,2)/Datos!$C$4</f>
        <v>615.0155744</v>
      </c>
      <c r="E25" s="16" t="n">
        <f aca="false">E$13*INDEX($B$18:$M$20,E$14,2)/Datos!$C$4</f>
        <v>36.81696158</v>
      </c>
      <c r="F25" s="16" t="n">
        <f aca="false">F$13*INDEX($B$18:$M$20,F$14,2)/Datos!$C$4</f>
        <v>8.4988224975</v>
      </c>
      <c r="G25" s="16" t="n">
        <f aca="false">G$13*INDEX($B$18:$M$20,G$14,2)/Datos!$C$4</f>
        <v>18.697409495625</v>
      </c>
      <c r="H25" s="16" t="n">
        <f aca="false">H$13*INDEX($B$18:$M$20,H$14,2)/Datos!$C$4</f>
        <v>4.0794348</v>
      </c>
      <c r="I25" s="16" t="n">
        <f aca="false">I$13*INDEX($B$18:$M$20,I$14,2)/Datos!$C$4</f>
        <v>2.71962319875</v>
      </c>
      <c r="J25" s="16" t="n">
        <f aca="false">J$13*INDEX($B$18:$M$20,J$14,2)/Datos!$C$4</f>
        <v>3837.33</v>
      </c>
      <c r="K25" s="16" t="n">
        <f aca="false">K$13*INDEX($B$18:$M$20,K$14,2)/Datos!$C$4</f>
        <v>133.38</v>
      </c>
      <c r="L25" s="16" t="n">
        <f aca="false">L$13*INDEX($B$18:$M$20,L$14,2)/Datos!$C$4</f>
        <v>658.3</v>
      </c>
      <c r="M25" s="16" t="n">
        <f aca="false">M$13*INDEX($B$18:$M$20,M$14,2)/Datos!$C$4</f>
        <v>40.22</v>
      </c>
      <c r="N25" s="16" t="n">
        <f aca="false">N$13*INDEX($B$18:$M$20,N$14,2)/Datos!$C$4</f>
        <v>6.0375</v>
      </c>
      <c r="O25" s="16" t="n">
        <f aca="false">O$13*INDEX($B$18:$M$20,O$14,2)/Datos!$C$4</f>
        <v>13.275</v>
      </c>
      <c r="P25" s="16" t="n">
        <f aca="false">P$13*INDEX($B$18:$M$20,P$14,2)/Datos!$C$4</f>
        <v>2.90625</v>
      </c>
      <c r="Q25" s="16" t="n">
        <f aca="false">Q$13*INDEX($B$18:$M$20,Q$14,2)/Datos!$C$4</f>
        <v>1.9125</v>
      </c>
    </row>
    <row r="26" customFormat="false" ht="15" hidden="false" customHeight="false" outlineLevel="0" collapsed="false">
      <c r="A26" s="12" t="s">
        <v>98</v>
      </c>
      <c r="B26" s="16" t="n">
        <f aca="false">B$13*INDEX($B$18:$M$20,B$14,3)/Datos!$C$4</f>
        <v>641.4527826</v>
      </c>
      <c r="C26" s="16" t="n">
        <f aca="false">C$13*INDEX($B$18:$M$20,C$14,3)/Datos!$C$4</f>
        <v>157.778241935</v>
      </c>
      <c r="D26" s="16" t="n">
        <f aca="false">D$13*INDEX($B$18:$M$20,D$14,3)/Datos!$C$4</f>
        <v>653.4540478</v>
      </c>
      <c r="E26" s="16" t="n">
        <f aca="false">E$13*INDEX($B$18:$M$20,E$14,3)/Datos!$C$4</f>
        <v>39.11802167875</v>
      </c>
      <c r="F26" s="16" t="n">
        <f aca="false">F$13*INDEX($B$18:$M$20,F$14,3)/Datos!$C$4</f>
        <v>10.198586997</v>
      </c>
      <c r="G26" s="16" t="n">
        <f aca="false">G$13*INDEX($B$18:$M$20,G$14,3)/Datos!$C$4</f>
        <v>22.43689139475</v>
      </c>
      <c r="H26" s="16" t="n">
        <f aca="false">H$13*INDEX($B$18:$M$20,H$14,3)/Datos!$C$4</f>
        <v>4.89532176</v>
      </c>
      <c r="I26" s="16" t="n">
        <f aca="false">I$13*INDEX($B$18:$M$20,I$14,3)/Datos!$C$4</f>
        <v>3.2635478385</v>
      </c>
      <c r="J26" s="16" t="n">
        <f aca="false">J$13*INDEX($B$18:$M$20,J$14,3)/Datos!$C$4</f>
        <v>3410.96</v>
      </c>
      <c r="K26" s="16" t="n">
        <f aca="false">K$13*INDEX($B$18:$M$20,K$14,3)/Datos!$C$4</f>
        <v>141.71625</v>
      </c>
      <c r="L26" s="16" t="n">
        <f aca="false">L$13*INDEX($B$18:$M$20,L$14,3)/Datos!$C$4</f>
        <v>699.44375</v>
      </c>
      <c r="M26" s="16" t="n">
        <f aca="false">M$13*INDEX($B$18:$M$20,M$14,3)/Datos!$C$4</f>
        <v>42.73375</v>
      </c>
      <c r="N26" s="16" t="n">
        <f aca="false">N$13*INDEX($B$18:$M$20,N$14,3)/Datos!$C$4</f>
        <v>7.245</v>
      </c>
      <c r="O26" s="16" t="n">
        <f aca="false">O$13*INDEX($B$18:$M$20,O$14,3)/Datos!$C$4</f>
        <v>15.93</v>
      </c>
      <c r="P26" s="16" t="n">
        <f aca="false">P$13*INDEX($B$18:$M$20,P$14,3)/Datos!$C$4</f>
        <v>3.4875</v>
      </c>
      <c r="Q26" s="16" t="n">
        <f aca="false">Q$13*INDEX($B$18:$M$20,Q$14,3)/Datos!$C$4</f>
        <v>2.295</v>
      </c>
    </row>
    <row r="27" customFormat="false" ht="15" hidden="false" customHeight="false" outlineLevel="0" collapsed="false">
      <c r="A27" s="12" t="s">
        <v>99</v>
      </c>
      <c r="B27" s="16" t="n">
        <f aca="false">B$13*INDEX($B$18:$M$20,B$14,4)/Datos!$C$4</f>
        <v>601.3619836875</v>
      </c>
      <c r="C27" s="16" t="n">
        <f aca="false">C$13*INDEX($B$18:$M$20,C$14,4)/Datos!$C$4</f>
        <v>157.778241935</v>
      </c>
      <c r="D27" s="16" t="n">
        <f aca="false">D$13*INDEX($B$18:$M$20,D$14,4)/Datos!$C$4</f>
        <v>653.4540478</v>
      </c>
      <c r="E27" s="16" t="n">
        <f aca="false">E$13*INDEX($B$18:$M$20,E$14,4)/Datos!$C$4</f>
        <v>39.11802167875</v>
      </c>
      <c r="F27" s="16" t="n">
        <f aca="false">F$13*INDEX($B$18:$M$20,F$14,4)/Datos!$C$4</f>
        <v>10.198586997</v>
      </c>
      <c r="G27" s="16" t="n">
        <f aca="false">G$13*INDEX($B$18:$M$20,G$14,4)/Datos!$C$4</f>
        <v>22.43689139475</v>
      </c>
      <c r="H27" s="16" t="n">
        <f aca="false">H$13*INDEX($B$18:$M$20,H$14,4)/Datos!$C$4</f>
        <v>4.89532176</v>
      </c>
      <c r="I27" s="16" t="n">
        <f aca="false">I$13*INDEX($B$18:$M$20,I$14,4)/Datos!$C$4</f>
        <v>3.2635478385</v>
      </c>
      <c r="J27" s="16" t="n">
        <f aca="false">J$13*INDEX($B$18:$M$20,J$14,4)/Datos!$C$4</f>
        <v>3197.775</v>
      </c>
      <c r="K27" s="16" t="n">
        <f aca="false">K$13*INDEX($B$18:$M$20,K$14,4)/Datos!$C$4</f>
        <v>141.71625</v>
      </c>
      <c r="L27" s="16" t="n">
        <f aca="false">L$13*INDEX($B$18:$M$20,L$14,4)/Datos!$C$4</f>
        <v>699.44375</v>
      </c>
      <c r="M27" s="16" t="n">
        <f aca="false">M$13*INDEX($B$18:$M$20,M$14,4)/Datos!$C$4</f>
        <v>42.73375</v>
      </c>
      <c r="N27" s="16" t="n">
        <f aca="false">N$13*INDEX($B$18:$M$20,N$14,4)/Datos!$C$4</f>
        <v>7.245</v>
      </c>
      <c r="O27" s="16" t="n">
        <f aca="false">O$13*INDEX($B$18:$M$20,O$14,4)/Datos!$C$4</f>
        <v>15.93</v>
      </c>
      <c r="P27" s="16" t="n">
        <f aca="false">P$13*INDEX($B$18:$M$20,P$14,4)/Datos!$C$4</f>
        <v>3.4875</v>
      </c>
      <c r="Q27" s="16" t="n">
        <f aca="false">Q$13*INDEX($B$18:$M$20,Q$14,4)/Datos!$C$4</f>
        <v>2.295</v>
      </c>
    </row>
    <row r="28" customFormat="false" ht="15" hidden="false" customHeight="false" outlineLevel="0" collapsed="false">
      <c r="A28" s="12" t="s">
        <v>100</v>
      </c>
      <c r="B28" s="16" t="n">
        <f aca="false">B$13*INDEX($B$18:$M$20,B$14,5)/Datos!$C$4</f>
        <v>561.271184775</v>
      </c>
      <c r="C28" s="16" t="n">
        <f aca="false">C$13*INDEX($B$18:$M$20,C$14,5)/Datos!$C$4</f>
        <v>148.49716888</v>
      </c>
      <c r="D28" s="16" t="n">
        <f aca="false">D$13*INDEX($B$18:$M$20,D$14,5)/Datos!$C$4</f>
        <v>615.0155744</v>
      </c>
      <c r="E28" s="16" t="n">
        <f aca="false">E$13*INDEX($B$18:$M$20,E$14,5)/Datos!$C$4</f>
        <v>36.81696158</v>
      </c>
      <c r="F28" s="16" t="n">
        <f aca="false">F$13*INDEX($B$18:$M$20,F$14,5)/Datos!$C$4</f>
        <v>10.198586997</v>
      </c>
      <c r="G28" s="16" t="n">
        <f aca="false">G$13*INDEX($B$18:$M$20,G$14,5)/Datos!$C$4</f>
        <v>22.43689139475</v>
      </c>
      <c r="H28" s="16" t="n">
        <f aca="false">H$13*INDEX($B$18:$M$20,H$14,5)/Datos!$C$4</f>
        <v>4.89532176</v>
      </c>
      <c r="I28" s="16" t="n">
        <f aca="false">I$13*INDEX($B$18:$M$20,I$14,5)/Datos!$C$4</f>
        <v>3.2635478385</v>
      </c>
      <c r="J28" s="16" t="n">
        <f aca="false">J$13*INDEX($B$18:$M$20,J$14,5)/Datos!$C$4</f>
        <v>2984.59</v>
      </c>
      <c r="K28" s="16" t="n">
        <f aca="false">K$13*INDEX($B$18:$M$20,K$14,5)/Datos!$C$4</f>
        <v>133.38</v>
      </c>
      <c r="L28" s="16" t="n">
        <f aca="false">L$13*INDEX($B$18:$M$20,L$14,5)/Datos!$C$4</f>
        <v>658.3</v>
      </c>
      <c r="M28" s="16" t="n">
        <f aca="false">M$13*INDEX($B$18:$M$20,M$14,5)/Datos!$C$4</f>
        <v>40.22</v>
      </c>
      <c r="N28" s="16" t="n">
        <f aca="false">N$13*INDEX($B$18:$M$20,N$14,5)/Datos!$C$4</f>
        <v>7.245</v>
      </c>
      <c r="O28" s="16" t="n">
        <f aca="false">O$13*INDEX($B$18:$M$20,O$14,5)/Datos!$C$4</f>
        <v>15.93</v>
      </c>
      <c r="P28" s="16" t="n">
        <f aca="false">P$13*INDEX($B$18:$M$20,P$14,5)/Datos!$C$4</f>
        <v>3.4875</v>
      </c>
      <c r="Q28" s="16" t="n">
        <f aca="false">Q$13*INDEX($B$18:$M$20,Q$14,5)/Datos!$C$4</f>
        <v>2.295</v>
      </c>
    </row>
    <row r="29" customFormat="false" ht="15" hidden="false" customHeight="false" outlineLevel="0" collapsed="false">
      <c r="A29" s="12" t="s">
        <v>101</v>
      </c>
      <c r="B29" s="16" t="n">
        <f aca="false">B$13*INDEX($B$18:$M$20,B$14,6)/Datos!$C$4</f>
        <v>561.271184775</v>
      </c>
      <c r="C29" s="16" t="n">
        <f aca="false">C$13*INDEX($B$18:$M$20,C$14,6)/Datos!$C$4</f>
        <v>139.216095825</v>
      </c>
      <c r="D29" s="16" t="n">
        <f aca="false">D$13*INDEX($B$18:$M$20,D$14,6)/Datos!$C$4</f>
        <v>576.577101</v>
      </c>
      <c r="E29" s="16" t="n">
        <f aca="false">E$13*INDEX($B$18:$M$20,E$14,6)/Datos!$C$4</f>
        <v>34.51590148125</v>
      </c>
      <c r="F29" s="16" t="n">
        <f aca="false">F$13*INDEX($B$18:$M$20,F$14,6)/Datos!$C$4</f>
        <v>9.065410664</v>
      </c>
      <c r="G29" s="16" t="n">
        <f aca="false">G$13*INDEX($B$18:$M$20,G$14,6)/Datos!$C$4</f>
        <v>19.943903462</v>
      </c>
      <c r="H29" s="16" t="n">
        <f aca="false">H$13*INDEX($B$18:$M$20,H$14,6)/Datos!$C$4</f>
        <v>4.35139712</v>
      </c>
      <c r="I29" s="16" t="n">
        <f aca="false">I$13*INDEX($B$18:$M$20,I$14,6)/Datos!$C$4</f>
        <v>2.900931412</v>
      </c>
      <c r="J29" s="16" t="n">
        <f aca="false">J$13*INDEX($B$18:$M$20,J$14,6)/Datos!$C$4</f>
        <v>2984.59</v>
      </c>
      <c r="K29" s="16" t="n">
        <f aca="false">K$13*INDEX($B$18:$M$20,K$14,6)/Datos!$C$4</f>
        <v>125.04375</v>
      </c>
      <c r="L29" s="16" t="n">
        <f aca="false">L$13*INDEX($B$18:$M$20,L$14,6)/Datos!$C$4</f>
        <v>617.15625</v>
      </c>
      <c r="M29" s="16" t="n">
        <f aca="false">M$13*INDEX($B$18:$M$20,M$14,6)/Datos!$C$4</f>
        <v>37.70625</v>
      </c>
      <c r="N29" s="16" t="n">
        <f aca="false">N$13*INDEX($B$18:$M$20,N$14,6)/Datos!$C$4</f>
        <v>6.44</v>
      </c>
      <c r="O29" s="16" t="n">
        <f aca="false">O$13*INDEX($B$18:$M$20,O$14,6)/Datos!$C$4</f>
        <v>14.16</v>
      </c>
      <c r="P29" s="16" t="n">
        <f aca="false">P$13*INDEX($B$18:$M$20,P$14,6)/Datos!$C$4</f>
        <v>3.1</v>
      </c>
      <c r="Q29" s="16" t="n">
        <f aca="false">Q$13*INDEX($B$18:$M$20,Q$14,6)/Datos!$C$4</f>
        <v>2.04</v>
      </c>
    </row>
    <row r="30" customFormat="false" ht="15" hidden="false" customHeight="false" outlineLevel="0" collapsed="false">
      <c r="A30" s="12" t="s">
        <v>102</v>
      </c>
      <c r="B30" s="16" t="n">
        <f aca="false">B$13*INDEX($B$18:$M$20,B$14,7)/Datos!$C$4</f>
        <v>601.3619836875</v>
      </c>
      <c r="C30" s="16" t="n">
        <f aca="false">C$13*INDEX($B$18:$M$20,C$14,7)/Datos!$C$4</f>
        <v>148.49716888</v>
      </c>
      <c r="D30" s="16" t="n">
        <f aca="false">D$13*INDEX($B$18:$M$20,D$14,7)/Datos!$C$4</f>
        <v>615.0155744</v>
      </c>
      <c r="E30" s="16" t="n">
        <f aca="false">E$13*INDEX($B$18:$M$20,E$14,7)/Datos!$C$4</f>
        <v>36.81696158</v>
      </c>
      <c r="F30" s="16" t="n">
        <f aca="false">F$13*INDEX($B$18:$M$20,F$14,7)/Datos!$C$4</f>
        <v>10.198586997</v>
      </c>
      <c r="G30" s="16" t="n">
        <f aca="false">G$13*INDEX($B$18:$M$20,G$14,7)/Datos!$C$4</f>
        <v>22.43689139475</v>
      </c>
      <c r="H30" s="16" t="n">
        <f aca="false">H$13*INDEX($B$18:$M$20,H$14,7)/Datos!$C$4</f>
        <v>4.89532176</v>
      </c>
      <c r="I30" s="16" t="n">
        <f aca="false">I$13*INDEX($B$18:$M$20,I$14,7)/Datos!$C$4</f>
        <v>3.2635478385</v>
      </c>
      <c r="J30" s="16" t="n">
        <f aca="false">J$13*INDEX($B$18:$M$20,J$14,7)/Datos!$C$4</f>
        <v>3197.775</v>
      </c>
      <c r="K30" s="16" t="n">
        <f aca="false">K$13*INDEX($B$18:$M$20,K$14,7)/Datos!$C$4</f>
        <v>133.38</v>
      </c>
      <c r="L30" s="16" t="n">
        <f aca="false">L$13*INDEX($B$18:$M$20,L$14,7)/Datos!$C$4</f>
        <v>658.3</v>
      </c>
      <c r="M30" s="16" t="n">
        <f aca="false">M$13*INDEX($B$18:$M$20,M$14,7)/Datos!$C$4</f>
        <v>40.22</v>
      </c>
      <c r="N30" s="16" t="n">
        <f aca="false">N$13*INDEX($B$18:$M$20,N$14,7)/Datos!$C$4</f>
        <v>7.245</v>
      </c>
      <c r="O30" s="16" t="n">
        <f aca="false">O$13*INDEX($B$18:$M$20,O$14,7)/Datos!$C$4</f>
        <v>15.93</v>
      </c>
      <c r="P30" s="16" t="n">
        <f aca="false">P$13*INDEX($B$18:$M$20,P$14,7)/Datos!$C$4</f>
        <v>3.4875</v>
      </c>
      <c r="Q30" s="16" t="n">
        <f aca="false">Q$13*INDEX($B$18:$M$20,Q$14,7)/Datos!$C$4</f>
        <v>2.295</v>
      </c>
    </row>
    <row r="31" customFormat="false" ht="15" hidden="false" customHeight="false" outlineLevel="0" collapsed="false">
      <c r="A31" s="12" t="s">
        <v>103</v>
      </c>
      <c r="B31" s="16" t="n">
        <f aca="false">B$13*INDEX($B$18:$M$20,B$14,8)/Datos!$C$4</f>
        <v>601.3619836875</v>
      </c>
      <c r="C31" s="16" t="n">
        <f aca="false">C$13*INDEX($B$18:$M$20,C$14,8)/Datos!$C$4</f>
        <v>148.49716888</v>
      </c>
      <c r="D31" s="16" t="n">
        <f aca="false">D$13*INDEX($B$18:$M$20,D$14,8)/Datos!$C$4</f>
        <v>615.0155744</v>
      </c>
      <c r="E31" s="16" t="n">
        <f aca="false">E$13*INDEX($B$18:$M$20,E$14,8)/Datos!$C$4</f>
        <v>36.81696158</v>
      </c>
      <c r="F31" s="16" t="n">
        <f aca="false">F$13*INDEX($B$18:$M$20,F$14,8)/Datos!$C$4</f>
        <v>10.198586997</v>
      </c>
      <c r="G31" s="16" t="n">
        <f aca="false">G$13*INDEX($B$18:$M$20,G$14,8)/Datos!$C$4</f>
        <v>22.43689139475</v>
      </c>
      <c r="H31" s="16" t="n">
        <f aca="false">H$13*INDEX($B$18:$M$20,H$14,8)/Datos!$C$4</f>
        <v>4.89532176</v>
      </c>
      <c r="I31" s="16" t="n">
        <f aca="false">I$13*INDEX($B$18:$M$20,I$14,8)/Datos!$C$4</f>
        <v>3.2635478385</v>
      </c>
      <c r="J31" s="16" t="n">
        <f aca="false">J$13*INDEX($B$18:$M$20,J$14,8)/Datos!$C$4</f>
        <v>3197.775</v>
      </c>
      <c r="K31" s="16" t="n">
        <f aca="false">K$13*INDEX($B$18:$M$20,K$14,8)/Datos!$C$4</f>
        <v>133.38</v>
      </c>
      <c r="L31" s="16" t="n">
        <f aca="false">L$13*INDEX($B$18:$M$20,L$14,8)/Datos!$C$4</f>
        <v>658.3</v>
      </c>
      <c r="M31" s="16" t="n">
        <f aca="false">M$13*INDEX($B$18:$M$20,M$14,8)/Datos!$C$4</f>
        <v>40.22</v>
      </c>
      <c r="N31" s="16" t="n">
        <f aca="false">N$13*INDEX($B$18:$M$20,N$14,8)/Datos!$C$4</f>
        <v>7.245</v>
      </c>
      <c r="O31" s="16" t="n">
        <f aca="false">O$13*INDEX($B$18:$M$20,O$14,8)/Datos!$C$4</f>
        <v>15.93</v>
      </c>
      <c r="P31" s="16" t="n">
        <f aca="false">P$13*INDEX($B$18:$M$20,P$14,8)/Datos!$C$4</f>
        <v>3.4875</v>
      </c>
      <c r="Q31" s="16" t="n">
        <f aca="false">Q$13*INDEX($B$18:$M$20,Q$14,8)/Datos!$C$4</f>
        <v>2.295</v>
      </c>
    </row>
    <row r="32" customFormat="false" ht="15" hidden="false" customHeight="false" outlineLevel="0" collapsed="false">
      <c r="A32" s="12" t="s">
        <v>104</v>
      </c>
      <c r="B32" s="16" t="n">
        <f aca="false">B$13*INDEX($B$18:$M$20,B$14,9)/Datos!$C$4</f>
        <v>601.3619836875</v>
      </c>
      <c r="C32" s="16" t="n">
        <f aca="false">C$13*INDEX($B$18:$M$20,C$14,9)/Datos!$C$4</f>
        <v>148.49716888</v>
      </c>
      <c r="D32" s="16" t="n">
        <f aca="false">D$13*INDEX($B$18:$M$20,D$14,9)/Datos!$C$4</f>
        <v>615.0155744</v>
      </c>
      <c r="E32" s="16" t="n">
        <f aca="false">E$13*INDEX($B$18:$M$20,E$14,9)/Datos!$C$4</f>
        <v>36.81696158</v>
      </c>
      <c r="F32" s="16" t="n">
        <f aca="false">F$13*INDEX($B$18:$M$20,F$14,9)/Datos!$C$4</f>
        <v>9.6319988305</v>
      </c>
      <c r="G32" s="16" t="n">
        <f aca="false">G$13*INDEX($B$18:$M$20,G$14,9)/Datos!$C$4</f>
        <v>21.190397428375</v>
      </c>
      <c r="H32" s="16" t="n">
        <f aca="false">H$13*INDEX($B$18:$M$20,H$14,9)/Datos!$C$4</f>
        <v>4.62335944</v>
      </c>
      <c r="I32" s="16" t="n">
        <f aca="false">I$13*INDEX($B$18:$M$20,I$14,9)/Datos!$C$4</f>
        <v>3.08223962525</v>
      </c>
      <c r="J32" s="16" t="n">
        <f aca="false">J$13*INDEX($B$18:$M$20,J$14,9)/Datos!$C$4</f>
        <v>3197.775</v>
      </c>
      <c r="K32" s="16" t="n">
        <f aca="false">K$13*INDEX($B$18:$M$20,K$14,9)/Datos!$C$4</f>
        <v>133.38</v>
      </c>
      <c r="L32" s="16" t="n">
        <f aca="false">L$13*INDEX($B$18:$M$20,L$14,9)/Datos!$C$4</f>
        <v>658.3</v>
      </c>
      <c r="M32" s="16" t="n">
        <f aca="false">M$13*INDEX($B$18:$M$20,M$14,9)/Datos!$C$4</f>
        <v>40.22</v>
      </c>
      <c r="N32" s="16" t="n">
        <f aca="false">N$13*INDEX($B$18:$M$20,N$14,9)/Datos!$C$4</f>
        <v>6.8425</v>
      </c>
      <c r="O32" s="16" t="n">
        <f aca="false">O$13*INDEX($B$18:$M$20,O$14,9)/Datos!$C$4</f>
        <v>15.045</v>
      </c>
      <c r="P32" s="16" t="n">
        <f aca="false">P$13*INDEX($B$18:$M$20,P$14,9)/Datos!$C$4</f>
        <v>3.29375</v>
      </c>
      <c r="Q32" s="16" t="n">
        <f aca="false">Q$13*INDEX($B$18:$M$20,Q$14,9)/Datos!$C$4</f>
        <v>2.1675</v>
      </c>
    </row>
    <row r="33" customFormat="false" ht="15" hidden="false" customHeight="false" outlineLevel="0" collapsed="false">
      <c r="A33" s="12" t="s">
        <v>105</v>
      </c>
      <c r="B33" s="16" t="n">
        <f aca="false">B$13*INDEX($B$18:$M$20,B$14,10)/Datos!$C$4</f>
        <v>601.3619836875</v>
      </c>
      <c r="C33" s="16" t="n">
        <f aca="false">C$13*INDEX($B$18:$M$20,C$14,10)/Datos!$C$4</f>
        <v>139.216095825</v>
      </c>
      <c r="D33" s="16" t="n">
        <f aca="false">D$13*INDEX($B$18:$M$20,D$14,10)/Datos!$C$4</f>
        <v>576.577101</v>
      </c>
      <c r="E33" s="16" t="n">
        <f aca="false">E$13*INDEX($B$18:$M$20,E$14,10)/Datos!$C$4</f>
        <v>34.51590148125</v>
      </c>
      <c r="F33" s="16" t="n">
        <f aca="false">F$13*INDEX($B$18:$M$20,F$14,10)/Datos!$C$4</f>
        <v>8.4988224975</v>
      </c>
      <c r="G33" s="16" t="n">
        <f aca="false">G$13*INDEX($B$18:$M$20,G$14,10)/Datos!$C$4</f>
        <v>18.697409495625</v>
      </c>
      <c r="H33" s="16" t="n">
        <f aca="false">H$13*INDEX($B$18:$M$20,H$14,10)/Datos!$C$4</f>
        <v>4.0794348</v>
      </c>
      <c r="I33" s="16" t="n">
        <f aca="false">I$13*INDEX($B$18:$M$20,I$14,10)/Datos!$C$4</f>
        <v>2.71962319875</v>
      </c>
      <c r="J33" s="16" t="n">
        <f aca="false">J$13*INDEX($B$18:$M$20,J$14,10)/Datos!$C$4</f>
        <v>3197.775</v>
      </c>
      <c r="K33" s="16" t="n">
        <f aca="false">K$13*INDEX($B$18:$M$20,K$14,10)/Datos!$C$4</f>
        <v>125.04375</v>
      </c>
      <c r="L33" s="16" t="n">
        <f aca="false">L$13*INDEX($B$18:$M$20,L$14,10)/Datos!$C$4</f>
        <v>617.15625</v>
      </c>
      <c r="M33" s="16" t="n">
        <f aca="false">M$13*INDEX($B$18:$M$20,M$14,10)/Datos!$C$4</f>
        <v>37.70625</v>
      </c>
      <c r="N33" s="16" t="n">
        <f aca="false">N$13*INDEX($B$18:$M$20,N$14,10)/Datos!$C$4</f>
        <v>6.0375</v>
      </c>
      <c r="O33" s="16" t="n">
        <f aca="false">O$13*INDEX($B$18:$M$20,O$14,10)/Datos!$C$4</f>
        <v>13.275</v>
      </c>
      <c r="P33" s="16" t="n">
        <f aca="false">P$13*INDEX($B$18:$M$20,P$14,10)/Datos!$C$4</f>
        <v>2.90625</v>
      </c>
      <c r="Q33" s="16" t="n">
        <f aca="false">Q$13*INDEX($B$18:$M$20,Q$14,10)/Datos!$C$4</f>
        <v>1.9125</v>
      </c>
    </row>
    <row r="34" customFormat="false" ht="15" hidden="false" customHeight="false" outlineLevel="0" collapsed="false">
      <c r="A34" s="12" t="s">
        <v>106</v>
      </c>
      <c r="B34" s="16" t="n">
        <f aca="false">B$13*INDEX($B$18:$M$20,B$14,11)/Datos!$C$4</f>
        <v>601.3619836875</v>
      </c>
      <c r="C34" s="16" t="n">
        <f aca="false">C$13*INDEX($B$18:$M$20,C$14,11)/Datos!$C$4</f>
        <v>129.93502277</v>
      </c>
      <c r="D34" s="16" t="n">
        <f aca="false">D$13*INDEX($B$18:$M$20,D$14,11)/Datos!$C$4</f>
        <v>538.1386276</v>
      </c>
      <c r="E34" s="16" t="n">
        <f aca="false">E$13*INDEX($B$18:$M$20,E$14,11)/Datos!$C$4</f>
        <v>32.2148413825</v>
      </c>
      <c r="F34" s="16" t="n">
        <f aca="false">F$13*INDEX($B$18:$M$20,F$14,11)/Datos!$C$4</f>
        <v>7.932234331</v>
      </c>
      <c r="G34" s="16" t="n">
        <f aca="false">G$13*INDEX($B$18:$M$20,G$14,11)/Datos!$C$4</f>
        <v>17.45091552925</v>
      </c>
      <c r="H34" s="16" t="n">
        <f aca="false">H$13*INDEX($B$18:$M$20,H$14,11)/Datos!$C$4</f>
        <v>3.80747248</v>
      </c>
      <c r="I34" s="16" t="n">
        <f aca="false">I$13*INDEX($B$18:$M$20,I$14,11)/Datos!$C$4</f>
        <v>2.5383149855</v>
      </c>
      <c r="J34" s="16" t="n">
        <f aca="false">J$13*INDEX($B$18:$M$20,J$14,11)/Datos!$C$4</f>
        <v>3197.775</v>
      </c>
      <c r="K34" s="16" t="n">
        <f aca="false">K$13*INDEX($B$18:$M$20,K$14,11)/Datos!$C$4</f>
        <v>116.7075</v>
      </c>
      <c r="L34" s="16" t="n">
        <f aca="false">L$13*INDEX($B$18:$M$20,L$14,11)/Datos!$C$4</f>
        <v>576.0125</v>
      </c>
      <c r="M34" s="16" t="n">
        <f aca="false">M$13*INDEX($B$18:$M$20,M$14,11)/Datos!$C$4</f>
        <v>35.1925</v>
      </c>
      <c r="N34" s="16" t="n">
        <f aca="false">N$13*INDEX($B$18:$M$20,N$14,11)/Datos!$C$4</f>
        <v>5.635</v>
      </c>
      <c r="O34" s="16" t="n">
        <f aca="false">O$13*INDEX($B$18:$M$20,O$14,11)/Datos!$C$4</f>
        <v>12.39</v>
      </c>
      <c r="P34" s="16" t="n">
        <f aca="false">P$13*INDEX($B$18:$M$20,P$14,11)/Datos!$C$4</f>
        <v>2.7125</v>
      </c>
      <c r="Q34" s="16" t="n">
        <f aca="false">Q$13*INDEX($B$18:$M$20,Q$14,11)/Datos!$C$4</f>
        <v>1.785</v>
      </c>
    </row>
    <row r="35" customFormat="false" ht="15" hidden="false" customHeight="false" outlineLevel="0" collapsed="false">
      <c r="A35" s="12" t="s">
        <v>107</v>
      </c>
      <c r="B35" s="16" t="n">
        <f aca="false">B$13*INDEX($B$18:$M$20,B$14,12)/Datos!$C$4</f>
        <v>962.1791739</v>
      </c>
      <c r="C35" s="16" t="n">
        <f aca="false">C$13*INDEX($B$18:$M$20,C$14,12)/Datos!$C$4</f>
        <v>204.18360721</v>
      </c>
      <c r="D35" s="16" t="n">
        <f aca="false">D$13*INDEX($B$18:$M$20,D$14,12)/Datos!$C$4</f>
        <v>845.6464148</v>
      </c>
      <c r="E35" s="16" t="n">
        <f aca="false">E$13*INDEX($B$18:$M$20,E$14,12)/Datos!$C$4</f>
        <v>50.6233221725</v>
      </c>
      <c r="F35" s="16" t="n">
        <f aca="false">F$13*INDEX($B$18:$M$20,F$14,12)/Datos!$C$4</f>
        <v>9.065410664</v>
      </c>
      <c r="G35" s="16" t="n">
        <f aca="false">G$13*INDEX($B$18:$M$20,G$14,12)/Datos!$C$4</f>
        <v>19.943903462</v>
      </c>
      <c r="H35" s="16" t="n">
        <f aca="false">H$13*INDEX($B$18:$M$20,H$14,12)/Datos!$C$4</f>
        <v>4.35139712</v>
      </c>
      <c r="I35" s="16" t="n">
        <f aca="false">I$13*INDEX($B$18:$M$20,I$14,12)/Datos!$C$4</f>
        <v>2.900931412</v>
      </c>
      <c r="J35" s="16" t="n">
        <f aca="false">J$13*INDEX($B$18:$M$20,J$14,12)/Datos!$C$4</f>
        <v>5116.44</v>
      </c>
      <c r="K35" s="16" t="n">
        <f aca="false">K$13*INDEX($B$18:$M$20,K$14,12)/Datos!$C$4</f>
        <v>183.3975</v>
      </c>
      <c r="L35" s="16" t="n">
        <f aca="false">L$13*INDEX($B$18:$M$20,L$14,12)/Datos!$C$4</f>
        <v>905.1625</v>
      </c>
      <c r="M35" s="16" t="n">
        <f aca="false">M$13*INDEX($B$18:$M$20,M$14,12)/Datos!$C$4</f>
        <v>55.3025</v>
      </c>
      <c r="N35" s="16" t="n">
        <f aca="false">N$13*INDEX($B$18:$M$20,N$14,12)/Datos!$C$4</f>
        <v>6.44</v>
      </c>
      <c r="O35" s="16" t="n">
        <f aca="false">O$13*INDEX($B$18:$M$20,O$14,12)/Datos!$C$4</f>
        <v>14.16</v>
      </c>
      <c r="P35" s="16" t="n">
        <f aca="false">P$13*INDEX($B$18:$M$20,P$14,12)/Datos!$C$4</f>
        <v>3.1</v>
      </c>
      <c r="Q35" s="16" t="n">
        <f aca="false">Q$13*INDEX($B$18:$M$20,Q$14,12)/Datos!$C$4</f>
        <v>2.04</v>
      </c>
    </row>
    <row r="36" customFormat="false" ht="15" hidden="false" customHeight="false" outlineLevel="0" collapsed="false">
      <c r="A36" s="12" t="s">
        <v>114</v>
      </c>
      <c r="B36" s="13" t="n">
        <f aca="false">MAX(B24:B35)</f>
        <v>962.1791739</v>
      </c>
      <c r="C36" s="13" t="n">
        <f aca="false">MAX(C24:C35)</f>
        <v>204.18360721</v>
      </c>
      <c r="D36" s="13" t="n">
        <f aca="false">MAX(D24:D35)</f>
        <v>845.6464148</v>
      </c>
      <c r="E36" s="13" t="n">
        <f aca="false">MAX(E24:E35)</f>
        <v>50.6233221725</v>
      </c>
      <c r="F36" s="13" t="n">
        <f aca="false">MAX(F24:F35)</f>
        <v>10.198586997</v>
      </c>
      <c r="G36" s="13" t="n">
        <f aca="false">MAX(G24:G35)</f>
        <v>22.43689139475</v>
      </c>
      <c r="H36" s="13" t="n">
        <f aca="false">MAX(H24:H35)</f>
        <v>4.89532176</v>
      </c>
      <c r="I36" s="13" t="n">
        <f aca="false">MAX(I24:I35)</f>
        <v>3.2635478385</v>
      </c>
      <c r="J36" s="13" t="n">
        <f aca="false">MAX(J24:J35)</f>
        <v>5116.44</v>
      </c>
      <c r="K36" s="13" t="n">
        <f aca="false">MAX(K24:K35)</f>
        <v>183.3975</v>
      </c>
      <c r="L36" s="13" t="n">
        <f aca="false">MAX(L24:L35)</f>
        <v>905.1625</v>
      </c>
      <c r="M36" s="13" t="n">
        <f aca="false">MAX(M24:M35)</f>
        <v>55.3025</v>
      </c>
      <c r="N36" s="13" t="n">
        <f aca="false">MAX(N24:N35)</f>
        <v>7.245</v>
      </c>
      <c r="O36" s="13" t="n">
        <f aca="false">MAX(O24:O35)</f>
        <v>15.93</v>
      </c>
      <c r="P36" s="13" t="n">
        <f aca="false">MAX(P24:P35)</f>
        <v>3.4875</v>
      </c>
      <c r="Q36" s="13" t="n">
        <f aca="false">MAX(Q24:Q35)</f>
        <v>2.295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10" min="3" style="0" width="10"/>
  </cols>
  <sheetData>
    <row r="1" customFormat="false" ht="1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/>
      <c r="B2" s="2" t="s">
        <v>2</v>
      </c>
      <c r="C2" s="2" t="s">
        <v>27</v>
      </c>
      <c r="D2" s="2" t="s">
        <v>28</v>
      </c>
      <c r="E2" s="2" t="s">
        <v>29</v>
      </c>
      <c r="F2" s="2" t="s">
        <v>30</v>
      </c>
    </row>
    <row r="3" customFormat="false" ht="15" hidden="false" customHeight="false" outlineLevel="0" collapsed="false">
      <c r="A3" s="3" t="s">
        <v>115</v>
      </c>
      <c r="B3" s="4" t="s">
        <v>18</v>
      </c>
      <c r="C3" s="17" t="n">
        <f aca="false">Datos!$C$19*Datos!$C$24+Datos!$C$23</f>
        <v>12.83</v>
      </c>
      <c r="D3" s="17" t="n">
        <f aca="false">Datos!$D$19*Datos!$D$24+Datos!$D$23</f>
        <v>4.88</v>
      </c>
      <c r="E3" s="17" t="n">
        <f aca="false">Datos!$E$19*Datos!$E$24+Datos!$E$23</f>
        <v>8.83</v>
      </c>
      <c r="F3" s="17" t="n">
        <f aca="false">Datos!$F$19*Datos!$F$24+Datos!$F$23</f>
        <v>16.73</v>
      </c>
    </row>
    <row r="4" customFormat="false" ht="15" hidden="false" customHeight="false" outlineLevel="0" collapsed="false">
      <c r="A4" s="3" t="s">
        <v>116</v>
      </c>
      <c r="B4" s="4" t="s">
        <v>32</v>
      </c>
      <c r="C4" s="16" t="n">
        <f aca="false">IF(INT(Datos!$C$8/Datos!$C$20)*INT(Datos!$C$9/Datos!$C$21)&gt;=INT(Datos!$C$8/Datos!$C$21)*INT(Datos!$C$9/Datos!$C$20),INT(Datos!$C$8/Datos!$C$20),INT(Datos!$C$8/Datos!$C$21))</f>
        <v>4</v>
      </c>
      <c r="D4" s="16" t="n">
        <f aca="false">IF(INT(Datos!$C$8/Datos!$D$20)*INT(Datos!$C$9/Datos!$D$21)&gt;=INT(Datos!$C$8/Datos!$D$21)*INT(Datos!$C$9/Datos!$D$20),INT(Datos!$C$8/Datos!$D$20),INT(Datos!$C$8/Datos!$D$21))</f>
        <v>8</v>
      </c>
      <c r="E4" s="16" t="n">
        <f aca="false">IF(INT(Datos!$C$8/Datos!$E$20)*INT(Datos!$C$9/Datos!$E$21)&gt;=INT(Datos!$C$8/Datos!$E$21)*INT(Datos!$C$9/Datos!$E$20),INT(Datos!$C$8/Datos!$E$20),INT(Datos!$C$8/Datos!$E$21))</f>
        <v>7</v>
      </c>
      <c r="F4" s="16" t="n">
        <f aca="false">IF(INT(Datos!$C$8/Datos!$F$20)*INT(Datos!$C$9/Datos!$F$21)&gt;=INT(Datos!$C$8/Datos!$F$21)*INT(Datos!$C$9/Datos!$F$20),INT(Datos!$C$8/Datos!$F$20),INT(Datos!$C$8/Datos!$F$21))</f>
        <v>6</v>
      </c>
    </row>
    <row r="5" customFormat="false" ht="15" hidden="false" customHeight="false" outlineLevel="0" collapsed="false">
      <c r="A5" s="3" t="s">
        <v>117</v>
      </c>
      <c r="B5" s="4" t="s">
        <v>32</v>
      </c>
      <c r="C5" s="16" t="n">
        <f aca="false">IF(INT(Datos!$C$8/Datos!$C$20)*INT(Datos!$C$9/Datos!$C$21)&gt;=INT(Datos!$C$8/Datos!$C$21)*INT(Datos!$C$9/Datos!$C$20),INT(Datos!$C$9/Datos!$C$21),INT(Datos!$C$9/Datos!$C$20))</f>
        <v>5</v>
      </c>
      <c r="D5" s="16" t="n">
        <f aca="false">IF(INT(Datos!$C$8/Datos!$D$20)*INT(Datos!$C$9/Datos!$D$21)&gt;=INT(Datos!$C$8/Datos!$D$21)*INT(Datos!$C$9/Datos!$D$20),INT(Datos!$C$9/Datos!$D$21),INT(Datos!$C$9/Datos!$D$20))</f>
        <v>7</v>
      </c>
      <c r="E5" s="16" t="n">
        <f aca="false">IF(INT(Datos!$C$8/Datos!$E$20)*INT(Datos!$C$9/Datos!$E$21)&gt;=INT(Datos!$C$8/Datos!$E$21)*INT(Datos!$C$9/Datos!$E$20),INT(Datos!$C$9/Datos!$E$21),INT(Datos!$C$9/Datos!$E$20))</f>
        <v>6</v>
      </c>
      <c r="F5" s="16" t="n">
        <f aca="false">IF(INT(Datos!$C$8/Datos!$F$20)*INT(Datos!$C$9/Datos!$F$21)&gt;=INT(Datos!$C$8/Datos!$F$21)*INT(Datos!$C$9/Datos!$F$20),INT(Datos!$C$9/Datos!$F$21),INT(Datos!$C$9/Datos!$F$20))</f>
        <v>5</v>
      </c>
    </row>
    <row r="6" customFormat="false" ht="15" hidden="false" customHeight="false" outlineLevel="0" collapsed="false">
      <c r="A6" s="12" t="s">
        <v>118</v>
      </c>
      <c r="B6" s="4" t="s">
        <v>32</v>
      </c>
      <c r="C6" s="13" t="n">
        <f aca="false">C4*C5</f>
        <v>20</v>
      </c>
      <c r="D6" s="13" t="n">
        <f aca="false">D4*D5</f>
        <v>56</v>
      </c>
      <c r="E6" s="13" t="n">
        <f aca="false">E4*E5</f>
        <v>42</v>
      </c>
      <c r="F6" s="13" t="n">
        <f aca="false">F4*F5</f>
        <v>30</v>
      </c>
    </row>
    <row r="7" customFormat="false" ht="15" hidden="false" customHeight="false" outlineLevel="0" collapsed="false">
      <c r="A7" s="3" t="s">
        <v>119</v>
      </c>
      <c r="B7" s="4" t="s">
        <v>32</v>
      </c>
      <c r="C7" s="16" t="n">
        <f aca="false">INT((Datos!$C$12-Datos!$C$10)/Datos!$C$22)</f>
        <v>3</v>
      </c>
      <c r="D7" s="16" t="n">
        <f aca="false">INT((Datos!$C$12-Datos!$C$10)/Datos!$D$22)</f>
        <v>3</v>
      </c>
      <c r="E7" s="16" t="n">
        <f aca="false">INT((Datos!$C$12-Datos!$C$10)/Datos!$E$22)</f>
        <v>2</v>
      </c>
      <c r="F7" s="16" t="n">
        <f aca="false">INT((Datos!$C$12-Datos!$C$10)/Datos!$F$22)</f>
        <v>2</v>
      </c>
    </row>
    <row r="8" customFormat="false" ht="15" hidden="false" customHeight="false" outlineLevel="0" collapsed="false">
      <c r="A8" s="3" t="s">
        <v>120</v>
      </c>
      <c r="B8" s="4" t="s">
        <v>32</v>
      </c>
      <c r="C8" s="16" t="n">
        <f aca="false">INT(Datos!$C$13/(C6*C3))</f>
        <v>4</v>
      </c>
      <c r="D8" s="16" t="n">
        <f aca="false">INT(Datos!$C$13/(D6*D3))</f>
        <v>4</v>
      </c>
      <c r="E8" s="16" t="n">
        <f aca="false">INT(Datos!$C$13/(E6*E3))</f>
        <v>2</v>
      </c>
      <c r="F8" s="16" t="n">
        <f aca="false">INT(Datos!$C$13/(F6*F3))</f>
        <v>2</v>
      </c>
    </row>
    <row r="9" customFormat="false" ht="15" hidden="false" customHeight="false" outlineLevel="0" collapsed="false">
      <c r="A9" s="12" t="s">
        <v>121</v>
      </c>
      <c r="B9" s="4" t="s">
        <v>32</v>
      </c>
      <c r="C9" s="13" t="n">
        <f aca="false">MIN(C7,C8)</f>
        <v>3</v>
      </c>
      <c r="D9" s="13" t="n">
        <f aca="false">MIN(D7,D8)</f>
        <v>3</v>
      </c>
      <c r="E9" s="13" t="n">
        <f aca="false">MIN(E7,E8)</f>
        <v>2</v>
      </c>
      <c r="F9" s="13" t="n">
        <f aca="false">MIN(F7,F8)</f>
        <v>2</v>
      </c>
    </row>
    <row r="10" customFormat="false" ht="15" hidden="false" customHeight="false" outlineLevel="0" collapsed="false">
      <c r="A10" s="3" t="s">
        <v>122</v>
      </c>
      <c r="B10" s="4" t="s">
        <v>32</v>
      </c>
      <c r="C10" s="16" t="n">
        <f aca="false">C6*C9</f>
        <v>60</v>
      </c>
      <c r="D10" s="16" t="n">
        <f aca="false">D6*D9</f>
        <v>168</v>
      </c>
      <c r="E10" s="16" t="n">
        <f aca="false">E6*E9</f>
        <v>84</v>
      </c>
      <c r="F10" s="16" t="n">
        <f aca="false">F6*F9</f>
        <v>60</v>
      </c>
    </row>
    <row r="11" customFormat="false" ht="15" hidden="false" customHeight="false" outlineLevel="0" collapsed="false">
      <c r="A11" s="12" t="s">
        <v>123</v>
      </c>
      <c r="B11" s="4" t="s">
        <v>32</v>
      </c>
      <c r="C11" s="13" t="n">
        <f aca="false">C10*Datos!$C$19</f>
        <v>360</v>
      </c>
      <c r="D11" s="13" t="n">
        <f aca="false">D10*Datos!$D$19</f>
        <v>168</v>
      </c>
      <c r="E11" s="13" t="n">
        <f aca="false">E10*Datos!$E$19</f>
        <v>84</v>
      </c>
      <c r="F11" s="13" t="n">
        <f aca="false">F10*Datos!$F$19</f>
        <v>60</v>
      </c>
    </row>
    <row r="12" customFormat="false" ht="15" hidden="false" customHeight="false" outlineLevel="0" collapsed="false">
      <c r="A12" s="3" t="s">
        <v>124</v>
      </c>
      <c r="B12" s="4" t="s">
        <v>18</v>
      </c>
      <c r="C12" s="16" t="n">
        <f aca="false">C10*C3+Datos!$C$11</f>
        <v>804.8</v>
      </c>
      <c r="D12" s="16" t="n">
        <f aca="false">D10*D3+Datos!$C$11</f>
        <v>854.84</v>
      </c>
      <c r="E12" s="16" t="n">
        <f aca="false">E10*E3+Datos!$C$11</f>
        <v>776.72</v>
      </c>
      <c r="F12" s="16" t="n">
        <f aca="false">F10*F3+Datos!$C$11</f>
        <v>1038.8</v>
      </c>
    </row>
    <row r="13" customFormat="false" ht="15" hidden="false" customHeight="false" outlineLevel="0" collapsed="false">
      <c r="A13" s="3" t="s">
        <v>125</v>
      </c>
      <c r="B13" s="4" t="s">
        <v>13</v>
      </c>
      <c r="C13" s="16" t="n">
        <f aca="false">Datos!$C$10+C9*Datos!$C$22</f>
        <v>1375</v>
      </c>
      <c r="D13" s="16" t="n">
        <f aca="false">Datos!$C$10+D9*Datos!$D$22</f>
        <v>1450</v>
      </c>
      <c r="E13" s="16" t="n">
        <f aca="false">Datos!$C$10+E9*Datos!$E$22</f>
        <v>1175</v>
      </c>
      <c r="F13" s="16" t="n">
        <f aca="false">Datos!$C$10+F9*Datos!$F$22</f>
        <v>1515</v>
      </c>
    </row>
    <row r="15" customFormat="false" ht="15" hidden="false" customHeight="false" outlineLevel="0" collapsed="false">
      <c r="A15" s="1" t="s">
        <v>126</v>
      </c>
    </row>
    <row r="16" customFormat="false" ht="15" hidden="false" customHeight="false" outlineLevel="0" collapsed="false">
      <c r="A16" s="2"/>
      <c r="B16" s="2" t="s">
        <v>2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42</v>
      </c>
      <c r="H16" s="2" t="s">
        <v>43</v>
      </c>
      <c r="I16" s="2" t="s">
        <v>44</v>
      </c>
      <c r="J16" s="2" t="s">
        <v>45</v>
      </c>
    </row>
    <row r="17" customFormat="false" ht="15" hidden="false" customHeight="false" outlineLevel="0" collapsed="false">
      <c r="A17" s="3" t="s">
        <v>127</v>
      </c>
      <c r="B17" s="4" t="s">
        <v>32</v>
      </c>
      <c r="C17" s="16" t="n">
        <f aca="false">INT(Datos!$C$8/Datos!$C$28)</f>
        <v>15</v>
      </c>
      <c r="D17" s="16" t="n">
        <f aca="false">INT(Datos!$C$8/Datos!$D$28)</f>
        <v>9</v>
      </c>
      <c r="E17" s="16" t="n">
        <f aca="false">INT(Datos!$C$8/Datos!$E$28)</f>
        <v>7</v>
      </c>
      <c r="F17" s="16" t="n">
        <f aca="false">INT(Datos!$C$8/Datos!$F$28)</f>
        <v>6</v>
      </c>
      <c r="G17" s="16" t="n">
        <f aca="false">INT(Datos!$C$8/Datos!$G$28)</f>
        <v>4</v>
      </c>
      <c r="H17" s="16" t="n">
        <f aca="false">INT(Datos!$C$8/Datos!$H$28)</f>
        <v>3</v>
      </c>
      <c r="I17" s="16" t="n">
        <f aca="false">INT(Datos!$C$8/Datos!$I$28)</f>
        <v>3</v>
      </c>
      <c r="J17" s="16" t="n">
        <f aca="false">INT(Datos!$C$8/Datos!$J$28)</f>
        <v>3</v>
      </c>
    </row>
    <row r="18" customFormat="false" ht="15" hidden="false" customHeight="false" outlineLevel="0" collapsed="false">
      <c r="A18" s="3" t="s">
        <v>128</v>
      </c>
      <c r="B18" s="4" t="s">
        <v>32</v>
      </c>
      <c r="C18" s="16" t="n">
        <f aca="false">INT(Datos!$C$9/Datos!$C$28)</f>
        <v>13</v>
      </c>
      <c r="D18" s="16" t="n">
        <f aca="false">INT(Datos!$C$9/Datos!$D$28)</f>
        <v>8</v>
      </c>
      <c r="E18" s="16" t="n">
        <f aca="false">INT(Datos!$C$9/Datos!$E$28)</f>
        <v>6</v>
      </c>
      <c r="F18" s="16" t="n">
        <f aca="false">INT(Datos!$C$9/Datos!$F$28)</f>
        <v>5</v>
      </c>
      <c r="G18" s="16" t="n">
        <f aca="false">INT(Datos!$C$9/Datos!$G$28)</f>
        <v>3</v>
      </c>
      <c r="H18" s="16" t="n">
        <f aca="false">INT(Datos!$C$9/Datos!$H$28)</f>
        <v>3</v>
      </c>
      <c r="I18" s="16" t="n">
        <f aca="false">INT(Datos!$C$9/Datos!$I$28)</f>
        <v>2</v>
      </c>
      <c r="J18" s="16" t="n">
        <f aca="false">INT(Datos!$C$9/Datos!$J$28)</f>
        <v>2</v>
      </c>
    </row>
    <row r="19" customFormat="false" ht="15" hidden="false" customHeight="false" outlineLevel="0" collapsed="false">
      <c r="A19" s="12" t="s">
        <v>129</v>
      </c>
      <c r="B19" s="4" t="s">
        <v>32</v>
      </c>
      <c r="C19" s="13" t="n">
        <f aca="false">C17*C18</f>
        <v>195</v>
      </c>
      <c r="D19" s="13" t="n">
        <f aca="false">D17*D18</f>
        <v>72</v>
      </c>
      <c r="E19" s="13" t="n">
        <f aca="false">E17*E18</f>
        <v>42</v>
      </c>
      <c r="F19" s="13" t="n">
        <f aca="false">F17*F18</f>
        <v>30</v>
      </c>
      <c r="G19" s="13" t="n">
        <f aca="false">G17*G18</f>
        <v>12</v>
      </c>
      <c r="H19" s="13" t="n">
        <f aca="false">H17*H18</f>
        <v>9</v>
      </c>
      <c r="I19" s="13" t="n">
        <f aca="false">I17*I18</f>
        <v>6</v>
      </c>
      <c r="J19" s="13" t="n">
        <f aca="false">J17*J18</f>
        <v>6</v>
      </c>
    </row>
    <row r="20" customFormat="false" ht="15" hidden="false" customHeight="false" outlineLevel="0" collapsed="false">
      <c r="A20" s="3" t="s">
        <v>119</v>
      </c>
      <c r="B20" s="4" t="s">
        <v>32</v>
      </c>
      <c r="C20" s="16" t="n">
        <f aca="false">INT((Datos!$C$12-Datos!$C$10)/(Datos!$C$29+Datos!$C$14))</f>
        <v>4</v>
      </c>
      <c r="D20" s="16" t="n">
        <f aca="false">INT((Datos!$C$12-Datos!$C$10)/(Datos!$D$29+Datos!$C$14))</f>
        <v>4</v>
      </c>
      <c r="E20" s="16" t="n">
        <f aca="false">INT((Datos!$C$12-Datos!$C$10)/(Datos!$E$29+Datos!$C$14))</f>
        <v>3</v>
      </c>
      <c r="F20" s="16" t="n">
        <f aca="false">INT((Datos!$C$12-Datos!$C$10)/(Datos!$F$29+Datos!$C$14))</f>
        <v>2</v>
      </c>
      <c r="G20" s="16" t="n">
        <f aca="false">INT((Datos!$C$12-Datos!$C$10)/(Datos!$G$29+Datos!$C$14))</f>
        <v>2</v>
      </c>
      <c r="H20" s="16" t="n">
        <f aca="false">INT((Datos!$C$12-Datos!$C$10)/(Datos!$H$29+Datos!$C$14))</f>
        <v>1</v>
      </c>
      <c r="I20" s="16" t="n">
        <f aca="false">INT((Datos!$C$12-Datos!$C$10)/(Datos!$I$29+Datos!$C$14))</f>
        <v>1</v>
      </c>
      <c r="J20" s="16" t="n">
        <f aca="false">INT((Datos!$C$12-Datos!$C$10)/(Datos!$J$29+Datos!$C$14))</f>
        <v>1</v>
      </c>
    </row>
    <row r="21" customFormat="false" ht="15" hidden="false" customHeight="false" outlineLevel="0" collapsed="false">
      <c r="A21" s="3" t="s">
        <v>120</v>
      </c>
      <c r="B21" s="4" t="s">
        <v>32</v>
      </c>
      <c r="C21" s="16" t="n">
        <f aca="false">INT(Datos!$C$13/(C19*Datos!$C$30+Datos!$C$15))</f>
        <v>7</v>
      </c>
      <c r="D21" s="16" t="n">
        <f aca="false">INT(Datos!$C$13/(D19*Datos!$D$30+Datos!$C$15))</f>
        <v>10</v>
      </c>
      <c r="E21" s="16" t="n">
        <f aca="false">INT(Datos!$C$13/(E19*Datos!$E$30+Datos!$C$15))</f>
        <v>9</v>
      </c>
      <c r="F21" s="16" t="n">
        <f aca="false">INT(Datos!$C$13/(F19*Datos!$F$30+Datos!$C$15))</f>
        <v>6</v>
      </c>
      <c r="G21" s="16" t="n">
        <f aca="false">INT(Datos!$C$13/(G19*Datos!$G$30+Datos!$C$15))</f>
        <v>5</v>
      </c>
      <c r="H21" s="16" t="n">
        <f aca="false">INT(Datos!$C$13/(H19*Datos!$H$30+Datos!$C$15))</f>
        <v>5</v>
      </c>
      <c r="I21" s="16" t="n">
        <f aca="false">INT(Datos!$C$13/(I19*Datos!$I$30+Datos!$C$15))</f>
        <v>3</v>
      </c>
      <c r="J21" s="16" t="n">
        <f aca="false">INT(Datos!$C$13/(J19*Datos!$J$30+Datos!$C$15))</f>
        <v>3</v>
      </c>
    </row>
    <row r="22" customFormat="false" ht="15" hidden="false" customHeight="false" outlineLevel="0" collapsed="false">
      <c r="A22" s="12" t="s">
        <v>121</v>
      </c>
      <c r="B22" s="4" t="s">
        <v>32</v>
      </c>
      <c r="C22" s="13" t="n">
        <f aca="false">MAX(1,MIN(C20,C21))</f>
        <v>4</v>
      </c>
      <c r="D22" s="13" t="n">
        <f aca="false">MAX(1,MIN(D20,D21))</f>
        <v>4</v>
      </c>
      <c r="E22" s="13" t="n">
        <f aca="false">MAX(1,MIN(E20,E21))</f>
        <v>3</v>
      </c>
      <c r="F22" s="13" t="n">
        <f aca="false">MAX(1,MIN(F20,F21))</f>
        <v>2</v>
      </c>
      <c r="G22" s="13" t="n">
        <f aca="false">MAX(1,MIN(G20,G21))</f>
        <v>2</v>
      </c>
      <c r="H22" s="13" t="n">
        <f aca="false">MAX(1,MIN(H20,H21))</f>
        <v>1</v>
      </c>
      <c r="I22" s="13" t="n">
        <f aca="false">MAX(1,MIN(I20,I21))</f>
        <v>1</v>
      </c>
      <c r="J22" s="13" t="n">
        <f aca="false">MAX(1,MIN(J20,J21))</f>
        <v>1</v>
      </c>
    </row>
    <row r="23" customFormat="false" ht="15" hidden="false" customHeight="false" outlineLevel="0" collapsed="false">
      <c r="A23" s="12" t="s">
        <v>130</v>
      </c>
      <c r="B23" s="4" t="s">
        <v>32</v>
      </c>
      <c r="C23" s="13" t="n">
        <f aca="false">C19*C22</f>
        <v>780</v>
      </c>
      <c r="D23" s="13" t="n">
        <f aca="false">D19*D22</f>
        <v>288</v>
      </c>
      <c r="E23" s="13" t="n">
        <f aca="false">E19*E22</f>
        <v>126</v>
      </c>
      <c r="F23" s="13" t="n">
        <f aca="false">F19*F22</f>
        <v>60</v>
      </c>
      <c r="G23" s="13" t="n">
        <f aca="false">G19*G22</f>
        <v>24</v>
      </c>
      <c r="H23" s="13" t="n">
        <f aca="false">H19*H22</f>
        <v>9</v>
      </c>
      <c r="I23" s="13" t="n">
        <f aca="false">I19*I22</f>
        <v>6</v>
      </c>
      <c r="J23" s="13" t="n">
        <f aca="false">J19*J22</f>
        <v>6</v>
      </c>
    </row>
    <row r="24" customFormat="false" ht="15" hidden="false" customHeight="false" outlineLevel="0" collapsed="false">
      <c r="A24" s="3" t="s">
        <v>124</v>
      </c>
      <c r="B24" s="4" t="s">
        <v>18</v>
      </c>
      <c r="C24" s="16" t="n">
        <f aca="false">C23*Datos!$C$30+(C22+1)*Datos!$C$15+Datos!$C$11</f>
        <v>630.8</v>
      </c>
      <c r="D24" s="16" t="n">
        <f aca="false">D23*Datos!$D$30+(D22+1)*Datos!$C$15+Datos!$C$11</f>
        <v>464.24</v>
      </c>
      <c r="E24" s="16" t="n">
        <f aca="false">E23*Datos!$E$30+(E22+1)*Datos!$C$15+Datos!$C$11</f>
        <v>387.68</v>
      </c>
      <c r="F24" s="16" t="n">
        <f aca="false">F23*Datos!$F$30+(F22+1)*Datos!$C$15+Datos!$C$11</f>
        <v>365.6</v>
      </c>
      <c r="G24" s="16" t="n">
        <f aca="false">G23*Datos!$G$30+(G22+1)*Datos!$C$15+Datos!$C$11</f>
        <v>418.88</v>
      </c>
      <c r="H24" s="16" t="n">
        <f aca="false">H23*Datos!$H$30+(H22+1)*Datos!$C$15+Datos!$C$11</f>
        <v>245.9</v>
      </c>
      <c r="I24" s="16" t="n">
        <f aca="false">I23*Datos!$I$30+(I22+1)*Datos!$C$15+Datos!$C$11</f>
        <v>317.37057704</v>
      </c>
      <c r="J24" s="16" t="n">
        <f aca="false">J23*Datos!$J$30+(J22+1)*Datos!$C$15+Datos!$C$11</f>
        <v>377.27790434</v>
      </c>
    </row>
    <row r="25" customFormat="false" ht="15" hidden="false" customHeight="false" outlineLevel="0" collapsed="false">
      <c r="A25" s="3" t="s">
        <v>125</v>
      </c>
      <c r="B25" s="4" t="s">
        <v>13</v>
      </c>
      <c r="C25" s="16" t="n">
        <f aca="false">Datos!$C$10+C22*Datos!$C$29+(C22+1)*Datos!$C$14</f>
        <v>1350</v>
      </c>
      <c r="D25" s="16" t="n">
        <f aca="false">Datos!$C$10+D22*Datos!$D$29+(D22+1)*Datos!$C$14</f>
        <v>1492</v>
      </c>
      <c r="E25" s="16" t="n">
        <f aca="false">Datos!$C$10+E22*Datos!$E$29+(E22+1)*Datos!$C$14</f>
        <v>1399</v>
      </c>
      <c r="F25" s="16" t="n">
        <f aca="false">Datos!$C$10+F22*Datos!$F$29+(F22+1)*Datos!$C$14</f>
        <v>1318</v>
      </c>
      <c r="G25" s="16" t="n">
        <f aca="false">Datos!$C$10+G22*Datos!$G$29+(G22+1)*Datos!$C$14</f>
        <v>1498</v>
      </c>
      <c r="H25" s="16" t="n">
        <f aca="false">Datos!$C$10+H22*Datos!$H$29+(H22+1)*Datos!$C$14</f>
        <v>1009</v>
      </c>
      <c r="I25" s="16" t="n">
        <f aca="false">Datos!$C$10+I22*Datos!$I$29+(I22+1)*Datos!$C$14</f>
        <v>1059</v>
      </c>
      <c r="J25" s="16" t="n">
        <f aca="false">Datos!$C$10+J22*Datos!$J$29+(J22+1)*Datos!$C$14</f>
        <v>1279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6" min="3" style="0" width="10"/>
  </cols>
  <sheetData>
    <row r="1" customFormat="false" ht="1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/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132</v>
      </c>
      <c r="B3" s="4" t="s">
        <v>32</v>
      </c>
      <c r="C3" s="16" t="n">
        <f aca="false">IF(INT(Datos!$C$40*1000/Datos!$C$9)*INT(Datos!$C$41*1000/Datos!$C$8)&gt;=INT(Datos!$C$40*1000/Datos!$C$8)*INT(Datos!$C$41*1000/Datos!$C$9),INT(Datos!$C$40*1000/Datos!$C$9),INT(Datos!$C$40*1000/Datos!$C$8))</f>
        <v>7</v>
      </c>
    </row>
    <row r="4" customFormat="false" ht="15" hidden="false" customHeight="false" outlineLevel="0" collapsed="false">
      <c r="A4" s="3" t="s">
        <v>133</v>
      </c>
      <c r="B4" s="4" t="s">
        <v>32</v>
      </c>
      <c r="C4" s="16" t="n">
        <f aca="false">IF(INT(Datos!$C$40*1000/Datos!$C$9)*INT(Datos!$C$41*1000/Datos!$C$8)&gt;=INT(Datos!$C$40*1000/Datos!$C$8)*INT(Datos!$C$41*1000/Datos!$C$9),INT(Datos!$C$41*1000/Datos!$C$8),INT(Datos!$C$41*1000/Datos!$C$9))</f>
        <v>2</v>
      </c>
    </row>
    <row r="5" customFormat="false" ht="15" hidden="false" customHeight="false" outlineLevel="0" collapsed="false">
      <c r="A5" s="12" t="s">
        <v>134</v>
      </c>
      <c r="B5" s="4" t="s">
        <v>32</v>
      </c>
      <c r="C5" s="13" t="n">
        <f aca="false">C3*C4</f>
        <v>14</v>
      </c>
    </row>
    <row r="7" customFormat="false" ht="15" hidden="false" customHeight="false" outlineLevel="0" collapsed="false">
      <c r="A7" s="1" t="s">
        <v>135</v>
      </c>
    </row>
    <row r="8" customFormat="false" ht="15" hidden="false" customHeight="false" outlineLevel="0" collapsed="false">
      <c r="A8" s="2"/>
      <c r="B8" s="2" t="s">
        <v>2</v>
      </c>
      <c r="C8" s="2" t="s">
        <v>42</v>
      </c>
      <c r="D8" s="2" t="s">
        <v>43</v>
      </c>
      <c r="E8" s="2" t="s">
        <v>44</v>
      </c>
      <c r="F8" s="2" t="s">
        <v>45</v>
      </c>
    </row>
    <row r="9" customFormat="false" ht="15" hidden="false" customHeight="false" outlineLevel="0" collapsed="false">
      <c r="A9" s="3" t="s">
        <v>136</v>
      </c>
      <c r="B9" s="4" t="s">
        <v>32</v>
      </c>
      <c r="C9" s="16" t="n">
        <f aca="false">MAX(INT(ROUND((Datos!$C$46-Datos!$C$49-Datos!$C$50)/(Datos!$C$34/1000),6))*INT(ROUND(Datos!$C$47/(Datos!$C$35/1000),6)),INT(ROUND((Datos!$C$46-Datos!$C$49-Datos!$C$50)/(Datos!$C$35/1000),6))*INT(ROUND(Datos!$C$47/(Datos!$C$34/1000),6)))</f>
        <v>9</v>
      </c>
      <c r="D9" s="16" t="n">
        <f aca="false">MAX(INT(ROUND((Datos!$C$46-Datos!$C$49-Datos!$C$50)/(Datos!$D$34/1000),6))*INT(ROUND(Datos!$C$47/(Datos!$D$35/1000),6)),INT(ROUND((Datos!$C$46-Datos!$C$49-Datos!$C$50)/(Datos!$D$35/1000),6))*INT(ROUND(Datos!$C$47/(Datos!$D$34/1000),6)))</f>
        <v>6</v>
      </c>
      <c r="E9" s="16" t="n">
        <f aca="false">MAX(INT(ROUND((Datos!$C$46-Datos!$C$49-Datos!$C$50)/(Datos!$E$34/1000),6))*INT(ROUND(Datos!$C$47/(Datos!$E$35/1000),6)),INT(ROUND((Datos!$C$46-Datos!$C$49-Datos!$C$50)/(Datos!$E$35/1000),6))*INT(ROUND(Datos!$C$47/(Datos!$E$34/1000),6)))</f>
        <v>6</v>
      </c>
      <c r="F9" s="16" t="n">
        <f aca="false">MAX(INT(ROUND((Datos!$C$46-Datos!$C$49-Datos!$C$50)/(Datos!$F$34/1000),6))*INT(ROUND(Datos!$C$47/(Datos!$F$35/1000),6)),INT(ROUND((Datos!$C$46-Datos!$C$49-Datos!$C$50)/(Datos!$F$35/1000),6))*INT(ROUND(Datos!$C$47/(Datos!$F$34/1000),6)))</f>
        <v>6</v>
      </c>
    </row>
    <row r="10" customFormat="false" ht="15" hidden="false" customHeight="false" outlineLevel="0" collapsed="false">
      <c r="A10" s="3" t="s">
        <v>137</v>
      </c>
      <c r="B10" s="4" t="s">
        <v>32</v>
      </c>
      <c r="C10" s="16" t="n">
        <f aca="false">MAX(INT(ROUND(Datos!$C$49/(Datos!$C$34/1000),6))*INT(ROUND(Datos!$C$48/(Datos!$C$35/1000),6)),INT(ROUND(Datos!$C$49/(Datos!$C$35/1000),6))*INT(ROUND(Datos!$C$48/(Datos!$C$34/1000),6)))</f>
        <v>2</v>
      </c>
      <c r="D10" s="16" t="n">
        <f aca="false">MAX(INT(ROUND(Datos!$C$49/(Datos!$D$34/1000),6))*INT(ROUND(Datos!$C$48/(Datos!$D$35/1000),6)),INT(ROUND(Datos!$C$49/(Datos!$D$35/1000),6))*INT(ROUND(Datos!$C$48/(Datos!$D$34/1000),6)))</f>
        <v>2</v>
      </c>
      <c r="E10" s="16" t="n">
        <f aca="false">MAX(INT(ROUND(Datos!$C$49/(Datos!$E$34/1000),6))*INT(ROUND(Datos!$C$48/(Datos!$E$35/1000),6)),INT(ROUND(Datos!$C$49/(Datos!$E$35/1000),6))*INT(ROUND(Datos!$C$48/(Datos!$E$34/1000),6)))</f>
        <v>1</v>
      </c>
      <c r="F10" s="16" t="n">
        <f aca="false">MAX(INT(ROUND(Datos!$C$49/(Datos!$F$34/1000),6))*INT(ROUND(Datos!$C$48/(Datos!$F$35/1000),6)),INT(ROUND(Datos!$C$49/(Datos!$F$35/1000),6))*INT(ROUND(Datos!$C$48/(Datos!$F$34/1000),6)))</f>
        <v>1</v>
      </c>
    </row>
    <row r="11" customFormat="false" ht="15" hidden="false" customHeight="false" outlineLevel="0" collapsed="false">
      <c r="A11" s="3" t="s">
        <v>138</v>
      </c>
      <c r="B11" s="4" t="s">
        <v>32</v>
      </c>
      <c r="C11" s="16" t="n">
        <f aca="false">MAX(INT(ROUND(Datos!$C$50/(Datos!$C$34/1000),6))*INT(ROUND(Datos!$C$47/(Datos!$C$35/1000),6)),INT(ROUND(Datos!$C$50/(Datos!$C$35/1000),6))*INT(ROUND(Datos!$C$47/(Datos!$C$34/1000),6)))</f>
        <v>3</v>
      </c>
      <c r="D11" s="16" t="n">
        <f aca="false">MAX(INT(ROUND(Datos!$C$50/(Datos!$D$34/1000),6))*INT(ROUND(Datos!$C$47/(Datos!$D$35/1000),6)),INT(ROUND(Datos!$C$50/(Datos!$D$35/1000),6))*INT(ROUND(Datos!$C$47/(Datos!$D$34/1000),6)))</f>
        <v>2</v>
      </c>
      <c r="E11" s="16" t="n">
        <f aca="false">MAX(INT(ROUND(Datos!$C$50/(Datos!$E$34/1000),6))*INT(ROUND(Datos!$C$47/(Datos!$E$35/1000),6)),INT(ROUND(Datos!$C$50/(Datos!$E$35/1000),6))*INT(ROUND(Datos!$C$47/(Datos!$E$34/1000),6)))</f>
        <v>0</v>
      </c>
      <c r="F11" s="16" t="n">
        <f aca="false">MAX(INT(ROUND(Datos!$C$50/(Datos!$F$34/1000),6))*INT(ROUND(Datos!$C$47/(Datos!$F$35/1000),6)),INT(ROUND(Datos!$C$50/(Datos!$F$35/1000),6))*INT(ROUND(Datos!$C$47/(Datos!$F$34/1000),6)))</f>
        <v>0</v>
      </c>
    </row>
    <row r="12" customFormat="false" ht="15" hidden="false" customHeight="false" outlineLevel="0" collapsed="false">
      <c r="A12" s="3" t="s">
        <v>139</v>
      </c>
      <c r="B12" s="4" t="s">
        <v>32</v>
      </c>
      <c r="C12" s="16" t="n">
        <f aca="false">SUM(C9:C11)</f>
        <v>14</v>
      </c>
      <c r="D12" s="16" t="n">
        <f aca="false">SUM(D9:D11)</f>
        <v>10</v>
      </c>
      <c r="E12" s="16" t="n">
        <f aca="false">SUM(E9:E11)</f>
        <v>7</v>
      </c>
      <c r="F12" s="16" t="n">
        <f aca="false">SUM(F9:F11)</f>
        <v>7</v>
      </c>
    </row>
    <row r="13" customFormat="false" ht="15" hidden="false" customHeight="false" outlineLevel="0" collapsed="false">
      <c r="A13" s="3" t="s">
        <v>140</v>
      </c>
      <c r="B13" s="4" t="s">
        <v>32</v>
      </c>
      <c r="C13" s="16" t="n">
        <f aca="false">INT(Datos!$C$51/Datos!$C$36)</f>
        <v>28</v>
      </c>
      <c r="D13" s="16" t="n">
        <f aca="false">INT(Datos!$C$51/Datos!$D$36)</f>
        <v>15</v>
      </c>
      <c r="E13" s="16" t="n">
        <f aca="false">INT(Datos!$C$51/Datos!$E$36)</f>
        <v>11</v>
      </c>
      <c r="F13" s="16" t="n">
        <f aca="false">INT(Datos!$C$51/Datos!$F$36)</f>
        <v>8</v>
      </c>
    </row>
    <row r="14" customFormat="false" ht="15" hidden="false" customHeight="false" outlineLevel="0" collapsed="false">
      <c r="A14" s="12" t="s">
        <v>141</v>
      </c>
      <c r="B14" s="4" t="s">
        <v>32</v>
      </c>
      <c r="C14" s="13" t="n">
        <f aca="false">MIN(C12,C13)</f>
        <v>14</v>
      </c>
      <c r="D14" s="13" t="n">
        <f aca="false">MIN(D12,D13)</f>
        <v>10</v>
      </c>
      <c r="E14" s="13" t="n">
        <f aca="false">MIN(E12,E13)</f>
        <v>7</v>
      </c>
      <c r="F14" s="13" t="n">
        <f aca="false">MIN(F12,F13)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7" min="3" style="0" width="17"/>
  </cols>
  <sheetData>
    <row r="1" customFormat="false" ht="1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/>
      <c r="B2" s="2" t="s">
        <v>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</row>
    <row r="3" customFormat="false" ht="15" hidden="false" customHeight="false" outlineLevel="0" collapsed="false">
      <c r="A3" s="3" t="s">
        <v>148</v>
      </c>
      <c r="B3" s="4" t="s">
        <v>32</v>
      </c>
      <c r="C3" s="16" t="n">
        <f aca="false">Pallet!C11</f>
        <v>360</v>
      </c>
      <c r="D3" s="16" t="n">
        <f aca="false">Pallet!D11</f>
        <v>168</v>
      </c>
      <c r="E3" s="16" t="n">
        <f aca="false">Pallet!E11</f>
        <v>84</v>
      </c>
      <c r="F3" s="16" t="n">
        <f aca="false">Pallet!F11</f>
        <v>60</v>
      </c>
      <c r="G3" s="18" t="s">
        <v>149</v>
      </c>
    </row>
    <row r="4" customFormat="false" ht="15" hidden="false" customHeight="false" outlineLevel="0" collapsed="false">
      <c r="A4" s="3" t="s">
        <v>124</v>
      </c>
      <c r="B4" s="4" t="s">
        <v>18</v>
      </c>
      <c r="C4" s="16" t="n">
        <f aca="false">Pallet!C12</f>
        <v>804.8</v>
      </c>
      <c r="D4" s="16" t="n">
        <f aca="false">Pallet!D12</f>
        <v>854.84</v>
      </c>
      <c r="E4" s="16" t="n">
        <f aca="false">Pallet!E12</f>
        <v>776.72</v>
      </c>
      <c r="F4" s="16" t="n">
        <f aca="false">Pallet!F12</f>
        <v>1038.8</v>
      </c>
      <c r="G4" s="18" t="s">
        <v>149</v>
      </c>
    </row>
    <row r="5" customFormat="false" ht="15" hidden="false" customHeight="false" outlineLevel="0" collapsed="false">
      <c r="A5" s="12" t="s">
        <v>134</v>
      </c>
      <c r="B5" s="4" t="s">
        <v>32</v>
      </c>
      <c r="C5" s="13" t="n">
        <f aca="false">IF(C4=0,0,MIN(Camion!$C$5,INT(Datos!$C$42/C4)))</f>
        <v>14</v>
      </c>
      <c r="D5" s="13" t="n">
        <f aca="false">IF(D4=0,0,MIN(Camion!$C$5,INT(Datos!$C$42/D4)))</f>
        <v>14</v>
      </c>
      <c r="E5" s="13" t="n">
        <f aca="false">IF(E4=0,0,MIN(Camion!$C$5,INT(Datos!$C$42/E4)))</f>
        <v>14</v>
      </c>
      <c r="F5" s="13" t="n">
        <f aca="false">IF(F4=0,0,MIN(Camion!$C$5,INT(Datos!$C$42/F4)))</f>
        <v>11</v>
      </c>
      <c r="G5" s="13" t="n">
        <f aca="false">$F$28</f>
        <v>14</v>
      </c>
    </row>
    <row r="6" customFormat="false" ht="15" hidden="false" customHeight="false" outlineLevel="0" collapsed="false">
      <c r="A6" s="12" t="s">
        <v>150</v>
      </c>
      <c r="B6" s="4" t="s">
        <v>32</v>
      </c>
      <c r="C6" s="13" t="n">
        <f aca="false">C5*C3</f>
        <v>5040</v>
      </c>
      <c r="D6" s="13" t="n">
        <f aca="false">D5*D3</f>
        <v>2352</v>
      </c>
      <c r="E6" s="13" t="n">
        <f aca="false">E5*E3</f>
        <v>1176</v>
      </c>
      <c r="F6" s="13" t="n">
        <f aca="false">F5*F3</f>
        <v>660</v>
      </c>
      <c r="G6" s="13" t="n">
        <f aca="false">$F$29</f>
        <v>1236</v>
      </c>
    </row>
    <row r="7" customFormat="false" ht="15" hidden="false" customHeight="false" outlineLevel="0" collapsed="false">
      <c r="A7" s="12" t="s">
        <v>151</v>
      </c>
    </row>
    <row r="8" customFormat="false" ht="15" hidden="false" customHeight="false" outlineLevel="0" collapsed="false">
      <c r="A8" s="3" t="s">
        <v>96</v>
      </c>
      <c r="B8" s="4" t="s">
        <v>152</v>
      </c>
      <c r="C8" s="17" t="n">
        <f aca="false">IF(C$6=0,0,Produccion!B24/C$6)</f>
        <v>0.19090856625</v>
      </c>
      <c r="D8" s="17" t="n">
        <f aca="false">IF(D$6=0,0,Produccion!C24/D$6)</f>
        <v>0.0789206892431973</v>
      </c>
      <c r="E8" s="17" t="n">
        <f aca="false">IF(E$6=0,0,Produccion!D24/E$6)</f>
        <v>0.653715534013605</v>
      </c>
      <c r="F8" s="17" t="n">
        <f aca="false">IF(F$6=0,0,Produccion!E24/F$6)</f>
        <v>0.0697290939015152</v>
      </c>
      <c r="G8" s="17" t="n">
        <f aca="false">IF($F$28=0,0,(IF(Pallet!D11=0,0,Produccion!C24/Pallet!D11)+IF(Pallet!E11=0,0,Produccion!D24/Pallet!E11)+IF(Pallet!F11=0,0,Produccion!E24/Pallet!F11))/$F$28)</f>
        <v>0.787423368465136</v>
      </c>
    </row>
    <row r="9" customFormat="false" ht="15" hidden="false" customHeight="false" outlineLevel="0" collapsed="false">
      <c r="A9" s="3" t="s">
        <v>97</v>
      </c>
      <c r="B9" s="4" t="s">
        <v>152</v>
      </c>
      <c r="C9" s="17" t="n">
        <f aca="false">IF(C$6=0,0,Produccion!B25/C$6)</f>
        <v>0.1431814246875</v>
      </c>
      <c r="D9" s="17" t="n">
        <f aca="false">IF(D$6=0,0,Produccion!C25/D$6)</f>
        <v>0.0631365513945578</v>
      </c>
      <c r="E9" s="17" t="n">
        <f aca="false">IF(E$6=0,0,Produccion!D25/E$6)</f>
        <v>0.522972427210884</v>
      </c>
      <c r="F9" s="17" t="n">
        <f aca="false">IF(F$6=0,0,Produccion!E25/F$6)</f>
        <v>0.0557832751212121</v>
      </c>
      <c r="G9" s="17" t="n">
        <f aca="false">IF($F$28=0,0,(IF(Pallet!D11=0,0,Produccion!C25/Pallet!D11)+IF(Pallet!E11=0,0,Produccion!D25/Pallet!E11)+IF(Pallet!F11=0,0,Produccion!E25/Pallet!F11))/$F$28)</f>
        <v>0.629938694772109</v>
      </c>
    </row>
    <row r="10" customFormat="false" ht="15" hidden="false" customHeight="false" outlineLevel="0" collapsed="false">
      <c r="A10" s="3" t="s">
        <v>98</v>
      </c>
      <c r="B10" s="4" t="s">
        <v>152</v>
      </c>
      <c r="C10" s="17" t="n">
        <f aca="false">IF(C$6=0,0,Produccion!B26/C$6)</f>
        <v>0.1272723775</v>
      </c>
      <c r="D10" s="17" t="n">
        <f aca="false">IF(D$6=0,0,Produccion!C26/D$6)</f>
        <v>0.0670825858567177</v>
      </c>
      <c r="E10" s="17" t="n">
        <f aca="false">IF(E$6=0,0,Produccion!D26/E$6)</f>
        <v>0.555658203911565</v>
      </c>
      <c r="F10" s="17" t="n">
        <f aca="false">IF(F$6=0,0,Produccion!E26/F$6)</f>
        <v>0.0592697298162879</v>
      </c>
      <c r="G10" s="17" t="n">
        <f aca="false">IF($F$28=0,0,(IF(Pallet!D11=0,0,Produccion!C26/Pallet!D11)+IF(Pallet!E11=0,0,Produccion!D26/Pallet!E11)+IF(Pallet!F11=0,0,Produccion!E26/Pallet!F11))/$F$28)</f>
        <v>0.669309863195366</v>
      </c>
    </row>
    <row r="11" customFormat="false" ht="15" hidden="false" customHeight="false" outlineLevel="0" collapsed="false">
      <c r="A11" s="3" t="s">
        <v>99</v>
      </c>
      <c r="B11" s="4" t="s">
        <v>152</v>
      </c>
      <c r="C11" s="17" t="n">
        <f aca="false">IF(C$6=0,0,Produccion!B27/C$6)</f>
        <v>0.11931785390625</v>
      </c>
      <c r="D11" s="17" t="n">
        <f aca="false">IF(D$6=0,0,Produccion!C27/D$6)</f>
        <v>0.0670825858567177</v>
      </c>
      <c r="E11" s="17" t="n">
        <f aca="false">IF(E$6=0,0,Produccion!D27/E$6)</f>
        <v>0.555658203911565</v>
      </c>
      <c r="F11" s="17" t="n">
        <f aca="false">IF(F$6=0,0,Produccion!E27/F$6)</f>
        <v>0.0592697298162879</v>
      </c>
      <c r="G11" s="17" t="n">
        <f aca="false">IF($F$28=0,0,(IF(Pallet!D11=0,0,Produccion!C27/Pallet!D11)+IF(Pallet!E11=0,0,Produccion!D27/Pallet!E11)+IF(Pallet!F11=0,0,Produccion!E27/Pallet!F11))/$F$28)</f>
        <v>0.669309863195366</v>
      </c>
    </row>
    <row r="12" customFormat="false" ht="15" hidden="false" customHeight="false" outlineLevel="0" collapsed="false">
      <c r="A12" s="3" t="s">
        <v>100</v>
      </c>
      <c r="B12" s="4" t="s">
        <v>152</v>
      </c>
      <c r="C12" s="17" t="n">
        <f aca="false">IF(C$6=0,0,Produccion!B28/C$6)</f>
        <v>0.1113633303125</v>
      </c>
      <c r="D12" s="17" t="n">
        <f aca="false">IF(D$6=0,0,Produccion!C28/D$6)</f>
        <v>0.0631365513945578</v>
      </c>
      <c r="E12" s="17" t="n">
        <f aca="false">IF(E$6=0,0,Produccion!D28/E$6)</f>
        <v>0.522972427210884</v>
      </c>
      <c r="F12" s="17" t="n">
        <f aca="false">IF(F$6=0,0,Produccion!E28/F$6)</f>
        <v>0.0557832751212121</v>
      </c>
      <c r="G12" s="17" t="n">
        <f aca="false">IF($F$28=0,0,(IF(Pallet!D11=0,0,Produccion!C28/Pallet!D11)+IF(Pallet!E11=0,0,Produccion!D28/Pallet!E11)+IF(Pallet!F11=0,0,Produccion!E28/Pallet!F11))/$F$28)</f>
        <v>0.629938694772109</v>
      </c>
    </row>
    <row r="13" customFormat="false" ht="15" hidden="false" customHeight="false" outlineLevel="0" collapsed="false">
      <c r="A13" s="3" t="s">
        <v>101</v>
      </c>
      <c r="B13" s="4" t="s">
        <v>152</v>
      </c>
      <c r="C13" s="17" t="n">
        <f aca="false">IF(C$6=0,0,Produccion!B29/C$6)</f>
        <v>0.1113633303125</v>
      </c>
      <c r="D13" s="17" t="n">
        <f aca="false">IF(D$6=0,0,Produccion!C29/D$6)</f>
        <v>0.059190516932398</v>
      </c>
      <c r="E13" s="17" t="n">
        <f aca="false">IF(E$6=0,0,Produccion!D29/E$6)</f>
        <v>0.490286650510204</v>
      </c>
      <c r="F13" s="17" t="n">
        <f aca="false">IF(F$6=0,0,Produccion!E29/F$6)</f>
        <v>0.0522968204261364</v>
      </c>
      <c r="G13" s="17" t="n">
        <f aca="false">IF($F$28=0,0,(IF(Pallet!D11=0,0,Produccion!C29/Pallet!D11)+IF(Pallet!E11=0,0,Produccion!D29/Pallet!E11)+IF(Pallet!F11=0,0,Produccion!E29/Pallet!F11))/$F$28)</f>
        <v>0.590567526348852</v>
      </c>
    </row>
    <row r="14" customFormat="false" ht="15" hidden="false" customHeight="false" outlineLevel="0" collapsed="false">
      <c r="A14" s="3" t="s">
        <v>102</v>
      </c>
      <c r="B14" s="4" t="s">
        <v>152</v>
      </c>
      <c r="C14" s="17" t="n">
        <f aca="false">IF(C$6=0,0,Produccion!B30/C$6)</f>
        <v>0.11931785390625</v>
      </c>
      <c r="D14" s="17" t="n">
        <f aca="false">IF(D$6=0,0,Produccion!C30/D$6)</f>
        <v>0.0631365513945578</v>
      </c>
      <c r="E14" s="17" t="n">
        <f aca="false">IF(E$6=0,0,Produccion!D30/E$6)</f>
        <v>0.522972427210884</v>
      </c>
      <c r="F14" s="17" t="n">
        <f aca="false">IF(F$6=0,0,Produccion!E30/F$6)</f>
        <v>0.0557832751212121</v>
      </c>
      <c r="G14" s="17" t="n">
        <f aca="false">IF($F$28=0,0,(IF(Pallet!D11=0,0,Produccion!C30/Pallet!D11)+IF(Pallet!E11=0,0,Produccion!D30/Pallet!E11)+IF(Pallet!F11=0,0,Produccion!E30/Pallet!F11))/$F$28)</f>
        <v>0.629938694772109</v>
      </c>
    </row>
    <row r="15" customFormat="false" ht="15" hidden="false" customHeight="false" outlineLevel="0" collapsed="false">
      <c r="A15" s="3" t="s">
        <v>103</v>
      </c>
      <c r="B15" s="4" t="s">
        <v>152</v>
      </c>
      <c r="C15" s="17" t="n">
        <f aca="false">IF(C$6=0,0,Produccion!B31/C$6)</f>
        <v>0.11931785390625</v>
      </c>
      <c r="D15" s="17" t="n">
        <f aca="false">IF(D$6=0,0,Produccion!C31/D$6)</f>
        <v>0.0631365513945578</v>
      </c>
      <c r="E15" s="17" t="n">
        <f aca="false">IF(E$6=0,0,Produccion!D31/E$6)</f>
        <v>0.522972427210884</v>
      </c>
      <c r="F15" s="17" t="n">
        <f aca="false">IF(F$6=0,0,Produccion!E31/F$6)</f>
        <v>0.0557832751212121</v>
      </c>
      <c r="G15" s="17" t="n">
        <f aca="false">IF($F$28=0,0,(IF(Pallet!D11=0,0,Produccion!C31/Pallet!D11)+IF(Pallet!E11=0,0,Produccion!D31/Pallet!E11)+IF(Pallet!F11=0,0,Produccion!E31/Pallet!F11))/$F$28)</f>
        <v>0.629938694772109</v>
      </c>
    </row>
    <row r="16" customFormat="false" ht="15" hidden="false" customHeight="false" outlineLevel="0" collapsed="false">
      <c r="A16" s="3" t="s">
        <v>104</v>
      </c>
      <c r="B16" s="4" t="s">
        <v>152</v>
      </c>
      <c r="C16" s="17" t="n">
        <f aca="false">IF(C$6=0,0,Produccion!B32/C$6)</f>
        <v>0.11931785390625</v>
      </c>
      <c r="D16" s="17" t="n">
        <f aca="false">IF(D$6=0,0,Produccion!C32/D$6)</f>
        <v>0.0631365513945578</v>
      </c>
      <c r="E16" s="17" t="n">
        <f aca="false">IF(E$6=0,0,Produccion!D32/E$6)</f>
        <v>0.522972427210884</v>
      </c>
      <c r="F16" s="17" t="n">
        <f aca="false">IF(F$6=0,0,Produccion!E32/F$6)</f>
        <v>0.0557832751212121</v>
      </c>
      <c r="G16" s="17" t="n">
        <f aca="false">IF($F$28=0,0,(IF(Pallet!D11=0,0,Produccion!C32/Pallet!D11)+IF(Pallet!E11=0,0,Produccion!D32/Pallet!E11)+IF(Pallet!F11=0,0,Produccion!E32/Pallet!F11))/$F$28)</f>
        <v>0.629938694772109</v>
      </c>
    </row>
    <row r="17" customFormat="false" ht="15" hidden="false" customHeight="false" outlineLevel="0" collapsed="false">
      <c r="A17" s="3" t="s">
        <v>105</v>
      </c>
      <c r="B17" s="4" t="s">
        <v>152</v>
      </c>
      <c r="C17" s="17" t="n">
        <f aca="false">IF(C$6=0,0,Produccion!B33/C$6)</f>
        <v>0.11931785390625</v>
      </c>
      <c r="D17" s="17" t="n">
        <f aca="false">IF(D$6=0,0,Produccion!C33/D$6)</f>
        <v>0.059190516932398</v>
      </c>
      <c r="E17" s="17" t="n">
        <f aca="false">IF(E$6=0,0,Produccion!D33/E$6)</f>
        <v>0.490286650510204</v>
      </c>
      <c r="F17" s="17" t="n">
        <f aca="false">IF(F$6=0,0,Produccion!E33/F$6)</f>
        <v>0.0522968204261364</v>
      </c>
      <c r="G17" s="17" t="n">
        <f aca="false">IF($F$28=0,0,(IF(Pallet!D11=0,0,Produccion!C33/Pallet!D11)+IF(Pallet!E11=0,0,Produccion!D33/Pallet!E11)+IF(Pallet!F11=0,0,Produccion!E33/Pallet!F11))/$F$28)</f>
        <v>0.590567526348852</v>
      </c>
    </row>
    <row r="18" customFormat="false" ht="15" hidden="false" customHeight="false" outlineLevel="0" collapsed="false">
      <c r="A18" s="3" t="s">
        <v>106</v>
      </c>
      <c r="B18" s="4" t="s">
        <v>152</v>
      </c>
      <c r="C18" s="17" t="n">
        <f aca="false">IF(C$6=0,0,Produccion!B34/C$6)</f>
        <v>0.11931785390625</v>
      </c>
      <c r="D18" s="17" t="n">
        <f aca="false">IF(D$6=0,0,Produccion!C34/D$6)</f>
        <v>0.0552444824702381</v>
      </c>
      <c r="E18" s="17" t="n">
        <f aca="false">IF(E$6=0,0,Produccion!D34/E$6)</f>
        <v>0.457600873809524</v>
      </c>
      <c r="F18" s="17" t="n">
        <f aca="false">IF(F$6=0,0,Produccion!E34/F$6)</f>
        <v>0.0488103657310606</v>
      </c>
      <c r="G18" s="17" t="n">
        <f aca="false">IF($F$28=0,0,(IF(Pallet!D11=0,0,Produccion!C34/Pallet!D11)+IF(Pallet!E11=0,0,Produccion!D34/Pallet!E11)+IF(Pallet!F11=0,0,Produccion!E34/Pallet!F11))/$F$28)</f>
        <v>0.551196357925595</v>
      </c>
    </row>
    <row r="19" customFormat="false" ht="15" hidden="false" customHeight="false" outlineLevel="0" collapsed="false">
      <c r="A19" s="3" t="s">
        <v>107</v>
      </c>
      <c r="B19" s="4" t="s">
        <v>152</v>
      </c>
      <c r="C19" s="17" t="n">
        <f aca="false">IF(C$6=0,0,Produccion!B35/C$6)</f>
        <v>0.19090856625</v>
      </c>
      <c r="D19" s="17" t="n">
        <f aca="false">IF(D$6=0,0,Produccion!C35/D$6)</f>
        <v>0.086812758167517</v>
      </c>
      <c r="E19" s="17" t="n">
        <f aca="false">IF(E$6=0,0,Produccion!D35/E$6)</f>
        <v>0.719087087414966</v>
      </c>
      <c r="F19" s="17" t="n">
        <f aca="false">IF(F$6=0,0,Produccion!E35/F$6)</f>
        <v>0.0767020032916667</v>
      </c>
      <c r="G19" s="17" t="n">
        <f aca="false">IF($F$28=0,0,(IF(Pallet!D11=0,0,Produccion!C35/Pallet!D11)+IF(Pallet!E11=0,0,Produccion!D35/Pallet!E11)+IF(Pallet!F11=0,0,Produccion!E35/Pallet!F11))/$F$28)</f>
        <v>0.86616570531165</v>
      </c>
    </row>
    <row r="20" customFormat="false" ht="15" hidden="false" customHeight="false" outlineLevel="0" collapsed="false">
      <c r="A20" s="12" t="s">
        <v>153</v>
      </c>
      <c r="B20" s="4" t="s">
        <v>152</v>
      </c>
      <c r="C20" s="19" t="n">
        <f aca="false">MAX(C8:C19)</f>
        <v>0.19090856625</v>
      </c>
      <c r="D20" s="19" t="n">
        <f aca="false">MAX(D8:D19)</f>
        <v>0.086812758167517</v>
      </c>
      <c r="E20" s="19" t="n">
        <f aca="false">MAX(E8:E19)</f>
        <v>0.719087087414966</v>
      </c>
      <c r="F20" s="19" t="n">
        <f aca="false">MAX(F8:F19)</f>
        <v>0.0767020032916667</v>
      </c>
      <c r="G20" s="19" t="n">
        <f aca="false">MAX(G8:G19)</f>
        <v>0.86616570531165</v>
      </c>
    </row>
    <row r="21" customFormat="false" ht="15" hidden="false" customHeight="false" outlineLevel="0" collapsed="false">
      <c r="A21" s="12" t="s">
        <v>154</v>
      </c>
      <c r="B21" s="4"/>
      <c r="C21" s="20" t="str">
        <f aca="false">IF(C20=0,"-",IF(C20&gt;=1,ROUNDUP(C20,0)&amp;" por semana",IF(INT(1/C20)=1,"1 por semana","1 cada "&amp;INT(1/C20)&amp;" semanas")))</f>
        <v>1 cada 5 semanas</v>
      </c>
      <c r="D21" s="20" t="str">
        <f aca="false">IF(D20=0,"-",IF(D20&gt;=1,ROUNDUP(D20,0)&amp;" por semana",IF(INT(1/D20)=1,"1 por semana","1 cada "&amp;INT(1/D20)&amp;" semanas")))</f>
        <v>1 cada 11 semanas</v>
      </c>
      <c r="E21" s="20" t="str">
        <f aca="false">IF(E20=0,"-",IF(E20&gt;=1,ROUNDUP(E20,0)&amp;" por semana",IF(INT(1/E20)=1,"1 por semana","1 cada "&amp;INT(1/E20)&amp;" semanas")))</f>
        <v>1 por semana</v>
      </c>
      <c r="F21" s="20" t="str">
        <f aca="false">IF(F20=0,"-",IF(F20&gt;=1,ROUNDUP(F20,0)&amp;" por semana",IF(INT(1/F20)=1,"1 por semana","1 cada "&amp;INT(1/F20)&amp;" semanas")))</f>
        <v>1 cada 13 semanas</v>
      </c>
      <c r="G21" s="20" t="str">
        <f aca="false">IF(G20=0,"-",IF(G20&gt;=1,ROUNDUP(G20,0)&amp;" por semana",IF(INT(1/G20)=1,"1 por semana","1 cada "&amp;INT(1/G20)&amp;" semanas")))</f>
        <v>1 por semana</v>
      </c>
    </row>
    <row r="22" customFormat="false" ht="15" hidden="false" customHeight="false" outlineLevel="0" collapsed="false">
      <c r="A22" s="3" t="s">
        <v>155</v>
      </c>
      <c r="B22" s="4" t="s">
        <v>156</v>
      </c>
      <c r="C22" s="15" t="n">
        <f aca="false">IF(C20=0,0,IF(C20&gt;=1,C20/ROUNDUP(C20,0),C20*INT(1/C20)))</f>
        <v>0.95454283125</v>
      </c>
      <c r="D22" s="15" t="n">
        <f aca="false">IF(D20=0,0,IF(D20&gt;=1,D20/ROUNDUP(D20,0),D20*INT(1/D20)))</f>
        <v>0.954940339842687</v>
      </c>
      <c r="E22" s="15" t="n">
        <f aca="false">IF(E20=0,0,IF(E20&gt;=1,E20/ROUNDUP(E20,0),E20*INT(1/E20)))</f>
        <v>0.719087087414966</v>
      </c>
      <c r="F22" s="15" t="n">
        <f aca="false">IF(F20=0,0,IF(F20&gt;=1,F20/ROUNDUP(F20,0),F20*INT(1/F20)))</f>
        <v>0.997126042791667</v>
      </c>
      <c r="G22" s="15" t="n">
        <f aca="false">IF(G20=0,0,IF(G20&gt;=1,G20/ROUNDUP(G20,0),G20*INT(1/G20)))</f>
        <v>0.86616570531165</v>
      </c>
    </row>
    <row r="24" customFormat="false" ht="15" hidden="false" customHeight="false" outlineLevel="0" collapsed="false">
      <c r="A24" s="1" t="s">
        <v>157</v>
      </c>
    </row>
    <row r="25" customFormat="false" ht="15" hidden="false" customHeight="false" outlineLevel="0" collapsed="false">
      <c r="A25" s="2"/>
      <c r="B25" s="2" t="s">
        <v>2</v>
      </c>
      <c r="C25" s="2" t="s">
        <v>28</v>
      </c>
      <c r="D25" s="2" t="s">
        <v>29</v>
      </c>
      <c r="E25" s="2" t="s">
        <v>30</v>
      </c>
      <c r="F25" s="2" t="s">
        <v>108</v>
      </c>
    </row>
    <row r="26" customFormat="false" ht="15" hidden="false" customHeight="false" outlineLevel="0" collapsed="false">
      <c r="A26" s="3" t="s">
        <v>158</v>
      </c>
      <c r="B26" s="4" t="s">
        <v>159</v>
      </c>
      <c r="C26" s="17" t="n">
        <f aca="false">IF(Pallet!D11=0,0,Produccion!C36/Pallet!D11)</f>
        <v>1.21537861434524</v>
      </c>
      <c r="D26" s="17" t="n">
        <f aca="false">IF(Pallet!E11=0,0,Produccion!D36/Pallet!E11)</f>
        <v>10.0672192238095</v>
      </c>
      <c r="E26" s="17" t="n">
        <f aca="false">IF(Pallet!F11=0,0,Produccion!E36/Pallet!F11)</f>
        <v>0.843722036208333</v>
      </c>
      <c r="F26" s="17" t="n">
        <f aca="false">SUM(C26:E26)</f>
        <v>12.1263198743631</v>
      </c>
    </row>
    <row r="27" customFormat="false" ht="15" hidden="false" customHeight="false" outlineLevel="0" collapsed="false">
      <c r="A27" s="3" t="s">
        <v>160</v>
      </c>
      <c r="B27" s="4" t="s">
        <v>156</v>
      </c>
      <c r="C27" s="15" t="n">
        <f aca="false">IF($F26=0,0,C26/$F26)</f>
        <v>0.100226501274697</v>
      </c>
      <c r="D27" s="15" t="n">
        <f aca="false">IF($F26=0,0,D26/$F26)</f>
        <v>0.830195750080218</v>
      </c>
      <c r="E27" s="15" t="n">
        <f aca="false">IF($F26=0,0,E26/$F26)</f>
        <v>0.0695777486450849</v>
      </c>
      <c r="F27" s="15" t="n">
        <f aca="false">SUM(C27:E27)</f>
        <v>1</v>
      </c>
    </row>
    <row r="28" customFormat="false" ht="15" hidden="false" customHeight="false" outlineLevel="0" collapsed="false">
      <c r="A28" s="12" t="s">
        <v>161</v>
      </c>
      <c r="B28" s="4" t="s">
        <v>159</v>
      </c>
      <c r="C28" s="13" t="n">
        <f aca="false">ROUND(SUM($C27:C27)*$F28,0)</f>
        <v>1</v>
      </c>
      <c r="D28" s="13" t="n">
        <f aca="false">ROUND(SUM($C27:D27)*$F28,0)-ROUND(SUM($C27:C27)*$F28,0)</f>
        <v>12</v>
      </c>
      <c r="E28" s="13" t="n">
        <f aca="false">ROUND(SUM($C27:E27)*$F28,0)-ROUND(SUM($C27:D27)*$F28,0)</f>
        <v>1</v>
      </c>
      <c r="F28" s="13" t="n">
        <f aca="false">IF(F26=0,0,MIN(Camion!$C$5,INT(Datos!$C$42/(C27*Pallet!D12+D27*Pallet!E12+E27*Pallet!F12))))</f>
        <v>14</v>
      </c>
    </row>
    <row r="29" customFormat="false" ht="15" hidden="false" customHeight="false" outlineLevel="0" collapsed="false">
      <c r="A29" s="3" t="s">
        <v>162</v>
      </c>
      <c r="B29" s="4" t="s">
        <v>32</v>
      </c>
      <c r="C29" s="16" t="n">
        <f aca="false">C28*Pallet!D11</f>
        <v>168</v>
      </c>
      <c r="D29" s="16" t="n">
        <f aca="false">D28*Pallet!E11</f>
        <v>1008</v>
      </c>
      <c r="E29" s="16" t="n">
        <f aca="false">E28*Pallet!F11</f>
        <v>60</v>
      </c>
      <c r="F29" s="16" t="n">
        <f aca="false">SUM(C29:E29)</f>
        <v>1236</v>
      </c>
    </row>
    <row r="30" customFormat="false" ht="15" hidden="false" customHeight="false" outlineLevel="0" collapsed="false">
      <c r="A30" s="3" t="s">
        <v>163</v>
      </c>
      <c r="B30" s="4" t="s">
        <v>18</v>
      </c>
      <c r="C30" s="16" t="n">
        <f aca="false">C28*Pallet!D12</f>
        <v>854.84</v>
      </c>
      <c r="D30" s="16" t="n">
        <f aca="false">D28*Pallet!E12</f>
        <v>9320.64</v>
      </c>
      <c r="E30" s="16" t="n">
        <f aca="false">E28*Pallet!F12</f>
        <v>1038.8</v>
      </c>
      <c r="F30" s="16" t="n">
        <f aca="false">SUM(C30:E30)</f>
        <v>11214.28</v>
      </c>
    </row>
    <row r="33" customFormat="false" ht="15" hidden="false" customHeight="false" outlineLevel="0" collapsed="false">
      <c r="A33" s="1" t="s">
        <v>164</v>
      </c>
    </row>
    <row r="34" customFormat="false" ht="15" hidden="false" customHeight="false" outlineLevel="0" collapsed="false">
      <c r="A34" s="2"/>
      <c r="B34" s="2" t="s">
        <v>2</v>
      </c>
      <c r="C34" s="2" t="s">
        <v>165</v>
      </c>
      <c r="D34" s="2" t="s">
        <v>166</v>
      </c>
      <c r="E34" s="2" t="s">
        <v>167</v>
      </c>
      <c r="F34" s="2" t="s">
        <v>168</v>
      </c>
      <c r="G34" s="2" t="s">
        <v>169</v>
      </c>
    </row>
    <row r="35" customFormat="false" ht="15" hidden="false" customHeight="false" outlineLevel="0" collapsed="false">
      <c r="A35" s="12" t="s">
        <v>141</v>
      </c>
      <c r="B35" s="4" t="s">
        <v>32</v>
      </c>
      <c r="C35" s="13" t="n">
        <f aca="false">Camion!C14</f>
        <v>14</v>
      </c>
      <c r="D35" s="13" t="n">
        <f aca="false">Camion!D14</f>
        <v>10</v>
      </c>
      <c r="E35" s="13" t="n">
        <f aca="false">Camion!E14</f>
        <v>7</v>
      </c>
      <c r="F35" s="13" t="n">
        <f aca="false">Camion!F14</f>
        <v>7</v>
      </c>
      <c r="G35" s="13" t="n">
        <f aca="false">$G$58</f>
        <v>9</v>
      </c>
    </row>
    <row r="36" customFormat="false" ht="15" hidden="false" customHeight="false" outlineLevel="0" collapsed="false">
      <c r="A36" s="12" t="s">
        <v>150</v>
      </c>
      <c r="B36" s="4" t="s">
        <v>32</v>
      </c>
      <c r="C36" s="13" t="n">
        <f aca="false">C35</f>
        <v>14</v>
      </c>
      <c r="D36" s="13" t="n">
        <f aca="false">D35</f>
        <v>10</v>
      </c>
      <c r="E36" s="13" t="n">
        <f aca="false">E35</f>
        <v>7</v>
      </c>
      <c r="F36" s="13" t="n">
        <f aca="false">F35</f>
        <v>7</v>
      </c>
      <c r="G36" s="13" t="n">
        <f aca="false">G35</f>
        <v>9</v>
      </c>
    </row>
    <row r="37" customFormat="false" ht="15" hidden="false" customHeight="false" outlineLevel="0" collapsed="false">
      <c r="A37" s="12" t="s">
        <v>151</v>
      </c>
    </row>
    <row r="38" customFormat="false" ht="15" hidden="false" customHeight="false" outlineLevel="0" collapsed="false">
      <c r="A38" s="3" t="s">
        <v>96</v>
      </c>
      <c r="B38" s="4" t="s">
        <v>152</v>
      </c>
      <c r="C38" s="17" t="n">
        <f aca="false">IF(C$36=0,0,Produccion!F24/C$36)</f>
        <v>0.687999916464286</v>
      </c>
      <c r="D38" s="17" t="n">
        <f aca="false">IF(D$36=0,0,Produccion!G24/D$36)</f>
        <v>2.1190397428375</v>
      </c>
      <c r="E38" s="17" t="n">
        <f aca="false">IF(E$36=0,0,Produccion!H24/E$36)</f>
        <v>0.66047992</v>
      </c>
      <c r="F38" s="17" t="n">
        <f aca="false">IF(F$36=0,0,Produccion!I24/F$36)</f>
        <v>0.440319946464286</v>
      </c>
      <c r="G38" s="17" t="n">
        <f aca="false">IF($G$58=0,0,(Produccion!F24+Produccion!G24+Produccion!H24+Produccion!I24)/$G$58)</f>
        <v>4.28088836934722</v>
      </c>
    </row>
    <row r="39" customFormat="false" ht="15" hidden="false" customHeight="false" outlineLevel="0" collapsed="false">
      <c r="A39" s="3" t="s">
        <v>97</v>
      </c>
      <c r="B39" s="4" t="s">
        <v>152</v>
      </c>
      <c r="C39" s="17" t="n">
        <f aca="false">IF(C$36=0,0,Produccion!F25/C$36)</f>
        <v>0.607058749821429</v>
      </c>
      <c r="D39" s="17" t="n">
        <f aca="false">IF(D$36=0,0,Produccion!G25/D$36)</f>
        <v>1.8697409495625</v>
      </c>
      <c r="E39" s="17" t="n">
        <f aca="false">IF(E$36=0,0,Produccion!H25/E$36)</f>
        <v>0.5827764</v>
      </c>
      <c r="F39" s="17" t="n">
        <f aca="false">IF(F$36=0,0,Produccion!I25/F$36)</f>
        <v>0.388517599821429</v>
      </c>
      <c r="G39" s="17" t="n">
        <f aca="false">IF($G$58=0,0,(Produccion!F25+Produccion!G25+Produccion!H25+Produccion!I25)/$G$58)</f>
        <v>3.77725444354167</v>
      </c>
    </row>
    <row r="40" customFormat="false" ht="15" hidden="false" customHeight="false" outlineLevel="0" collapsed="false">
      <c r="A40" s="3" t="s">
        <v>98</v>
      </c>
      <c r="B40" s="4" t="s">
        <v>152</v>
      </c>
      <c r="C40" s="17" t="n">
        <f aca="false">IF(C$36=0,0,Produccion!F26/C$36)</f>
        <v>0.728470499785714</v>
      </c>
      <c r="D40" s="17" t="n">
        <f aca="false">IF(D$36=0,0,Produccion!G26/D$36)</f>
        <v>2.243689139475</v>
      </c>
      <c r="E40" s="17" t="n">
        <f aca="false">IF(E$36=0,0,Produccion!H26/E$36)</f>
        <v>0.69933168</v>
      </c>
      <c r="F40" s="17" t="n">
        <f aca="false">IF(F$36=0,0,Produccion!I26/F$36)</f>
        <v>0.466221119785714</v>
      </c>
      <c r="G40" s="17" t="n">
        <f aca="false">IF($G$58=0,0,(Produccion!F26+Produccion!G26+Produccion!H26+Produccion!I26)/$G$58)</f>
        <v>4.53270533225</v>
      </c>
    </row>
    <row r="41" customFormat="false" ht="15" hidden="false" customHeight="false" outlineLevel="0" collapsed="false">
      <c r="A41" s="3" t="s">
        <v>99</v>
      </c>
      <c r="B41" s="4" t="s">
        <v>152</v>
      </c>
      <c r="C41" s="17" t="n">
        <f aca="false">IF(C$36=0,0,Produccion!F27/C$36)</f>
        <v>0.728470499785714</v>
      </c>
      <c r="D41" s="17" t="n">
        <f aca="false">IF(D$36=0,0,Produccion!G27/D$36)</f>
        <v>2.243689139475</v>
      </c>
      <c r="E41" s="17" t="n">
        <f aca="false">IF(E$36=0,0,Produccion!H27/E$36)</f>
        <v>0.69933168</v>
      </c>
      <c r="F41" s="17" t="n">
        <f aca="false">IF(F$36=0,0,Produccion!I27/F$36)</f>
        <v>0.466221119785714</v>
      </c>
      <c r="G41" s="17" t="n">
        <f aca="false">IF($G$58=0,0,(Produccion!F27+Produccion!G27+Produccion!H27+Produccion!I27)/$G$58)</f>
        <v>4.53270533225</v>
      </c>
    </row>
    <row r="42" customFormat="false" ht="15" hidden="false" customHeight="false" outlineLevel="0" collapsed="false">
      <c r="A42" s="3" t="s">
        <v>100</v>
      </c>
      <c r="B42" s="4" t="s">
        <v>152</v>
      </c>
      <c r="C42" s="17" t="n">
        <f aca="false">IF(C$36=0,0,Produccion!F28/C$36)</f>
        <v>0.728470499785714</v>
      </c>
      <c r="D42" s="17" t="n">
        <f aca="false">IF(D$36=0,0,Produccion!G28/D$36)</f>
        <v>2.243689139475</v>
      </c>
      <c r="E42" s="17" t="n">
        <f aca="false">IF(E$36=0,0,Produccion!H28/E$36)</f>
        <v>0.69933168</v>
      </c>
      <c r="F42" s="17" t="n">
        <f aca="false">IF(F$36=0,0,Produccion!I28/F$36)</f>
        <v>0.466221119785714</v>
      </c>
      <c r="G42" s="17" t="n">
        <f aca="false">IF($G$58=0,0,(Produccion!F28+Produccion!G28+Produccion!H28+Produccion!I28)/$G$58)</f>
        <v>4.53270533225</v>
      </c>
    </row>
    <row r="43" customFormat="false" ht="15" hidden="false" customHeight="false" outlineLevel="0" collapsed="false">
      <c r="A43" s="3" t="s">
        <v>101</v>
      </c>
      <c r="B43" s="4" t="s">
        <v>152</v>
      </c>
      <c r="C43" s="17" t="n">
        <f aca="false">IF(C$36=0,0,Produccion!F29/C$36)</f>
        <v>0.647529333142857</v>
      </c>
      <c r="D43" s="17" t="n">
        <f aca="false">IF(D$36=0,0,Produccion!G29/D$36)</f>
        <v>1.9943903462</v>
      </c>
      <c r="E43" s="17" t="n">
        <f aca="false">IF(E$36=0,0,Produccion!H29/E$36)</f>
        <v>0.62162816</v>
      </c>
      <c r="F43" s="17" t="n">
        <f aca="false">IF(F$36=0,0,Produccion!I29/F$36)</f>
        <v>0.414418773142857</v>
      </c>
      <c r="G43" s="17" t="n">
        <f aca="false">IF($G$58=0,0,(Produccion!F29+Produccion!G29+Produccion!H29+Produccion!I29)/$G$58)</f>
        <v>4.02907140644444</v>
      </c>
    </row>
    <row r="44" customFormat="false" ht="15" hidden="false" customHeight="false" outlineLevel="0" collapsed="false">
      <c r="A44" s="3" t="s">
        <v>102</v>
      </c>
      <c r="B44" s="4" t="s">
        <v>152</v>
      </c>
      <c r="C44" s="17" t="n">
        <f aca="false">IF(C$36=0,0,Produccion!F30/C$36)</f>
        <v>0.728470499785714</v>
      </c>
      <c r="D44" s="17" t="n">
        <f aca="false">IF(D$36=0,0,Produccion!G30/D$36)</f>
        <v>2.243689139475</v>
      </c>
      <c r="E44" s="17" t="n">
        <f aca="false">IF(E$36=0,0,Produccion!H30/E$36)</f>
        <v>0.69933168</v>
      </c>
      <c r="F44" s="17" t="n">
        <f aca="false">IF(F$36=0,0,Produccion!I30/F$36)</f>
        <v>0.466221119785714</v>
      </c>
      <c r="G44" s="17" t="n">
        <f aca="false">IF($G$58=0,0,(Produccion!F30+Produccion!G30+Produccion!H30+Produccion!I30)/$G$58)</f>
        <v>4.53270533225</v>
      </c>
    </row>
    <row r="45" customFormat="false" ht="15" hidden="false" customHeight="false" outlineLevel="0" collapsed="false">
      <c r="A45" s="3" t="s">
        <v>103</v>
      </c>
      <c r="B45" s="4" t="s">
        <v>152</v>
      </c>
      <c r="C45" s="17" t="n">
        <f aca="false">IF(C$36=0,0,Produccion!F31/C$36)</f>
        <v>0.728470499785714</v>
      </c>
      <c r="D45" s="17" t="n">
        <f aca="false">IF(D$36=0,0,Produccion!G31/D$36)</f>
        <v>2.243689139475</v>
      </c>
      <c r="E45" s="17" t="n">
        <f aca="false">IF(E$36=0,0,Produccion!H31/E$36)</f>
        <v>0.69933168</v>
      </c>
      <c r="F45" s="17" t="n">
        <f aca="false">IF(F$36=0,0,Produccion!I31/F$36)</f>
        <v>0.466221119785714</v>
      </c>
      <c r="G45" s="17" t="n">
        <f aca="false">IF($G$58=0,0,(Produccion!F31+Produccion!G31+Produccion!H31+Produccion!I31)/$G$58)</f>
        <v>4.53270533225</v>
      </c>
    </row>
    <row r="46" customFormat="false" ht="15" hidden="false" customHeight="false" outlineLevel="0" collapsed="false">
      <c r="A46" s="3" t="s">
        <v>104</v>
      </c>
      <c r="B46" s="4" t="s">
        <v>152</v>
      </c>
      <c r="C46" s="17" t="n">
        <f aca="false">IF(C$36=0,0,Produccion!F32/C$36)</f>
        <v>0.687999916464286</v>
      </c>
      <c r="D46" s="17" t="n">
        <f aca="false">IF(D$36=0,0,Produccion!G32/D$36)</f>
        <v>2.1190397428375</v>
      </c>
      <c r="E46" s="17" t="n">
        <f aca="false">IF(E$36=0,0,Produccion!H32/E$36)</f>
        <v>0.66047992</v>
      </c>
      <c r="F46" s="17" t="n">
        <f aca="false">IF(F$36=0,0,Produccion!I32/F$36)</f>
        <v>0.440319946464286</v>
      </c>
      <c r="G46" s="17" t="n">
        <f aca="false">IF($G$58=0,0,(Produccion!F32+Produccion!G32+Produccion!H32+Produccion!I32)/$G$58)</f>
        <v>4.28088836934722</v>
      </c>
    </row>
    <row r="47" customFormat="false" ht="15" hidden="false" customHeight="false" outlineLevel="0" collapsed="false">
      <c r="A47" s="3" t="s">
        <v>105</v>
      </c>
      <c r="B47" s="4" t="s">
        <v>152</v>
      </c>
      <c r="C47" s="17" t="n">
        <f aca="false">IF(C$36=0,0,Produccion!F33/C$36)</f>
        <v>0.607058749821429</v>
      </c>
      <c r="D47" s="17" t="n">
        <f aca="false">IF(D$36=0,0,Produccion!G33/D$36)</f>
        <v>1.8697409495625</v>
      </c>
      <c r="E47" s="17" t="n">
        <f aca="false">IF(E$36=0,0,Produccion!H33/E$36)</f>
        <v>0.5827764</v>
      </c>
      <c r="F47" s="17" t="n">
        <f aca="false">IF(F$36=0,0,Produccion!I33/F$36)</f>
        <v>0.388517599821429</v>
      </c>
      <c r="G47" s="17" t="n">
        <f aca="false">IF($G$58=0,0,(Produccion!F33+Produccion!G33+Produccion!H33+Produccion!I33)/$G$58)</f>
        <v>3.77725444354167</v>
      </c>
    </row>
    <row r="48" customFormat="false" ht="15" hidden="false" customHeight="false" outlineLevel="0" collapsed="false">
      <c r="A48" s="3" t="s">
        <v>106</v>
      </c>
      <c r="B48" s="4" t="s">
        <v>152</v>
      </c>
      <c r="C48" s="17" t="n">
        <f aca="false">IF(C$36=0,0,Produccion!F34/C$36)</f>
        <v>0.5665881665</v>
      </c>
      <c r="D48" s="17" t="n">
        <f aca="false">IF(D$36=0,0,Produccion!G34/D$36)</f>
        <v>1.745091552925</v>
      </c>
      <c r="E48" s="17" t="n">
        <f aca="false">IF(E$36=0,0,Produccion!H34/E$36)</f>
        <v>0.54392464</v>
      </c>
      <c r="F48" s="17" t="n">
        <f aca="false">IF(F$36=0,0,Produccion!I34/F$36)</f>
        <v>0.3626164265</v>
      </c>
      <c r="G48" s="17" t="n">
        <f aca="false">IF($G$58=0,0,(Produccion!F34+Produccion!G34+Produccion!H34+Produccion!I34)/$G$58)</f>
        <v>3.52543748063889</v>
      </c>
    </row>
    <row r="49" customFormat="false" ht="15" hidden="false" customHeight="false" outlineLevel="0" collapsed="false">
      <c r="A49" s="3" t="s">
        <v>107</v>
      </c>
      <c r="B49" s="4" t="s">
        <v>152</v>
      </c>
      <c r="C49" s="17" t="n">
        <f aca="false">IF(C$36=0,0,Produccion!F35/C$36)</f>
        <v>0.647529333142857</v>
      </c>
      <c r="D49" s="17" t="n">
        <f aca="false">IF(D$36=0,0,Produccion!G35/D$36)</f>
        <v>1.9943903462</v>
      </c>
      <c r="E49" s="17" t="n">
        <f aca="false">IF(E$36=0,0,Produccion!H35/E$36)</f>
        <v>0.62162816</v>
      </c>
      <c r="F49" s="17" t="n">
        <f aca="false">IF(F$36=0,0,Produccion!I35/F$36)</f>
        <v>0.414418773142857</v>
      </c>
      <c r="G49" s="17" t="n">
        <f aca="false">IF($G$58=0,0,(Produccion!F35+Produccion!G35+Produccion!H35+Produccion!I35)/$G$58)</f>
        <v>4.02907140644444</v>
      </c>
    </row>
    <row r="50" customFormat="false" ht="15" hidden="false" customHeight="false" outlineLevel="0" collapsed="false">
      <c r="A50" s="12" t="s">
        <v>153</v>
      </c>
      <c r="B50" s="4" t="s">
        <v>152</v>
      </c>
      <c r="C50" s="19" t="n">
        <f aca="false">MAX(C38:C49)</f>
        <v>0.728470499785714</v>
      </c>
      <c r="D50" s="19" t="n">
        <f aca="false">MAX(D38:D49)</f>
        <v>2.243689139475</v>
      </c>
      <c r="E50" s="19" t="n">
        <f aca="false">MAX(E38:E49)</f>
        <v>0.69933168</v>
      </c>
      <c r="F50" s="19" t="n">
        <f aca="false">MAX(F38:F49)</f>
        <v>0.466221119785714</v>
      </c>
      <c r="G50" s="19" t="n">
        <f aca="false">MAX(G38:G49)</f>
        <v>4.53270533225</v>
      </c>
    </row>
    <row r="51" customFormat="false" ht="15" hidden="false" customHeight="false" outlineLevel="0" collapsed="false">
      <c r="A51" s="12" t="s">
        <v>154</v>
      </c>
      <c r="B51" s="4"/>
      <c r="C51" s="20" t="str">
        <f aca="false">IF(C50=0,"-",IF(C50&gt;=1,ROUNDUP(C50,0)&amp;" por semana",IF(INT(1/C50)=1,"1 por semana","1 cada "&amp;INT(1/C50)&amp;" semanas")))</f>
        <v>1 por semana</v>
      </c>
      <c r="D51" s="20" t="str">
        <f aca="false">IF(D50=0,"-",IF(D50&gt;=1,ROUNDUP(D50,0)&amp;" por semana",IF(INT(1/D50)=1,"1 por semana","1 cada "&amp;INT(1/D50)&amp;" semanas")))</f>
        <v>3 por semana</v>
      </c>
      <c r="E51" s="20" t="str">
        <f aca="false">IF(E50=0,"-",IF(E50&gt;=1,ROUNDUP(E50,0)&amp;" por semana",IF(INT(1/E50)=1,"1 por semana","1 cada "&amp;INT(1/E50)&amp;" semanas")))</f>
        <v>1 por semana</v>
      </c>
      <c r="F51" s="20" t="str">
        <f aca="false">IF(F50=0,"-",IF(F50&gt;=1,ROUNDUP(F50,0)&amp;" por semana",IF(INT(1/F50)=1,"1 por semana","1 cada "&amp;INT(1/F50)&amp;" semanas")))</f>
        <v>1 cada 2 semanas</v>
      </c>
      <c r="G51" s="20" t="str">
        <f aca="false">IF(G50=0,"-",IF(G50&gt;=1,ROUNDUP(G50,0)&amp;" por semana",IF(INT(1/G50)=1,"1 por semana","1 cada "&amp;INT(1/G50)&amp;" semanas")))</f>
        <v>5 por semana</v>
      </c>
    </row>
    <row r="52" customFormat="false" ht="15" hidden="false" customHeight="false" outlineLevel="0" collapsed="false">
      <c r="A52" s="3" t="s">
        <v>155</v>
      </c>
      <c r="B52" s="4" t="s">
        <v>156</v>
      </c>
      <c r="C52" s="15" t="n">
        <f aca="false">IF(C50=0,0,IF(C50&gt;=1,C50/ROUNDUP(C50,0),C50*INT(1/C50)))</f>
        <v>0.728470499785714</v>
      </c>
      <c r="D52" s="15" t="n">
        <f aca="false">IF(D50=0,0,IF(D50&gt;=1,D50/ROUNDUP(D50,0),D50*INT(1/D50)))</f>
        <v>0.747896379825</v>
      </c>
      <c r="E52" s="15" t="n">
        <f aca="false">IF(E50=0,0,IF(E50&gt;=1,E50/ROUNDUP(E50,0),E50*INT(1/E50)))</f>
        <v>0.69933168</v>
      </c>
      <c r="F52" s="15" t="n">
        <f aca="false">IF(F50=0,0,IF(F50&gt;=1,F50/ROUNDUP(F50,0),F50*INT(1/F50)))</f>
        <v>0.932442239571429</v>
      </c>
      <c r="G52" s="15" t="n">
        <f aca="false">IF(G50=0,0,IF(G50&gt;=1,G50/ROUNDUP(G50,0),G50*INT(1/G50)))</f>
        <v>0.90654106645</v>
      </c>
    </row>
    <row r="54" customFormat="false" ht="15" hidden="false" customHeight="false" outlineLevel="0" collapsed="false">
      <c r="A54" s="1" t="s">
        <v>170</v>
      </c>
    </row>
    <row r="55" customFormat="false" ht="15" hidden="false" customHeight="false" outlineLevel="0" collapsed="false">
      <c r="A55" s="2"/>
      <c r="B55" s="2" t="s">
        <v>2</v>
      </c>
      <c r="C55" s="2" t="s">
        <v>42</v>
      </c>
      <c r="D55" s="2" t="s">
        <v>43</v>
      </c>
      <c r="E55" s="2" t="s">
        <v>44</v>
      </c>
      <c r="F55" s="2" t="s">
        <v>45</v>
      </c>
      <c r="G55" s="2" t="s">
        <v>108</v>
      </c>
    </row>
    <row r="56" customFormat="false" ht="15" hidden="false" customHeight="false" outlineLevel="0" collapsed="false">
      <c r="A56" s="3" t="s">
        <v>171</v>
      </c>
      <c r="B56" s="4" t="s">
        <v>172</v>
      </c>
      <c r="C56" s="17" t="n">
        <f aca="false">Produccion!F36</f>
        <v>10.198586997</v>
      </c>
      <c r="D56" s="17" t="n">
        <f aca="false">Produccion!G36</f>
        <v>22.43689139475</v>
      </c>
      <c r="E56" s="17" t="n">
        <f aca="false">Produccion!H36</f>
        <v>4.89532176</v>
      </c>
      <c r="F56" s="17" t="n">
        <f aca="false">Produccion!I36</f>
        <v>3.2635478385</v>
      </c>
      <c r="G56" s="17" t="n">
        <f aca="false">SUM(C56:F56)</f>
        <v>40.79434799025</v>
      </c>
    </row>
    <row r="57" customFormat="false" ht="15" hidden="false" customHeight="false" outlineLevel="0" collapsed="false">
      <c r="A57" s="3" t="s">
        <v>160</v>
      </c>
      <c r="B57" s="4" t="s">
        <v>156</v>
      </c>
      <c r="C57" s="15" t="n">
        <f aca="false">IF($G56=0,0,C56/$G56)</f>
        <v>0.249999999986211</v>
      </c>
      <c r="D57" s="15" t="n">
        <f aca="false">IF($G56=0,0,D56/$G56)</f>
        <v>0.550000000002758</v>
      </c>
      <c r="E57" s="15" t="n">
        <f aca="false">IF($G56=0,0,E56/$G56)</f>
        <v>0.12000000002868</v>
      </c>
      <c r="F57" s="15" t="n">
        <f aca="false">IF($G56=0,0,F56/$G56)</f>
        <v>0.0799999999823505</v>
      </c>
      <c r="G57" s="15" t="n">
        <f aca="false">SUM(C57:F57)</f>
        <v>1</v>
      </c>
    </row>
    <row r="58" customFormat="false" ht="15" hidden="false" customHeight="false" outlineLevel="0" collapsed="false">
      <c r="A58" s="12" t="s">
        <v>173</v>
      </c>
      <c r="B58" s="4" t="s">
        <v>172</v>
      </c>
      <c r="C58" s="13" t="n">
        <f aca="false">ROUND(SUM($C57:C57)*$G58,0)</f>
        <v>2</v>
      </c>
      <c r="D58" s="13" t="n">
        <f aca="false">ROUND(SUM($C57:D57)*$G58,0)-ROUND(SUM($C57:C57)*$G58,0)</f>
        <v>5</v>
      </c>
      <c r="E58" s="13" t="n">
        <f aca="false">ROUND(SUM($C57:E57)*$G58,0)-ROUND(SUM($C57:D57)*$G58,0)</f>
        <v>1</v>
      </c>
      <c r="F58" s="13" t="n">
        <f aca="false">ROUND(SUM($C57:F57)*$G58,0)-ROUND(SUM($C57:E57)*$G58,0)</f>
        <v>1</v>
      </c>
      <c r="G58" s="13" t="n">
        <f aca="false">IF(G56=0,0,MIN(INT(1/(C57/Camion!C12+D57/Camion!D12+E57/Camion!E12+F57/Camion!F12)),INT(Datos!$C$51/(C57*Datos!$C$36+D57*Datos!$D$36+E57*Datos!$E$36+F57*Datos!$F$36))))</f>
        <v>9</v>
      </c>
    </row>
    <row r="59" customFormat="false" ht="15" hidden="false" customHeight="false" outlineLevel="0" collapsed="false">
      <c r="A59" s="3" t="s">
        <v>174</v>
      </c>
      <c r="B59" s="4" t="s">
        <v>156</v>
      </c>
      <c r="C59" s="15" t="n">
        <f aca="false">IF(Camion!C12=0,0,C58/Camion!C12)</f>
        <v>0.142857142857143</v>
      </c>
      <c r="D59" s="15" t="n">
        <f aca="false">IF(Camion!D12=0,0,D58/Camion!D12)</f>
        <v>0.5</v>
      </c>
      <c r="E59" s="15" t="n">
        <f aca="false">IF(Camion!E12=0,0,E58/Camion!E12)</f>
        <v>0.142857142857143</v>
      </c>
      <c r="F59" s="15" t="n">
        <f aca="false">IF(Camion!F12=0,0,F58/Camion!F12)</f>
        <v>0.142857142857143</v>
      </c>
      <c r="G59" s="15" t="n">
        <f aca="false">SUM(C59:F59)</f>
        <v>0.928571428571429</v>
      </c>
    </row>
    <row r="60" customFormat="false" ht="15" hidden="false" customHeight="false" outlineLevel="0" collapsed="false">
      <c r="A60" s="3" t="s">
        <v>175</v>
      </c>
      <c r="B60" s="4" t="s">
        <v>18</v>
      </c>
      <c r="C60" s="16" t="n">
        <f aca="false">C58*Datos!$C$36</f>
        <v>110</v>
      </c>
      <c r="D60" s="16" t="n">
        <f aca="false">D58*Datos!$D$36</f>
        <v>500</v>
      </c>
      <c r="E60" s="16" t="n">
        <f aca="false">E58*Datos!$E$36</f>
        <v>140</v>
      </c>
      <c r="F60" s="16" t="n">
        <f aca="false">F58*Datos!$F$36</f>
        <v>185</v>
      </c>
      <c r="G60" s="16" t="n">
        <f aca="false">SUM(C60:F60)</f>
        <v>935</v>
      </c>
    </row>
    <row r="63" customFormat="false" ht="15" hidden="false" customHeight="false" outlineLevel="0" collapsed="false">
      <c r="A63" s="1" t="s">
        <v>176</v>
      </c>
    </row>
    <row r="64" customFormat="false" ht="15" hidden="false" customHeight="false" outlineLevel="0" collapsed="false">
      <c r="A64" s="2"/>
      <c r="B64" s="2" t="s">
        <v>2</v>
      </c>
      <c r="C64" s="2" t="s">
        <v>143</v>
      </c>
      <c r="D64" s="2" t="s">
        <v>144</v>
      </c>
      <c r="E64" s="2" t="s">
        <v>145</v>
      </c>
      <c r="F64" s="2" t="s">
        <v>146</v>
      </c>
      <c r="G64" s="2" t="s">
        <v>147</v>
      </c>
    </row>
    <row r="65" customFormat="false" ht="15" hidden="false" customHeight="false" outlineLevel="0" collapsed="false">
      <c r="A65" s="3" t="s">
        <v>148</v>
      </c>
      <c r="B65" s="4" t="s">
        <v>32</v>
      </c>
      <c r="C65" s="16" t="n">
        <f aca="false">Pallet!C23</f>
        <v>780</v>
      </c>
      <c r="D65" s="16" t="n">
        <f aca="false">Pallet!D23</f>
        <v>288</v>
      </c>
      <c r="E65" s="16" t="n">
        <f aca="false">Pallet!E23</f>
        <v>126</v>
      </c>
      <c r="F65" s="16" t="n">
        <f aca="false">Pallet!F23</f>
        <v>60</v>
      </c>
      <c r="G65" s="18" t="s">
        <v>149</v>
      </c>
    </row>
    <row r="66" customFormat="false" ht="15" hidden="false" customHeight="false" outlineLevel="0" collapsed="false">
      <c r="A66" s="3" t="s">
        <v>124</v>
      </c>
      <c r="B66" s="4" t="s">
        <v>18</v>
      </c>
      <c r="C66" s="16" t="n">
        <f aca="false">Pallet!C24</f>
        <v>630.8</v>
      </c>
      <c r="D66" s="16" t="n">
        <f aca="false">Pallet!D24</f>
        <v>464.24</v>
      </c>
      <c r="E66" s="16" t="n">
        <f aca="false">Pallet!E24</f>
        <v>387.68</v>
      </c>
      <c r="F66" s="16" t="n">
        <f aca="false">Pallet!F24</f>
        <v>365.6</v>
      </c>
      <c r="G66" s="18" t="s">
        <v>149</v>
      </c>
    </row>
    <row r="67" customFormat="false" ht="15" hidden="false" customHeight="false" outlineLevel="0" collapsed="false">
      <c r="A67" s="12" t="s">
        <v>134</v>
      </c>
      <c r="B67" s="4" t="s">
        <v>32</v>
      </c>
      <c r="C67" s="13" t="n">
        <f aca="false">IF(C66=0,0,MIN(Camion!$C$5,INT(Datos!$C$42/C66)))</f>
        <v>14</v>
      </c>
      <c r="D67" s="13" t="n">
        <f aca="false">IF(D66=0,0,MIN(Camion!$C$5,INT(Datos!$C$42/D66)))</f>
        <v>14</v>
      </c>
      <c r="E67" s="13" t="n">
        <f aca="false">IF(E66=0,0,MIN(Camion!$C$5,INT(Datos!$C$42/E66)))</f>
        <v>14</v>
      </c>
      <c r="F67" s="13" t="n">
        <f aca="false">IF(F66=0,0,MIN(Camion!$C$5,INT(Datos!$C$42/F66)))</f>
        <v>14</v>
      </c>
      <c r="G67" s="13" t="n">
        <f aca="false">$F$90</f>
        <v>14</v>
      </c>
    </row>
    <row r="68" customFormat="false" ht="15" hidden="false" customHeight="false" outlineLevel="0" collapsed="false">
      <c r="A68" s="12" t="s">
        <v>150</v>
      </c>
      <c r="B68" s="4" t="s">
        <v>32</v>
      </c>
      <c r="C68" s="13" t="n">
        <f aca="false">C67*C65</f>
        <v>10920</v>
      </c>
      <c r="D68" s="13" t="n">
        <f aca="false">D67*D65</f>
        <v>4032</v>
      </c>
      <c r="E68" s="13" t="n">
        <f aca="false">E67*E65</f>
        <v>1764</v>
      </c>
      <c r="F68" s="13" t="n">
        <f aca="false">F67*F65</f>
        <v>840</v>
      </c>
      <c r="G68" s="13" t="n">
        <f aca="false">$F$91</f>
        <v>1860</v>
      </c>
    </row>
    <row r="69" customFormat="false" ht="15" hidden="false" customHeight="false" outlineLevel="0" collapsed="false">
      <c r="A69" s="12" t="s">
        <v>151</v>
      </c>
    </row>
    <row r="70" customFormat="false" ht="15" hidden="false" customHeight="false" outlineLevel="0" collapsed="false">
      <c r="A70" s="3" t="s">
        <v>96</v>
      </c>
      <c r="B70" s="4" t="s">
        <v>152</v>
      </c>
      <c r="C70" s="17" t="n">
        <f aca="false">IF(C$68=0,0,Produccion!J24/C$68)</f>
        <v>0.468538461538462</v>
      </c>
      <c r="D70" s="17" t="n">
        <f aca="false">IF(D$68=0,0,Produccion!K24/D$68)</f>
        <v>0.0413504464285714</v>
      </c>
      <c r="E70" s="17" t="n">
        <f aca="false">IF(E$68=0,0,Produccion!L24/E$68)</f>
        <v>0.466482426303855</v>
      </c>
      <c r="F70" s="17" t="n">
        <f aca="false">IF(F$68=0,0,Produccion!M24/F$68)</f>
        <v>0.0598511904761905</v>
      </c>
      <c r="G70" s="17" t="n">
        <f aca="false">IF($F$90=0,0,(IF(Pallet!D23=0,0,Produccion!K24/Pallet!D23)+IF(Pallet!E23=0,0,Produccion!L24/Pallet!E23)+IF(Pallet!F23=0,0,Produccion!M24/Pallet!F23))/$F$90)</f>
        <v>0.567684063208617</v>
      </c>
    </row>
    <row r="71" customFormat="false" ht="15" hidden="false" customHeight="false" outlineLevel="0" collapsed="false">
      <c r="A71" s="3" t="s">
        <v>97</v>
      </c>
      <c r="B71" s="4" t="s">
        <v>152</v>
      </c>
      <c r="C71" s="17" t="n">
        <f aca="false">IF(C$68=0,0,Produccion!J25/C$68)</f>
        <v>0.351403846153846</v>
      </c>
      <c r="D71" s="17" t="n">
        <f aca="false">IF(D$68=0,0,Produccion!K25/D$68)</f>
        <v>0.0330803571428571</v>
      </c>
      <c r="E71" s="17" t="n">
        <f aca="false">IF(E$68=0,0,Produccion!L25/E$68)</f>
        <v>0.373185941043084</v>
      </c>
      <c r="F71" s="17" t="n">
        <f aca="false">IF(F$68=0,0,Produccion!M25/F$68)</f>
        <v>0.0478809523809524</v>
      </c>
      <c r="G71" s="17" t="n">
        <f aca="false">IF($F$90=0,0,(IF(Pallet!D23=0,0,Produccion!K25/Pallet!D23)+IF(Pallet!E23=0,0,Produccion!L25/Pallet!E23)+IF(Pallet!F23=0,0,Produccion!M25/Pallet!F23))/$F$90)</f>
        <v>0.454147250566894</v>
      </c>
    </row>
    <row r="72" customFormat="false" ht="15" hidden="false" customHeight="false" outlineLevel="0" collapsed="false">
      <c r="A72" s="3" t="s">
        <v>98</v>
      </c>
      <c r="B72" s="4" t="s">
        <v>152</v>
      </c>
      <c r="C72" s="17" t="n">
        <f aca="false">IF(C$68=0,0,Produccion!J26/C$68)</f>
        <v>0.312358974358974</v>
      </c>
      <c r="D72" s="17" t="n">
        <f aca="false">IF(D$68=0,0,Produccion!K26/D$68)</f>
        <v>0.0351478794642857</v>
      </c>
      <c r="E72" s="17" t="n">
        <f aca="false">IF(E$68=0,0,Produccion!L26/E$68)</f>
        <v>0.396510062358277</v>
      </c>
      <c r="F72" s="17" t="n">
        <f aca="false">IF(F$68=0,0,Produccion!M26/F$68)</f>
        <v>0.0508735119047619</v>
      </c>
      <c r="G72" s="17" t="n">
        <f aca="false">IF($F$90=0,0,(IF(Pallet!D23=0,0,Produccion!K26/Pallet!D23)+IF(Pallet!E23=0,0,Produccion!L26/Pallet!E23)+IF(Pallet!F23=0,0,Produccion!M26/Pallet!F23))/$F$90)</f>
        <v>0.482531453727324</v>
      </c>
    </row>
    <row r="73" customFormat="false" ht="15" hidden="false" customHeight="false" outlineLevel="0" collapsed="false">
      <c r="A73" s="3" t="s">
        <v>99</v>
      </c>
      <c r="B73" s="4" t="s">
        <v>152</v>
      </c>
      <c r="C73" s="17" t="n">
        <f aca="false">IF(C$68=0,0,Produccion!J27/C$68)</f>
        <v>0.292836538461538</v>
      </c>
      <c r="D73" s="17" t="n">
        <f aca="false">IF(D$68=0,0,Produccion!K27/D$68)</f>
        <v>0.0351478794642857</v>
      </c>
      <c r="E73" s="17" t="n">
        <f aca="false">IF(E$68=0,0,Produccion!L27/E$68)</f>
        <v>0.396510062358277</v>
      </c>
      <c r="F73" s="17" t="n">
        <f aca="false">IF(F$68=0,0,Produccion!M27/F$68)</f>
        <v>0.0508735119047619</v>
      </c>
      <c r="G73" s="17" t="n">
        <f aca="false">IF($F$90=0,0,(IF(Pallet!D23=0,0,Produccion!K27/Pallet!D23)+IF(Pallet!E23=0,0,Produccion!L27/Pallet!E23)+IF(Pallet!F23=0,0,Produccion!M27/Pallet!F23))/$F$90)</f>
        <v>0.482531453727324</v>
      </c>
    </row>
    <row r="74" customFormat="false" ht="15" hidden="false" customHeight="false" outlineLevel="0" collapsed="false">
      <c r="A74" s="3" t="s">
        <v>100</v>
      </c>
      <c r="B74" s="4" t="s">
        <v>152</v>
      </c>
      <c r="C74" s="17" t="n">
        <f aca="false">IF(C$68=0,0,Produccion!J28/C$68)</f>
        <v>0.273314102564103</v>
      </c>
      <c r="D74" s="17" t="n">
        <f aca="false">IF(D$68=0,0,Produccion!K28/D$68)</f>
        <v>0.0330803571428571</v>
      </c>
      <c r="E74" s="17" t="n">
        <f aca="false">IF(E$68=0,0,Produccion!L28/E$68)</f>
        <v>0.373185941043084</v>
      </c>
      <c r="F74" s="17" t="n">
        <f aca="false">IF(F$68=0,0,Produccion!M28/F$68)</f>
        <v>0.0478809523809524</v>
      </c>
      <c r="G74" s="17" t="n">
        <f aca="false">IF($F$90=0,0,(IF(Pallet!D23=0,0,Produccion!K28/Pallet!D23)+IF(Pallet!E23=0,0,Produccion!L28/Pallet!E23)+IF(Pallet!F23=0,0,Produccion!M28/Pallet!F23))/$F$90)</f>
        <v>0.454147250566894</v>
      </c>
    </row>
    <row r="75" customFormat="false" ht="15" hidden="false" customHeight="false" outlineLevel="0" collapsed="false">
      <c r="A75" s="3" t="s">
        <v>101</v>
      </c>
      <c r="B75" s="4" t="s">
        <v>152</v>
      </c>
      <c r="C75" s="17" t="n">
        <f aca="false">IF(C$68=0,0,Produccion!J29/C$68)</f>
        <v>0.273314102564103</v>
      </c>
      <c r="D75" s="17" t="n">
        <f aca="false">IF(D$68=0,0,Produccion!K29/D$68)</f>
        <v>0.0310128348214286</v>
      </c>
      <c r="E75" s="17" t="n">
        <f aca="false">IF(E$68=0,0,Produccion!L29/E$68)</f>
        <v>0.349861819727891</v>
      </c>
      <c r="F75" s="17" t="n">
        <f aca="false">IF(F$68=0,0,Produccion!M29/F$68)</f>
        <v>0.0448883928571429</v>
      </c>
      <c r="G75" s="17" t="n">
        <f aca="false">IF($F$90=0,0,(IF(Pallet!D23=0,0,Produccion!K29/Pallet!D23)+IF(Pallet!E23=0,0,Produccion!L29/Pallet!E23)+IF(Pallet!F23=0,0,Produccion!M29/Pallet!F23))/$F$90)</f>
        <v>0.425763047406463</v>
      </c>
    </row>
    <row r="76" customFormat="false" ht="15" hidden="false" customHeight="false" outlineLevel="0" collapsed="false">
      <c r="A76" s="3" t="s">
        <v>102</v>
      </c>
      <c r="B76" s="4" t="s">
        <v>152</v>
      </c>
      <c r="C76" s="17" t="n">
        <f aca="false">IF(C$68=0,0,Produccion!J30/C$68)</f>
        <v>0.292836538461538</v>
      </c>
      <c r="D76" s="17" t="n">
        <f aca="false">IF(D$68=0,0,Produccion!K30/D$68)</f>
        <v>0.0330803571428571</v>
      </c>
      <c r="E76" s="17" t="n">
        <f aca="false">IF(E$68=0,0,Produccion!L30/E$68)</f>
        <v>0.373185941043084</v>
      </c>
      <c r="F76" s="17" t="n">
        <f aca="false">IF(F$68=0,0,Produccion!M30/F$68)</f>
        <v>0.0478809523809524</v>
      </c>
      <c r="G76" s="17" t="n">
        <f aca="false">IF($F$90=0,0,(IF(Pallet!D23=0,0,Produccion!K30/Pallet!D23)+IF(Pallet!E23=0,0,Produccion!L30/Pallet!E23)+IF(Pallet!F23=0,0,Produccion!M30/Pallet!F23))/$F$90)</f>
        <v>0.454147250566894</v>
      </c>
    </row>
    <row r="77" customFormat="false" ht="15" hidden="false" customHeight="false" outlineLevel="0" collapsed="false">
      <c r="A77" s="3" t="s">
        <v>103</v>
      </c>
      <c r="B77" s="4" t="s">
        <v>152</v>
      </c>
      <c r="C77" s="17" t="n">
        <f aca="false">IF(C$68=0,0,Produccion!J31/C$68)</f>
        <v>0.292836538461538</v>
      </c>
      <c r="D77" s="17" t="n">
        <f aca="false">IF(D$68=0,0,Produccion!K31/D$68)</f>
        <v>0.0330803571428571</v>
      </c>
      <c r="E77" s="17" t="n">
        <f aca="false">IF(E$68=0,0,Produccion!L31/E$68)</f>
        <v>0.373185941043084</v>
      </c>
      <c r="F77" s="17" t="n">
        <f aca="false">IF(F$68=0,0,Produccion!M31/F$68)</f>
        <v>0.0478809523809524</v>
      </c>
      <c r="G77" s="17" t="n">
        <f aca="false">IF($F$90=0,0,(IF(Pallet!D23=0,0,Produccion!K31/Pallet!D23)+IF(Pallet!E23=0,0,Produccion!L31/Pallet!E23)+IF(Pallet!F23=0,0,Produccion!M31/Pallet!F23))/$F$90)</f>
        <v>0.454147250566894</v>
      </c>
    </row>
    <row r="78" customFormat="false" ht="15" hidden="false" customHeight="false" outlineLevel="0" collapsed="false">
      <c r="A78" s="3" t="s">
        <v>104</v>
      </c>
      <c r="B78" s="4" t="s">
        <v>152</v>
      </c>
      <c r="C78" s="17" t="n">
        <f aca="false">IF(C$68=0,0,Produccion!J32/C$68)</f>
        <v>0.292836538461538</v>
      </c>
      <c r="D78" s="17" t="n">
        <f aca="false">IF(D$68=0,0,Produccion!K32/D$68)</f>
        <v>0.0330803571428571</v>
      </c>
      <c r="E78" s="17" t="n">
        <f aca="false">IF(E$68=0,0,Produccion!L32/E$68)</f>
        <v>0.373185941043084</v>
      </c>
      <c r="F78" s="17" t="n">
        <f aca="false">IF(F$68=0,0,Produccion!M32/F$68)</f>
        <v>0.0478809523809524</v>
      </c>
      <c r="G78" s="17" t="n">
        <f aca="false">IF($F$90=0,0,(IF(Pallet!D23=0,0,Produccion!K32/Pallet!D23)+IF(Pallet!E23=0,0,Produccion!L32/Pallet!E23)+IF(Pallet!F23=0,0,Produccion!M32/Pallet!F23))/$F$90)</f>
        <v>0.454147250566894</v>
      </c>
    </row>
    <row r="79" customFormat="false" ht="15" hidden="false" customHeight="false" outlineLevel="0" collapsed="false">
      <c r="A79" s="3" t="s">
        <v>105</v>
      </c>
      <c r="B79" s="4" t="s">
        <v>152</v>
      </c>
      <c r="C79" s="17" t="n">
        <f aca="false">IF(C$68=0,0,Produccion!J33/C$68)</f>
        <v>0.292836538461538</v>
      </c>
      <c r="D79" s="17" t="n">
        <f aca="false">IF(D$68=0,0,Produccion!K33/D$68)</f>
        <v>0.0310128348214286</v>
      </c>
      <c r="E79" s="17" t="n">
        <f aca="false">IF(E$68=0,0,Produccion!L33/E$68)</f>
        <v>0.349861819727891</v>
      </c>
      <c r="F79" s="17" t="n">
        <f aca="false">IF(F$68=0,0,Produccion!M33/F$68)</f>
        <v>0.0448883928571429</v>
      </c>
      <c r="G79" s="17" t="n">
        <f aca="false">IF($F$90=0,0,(IF(Pallet!D23=0,0,Produccion!K33/Pallet!D23)+IF(Pallet!E23=0,0,Produccion!L33/Pallet!E23)+IF(Pallet!F23=0,0,Produccion!M33/Pallet!F23))/$F$90)</f>
        <v>0.425763047406463</v>
      </c>
    </row>
    <row r="80" customFormat="false" ht="15" hidden="false" customHeight="false" outlineLevel="0" collapsed="false">
      <c r="A80" s="3" t="s">
        <v>106</v>
      </c>
      <c r="B80" s="4" t="s">
        <v>152</v>
      </c>
      <c r="C80" s="17" t="n">
        <f aca="false">IF(C$68=0,0,Produccion!J34/C$68)</f>
        <v>0.292836538461538</v>
      </c>
      <c r="D80" s="17" t="n">
        <f aca="false">IF(D$68=0,0,Produccion!K34/D$68)</f>
        <v>0.0289453125</v>
      </c>
      <c r="E80" s="17" t="n">
        <f aca="false">IF(E$68=0,0,Produccion!L34/E$68)</f>
        <v>0.326537698412698</v>
      </c>
      <c r="F80" s="17" t="n">
        <f aca="false">IF(F$68=0,0,Produccion!M34/F$68)</f>
        <v>0.0418958333333333</v>
      </c>
      <c r="G80" s="17" t="n">
        <f aca="false">IF($F$90=0,0,(IF(Pallet!D23=0,0,Produccion!K34/Pallet!D23)+IF(Pallet!E23=0,0,Produccion!L34/Pallet!E23)+IF(Pallet!F23=0,0,Produccion!M34/Pallet!F23))/$F$90)</f>
        <v>0.397378844246032</v>
      </c>
    </row>
    <row r="81" customFormat="false" ht="15" hidden="false" customHeight="false" outlineLevel="0" collapsed="false">
      <c r="A81" s="3" t="s">
        <v>107</v>
      </c>
      <c r="B81" s="4" t="s">
        <v>152</v>
      </c>
      <c r="C81" s="17" t="n">
        <f aca="false">IF(C$68=0,0,Produccion!J35/C$68)</f>
        <v>0.468538461538462</v>
      </c>
      <c r="D81" s="17" t="n">
        <f aca="false">IF(D$68=0,0,Produccion!K35/D$68)</f>
        <v>0.0454854910714286</v>
      </c>
      <c r="E81" s="17" t="n">
        <f aca="false">IF(E$68=0,0,Produccion!L35/E$68)</f>
        <v>0.51313066893424</v>
      </c>
      <c r="F81" s="17" t="n">
        <f aca="false">IF(F$68=0,0,Produccion!M35/F$68)</f>
        <v>0.0658363095238095</v>
      </c>
      <c r="G81" s="17" t="n">
        <f aca="false">IF($F$90=0,0,(IF(Pallet!D23=0,0,Produccion!K35/Pallet!D23)+IF(Pallet!E23=0,0,Produccion!L35/Pallet!E23)+IF(Pallet!F23=0,0,Produccion!M35/Pallet!F23))/$F$90)</f>
        <v>0.624452469529478</v>
      </c>
    </row>
    <row r="82" customFormat="false" ht="15" hidden="false" customHeight="false" outlineLevel="0" collapsed="false">
      <c r="A82" s="12" t="s">
        <v>153</v>
      </c>
      <c r="B82" s="4" t="s">
        <v>152</v>
      </c>
      <c r="C82" s="19" t="n">
        <f aca="false">MAX(C70:C81)</f>
        <v>0.468538461538462</v>
      </c>
      <c r="D82" s="19" t="n">
        <f aca="false">MAX(D70:D81)</f>
        <v>0.0454854910714286</v>
      </c>
      <c r="E82" s="19" t="n">
        <f aca="false">MAX(E70:E81)</f>
        <v>0.51313066893424</v>
      </c>
      <c r="F82" s="19" t="n">
        <f aca="false">MAX(F70:F81)</f>
        <v>0.0658363095238095</v>
      </c>
      <c r="G82" s="19" t="n">
        <f aca="false">MAX(G70:G81)</f>
        <v>0.624452469529478</v>
      </c>
    </row>
    <row r="83" customFormat="false" ht="15" hidden="false" customHeight="false" outlineLevel="0" collapsed="false">
      <c r="A83" s="12" t="s">
        <v>154</v>
      </c>
      <c r="B83" s="4"/>
      <c r="C83" s="20" t="str">
        <f aca="false">IF(C82=0,"-",IF(C82&gt;=1,ROUNDUP(C82,0)&amp;" por semana",IF(INT(1/C82)=1,"1 por semana","1 cada "&amp;INT(1/C82)&amp;" semanas")))</f>
        <v>1 cada 2 semanas</v>
      </c>
      <c r="D83" s="20" t="str">
        <f aca="false">IF(D82=0,"-",IF(D82&gt;=1,ROUNDUP(D82,0)&amp;" por semana",IF(INT(1/D82)=1,"1 por semana","1 cada "&amp;INT(1/D82)&amp;" semanas")))</f>
        <v>1 cada 21 semanas</v>
      </c>
      <c r="E83" s="20" t="str">
        <f aca="false">IF(E82=0,"-",IF(E82&gt;=1,ROUNDUP(E82,0)&amp;" por semana",IF(INT(1/E82)=1,"1 por semana","1 cada "&amp;INT(1/E82)&amp;" semanas")))</f>
        <v>1 por semana</v>
      </c>
      <c r="F83" s="20" t="str">
        <f aca="false">IF(F82=0,"-",IF(F82&gt;=1,ROUNDUP(F82,0)&amp;" por semana",IF(INT(1/F82)=1,"1 por semana","1 cada "&amp;INT(1/F82)&amp;" semanas")))</f>
        <v>1 cada 15 semanas</v>
      </c>
      <c r="G83" s="20" t="str">
        <f aca="false">IF(G82=0,"-",IF(G82&gt;=1,ROUNDUP(G82,0)&amp;" por semana",IF(INT(1/G82)=1,"1 por semana","1 cada "&amp;INT(1/G82)&amp;" semanas")))</f>
        <v>1 por semana</v>
      </c>
    </row>
    <row r="84" customFormat="false" ht="15" hidden="false" customHeight="false" outlineLevel="0" collapsed="false">
      <c r="A84" s="3" t="s">
        <v>155</v>
      </c>
      <c r="B84" s="4" t="s">
        <v>156</v>
      </c>
      <c r="C84" s="15" t="n">
        <f aca="false">IF(C82=0,0,IF(C82&gt;=1,C82/ROUNDUP(C82,0),C82*INT(1/C82)))</f>
        <v>0.937076923076923</v>
      </c>
      <c r="D84" s="15" t="n">
        <f aca="false">IF(D82=0,0,IF(D82&gt;=1,D82/ROUNDUP(D82,0),D82*INT(1/D82)))</f>
        <v>0.9551953125</v>
      </c>
      <c r="E84" s="15" t="n">
        <f aca="false">IF(E82=0,0,IF(E82&gt;=1,E82/ROUNDUP(E82,0),E82*INT(1/E82)))</f>
        <v>0.51313066893424</v>
      </c>
      <c r="F84" s="15" t="n">
        <f aca="false">IF(F82=0,0,IF(F82&gt;=1,F82/ROUNDUP(F82,0),F82*INT(1/F82)))</f>
        <v>0.987544642857143</v>
      </c>
      <c r="G84" s="15" t="n">
        <f aca="false">IF(G82=0,0,IF(G82&gt;=1,G82/ROUNDUP(G82,0),G82*INT(1/G82)))</f>
        <v>0.624452469529478</v>
      </c>
    </row>
    <row r="86" customFormat="false" ht="15" hidden="false" customHeight="false" outlineLevel="0" collapsed="false">
      <c r="A86" s="1" t="s">
        <v>157</v>
      </c>
    </row>
    <row r="87" customFormat="false" ht="15" hidden="false" customHeight="false" outlineLevel="0" collapsed="false">
      <c r="A87" s="2"/>
      <c r="B87" s="2" t="s">
        <v>2</v>
      </c>
      <c r="C87" s="2" t="s">
        <v>28</v>
      </c>
      <c r="D87" s="2" t="s">
        <v>29</v>
      </c>
      <c r="E87" s="2" t="s">
        <v>30</v>
      </c>
      <c r="F87" s="2" t="s">
        <v>108</v>
      </c>
    </row>
    <row r="88" customFormat="false" ht="15" hidden="false" customHeight="false" outlineLevel="0" collapsed="false">
      <c r="A88" s="3" t="s">
        <v>158</v>
      </c>
      <c r="B88" s="4" t="s">
        <v>159</v>
      </c>
      <c r="C88" s="17" t="n">
        <f aca="false">IF(Pallet!D23=0,0,Produccion!K36/Pallet!D23)</f>
        <v>0.636796875</v>
      </c>
      <c r="D88" s="17" t="n">
        <f aca="false">IF(Pallet!E23=0,0,Produccion!L36/Pallet!E23)</f>
        <v>7.18382936507937</v>
      </c>
      <c r="E88" s="17" t="n">
        <f aca="false">IF(Pallet!F23=0,0,Produccion!M36/Pallet!F23)</f>
        <v>0.921708333333333</v>
      </c>
      <c r="F88" s="17" t="n">
        <f aca="false">SUM(C88:E88)</f>
        <v>8.7423345734127</v>
      </c>
    </row>
    <row r="89" customFormat="false" ht="15" hidden="false" customHeight="false" outlineLevel="0" collapsed="false">
      <c r="A89" s="3" t="s">
        <v>160</v>
      </c>
      <c r="B89" s="4" t="s">
        <v>156</v>
      </c>
      <c r="C89" s="15" t="n">
        <f aca="false">IF($F88=0,0,C88/$F88)</f>
        <v>0.0728405976289943</v>
      </c>
      <c r="D89" s="15" t="n">
        <f aca="false">IF($F88=0,0,D88/$F88)</f>
        <v>0.821728944912143</v>
      </c>
      <c r="E89" s="15" t="n">
        <f aca="false">IF($F88=0,0,E88/$F88)</f>
        <v>0.105430457458863</v>
      </c>
      <c r="F89" s="15" t="n">
        <f aca="false">SUM(C89:E89)</f>
        <v>1</v>
      </c>
    </row>
    <row r="90" customFormat="false" ht="15" hidden="false" customHeight="false" outlineLevel="0" collapsed="false">
      <c r="A90" s="12" t="s">
        <v>161</v>
      </c>
      <c r="B90" s="4" t="s">
        <v>159</v>
      </c>
      <c r="C90" s="13" t="n">
        <f aca="false">ROUND(SUM($C89:C89)*$F90,0)</f>
        <v>1</v>
      </c>
      <c r="D90" s="13" t="n">
        <f aca="false">ROUND(SUM($C89:D89)*$F90,0)-ROUND(SUM($C89:C89)*$F90,0)</f>
        <v>12</v>
      </c>
      <c r="E90" s="13" t="n">
        <f aca="false">ROUND(SUM($C89:E89)*$F90,0)-ROUND(SUM($C89:D89)*$F90,0)</f>
        <v>1</v>
      </c>
      <c r="F90" s="13" t="n">
        <f aca="false">IF(F88=0,0,MIN(Camion!$C$5,INT(Datos!$C$42/(C89*Pallet!D24+D89*Pallet!E24+E89*Pallet!F24))))</f>
        <v>14</v>
      </c>
    </row>
    <row r="91" customFormat="false" ht="15" hidden="false" customHeight="false" outlineLevel="0" collapsed="false">
      <c r="A91" s="3" t="s">
        <v>162</v>
      </c>
      <c r="B91" s="4" t="s">
        <v>32</v>
      </c>
      <c r="C91" s="16" t="n">
        <f aca="false">C90*Pallet!D23</f>
        <v>288</v>
      </c>
      <c r="D91" s="16" t="n">
        <f aca="false">D90*Pallet!E23</f>
        <v>1512</v>
      </c>
      <c r="E91" s="16" t="n">
        <f aca="false">E90*Pallet!F23</f>
        <v>60</v>
      </c>
      <c r="F91" s="16" t="n">
        <f aca="false">SUM(C91:E91)</f>
        <v>1860</v>
      </c>
    </row>
    <row r="92" customFormat="false" ht="15" hidden="false" customHeight="false" outlineLevel="0" collapsed="false">
      <c r="A92" s="3" t="s">
        <v>163</v>
      </c>
      <c r="B92" s="4" t="s">
        <v>18</v>
      </c>
      <c r="C92" s="16" t="n">
        <f aca="false">C90*Pallet!D24</f>
        <v>464.24</v>
      </c>
      <c r="D92" s="16" t="n">
        <f aca="false">D90*Pallet!E24</f>
        <v>4652.16</v>
      </c>
      <c r="E92" s="16" t="n">
        <f aca="false">E90*Pallet!F24</f>
        <v>365.6</v>
      </c>
      <c r="F92" s="16" t="n">
        <f aca="false">SUM(C92:E92)</f>
        <v>5482</v>
      </c>
    </row>
    <row r="95" customFormat="false" ht="15" hidden="false" customHeight="false" outlineLevel="0" collapsed="false">
      <c r="A95" s="1" t="s">
        <v>177</v>
      </c>
    </row>
    <row r="96" customFormat="false" ht="15" hidden="false" customHeight="false" outlineLevel="0" collapsed="false">
      <c r="A96" s="2"/>
      <c r="B96" s="2" t="s">
        <v>2</v>
      </c>
      <c r="C96" s="2" t="s">
        <v>165</v>
      </c>
      <c r="D96" s="2" t="s">
        <v>166</v>
      </c>
      <c r="E96" s="2" t="s">
        <v>167</v>
      </c>
      <c r="F96" s="2" t="s">
        <v>168</v>
      </c>
      <c r="G96" s="2" t="s">
        <v>169</v>
      </c>
    </row>
    <row r="97" customFormat="false" ht="15" hidden="false" customHeight="false" outlineLevel="0" collapsed="false">
      <c r="A97" s="3" t="s">
        <v>148</v>
      </c>
      <c r="B97" s="4" t="s">
        <v>32</v>
      </c>
      <c r="C97" s="16" t="n">
        <f aca="false">Pallet!G23</f>
        <v>24</v>
      </c>
      <c r="D97" s="16" t="n">
        <f aca="false">Pallet!H23</f>
        <v>9</v>
      </c>
      <c r="E97" s="16" t="n">
        <f aca="false">Pallet!I23</f>
        <v>6</v>
      </c>
      <c r="F97" s="16" t="n">
        <f aca="false">Pallet!J23</f>
        <v>6</v>
      </c>
      <c r="G97" s="18" t="s">
        <v>149</v>
      </c>
    </row>
    <row r="98" customFormat="false" ht="15" hidden="false" customHeight="false" outlineLevel="0" collapsed="false">
      <c r="A98" s="3" t="s">
        <v>124</v>
      </c>
      <c r="B98" s="4" t="s">
        <v>18</v>
      </c>
      <c r="C98" s="16" t="n">
        <f aca="false">Pallet!G24</f>
        <v>418.88</v>
      </c>
      <c r="D98" s="16" t="n">
        <f aca="false">Pallet!H24</f>
        <v>245.9</v>
      </c>
      <c r="E98" s="16" t="n">
        <f aca="false">Pallet!I24</f>
        <v>317.37057704</v>
      </c>
      <c r="F98" s="16" t="n">
        <f aca="false">Pallet!J24</f>
        <v>377.27790434</v>
      </c>
      <c r="G98" s="18" t="s">
        <v>149</v>
      </c>
    </row>
    <row r="99" customFormat="false" ht="15" hidden="false" customHeight="false" outlineLevel="0" collapsed="false">
      <c r="A99" s="12" t="s">
        <v>134</v>
      </c>
      <c r="B99" s="4" t="s">
        <v>32</v>
      </c>
      <c r="C99" s="13" t="n">
        <f aca="false">IF(C98=0,0,MIN(Camion!$C$5,INT(Datos!$C$42/C98)))</f>
        <v>14</v>
      </c>
      <c r="D99" s="13" t="n">
        <f aca="false">IF(D98=0,0,MIN(Camion!$C$5,INT(Datos!$C$42/D98)))</f>
        <v>14</v>
      </c>
      <c r="E99" s="13" t="n">
        <f aca="false">IF(E98=0,0,MIN(Camion!$C$5,INT(Datos!$C$42/E98)))</f>
        <v>14</v>
      </c>
      <c r="F99" s="13" t="n">
        <f aca="false">IF(F98=0,0,MIN(Camion!$C$5,INT(Datos!$C$42/F98)))</f>
        <v>14</v>
      </c>
      <c r="G99" s="13" t="n">
        <f aca="false">$G$122</f>
        <v>14</v>
      </c>
    </row>
    <row r="100" customFormat="false" ht="15" hidden="false" customHeight="false" outlineLevel="0" collapsed="false">
      <c r="A100" s="12" t="s">
        <v>150</v>
      </c>
      <c r="B100" s="4" t="s">
        <v>32</v>
      </c>
      <c r="C100" s="13" t="n">
        <f aca="false">C99*C97</f>
        <v>336</v>
      </c>
      <c r="D100" s="13" t="n">
        <f aca="false">D99*D97</f>
        <v>126</v>
      </c>
      <c r="E100" s="13" t="n">
        <f aca="false">E99*E97</f>
        <v>84</v>
      </c>
      <c r="F100" s="13" t="n">
        <f aca="false">F99*F97</f>
        <v>84</v>
      </c>
      <c r="G100" s="13" t="n">
        <f aca="false">$G$123</f>
        <v>129</v>
      </c>
    </row>
    <row r="101" customFormat="false" ht="15" hidden="false" customHeight="false" outlineLevel="0" collapsed="false">
      <c r="A101" s="12" t="s">
        <v>151</v>
      </c>
    </row>
    <row r="102" customFormat="false" ht="15" hidden="false" customHeight="false" outlineLevel="0" collapsed="false">
      <c r="A102" s="3" t="s">
        <v>96</v>
      </c>
      <c r="B102" s="4" t="s">
        <v>152</v>
      </c>
      <c r="C102" s="17" t="n">
        <f aca="false">IF(C$100=0,0,Produccion!N24/C$100)</f>
        <v>0.0203645833333333</v>
      </c>
      <c r="D102" s="17" t="n">
        <f aca="false">IF(D$100=0,0,Produccion!O24/D$100)</f>
        <v>0.119404761904762</v>
      </c>
      <c r="E102" s="17" t="n">
        <f aca="false">IF(E$100=0,0,Produccion!P24/E$100)</f>
        <v>0.0392113095238095</v>
      </c>
      <c r="F102" s="17" t="n">
        <f aca="false">IF(F$100=0,0,Produccion!Q24/F$100)</f>
        <v>0.0258035714285714</v>
      </c>
      <c r="G102" s="17" t="n">
        <f aca="false">IF($G$122=0,0,(IF(Pallet!G23=0,0,Produccion!N24/Pallet!G23)+IF(Pallet!H23=0,0,Produccion!O24/Pallet!H23)+IF(Pallet!I23=0,0,Produccion!P24/Pallet!I23)+IF(Pallet!J23=0,0,Produccion!Q24/Pallet!J23))/$G$122)</f>
        <v>0.204784226190476</v>
      </c>
    </row>
    <row r="103" customFormat="false" ht="15" hidden="false" customHeight="false" outlineLevel="0" collapsed="false">
      <c r="A103" s="3" t="s">
        <v>97</v>
      </c>
      <c r="B103" s="4" t="s">
        <v>152</v>
      </c>
      <c r="C103" s="17" t="n">
        <f aca="false">IF(C$100=0,0,Produccion!N25/C$100)</f>
        <v>0.01796875</v>
      </c>
      <c r="D103" s="17" t="n">
        <f aca="false">IF(D$100=0,0,Produccion!O25/D$100)</f>
        <v>0.105357142857143</v>
      </c>
      <c r="E103" s="17" t="n">
        <f aca="false">IF(E$100=0,0,Produccion!P25/E$100)</f>
        <v>0.0345982142857143</v>
      </c>
      <c r="F103" s="17" t="n">
        <f aca="false">IF(F$100=0,0,Produccion!Q25/F$100)</f>
        <v>0.0227678571428571</v>
      </c>
      <c r="G103" s="17" t="n">
        <f aca="false">IF($G$122=0,0,(IF(Pallet!G23=0,0,Produccion!N25/Pallet!G23)+IF(Pallet!H23=0,0,Produccion!O25/Pallet!H23)+IF(Pallet!I23=0,0,Produccion!P25/Pallet!I23)+IF(Pallet!J23=0,0,Produccion!Q25/Pallet!J23))/$G$122)</f>
        <v>0.180691964285714</v>
      </c>
    </row>
    <row r="104" customFormat="false" ht="15" hidden="false" customHeight="false" outlineLevel="0" collapsed="false">
      <c r="A104" s="3" t="s">
        <v>98</v>
      </c>
      <c r="B104" s="4" t="s">
        <v>152</v>
      </c>
      <c r="C104" s="17" t="n">
        <f aca="false">IF(C$100=0,0,Produccion!N26/C$100)</f>
        <v>0.0215625</v>
      </c>
      <c r="D104" s="17" t="n">
        <f aca="false">IF(D$100=0,0,Produccion!O26/D$100)</f>
        <v>0.126428571428571</v>
      </c>
      <c r="E104" s="17" t="n">
        <f aca="false">IF(E$100=0,0,Produccion!P26/E$100)</f>
        <v>0.0415178571428571</v>
      </c>
      <c r="F104" s="17" t="n">
        <f aca="false">IF(F$100=0,0,Produccion!Q26/F$100)</f>
        <v>0.0273214285714286</v>
      </c>
      <c r="G104" s="17" t="n">
        <f aca="false">IF($G$122=0,0,(IF(Pallet!G23=0,0,Produccion!N26/Pallet!G23)+IF(Pallet!H23=0,0,Produccion!O26/Pallet!H23)+IF(Pallet!I23=0,0,Produccion!P26/Pallet!I23)+IF(Pallet!J23=0,0,Produccion!Q26/Pallet!J23))/$G$122)</f>
        <v>0.216830357142857</v>
      </c>
    </row>
    <row r="105" customFormat="false" ht="15" hidden="false" customHeight="false" outlineLevel="0" collapsed="false">
      <c r="A105" s="3" t="s">
        <v>99</v>
      </c>
      <c r="B105" s="4" t="s">
        <v>152</v>
      </c>
      <c r="C105" s="17" t="n">
        <f aca="false">IF(C$100=0,0,Produccion!N27/C$100)</f>
        <v>0.0215625</v>
      </c>
      <c r="D105" s="17" t="n">
        <f aca="false">IF(D$100=0,0,Produccion!O27/D$100)</f>
        <v>0.126428571428571</v>
      </c>
      <c r="E105" s="17" t="n">
        <f aca="false">IF(E$100=0,0,Produccion!P27/E$100)</f>
        <v>0.0415178571428571</v>
      </c>
      <c r="F105" s="17" t="n">
        <f aca="false">IF(F$100=0,0,Produccion!Q27/F$100)</f>
        <v>0.0273214285714286</v>
      </c>
      <c r="G105" s="17" t="n">
        <f aca="false">IF($G$122=0,0,(IF(Pallet!G23=0,0,Produccion!N27/Pallet!G23)+IF(Pallet!H23=0,0,Produccion!O27/Pallet!H23)+IF(Pallet!I23=0,0,Produccion!P27/Pallet!I23)+IF(Pallet!J23=0,0,Produccion!Q27/Pallet!J23))/$G$122)</f>
        <v>0.216830357142857</v>
      </c>
    </row>
    <row r="106" customFormat="false" ht="15" hidden="false" customHeight="false" outlineLevel="0" collapsed="false">
      <c r="A106" s="3" t="s">
        <v>100</v>
      </c>
      <c r="B106" s="4" t="s">
        <v>152</v>
      </c>
      <c r="C106" s="17" t="n">
        <f aca="false">IF(C$100=0,0,Produccion!N28/C$100)</f>
        <v>0.0215625</v>
      </c>
      <c r="D106" s="17" t="n">
        <f aca="false">IF(D$100=0,0,Produccion!O28/D$100)</f>
        <v>0.126428571428571</v>
      </c>
      <c r="E106" s="17" t="n">
        <f aca="false">IF(E$100=0,0,Produccion!P28/E$100)</f>
        <v>0.0415178571428571</v>
      </c>
      <c r="F106" s="17" t="n">
        <f aca="false">IF(F$100=0,0,Produccion!Q28/F$100)</f>
        <v>0.0273214285714286</v>
      </c>
      <c r="G106" s="17" t="n">
        <f aca="false">IF($G$122=0,0,(IF(Pallet!G23=0,0,Produccion!N28/Pallet!G23)+IF(Pallet!H23=0,0,Produccion!O28/Pallet!H23)+IF(Pallet!I23=0,0,Produccion!P28/Pallet!I23)+IF(Pallet!J23=0,0,Produccion!Q28/Pallet!J23))/$G$122)</f>
        <v>0.216830357142857</v>
      </c>
    </row>
    <row r="107" customFormat="false" ht="15" hidden="false" customHeight="false" outlineLevel="0" collapsed="false">
      <c r="A107" s="3" t="s">
        <v>101</v>
      </c>
      <c r="B107" s="4" t="s">
        <v>152</v>
      </c>
      <c r="C107" s="17" t="n">
        <f aca="false">IF(C$100=0,0,Produccion!N29/C$100)</f>
        <v>0.0191666666666667</v>
      </c>
      <c r="D107" s="17" t="n">
        <f aca="false">IF(D$100=0,0,Produccion!O29/D$100)</f>
        <v>0.112380952380952</v>
      </c>
      <c r="E107" s="17" t="n">
        <f aca="false">IF(E$100=0,0,Produccion!P29/E$100)</f>
        <v>0.0369047619047619</v>
      </c>
      <c r="F107" s="17" t="n">
        <f aca="false">IF(F$100=0,0,Produccion!Q29/F$100)</f>
        <v>0.0242857142857143</v>
      </c>
      <c r="G107" s="17" t="n">
        <f aca="false">IF($G$122=0,0,(IF(Pallet!G23=0,0,Produccion!N29/Pallet!G23)+IF(Pallet!H23=0,0,Produccion!O29/Pallet!H23)+IF(Pallet!I23=0,0,Produccion!P29/Pallet!I23)+IF(Pallet!J23=0,0,Produccion!Q29/Pallet!J23))/$G$122)</f>
        <v>0.192738095238095</v>
      </c>
    </row>
    <row r="108" customFormat="false" ht="15" hidden="false" customHeight="false" outlineLevel="0" collapsed="false">
      <c r="A108" s="3" t="s">
        <v>102</v>
      </c>
      <c r="B108" s="4" t="s">
        <v>152</v>
      </c>
      <c r="C108" s="17" t="n">
        <f aca="false">IF(C$100=0,0,Produccion!N30/C$100)</f>
        <v>0.0215625</v>
      </c>
      <c r="D108" s="17" t="n">
        <f aca="false">IF(D$100=0,0,Produccion!O30/D$100)</f>
        <v>0.126428571428571</v>
      </c>
      <c r="E108" s="17" t="n">
        <f aca="false">IF(E$100=0,0,Produccion!P30/E$100)</f>
        <v>0.0415178571428571</v>
      </c>
      <c r="F108" s="17" t="n">
        <f aca="false">IF(F$100=0,0,Produccion!Q30/F$100)</f>
        <v>0.0273214285714286</v>
      </c>
      <c r="G108" s="17" t="n">
        <f aca="false">IF($G$122=0,0,(IF(Pallet!G23=0,0,Produccion!N30/Pallet!G23)+IF(Pallet!H23=0,0,Produccion!O30/Pallet!H23)+IF(Pallet!I23=0,0,Produccion!P30/Pallet!I23)+IF(Pallet!J23=0,0,Produccion!Q30/Pallet!J23))/$G$122)</f>
        <v>0.216830357142857</v>
      </c>
    </row>
    <row r="109" customFormat="false" ht="15" hidden="false" customHeight="false" outlineLevel="0" collapsed="false">
      <c r="A109" s="3" t="s">
        <v>103</v>
      </c>
      <c r="B109" s="4" t="s">
        <v>152</v>
      </c>
      <c r="C109" s="17" t="n">
        <f aca="false">IF(C$100=0,0,Produccion!N31/C$100)</f>
        <v>0.0215625</v>
      </c>
      <c r="D109" s="17" t="n">
        <f aca="false">IF(D$100=0,0,Produccion!O31/D$100)</f>
        <v>0.126428571428571</v>
      </c>
      <c r="E109" s="17" t="n">
        <f aca="false">IF(E$100=0,0,Produccion!P31/E$100)</f>
        <v>0.0415178571428571</v>
      </c>
      <c r="F109" s="17" t="n">
        <f aca="false">IF(F$100=0,0,Produccion!Q31/F$100)</f>
        <v>0.0273214285714286</v>
      </c>
      <c r="G109" s="17" t="n">
        <f aca="false">IF($G$122=0,0,(IF(Pallet!G23=0,0,Produccion!N31/Pallet!G23)+IF(Pallet!H23=0,0,Produccion!O31/Pallet!H23)+IF(Pallet!I23=0,0,Produccion!P31/Pallet!I23)+IF(Pallet!J23=0,0,Produccion!Q31/Pallet!J23))/$G$122)</f>
        <v>0.216830357142857</v>
      </c>
    </row>
    <row r="110" customFormat="false" ht="15" hidden="false" customHeight="false" outlineLevel="0" collapsed="false">
      <c r="A110" s="3" t="s">
        <v>104</v>
      </c>
      <c r="B110" s="4" t="s">
        <v>152</v>
      </c>
      <c r="C110" s="17" t="n">
        <f aca="false">IF(C$100=0,0,Produccion!N32/C$100)</f>
        <v>0.0203645833333333</v>
      </c>
      <c r="D110" s="17" t="n">
        <f aca="false">IF(D$100=0,0,Produccion!O32/D$100)</f>
        <v>0.119404761904762</v>
      </c>
      <c r="E110" s="17" t="n">
        <f aca="false">IF(E$100=0,0,Produccion!P32/E$100)</f>
        <v>0.0392113095238095</v>
      </c>
      <c r="F110" s="17" t="n">
        <f aca="false">IF(F$100=0,0,Produccion!Q32/F$100)</f>
        <v>0.0258035714285714</v>
      </c>
      <c r="G110" s="17" t="n">
        <f aca="false">IF($G$122=0,0,(IF(Pallet!G23=0,0,Produccion!N32/Pallet!G23)+IF(Pallet!H23=0,0,Produccion!O32/Pallet!H23)+IF(Pallet!I23=0,0,Produccion!P32/Pallet!I23)+IF(Pallet!J23=0,0,Produccion!Q32/Pallet!J23))/$G$122)</f>
        <v>0.204784226190476</v>
      </c>
    </row>
    <row r="111" customFormat="false" ht="15" hidden="false" customHeight="false" outlineLevel="0" collapsed="false">
      <c r="A111" s="3" t="s">
        <v>105</v>
      </c>
      <c r="B111" s="4" t="s">
        <v>152</v>
      </c>
      <c r="C111" s="17" t="n">
        <f aca="false">IF(C$100=0,0,Produccion!N33/C$100)</f>
        <v>0.01796875</v>
      </c>
      <c r="D111" s="17" t="n">
        <f aca="false">IF(D$100=0,0,Produccion!O33/D$100)</f>
        <v>0.105357142857143</v>
      </c>
      <c r="E111" s="17" t="n">
        <f aca="false">IF(E$100=0,0,Produccion!P33/E$100)</f>
        <v>0.0345982142857143</v>
      </c>
      <c r="F111" s="17" t="n">
        <f aca="false">IF(F$100=0,0,Produccion!Q33/F$100)</f>
        <v>0.0227678571428571</v>
      </c>
      <c r="G111" s="17" t="n">
        <f aca="false">IF($G$122=0,0,(IF(Pallet!G23=0,0,Produccion!N33/Pallet!G23)+IF(Pallet!H23=0,0,Produccion!O33/Pallet!H23)+IF(Pallet!I23=0,0,Produccion!P33/Pallet!I23)+IF(Pallet!J23=0,0,Produccion!Q33/Pallet!J23))/$G$122)</f>
        <v>0.180691964285714</v>
      </c>
    </row>
    <row r="112" customFormat="false" ht="15" hidden="false" customHeight="false" outlineLevel="0" collapsed="false">
      <c r="A112" s="3" t="s">
        <v>106</v>
      </c>
      <c r="B112" s="4" t="s">
        <v>152</v>
      </c>
      <c r="C112" s="17" t="n">
        <f aca="false">IF(C$100=0,0,Produccion!N34/C$100)</f>
        <v>0.0167708333333333</v>
      </c>
      <c r="D112" s="17" t="n">
        <f aca="false">IF(D$100=0,0,Produccion!O34/D$100)</f>
        <v>0.0983333333333333</v>
      </c>
      <c r="E112" s="17" t="n">
        <f aca="false">IF(E$100=0,0,Produccion!P34/E$100)</f>
        <v>0.0322916666666667</v>
      </c>
      <c r="F112" s="17" t="n">
        <f aca="false">IF(F$100=0,0,Produccion!Q34/F$100)</f>
        <v>0.02125</v>
      </c>
      <c r="G112" s="17" t="n">
        <f aca="false">IF($G$122=0,0,(IF(Pallet!G23=0,0,Produccion!N34/Pallet!G23)+IF(Pallet!H23=0,0,Produccion!O34/Pallet!H23)+IF(Pallet!I23=0,0,Produccion!P34/Pallet!I23)+IF(Pallet!J23=0,0,Produccion!Q34/Pallet!J23))/$G$122)</f>
        <v>0.168645833333333</v>
      </c>
    </row>
    <row r="113" customFormat="false" ht="15" hidden="false" customHeight="false" outlineLevel="0" collapsed="false">
      <c r="A113" s="3" t="s">
        <v>107</v>
      </c>
      <c r="B113" s="4" t="s">
        <v>152</v>
      </c>
      <c r="C113" s="17" t="n">
        <f aca="false">IF(C$100=0,0,Produccion!N35/C$100)</f>
        <v>0.0191666666666667</v>
      </c>
      <c r="D113" s="17" t="n">
        <f aca="false">IF(D$100=0,0,Produccion!O35/D$100)</f>
        <v>0.112380952380952</v>
      </c>
      <c r="E113" s="17" t="n">
        <f aca="false">IF(E$100=0,0,Produccion!P35/E$100)</f>
        <v>0.0369047619047619</v>
      </c>
      <c r="F113" s="17" t="n">
        <f aca="false">IF(F$100=0,0,Produccion!Q35/F$100)</f>
        <v>0.0242857142857143</v>
      </c>
      <c r="G113" s="17" t="n">
        <f aca="false">IF($G$122=0,0,(IF(Pallet!G23=0,0,Produccion!N35/Pallet!G23)+IF(Pallet!H23=0,0,Produccion!O35/Pallet!H23)+IF(Pallet!I23=0,0,Produccion!P35/Pallet!I23)+IF(Pallet!J23=0,0,Produccion!Q35/Pallet!J23))/$G$122)</f>
        <v>0.192738095238095</v>
      </c>
    </row>
    <row r="114" customFormat="false" ht="15" hidden="false" customHeight="false" outlineLevel="0" collapsed="false">
      <c r="A114" s="12" t="s">
        <v>153</v>
      </c>
      <c r="B114" s="4" t="s">
        <v>152</v>
      </c>
      <c r="C114" s="19" t="n">
        <f aca="false">MAX(C102:C113)</f>
        <v>0.0215625</v>
      </c>
      <c r="D114" s="19" t="n">
        <f aca="false">MAX(D102:D113)</f>
        <v>0.126428571428571</v>
      </c>
      <c r="E114" s="19" t="n">
        <f aca="false">MAX(E102:E113)</f>
        <v>0.0415178571428571</v>
      </c>
      <c r="F114" s="19" t="n">
        <f aca="false">MAX(F102:F113)</f>
        <v>0.0273214285714286</v>
      </c>
      <c r="G114" s="19" t="n">
        <f aca="false">MAX(G102:G113)</f>
        <v>0.216830357142857</v>
      </c>
    </row>
    <row r="115" customFormat="false" ht="15" hidden="false" customHeight="false" outlineLevel="0" collapsed="false">
      <c r="A115" s="12" t="s">
        <v>154</v>
      </c>
      <c r="B115" s="4"/>
      <c r="C115" s="20" t="str">
        <f aca="false">IF(C114=0,"-",IF(C114&gt;=1,ROUNDUP(C114,0)&amp;" por semana",IF(INT(1/C114)=1,"1 por semana","1 cada "&amp;INT(1/C114)&amp;" semanas")))</f>
        <v>1 cada 46 semanas</v>
      </c>
      <c r="D115" s="20" t="str">
        <f aca="false">IF(D114=0,"-",IF(D114&gt;=1,ROUNDUP(D114,0)&amp;" por semana",IF(INT(1/D114)=1,"1 por semana","1 cada "&amp;INT(1/D114)&amp;" semanas")))</f>
        <v>1 cada 7 semanas</v>
      </c>
      <c r="E115" s="20" t="str">
        <f aca="false">IF(E114=0,"-",IF(E114&gt;=1,ROUNDUP(E114,0)&amp;" por semana",IF(INT(1/E114)=1,"1 por semana","1 cada "&amp;INT(1/E114)&amp;" semanas")))</f>
        <v>1 cada 24 semanas</v>
      </c>
      <c r="F115" s="20" t="str">
        <f aca="false">IF(F114=0,"-",IF(F114&gt;=1,ROUNDUP(F114,0)&amp;" por semana",IF(INT(1/F114)=1,"1 por semana","1 cada "&amp;INT(1/F114)&amp;" semanas")))</f>
        <v>1 cada 36 semanas</v>
      </c>
      <c r="G115" s="20" t="str">
        <f aca="false">IF(G114=0,"-",IF(G114&gt;=1,ROUNDUP(G114,0)&amp;" por semana",IF(INT(1/G114)=1,"1 por semana","1 cada "&amp;INT(1/G114)&amp;" semanas")))</f>
        <v>1 cada 4 semanas</v>
      </c>
    </row>
    <row r="116" customFormat="false" ht="15" hidden="false" customHeight="false" outlineLevel="0" collapsed="false">
      <c r="A116" s="3" t="s">
        <v>155</v>
      </c>
      <c r="B116" s="4" t="s">
        <v>156</v>
      </c>
      <c r="C116" s="15" t="n">
        <f aca="false">IF(C114=0,0,IF(C114&gt;=1,C114/ROUNDUP(C114,0),C114*INT(1/C114)))</f>
        <v>0.991875</v>
      </c>
      <c r="D116" s="15" t="n">
        <f aca="false">IF(D114=0,0,IF(D114&gt;=1,D114/ROUNDUP(D114,0),D114*INT(1/D114)))</f>
        <v>0.885</v>
      </c>
      <c r="E116" s="15" t="n">
        <f aca="false">IF(E114=0,0,IF(E114&gt;=1,E114/ROUNDUP(E114,0),E114*INT(1/E114)))</f>
        <v>0.996428571428571</v>
      </c>
      <c r="F116" s="15" t="n">
        <f aca="false">IF(F114=0,0,IF(F114&gt;=1,F114/ROUNDUP(F114,0),F114*INT(1/F114)))</f>
        <v>0.983571428571429</v>
      </c>
      <c r="G116" s="15" t="n">
        <f aca="false">IF(G114=0,0,IF(G114&gt;=1,G114/ROUNDUP(G114,0),G114*INT(1/G114)))</f>
        <v>0.867321428571429</v>
      </c>
    </row>
    <row r="118" customFormat="false" ht="15" hidden="false" customHeight="false" outlineLevel="0" collapsed="false">
      <c r="A118" s="1" t="s">
        <v>157</v>
      </c>
    </row>
    <row r="119" customFormat="false" ht="15" hidden="false" customHeight="false" outlineLevel="0" collapsed="false">
      <c r="A119" s="2"/>
      <c r="B119" s="2" t="s">
        <v>2</v>
      </c>
      <c r="C119" s="2" t="s">
        <v>42</v>
      </c>
      <c r="D119" s="2" t="s">
        <v>43</v>
      </c>
      <c r="E119" s="2" t="s">
        <v>44</v>
      </c>
      <c r="F119" s="2" t="s">
        <v>45</v>
      </c>
      <c r="G119" s="2" t="s">
        <v>108</v>
      </c>
    </row>
    <row r="120" customFormat="false" ht="15" hidden="false" customHeight="false" outlineLevel="0" collapsed="false">
      <c r="A120" s="3" t="s">
        <v>158</v>
      </c>
      <c r="B120" s="4" t="s">
        <v>159</v>
      </c>
      <c r="C120" s="17" t="n">
        <f aca="false">IF(Pallet!G23=0,0,Produccion!N36/Pallet!G23)</f>
        <v>0.301875</v>
      </c>
      <c r="D120" s="17" t="n">
        <f aca="false">IF(Pallet!H23=0,0,Produccion!O36/Pallet!H23)</f>
        <v>1.77</v>
      </c>
      <c r="E120" s="17" t="n">
        <f aca="false">IF(Pallet!I23=0,0,Produccion!P36/Pallet!I23)</f>
        <v>0.58125</v>
      </c>
      <c r="F120" s="17" t="n">
        <f aca="false">IF(Pallet!J23=0,0,Produccion!Q36/Pallet!J23)</f>
        <v>0.3825</v>
      </c>
      <c r="G120" s="17" t="n">
        <f aca="false">SUM(C120:F120)</f>
        <v>3.035625</v>
      </c>
    </row>
    <row r="121" customFormat="false" ht="15" hidden="false" customHeight="false" outlineLevel="0" collapsed="false">
      <c r="A121" s="3" t="s">
        <v>160</v>
      </c>
      <c r="B121" s="4" t="s">
        <v>156</v>
      </c>
      <c r="C121" s="15" t="n">
        <f aca="false">IF($G120=0,0,C120/$G120)</f>
        <v>0.099444101297097</v>
      </c>
      <c r="D121" s="15" t="n">
        <f aca="false">IF($G120=0,0,D120/$G120)</f>
        <v>0.58307597282273</v>
      </c>
      <c r="E121" s="15" t="n">
        <f aca="false">IF($G120=0,0,E120/$G120)</f>
        <v>0.19147621988882</v>
      </c>
      <c r="F121" s="15" t="n">
        <f aca="false">IF($G120=0,0,F120/$G120)</f>
        <v>0.126003705991353</v>
      </c>
      <c r="G121" s="15" t="n">
        <f aca="false">SUM(C121:F121)</f>
        <v>1</v>
      </c>
    </row>
    <row r="122" customFormat="false" ht="15" hidden="false" customHeight="false" outlineLevel="0" collapsed="false">
      <c r="A122" s="12" t="s">
        <v>161</v>
      </c>
      <c r="B122" s="4" t="s">
        <v>159</v>
      </c>
      <c r="C122" s="13" t="n">
        <f aca="false">ROUND(SUM($C121:C121)*$G122,0)</f>
        <v>1</v>
      </c>
      <c r="D122" s="13" t="n">
        <f aca="false">ROUND(SUM($C121:D121)*$G122,0)-ROUND(SUM($C121:C121)*$G122,0)</f>
        <v>9</v>
      </c>
      <c r="E122" s="13" t="n">
        <f aca="false">ROUND(SUM($C121:E121)*$G122,0)-ROUND(SUM($C121:D121)*$G122,0)</f>
        <v>2</v>
      </c>
      <c r="F122" s="13" t="n">
        <f aca="false">ROUND(SUM($C121:F121)*$G122,0)-ROUND(SUM($C121:E121)*$G122,0)</f>
        <v>2</v>
      </c>
      <c r="G122" s="13" t="n">
        <f aca="false">IF(G120=0,0,MIN(Camion!$C$5,INT(Datos!$C$42/(C121*Pallet!G24+D121*Pallet!H24+E121*Pallet!I24+F121*Pallet!J24))))</f>
        <v>14</v>
      </c>
    </row>
    <row r="123" customFormat="false" ht="15" hidden="false" customHeight="false" outlineLevel="0" collapsed="false">
      <c r="A123" s="3" t="s">
        <v>162</v>
      </c>
      <c r="B123" s="4" t="s">
        <v>32</v>
      </c>
      <c r="C123" s="16" t="n">
        <f aca="false">C122*Pallet!G23</f>
        <v>24</v>
      </c>
      <c r="D123" s="16" t="n">
        <f aca="false">D122*Pallet!H23</f>
        <v>81</v>
      </c>
      <c r="E123" s="16" t="n">
        <f aca="false">E122*Pallet!I23</f>
        <v>12</v>
      </c>
      <c r="F123" s="16" t="n">
        <f aca="false">F122*Pallet!J23</f>
        <v>12</v>
      </c>
      <c r="G123" s="16" t="n">
        <f aca="false">SUM(C123:F123)</f>
        <v>129</v>
      </c>
    </row>
    <row r="124" customFormat="false" ht="15" hidden="false" customHeight="false" outlineLevel="0" collapsed="false">
      <c r="A124" s="3" t="s">
        <v>163</v>
      </c>
      <c r="B124" s="4" t="s">
        <v>18</v>
      </c>
      <c r="C124" s="16" t="n">
        <f aca="false">C122*Pallet!G24</f>
        <v>418.88</v>
      </c>
      <c r="D124" s="16" t="n">
        <f aca="false">D122*Pallet!H24</f>
        <v>2213.1</v>
      </c>
      <c r="E124" s="16" t="n">
        <f aca="false">E122*Pallet!I24</f>
        <v>634.74115408</v>
      </c>
      <c r="F124" s="16" t="n">
        <f aca="false">F122*Pallet!J24</f>
        <v>754.55580868</v>
      </c>
      <c r="G124" s="16" t="n">
        <f aca="false">SUM(C124:F124)</f>
        <v>4021.27696276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2026-10-16T20:48:15Z</dcterms:created>
  <dc:creator>openpyxl</dc:creator>
  <dc:description/>
  <dc:language>en-US</dc:language>
  <cp:lastModifiedBy/>
  <dcterms:modified xsi:type="dcterms:W3CDTF">2026-10-16T20:48:15Z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