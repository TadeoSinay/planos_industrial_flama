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3.png" ContentType="image/png"/>
  <Override PartName="/xl/media/image4.png" ContentType="image/png"/>
  <Override PartName="/xl/media/image9.png" ContentType="image/png"/>
  <Override PartName="/xl/media/image14.png" ContentType="image/png"/>
  <Override PartName="/xl/media/image5.png" ContentType="image/png"/>
  <Override PartName="/xl/media/image15.png" ContentType="image/png"/>
  <Override PartName="/xl/media/image6.png" ContentType="image/png"/>
  <Override PartName="/xl/media/image10.png" ContentType="image/png"/>
  <Override PartName="/xl/media/image1.png" ContentType="image/png"/>
  <Override PartName="/xl/media/image16.png" ContentType="image/png"/>
  <Override PartName="/xl/media/image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Datos" sheetId="2" state="visible" r:id="rId4"/>
    <sheet name="Produccion" sheetId="3" state="visible" r:id="rId5"/>
    <sheet name="Pallet_cajas" sheetId="4" state="visible" r:id="rId6"/>
    <sheet name="Pallet_cilindros" sheetId="5" state="visible" r:id="rId7"/>
    <sheet name="Camion" sheetId="6" state="visible" r:id="rId8"/>
    <sheet name="Escenarios_manuales" sheetId="7" state="visible" r:id="rId9"/>
    <sheet name="Escenarios_rodantes" sheetId="8" state="visible" r:id="rId10"/>
    <sheet name="Escenarios_cilindros" sheetId="9" state="visible" r:id="rId11"/>
    <sheet name="Frecuencia_mensual" sheetId="10" state="visible" r:id="rId12"/>
    <sheet name="Disposicion" sheetId="11" state="visible" r:id="rId13"/>
    <sheet name="Fuente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<sst xmlns="http://schemas.openxmlformats.org/spreadsheetml/2006/main" count="772" uniqueCount="377">
  <si>
    <t xml:space="preserve">PALLETIZADO DEL PRODUCTO TERMINADO Y FRECUENCIA DE ENVÍOS - FLAMA S.A.</t>
  </si>
  <si>
    <t xml:space="preserve">Producción estacionalizada por semana, disposición por pallet, vehículo y 5 escenarios por grupo.</t>
  </si>
  <si>
    <t xml:space="preserve">Tema</t>
  </si>
  <si>
    <t xml:space="preserve">Detalle</t>
  </si>
  <si>
    <t xml:space="preserve">Qué responde</t>
  </si>
  <si>
    <t xml:space="preserve">Cuántos pallets entran en el camión, cómo se arma cada pallet (cajas por tipo de matafuego y cilindros a granel) y cada cuánto tiene que salir un camión según la producción de cada semana.</t>
  </si>
  <si>
    <t xml:space="preserve">Lógica</t>
  </si>
  <si>
    <t xml:space="preserve">1) Vehículo (hoja Camion): carrocería sider de Guajardo y Linares para los pallets, cargada por los laterales con el autoelevador, y Renault Master L3H2 para los rodantes. 2) Pallets por camión. 3) Disposición por pallet (Pallet_cajas, Pallet_cilindros). 4) Escenarios (Escenarios_manuales, Escenarios_rodantes, Escenarios_cilindros) con la producción semanal (Produccion). 5) Frecuencia mes por mes (Frecuencia_mensual).</t>
  </si>
  <si>
    <t xml:space="preserve">Escenarios</t>
  </si>
  <si>
    <t xml:space="preserve">Manuales: 1) pallet lleno de 1 kg, 2) todo 2,5 kg, 3) todo 5 kg, 4) todo 10 kg, 5) mix de 2,5, 5 y 10 kg. Rodantes: lo mismo con 25, 50, 70 y 100 kg y el mix de los cuatro. Cilindros vendidos vacíos: los mismos escenarios con su propia disposición.</t>
  </si>
  <si>
    <t xml:space="preserve">Mix</t>
  </si>
  <si>
    <t xml:space="preserve">El mix se arma con pallets de un solo tipo cada uno (las cajas de 2,5, 5 y 10 kg tienen distinta altura y una capa sobre otra no cierra en 1,60 m), en la proporción de la producción del año elegido. En la Master el mix es la mezcla de carros en la proporción de la producción.</t>
  </si>
  <si>
    <t xml:space="preserve">Cómo usar</t>
  </si>
  <si>
    <t xml:space="preserve">Las celdas con fondo gris de la hoja Datos son los datos: año de análisis, vehículo elegido, medidas y pesos. Todo lo demás es fórmula y se recalcula.</t>
  </si>
  <si>
    <t xml:space="preserve">Formato</t>
  </si>
  <si>
    <t xml:space="preserve">Negro y grises. Gris: dato editable. Blanco: fórmula. Negro: encabezado.</t>
  </si>
  <si>
    <t xml:space="preserve">Criterio</t>
  </si>
  <si>
    <t xml:space="preserve">Lo que no sale de una fuente está rotulado «criterio» en la columna Fuente de la hoja Datos.</t>
  </si>
  <si>
    <t xml:space="preserve">Esquemas</t>
  </si>
  <si>
    <t xml:space="preserve">La hoja Disposicion tiene los esquemas de cada pallet y de la carga de cada vehículo, dibujados con los valores de este libro (año y vehículo de la hoja Datos al generarlo).</t>
  </si>
  <si>
    <t xml:space="preserve">DATOS</t>
  </si>
  <si>
    <t xml:space="preserve">Fondo gris = dato editable. Fuente de cada dato a la derecha.</t>
  </si>
  <si>
    <t xml:space="preserve">Parámetro</t>
  </si>
  <si>
    <t xml:space="preserve">Unidad</t>
  </si>
  <si>
    <t xml:space="preserve">Valor</t>
  </si>
  <si>
    <t xml:space="preserve">Fuente / criterio</t>
  </si>
  <si>
    <t xml:space="preserve">Análisis</t>
  </si>
  <si>
    <t xml:space="preserve">Año de análisis</t>
  </si>
  <si>
    <t xml:space="preserve">año</t>
  </si>
  <si>
    <t xml:space="preserve">Año de diseño de la planta (layout 2035)</t>
  </si>
  <si>
    <t xml:space="preserve">Semanas por mes</t>
  </si>
  <si>
    <t xml:space="preserve">sem</t>
  </si>
  <si>
    <t xml:space="preserve">20 días hábiles por mes ÷ 5 días por semana (MP, hoja Volumenes)</t>
  </si>
  <si>
    <t xml:space="preserve">Semanas operativas por año</t>
  </si>
  <si>
    <t xml:space="preserve">MP, hoja Volumenes: 48 semanas operativas</t>
  </si>
  <si>
    <t xml:space="preserve">Días hábiles por semana</t>
  </si>
  <si>
    <t xml:space="preserve">días</t>
  </si>
  <si>
    <t xml:space="preserve">Lunes a viernes</t>
  </si>
  <si>
    <t xml:space="preserve">Pallet</t>
  </si>
  <si>
    <t xml:space="preserve">Pallet: largo</t>
  </si>
  <si>
    <t xml:space="preserve">mm</t>
  </si>
  <si>
    <t xml:space="preserve">ARLOG IRAM 10016 (MP - Abastecimiento y Almacenamiento, hoja Pallets PT)</t>
  </si>
  <si>
    <t xml:space="preserve">Pallet: ancho</t>
  </si>
  <si>
    <t xml:space="preserve">Pallet: alto</t>
  </si>
  <si>
    <t xml:space="preserve">Pallet: tara</t>
  </si>
  <si>
    <t xml:space="preserve">kg</t>
  </si>
  <si>
    <t xml:space="preserve">Altura máxima de la carga con el pallet</t>
  </si>
  <si>
    <t xml:space="preserve">Envolvedora EDOS: cargas de 1.000 a 1.700 mm (MP - Abastecimiento y Almacenamiento, hoja Pallets PT)</t>
  </si>
  <si>
    <t xml:space="preserve">Peso máximo de la carga por pallet</t>
  </si>
  <si>
    <t xml:space="preserve">EDOS 600 a 1.200 kg; ARLOG 1.500 kg en rack: se toma 1.100 (MP - Abastecimiento y Almacenamiento, hoja Pallets PT)</t>
  </si>
  <si>
    <t xml:space="preserve">Separador de cartón entre capas de cilindros: espesor</t>
  </si>
  <si>
    <t xml:space="preserve">MP - Abastecimiento y Almacenamiento, hoja Pallets PT (estimación)</t>
  </si>
  <si>
    <t xml:space="preserve">Separador de cartón: masa</t>
  </si>
  <si>
    <t xml:space="preserve">Pallets apilados en el camión</t>
  </si>
  <si>
    <t xml:space="preserve">niveles</t>
  </si>
  <si>
    <t xml:space="preserve">Criterio: las cajas de cartón no soportan otro pallet encima</t>
  </si>
  <si>
    <t xml:space="preserve">Matafuegos manuales terminados, en caja (MP - Abastecimiento y Almacenamiento, hoja Pallets PT, sección B)</t>
  </si>
  <si>
    <t xml:space="preserve">1 kg</t>
  </si>
  <si>
    <t xml:space="preserve">2,5 kg</t>
  </si>
  <si>
    <t xml:space="preserve">5 kg</t>
  </si>
  <si>
    <t xml:space="preserve">10 kg</t>
  </si>
  <si>
    <t xml:space="preserve">Matafuegos por caja</t>
  </si>
  <si>
    <t xml:space="preserve">u</t>
  </si>
  <si>
    <t xml:space="preserve">ET's Matafuegos: el 1 kg va de a 6; el resto, de a uno</t>
  </si>
  <si>
    <t xml:space="preserve">Caja: largo exterior</t>
  </si>
  <si>
    <t xml:space="preserve">Ø + holgura (las de ET's no entran: ver Dudas en MP)</t>
  </si>
  <si>
    <t xml:space="preserve">Caja: ancho exterior</t>
  </si>
  <si>
    <t xml:space="preserve">Ídem</t>
  </si>
  <si>
    <t xml:space="preserve">Caja: alto exterior</t>
  </si>
  <si>
    <t xml:space="preserve">Recipiente + válvula (≈ 80 mm) + 20 mm</t>
  </si>
  <si>
    <t xml:space="preserve">Tara de la caja</t>
  </si>
  <si>
    <t xml:space="preserve">Estimación de MP</t>
  </si>
  <si>
    <t xml:space="preserve">Masa del matafuego lleno con accesorios</t>
  </si>
  <si>
    <t xml:space="preserve">Recipiente + polvo + válvula + accesorios (MP)</t>
  </si>
  <si>
    <t xml:space="preserve">Cilindros vendidos vacíos, a granel y parados (MP - Abastecimiento y Almacenamiento, hoja Pallets PT, sección A)</t>
  </si>
  <si>
    <t xml:space="preserve">25 kg</t>
  </si>
  <si>
    <t xml:space="preserve">50 kg</t>
  </si>
  <si>
    <t xml:space="preserve">70 kg</t>
  </si>
  <si>
    <t xml:space="preserve">100 kg</t>
  </si>
  <si>
    <t xml:space="preserve">Fuente</t>
  </si>
  <si>
    <t xml:space="preserve">Ø del cilindro</t>
  </si>
  <si>
    <t xml:space="preserve">MP, hoja Geometria Acero</t>
  </si>
  <si>
    <t xml:space="preserve">Alto sin válvula (con tapón)</t>
  </si>
  <si>
    <t xml:space="preserve">Masa del cilindro vacío</t>
  </si>
  <si>
    <t xml:space="preserve">Rodantes terminados, sobre sus ruedas</t>
  </si>
  <si>
    <t xml:space="preserve">Huella del carro: largo</t>
  </si>
  <si>
    <t xml:space="preserve">MP - Abastecimiento y Almacenamiento, hoja Pallets PT, sección C</t>
  </si>
  <si>
    <t xml:space="preserve">Huella del carro: ancho</t>
  </si>
  <si>
    <t xml:space="preserve">Alto del carro</t>
  </si>
  <si>
    <t xml:space="preserve">MP - Abastecimiento y Almacenamiento, hoja Pallets PT, sección C (ET's)</t>
  </si>
  <si>
    <t xml:space="preserve">Peso del matafuego cargado</t>
  </si>
  <si>
    <t xml:space="preserve">Ficha técnica Georgia ABC 90 (FLAMA_BOM, hoja Mercado)</t>
  </si>
  <si>
    <t xml:space="preserve">Vehículos</t>
  </si>
  <si>
    <t xml:space="preserve">Sider GyL Full p/ balancín</t>
  </si>
  <si>
    <t xml:space="preserve">Sider baranda volcable GyL</t>
  </si>
  <si>
    <t xml:space="preserve">Largo de la carrocería</t>
  </si>
  <si>
    <t xml:space="preserve">m</t>
  </si>
  <si>
    <t xml:space="preserve">Avisos de Guajardo y Linares en Agroads: hasta 7,50 m (balancín) y hasta 6,50 m</t>
  </si>
  <si>
    <t xml:space="preserve">Ancho de la carrocería</t>
  </si>
  <si>
    <t xml:space="preserve">Agroads: hasta 2,60 m / ancho reglamentario (Ley 24.449: 2,60 m)</t>
  </si>
  <si>
    <t xml:space="preserve">Alto interior de la carrocería</t>
  </si>
  <si>
    <t xml:space="preserve">Agroads: hasta 2,40 m y hasta 2,60 m</t>
  </si>
  <si>
    <t xml:space="preserve">Descuento al largo útil (frente y puertas)</t>
  </si>
  <si>
    <t xml:space="preserve">Descuento al ancho útil (parantes y lonas)</t>
  </si>
  <si>
    <t xml:space="preserve">Descuento al alto útil</t>
  </si>
  <si>
    <t xml:space="preserve">Carga útil</t>
  </si>
  <si>
    <t xml:space="preserve">Balancín sider de 7,50 m: 12 a 14 t y 12 pallets (flota de Logística HC); la de 6,50 m: criterio</t>
  </si>
  <si>
    <t xml:space="preserve">Vehículo elegido para los pallets (1 o 2)</t>
  </si>
  <si>
    <t xml:space="preserve">n.º</t>
  </si>
  <si>
    <t xml:space="preserve">1 = Sider GyL Full para balancín: el más largo de GyL que se carga de costado (lonas corredizas)</t>
  </si>
  <si>
    <t xml:space="preserve">Renault Master L3H2 (rodantes)</t>
  </si>
  <si>
    <t xml:space="preserve">Largo de carga (al piso)</t>
  </si>
  <si>
    <t xml:space="preserve">Vansdirect, guía de medidas Renault Master L3H2</t>
  </si>
  <si>
    <t xml:space="preserve">Ancho de carga</t>
  </si>
  <si>
    <t xml:space="preserve">Vansdirect / Vanaways (ancho de carga 1.760 a 1.765 mm)</t>
  </si>
  <si>
    <t xml:space="preserve">Ancho entre pasos de rueda</t>
  </si>
  <si>
    <t xml:space="preserve">Vansdirect: 1.380 mm. Renault Malta da 1.730/1.760 para la Master nueva: se toma el menor (lado seguro)</t>
  </si>
  <si>
    <t xml:space="preserve">Largo de la zona de los pasos de rueda</t>
  </si>
  <si>
    <t xml:space="preserve">Largo libre entre los pasos de rueda y la puerta trasera</t>
  </si>
  <si>
    <t xml:space="preserve">Criterio (no hay dato publicado de la posición de los pasos de rueda)</t>
  </si>
  <si>
    <t xml:space="preserve">Alto de carga</t>
  </si>
  <si>
    <t xml:space="preserve">Vanaways (alto de carga 1.894 mm)</t>
  </si>
  <si>
    <t xml:space="preserve">Autocosmos, Renault Master L3H2 Furgón 2.3 (Argentina): 1.593 kg</t>
  </si>
  <si>
    <t xml:space="preserve">PRODUCCIÓN ANUAL, MENSUAL Y SEMANAL (estacionalizada)</t>
  </si>
  <si>
    <t xml:space="preserve">Anual: Proyecciones 5, hoja Indexado Dim Técnico. Estacionalidad: perfiles del Dimensionamiento Técnico FLAMA (DATOS-BASE, filas 102 a 104).</t>
  </si>
  <si>
    <t xml:space="preserve">A. Producción anual (unidades)</t>
  </si>
  <si>
    <t xml:space="preserve">Año</t>
  </si>
  <si>
    <t xml:space="preserve">Terminado 1 kg</t>
  </si>
  <si>
    <t xml:space="preserve">Terminado 2,5 kg</t>
  </si>
  <si>
    <t xml:space="preserve">Terminado 5 kg</t>
  </si>
  <si>
    <t xml:space="preserve">Terminado 10 kg</t>
  </si>
  <si>
    <t xml:space="preserve">Terminado 25 kg</t>
  </si>
  <si>
    <t xml:space="preserve">Terminado 50 kg</t>
  </si>
  <si>
    <t xml:space="preserve">Terminado 70 kg</t>
  </si>
  <si>
    <t xml:space="preserve">Terminado 100 kg</t>
  </si>
  <si>
    <t xml:space="preserve">Cilindro 1 kg</t>
  </si>
  <si>
    <t xml:space="preserve">Cilindro 2,5 kg</t>
  </si>
  <si>
    <t xml:space="preserve">Cilindro 5 kg</t>
  </si>
  <si>
    <t xml:space="preserve">Cilindro 10 kg</t>
  </si>
  <si>
    <t xml:space="preserve">Cilindro 25 kg</t>
  </si>
  <si>
    <t xml:space="preserve">Cilindro 50 kg</t>
  </si>
  <si>
    <t xml:space="preserve">Cilindro 70 kg</t>
  </si>
  <si>
    <t xml:space="preserve">Cilindro 100 kg</t>
  </si>
  <si>
    <t xml:space="preserve">Año elegido</t>
  </si>
  <si>
    <t xml:space="preserve">B. Perfiles de estacionalidad (% de la producción anual de cada mes)</t>
  </si>
  <si>
    <t xml:space="preserve">Perfil</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</si>
  <si>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</si>
  <si>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</si>
  <si>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</si>
  <si>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</si>
  <si>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</si>
  <si>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</si>
  <si>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</si>
  <si>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</si>
  <si>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</si>
  <si>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</si>
  <si>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</si>
  <si>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</si>
  <si>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</si>
  <si>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1. Automovilístico (1 kg)</t>
  </si>
  <si>
    <t xml:space="preserve">2. Manual comercial (2,5 / 5 / 10 kg)</t>
  </si>
  <si>
    <t xml:space="preserve">3. Industrial sobre ruedas (25 a 100 kg)</t>
  </si>
  <si>
    <t xml:space="preserve">Perfil de cada tipo (terminados y cilindros):</t>
  </si>
  <si>
    <t xml:space="preserve">1 kg: 1</t>
  </si>
  <si>
    <t xml:space="preserve">2,5 kg: 2</t>
  </si>
  <si>
    <t xml:space="preserve">5 kg: 2</t>
  </si>
  <si>
    <t xml:space="preserve">10 kg: 2</t>
  </si>
  <si>
    <t xml:space="preserve">25 kg: 3</t>
  </si>
  <si>
    <t xml:space="preserve">50 kg: 3</t>
  </si>
  <si>
    <t xml:space="preserve">70 kg: 3</t>
  </si>
  <si>
    <t xml:space="preserve">100 kg: 3</t>
  </si>
  <si>
    <t xml:space="preserve">C. Producción mensual del año elegido (unidades)</t>
  </si>
  <si>
    <t xml:space="preserve">Mes</t>
  </si>
  <si>
    <t xml:space="preserve">Manuales mix (2,5+5+10)</t>
  </si>
  <si>
    <t xml:space="preserve">Rodantes mix (25 a 100)</t>
  </si>
  <si>
    <t xml:space="preserve">Cil. manuales mix (2,5+5+10)</t>
  </si>
  <si>
    <t xml:space="preserve">Cil. rodantes mix (25 a 100)</t>
  </si>
  <si>
    <t xml:space="preserve">D. Producción por semana del año elegido (unidades por semana = mes ÷ semanas por mes)</t>
  </si>
  <si>
    <t xml:space="preserve">Semana promedio del año</t>
  </si>
  <si>
    <t xml:space="preserve">Semana del mes pico</t>
  </si>
  <si>
    <t xml:space="preserve">Semana del mes más bajo</t>
  </si>
  <si>
    <t xml:space="preserve">Mes pico</t>
  </si>
  <si>
    <t xml:space="preserve">DISPOSICIÓN POR PALLET: MATAFUEGOS MANUALES EN CAJA</t>
  </si>
  <si>
    <t xml:space="preserve">Pallet ARLOG 1.200 × 1.000 mm. Cajas paradas, en capas iguales; se elige la orientación que más cajas da.</t>
  </si>
  <si>
    <t xml:space="preserve">Concepto</t>
  </si>
  <si>
    <t xml:space="preserve">Cómo se calcula</t>
  </si>
  <si>
    <t xml:space="preserve">Datos</t>
  </si>
  <si>
    <t xml:space="preserve">Caja: largo</t>
  </si>
  <si>
    <t xml:space="preserve">Caja: ancho</t>
  </si>
  <si>
    <t xml:space="preserve">Caja: alto</t>
  </si>
  <si>
    <t xml:space="preserve">Peso por caja</t>
  </si>
  <si>
    <t xml:space="preserve">matafuegos × masa + tara</t>
  </si>
  <si>
    <t xml:space="preserve">Cajas por capa: largo de la caja sobre el largo del pallet</t>
  </si>
  <si>
    <t xml:space="preserve">INT(1200/largo) × INT(1000/ancho)</t>
  </si>
  <si>
    <t xml:space="preserve">Cajas por capa: girada 90°</t>
  </si>
  <si>
    <t xml:space="preserve">INT(1200/ancho) × INT(1000/largo)</t>
  </si>
  <si>
    <t xml:space="preserve">CAJAS POR CAPA</t>
  </si>
  <si>
    <t xml:space="preserve">la mejor orientación</t>
  </si>
  <si>
    <t xml:space="preserve">Disposición de la capa</t>
  </si>
  <si>
    <t xml:space="preserve">cajas a lo largo × a lo ancho del pallet</t>
  </si>
  <si>
    <t xml:space="preserve">Capas por altura</t>
  </si>
  <si>
    <t xml:space="preserve">(1.600 − 145) ÷ alto de la caja</t>
  </si>
  <si>
    <t xml:space="preserve">Capas por peso</t>
  </si>
  <si>
    <t xml:space="preserve">1.100 kg ÷ peso de una capa</t>
  </si>
  <si>
    <t xml:space="preserve">Capas adoptadas</t>
  </si>
  <si>
    <t xml:space="preserve">la menor</t>
  </si>
  <si>
    <t xml:space="preserve">Cajas por pallet</t>
  </si>
  <si>
    <t xml:space="preserve">MATAFUEGOS POR PALLET</t>
  </si>
  <si>
    <t xml:space="preserve">resultado</t>
  </si>
  <si>
    <t xml:space="preserve">Peso bruto del pallet</t>
  </si>
  <si>
    <t xml:space="preserve">cajas × peso + tara</t>
  </si>
  <si>
    <t xml:space="preserve">Altura del pallet armado</t>
  </si>
  <si>
    <t xml:space="preserve">pallet + capas × alto</t>
  </si>
  <si>
    <t xml:space="preserve">Superficie del pallet ocupada</t>
  </si>
  <si>
    <t xml:space="preserve">%</t>
  </si>
  <si>
    <t xml:space="preserve">cajas × huella ÷ 1,2 m²</t>
  </si>
  <si>
    <t xml:space="preserve">Limita</t>
  </si>
  <si>
    <t xml:space="preserve">DISPOSICIÓN POR PALLET: CILINDROS VENDIDOS VACÍOS</t>
  </si>
  <si>
    <t xml:space="preserve">A granel, parados, en cuadrícula, con separador de cartón entre capas y film (MP - Abastecimiento y Almacenamiento, hoja Pallets PT, sección A).</t>
  </si>
  <si>
    <t xml:space="preserve">Alto (con tapón)</t>
  </si>
  <si>
    <t xml:space="preserve">Masa del cilindro</t>
  </si>
  <si>
    <t xml:space="preserve">Cilindros a lo largo del pallet</t>
  </si>
  <si>
    <t xml:space="preserve">INT(1200/Ø)</t>
  </si>
  <si>
    <t xml:space="preserve">Cilindros a lo ancho del pallet</t>
  </si>
  <si>
    <t xml:space="preserve">INT(1000/Ø)</t>
  </si>
  <si>
    <t xml:space="preserve">CILINDROS POR CAPA</t>
  </si>
  <si>
    <t xml:space="preserve">cuadrícula (al tresbolillo entran más, pero se desarma: no se adopta)</t>
  </si>
  <si>
    <t xml:space="preserve">(1.600 − 145) ÷ (alto + separador)</t>
  </si>
  <si>
    <t xml:space="preserve">la menor (al menos 1)</t>
  </si>
  <si>
    <t xml:space="preserve">CILINDROS POR PALLET</t>
  </si>
  <si>
    <t xml:space="preserve">Separadores por pallet</t>
  </si>
  <si>
    <t xml:space="preserve">capas + 1</t>
  </si>
  <si>
    <t xml:space="preserve">VEHÍCULOS: PALLETS POR CAMIÓN Y CARROS POR FURGÓN</t>
  </si>
  <si>
    <t xml:space="preserve">Los pallets se cargan por los laterales con el autoelevador (carrocería sider de lonas corredizas).</t>
  </si>
  <si>
    <t xml:space="preserve">Largo útil</t>
  </si>
  <si>
    <t xml:space="preserve">largo − descuento</t>
  </si>
  <si>
    <t xml:space="preserve">Ancho útil</t>
  </si>
  <si>
    <t xml:space="preserve">ancho − descuento</t>
  </si>
  <si>
    <t xml:space="preserve">Alto útil</t>
  </si>
  <si>
    <t xml:space="preserve">alto − descuento</t>
  </si>
  <si>
    <t xml:space="preserve">Pallets en el piso: lado de 1,2 m a lo ancho</t>
  </si>
  <si>
    <t xml:space="preserve">INT(largo/1,0) × INT(ancho/1,2)</t>
  </si>
  <si>
    <t xml:space="preserve">Pallets en el piso: lado de 1,2 m a lo largo</t>
  </si>
  <si>
    <t xml:space="preserve">INT(largo/1,2) × INT(ancho/1,0)</t>
  </si>
  <si>
    <t xml:space="preserve">PALLETS EN EL PISO</t>
  </si>
  <si>
    <t xml:space="preserve">Disposición</t>
  </si>
  <si>
    <t xml:space="preserve">Niveles</t>
  </si>
  <si>
    <t xml:space="preserve">Datos (sin apilar)</t>
  </si>
  <si>
    <t xml:space="preserve">PALLETS POR CAMIÓN (lugar)</t>
  </si>
  <si>
    <t xml:space="preserve">piso × niveles</t>
  </si>
  <si>
    <t xml:space="preserve">Pallet más alto de este libro</t>
  </si>
  <si>
    <t xml:space="preserve">control de altura</t>
  </si>
  <si>
    <t xml:space="preserve">¿Entra de alto?</t>
  </si>
  <si>
    <t xml:space="preserve">VEHÍCULO ELEGIDO (Datos)</t>
  </si>
  <si>
    <t xml:space="preserve">Pallets por camión del vehículo elegido</t>
  </si>
  <si>
    <t xml:space="preserve">Carga útil del vehículo elegido</t>
  </si>
  <si>
    <t xml:space="preserve">Renault Master L3H2: carros por furgón (cargados por atrás con la rampa, sobre sus ruedas)</t>
  </si>
  <si>
    <t xml:space="preserve">Carro: largo</t>
  </si>
  <si>
    <t xml:space="preserve">Carro: ancho</t>
  </si>
  <si>
    <t xml:space="preserve">Zona delantera (hasta los pasos de rueda)</t>
  </si>
  <si>
    <t xml:space="preserve">largo − pasos de rueda − zona trasera; ancho de carga; mejor orientación</t>
  </si>
  <si>
    <t xml:space="preserve">Zona de los pasos de rueda</t>
  </si>
  <si>
    <t xml:space="preserve">entre pasos de rueda; mejor orientación</t>
  </si>
  <si>
    <t xml:space="preserve">Zona trasera (hasta la puerta)</t>
  </si>
  <si>
    <t xml:space="preserve">ancho de carga; mejor orientación</t>
  </si>
  <si>
    <t xml:space="preserve">CARROS POR LUGAR</t>
  </si>
  <si>
    <t xml:space="preserve">suma de las tres zonas</t>
  </si>
  <si>
    <t xml:space="preserve">Peso del carro cargado</t>
  </si>
  <si>
    <t xml:space="preserve">Carros por peso</t>
  </si>
  <si>
    <t xml:space="preserve">carga útil ÷ peso</t>
  </si>
  <si>
    <t xml:space="preserve">CARROS POR FURGÓN</t>
  </si>
  <si>
    <t xml:space="preserve">el menor</t>
  </si>
  <si>
    <t xml:space="preserve">ESCENARIOS: MATAFUEGOS MANUALES TERMINADOS</t>
  </si>
  <si>
    <t xml:space="preserve">Pallets en el vehículo elegido (hoja Camion). Producción semanal del año elegido (hoja Produccion).</t>
  </si>
  <si>
    <t xml:space="preserve">Matafuegos manuales en caja</t>
  </si>
  <si>
    <t xml:space="preserve">1. Todo 1 kg</t>
  </si>
  <si>
    <t xml:space="preserve">2. Todo 2,5 kg</t>
  </si>
  <si>
    <t xml:space="preserve">3. Todo 5 kg</t>
  </si>
  <si>
    <t xml:space="preserve">4. Todo 10 kg</t>
  </si>
  <si>
    <t xml:space="preserve">5. Mix 2,5 + 5 + 10 kg</t>
  </si>
  <si>
    <t xml:space="preserve">Contenido</t>
  </si>
  <si>
    <t xml:space="preserve">Pallet lleno de matafuegos de 1 kg (cajas de 6)</t>
  </si>
  <si>
    <t xml:space="preserve">Pallet lleno de 2,5 kg (cajas individuales)</t>
  </si>
  <si>
    <t xml:space="preserve">Pallet lleno de 5 kg</t>
  </si>
  <si>
    <t xml:space="preserve">Pallet lleno de 10 kg</t>
  </si>
  <si>
    <t xml:space="preserve">Camión con pallets de 2,5, 5 y 10 kg en la proporción de la producción</t>
  </si>
  <si>
    <t xml:space="preserve">Unidades por pallet</t>
  </si>
  <si>
    <t xml:space="preserve">Altura del pallet</t>
  </si>
  <si>
    <t xml:space="preserve">Pallets por camión por lugar</t>
  </si>
  <si>
    <t xml:space="preserve">Pallets por camión por peso</t>
  </si>
  <si>
    <t xml:space="preserve">PALLETS POR CAMIÓN</t>
  </si>
  <si>
    <t xml:space="preserve">UNIDADES POR VIAJE</t>
  </si>
  <si>
    <t xml:space="preserve">Producción del año elegido</t>
  </si>
  <si>
    <t xml:space="preserve">u/año</t>
  </si>
  <si>
    <t xml:space="preserve">Producción: semana promedio</t>
  </si>
  <si>
    <t xml:space="preserve">u/sem</t>
  </si>
  <si>
    <t xml:space="preserve">Producción: semana del mes pico</t>
  </si>
  <si>
    <t xml:space="preserve">Producción: semana del mes más bajo</t>
  </si>
  <si>
    <t xml:space="preserve">Pallets por semana en el mes pico</t>
  </si>
  <si>
    <t xml:space="preserve">Viajes por semana: promedio</t>
  </si>
  <si>
    <t xml:space="preserve">viajes</t>
  </si>
  <si>
    <t xml:space="preserve">VIAJES POR SEMANA: MES PICO</t>
  </si>
  <si>
    <t xml:space="preserve">Viajes por semana: mes más bajo</t>
  </si>
  <si>
    <t xml:space="preserve">Días hábiles entre envíos (mes pico, camión lleno)</t>
  </si>
  <si>
    <t xml:space="preserve">FRECUENCIA DE ENVÍO (mes pico)</t>
  </si>
  <si>
    <t xml:space="preserve">Viajes en el mes pico</t>
  </si>
  <si>
    <t xml:space="preserve">Viajes por año</t>
  </si>
  <si>
    <t xml:space="preserve">ESCENARIOS: RODANTES TERMINADOS EN LA RENAULT MASTER L3H2</t>
  </si>
  <si>
    <t xml:space="preserve">Carros sobre sus ruedas, cargados por atrás con la rampa. Mix: capacidad ponderada por la producción.</t>
  </si>
  <si>
    <t xml:space="preserve">Rodantes en la Master L3H2</t>
  </si>
  <si>
    <t xml:space="preserve">1. Todo 25 kg</t>
  </si>
  <si>
    <t xml:space="preserve">2. Todo 50 kg</t>
  </si>
  <si>
    <t xml:space="preserve">3. Todo 70 kg</t>
  </si>
  <si>
    <t xml:space="preserve">4. Todo 100 kg</t>
  </si>
  <si>
    <t xml:space="preserve">5. Mix 25 a 100 kg</t>
  </si>
  <si>
    <t xml:space="preserve">Furgón lleno de carros de 25 kg</t>
  </si>
  <si>
    <t xml:space="preserve">Furgón lleno de carros de 50 kg</t>
  </si>
  <si>
    <t xml:space="preserve">Furgón lleno de carros de 70 kg</t>
  </si>
  <si>
    <t xml:space="preserve">Furgón lleno de carros de 100 kg</t>
  </si>
  <si>
    <t xml:space="preserve">Mix de 25, 50, 70 y 100 kg en la proporción de la producción</t>
  </si>
  <si>
    <t xml:space="preserve">Matafuegos por carro</t>
  </si>
  <si>
    <t xml:space="preserve">Carros por furgón por lugar</t>
  </si>
  <si>
    <t xml:space="preserve">Carros por furgón por peso</t>
  </si>
  <si>
    <t xml:space="preserve">Carros por semana en el mes pico</t>
  </si>
  <si>
    <t xml:space="preserve">ESCENARIOS: CILINDROS VENDIDOS VACÍOS</t>
  </si>
  <si>
    <t xml:space="preserve">A granel, parados, con separador por capa. Pallets en el vehículo elegido.</t>
  </si>
  <si>
    <t xml:space="preserve">Cilindros de manuales</t>
  </si>
  <si>
    <t xml:space="preserve">Pallet lleno de cilindros de 1 kg</t>
  </si>
  <si>
    <t xml:space="preserve">Pallet lleno de cilindros de 2,5 kg</t>
  </si>
  <si>
    <t xml:space="preserve">Pallet lleno de cilindros de 5 kg</t>
  </si>
  <si>
    <t xml:space="preserve">Pallet lleno de cilindros de 10 kg</t>
  </si>
  <si>
    <t xml:space="preserve">Cilindros de rodantes</t>
  </si>
  <si>
    <t xml:space="preserve">Pallet lleno de cilindros de 25 kg</t>
  </si>
  <si>
    <t xml:space="preserve">Pallet lleno de cilindros de 50 kg</t>
  </si>
  <si>
    <t xml:space="preserve">Pallet lleno de cilindros de 70 kg</t>
  </si>
  <si>
    <t xml:space="preserve">Pallet lleno de cilindros de 100 kg</t>
  </si>
  <si>
    <t xml:space="preserve">Camión con pallets de 25 a 100 kg en la proporción de la producción</t>
  </si>
  <si>
    <t xml:space="preserve">FRECUENCIA DE ENVÍOS MES POR MES (viajes por semana, vehículo lleno)</t>
  </si>
  <si>
    <t xml:space="preserve">Con la producción de cada semana del mes (hoja Produccion) y la capacidad de cada escenario. Columna final: todo lo palletizado junto (terminados en caja + cilindros) en el vehículo elegido.</t>
  </si>
  <si>
    <t xml:space="preserve">Manuales 1 kg (esc. 1)</t>
  </si>
  <si>
    <t xml:space="preserve">Manuales mix 2,5/5/10 (esc. 5)</t>
  </si>
  <si>
    <t xml:space="preserve">Rodantes mix en la Master (esc. 5)</t>
  </si>
  <si>
    <t xml:space="preserve">Cilindros 1 kg (esc. 1)</t>
  </si>
  <si>
    <t xml:space="preserve">Cilindros mix 2,5/5/10 (esc. 5)</t>
  </si>
  <si>
    <t xml:space="preserve">Cilindros rodantes mix (esc. 5)</t>
  </si>
  <si>
    <t xml:space="preserve">Pallets por semana (todo lo palletizado)</t>
  </si>
  <si>
    <t xml:space="preserve">Kg por semana</t>
  </si>
  <si>
    <t xml:space="preserve">Viajes del vehículo elegido por semana (todo junto)</t>
  </si>
  <si>
    <t xml:space="preserve">Máximo</t>
  </si>
  <si>
    <t xml:space="preserve">Promedio</t>
  </si>
  <si>
    <t xml:space="preserve">Lectura</t>
  </si>
  <si>
    <t xml:space="preserve">Menos de 1 viaje por semana = el vehículo sale lleno cada 1 ÷ valor semanas. Los pallets de PT esperan en el rack de PT hasta completar el viaje (stock de ciclo de despacho).</t>
  </si>
  <si>
    <t xml:space="preserve">ESQUEMAS DE LA DISPOSICIÓN POR PALLET Y DE LA CARGA DE LOS VEHÍCULOS</t>
  </si>
  <si>
    <t xml:space="preserve">Dibujados con los datos base de este libro (año 2035, vehículo 1). Si se cambian los datos, los números de las hojas se recalculan; los esquemas no.</t>
  </si>
  <si>
    <t xml:space="preserve">Cilindros vendidos vacíos (a granel, parados, separador por capa)</t>
  </si>
  <si>
    <t xml:space="preserve">Vehículo de los pallets</t>
  </si>
  <si>
    <t xml:space="preserve">Renault Master L3H2: carros sobre sus ruedas</t>
  </si>
  <si>
    <t xml:space="preserve">FUENTES</t>
  </si>
  <si>
    <t xml:space="preserve">Dato</t>
  </si>
  <si>
    <t xml:space="preserve">Producción anual 2026 a 2035</t>
  </si>
  <si>
    <t xml:space="preserve">Proyecciones 5, hoja Indexado Dim Técnico (filas 3 a 10 terminados; 15 a 22 cilindros)</t>
  </si>
  <si>
    <t xml:space="preserve">Perfiles de estacionalidad</t>
  </si>
  <si>
    <t xml:space="preserve">Dimensionamiento Técnico FLAMA, DATOS-BASE filas 102 a 104 (los mismos del MRP de insumos, hoja ESTACIONALIDAD)</t>
  </si>
  <si>
    <t xml:space="preserve">Pallet, cajas, cilindros, carros</t>
  </si>
  <si>
    <t xml:space="preserve">MP - Abastecimiento y Almacenamiento, hoja Pallets PT (secciones A, B y C) y hojas Volumenes y Geometria Acero</t>
  </si>
  <si>
    <t xml:space="preserve">Peso cargado de los rodantes</t>
  </si>
  <si>
    <t xml:space="preserve">Ficha técnica Georgia ABC 90 (25, 50, 70 y 100 kg), hoja Mercado de FLAMA_BOM</t>
  </si>
  <si>
    <t xml:space="preserve">Carrocerías Guajardo y Linares</t>
  </si>
  <si>
    <t xml:space="preserve">https://www.agroads.com.ar/e/carrocerias-y-acoplados-guajardo-y-linares/ ; Sider GyL Full para balancín: https://www.agroads.com.ar/detalle.asp?clasi=957986 ; Sider baranda volcable GyL: https://www.agroads.com.ar/detalle.asp?clasi=782473</t>
  </si>
  <si>
    <t xml:space="preserve">Capacidad de un balancín sider</t>
  </si>
  <si>
    <t xml:space="preserve">Logística HC, flota: balancín sider de 7,50 × 2,50 m, 12 pallets, 12/14 t (https://logisticashc.com.ar/nosotros/nuestra-flota)</t>
  </si>
  <si>
    <t xml:space="preserve">Renault Master L3H2: medidas de carga</t>
  </si>
  <si>
    <t xml:space="preserve">Vansdirect, Renault Master dimensions (https://www.vansdirect.co.uk/load-sizing-guide/renault-master-dimensions/); Vanaways, fichas Master H2 (alto 1.894 mm); Renault Malta, Master furgón (https://renault.com.mt/cars/master-xdd-ph1-en/xdd-fourgon.html)</t>
  </si>
  <si>
    <t xml:space="preserve">Renault Master L3H2: carga útil</t>
  </si>
  <si>
    <t xml:space="preserve">Autocosmos Argentina, Renault Master L3H2 Furgón 2.3: 1.593 kg (https://www.autocosmos.com.ar/)</t>
  </si>
  <si>
    <t xml:space="preserve">Despacho de rodantes con la Master</t>
  </si>
  <si>
    <t xml:space="preserve">Plano de carros del usuario (rev 6): furgón Renault Master L3H2 y rampa TRAN-IN-240</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</si>
</sst>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0.000"/>
    <numFmt numFmtId="171" formatCode="0.0%"/>
    <numFmt numFmtId="172"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404040"/>
      <name val="Arial"/>
      <family val="0"/>
      <charset val="1"/>
    </font>
    <font>
      <b val="true"/>
      <sz val="10"/>
      <color rgb="FFFFFFFF"/>
      <name val="Arial"/>
      <family val="0"/>
      <charset val="1"/>
    </font>
    <font>
      <b val="true"/>
      <sz val="10"/>
      <name val="Arial"/>
      <family val="0"/>
      <charset val="1"/>
    </font>
    <font>
      <sz val="10"/>
      <name val="Arial"/>
      <family val="0"/>
      <charset val="1"/>
    </font>
    <font>
      <b val="true"/>
      <sz val="11"/>
      <name val="Arial"/>
      <family val="0"/>
      <charset val="1"/>
    </font>
  </fonts>
  <fills count="6">
    <fill>
      <patternFill patternType="none"/>
    </fill>
    <fill>
      <patternFill patternType="gray125"/>
    </fill>
    <fill>
      <patternFill patternType="solid">
        <fgColor rgb="FF000000"/>
        <bgColor rgb="FF003300"/>
      </patternFill>
    </fill>
    <fill>
      <patternFill patternType="solid">
        <fgColor rgb="FFBFBFBF"/>
        <bgColor rgb="FFD9D9D9"/>
      </patternFill>
    </fill>
    <fill>
      <patternFill patternType="solid">
        <fgColor rgb="FFD9D9D9"/>
        <bgColor rgb="FFF2F2F2"/>
      </patternFill>
    </fill>
    <fill>
      <patternFill patternType="solid">
        <fgColor rgb="FFF2F2F2"/>
        <bgColor rgb="FFFFFFFF"/>
      </patternFill>
    </fill>
  </fills>
  <borders count="2">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right" vertical="center" textRotation="0" wrapText="false" indent="0" shrinkToFit="false"/>
      <protection locked="true" hidden="false"/>
    </xf>
    <xf numFmtId="166" fontId="8" fillId="4" borderId="1" xfId="0" applyFont="true" applyBorder="true" applyAlignment="true" applyProtection="false">
      <alignment horizontal="right" vertical="center" textRotation="0" wrapText="false" indent="0" shrinkToFit="false"/>
      <protection locked="true" hidden="false"/>
    </xf>
    <xf numFmtId="167" fontId="8" fillId="4" borderId="1" xfId="0" applyFont="true" applyBorder="true" applyAlignment="true" applyProtection="false">
      <alignment horizontal="right" vertical="center" textRotation="0" wrapText="false" indent="0" shrinkToFit="false"/>
      <protection locked="true" hidden="false"/>
    </xf>
    <xf numFmtId="168" fontId="8" fillId="4" borderId="1" xfId="0" applyFont="true" applyBorder="true" applyAlignment="true" applyProtection="false">
      <alignment horizontal="right" vertical="center" textRotation="0" wrapText="false" indent="0" shrinkToFit="false"/>
      <protection locked="true" hidden="false"/>
    </xf>
    <xf numFmtId="169" fontId="8" fillId="4" borderId="1" xfId="0" applyFont="true" applyBorder="true" applyAlignment="true" applyProtection="false">
      <alignment horizontal="right" vertical="center" textRotation="0" wrapText="false" indent="0" shrinkToFit="false"/>
      <protection locked="true" hidden="false"/>
    </xf>
    <xf numFmtId="170" fontId="8" fillId="4" borderId="1" xfId="0" applyFont="true" applyBorder="true" applyAlignment="true" applyProtection="false">
      <alignment horizontal="righ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right" vertical="center" textRotation="0" wrapText="false" indent="0" shrinkToFit="false"/>
      <protection locked="true" hidden="false"/>
    </xf>
    <xf numFmtId="171" fontId="8" fillId="4" borderId="1" xfId="0" applyFont="true" applyBorder="true" applyAlignment="true" applyProtection="false">
      <alignment horizontal="right" vertical="center" textRotation="0" wrapText="false" indent="0" shrinkToFit="false"/>
      <protection locked="true" hidden="false"/>
    </xf>
    <xf numFmtId="172" fontId="8" fillId="0" borderId="1" xfId="0" applyFont="true" applyBorder="true" applyAlignment="true" applyProtection="false">
      <alignment horizontal="right"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right"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true" applyProtection="false">
      <alignment horizontal="right" vertical="center" textRotation="0" wrapText="false" indent="0" shrinkToFit="false"/>
      <protection locked="true" hidden="false"/>
    </xf>
    <xf numFmtId="169" fontId="8" fillId="0" borderId="1" xfId="0" applyFont="true" applyBorder="true" applyAlignment="true" applyProtection="false">
      <alignment horizontal="right" vertical="center" textRotation="0" wrapText="false" indent="0" shrinkToFit="false"/>
      <protection locked="true" hidden="false"/>
    </xf>
    <xf numFmtId="166" fontId="7" fillId="0" borderId="1" xfId="0" applyFont="true" applyBorder="true" applyAlignment="true" applyProtection="false">
      <alignment horizontal="right" vertical="center" textRotation="0" wrapText="false" indent="0" shrinkToFit="false"/>
      <protection locked="true" hidden="false"/>
    </xf>
    <xf numFmtId="167" fontId="8" fillId="0" borderId="1" xfId="0" applyFont="true" applyBorder="true" applyAlignment="true" applyProtection="false">
      <alignment horizontal="right" vertical="center" textRotation="0" wrapText="false" indent="0" shrinkToFit="false"/>
      <protection locked="true" hidden="false"/>
    </xf>
    <xf numFmtId="168" fontId="7" fillId="5"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160920</xdr:rowOff>
    </xdr:from>
    <xdr:to>
      <xdr:col>8</xdr:col>
      <xdr:colOff>402840</xdr:colOff>
      <xdr:row>17</xdr:row>
      <xdr:rowOff>112680</xdr:rowOff>
    </xdr:to>
    <xdr:pic>
      <xdr:nvPicPr>
        <xdr:cNvPr id="0" name="Image 1" descr="Picture"/>
        <xdr:cNvPicPr/>
      </xdr:nvPicPr>
      <xdr:blipFill>
        <a:blip r:embed="rId1"/>
        <a:stretch/>
      </xdr:blipFill>
      <xdr:spPr>
        <a:xfrm>
          <a:off x="177840" y="762120"/>
          <a:ext cx="5714640" cy="2619000"/>
        </a:xfrm>
        <a:prstGeom prst="rect">
          <a:avLst/>
        </a:prstGeom>
        <a:ln w="0">
          <a:noFill/>
        </a:ln>
      </xdr:spPr>
    </xdr:pic>
    <xdr:clientData/>
  </xdr:twoCellAnchor>
  <xdr:twoCellAnchor editAs="oneCell">
    <xdr:from>
      <xdr:col>11</xdr:col>
      <xdr:colOff>0</xdr:colOff>
      <xdr:row>3</xdr:row>
      <xdr:rowOff>160920</xdr:rowOff>
    </xdr:from>
    <xdr:to>
      <xdr:col>18</xdr:col>
      <xdr:colOff>402840</xdr:colOff>
      <xdr:row>17</xdr:row>
      <xdr:rowOff>112680</xdr:rowOff>
    </xdr:to>
    <xdr:pic>
      <xdr:nvPicPr>
        <xdr:cNvPr id="1" name="Image 2" descr="Picture"/>
        <xdr:cNvPicPr/>
      </xdr:nvPicPr>
      <xdr:blipFill>
        <a:blip r:embed="rId2"/>
        <a:stretch/>
      </xdr:blipFill>
      <xdr:spPr>
        <a:xfrm>
          <a:off x="7765920" y="762120"/>
          <a:ext cx="5714640" cy="2619000"/>
        </a:xfrm>
        <a:prstGeom prst="rect">
          <a:avLst/>
        </a:prstGeom>
        <a:ln w="0">
          <a:noFill/>
        </a:ln>
      </xdr:spPr>
    </xdr:pic>
    <xdr:clientData/>
  </xdr:twoCellAnchor>
  <xdr:twoCellAnchor editAs="oneCell">
    <xdr:from>
      <xdr:col>1</xdr:col>
      <xdr:colOff>0</xdr:colOff>
      <xdr:row>18</xdr:row>
      <xdr:rowOff>160560</xdr:rowOff>
    </xdr:from>
    <xdr:to>
      <xdr:col>8</xdr:col>
      <xdr:colOff>402840</xdr:colOff>
      <xdr:row>32</xdr:row>
      <xdr:rowOff>112680</xdr:rowOff>
    </xdr:to>
    <xdr:pic>
      <xdr:nvPicPr>
        <xdr:cNvPr id="2" name="Image 3" descr="Picture"/>
        <xdr:cNvPicPr/>
      </xdr:nvPicPr>
      <xdr:blipFill>
        <a:blip r:embed="rId3"/>
        <a:stretch/>
      </xdr:blipFill>
      <xdr:spPr>
        <a:xfrm>
          <a:off x="177840" y="3619440"/>
          <a:ext cx="5714640" cy="2619000"/>
        </a:xfrm>
        <a:prstGeom prst="rect">
          <a:avLst/>
        </a:prstGeom>
        <a:ln w="0">
          <a:noFill/>
        </a:ln>
      </xdr:spPr>
    </xdr:pic>
    <xdr:clientData/>
  </xdr:twoCellAnchor>
  <xdr:twoCellAnchor editAs="oneCell">
    <xdr:from>
      <xdr:col>11</xdr:col>
      <xdr:colOff>0</xdr:colOff>
      <xdr:row>18</xdr:row>
      <xdr:rowOff>160560</xdr:rowOff>
    </xdr:from>
    <xdr:to>
      <xdr:col>18</xdr:col>
      <xdr:colOff>402840</xdr:colOff>
      <xdr:row>32</xdr:row>
      <xdr:rowOff>112680</xdr:rowOff>
    </xdr:to>
    <xdr:pic>
      <xdr:nvPicPr>
        <xdr:cNvPr id="3" name="Image 4" descr="Picture"/>
        <xdr:cNvPicPr/>
      </xdr:nvPicPr>
      <xdr:blipFill>
        <a:blip r:embed="rId4"/>
        <a:stretch/>
      </xdr:blipFill>
      <xdr:spPr>
        <a:xfrm>
          <a:off x="7765920" y="3619440"/>
          <a:ext cx="5714640" cy="2619000"/>
        </a:xfrm>
        <a:prstGeom prst="rect">
          <a:avLst/>
        </a:prstGeom>
        <a:ln w="0">
          <a:noFill/>
        </a:ln>
      </xdr:spPr>
    </xdr:pic>
    <xdr:clientData/>
  </xdr:twoCellAnchor>
  <xdr:twoCellAnchor editAs="oneCell">
    <xdr:from>
      <xdr:col>1</xdr:col>
      <xdr:colOff>0</xdr:colOff>
      <xdr:row>35</xdr:row>
      <xdr:rowOff>160560</xdr:rowOff>
    </xdr:from>
    <xdr:to>
      <xdr:col>8</xdr:col>
      <xdr:colOff>402840</xdr:colOff>
      <xdr:row>49</xdr:row>
      <xdr:rowOff>112680</xdr:rowOff>
    </xdr:to>
    <xdr:pic>
      <xdr:nvPicPr>
        <xdr:cNvPr id="4" name="Image 5" descr="Picture"/>
        <xdr:cNvPicPr/>
      </xdr:nvPicPr>
      <xdr:blipFill>
        <a:blip r:embed="rId5"/>
        <a:stretch/>
      </xdr:blipFill>
      <xdr:spPr>
        <a:xfrm>
          <a:off x="177840" y="6858000"/>
          <a:ext cx="5714640" cy="2619000"/>
        </a:xfrm>
        <a:prstGeom prst="rect">
          <a:avLst/>
        </a:prstGeom>
        <a:ln w="0">
          <a:noFill/>
        </a:ln>
      </xdr:spPr>
    </xdr:pic>
    <xdr:clientData/>
  </xdr:twoCellAnchor>
  <xdr:twoCellAnchor editAs="oneCell">
    <xdr:from>
      <xdr:col>11</xdr:col>
      <xdr:colOff>0</xdr:colOff>
      <xdr:row>35</xdr:row>
      <xdr:rowOff>160560</xdr:rowOff>
    </xdr:from>
    <xdr:to>
      <xdr:col>18</xdr:col>
      <xdr:colOff>402840</xdr:colOff>
      <xdr:row>49</xdr:row>
      <xdr:rowOff>112680</xdr:rowOff>
    </xdr:to>
    <xdr:pic>
      <xdr:nvPicPr>
        <xdr:cNvPr id="5" name="Image 6" descr="Picture"/>
        <xdr:cNvPicPr/>
      </xdr:nvPicPr>
      <xdr:blipFill>
        <a:blip r:embed="rId6"/>
        <a:stretch/>
      </xdr:blipFill>
      <xdr:spPr>
        <a:xfrm>
          <a:off x="7765920" y="6858000"/>
          <a:ext cx="5714640" cy="2619000"/>
        </a:xfrm>
        <a:prstGeom prst="rect">
          <a:avLst/>
        </a:prstGeom>
        <a:ln w="0">
          <a:noFill/>
        </a:ln>
      </xdr:spPr>
    </xdr:pic>
    <xdr:clientData/>
  </xdr:twoCellAnchor>
  <xdr:twoCellAnchor editAs="oneCell">
    <xdr:from>
      <xdr:col>1</xdr:col>
      <xdr:colOff>0</xdr:colOff>
      <xdr:row>50</xdr:row>
      <xdr:rowOff>160920</xdr:rowOff>
    </xdr:from>
    <xdr:to>
      <xdr:col>8</xdr:col>
      <xdr:colOff>402840</xdr:colOff>
      <xdr:row>64</xdr:row>
      <xdr:rowOff>112680</xdr:rowOff>
    </xdr:to>
    <xdr:pic>
      <xdr:nvPicPr>
        <xdr:cNvPr id="6" name="Image 7" descr="Picture"/>
        <xdr:cNvPicPr/>
      </xdr:nvPicPr>
      <xdr:blipFill>
        <a:blip r:embed="rId7"/>
        <a:stretch/>
      </xdr:blipFill>
      <xdr:spPr>
        <a:xfrm>
          <a:off x="177840" y="9715680"/>
          <a:ext cx="5714640" cy="2619000"/>
        </a:xfrm>
        <a:prstGeom prst="rect">
          <a:avLst/>
        </a:prstGeom>
        <a:ln w="0">
          <a:noFill/>
        </a:ln>
      </xdr:spPr>
    </xdr:pic>
    <xdr:clientData/>
  </xdr:twoCellAnchor>
  <xdr:twoCellAnchor editAs="oneCell">
    <xdr:from>
      <xdr:col>11</xdr:col>
      <xdr:colOff>0</xdr:colOff>
      <xdr:row>50</xdr:row>
      <xdr:rowOff>160920</xdr:rowOff>
    </xdr:from>
    <xdr:to>
      <xdr:col>18</xdr:col>
      <xdr:colOff>402840</xdr:colOff>
      <xdr:row>64</xdr:row>
      <xdr:rowOff>112680</xdr:rowOff>
    </xdr:to>
    <xdr:pic>
      <xdr:nvPicPr>
        <xdr:cNvPr id="7" name="Image 8" descr="Picture"/>
        <xdr:cNvPicPr/>
      </xdr:nvPicPr>
      <xdr:blipFill>
        <a:blip r:embed="rId8"/>
        <a:stretch/>
      </xdr:blipFill>
      <xdr:spPr>
        <a:xfrm>
          <a:off x="7765920" y="9715680"/>
          <a:ext cx="5714640" cy="2619000"/>
        </a:xfrm>
        <a:prstGeom prst="rect">
          <a:avLst/>
        </a:prstGeom>
        <a:ln w="0">
          <a:noFill/>
        </a:ln>
      </xdr:spPr>
    </xdr:pic>
    <xdr:clientData/>
  </xdr:twoCellAnchor>
  <xdr:twoCellAnchor editAs="oneCell">
    <xdr:from>
      <xdr:col>1</xdr:col>
      <xdr:colOff>0</xdr:colOff>
      <xdr:row>65</xdr:row>
      <xdr:rowOff>160560</xdr:rowOff>
    </xdr:from>
    <xdr:to>
      <xdr:col>8</xdr:col>
      <xdr:colOff>402840</xdr:colOff>
      <xdr:row>79</xdr:row>
      <xdr:rowOff>112680</xdr:rowOff>
    </xdr:to>
    <xdr:pic>
      <xdr:nvPicPr>
        <xdr:cNvPr id="8" name="Image 9" descr="Picture"/>
        <xdr:cNvPicPr/>
      </xdr:nvPicPr>
      <xdr:blipFill>
        <a:blip r:embed="rId9"/>
        <a:stretch/>
      </xdr:blipFill>
      <xdr:spPr>
        <a:xfrm>
          <a:off x="177840" y="12573000"/>
          <a:ext cx="5714640" cy="2619000"/>
        </a:xfrm>
        <a:prstGeom prst="rect">
          <a:avLst/>
        </a:prstGeom>
        <a:ln w="0">
          <a:noFill/>
        </a:ln>
      </xdr:spPr>
    </xdr:pic>
    <xdr:clientData/>
  </xdr:twoCellAnchor>
  <xdr:twoCellAnchor editAs="oneCell">
    <xdr:from>
      <xdr:col>11</xdr:col>
      <xdr:colOff>0</xdr:colOff>
      <xdr:row>65</xdr:row>
      <xdr:rowOff>160560</xdr:rowOff>
    </xdr:from>
    <xdr:to>
      <xdr:col>18</xdr:col>
      <xdr:colOff>402840</xdr:colOff>
      <xdr:row>79</xdr:row>
      <xdr:rowOff>112680</xdr:rowOff>
    </xdr:to>
    <xdr:pic>
      <xdr:nvPicPr>
        <xdr:cNvPr id="9" name="Image 10" descr="Picture"/>
        <xdr:cNvPicPr/>
      </xdr:nvPicPr>
      <xdr:blipFill>
        <a:blip r:embed="rId10"/>
        <a:stretch/>
      </xdr:blipFill>
      <xdr:spPr>
        <a:xfrm>
          <a:off x="7765920" y="12573000"/>
          <a:ext cx="5714640" cy="2619000"/>
        </a:xfrm>
        <a:prstGeom prst="rect">
          <a:avLst/>
        </a:prstGeom>
        <a:ln w="0">
          <a:noFill/>
        </a:ln>
      </xdr:spPr>
    </xdr:pic>
    <xdr:clientData/>
  </xdr:twoCellAnchor>
  <xdr:twoCellAnchor editAs="oneCell">
    <xdr:from>
      <xdr:col>1</xdr:col>
      <xdr:colOff>0</xdr:colOff>
      <xdr:row>80</xdr:row>
      <xdr:rowOff>160920</xdr:rowOff>
    </xdr:from>
    <xdr:to>
      <xdr:col>8</xdr:col>
      <xdr:colOff>402840</xdr:colOff>
      <xdr:row>94</xdr:row>
      <xdr:rowOff>112680</xdr:rowOff>
    </xdr:to>
    <xdr:pic>
      <xdr:nvPicPr>
        <xdr:cNvPr id="10" name="Image 11" descr="Picture"/>
        <xdr:cNvPicPr/>
      </xdr:nvPicPr>
      <xdr:blipFill>
        <a:blip r:embed="rId11"/>
        <a:stretch/>
      </xdr:blipFill>
      <xdr:spPr>
        <a:xfrm>
          <a:off x="177840" y="15430680"/>
          <a:ext cx="5714640" cy="2619000"/>
        </a:xfrm>
        <a:prstGeom prst="rect">
          <a:avLst/>
        </a:prstGeom>
        <a:ln w="0">
          <a:noFill/>
        </a:ln>
      </xdr:spPr>
    </xdr:pic>
    <xdr:clientData/>
  </xdr:twoCellAnchor>
  <xdr:twoCellAnchor editAs="oneCell">
    <xdr:from>
      <xdr:col>11</xdr:col>
      <xdr:colOff>0</xdr:colOff>
      <xdr:row>80</xdr:row>
      <xdr:rowOff>160920</xdr:rowOff>
    </xdr:from>
    <xdr:to>
      <xdr:col>18</xdr:col>
      <xdr:colOff>402840</xdr:colOff>
      <xdr:row>94</xdr:row>
      <xdr:rowOff>112680</xdr:rowOff>
    </xdr:to>
    <xdr:pic>
      <xdr:nvPicPr>
        <xdr:cNvPr id="11" name="Image 12" descr="Picture"/>
        <xdr:cNvPicPr/>
      </xdr:nvPicPr>
      <xdr:blipFill>
        <a:blip r:embed="rId12"/>
        <a:stretch/>
      </xdr:blipFill>
      <xdr:spPr>
        <a:xfrm>
          <a:off x="7765920" y="15430680"/>
          <a:ext cx="5714640" cy="2619000"/>
        </a:xfrm>
        <a:prstGeom prst="rect">
          <a:avLst/>
        </a:prstGeom>
        <a:ln w="0">
          <a:noFill/>
        </a:ln>
      </xdr:spPr>
    </xdr:pic>
    <xdr:clientData/>
  </xdr:twoCellAnchor>
  <xdr:twoCellAnchor editAs="oneCell">
    <xdr:from>
      <xdr:col>1</xdr:col>
      <xdr:colOff>0</xdr:colOff>
      <xdr:row>97</xdr:row>
      <xdr:rowOff>160560</xdr:rowOff>
    </xdr:from>
    <xdr:to>
      <xdr:col>10</xdr:col>
      <xdr:colOff>408960</xdr:colOff>
      <xdr:row>111</xdr:row>
      <xdr:rowOff>65160</xdr:rowOff>
    </xdr:to>
    <xdr:pic>
      <xdr:nvPicPr>
        <xdr:cNvPr id="12" name="Image 13" descr="Picture"/>
        <xdr:cNvPicPr/>
      </xdr:nvPicPr>
      <xdr:blipFill>
        <a:blip r:embed="rId13"/>
        <a:stretch/>
      </xdr:blipFill>
      <xdr:spPr>
        <a:xfrm>
          <a:off x="177840" y="18668880"/>
          <a:ext cx="7238520" cy="2571480"/>
        </a:xfrm>
        <a:prstGeom prst="rect">
          <a:avLst/>
        </a:prstGeom>
        <a:ln w="0">
          <a:noFill/>
        </a:ln>
      </xdr:spPr>
    </xdr:pic>
    <xdr:clientData/>
  </xdr:twoCellAnchor>
  <xdr:twoCellAnchor editAs="oneCell">
    <xdr:from>
      <xdr:col>1</xdr:col>
      <xdr:colOff>0</xdr:colOff>
      <xdr:row>114</xdr:row>
      <xdr:rowOff>160560</xdr:rowOff>
    </xdr:from>
    <xdr:to>
      <xdr:col>6</xdr:col>
      <xdr:colOff>682200</xdr:colOff>
      <xdr:row>127</xdr:row>
      <xdr:rowOff>17280</xdr:rowOff>
    </xdr:to>
    <xdr:pic>
      <xdr:nvPicPr>
        <xdr:cNvPr id="13" name="Image 14" descr="Picture"/>
        <xdr:cNvPicPr/>
      </xdr:nvPicPr>
      <xdr:blipFill>
        <a:blip r:embed="rId14"/>
        <a:stretch/>
      </xdr:blipFill>
      <xdr:spPr>
        <a:xfrm>
          <a:off x="177840" y="21907440"/>
          <a:ext cx="4476240" cy="2333160"/>
        </a:xfrm>
        <a:prstGeom prst="rect">
          <a:avLst/>
        </a:prstGeom>
        <a:ln w="0">
          <a:noFill/>
        </a:ln>
      </xdr:spPr>
    </xdr:pic>
    <xdr:clientData/>
  </xdr:twoCellAnchor>
  <xdr:twoCellAnchor editAs="oneCell">
    <xdr:from>
      <xdr:col>11</xdr:col>
      <xdr:colOff>0</xdr:colOff>
      <xdr:row>114</xdr:row>
      <xdr:rowOff>160560</xdr:rowOff>
    </xdr:from>
    <xdr:to>
      <xdr:col>16</xdr:col>
      <xdr:colOff>681840</xdr:colOff>
      <xdr:row>127</xdr:row>
      <xdr:rowOff>17280</xdr:rowOff>
    </xdr:to>
    <xdr:pic>
      <xdr:nvPicPr>
        <xdr:cNvPr id="14" name="Image 15" descr="Picture"/>
        <xdr:cNvPicPr/>
      </xdr:nvPicPr>
      <xdr:blipFill>
        <a:blip r:embed="rId15"/>
        <a:stretch/>
      </xdr:blipFill>
      <xdr:spPr>
        <a:xfrm>
          <a:off x="7765920" y="21907440"/>
          <a:ext cx="4476240" cy="2333160"/>
        </a:xfrm>
        <a:prstGeom prst="rect">
          <a:avLst/>
        </a:prstGeom>
        <a:ln w="0">
          <a:noFill/>
        </a:ln>
      </xdr:spPr>
    </xdr:pic>
    <xdr:clientData/>
  </xdr:twoCellAnchor>
  <xdr:twoCellAnchor editAs="oneCell">
    <xdr:from>
      <xdr:col>1</xdr:col>
      <xdr:colOff>0</xdr:colOff>
      <xdr:row>128</xdr:row>
      <xdr:rowOff>160920</xdr:rowOff>
    </xdr:from>
    <xdr:to>
      <xdr:col>6</xdr:col>
      <xdr:colOff>682200</xdr:colOff>
      <xdr:row>141</xdr:row>
      <xdr:rowOff>17640</xdr:rowOff>
    </xdr:to>
    <xdr:pic>
      <xdr:nvPicPr>
        <xdr:cNvPr id="15" name="Image 16" descr="Picture"/>
        <xdr:cNvPicPr/>
      </xdr:nvPicPr>
      <xdr:blipFill>
        <a:blip r:embed="rId16"/>
        <a:stretch/>
      </xdr:blipFill>
      <xdr:spPr>
        <a:xfrm>
          <a:off x="177840" y="24574680"/>
          <a:ext cx="4476240" cy="2333160"/>
        </a:xfrm>
        <a:prstGeom prst="rect">
          <a:avLst/>
        </a:prstGeom>
        <a:ln w="0">
          <a:noFill/>
        </a:ln>
      </xdr:spPr>
    </xdr:pic>
    <xdr:clientData/>
  </xdr:twoCellAnchor>
  <xdr:twoCellAnchor editAs="oneCell">
    <xdr:from>
      <xdr:col>11</xdr:col>
      <xdr:colOff>0</xdr:colOff>
      <xdr:row>128</xdr:row>
      <xdr:rowOff>160920</xdr:rowOff>
    </xdr:from>
    <xdr:to>
      <xdr:col>16</xdr:col>
      <xdr:colOff>681840</xdr:colOff>
      <xdr:row>141</xdr:row>
      <xdr:rowOff>17640</xdr:rowOff>
    </xdr:to>
    <xdr:pic>
      <xdr:nvPicPr>
        <xdr:cNvPr id="16" name="Image 17" descr="Picture"/>
        <xdr:cNvPicPr/>
      </xdr:nvPicPr>
      <xdr:blipFill>
        <a:blip r:embed="rId17"/>
        <a:stretch/>
      </xdr:blipFill>
      <xdr:spPr>
        <a:xfrm>
          <a:off x="7765920" y="24574680"/>
          <a:ext cx="4476240" cy="233316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48" hidden="false" customHeight="true" outlineLevel="0" collapsed="false">
      <c r="A5" s="4" t="s">
        <v>4</v>
      </c>
      <c r="B5" s="5" t="s">
        <v>5</v>
      </c>
    </row>
    <row r="6" customFormat="false" ht="48" hidden="false" customHeight="true" outlineLevel="0" collapsed="false">
      <c r="A6" s="4" t="s">
        <v>6</v>
      </c>
      <c r="B6" s="5" t="s">
        <v>7</v>
      </c>
    </row>
    <row r="7" customFormat="false" ht="48" hidden="false" customHeight="true" outlineLevel="0" collapsed="false">
      <c r="A7" s="4" t="s">
        <v>8</v>
      </c>
      <c r="B7" s="5" t="s">
        <v>9</v>
      </c>
    </row>
    <row r="8" customFormat="false" ht="48" hidden="false" customHeight="true" outlineLevel="0" collapsed="false">
      <c r="A8" s="4" t="s">
        <v>10</v>
      </c>
      <c r="B8" s="5" t="s">
        <v>11</v>
      </c>
    </row>
    <row r="9" customFormat="false" ht="48" hidden="false" customHeight="true" outlineLevel="0" collapsed="false">
      <c r="A9" s="4" t="s">
        <v>12</v>
      </c>
      <c r="B9" s="5" t="s">
        <v>13</v>
      </c>
    </row>
    <row r="10" customFormat="false" ht="48" hidden="false" customHeight="true" outlineLevel="0" collapsed="false">
      <c r="A10" s="4" t="s">
        <v>14</v>
      </c>
      <c r="B10" s="5" t="s">
        <v>15</v>
      </c>
    </row>
    <row r="11" customFormat="false" ht="48" hidden="false" customHeight="true" outlineLevel="0" collapsed="false">
      <c r="A11" s="4" t="s">
        <v>16</v>
      </c>
      <c r="B11" s="5" t="s">
        <v>17</v>
      </c>
    </row>
    <row r="12" customFormat="false" ht="48" hidden="false" customHeight="true" outlineLevel="0" collapsed="false">
      <c r="A12" s="4" t="s">
        <v>18</v>
      </c>
      <c r="B12" s="5"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3"/>
    <col collapsed="false" customWidth="true" hidden="false" outlineLevel="0" max="4" min="4" style="0" width="22"/>
    <col collapsed="false" customWidth="true" hidden="false" outlineLevel="0" max="10" min="5" style="0" width="13"/>
    <col collapsed="false" customWidth="true" hidden="false" outlineLevel="0" max="11" min="11" style="0" width="60"/>
  </cols>
  <sheetData>
    <row r="1" customFormat="false" ht="17.35" hidden="false" customHeight="false" outlineLevel="0" collapsed="false">
      <c r="A1" s="1" t="s">
        <v>20</v>
      </c>
    </row>
    <row r="2" customFormat="false" ht="15" hidden="false" customHeight="false" outlineLevel="0" collapsed="false">
      <c r="A2" s="2" t="s">
        <v>21</v>
      </c>
    </row>
    <row r="4" customFormat="false" ht="15" hidden="false" customHeight="false" outlineLevel="0" collapsed="false">
      <c r="A4" s="3" t="s">
        <v>22</v>
      </c>
      <c r="B4" s="3" t="s">
        <v>23</v>
      </c>
      <c r="C4" s="3" t="s">
        <v>24</v>
      </c>
      <c r="D4" s="3" t="s">
        <v>25</v>
      </c>
    </row>
    <row r="5" customFormat="false" ht="15" hidden="false" customHeight="false" outlineLevel="0" collapsed="false">
      <c r="A5" s="6" t="s">
        <v>26</v>
      </c>
      <c r="B5" s="7"/>
      <c r="C5" s="7"/>
      <c r="D5" s="7"/>
    </row>
    <row r="6" customFormat="false" ht="23.85" hidden="false" customHeight="false" outlineLevel="0" collapsed="false">
      <c r="A6" s="5" t="s">
        <v>27</v>
      </c>
      <c r="B6" s="5" t="s">
        <v>28</v>
      </c>
      <c r="C6" s="8" t="n">
        <v>2035</v>
      </c>
      <c r="D6" s="5" t="s">
        <v>29</v>
      </c>
    </row>
    <row r="7" customFormat="false" ht="35.05" hidden="false" customHeight="false" outlineLevel="0" collapsed="false">
      <c r="A7" s="5" t="s">
        <v>30</v>
      </c>
      <c r="B7" s="5" t="s">
        <v>31</v>
      </c>
      <c r="C7" s="8" t="n">
        <v>4</v>
      </c>
      <c r="D7" s="5" t="s">
        <v>32</v>
      </c>
    </row>
    <row r="8" customFormat="false" ht="23.85" hidden="false" customHeight="false" outlineLevel="0" collapsed="false">
      <c r="A8" s="5" t="s">
        <v>33</v>
      </c>
      <c r="B8" s="5" t="s">
        <v>31</v>
      </c>
      <c r="C8" s="8" t="n">
        <v>48</v>
      </c>
      <c r="D8" s="5" t="s">
        <v>34</v>
      </c>
    </row>
    <row r="9" customFormat="false" ht="15" hidden="false" customHeight="false" outlineLevel="0" collapsed="false">
      <c r="A9" s="5" t="s">
        <v>35</v>
      </c>
      <c r="B9" s="5" t="s">
        <v>36</v>
      </c>
      <c r="C9" s="8" t="n">
        <v>5</v>
      </c>
      <c r="D9" s="5" t="s">
        <v>37</v>
      </c>
    </row>
    <row r="11" customFormat="false" ht="15" hidden="false" customHeight="false" outlineLevel="0" collapsed="false">
      <c r="A11" s="6" t="s">
        <v>38</v>
      </c>
      <c r="B11" s="7"/>
      <c r="C11" s="7"/>
      <c r="D11" s="7"/>
    </row>
    <row r="12" customFormat="false" ht="35.05" hidden="false" customHeight="false" outlineLevel="0" collapsed="false">
      <c r="A12" s="5" t="s">
        <v>39</v>
      </c>
      <c r="B12" s="5" t="s">
        <v>40</v>
      </c>
      <c r="C12" s="9" t="n">
        <v>1200</v>
      </c>
      <c r="D12" s="5" t="s">
        <v>41</v>
      </c>
    </row>
    <row r="13" customFormat="false" ht="35.05" hidden="false" customHeight="false" outlineLevel="0" collapsed="false">
      <c r="A13" s="5" t="s">
        <v>42</v>
      </c>
      <c r="B13" s="5" t="s">
        <v>40</v>
      </c>
      <c r="C13" s="9" t="n">
        <v>1000</v>
      </c>
      <c r="D13" s="5" t="s">
        <v>41</v>
      </c>
    </row>
    <row r="14" customFormat="false" ht="35.05" hidden="false" customHeight="false" outlineLevel="0" collapsed="false">
      <c r="A14" s="5" t="s">
        <v>43</v>
      </c>
      <c r="B14" s="5" t="s">
        <v>40</v>
      </c>
      <c r="C14" s="9" t="n">
        <v>145</v>
      </c>
      <c r="D14" s="5" t="s">
        <v>41</v>
      </c>
    </row>
    <row r="15" customFormat="false" ht="35.05" hidden="false" customHeight="false" outlineLevel="0" collapsed="false">
      <c r="A15" s="5" t="s">
        <v>44</v>
      </c>
      <c r="B15" s="5" t="s">
        <v>45</v>
      </c>
      <c r="C15" s="9" t="n">
        <v>35</v>
      </c>
      <c r="D15" s="5" t="s">
        <v>41</v>
      </c>
    </row>
    <row r="16" customFormat="false" ht="46.25" hidden="false" customHeight="false" outlineLevel="0" collapsed="false">
      <c r="A16" s="5" t="s">
        <v>46</v>
      </c>
      <c r="B16" s="5" t="s">
        <v>40</v>
      </c>
      <c r="C16" s="9" t="n">
        <v>1600</v>
      </c>
      <c r="D16" s="5" t="s">
        <v>47</v>
      </c>
    </row>
    <row r="17" customFormat="false" ht="46.25" hidden="false" customHeight="false" outlineLevel="0" collapsed="false">
      <c r="A17" s="5" t="s">
        <v>48</v>
      </c>
      <c r="B17" s="5" t="s">
        <v>45</v>
      </c>
      <c r="C17" s="9" t="n">
        <v>1100</v>
      </c>
      <c r="D17" s="5" t="s">
        <v>49</v>
      </c>
    </row>
    <row r="18" customFormat="false" ht="35.05" hidden="false" customHeight="false" outlineLevel="0" collapsed="false">
      <c r="A18" s="5" t="s">
        <v>50</v>
      </c>
      <c r="B18" s="5" t="s">
        <v>40</v>
      </c>
      <c r="C18" s="9" t="n">
        <v>3</v>
      </c>
      <c r="D18" s="5" t="s">
        <v>51</v>
      </c>
    </row>
    <row r="19" customFormat="false" ht="35.05" hidden="false" customHeight="false" outlineLevel="0" collapsed="false">
      <c r="A19" s="5" t="s">
        <v>52</v>
      </c>
      <c r="B19" s="5" t="s">
        <v>45</v>
      </c>
      <c r="C19" s="10" t="n">
        <v>0.6</v>
      </c>
      <c r="D19" s="5" t="s">
        <v>51</v>
      </c>
    </row>
    <row r="20" customFormat="false" ht="23.85" hidden="false" customHeight="false" outlineLevel="0" collapsed="false">
      <c r="A20" s="5" t="s">
        <v>53</v>
      </c>
      <c r="B20" s="5" t="s">
        <v>54</v>
      </c>
      <c r="C20" s="9" t="n">
        <v>1</v>
      </c>
      <c r="D20" s="5" t="s">
        <v>55</v>
      </c>
    </row>
    <row r="22" customFormat="false" ht="15" hidden="false" customHeight="false" outlineLevel="0" collapsed="false">
      <c r="A22" s="6" t="s">
        <v>56</v>
      </c>
      <c r="B22" s="7"/>
      <c r="C22" s="7"/>
      <c r="D22" s="7"/>
      <c r="E22" s="7"/>
      <c r="F22" s="7"/>
      <c r="G22" s="7"/>
    </row>
    <row r="23" customFormat="false" ht="15" hidden="false" customHeight="false" outlineLevel="0" collapsed="false">
      <c r="A23" s="3" t="s">
        <v>22</v>
      </c>
      <c r="B23" s="3" t="s">
        <v>23</v>
      </c>
      <c r="C23" s="3" t="s">
        <v>57</v>
      </c>
      <c r="D23" s="3" t="s">
        <v>58</v>
      </c>
      <c r="E23" s="3" t="s">
        <v>59</v>
      </c>
      <c r="F23" s="3" t="s">
        <v>60</v>
      </c>
      <c r="G23" s="3" t="s">
        <v>25</v>
      </c>
    </row>
    <row r="24" customFormat="false" ht="35.05" hidden="false" customHeight="false" outlineLevel="0" collapsed="false">
      <c r="A24" s="5" t="s">
        <v>61</v>
      </c>
      <c r="B24" s="5" t="s">
        <v>62</v>
      </c>
      <c r="C24" s="9" t="n">
        <v>6</v>
      </c>
      <c r="D24" s="9" t="n">
        <v>1</v>
      </c>
      <c r="E24" s="9" t="n">
        <v>1</v>
      </c>
      <c r="F24" s="9" t="n">
        <v>1</v>
      </c>
      <c r="G24" s="5" t="s">
        <v>63</v>
      </c>
    </row>
    <row r="25" customFormat="false" ht="35.05" hidden="false" customHeight="false" outlineLevel="0" collapsed="false">
      <c r="A25" s="5" t="s">
        <v>64</v>
      </c>
      <c r="B25" s="5" t="s">
        <v>40</v>
      </c>
      <c r="C25" s="9" t="n">
        <v>265</v>
      </c>
      <c r="D25" s="9" t="n">
        <v>135</v>
      </c>
      <c r="E25" s="9" t="n">
        <v>165</v>
      </c>
      <c r="F25" s="9" t="n">
        <v>195</v>
      </c>
      <c r="G25" s="5" t="s">
        <v>65</v>
      </c>
    </row>
    <row r="26" customFormat="false" ht="15" hidden="false" customHeight="false" outlineLevel="0" collapsed="false">
      <c r="A26" s="5" t="s">
        <v>66</v>
      </c>
      <c r="B26" s="5" t="s">
        <v>40</v>
      </c>
      <c r="C26" s="9" t="n">
        <v>190</v>
      </c>
      <c r="D26" s="9" t="n">
        <v>135</v>
      </c>
      <c r="E26" s="9" t="n">
        <v>165</v>
      </c>
      <c r="F26" s="9" t="n">
        <v>195</v>
      </c>
      <c r="G26" s="5" t="s">
        <v>67</v>
      </c>
    </row>
    <row r="27" customFormat="false" ht="35.05" hidden="false" customHeight="false" outlineLevel="0" collapsed="false">
      <c r="A27" s="5" t="s">
        <v>68</v>
      </c>
      <c r="B27" s="5" t="s">
        <v>40</v>
      </c>
      <c r="C27" s="9" t="n">
        <v>410</v>
      </c>
      <c r="D27" s="9" t="n">
        <v>435</v>
      </c>
      <c r="E27" s="9" t="n">
        <v>515</v>
      </c>
      <c r="F27" s="9" t="n">
        <v>685</v>
      </c>
      <c r="G27" s="5" t="s">
        <v>69</v>
      </c>
    </row>
    <row r="28" customFormat="false" ht="15" hidden="false" customHeight="false" outlineLevel="0" collapsed="false">
      <c r="A28" s="5" t="s">
        <v>70</v>
      </c>
      <c r="B28" s="5" t="s">
        <v>45</v>
      </c>
      <c r="C28" s="11" t="n">
        <v>0.35</v>
      </c>
      <c r="D28" s="11" t="n">
        <v>0.25</v>
      </c>
      <c r="E28" s="11" t="n">
        <v>0.35</v>
      </c>
      <c r="F28" s="11" t="n">
        <v>0.5</v>
      </c>
      <c r="G28" s="5" t="s">
        <v>71</v>
      </c>
    </row>
    <row r="29" customFormat="false" ht="35.05" hidden="false" customHeight="false" outlineLevel="0" collapsed="false">
      <c r="A29" s="5" t="s">
        <v>72</v>
      </c>
      <c r="B29" s="5" t="s">
        <v>45</v>
      </c>
      <c r="C29" s="11" t="n">
        <v>2.08</v>
      </c>
      <c r="D29" s="11" t="n">
        <v>4.63</v>
      </c>
      <c r="E29" s="11" t="n">
        <v>8.48</v>
      </c>
      <c r="F29" s="11" t="n">
        <v>16.23</v>
      </c>
      <c r="G29" s="5" t="s">
        <v>73</v>
      </c>
    </row>
    <row r="31" customFormat="false" ht="15" hidden="false" customHeight="false" outlineLevel="0" collapsed="false">
      <c r="A31" s="6" t="s">
        <v>74</v>
      </c>
      <c r="B31" s="7"/>
      <c r="C31" s="7"/>
      <c r="D31" s="7"/>
      <c r="E31" s="7"/>
      <c r="F31" s="7"/>
      <c r="G31" s="7"/>
      <c r="H31" s="7"/>
      <c r="I31" s="7"/>
      <c r="J31" s="7"/>
      <c r="K31" s="7"/>
    </row>
    <row r="32" customFormat="false" ht="15" hidden="false" customHeight="false" outlineLevel="0" collapsed="false">
      <c r="A32" s="3" t="s">
        <v>22</v>
      </c>
      <c r="B32" s="3" t="s">
        <v>23</v>
      </c>
      <c r="C32" s="3" t="s">
        <v>57</v>
      </c>
      <c r="D32" s="3" t="s">
        <v>58</v>
      </c>
      <c r="E32" s="3" t="s">
        <v>59</v>
      </c>
      <c r="F32" s="3" t="s">
        <v>60</v>
      </c>
      <c r="G32" s="3" t="s">
        <v>75</v>
      </c>
      <c r="H32" s="3" t="s">
        <v>76</v>
      </c>
      <c r="I32" s="3" t="s">
        <v>77</v>
      </c>
      <c r="J32" s="3" t="s">
        <v>78</v>
      </c>
      <c r="K32" s="3" t="s">
        <v>79</v>
      </c>
    </row>
    <row r="33" customFormat="false" ht="15" hidden="false" customHeight="false" outlineLevel="0" collapsed="false">
      <c r="A33" s="5" t="s">
        <v>80</v>
      </c>
      <c r="B33" s="5" t="s">
        <v>40</v>
      </c>
      <c r="C33" s="12" t="n">
        <v>76.2</v>
      </c>
      <c r="D33" s="12" t="n">
        <v>124</v>
      </c>
      <c r="E33" s="12" t="n">
        <v>153</v>
      </c>
      <c r="F33" s="12" t="n">
        <v>181.5</v>
      </c>
      <c r="G33" s="12" t="n">
        <v>276.5</v>
      </c>
      <c r="H33" s="12" t="n">
        <v>320</v>
      </c>
      <c r="I33" s="12" t="n">
        <v>390</v>
      </c>
      <c r="J33" s="12" t="n">
        <v>390</v>
      </c>
      <c r="K33" s="5" t="s">
        <v>81</v>
      </c>
    </row>
    <row r="34" customFormat="false" ht="15" hidden="false" customHeight="false" outlineLevel="0" collapsed="false">
      <c r="A34" s="5" t="s">
        <v>82</v>
      </c>
      <c r="B34" s="5" t="s">
        <v>40</v>
      </c>
      <c r="C34" s="12" t="n">
        <v>297.5</v>
      </c>
      <c r="D34" s="12" t="n">
        <v>333</v>
      </c>
      <c r="E34" s="12" t="n">
        <v>414</v>
      </c>
      <c r="F34" s="12" t="n">
        <v>582</v>
      </c>
      <c r="G34" s="12" t="n">
        <v>672</v>
      </c>
      <c r="H34" s="12" t="n">
        <v>858</v>
      </c>
      <c r="I34" s="12" t="n">
        <v>908</v>
      </c>
      <c r="J34" s="12" t="n">
        <v>1128</v>
      </c>
      <c r="K34" s="5" t="s">
        <v>81</v>
      </c>
    </row>
    <row r="35" customFormat="false" ht="15" hidden="false" customHeight="false" outlineLevel="0" collapsed="false">
      <c r="A35" s="5" t="s">
        <v>83</v>
      </c>
      <c r="B35" s="5" t="s">
        <v>45</v>
      </c>
      <c r="C35" s="11" t="n">
        <v>0.76</v>
      </c>
      <c r="D35" s="11" t="n">
        <v>1.48</v>
      </c>
      <c r="E35" s="11" t="n">
        <v>2.78</v>
      </c>
      <c r="F35" s="11" t="n">
        <v>5.48</v>
      </c>
      <c r="G35" s="11" t="n">
        <v>15.92</v>
      </c>
      <c r="H35" s="11" t="n">
        <v>23.3</v>
      </c>
      <c r="I35" s="11" t="n">
        <v>46.86176284</v>
      </c>
      <c r="J35" s="11" t="n">
        <v>56.84631739</v>
      </c>
      <c r="K35" s="5" t="s">
        <v>81</v>
      </c>
    </row>
    <row r="37" customFormat="false" ht="15" hidden="false" customHeight="false" outlineLevel="0" collapsed="false">
      <c r="A37" s="6" t="s">
        <v>84</v>
      </c>
      <c r="B37" s="7"/>
      <c r="C37" s="7"/>
      <c r="D37" s="7"/>
      <c r="E37" s="7"/>
      <c r="F37" s="7"/>
      <c r="G37" s="7"/>
    </row>
    <row r="38" customFormat="false" ht="15" hidden="false" customHeight="false" outlineLevel="0" collapsed="false">
      <c r="A38" s="3" t="s">
        <v>22</v>
      </c>
      <c r="B38" s="3" t="s">
        <v>23</v>
      </c>
      <c r="C38" s="3" t="s">
        <v>75</v>
      </c>
      <c r="D38" s="3" t="s">
        <v>76</v>
      </c>
      <c r="E38" s="3" t="s">
        <v>77</v>
      </c>
      <c r="F38" s="3" t="s">
        <v>78</v>
      </c>
      <c r="G38" s="3" t="s">
        <v>79</v>
      </c>
    </row>
    <row r="39" customFormat="false" ht="57.45" hidden="false" customHeight="false" outlineLevel="0" collapsed="false">
      <c r="A39" s="5" t="s">
        <v>85</v>
      </c>
      <c r="B39" s="5" t="s">
        <v>40</v>
      </c>
      <c r="C39" s="9" t="n">
        <v>600</v>
      </c>
      <c r="D39" s="9" t="n">
        <v>700</v>
      </c>
      <c r="E39" s="9" t="n">
        <v>800</v>
      </c>
      <c r="F39" s="9" t="n">
        <v>800</v>
      </c>
      <c r="G39" s="5" t="s">
        <v>86</v>
      </c>
    </row>
    <row r="40" customFormat="false" ht="57.45" hidden="false" customHeight="false" outlineLevel="0" collapsed="false">
      <c r="A40" s="5" t="s">
        <v>87</v>
      </c>
      <c r="B40" s="5" t="s">
        <v>40</v>
      </c>
      <c r="C40" s="9" t="n">
        <v>550</v>
      </c>
      <c r="D40" s="9" t="n">
        <v>600</v>
      </c>
      <c r="E40" s="9" t="n">
        <v>700</v>
      </c>
      <c r="F40" s="9" t="n">
        <v>750</v>
      </c>
      <c r="G40" s="5" t="s">
        <v>86</v>
      </c>
    </row>
    <row r="41" customFormat="false" ht="57.45" hidden="false" customHeight="false" outlineLevel="0" collapsed="false">
      <c r="A41" s="5" t="s">
        <v>88</v>
      </c>
      <c r="B41" s="5" t="s">
        <v>40</v>
      </c>
      <c r="C41" s="9" t="n">
        <v>962</v>
      </c>
      <c r="D41" s="9" t="n">
        <v>1145</v>
      </c>
      <c r="E41" s="9" t="n">
        <v>1200</v>
      </c>
      <c r="F41" s="9" t="n">
        <v>1597</v>
      </c>
      <c r="G41" s="5" t="s">
        <v>89</v>
      </c>
    </row>
    <row r="42" customFormat="false" ht="46.25" hidden="false" customHeight="false" outlineLevel="0" collapsed="false">
      <c r="A42" s="5" t="s">
        <v>90</v>
      </c>
      <c r="B42" s="5" t="s">
        <v>45</v>
      </c>
      <c r="C42" s="9" t="n">
        <v>55</v>
      </c>
      <c r="D42" s="9" t="n">
        <v>100</v>
      </c>
      <c r="E42" s="9" t="n">
        <v>140</v>
      </c>
      <c r="F42" s="9" t="n">
        <v>185</v>
      </c>
      <c r="G42" s="5" t="s">
        <v>91</v>
      </c>
    </row>
    <row r="44" customFormat="false" ht="15" hidden="false" customHeight="false" outlineLevel="0" collapsed="false">
      <c r="A44" s="6" t="s">
        <v>92</v>
      </c>
      <c r="B44" s="7"/>
      <c r="C44" s="7"/>
      <c r="D44" s="7"/>
      <c r="E44" s="7"/>
      <c r="F44" s="7"/>
      <c r="G44" s="7"/>
    </row>
    <row r="45" customFormat="false" ht="23.85" hidden="false" customHeight="false" outlineLevel="0" collapsed="false">
      <c r="A45" s="3" t="s">
        <v>22</v>
      </c>
      <c r="B45" s="3" t="s">
        <v>23</v>
      </c>
      <c r="C45" s="3" t="s">
        <v>93</v>
      </c>
      <c r="D45" s="3" t="s">
        <v>94</v>
      </c>
      <c r="E45" s="3"/>
      <c r="F45" s="3"/>
      <c r="G45" s="3" t="s">
        <v>25</v>
      </c>
    </row>
    <row r="46" customFormat="false" ht="57.45" hidden="false" customHeight="false" outlineLevel="0" collapsed="false">
      <c r="A46" s="5" t="s">
        <v>95</v>
      </c>
      <c r="B46" s="5" t="s">
        <v>96</v>
      </c>
      <c r="C46" s="11" t="n">
        <v>7.5</v>
      </c>
      <c r="D46" s="11" t="n">
        <v>6.5</v>
      </c>
      <c r="G46" s="5" t="s">
        <v>97</v>
      </c>
    </row>
    <row r="47" customFormat="false" ht="46.25" hidden="false" customHeight="false" outlineLevel="0" collapsed="false">
      <c r="A47" s="5" t="s">
        <v>98</v>
      </c>
      <c r="B47" s="5" t="s">
        <v>96</v>
      </c>
      <c r="C47" s="11" t="n">
        <v>2.6</v>
      </c>
      <c r="D47" s="11" t="n">
        <v>2.6</v>
      </c>
      <c r="G47" s="5" t="s">
        <v>99</v>
      </c>
    </row>
    <row r="48" customFormat="false" ht="35.05" hidden="false" customHeight="false" outlineLevel="0" collapsed="false">
      <c r="A48" s="5" t="s">
        <v>100</v>
      </c>
      <c r="B48" s="5" t="s">
        <v>96</v>
      </c>
      <c r="C48" s="11" t="n">
        <v>2.4</v>
      </c>
      <c r="D48" s="11" t="n">
        <v>2.6</v>
      </c>
      <c r="G48" s="5" t="s">
        <v>101</v>
      </c>
    </row>
    <row r="49" customFormat="false" ht="15" hidden="false" customHeight="false" outlineLevel="0" collapsed="false">
      <c r="A49" s="5" t="s">
        <v>102</v>
      </c>
      <c r="B49" s="5" t="s">
        <v>96</v>
      </c>
      <c r="C49" s="11" t="n">
        <v>0.1</v>
      </c>
      <c r="D49" s="11" t="n">
        <v>0.1</v>
      </c>
      <c r="G49" s="5" t="s">
        <v>16</v>
      </c>
    </row>
    <row r="50" customFormat="false" ht="15" hidden="false" customHeight="false" outlineLevel="0" collapsed="false">
      <c r="A50" s="5" t="s">
        <v>103</v>
      </c>
      <c r="B50" s="5" t="s">
        <v>96</v>
      </c>
      <c r="C50" s="11" t="n">
        <v>0.14</v>
      </c>
      <c r="D50" s="11" t="n">
        <v>0.14</v>
      </c>
      <c r="G50" s="5" t="s">
        <v>16</v>
      </c>
    </row>
    <row r="51" customFormat="false" ht="15" hidden="false" customHeight="false" outlineLevel="0" collapsed="false">
      <c r="A51" s="5" t="s">
        <v>104</v>
      </c>
      <c r="B51" s="5" t="s">
        <v>96</v>
      </c>
      <c r="C51" s="11" t="n">
        <v>0.1</v>
      </c>
      <c r="D51" s="11" t="n">
        <v>0.1</v>
      </c>
      <c r="G51" s="5" t="s">
        <v>16</v>
      </c>
    </row>
    <row r="52" customFormat="false" ht="57.45" hidden="false" customHeight="false" outlineLevel="0" collapsed="false">
      <c r="A52" s="5" t="s">
        <v>105</v>
      </c>
      <c r="B52" s="5" t="s">
        <v>45</v>
      </c>
      <c r="C52" s="9" t="n">
        <v>12000</v>
      </c>
      <c r="D52" s="9" t="n">
        <v>10000</v>
      </c>
      <c r="G52" s="5" t="s">
        <v>106</v>
      </c>
    </row>
    <row r="53" customFormat="false" ht="68.65" hidden="false" customHeight="false" outlineLevel="0" collapsed="false">
      <c r="A53" s="4" t="s">
        <v>107</v>
      </c>
      <c r="B53" s="5" t="s">
        <v>108</v>
      </c>
      <c r="C53" s="8" t="n">
        <v>1</v>
      </c>
      <c r="G53" s="5" t="s">
        <v>109</v>
      </c>
    </row>
    <row r="55" customFormat="false" ht="15" hidden="false" customHeight="false" outlineLevel="0" collapsed="false">
      <c r="A55" s="3" t="s">
        <v>110</v>
      </c>
      <c r="B55" s="3" t="s">
        <v>23</v>
      </c>
      <c r="C55" s="3" t="s">
        <v>24</v>
      </c>
      <c r="D55" s="3" t="s">
        <v>25</v>
      </c>
    </row>
    <row r="56" customFormat="false" ht="23.85" hidden="false" customHeight="false" outlineLevel="0" collapsed="false">
      <c r="A56" s="5" t="s">
        <v>111</v>
      </c>
      <c r="B56" s="5" t="s">
        <v>96</v>
      </c>
      <c r="C56" s="13" t="n">
        <v>3.857</v>
      </c>
      <c r="D56" s="5" t="s">
        <v>112</v>
      </c>
    </row>
    <row r="57" customFormat="false" ht="23.85" hidden="false" customHeight="false" outlineLevel="0" collapsed="false">
      <c r="A57" s="5" t="s">
        <v>113</v>
      </c>
      <c r="B57" s="5" t="s">
        <v>96</v>
      </c>
      <c r="C57" s="13" t="n">
        <v>1.765</v>
      </c>
      <c r="D57" s="5" t="s">
        <v>114</v>
      </c>
    </row>
    <row r="58" customFormat="false" ht="46.25" hidden="false" customHeight="false" outlineLevel="0" collapsed="false">
      <c r="A58" s="5" t="s">
        <v>115</v>
      </c>
      <c r="B58" s="5" t="s">
        <v>96</v>
      </c>
      <c r="C58" s="13" t="n">
        <v>1.38</v>
      </c>
      <c r="D58" s="5" t="s">
        <v>116</v>
      </c>
    </row>
    <row r="59" customFormat="false" ht="15" hidden="false" customHeight="false" outlineLevel="0" collapsed="false">
      <c r="A59" s="5" t="s">
        <v>117</v>
      </c>
      <c r="B59" s="5" t="s">
        <v>96</v>
      </c>
      <c r="C59" s="13" t="n">
        <v>1</v>
      </c>
      <c r="D59" s="5" t="s">
        <v>16</v>
      </c>
    </row>
    <row r="60" customFormat="false" ht="35.05" hidden="false" customHeight="false" outlineLevel="0" collapsed="false">
      <c r="A60" s="5" t="s">
        <v>118</v>
      </c>
      <c r="B60" s="5" t="s">
        <v>96</v>
      </c>
      <c r="C60" s="13" t="n">
        <v>0.6</v>
      </c>
      <c r="D60" s="5" t="s">
        <v>119</v>
      </c>
    </row>
    <row r="61" customFormat="false" ht="23.85" hidden="false" customHeight="false" outlineLevel="0" collapsed="false">
      <c r="A61" s="5" t="s">
        <v>120</v>
      </c>
      <c r="B61" s="5" t="s">
        <v>96</v>
      </c>
      <c r="C61" s="13" t="n">
        <v>1.894</v>
      </c>
      <c r="D61" s="5" t="s">
        <v>121</v>
      </c>
    </row>
    <row r="62" customFormat="false" ht="35.05" hidden="false" customHeight="false" outlineLevel="0" collapsed="false">
      <c r="A62" s="5" t="s">
        <v>105</v>
      </c>
      <c r="B62" s="5" t="s">
        <v>45</v>
      </c>
      <c r="C62" s="9" t="n">
        <v>1593</v>
      </c>
      <c r="D62" s="5" t="s">
        <v>122</v>
      </c>
    </row>
  </sheetData>
  <dataValidations count="2">
    <dataValidation allowBlank="false" errorStyle="stop" operator="between" showDropDown="false" showErrorMessage="false" showInputMessage="false" sqref="C6" type="list">
      <formula1>"2026,2027,2028,2029,2030,2031,2032,2033,2034,2035"</formula1>
      <formula2>0</formula2>
    </dataValidation>
    <dataValidation allowBlank="false" errorStyle="stop" operator="between" showDropDown="false" showErrorMessage="false" showInputMessage="false" sqref="C53" type="list">
      <formula1>"1,2"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2" min="2" style="0" width="11"/>
  </cols>
  <sheetData>
    <row r="1" customFormat="false" ht="17.35" hidden="false" customHeight="false" outlineLevel="0" collapsed="false">
      <c r="A1" s="1" t="s">
        <v>123</v>
      </c>
    </row>
    <row r="2" customFormat="false" ht="15" hidden="false" customHeight="false" outlineLevel="0" collapsed="false">
      <c r="A2" s="2" t="s">
        <v>124</v>
      </c>
    </row>
    <row r="4" customFormat="false" ht="15" hidden="false" customHeight="false" outlineLevel="0" collapsed="false">
      <c r="A4" s="6" t="s">
        <v>125</v>
      </c>
      <c r="B4" s="7"/>
      <c r="C4" s="7"/>
      <c r="D4" s="7"/>
      <c r="E4" s="7"/>
      <c r="F4" s="7"/>
      <c r="G4" s="7"/>
      <c r="H4" s="7"/>
      <c r="I4" s="7"/>
      <c r="J4" s="7"/>
      <c r="K4" s="7"/>
      <c r="L4" s="7"/>
      <c r="M4" s="7"/>
      <c r="N4" s="7"/>
      <c r="O4" s="7"/>
      <c r="P4" s="7"/>
      <c r="Q4" s="7"/>
      <c r="R4" s="7"/>
    </row>
    <row r="5" customFormat="false" ht="23.85" hidden="false" customHeight="false" outlineLevel="0" collapsed="false">
      <c r="A5" s="3" t="s">
        <v>126</v>
      </c>
      <c r="B5" s="3" t="s">
        <v>127</v>
      </c>
      <c r="C5" s="3" t="s">
        <v>128</v>
      </c>
      <c r="D5" s="3" t="s">
        <v>129</v>
      </c>
      <c r="E5" s="3" t="s">
        <v>130</v>
      </c>
      <c r="F5" s="3" t="s">
        <v>131</v>
      </c>
      <c r="G5" s="3" t="s">
        <v>132</v>
      </c>
      <c r="H5" s="3" t="s">
        <v>133</v>
      </c>
      <c r="I5" s="3" t="s">
        <v>134</v>
      </c>
      <c r="J5" s="3" t="s">
        <v>135</v>
      </c>
      <c r="K5" s="3" t="s">
        <v>136</v>
      </c>
      <c r="L5" s="3" t="s">
        <v>137</v>
      </c>
      <c r="M5" s="3" t="s">
        <v>138</v>
      </c>
      <c r="N5" s="3" t="s">
        <v>139</v>
      </c>
      <c r="O5" s="3" t="s">
        <v>140</v>
      </c>
      <c r="P5" s="3" t="s">
        <v>141</v>
      </c>
      <c r="Q5" s="3" t="s">
        <v>142</v>
      </c>
    </row>
    <row r="6" customFormat="false" ht="15" hidden="false" customHeight="false" outlineLevel="0" collapsed="false">
      <c r="A6" s="14" t="n">
        <v>2026</v>
      </c>
      <c r="B6" s="9" t="n">
        <v>4178.736543</v>
      </c>
      <c r="C6" s="9" t="n">
        <v>295.0303572</v>
      </c>
      <c r="D6" s="9" t="n">
        <v>2255.773025</v>
      </c>
      <c r="E6" s="9" t="n">
        <v>91.83318153</v>
      </c>
      <c r="F6" s="9" t="n">
        <v>34.05179136</v>
      </c>
      <c r="G6" s="9" t="n">
        <v>74.913941</v>
      </c>
      <c r="H6" s="9" t="n">
        <v>16.34485985</v>
      </c>
      <c r="I6" s="9" t="n">
        <v>10.89657324</v>
      </c>
      <c r="J6" s="9" t="n">
        <v>0</v>
      </c>
      <c r="K6" s="9" t="n">
        <v>0</v>
      </c>
      <c r="L6" s="9" t="n">
        <v>0</v>
      </c>
      <c r="M6" s="9" t="n">
        <v>0</v>
      </c>
      <c r="N6" s="9" t="n">
        <v>0</v>
      </c>
      <c r="O6" s="9" t="n">
        <v>0</v>
      </c>
      <c r="P6" s="9" t="n">
        <v>0</v>
      </c>
      <c r="Q6" s="9" t="n">
        <v>0</v>
      </c>
    </row>
    <row r="7" customFormat="false" ht="15" hidden="false" customHeight="false" outlineLevel="0" collapsed="false">
      <c r="A7" s="14" t="n">
        <v>2027</v>
      </c>
      <c r="B7" s="9" t="n">
        <v>5997.303977</v>
      </c>
      <c r="C7" s="9" t="n">
        <v>709.7274503</v>
      </c>
      <c r="D7" s="9" t="n">
        <v>3846.978881</v>
      </c>
      <c r="E7" s="9" t="n">
        <v>177.2472967</v>
      </c>
      <c r="F7" s="9" t="n">
        <v>58.46214745</v>
      </c>
      <c r="G7" s="9" t="n">
        <v>128.6167244</v>
      </c>
      <c r="H7" s="9" t="n">
        <v>28.06183078</v>
      </c>
      <c r="I7" s="9" t="n">
        <v>18.70788719</v>
      </c>
      <c r="J7" s="9" t="n">
        <v>0</v>
      </c>
      <c r="K7" s="9" t="n">
        <v>0</v>
      </c>
      <c r="L7" s="9" t="n">
        <v>0</v>
      </c>
      <c r="M7" s="9" t="n">
        <v>0</v>
      </c>
      <c r="N7" s="9" t="n">
        <v>0</v>
      </c>
      <c r="O7" s="9" t="n">
        <v>0</v>
      </c>
      <c r="P7" s="9" t="n">
        <v>0</v>
      </c>
      <c r="Q7" s="9" t="n">
        <v>0</v>
      </c>
    </row>
    <row r="8" customFormat="false" ht="15" hidden="false" customHeight="false" outlineLevel="0" collapsed="false">
      <c r="A8" s="14" t="n">
        <v>2028</v>
      </c>
      <c r="B8" s="9" t="n">
        <v>6851.747758</v>
      </c>
      <c r="C8" s="9" t="n">
        <v>986.8680576</v>
      </c>
      <c r="D8" s="9" t="n">
        <v>5093.537591</v>
      </c>
      <c r="E8" s="9" t="n">
        <v>252.9787798</v>
      </c>
      <c r="F8" s="9" t="n">
        <v>75.20853998</v>
      </c>
      <c r="G8" s="9" t="n">
        <v>165.458788</v>
      </c>
      <c r="H8" s="9" t="n">
        <v>36.10009919</v>
      </c>
      <c r="I8" s="9" t="n">
        <v>24.06673279</v>
      </c>
      <c r="J8" s="9" t="n">
        <v>7662.4</v>
      </c>
      <c r="K8" s="9" t="n">
        <v>299.6</v>
      </c>
      <c r="L8" s="9" t="n">
        <v>1478.8</v>
      </c>
      <c r="M8" s="9" t="n">
        <v>90.4</v>
      </c>
      <c r="N8" s="9" t="n">
        <v>14.4</v>
      </c>
      <c r="O8" s="9" t="n">
        <v>31.8</v>
      </c>
      <c r="P8" s="9" t="n">
        <v>7</v>
      </c>
      <c r="Q8" s="9" t="n">
        <v>4.6</v>
      </c>
    </row>
    <row r="9" customFormat="false" ht="15" hidden="false" customHeight="false" outlineLevel="0" collapsed="false">
      <c r="A9" s="14" t="n">
        <v>2029</v>
      </c>
      <c r="B9" s="9" t="n">
        <v>8467.135549</v>
      </c>
      <c r="C9" s="9" t="n">
        <v>1500.638174</v>
      </c>
      <c r="D9" s="9" t="n">
        <v>6823.115313</v>
      </c>
      <c r="E9" s="9" t="n">
        <v>358.0204941</v>
      </c>
      <c r="F9" s="9" t="n">
        <v>100.5298529</v>
      </c>
      <c r="G9" s="9" t="n">
        <v>221.1656765</v>
      </c>
      <c r="H9" s="9" t="n">
        <v>48.25432941</v>
      </c>
      <c r="I9" s="9" t="n">
        <v>32.16955294</v>
      </c>
      <c r="J9" s="9" t="n">
        <v>26694.8</v>
      </c>
      <c r="K9" s="9" t="n">
        <v>1043.8</v>
      </c>
      <c r="L9" s="9" t="n">
        <v>5152</v>
      </c>
      <c r="M9" s="9" t="n">
        <v>315</v>
      </c>
      <c r="N9" s="9" t="n">
        <v>50.2</v>
      </c>
      <c r="O9" s="9" t="n">
        <v>110.8</v>
      </c>
      <c r="P9" s="9" t="n">
        <v>24.4</v>
      </c>
      <c r="Q9" s="9" t="n">
        <v>16</v>
      </c>
    </row>
    <row r="10" customFormat="false" ht="15" hidden="false" customHeight="false" outlineLevel="0" collapsed="false">
      <c r="A10" s="14" t="n">
        <v>2030</v>
      </c>
      <c r="B10" s="9" t="n">
        <v>12680.63271</v>
      </c>
      <c r="C10" s="9" t="n">
        <v>2312.627726</v>
      </c>
      <c r="D10" s="9" t="n">
        <v>10819.30694</v>
      </c>
      <c r="E10" s="9" t="n">
        <v>602.7181519</v>
      </c>
      <c r="F10" s="9" t="n">
        <v>155.8760035</v>
      </c>
      <c r="G10" s="9" t="n">
        <v>342.9272077</v>
      </c>
      <c r="H10" s="9" t="n">
        <v>74.82048167</v>
      </c>
      <c r="I10" s="9" t="n">
        <v>49.88032112</v>
      </c>
      <c r="J10" s="9" t="n">
        <v>49434.8</v>
      </c>
      <c r="K10" s="9" t="n">
        <v>1933</v>
      </c>
      <c r="L10" s="9" t="n">
        <v>9540.8</v>
      </c>
      <c r="M10" s="9" t="n">
        <v>583.4</v>
      </c>
      <c r="N10" s="9" t="n">
        <v>93</v>
      </c>
      <c r="O10" s="9" t="n">
        <v>205.2</v>
      </c>
      <c r="P10" s="9" t="n">
        <v>45.2</v>
      </c>
      <c r="Q10" s="9" t="n">
        <v>29.6</v>
      </c>
    </row>
    <row r="11" customFormat="false" ht="15" hidden="false" customHeight="false" outlineLevel="0" collapsed="false">
      <c r="A11" s="14" t="n">
        <v>2031</v>
      </c>
      <c r="B11" s="9" t="n">
        <v>15620.25307</v>
      </c>
      <c r="C11" s="9" t="n">
        <v>3252.869887</v>
      </c>
      <c r="D11" s="9" t="n">
        <v>14605.96411</v>
      </c>
      <c r="E11" s="9" t="n">
        <v>872.605032</v>
      </c>
      <c r="F11" s="9" t="n">
        <v>211.9344827</v>
      </c>
      <c r="G11" s="9" t="n">
        <v>466.255862</v>
      </c>
      <c r="H11" s="9" t="n">
        <v>101.7285517</v>
      </c>
      <c r="I11" s="9" t="n">
        <v>67.81903447</v>
      </c>
      <c r="J11" s="9" t="n">
        <v>71680.2</v>
      </c>
      <c r="K11" s="9" t="n">
        <v>2803</v>
      </c>
      <c r="L11" s="9" t="n">
        <v>13834.2</v>
      </c>
      <c r="M11" s="9" t="n">
        <v>845.8</v>
      </c>
      <c r="N11" s="9" t="n">
        <v>135</v>
      </c>
      <c r="O11" s="9" t="n">
        <v>297.6</v>
      </c>
      <c r="P11" s="9" t="n">
        <v>65.4</v>
      </c>
      <c r="Q11" s="9" t="n">
        <v>42.8</v>
      </c>
    </row>
    <row r="12" customFormat="false" ht="15" hidden="false" customHeight="false" outlineLevel="0" collapsed="false">
      <c r="A12" s="14" t="n">
        <v>2032</v>
      </c>
      <c r="B12" s="9" t="n">
        <v>20332.55326</v>
      </c>
      <c r="C12" s="9" t="n">
        <v>4102.315524</v>
      </c>
      <c r="D12" s="9" t="n">
        <v>18877.75984</v>
      </c>
      <c r="E12" s="9" t="n">
        <v>1127.160545</v>
      </c>
      <c r="F12" s="9" t="n">
        <v>272.6682332</v>
      </c>
      <c r="G12" s="9" t="n">
        <v>599.8701129</v>
      </c>
      <c r="H12" s="9" t="n">
        <v>130.8807519</v>
      </c>
      <c r="I12" s="9" t="n">
        <v>87.25383461</v>
      </c>
      <c r="J12" s="9" t="n">
        <v>101340.6</v>
      </c>
      <c r="K12" s="9" t="n">
        <v>3963</v>
      </c>
      <c r="L12" s="9" t="n">
        <v>19558.6</v>
      </c>
      <c r="M12" s="9" t="n">
        <v>1195.4</v>
      </c>
      <c r="N12" s="9" t="n">
        <v>191</v>
      </c>
      <c r="O12" s="9" t="n">
        <v>420.8</v>
      </c>
      <c r="P12" s="9" t="n">
        <v>92.2</v>
      </c>
      <c r="Q12" s="9" t="n">
        <v>60.4</v>
      </c>
    </row>
    <row r="13" customFormat="false" ht="15" hidden="false" customHeight="false" outlineLevel="0" collapsed="false">
      <c r="A13" s="14" t="n">
        <v>2033</v>
      </c>
      <c r="B13" s="9" t="n">
        <v>25132.07848</v>
      </c>
      <c r="C13" s="9" t="n">
        <v>5104.306587</v>
      </c>
      <c r="D13" s="9" t="n">
        <v>23368.18637</v>
      </c>
      <c r="E13" s="9" t="n">
        <v>1395.444812</v>
      </c>
      <c r="F13" s="9" t="n">
        <v>337.8486707</v>
      </c>
      <c r="G13" s="9" t="n">
        <v>743.2670756</v>
      </c>
      <c r="H13" s="9" t="n">
        <v>162.1673619</v>
      </c>
      <c r="I13" s="9" t="n">
        <v>108.1115746</v>
      </c>
      <c r="J13" s="9" t="n">
        <v>131001</v>
      </c>
      <c r="K13" s="9" t="n">
        <v>5123</v>
      </c>
      <c r="L13" s="9" t="n">
        <v>25283</v>
      </c>
      <c r="M13" s="9" t="n">
        <v>1545</v>
      </c>
      <c r="N13" s="9" t="n">
        <v>247</v>
      </c>
      <c r="O13" s="9" t="n">
        <v>544</v>
      </c>
      <c r="P13" s="9" t="n">
        <v>119</v>
      </c>
      <c r="Q13" s="9" t="n">
        <v>78</v>
      </c>
    </row>
    <row r="14" customFormat="false" ht="15" hidden="false" customHeight="false" outlineLevel="0" collapsed="false">
      <c r="A14" s="14" t="n">
        <v>2034</v>
      </c>
      <c r="B14" s="9" t="n">
        <v>28573.33614</v>
      </c>
      <c r="C14" s="9" t="n">
        <v>6195.186243</v>
      </c>
      <c r="D14" s="9" t="n">
        <v>26967.72455</v>
      </c>
      <c r="E14" s="9" t="n">
        <v>1612.350054</v>
      </c>
      <c r="F14" s="9" t="n">
        <v>393.6274156</v>
      </c>
      <c r="G14" s="9" t="n">
        <v>865.9803143</v>
      </c>
      <c r="H14" s="9" t="n">
        <v>188.9411595</v>
      </c>
      <c r="I14" s="9" t="n">
        <v>125.960773</v>
      </c>
      <c r="J14" s="9" t="n">
        <v>146819.8</v>
      </c>
      <c r="K14" s="9" t="n">
        <v>5741.4</v>
      </c>
      <c r="L14" s="9" t="n">
        <v>28335.8</v>
      </c>
      <c r="M14" s="9" t="n">
        <v>1731.4</v>
      </c>
      <c r="N14" s="9" t="n">
        <v>277</v>
      </c>
      <c r="O14" s="9" t="n">
        <v>609.6</v>
      </c>
      <c r="P14" s="9" t="n">
        <v>133.4</v>
      </c>
      <c r="Q14" s="9" t="n">
        <v>87.6</v>
      </c>
    </row>
    <row r="15" customFormat="false" ht="15" hidden="false" customHeight="false" outlineLevel="0" collapsed="false">
      <c r="A15" s="14" t="n">
        <v>2035</v>
      </c>
      <c r="B15" s="9" t="n">
        <v>32072.63913</v>
      </c>
      <c r="C15" s="9" t="n">
        <v>7424.858444</v>
      </c>
      <c r="D15" s="9" t="n">
        <v>30750.77872</v>
      </c>
      <c r="E15" s="9" t="n">
        <v>1840.848079</v>
      </c>
      <c r="F15" s="9" t="n">
        <v>453.2705332</v>
      </c>
      <c r="G15" s="9" t="n">
        <v>997.1951731</v>
      </c>
      <c r="H15" s="9" t="n">
        <v>217.569856</v>
      </c>
      <c r="I15" s="9" t="n">
        <v>145.0465706</v>
      </c>
      <c r="J15" s="9" t="n">
        <v>170548</v>
      </c>
      <c r="K15" s="9" t="n">
        <v>6669</v>
      </c>
      <c r="L15" s="9" t="n">
        <v>32915</v>
      </c>
      <c r="M15" s="9" t="n">
        <v>2011</v>
      </c>
      <c r="N15" s="9" t="n">
        <v>322</v>
      </c>
      <c r="O15" s="9" t="n">
        <v>708</v>
      </c>
      <c r="P15" s="9" t="n">
        <v>155</v>
      </c>
      <c r="Q15" s="9" t="n">
        <v>102</v>
      </c>
    </row>
    <row r="16" customFormat="false" ht="15" hidden="false" customHeight="false" outlineLevel="0" collapsed="false">
      <c r="A16" s="4" t="s">
        <v>143</v>
      </c>
      <c r="B16" s="15" t="n">
        <f aca="false">INDEX(B6:B15,MATCH(Datos!$C$6,$A$6:$A$15,0))</f>
        <v>32072.63913</v>
      </c>
      <c r="C16" s="15" t="n">
        <f aca="false">INDEX(C6:C15,MATCH(Datos!$C$6,$A$6:$A$15,0))</f>
        <v>7424.858444</v>
      </c>
      <c r="D16" s="15" t="n">
        <f aca="false">INDEX(D6:D15,MATCH(Datos!$C$6,$A$6:$A$15,0))</f>
        <v>30750.77872</v>
      </c>
      <c r="E16" s="15" t="n">
        <f aca="false">INDEX(E6:E15,MATCH(Datos!$C$6,$A$6:$A$15,0))</f>
        <v>1840.848079</v>
      </c>
      <c r="F16" s="15" t="n">
        <f aca="false">INDEX(F6:F15,MATCH(Datos!$C$6,$A$6:$A$15,0))</f>
        <v>453.2705332</v>
      </c>
      <c r="G16" s="15" t="n">
        <f aca="false">INDEX(G6:G15,MATCH(Datos!$C$6,$A$6:$A$15,0))</f>
        <v>997.1951731</v>
      </c>
      <c r="H16" s="15" t="n">
        <f aca="false">INDEX(H6:H15,MATCH(Datos!$C$6,$A$6:$A$15,0))</f>
        <v>217.569856</v>
      </c>
      <c r="I16" s="15" t="n">
        <f aca="false">INDEX(I6:I15,MATCH(Datos!$C$6,$A$6:$A$15,0))</f>
        <v>145.0465706</v>
      </c>
      <c r="J16" s="15" t="n">
        <f aca="false">INDEX(J6:J15,MATCH(Datos!$C$6,$A$6:$A$15,0))</f>
        <v>170548</v>
      </c>
      <c r="K16" s="15" t="n">
        <f aca="false">INDEX(K6:K15,MATCH(Datos!$C$6,$A$6:$A$15,0))</f>
        <v>6669</v>
      </c>
      <c r="L16" s="15" t="n">
        <f aca="false">INDEX(L6:L15,MATCH(Datos!$C$6,$A$6:$A$15,0))</f>
        <v>32915</v>
      </c>
      <c r="M16" s="15" t="n">
        <f aca="false">INDEX(M6:M15,MATCH(Datos!$C$6,$A$6:$A$15,0))</f>
        <v>2011</v>
      </c>
      <c r="N16" s="15" t="n">
        <f aca="false">INDEX(N6:N15,MATCH(Datos!$C$6,$A$6:$A$15,0))</f>
        <v>322</v>
      </c>
      <c r="O16" s="15" t="n">
        <f aca="false">INDEX(O6:O15,MATCH(Datos!$C$6,$A$6:$A$15,0))</f>
        <v>708</v>
      </c>
      <c r="P16" s="15" t="n">
        <f aca="false">INDEX(P6:P15,MATCH(Datos!$C$6,$A$6:$A$15,0))</f>
        <v>155</v>
      </c>
      <c r="Q16" s="15" t="n">
        <f aca="false">INDEX(Q6:Q15,MATCH(Datos!$C$6,$A$6:$A$15,0))</f>
        <v>102</v>
      </c>
    </row>
    <row r="18" customFormat="false" ht="15" hidden="false" customHeight="false" outlineLevel="0" collapsed="false">
      <c r="A18" s="6" t="s">
        <v>144</v>
      </c>
      <c r="B18" s="7"/>
      <c r="C18" s="7"/>
      <c r="D18" s="7"/>
      <c r="E18" s="7"/>
      <c r="F18" s="7"/>
      <c r="G18" s="7"/>
      <c r="H18" s="7"/>
      <c r="I18" s="7"/>
      <c r="J18" s="7"/>
      <c r="K18" s="7"/>
      <c r="L18" s="7"/>
      <c r="M18" s="7"/>
      <c r="N18" s="7"/>
      <c r="O18" s="7"/>
    </row>
    <row r="19" customFormat="false" ht="15" hidden="false" customHeight="false" outlineLevel="0" collapsed="false">
      <c r="A19" s="3" t="s">
        <v>145</v>
      </c>
      <c r="B19" s="3" t="s">
        <v>146</v>
      </c>
      <c r="C19" s="3" t="s">
        <v>147</v>
      </c>
      <c r="D19" s="3" t="s">
        <v>148</v>
      </c>
      <c r="E19" s="3" t="s">
        <v>149</v>
      </c>
      <c r="F19" s="3" t="s">
        <v>150</v>
      </c>
      <c r="G19" s="3" t="s">
        <v>151</v>
      </c>
      <c r="H19" s="3" t="s">
        <v>152</v>
      </c>
      <c r="I19" s="3" t="s">
        <v>153</v>
      </c>
      <c r="J19" s="3" t="s">
        <v>154</v>
      </c>
      <c r="K19" s="3" t="s">
        <v>155</v>
      </c>
      <c r="L19" s="3" t="s">
        <v>156</v>
      </c>
      <c r="M19" s="3" t="s">
        <v>157</v>
      </c>
      <c r="N19" s="3" t="s">
        <v>158</v>
      </c>
    </row>
    <row r="20" customFormat="false" ht="15" hidden="false" customHeight="false" outlineLevel="0" collapsed="false">
      <c r="A20" s="5" t="s">
        <v>159</v>
      </c>
      <c r="B20" s="16" t="n">
        <v>0.12</v>
      </c>
      <c r="C20" s="16" t="n">
        <v>0.09</v>
      </c>
      <c r="D20" s="16" t="n">
        <v>0.08</v>
      </c>
      <c r="E20" s="16" t="n">
        <v>0.075</v>
      </c>
      <c r="F20" s="16" t="n">
        <v>0.07</v>
      </c>
      <c r="G20" s="16" t="n">
        <v>0.07</v>
      </c>
      <c r="H20" s="16" t="n">
        <v>0.075</v>
      </c>
      <c r="I20" s="16" t="n">
        <v>0.075</v>
      </c>
      <c r="J20" s="16" t="n">
        <v>0.075</v>
      </c>
      <c r="K20" s="16" t="n">
        <v>0.075</v>
      </c>
      <c r="L20" s="16" t="n">
        <v>0.075</v>
      </c>
      <c r="M20" s="16" t="n">
        <v>0.12</v>
      </c>
      <c r="N20" s="17" t="n">
        <f aca="false">SUM(B20:M20)</f>
        <v>1</v>
      </c>
    </row>
    <row r="21" customFormat="false" ht="15" hidden="false" customHeight="false" outlineLevel="0" collapsed="false">
      <c r="A21" s="5" t="s">
        <v>160</v>
      </c>
      <c r="B21" s="16" t="n">
        <v>0.1</v>
      </c>
      <c r="C21" s="16" t="n">
        <v>0.08</v>
      </c>
      <c r="D21" s="16" t="n">
        <v>0.085</v>
      </c>
      <c r="E21" s="16" t="n">
        <v>0.085</v>
      </c>
      <c r="F21" s="16" t="n">
        <v>0.08</v>
      </c>
      <c r="G21" s="16" t="n">
        <v>0.075</v>
      </c>
      <c r="H21" s="16" t="n">
        <v>0.08</v>
      </c>
      <c r="I21" s="16" t="n">
        <v>0.08</v>
      </c>
      <c r="J21" s="16" t="n">
        <v>0.08</v>
      </c>
      <c r="K21" s="16" t="n">
        <v>0.075</v>
      </c>
      <c r="L21" s="16" t="n">
        <v>0.07</v>
      </c>
      <c r="M21" s="16" t="n">
        <v>0.11</v>
      </c>
      <c r="N21" s="17" t="n">
        <f aca="false">SUM(B21:M21)</f>
        <v>1</v>
      </c>
    </row>
    <row r="22" customFormat="false" ht="15" hidden="false" customHeight="false" outlineLevel="0" collapsed="false">
      <c r="A22" s="5" t="s">
        <v>161</v>
      </c>
      <c r="B22" s="16" t="n">
        <v>0.085</v>
      </c>
      <c r="C22" s="16" t="n">
        <v>0.075</v>
      </c>
      <c r="D22" s="16" t="n">
        <v>0.09</v>
      </c>
      <c r="E22" s="16" t="n">
        <v>0.09</v>
      </c>
      <c r="F22" s="16" t="n">
        <v>0.09</v>
      </c>
      <c r="G22" s="16" t="n">
        <v>0.08</v>
      </c>
      <c r="H22" s="16" t="n">
        <v>0.09</v>
      </c>
      <c r="I22" s="16" t="n">
        <v>0.09</v>
      </c>
      <c r="J22" s="16" t="n">
        <v>0.085</v>
      </c>
      <c r="K22" s="16" t="n">
        <v>0.075</v>
      </c>
      <c r="L22" s="16" t="n">
        <v>0.07</v>
      </c>
      <c r="M22" s="16" t="n">
        <v>0.08</v>
      </c>
      <c r="N22" s="17" t="n">
        <f aca="false">SUM(B22:M22)</f>
        <v>1</v>
      </c>
    </row>
    <row r="23" customFormat="false" ht="15" hidden="false" customHeight="false" outlineLevel="0" collapsed="false">
      <c r="A23" s="4" t="s">
        <v>162</v>
      </c>
      <c r="B23" s="5" t="s">
        <v>163</v>
      </c>
      <c r="C23" s="5" t="s">
        <v>164</v>
      </c>
      <c r="D23" s="5" t="s">
        <v>165</v>
      </c>
      <c r="E23" s="5" t="s">
        <v>166</v>
      </c>
      <c r="F23" s="5" t="s">
        <v>167</v>
      </c>
      <c r="G23" s="5" t="s">
        <v>168</v>
      </c>
      <c r="H23" s="5" t="s">
        <v>169</v>
      </c>
      <c r="I23" s="5" t="s">
        <v>170</v>
      </c>
    </row>
    <row r="25" customFormat="false" ht="15" hidden="false" customHeight="false" outlineLevel="0" collapsed="false">
      <c r="A25" s="6" t="s">
        <v>171</v>
      </c>
      <c r="B25" s="7"/>
      <c r="C25" s="7"/>
      <c r="D25" s="7"/>
      <c r="E25" s="7"/>
      <c r="F25" s="7"/>
      <c r="G25" s="7"/>
      <c r="H25" s="7"/>
      <c r="I25" s="7"/>
      <c r="J25" s="7"/>
      <c r="K25" s="7"/>
      <c r="L25" s="7"/>
      <c r="M25" s="7"/>
      <c r="N25" s="7"/>
      <c r="O25" s="7"/>
      <c r="P25" s="7"/>
      <c r="Q25" s="7"/>
      <c r="R25" s="7"/>
      <c r="S25" s="7"/>
      <c r="T25" s="7"/>
      <c r="U25" s="7"/>
      <c r="V25" s="7"/>
    </row>
    <row r="26" customFormat="false" ht="23.85" hidden="false" customHeight="false" outlineLevel="0" collapsed="false">
      <c r="A26" s="3" t="s">
        <v>172</v>
      </c>
      <c r="B26" s="3" t="s">
        <v>127</v>
      </c>
      <c r="C26" s="3" t="s">
        <v>128</v>
      </c>
      <c r="D26" s="3" t="s">
        <v>129</v>
      </c>
      <c r="E26" s="3" t="s">
        <v>130</v>
      </c>
      <c r="F26" s="3" t="s">
        <v>131</v>
      </c>
      <c r="G26" s="3" t="s">
        <v>132</v>
      </c>
      <c r="H26" s="3" t="s">
        <v>133</v>
      </c>
      <c r="I26" s="3" t="s">
        <v>134</v>
      </c>
      <c r="J26" s="3" t="s">
        <v>135</v>
      </c>
      <c r="K26" s="3" t="s">
        <v>136</v>
      </c>
      <c r="L26" s="3" t="s">
        <v>137</v>
      </c>
      <c r="M26" s="3" t="s">
        <v>138</v>
      </c>
      <c r="N26" s="3" t="s">
        <v>139</v>
      </c>
      <c r="O26" s="3" t="s">
        <v>140</v>
      </c>
      <c r="P26" s="3" t="s">
        <v>141</v>
      </c>
      <c r="Q26" s="3" t="s">
        <v>142</v>
      </c>
      <c r="R26" s="3" t="s">
        <v>173</v>
      </c>
      <c r="S26" s="3" t="s">
        <v>174</v>
      </c>
      <c r="T26" s="3" t="s">
        <v>175</v>
      </c>
      <c r="U26" s="3" t="s">
        <v>176</v>
      </c>
    </row>
    <row r="27" customFormat="false" ht="15" hidden="false" customHeight="false" outlineLevel="0" collapsed="false">
      <c r="A27" s="18" t="s">
        <v>146</v>
      </c>
      <c r="B27" s="19" t="n">
        <f aca="false">B$16*$B$20</f>
        <v>3848.7166956</v>
      </c>
      <c r="C27" s="19" t="n">
        <f aca="false">C$16*$B$21</f>
        <v>742.4858444</v>
      </c>
      <c r="D27" s="19" t="n">
        <f aca="false">D$16*$B$21</f>
        <v>3075.077872</v>
      </c>
      <c r="E27" s="19" t="n">
        <f aca="false">E$16*$B$21</f>
        <v>184.0848079</v>
      </c>
      <c r="F27" s="19" t="n">
        <f aca="false">F$16*$B$22</f>
        <v>38.527995322</v>
      </c>
      <c r="G27" s="19" t="n">
        <f aca="false">G$16*$B$22</f>
        <v>84.7615897135</v>
      </c>
      <c r="H27" s="19" t="n">
        <f aca="false">H$16*$B$22</f>
        <v>18.49343776</v>
      </c>
      <c r="I27" s="19" t="n">
        <f aca="false">I$16*$B$22</f>
        <v>12.328958501</v>
      </c>
      <c r="J27" s="19" t="n">
        <f aca="false">J$16*$B$20</f>
        <v>20465.76</v>
      </c>
      <c r="K27" s="19" t="n">
        <f aca="false">K$16*$B$21</f>
        <v>666.9</v>
      </c>
      <c r="L27" s="19" t="n">
        <f aca="false">L$16*$B$21</f>
        <v>3291.5</v>
      </c>
      <c r="M27" s="19" t="n">
        <f aca="false">M$16*$B$21</f>
        <v>201.1</v>
      </c>
      <c r="N27" s="19" t="n">
        <f aca="false">N$16*$B$22</f>
        <v>27.37</v>
      </c>
      <c r="O27" s="19" t="n">
        <f aca="false">O$16*$B$22</f>
        <v>60.18</v>
      </c>
      <c r="P27" s="19" t="n">
        <f aca="false">P$16*$B$22</f>
        <v>13.175</v>
      </c>
      <c r="Q27" s="19" t="n">
        <f aca="false">Q$16*$B$22</f>
        <v>8.67</v>
      </c>
      <c r="R27" s="19" t="n">
        <f aca="false">C27+D27+E27</f>
        <v>4001.6485243</v>
      </c>
      <c r="S27" s="19" t="n">
        <f aca="false">F27+G27+H27+I27</f>
        <v>154.1119812965</v>
      </c>
      <c r="T27" s="19" t="n">
        <f aca="false">K27+L27+M27</f>
        <v>4159.5</v>
      </c>
      <c r="U27" s="19" t="n">
        <f aca="false">N27+O27+P27+Q27</f>
        <v>109.395</v>
      </c>
    </row>
    <row r="28" customFormat="false" ht="15" hidden="false" customHeight="false" outlineLevel="0" collapsed="false">
      <c r="A28" s="18" t="s">
        <v>147</v>
      </c>
      <c r="B28" s="19" t="n">
        <f aca="false">B$16*$C$20</f>
        <v>2886.5375217</v>
      </c>
      <c r="C28" s="19" t="n">
        <f aca="false">C$16*$C$21</f>
        <v>593.98867552</v>
      </c>
      <c r="D28" s="19" t="n">
        <f aca="false">D$16*$C$21</f>
        <v>2460.0622976</v>
      </c>
      <c r="E28" s="19" t="n">
        <f aca="false">E$16*$C$21</f>
        <v>147.26784632</v>
      </c>
      <c r="F28" s="19" t="n">
        <f aca="false">F$16*$C$22</f>
        <v>33.99528999</v>
      </c>
      <c r="G28" s="19" t="n">
        <f aca="false">G$16*$C$22</f>
        <v>74.7896379825</v>
      </c>
      <c r="H28" s="19" t="n">
        <f aca="false">H$16*$C$22</f>
        <v>16.3177392</v>
      </c>
      <c r="I28" s="19" t="n">
        <f aca="false">I$16*$C$22</f>
        <v>10.878492795</v>
      </c>
      <c r="J28" s="19" t="n">
        <f aca="false">J$16*$C$20</f>
        <v>15349.32</v>
      </c>
      <c r="K28" s="19" t="n">
        <f aca="false">K$16*$C$21</f>
        <v>533.52</v>
      </c>
      <c r="L28" s="19" t="n">
        <f aca="false">L$16*$C$21</f>
        <v>2633.2</v>
      </c>
      <c r="M28" s="19" t="n">
        <f aca="false">M$16*$C$21</f>
        <v>160.88</v>
      </c>
      <c r="N28" s="19" t="n">
        <f aca="false">N$16*$C$22</f>
        <v>24.15</v>
      </c>
      <c r="O28" s="19" t="n">
        <f aca="false">O$16*$C$22</f>
        <v>53.1</v>
      </c>
      <c r="P28" s="19" t="n">
        <f aca="false">P$16*$C$22</f>
        <v>11.625</v>
      </c>
      <c r="Q28" s="19" t="n">
        <f aca="false">Q$16*$C$22</f>
        <v>7.65</v>
      </c>
      <c r="R28" s="19" t="n">
        <f aca="false">C28+D28+E28</f>
        <v>3201.31881944</v>
      </c>
      <c r="S28" s="19" t="n">
        <f aca="false">F28+G28+H28+I28</f>
        <v>135.9811599675</v>
      </c>
      <c r="T28" s="19" t="n">
        <f aca="false">K28+L28+M28</f>
        <v>3327.6</v>
      </c>
      <c r="U28" s="19" t="n">
        <f aca="false">N28+O28+P28+Q28</f>
        <v>96.525</v>
      </c>
    </row>
    <row r="29" customFormat="false" ht="15" hidden="false" customHeight="false" outlineLevel="0" collapsed="false">
      <c r="A29" s="18" t="s">
        <v>148</v>
      </c>
      <c r="B29" s="19" t="n">
        <f aca="false">B$16*$D$20</f>
        <v>2565.8111304</v>
      </c>
      <c r="C29" s="19" t="n">
        <f aca="false">C$16*$D$21</f>
        <v>631.11296774</v>
      </c>
      <c r="D29" s="19" t="n">
        <f aca="false">D$16*$D$21</f>
        <v>2613.8161912</v>
      </c>
      <c r="E29" s="19" t="n">
        <f aca="false">E$16*$D$21</f>
        <v>156.472086715</v>
      </c>
      <c r="F29" s="19" t="n">
        <f aca="false">F$16*$D$22</f>
        <v>40.794347988</v>
      </c>
      <c r="G29" s="19" t="n">
        <f aca="false">G$16*$D$22</f>
        <v>89.747565579</v>
      </c>
      <c r="H29" s="19" t="n">
        <f aca="false">H$16*$D$22</f>
        <v>19.58128704</v>
      </c>
      <c r="I29" s="19" t="n">
        <f aca="false">I$16*$D$22</f>
        <v>13.054191354</v>
      </c>
      <c r="J29" s="19" t="n">
        <f aca="false">J$16*$D$20</f>
        <v>13643.84</v>
      </c>
      <c r="K29" s="19" t="n">
        <f aca="false">K$16*$D$21</f>
        <v>566.865</v>
      </c>
      <c r="L29" s="19" t="n">
        <f aca="false">L$16*$D$21</f>
        <v>2797.775</v>
      </c>
      <c r="M29" s="19" t="n">
        <f aca="false">M$16*$D$21</f>
        <v>170.935</v>
      </c>
      <c r="N29" s="19" t="n">
        <f aca="false">N$16*$D$22</f>
        <v>28.98</v>
      </c>
      <c r="O29" s="19" t="n">
        <f aca="false">O$16*$D$22</f>
        <v>63.72</v>
      </c>
      <c r="P29" s="19" t="n">
        <f aca="false">P$16*$D$22</f>
        <v>13.95</v>
      </c>
      <c r="Q29" s="19" t="n">
        <f aca="false">Q$16*$D$22</f>
        <v>9.18</v>
      </c>
      <c r="R29" s="19" t="n">
        <f aca="false">C29+D29+E29</f>
        <v>3401.401245655</v>
      </c>
      <c r="S29" s="19" t="n">
        <f aca="false">F29+G29+H29+I29</f>
        <v>163.177391961</v>
      </c>
      <c r="T29" s="19" t="n">
        <f aca="false">K29+L29+M29</f>
        <v>3535.575</v>
      </c>
      <c r="U29" s="19" t="n">
        <f aca="false">N29+O29+P29+Q29</f>
        <v>115.83</v>
      </c>
    </row>
    <row r="30" customFormat="false" ht="15" hidden="false" customHeight="false" outlineLevel="0" collapsed="false">
      <c r="A30" s="18" t="s">
        <v>149</v>
      </c>
      <c r="B30" s="19" t="n">
        <f aca="false">B$16*$E$20</f>
        <v>2405.44793475</v>
      </c>
      <c r="C30" s="19" t="n">
        <f aca="false">C$16*$E$21</f>
        <v>631.11296774</v>
      </c>
      <c r="D30" s="19" t="n">
        <f aca="false">D$16*$E$21</f>
        <v>2613.8161912</v>
      </c>
      <c r="E30" s="19" t="n">
        <f aca="false">E$16*$E$21</f>
        <v>156.472086715</v>
      </c>
      <c r="F30" s="19" t="n">
        <f aca="false">F$16*$E$22</f>
        <v>40.794347988</v>
      </c>
      <c r="G30" s="19" t="n">
        <f aca="false">G$16*$E$22</f>
        <v>89.747565579</v>
      </c>
      <c r="H30" s="19" t="n">
        <f aca="false">H$16*$E$22</f>
        <v>19.58128704</v>
      </c>
      <c r="I30" s="19" t="n">
        <f aca="false">I$16*$E$22</f>
        <v>13.054191354</v>
      </c>
      <c r="J30" s="19" t="n">
        <f aca="false">J$16*$E$20</f>
        <v>12791.1</v>
      </c>
      <c r="K30" s="19" t="n">
        <f aca="false">K$16*$E$21</f>
        <v>566.865</v>
      </c>
      <c r="L30" s="19" t="n">
        <f aca="false">L$16*$E$21</f>
        <v>2797.775</v>
      </c>
      <c r="M30" s="19" t="n">
        <f aca="false">M$16*$E$21</f>
        <v>170.935</v>
      </c>
      <c r="N30" s="19" t="n">
        <f aca="false">N$16*$E$22</f>
        <v>28.98</v>
      </c>
      <c r="O30" s="19" t="n">
        <f aca="false">O$16*$E$22</f>
        <v>63.72</v>
      </c>
      <c r="P30" s="19" t="n">
        <f aca="false">P$16*$E$22</f>
        <v>13.95</v>
      </c>
      <c r="Q30" s="19" t="n">
        <f aca="false">Q$16*$E$22</f>
        <v>9.18</v>
      </c>
      <c r="R30" s="19" t="n">
        <f aca="false">C30+D30+E30</f>
        <v>3401.401245655</v>
      </c>
      <c r="S30" s="19" t="n">
        <f aca="false">F30+G30+H30+I30</f>
        <v>163.177391961</v>
      </c>
      <c r="T30" s="19" t="n">
        <f aca="false">K30+L30+M30</f>
        <v>3535.575</v>
      </c>
      <c r="U30" s="19" t="n">
        <f aca="false">N30+O30+P30+Q30</f>
        <v>115.83</v>
      </c>
    </row>
    <row r="31" customFormat="false" ht="15" hidden="false" customHeight="false" outlineLevel="0" collapsed="false">
      <c r="A31" s="18" t="s">
        <v>150</v>
      </c>
      <c r="B31" s="19" t="n">
        <f aca="false">B$16*$F$20</f>
        <v>2245.0847391</v>
      </c>
      <c r="C31" s="19" t="n">
        <f aca="false">C$16*$F$21</f>
        <v>593.98867552</v>
      </c>
      <c r="D31" s="19" t="n">
        <f aca="false">D$16*$F$21</f>
        <v>2460.0622976</v>
      </c>
      <c r="E31" s="19" t="n">
        <f aca="false">E$16*$F$21</f>
        <v>147.26784632</v>
      </c>
      <c r="F31" s="19" t="n">
        <f aca="false">F$16*$F$22</f>
        <v>40.794347988</v>
      </c>
      <c r="G31" s="19" t="n">
        <f aca="false">G$16*$F$22</f>
        <v>89.747565579</v>
      </c>
      <c r="H31" s="19" t="n">
        <f aca="false">H$16*$F$22</f>
        <v>19.58128704</v>
      </c>
      <c r="I31" s="19" t="n">
        <f aca="false">I$16*$F$22</f>
        <v>13.054191354</v>
      </c>
      <c r="J31" s="19" t="n">
        <f aca="false">J$16*$F$20</f>
        <v>11938.36</v>
      </c>
      <c r="K31" s="19" t="n">
        <f aca="false">K$16*$F$21</f>
        <v>533.52</v>
      </c>
      <c r="L31" s="19" t="n">
        <f aca="false">L$16*$F$21</f>
        <v>2633.2</v>
      </c>
      <c r="M31" s="19" t="n">
        <f aca="false">M$16*$F$21</f>
        <v>160.88</v>
      </c>
      <c r="N31" s="19" t="n">
        <f aca="false">N$16*$F$22</f>
        <v>28.98</v>
      </c>
      <c r="O31" s="19" t="n">
        <f aca="false">O$16*$F$22</f>
        <v>63.72</v>
      </c>
      <c r="P31" s="19" t="n">
        <f aca="false">P$16*$F$22</f>
        <v>13.95</v>
      </c>
      <c r="Q31" s="19" t="n">
        <f aca="false">Q$16*$F$22</f>
        <v>9.18</v>
      </c>
      <c r="R31" s="19" t="n">
        <f aca="false">C31+D31+E31</f>
        <v>3201.31881944</v>
      </c>
      <c r="S31" s="19" t="n">
        <f aca="false">F31+G31+H31+I31</f>
        <v>163.177391961</v>
      </c>
      <c r="T31" s="19" t="n">
        <f aca="false">K31+L31+M31</f>
        <v>3327.6</v>
      </c>
      <c r="U31" s="19" t="n">
        <f aca="false">N31+O31+P31+Q31</f>
        <v>115.83</v>
      </c>
    </row>
    <row r="32" customFormat="false" ht="15" hidden="false" customHeight="false" outlineLevel="0" collapsed="false">
      <c r="A32" s="18" t="s">
        <v>151</v>
      </c>
      <c r="B32" s="19" t="n">
        <f aca="false">B$16*$G$20</f>
        <v>2245.0847391</v>
      </c>
      <c r="C32" s="19" t="n">
        <f aca="false">C$16*$G$21</f>
        <v>556.8643833</v>
      </c>
      <c r="D32" s="19" t="n">
        <f aca="false">D$16*$G$21</f>
        <v>2306.308404</v>
      </c>
      <c r="E32" s="19" t="n">
        <f aca="false">E$16*$G$21</f>
        <v>138.063605925</v>
      </c>
      <c r="F32" s="19" t="n">
        <f aca="false">F$16*$G$22</f>
        <v>36.261642656</v>
      </c>
      <c r="G32" s="19" t="n">
        <f aca="false">G$16*$G$22</f>
        <v>79.775613848</v>
      </c>
      <c r="H32" s="19" t="n">
        <f aca="false">H$16*$G$22</f>
        <v>17.40558848</v>
      </c>
      <c r="I32" s="19" t="n">
        <f aca="false">I$16*$G$22</f>
        <v>11.603725648</v>
      </c>
      <c r="J32" s="19" t="n">
        <f aca="false">J$16*$G$20</f>
        <v>11938.36</v>
      </c>
      <c r="K32" s="19" t="n">
        <f aca="false">K$16*$G$21</f>
        <v>500.175</v>
      </c>
      <c r="L32" s="19" t="n">
        <f aca="false">L$16*$G$21</f>
        <v>2468.625</v>
      </c>
      <c r="M32" s="19" t="n">
        <f aca="false">M$16*$G$21</f>
        <v>150.825</v>
      </c>
      <c r="N32" s="19" t="n">
        <f aca="false">N$16*$G$22</f>
        <v>25.76</v>
      </c>
      <c r="O32" s="19" t="n">
        <f aca="false">O$16*$G$22</f>
        <v>56.64</v>
      </c>
      <c r="P32" s="19" t="n">
        <f aca="false">P$16*$G$22</f>
        <v>12.4</v>
      </c>
      <c r="Q32" s="19" t="n">
        <f aca="false">Q$16*$G$22</f>
        <v>8.16</v>
      </c>
      <c r="R32" s="19" t="n">
        <f aca="false">C32+D32+E32</f>
        <v>3001.236393225</v>
      </c>
      <c r="S32" s="19" t="n">
        <f aca="false">F32+G32+H32+I32</f>
        <v>145.046570632</v>
      </c>
      <c r="T32" s="19" t="n">
        <f aca="false">K32+L32+M32</f>
        <v>3119.625</v>
      </c>
      <c r="U32" s="19" t="n">
        <f aca="false">N32+O32+P32+Q32</f>
        <v>102.96</v>
      </c>
    </row>
    <row r="33" customFormat="false" ht="15" hidden="false" customHeight="false" outlineLevel="0" collapsed="false">
      <c r="A33" s="18" t="s">
        <v>152</v>
      </c>
      <c r="B33" s="19" t="n">
        <f aca="false">B$16*$H$20</f>
        <v>2405.44793475</v>
      </c>
      <c r="C33" s="19" t="n">
        <f aca="false">C$16*$H$21</f>
        <v>593.98867552</v>
      </c>
      <c r="D33" s="19" t="n">
        <f aca="false">D$16*$H$21</f>
        <v>2460.0622976</v>
      </c>
      <c r="E33" s="19" t="n">
        <f aca="false">E$16*$H$21</f>
        <v>147.26784632</v>
      </c>
      <c r="F33" s="19" t="n">
        <f aca="false">F$16*$H$22</f>
        <v>40.794347988</v>
      </c>
      <c r="G33" s="19" t="n">
        <f aca="false">G$16*$H$22</f>
        <v>89.747565579</v>
      </c>
      <c r="H33" s="19" t="n">
        <f aca="false">H$16*$H$22</f>
        <v>19.58128704</v>
      </c>
      <c r="I33" s="19" t="n">
        <f aca="false">I$16*$H$22</f>
        <v>13.054191354</v>
      </c>
      <c r="J33" s="19" t="n">
        <f aca="false">J$16*$H$20</f>
        <v>12791.1</v>
      </c>
      <c r="K33" s="19" t="n">
        <f aca="false">K$16*$H$21</f>
        <v>533.52</v>
      </c>
      <c r="L33" s="19" t="n">
        <f aca="false">L$16*$H$21</f>
        <v>2633.2</v>
      </c>
      <c r="M33" s="19" t="n">
        <f aca="false">M$16*$H$21</f>
        <v>160.88</v>
      </c>
      <c r="N33" s="19" t="n">
        <f aca="false">N$16*$H$22</f>
        <v>28.98</v>
      </c>
      <c r="O33" s="19" t="n">
        <f aca="false">O$16*$H$22</f>
        <v>63.72</v>
      </c>
      <c r="P33" s="19" t="n">
        <f aca="false">P$16*$H$22</f>
        <v>13.95</v>
      </c>
      <c r="Q33" s="19" t="n">
        <f aca="false">Q$16*$H$22</f>
        <v>9.18</v>
      </c>
      <c r="R33" s="19" t="n">
        <f aca="false">C33+D33+E33</f>
        <v>3201.31881944</v>
      </c>
      <c r="S33" s="19" t="n">
        <f aca="false">F33+G33+H33+I33</f>
        <v>163.177391961</v>
      </c>
      <c r="T33" s="19" t="n">
        <f aca="false">K33+L33+M33</f>
        <v>3327.6</v>
      </c>
      <c r="U33" s="19" t="n">
        <f aca="false">N33+O33+P33+Q33</f>
        <v>115.83</v>
      </c>
    </row>
    <row r="34" customFormat="false" ht="15" hidden="false" customHeight="false" outlineLevel="0" collapsed="false">
      <c r="A34" s="18" t="s">
        <v>153</v>
      </c>
      <c r="B34" s="19" t="n">
        <f aca="false">B$16*$I$20</f>
        <v>2405.44793475</v>
      </c>
      <c r="C34" s="19" t="n">
        <f aca="false">C$16*$I$21</f>
        <v>593.98867552</v>
      </c>
      <c r="D34" s="19" t="n">
        <f aca="false">D$16*$I$21</f>
        <v>2460.0622976</v>
      </c>
      <c r="E34" s="19" t="n">
        <f aca="false">E$16*$I$21</f>
        <v>147.26784632</v>
      </c>
      <c r="F34" s="19" t="n">
        <f aca="false">F$16*$I$22</f>
        <v>40.794347988</v>
      </c>
      <c r="G34" s="19" t="n">
        <f aca="false">G$16*$I$22</f>
        <v>89.747565579</v>
      </c>
      <c r="H34" s="19" t="n">
        <f aca="false">H$16*$I$22</f>
        <v>19.58128704</v>
      </c>
      <c r="I34" s="19" t="n">
        <f aca="false">I$16*$I$22</f>
        <v>13.054191354</v>
      </c>
      <c r="J34" s="19" t="n">
        <f aca="false">J$16*$I$20</f>
        <v>12791.1</v>
      </c>
      <c r="K34" s="19" t="n">
        <f aca="false">K$16*$I$21</f>
        <v>533.52</v>
      </c>
      <c r="L34" s="19" t="n">
        <f aca="false">L$16*$I$21</f>
        <v>2633.2</v>
      </c>
      <c r="M34" s="19" t="n">
        <f aca="false">M$16*$I$21</f>
        <v>160.88</v>
      </c>
      <c r="N34" s="19" t="n">
        <f aca="false">N$16*$I$22</f>
        <v>28.98</v>
      </c>
      <c r="O34" s="19" t="n">
        <f aca="false">O$16*$I$22</f>
        <v>63.72</v>
      </c>
      <c r="P34" s="19" t="n">
        <f aca="false">P$16*$I$22</f>
        <v>13.95</v>
      </c>
      <c r="Q34" s="19" t="n">
        <f aca="false">Q$16*$I$22</f>
        <v>9.18</v>
      </c>
      <c r="R34" s="19" t="n">
        <f aca="false">C34+D34+E34</f>
        <v>3201.31881944</v>
      </c>
      <c r="S34" s="19" t="n">
        <f aca="false">F34+G34+H34+I34</f>
        <v>163.177391961</v>
      </c>
      <c r="T34" s="19" t="n">
        <f aca="false">K34+L34+M34</f>
        <v>3327.6</v>
      </c>
      <c r="U34" s="19" t="n">
        <f aca="false">N34+O34+P34+Q34</f>
        <v>115.83</v>
      </c>
    </row>
    <row r="35" customFormat="false" ht="15" hidden="false" customHeight="false" outlineLevel="0" collapsed="false">
      <c r="A35" s="18" t="s">
        <v>154</v>
      </c>
      <c r="B35" s="19" t="n">
        <f aca="false">B$16*$J$20</f>
        <v>2405.44793475</v>
      </c>
      <c r="C35" s="19" t="n">
        <f aca="false">C$16*$J$21</f>
        <v>593.98867552</v>
      </c>
      <c r="D35" s="19" t="n">
        <f aca="false">D$16*$J$21</f>
        <v>2460.0622976</v>
      </c>
      <c r="E35" s="19" t="n">
        <f aca="false">E$16*$J$21</f>
        <v>147.26784632</v>
      </c>
      <c r="F35" s="19" t="n">
        <f aca="false">F$16*$J$22</f>
        <v>38.527995322</v>
      </c>
      <c r="G35" s="19" t="n">
        <f aca="false">G$16*$J$22</f>
        <v>84.7615897135</v>
      </c>
      <c r="H35" s="19" t="n">
        <f aca="false">H$16*$J$22</f>
        <v>18.49343776</v>
      </c>
      <c r="I35" s="19" t="n">
        <f aca="false">I$16*$J$22</f>
        <v>12.328958501</v>
      </c>
      <c r="J35" s="19" t="n">
        <f aca="false">J$16*$J$20</f>
        <v>12791.1</v>
      </c>
      <c r="K35" s="19" t="n">
        <f aca="false">K$16*$J$21</f>
        <v>533.52</v>
      </c>
      <c r="L35" s="19" t="n">
        <f aca="false">L$16*$J$21</f>
        <v>2633.2</v>
      </c>
      <c r="M35" s="19" t="n">
        <f aca="false">M$16*$J$21</f>
        <v>160.88</v>
      </c>
      <c r="N35" s="19" t="n">
        <f aca="false">N$16*$J$22</f>
        <v>27.37</v>
      </c>
      <c r="O35" s="19" t="n">
        <f aca="false">O$16*$J$22</f>
        <v>60.18</v>
      </c>
      <c r="P35" s="19" t="n">
        <f aca="false">P$16*$J$22</f>
        <v>13.175</v>
      </c>
      <c r="Q35" s="19" t="n">
        <f aca="false">Q$16*$J$22</f>
        <v>8.67</v>
      </c>
      <c r="R35" s="19" t="n">
        <f aca="false">C35+D35+E35</f>
        <v>3201.31881944</v>
      </c>
      <c r="S35" s="19" t="n">
        <f aca="false">F35+G35+H35+I35</f>
        <v>154.1119812965</v>
      </c>
      <c r="T35" s="19" t="n">
        <f aca="false">K35+L35+M35</f>
        <v>3327.6</v>
      </c>
      <c r="U35" s="19" t="n">
        <f aca="false">N35+O35+P35+Q35</f>
        <v>109.395</v>
      </c>
    </row>
    <row r="36" customFormat="false" ht="15" hidden="false" customHeight="false" outlineLevel="0" collapsed="false">
      <c r="A36" s="18" t="s">
        <v>155</v>
      </c>
      <c r="B36" s="19" t="n">
        <f aca="false">B$16*$K$20</f>
        <v>2405.44793475</v>
      </c>
      <c r="C36" s="19" t="n">
        <f aca="false">C$16*$K$21</f>
        <v>556.8643833</v>
      </c>
      <c r="D36" s="19" t="n">
        <f aca="false">D$16*$K$21</f>
        <v>2306.308404</v>
      </c>
      <c r="E36" s="19" t="n">
        <f aca="false">E$16*$K$21</f>
        <v>138.063605925</v>
      </c>
      <c r="F36" s="19" t="n">
        <f aca="false">F$16*$K$22</f>
        <v>33.99528999</v>
      </c>
      <c r="G36" s="19" t="n">
        <f aca="false">G$16*$K$22</f>
        <v>74.7896379825</v>
      </c>
      <c r="H36" s="19" t="n">
        <f aca="false">H$16*$K$22</f>
        <v>16.3177392</v>
      </c>
      <c r="I36" s="19" t="n">
        <f aca="false">I$16*$K$22</f>
        <v>10.878492795</v>
      </c>
      <c r="J36" s="19" t="n">
        <f aca="false">J$16*$K$20</f>
        <v>12791.1</v>
      </c>
      <c r="K36" s="19" t="n">
        <f aca="false">K$16*$K$21</f>
        <v>500.175</v>
      </c>
      <c r="L36" s="19" t="n">
        <f aca="false">L$16*$K$21</f>
        <v>2468.625</v>
      </c>
      <c r="M36" s="19" t="n">
        <f aca="false">M$16*$K$21</f>
        <v>150.825</v>
      </c>
      <c r="N36" s="19" t="n">
        <f aca="false">N$16*$K$22</f>
        <v>24.15</v>
      </c>
      <c r="O36" s="19" t="n">
        <f aca="false">O$16*$K$22</f>
        <v>53.1</v>
      </c>
      <c r="P36" s="19" t="n">
        <f aca="false">P$16*$K$22</f>
        <v>11.625</v>
      </c>
      <c r="Q36" s="19" t="n">
        <f aca="false">Q$16*$K$22</f>
        <v>7.65</v>
      </c>
      <c r="R36" s="19" t="n">
        <f aca="false">C36+D36+E36</f>
        <v>3001.236393225</v>
      </c>
      <c r="S36" s="19" t="n">
        <f aca="false">F36+G36+H36+I36</f>
        <v>135.9811599675</v>
      </c>
      <c r="T36" s="19" t="n">
        <f aca="false">K36+L36+M36</f>
        <v>3119.625</v>
      </c>
      <c r="U36" s="19" t="n">
        <f aca="false">N36+O36+P36+Q36</f>
        <v>96.525</v>
      </c>
    </row>
    <row r="37" customFormat="false" ht="15" hidden="false" customHeight="false" outlineLevel="0" collapsed="false">
      <c r="A37" s="18" t="s">
        <v>156</v>
      </c>
      <c r="B37" s="19" t="n">
        <f aca="false">B$16*$L$20</f>
        <v>2405.44793475</v>
      </c>
      <c r="C37" s="19" t="n">
        <f aca="false">C$16*$L$21</f>
        <v>519.74009108</v>
      </c>
      <c r="D37" s="19" t="n">
        <f aca="false">D$16*$L$21</f>
        <v>2152.5545104</v>
      </c>
      <c r="E37" s="19" t="n">
        <f aca="false">E$16*$L$21</f>
        <v>128.85936553</v>
      </c>
      <c r="F37" s="19" t="n">
        <f aca="false">F$16*$L$22</f>
        <v>31.728937324</v>
      </c>
      <c r="G37" s="19" t="n">
        <f aca="false">G$16*$L$22</f>
        <v>69.803662117</v>
      </c>
      <c r="H37" s="19" t="n">
        <f aca="false">H$16*$L$22</f>
        <v>15.22988992</v>
      </c>
      <c r="I37" s="19" t="n">
        <f aca="false">I$16*$L$22</f>
        <v>10.153259942</v>
      </c>
      <c r="J37" s="19" t="n">
        <f aca="false">J$16*$L$20</f>
        <v>12791.1</v>
      </c>
      <c r="K37" s="19" t="n">
        <f aca="false">K$16*$L$21</f>
        <v>466.83</v>
      </c>
      <c r="L37" s="19" t="n">
        <f aca="false">L$16*$L$21</f>
        <v>2304.05</v>
      </c>
      <c r="M37" s="19" t="n">
        <f aca="false">M$16*$L$21</f>
        <v>140.77</v>
      </c>
      <c r="N37" s="19" t="n">
        <f aca="false">N$16*$L$22</f>
        <v>22.54</v>
      </c>
      <c r="O37" s="19" t="n">
        <f aca="false">O$16*$L$22</f>
        <v>49.56</v>
      </c>
      <c r="P37" s="19" t="n">
        <f aca="false">P$16*$L$22</f>
        <v>10.85</v>
      </c>
      <c r="Q37" s="19" t="n">
        <f aca="false">Q$16*$L$22</f>
        <v>7.14</v>
      </c>
      <c r="R37" s="19" t="n">
        <f aca="false">C37+D37+E37</f>
        <v>2801.15396701</v>
      </c>
      <c r="S37" s="19" t="n">
        <f aca="false">F37+G37+H37+I37</f>
        <v>126.915749303</v>
      </c>
      <c r="T37" s="19" t="n">
        <f aca="false">K37+L37+M37</f>
        <v>2911.65</v>
      </c>
      <c r="U37" s="19" t="n">
        <f aca="false">N37+O37+P37+Q37</f>
        <v>90.09</v>
      </c>
    </row>
    <row r="38" customFormat="false" ht="15" hidden="false" customHeight="false" outlineLevel="0" collapsed="false">
      <c r="A38" s="18" t="s">
        <v>157</v>
      </c>
      <c r="B38" s="19" t="n">
        <f aca="false">B$16*$M$20</f>
        <v>3848.7166956</v>
      </c>
      <c r="C38" s="19" t="n">
        <f aca="false">C$16*$M$21</f>
        <v>816.73442884</v>
      </c>
      <c r="D38" s="19" t="n">
        <f aca="false">D$16*$M$21</f>
        <v>3382.5856592</v>
      </c>
      <c r="E38" s="19" t="n">
        <f aca="false">E$16*$M$21</f>
        <v>202.49328869</v>
      </c>
      <c r="F38" s="19" t="n">
        <f aca="false">F$16*$M$22</f>
        <v>36.261642656</v>
      </c>
      <c r="G38" s="19" t="n">
        <f aca="false">G$16*$M$22</f>
        <v>79.775613848</v>
      </c>
      <c r="H38" s="19" t="n">
        <f aca="false">H$16*$M$22</f>
        <v>17.40558848</v>
      </c>
      <c r="I38" s="19" t="n">
        <f aca="false">I$16*$M$22</f>
        <v>11.603725648</v>
      </c>
      <c r="J38" s="19" t="n">
        <f aca="false">J$16*$M$20</f>
        <v>20465.76</v>
      </c>
      <c r="K38" s="19" t="n">
        <f aca="false">K$16*$M$21</f>
        <v>733.59</v>
      </c>
      <c r="L38" s="19" t="n">
        <f aca="false">L$16*$M$21</f>
        <v>3620.65</v>
      </c>
      <c r="M38" s="19" t="n">
        <f aca="false">M$16*$M$21</f>
        <v>221.21</v>
      </c>
      <c r="N38" s="19" t="n">
        <f aca="false">N$16*$M$22</f>
        <v>25.76</v>
      </c>
      <c r="O38" s="19" t="n">
        <f aca="false">O$16*$M$22</f>
        <v>56.64</v>
      </c>
      <c r="P38" s="19" t="n">
        <f aca="false">P$16*$M$22</f>
        <v>12.4</v>
      </c>
      <c r="Q38" s="19" t="n">
        <f aca="false">Q$16*$M$22</f>
        <v>8.16</v>
      </c>
      <c r="R38" s="19" t="n">
        <f aca="false">C38+D38+E38</f>
        <v>4401.81337673</v>
      </c>
      <c r="S38" s="19" t="n">
        <f aca="false">F38+G38+H38+I38</f>
        <v>145.046570632</v>
      </c>
      <c r="T38" s="19" t="n">
        <f aca="false">K38+L38+M38</f>
        <v>4575.45</v>
      </c>
      <c r="U38" s="19" t="n">
        <f aca="false">N38+O38+P38+Q38</f>
        <v>102.96</v>
      </c>
    </row>
    <row r="39" customFormat="false" ht="15" hidden="false" customHeight="false" outlineLevel="0" collapsed="false">
      <c r="A39" s="4" t="s">
        <v>158</v>
      </c>
      <c r="B39" s="15" t="n">
        <f aca="false">SUM(B27:B38)</f>
        <v>32072.63913</v>
      </c>
      <c r="C39" s="15" t="n">
        <f aca="false">SUM(C27:C38)</f>
        <v>7424.858444</v>
      </c>
      <c r="D39" s="15" t="n">
        <f aca="false">SUM(D27:D38)</f>
        <v>30750.77872</v>
      </c>
      <c r="E39" s="15" t="n">
        <f aca="false">SUM(E27:E38)</f>
        <v>1840.848079</v>
      </c>
      <c r="F39" s="15" t="n">
        <f aca="false">SUM(F27:F38)</f>
        <v>453.2705332</v>
      </c>
      <c r="G39" s="15" t="n">
        <f aca="false">SUM(G27:G38)</f>
        <v>997.1951731</v>
      </c>
      <c r="H39" s="15" t="n">
        <f aca="false">SUM(H27:H38)</f>
        <v>217.569856</v>
      </c>
      <c r="I39" s="15" t="n">
        <f aca="false">SUM(I27:I38)</f>
        <v>145.0465706</v>
      </c>
      <c r="J39" s="15" t="n">
        <f aca="false">SUM(J27:J38)</f>
        <v>170548</v>
      </c>
      <c r="K39" s="15" t="n">
        <f aca="false">SUM(K27:K38)</f>
        <v>6669</v>
      </c>
      <c r="L39" s="15" t="n">
        <f aca="false">SUM(L27:L38)</f>
        <v>32915</v>
      </c>
      <c r="M39" s="15" t="n">
        <f aca="false">SUM(M27:M38)</f>
        <v>2011</v>
      </c>
      <c r="N39" s="15" t="n">
        <f aca="false">SUM(N27:N38)</f>
        <v>322</v>
      </c>
      <c r="O39" s="15" t="n">
        <f aca="false">SUM(O27:O38)</f>
        <v>708</v>
      </c>
      <c r="P39" s="15" t="n">
        <f aca="false">SUM(P27:P38)</f>
        <v>155</v>
      </c>
      <c r="Q39" s="15" t="n">
        <f aca="false">SUM(Q27:Q38)</f>
        <v>102</v>
      </c>
      <c r="R39" s="15" t="n">
        <f aca="false">SUM(R27:R38)</f>
        <v>40016.485243</v>
      </c>
      <c r="S39" s="15" t="n">
        <f aca="false">SUM(S27:S38)</f>
        <v>1813.0821329</v>
      </c>
      <c r="T39" s="15" t="n">
        <f aca="false">SUM(T27:T38)</f>
        <v>41595</v>
      </c>
      <c r="U39" s="15" t="n">
        <f aca="false">SUM(U27:U38)</f>
        <v>1287</v>
      </c>
    </row>
    <row r="41" customFormat="false" ht="15" hidden="false" customHeight="false" outlineLevel="0" collapsed="false">
      <c r="A41" s="6" t="s">
        <v>177</v>
      </c>
      <c r="B41" s="7"/>
      <c r="C41" s="7"/>
      <c r="D41" s="7"/>
      <c r="E41" s="7"/>
      <c r="F41" s="7"/>
      <c r="G41" s="7"/>
      <c r="H41" s="7"/>
      <c r="I41" s="7"/>
      <c r="J41" s="7"/>
      <c r="K41" s="7"/>
      <c r="L41" s="7"/>
      <c r="M41" s="7"/>
      <c r="N41" s="7"/>
      <c r="O41" s="7"/>
      <c r="P41" s="7"/>
      <c r="Q41" s="7"/>
      <c r="R41" s="7"/>
      <c r="S41" s="7"/>
      <c r="T41" s="7"/>
      <c r="U41" s="7"/>
      <c r="V41" s="7"/>
    </row>
    <row r="42" customFormat="false" ht="23.85" hidden="false" customHeight="false" outlineLevel="0" collapsed="false">
      <c r="A42" s="3" t="s">
        <v>172</v>
      </c>
      <c r="B42" s="3" t="s">
        <v>127</v>
      </c>
      <c r="C42" s="3" t="s">
        <v>128</v>
      </c>
      <c r="D42" s="3" t="s">
        <v>129</v>
      </c>
      <c r="E42" s="3" t="s">
        <v>130</v>
      </c>
      <c r="F42" s="3" t="s">
        <v>131</v>
      </c>
      <c r="G42" s="3" t="s">
        <v>132</v>
      </c>
      <c r="H42" s="3" t="s">
        <v>133</v>
      </c>
      <c r="I42" s="3" t="s">
        <v>134</v>
      </c>
      <c r="J42" s="3" t="s">
        <v>135</v>
      </c>
      <c r="K42" s="3" t="s">
        <v>136</v>
      </c>
      <c r="L42" s="3" t="s">
        <v>137</v>
      </c>
      <c r="M42" s="3" t="s">
        <v>138</v>
      </c>
      <c r="N42" s="3" t="s">
        <v>139</v>
      </c>
      <c r="O42" s="3" t="s">
        <v>140</v>
      </c>
      <c r="P42" s="3" t="s">
        <v>141</v>
      </c>
      <c r="Q42" s="3" t="s">
        <v>142</v>
      </c>
      <c r="R42" s="3" t="s">
        <v>173</v>
      </c>
      <c r="S42" s="3" t="s">
        <v>174</v>
      </c>
      <c r="T42" s="3" t="s">
        <v>175</v>
      </c>
      <c r="U42" s="3" t="s">
        <v>176</v>
      </c>
    </row>
    <row r="43" customFormat="false" ht="15" hidden="false" customHeight="false" outlineLevel="0" collapsed="false">
      <c r="A43" s="18" t="s">
        <v>146</v>
      </c>
      <c r="B43" s="19" t="n">
        <f aca="false">B27/Datos!$C$7</f>
        <v>962.1791739</v>
      </c>
      <c r="C43" s="19" t="n">
        <f aca="false">C27/Datos!$C$7</f>
        <v>185.6214611</v>
      </c>
      <c r="D43" s="19" t="n">
        <f aca="false">D27/Datos!$C$7</f>
        <v>768.769468</v>
      </c>
      <c r="E43" s="19" t="n">
        <f aca="false">E27/Datos!$C$7</f>
        <v>46.021201975</v>
      </c>
      <c r="F43" s="19" t="n">
        <f aca="false">F27/Datos!$C$7</f>
        <v>9.6319988305</v>
      </c>
      <c r="G43" s="19" t="n">
        <f aca="false">G27/Datos!$C$7</f>
        <v>21.190397428375</v>
      </c>
      <c r="H43" s="19" t="n">
        <f aca="false">H27/Datos!$C$7</f>
        <v>4.62335944</v>
      </c>
      <c r="I43" s="19" t="n">
        <f aca="false">I27/Datos!$C$7</f>
        <v>3.08223962525</v>
      </c>
      <c r="J43" s="19" t="n">
        <f aca="false">J27/Datos!$C$7</f>
        <v>5116.44</v>
      </c>
      <c r="K43" s="19" t="n">
        <f aca="false">K27/Datos!$C$7</f>
        <v>166.725</v>
      </c>
      <c r="L43" s="19" t="n">
        <f aca="false">L27/Datos!$C$7</f>
        <v>822.875</v>
      </c>
      <c r="M43" s="19" t="n">
        <f aca="false">M27/Datos!$C$7</f>
        <v>50.275</v>
      </c>
      <c r="N43" s="19" t="n">
        <f aca="false">N27/Datos!$C$7</f>
        <v>6.8425</v>
      </c>
      <c r="O43" s="19" t="n">
        <f aca="false">O27/Datos!$C$7</f>
        <v>15.045</v>
      </c>
      <c r="P43" s="19" t="n">
        <f aca="false">P27/Datos!$C$7</f>
        <v>3.29375</v>
      </c>
      <c r="Q43" s="19" t="n">
        <f aca="false">Q27/Datos!$C$7</f>
        <v>2.1675</v>
      </c>
      <c r="R43" s="19" t="n">
        <f aca="false">R27/Datos!$C$7</f>
        <v>1000.412131075</v>
      </c>
      <c r="S43" s="19" t="n">
        <f aca="false">S27/Datos!$C$7</f>
        <v>38.527995324125</v>
      </c>
      <c r="T43" s="19" t="n">
        <f aca="false">T27/Datos!$C$7</f>
        <v>1039.875</v>
      </c>
      <c r="U43" s="19" t="n">
        <f aca="false">U27/Datos!$C$7</f>
        <v>27.34875</v>
      </c>
    </row>
    <row r="44" customFormat="false" ht="15" hidden="false" customHeight="false" outlineLevel="0" collapsed="false">
      <c r="A44" s="18" t="s">
        <v>147</v>
      </c>
      <c r="B44" s="19" t="n">
        <f aca="false">B28/Datos!$C$7</f>
        <v>721.634380425</v>
      </c>
      <c r="C44" s="19" t="n">
        <f aca="false">C28/Datos!$C$7</f>
        <v>148.49716888</v>
      </c>
      <c r="D44" s="19" t="n">
        <f aca="false">D28/Datos!$C$7</f>
        <v>615.0155744</v>
      </c>
      <c r="E44" s="19" t="n">
        <f aca="false">E28/Datos!$C$7</f>
        <v>36.81696158</v>
      </c>
      <c r="F44" s="19" t="n">
        <f aca="false">F28/Datos!$C$7</f>
        <v>8.4988224975</v>
      </c>
      <c r="G44" s="19" t="n">
        <f aca="false">G28/Datos!$C$7</f>
        <v>18.697409495625</v>
      </c>
      <c r="H44" s="19" t="n">
        <f aca="false">H28/Datos!$C$7</f>
        <v>4.0794348</v>
      </c>
      <c r="I44" s="19" t="n">
        <f aca="false">I28/Datos!$C$7</f>
        <v>2.71962319875</v>
      </c>
      <c r="J44" s="19" t="n">
        <f aca="false">J28/Datos!$C$7</f>
        <v>3837.33</v>
      </c>
      <c r="K44" s="19" t="n">
        <f aca="false">K28/Datos!$C$7</f>
        <v>133.38</v>
      </c>
      <c r="L44" s="19" t="n">
        <f aca="false">L28/Datos!$C$7</f>
        <v>658.3</v>
      </c>
      <c r="M44" s="19" t="n">
        <f aca="false">M28/Datos!$C$7</f>
        <v>40.22</v>
      </c>
      <c r="N44" s="19" t="n">
        <f aca="false">N28/Datos!$C$7</f>
        <v>6.0375</v>
      </c>
      <c r="O44" s="19" t="n">
        <f aca="false">O28/Datos!$C$7</f>
        <v>13.275</v>
      </c>
      <c r="P44" s="19" t="n">
        <f aca="false">P28/Datos!$C$7</f>
        <v>2.90625</v>
      </c>
      <c r="Q44" s="19" t="n">
        <f aca="false">Q28/Datos!$C$7</f>
        <v>1.9125</v>
      </c>
      <c r="R44" s="19" t="n">
        <f aca="false">R28/Datos!$C$7</f>
        <v>800.32970486</v>
      </c>
      <c r="S44" s="19" t="n">
        <f aca="false">S28/Datos!$C$7</f>
        <v>33.995289991875</v>
      </c>
      <c r="T44" s="19" t="n">
        <f aca="false">T28/Datos!$C$7</f>
        <v>831.9</v>
      </c>
      <c r="U44" s="19" t="n">
        <f aca="false">U28/Datos!$C$7</f>
        <v>24.13125</v>
      </c>
    </row>
    <row r="45" customFormat="false" ht="15" hidden="false" customHeight="false" outlineLevel="0" collapsed="false">
      <c r="A45" s="18" t="s">
        <v>148</v>
      </c>
      <c r="B45" s="19" t="n">
        <f aca="false">B29/Datos!$C$7</f>
        <v>641.4527826</v>
      </c>
      <c r="C45" s="19" t="n">
        <f aca="false">C29/Datos!$C$7</f>
        <v>157.778241935</v>
      </c>
      <c r="D45" s="19" t="n">
        <f aca="false">D29/Datos!$C$7</f>
        <v>653.4540478</v>
      </c>
      <c r="E45" s="19" t="n">
        <f aca="false">E29/Datos!$C$7</f>
        <v>39.11802167875</v>
      </c>
      <c r="F45" s="19" t="n">
        <f aca="false">F29/Datos!$C$7</f>
        <v>10.198586997</v>
      </c>
      <c r="G45" s="19" t="n">
        <f aca="false">G29/Datos!$C$7</f>
        <v>22.43689139475</v>
      </c>
      <c r="H45" s="19" t="n">
        <f aca="false">H29/Datos!$C$7</f>
        <v>4.89532176</v>
      </c>
      <c r="I45" s="19" t="n">
        <f aca="false">I29/Datos!$C$7</f>
        <v>3.2635478385</v>
      </c>
      <c r="J45" s="19" t="n">
        <f aca="false">J29/Datos!$C$7</f>
        <v>3410.96</v>
      </c>
      <c r="K45" s="19" t="n">
        <f aca="false">K29/Datos!$C$7</f>
        <v>141.71625</v>
      </c>
      <c r="L45" s="19" t="n">
        <f aca="false">L29/Datos!$C$7</f>
        <v>699.44375</v>
      </c>
      <c r="M45" s="19" t="n">
        <f aca="false">M29/Datos!$C$7</f>
        <v>42.73375</v>
      </c>
      <c r="N45" s="19" t="n">
        <f aca="false">N29/Datos!$C$7</f>
        <v>7.245</v>
      </c>
      <c r="O45" s="19" t="n">
        <f aca="false">O29/Datos!$C$7</f>
        <v>15.93</v>
      </c>
      <c r="P45" s="19" t="n">
        <f aca="false">P29/Datos!$C$7</f>
        <v>3.4875</v>
      </c>
      <c r="Q45" s="19" t="n">
        <f aca="false">Q29/Datos!$C$7</f>
        <v>2.295</v>
      </c>
      <c r="R45" s="19" t="n">
        <f aca="false">R29/Datos!$C$7</f>
        <v>850.35031141375</v>
      </c>
      <c r="S45" s="19" t="n">
        <f aca="false">S29/Datos!$C$7</f>
        <v>40.79434799025</v>
      </c>
      <c r="T45" s="19" t="n">
        <f aca="false">T29/Datos!$C$7</f>
        <v>883.89375</v>
      </c>
      <c r="U45" s="19" t="n">
        <f aca="false">U29/Datos!$C$7</f>
        <v>28.9575</v>
      </c>
    </row>
    <row r="46" customFormat="false" ht="15" hidden="false" customHeight="false" outlineLevel="0" collapsed="false">
      <c r="A46" s="18" t="s">
        <v>149</v>
      </c>
      <c r="B46" s="19" t="n">
        <f aca="false">B30/Datos!$C$7</f>
        <v>601.3619836875</v>
      </c>
      <c r="C46" s="19" t="n">
        <f aca="false">C30/Datos!$C$7</f>
        <v>157.778241935</v>
      </c>
      <c r="D46" s="19" t="n">
        <f aca="false">D30/Datos!$C$7</f>
        <v>653.4540478</v>
      </c>
      <c r="E46" s="19" t="n">
        <f aca="false">E30/Datos!$C$7</f>
        <v>39.11802167875</v>
      </c>
      <c r="F46" s="19" t="n">
        <f aca="false">F30/Datos!$C$7</f>
        <v>10.198586997</v>
      </c>
      <c r="G46" s="19" t="n">
        <f aca="false">G30/Datos!$C$7</f>
        <v>22.43689139475</v>
      </c>
      <c r="H46" s="19" t="n">
        <f aca="false">H30/Datos!$C$7</f>
        <v>4.89532176</v>
      </c>
      <c r="I46" s="19" t="n">
        <f aca="false">I30/Datos!$C$7</f>
        <v>3.2635478385</v>
      </c>
      <c r="J46" s="19" t="n">
        <f aca="false">J30/Datos!$C$7</f>
        <v>3197.775</v>
      </c>
      <c r="K46" s="19" t="n">
        <f aca="false">K30/Datos!$C$7</f>
        <v>141.71625</v>
      </c>
      <c r="L46" s="19" t="n">
        <f aca="false">L30/Datos!$C$7</f>
        <v>699.44375</v>
      </c>
      <c r="M46" s="19" t="n">
        <f aca="false">M30/Datos!$C$7</f>
        <v>42.73375</v>
      </c>
      <c r="N46" s="19" t="n">
        <f aca="false">N30/Datos!$C$7</f>
        <v>7.245</v>
      </c>
      <c r="O46" s="19" t="n">
        <f aca="false">O30/Datos!$C$7</f>
        <v>15.93</v>
      </c>
      <c r="P46" s="19" t="n">
        <f aca="false">P30/Datos!$C$7</f>
        <v>3.4875</v>
      </c>
      <c r="Q46" s="19" t="n">
        <f aca="false">Q30/Datos!$C$7</f>
        <v>2.295</v>
      </c>
      <c r="R46" s="19" t="n">
        <f aca="false">R30/Datos!$C$7</f>
        <v>850.35031141375</v>
      </c>
      <c r="S46" s="19" t="n">
        <f aca="false">S30/Datos!$C$7</f>
        <v>40.79434799025</v>
      </c>
      <c r="T46" s="19" t="n">
        <f aca="false">T30/Datos!$C$7</f>
        <v>883.89375</v>
      </c>
      <c r="U46" s="19" t="n">
        <f aca="false">U30/Datos!$C$7</f>
        <v>28.9575</v>
      </c>
    </row>
    <row r="47" customFormat="false" ht="15" hidden="false" customHeight="false" outlineLevel="0" collapsed="false">
      <c r="A47" s="18" t="s">
        <v>150</v>
      </c>
      <c r="B47" s="19" t="n">
        <f aca="false">B31/Datos!$C$7</f>
        <v>561.271184775</v>
      </c>
      <c r="C47" s="19" t="n">
        <f aca="false">C31/Datos!$C$7</f>
        <v>148.49716888</v>
      </c>
      <c r="D47" s="19" t="n">
        <f aca="false">D31/Datos!$C$7</f>
        <v>615.0155744</v>
      </c>
      <c r="E47" s="19" t="n">
        <f aca="false">E31/Datos!$C$7</f>
        <v>36.81696158</v>
      </c>
      <c r="F47" s="19" t="n">
        <f aca="false">F31/Datos!$C$7</f>
        <v>10.198586997</v>
      </c>
      <c r="G47" s="19" t="n">
        <f aca="false">G31/Datos!$C$7</f>
        <v>22.43689139475</v>
      </c>
      <c r="H47" s="19" t="n">
        <f aca="false">H31/Datos!$C$7</f>
        <v>4.89532176</v>
      </c>
      <c r="I47" s="19" t="n">
        <f aca="false">I31/Datos!$C$7</f>
        <v>3.2635478385</v>
      </c>
      <c r="J47" s="19" t="n">
        <f aca="false">J31/Datos!$C$7</f>
        <v>2984.59</v>
      </c>
      <c r="K47" s="19" t="n">
        <f aca="false">K31/Datos!$C$7</f>
        <v>133.38</v>
      </c>
      <c r="L47" s="19" t="n">
        <f aca="false">L31/Datos!$C$7</f>
        <v>658.3</v>
      </c>
      <c r="M47" s="19" t="n">
        <f aca="false">M31/Datos!$C$7</f>
        <v>40.22</v>
      </c>
      <c r="N47" s="19" t="n">
        <f aca="false">N31/Datos!$C$7</f>
        <v>7.245</v>
      </c>
      <c r="O47" s="19" t="n">
        <f aca="false">O31/Datos!$C$7</f>
        <v>15.93</v>
      </c>
      <c r="P47" s="19" t="n">
        <f aca="false">P31/Datos!$C$7</f>
        <v>3.4875</v>
      </c>
      <c r="Q47" s="19" t="n">
        <f aca="false">Q31/Datos!$C$7</f>
        <v>2.295</v>
      </c>
      <c r="R47" s="19" t="n">
        <f aca="false">R31/Datos!$C$7</f>
        <v>800.32970486</v>
      </c>
      <c r="S47" s="19" t="n">
        <f aca="false">S31/Datos!$C$7</f>
        <v>40.79434799025</v>
      </c>
      <c r="T47" s="19" t="n">
        <f aca="false">T31/Datos!$C$7</f>
        <v>831.9</v>
      </c>
      <c r="U47" s="19" t="n">
        <f aca="false">U31/Datos!$C$7</f>
        <v>28.9575</v>
      </c>
    </row>
    <row r="48" customFormat="false" ht="15" hidden="false" customHeight="false" outlineLevel="0" collapsed="false">
      <c r="A48" s="18" t="s">
        <v>151</v>
      </c>
      <c r="B48" s="19" t="n">
        <f aca="false">B32/Datos!$C$7</f>
        <v>561.271184775</v>
      </c>
      <c r="C48" s="19" t="n">
        <f aca="false">C32/Datos!$C$7</f>
        <v>139.216095825</v>
      </c>
      <c r="D48" s="19" t="n">
        <f aca="false">D32/Datos!$C$7</f>
        <v>576.577101</v>
      </c>
      <c r="E48" s="19" t="n">
        <f aca="false">E32/Datos!$C$7</f>
        <v>34.51590148125</v>
      </c>
      <c r="F48" s="19" t="n">
        <f aca="false">F32/Datos!$C$7</f>
        <v>9.065410664</v>
      </c>
      <c r="G48" s="19" t="n">
        <f aca="false">G32/Datos!$C$7</f>
        <v>19.943903462</v>
      </c>
      <c r="H48" s="19" t="n">
        <f aca="false">H32/Datos!$C$7</f>
        <v>4.35139712</v>
      </c>
      <c r="I48" s="19" t="n">
        <f aca="false">I32/Datos!$C$7</f>
        <v>2.900931412</v>
      </c>
      <c r="J48" s="19" t="n">
        <f aca="false">J32/Datos!$C$7</f>
        <v>2984.59</v>
      </c>
      <c r="K48" s="19" t="n">
        <f aca="false">K32/Datos!$C$7</f>
        <v>125.04375</v>
      </c>
      <c r="L48" s="19" t="n">
        <f aca="false">L32/Datos!$C$7</f>
        <v>617.15625</v>
      </c>
      <c r="M48" s="19" t="n">
        <f aca="false">M32/Datos!$C$7</f>
        <v>37.70625</v>
      </c>
      <c r="N48" s="19" t="n">
        <f aca="false">N32/Datos!$C$7</f>
        <v>6.44</v>
      </c>
      <c r="O48" s="19" t="n">
        <f aca="false">O32/Datos!$C$7</f>
        <v>14.16</v>
      </c>
      <c r="P48" s="19" t="n">
        <f aca="false">P32/Datos!$C$7</f>
        <v>3.1</v>
      </c>
      <c r="Q48" s="19" t="n">
        <f aca="false">Q32/Datos!$C$7</f>
        <v>2.04</v>
      </c>
      <c r="R48" s="19" t="n">
        <f aca="false">R32/Datos!$C$7</f>
        <v>750.30909830625</v>
      </c>
      <c r="S48" s="19" t="n">
        <f aca="false">S32/Datos!$C$7</f>
        <v>36.261642658</v>
      </c>
      <c r="T48" s="19" t="n">
        <f aca="false">T32/Datos!$C$7</f>
        <v>779.90625</v>
      </c>
      <c r="U48" s="19" t="n">
        <f aca="false">U32/Datos!$C$7</f>
        <v>25.74</v>
      </c>
    </row>
    <row r="49" customFormat="false" ht="15" hidden="false" customHeight="false" outlineLevel="0" collapsed="false">
      <c r="A49" s="18" t="s">
        <v>152</v>
      </c>
      <c r="B49" s="19" t="n">
        <f aca="false">B33/Datos!$C$7</f>
        <v>601.3619836875</v>
      </c>
      <c r="C49" s="19" t="n">
        <f aca="false">C33/Datos!$C$7</f>
        <v>148.49716888</v>
      </c>
      <c r="D49" s="19" t="n">
        <f aca="false">D33/Datos!$C$7</f>
        <v>615.0155744</v>
      </c>
      <c r="E49" s="19" t="n">
        <f aca="false">E33/Datos!$C$7</f>
        <v>36.81696158</v>
      </c>
      <c r="F49" s="19" t="n">
        <f aca="false">F33/Datos!$C$7</f>
        <v>10.198586997</v>
      </c>
      <c r="G49" s="19" t="n">
        <f aca="false">G33/Datos!$C$7</f>
        <v>22.43689139475</v>
      </c>
      <c r="H49" s="19" t="n">
        <f aca="false">H33/Datos!$C$7</f>
        <v>4.89532176</v>
      </c>
      <c r="I49" s="19" t="n">
        <f aca="false">I33/Datos!$C$7</f>
        <v>3.2635478385</v>
      </c>
      <c r="J49" s="19" t="n">
        <f aca="false">J33/Datos!$C$7</f>
        <v>3197.775</v>
      </c>
      <c r="K49" s="19" t="n">
        <f aca="false">K33/Datos!$C$7</f>
        <v>133.38</v>
      </c>
      <c r="L49" s="19" t="n">
        <f aca="false">L33/Datos!$C$7</f>
        <v>658.3</v>
      </c>
      <c r="M49" s="19" t="n">
        <f aca="false">M33/Datos!$C$7</f>
        <v>40.22</v>
      </c>
      <c r="N49" s="19" t="n">
        <f aca="false">N33/Datos!$C$7</f>
        <v>7.245</v>
      </c>
      <c r="O49" s="19" t="n">
        <f aca="false">O33/Datos!$C$7</f>
        <v>15.93</v>
      </c>
      <c r="P49" s="19" t="n">
        <f aca="false">P33/Datos!$C$7</f>
        <v>3.4875</v>
      </c>
      <c r="Q49" s="19" t="n">
        <f aca="false">Q33/Datos!$C$7</f>
        <v>2.295</v>
      </c>
      <c r="R49" s="19" t="n">
        <f aca="false">R33/Datos!$C$7</f>
        <v>800.32970486</v>
      </c>
      <c r="S49" s="19" t="n">
        <f aca="false">S33/Datos!$C$7</f>
        <v>40.79434799025</v>
      </c>
      <c r="T49" s="19" t="n">
        <f aca="false">T33/Datos!$C$7</f>
        <v>831.9</v>
      </c>
      <c r="U49" s="19" t="n">
        <f aca="false">U33/Datos!$C$7</f>
        <v>28.9575</v>
      </c>
    </row>
    <row r="50" customFormat="false" ht="15" hidden="false" customHeight="false" outlineLevel="0" collapsed="false">
      <c r="A50" s="18" t="s">
        <v>153</v>
      </c>
      <c r="B50" s="19" t="n">
        <f aca="false">B34/Datos!$C$7</f>
        <v>601.3619836875</v>
      </c>
      <c r="C50" s="19" t="n">
        <f aca="false">C34/Datos!$C$7</f>
        <v>148.49716888</v>
      </c>
      <c r="D50" s="19" t="n">
        <f aca="false">D34/Datos!$C$7</f>
        <v>615.0155744</v>
      </c>
      <c r="E50" s="19" t="n">
        <f aca="false">E34/Datos!$C$7</f>
        <v>36.81696158</v>
      </c>
      <c r="F50" s="19" t="n">
        <f aca="false">F34/Datos!$C$7</f>
        <v>10.198586997</v>
      </c>
      <c r="G50" s="19" t="n">
        <f aca="false">G34/Datos!$C$7</f>
        <v>22.43689139475</v>
      </c>
      <c r="H50" s="19" t="n">
        <f aca="false">H34/Datos!$C$7</f>
        <v>4.89532176</v>
      </c>
      <c r="I50" s="19" t="n">
        <f aca="false">I34/Datos!$C$7</f>
        <v>3.2635478385</v>
      </c>
      <c r="J50" s="19" t="n">
        <f aca="false">J34/Datos!$C$7</f>
        <v>3197.775</v>
      </c>
      <c r="K50" s="19" t="n">
        <f aca="false">K34/Datos!$C$7</f>
        <v>133.38</v>
      </c>
      <c r="L50" s="19" t="n">
        <f aca="false">L34/Datos!$C$7</f>
        <v>658.3</v>
      </c>
      <c r="M50" s="19" t="n">
        <f aca="false">M34/Datos!$C$7</f>
        <v>40.22</v>
      </c>
      <c r="N50" s="19" t="n">
        <f aca="false">N34/Datos!$C$7</f>
        <v>7.245</v>
      </c>
      <c r="O50" s="19" t="n">
        <f aca="false">O34/Datos!$C$7</f>
        <v>15.93</v>
      </c>
      <c r="P50" s="19" t="n">
        <f aca="false">P34/Datos!$C$7</f>
        <v>3.4875</v>
      </c>
      <c r="Q50" s="19" t="n">
        <f aca="false">Q34/Datos!$C$7</f>
        <v>2.295</v>
      </c>
      <c r="R50" s="19" t="n">
        <f aca="false">R34/Datos!$C$7</f>
        <v>800.32970486</v>
      </c>
      <c r="S50" s="19" t="n">
        <f aca="false">S34/Datos!$C$7</f>
        <v>40.79434799025</v>
      </c>
      <c r="T50" s="19" t="n">
        <f aca="false">T34/Datos!$C$7</f>
        <v>831.9</v>
      </c>
      <c r="U50" s="19" t="n">
        <f aca="false">U34/Datos!$C$7</f>
        <v>28.9575</v>
      </c>
    </row>
    <row r="51" customFormat="false" ht="15" hidden="false" customHeight="false" outlineLevel="0" collapsed="false">
      <c r="A51" s="18" t="s">
        <v>154</v>
      </c>
      <c r="B51" s="19" t="n">
        <f aca="false">B35/Datos!$C$7</f>
        <v>601.3619836875</v>
      </c>
      <c r="C51" s="19" t="n">
        <f aca="false">C35/Datos!$C$7</f>
        <v>148.49716888</v>
      </c>
      <c r="D51" s="19" t="n">
        <f aca="false">D35/Datos!$C$7</f>
        <v>615.0155744</v>
      </c>
      <c r="E51" s="19" t="n">
        <f aca="false">E35/Datos!$C$7</f>
        <v>36.81696158</v>
      </c>
      <c r="F51" s="19" t="n">
        <f aca="false">F35/Datos!$C$7</f>
        <v>9.6319988305</v>
      </c>
      <c r="G51" s="19" t="n">
        <f aca="false">G35/Datos!$C$7</f>
        <v>21.190397428375</v>
      </c>
      <c r="H51" s="19" t="n">
        <f aca="false">H35/Datos!$C$7</f>
        <v>4.62335944</v>
      </c>
      <c r="I51" s="19" t="n">
        <f aca="false">I35/Datos!$C$7</f>
        <v>3.08223962525</v>
      </c>
      <c r="J51" s="19" t="n">
        <f aca="false">J35/Datos!$C$7</f>
        <v>3197.775</v>
      </c>
      <c r="K51" s="19" t="n">
        <f aca="false">K35/Datos!$C$7</f>
        <v>133.38</v>
      </c>
      <c r="L51" s="19" t="n">
        <f aca="false">L35/Datos!$C$7</f>
        <v>658.3</v>
      </c>
      <c r="M51" s="19" t="n">
        <f aca="false">M35/Datos!$C$7</f>
        <v>40.22</v>
      </c>
      <c r="N51" s="19" t="n">
        <f aca="false">N35/Datos!$C$7</f>
        <v>6.8425</v>
      </c>
      <c r="O51" s="19" t="n">
        <f aca="false">O35/Datos!$C$7</f>
        <v>15.045</v>
      </c>
      <c r="P51" s="19" t="n">
        <f aca="false">P35/Datos!$C$7</f>
        <v>3.29375</v>
      </c>
      <c r="Q51" s="19" t="n">
        <f aca="false">Q35/Datos!$C$7</f>
        <v>2.1675</v>
      </c>
      <c r="R51" s="19" t="n">
        <f aca="false">R35/Datos!$C$7</f>
        <v>800.32970486</v>
      </c>
      <c r="S51" s="19" t="n">
        <f aca="false">S35/Datos!$C$7</f>
        <v>38.527995324125</v>
      </c>
      <c r="T51" s="19" t="n">
        <f aca="false">T35/Datos!$C$7</f>
        <v>831.9</v>
      </c>
      <c r="U51" s="19" t="n">
        <f aca="false">U35/Datos!$C$7</f>
        <v>27.34875</v>
      </c>
    </row>
    <row r="52" customFormat="false" ht="15" hidden="false" customHeight="false" outlineLevel="0" collapsed="false">
      <c r="A52" s="18" t="s">
        <v>155</v>
      </c>
      <c r="B52" s="19" t="n">
        <f aca="false">B36/Datos!$C$7</f>
        <v>601.3619836875</v>
      </c>
      <c r="C52" s="19" t="n">
        <f aca="false">C36/Datos!$C$7</f>
        <v>139.216095825</v>
      </c>
      <c r="D52" s="19" t="n">
        <f aca="false">D36/Datos!$C$7</f>
        <v>576.577101</v>
      </c>
      <c r="E52" s="19" t="n">
        <f aca="false">E36/Datos!$C$7</f>
        <v>34.51590148125</v>
      </c>
      <c r="F52" s="19" t="n">
        <f aca="false">F36/Datos!$C$7</f>
        <v>8.4988224975</v>
      </c>
      <c r="G52" s="19" t="n">
        <f aca="false">G36/Datos!$C$7</f>
        <v>18.697409495625</v>
      </c>
      <c r="H52" s="19" t="n">
        <f aca="false">H36/Datos!$C$7</f>
        <v>4.0794348</v>
      </c>
      <c r="I52" s="19" t="n">
        <f aca="false">I36/Datos!$C$7</f>
        <v>2.71962319875</v>
      </c>
      <c r="J52" s="19" t="n">
        <f aca="false">J36/Datos!$C$7</f>
        <v>3197.775</v>
      </c>
      <c r="K52" s="19" t="n">
        <f aca="false">K36/Datos!$C$7</f>
        <v>125.04375</v>
      </c>
      <c r="L52" s="19" t="n">
        <f aca="false">L36/Datos!$C$7</f>
        <v>617.15625</v>
      </c>
      <c r="M52" s="19" t="n">
        <f aca="false">M36/Datos!$C$7</f>
        <v>37.70625</v>
      </c>
      <c r="N52" s="19" t="n">
        <f aca="false">N36/Datos!$C$7</f>
        <v>6.0375</v>
      </c>
      <c r="O52" s="19" t="n">
        <f aca="false">O36/Datos!$C$7</f>
        <v>13.275</v>
      </c>
      <c r="P52" s="19" t="n">
        <f aca="false">P36/Datos!$C$7</f>
        <v>2.90625</v>
      </c>
      <c r="Q52" s="19" t="n">
        <f aca="false">Q36/Datos!$C$7</f>
        <v>1.9125</v>
      </c>
      <c r="R52" s="19" t="n">
        <f aca="false">R36/Datos!$C$7</f>
        <v>750.30909830625</v>
      </c>
      <c r="S52" s="19" t="n">
        <f aca="false">S36/Datos!$C$7</f>
        <v>33.995289991875</v>
      </c>
      <c r="T52" s="19" t="n">
        <f aca="false">T36/Datos!$C$7</f>
        <v>779.90625</v>
      </c>
      <c r="U52" s="19" t="n">
        <f aca="false">U36/Datos!$C$7</f>
        <v>24.13125</v>
      </c>
    </row>
    <row r="53" customFormat="false" ht="15" hidden="false" customHeight="false" outlineLevel="0" collapsed="false">
      <c r="A53" s="18" t="s">
        <v>156</v>
      </c>
      <c r="B53" s="19" t="n">
        <f aca="false">B37/Datos!$C$7</f>
        <v>601.3619836875</v>
      </c>
      <c r="C53" s="19" t="n">
        <f aca="false">C37/Datos!$C$7</f>
        <v>129.93502277</v>
      </c>
      <c r="D53" s="19" t="n">
        <f aca="false">D37/Datos!$C$7</f>
        <v>538.1386276</v>
      </c>
      <c r="E53" s="19" t="n">
        <f aca="false">E37/Datos!$C$7</f>
        <v>32.2148413825</v>
      </c>
      <c r="F53" s="19" t="n">
        <f aca="false">F37/Datos!$C$7</f>
        <v>7.932234331</v>
      </c>
      <c r="G53" s="19" t="n">
        <f aca="false">G37/Datos!$C$7</f>
        <v>17.45091552925</v>
      </c>
      <c r="H53" s="19" t="n">
        <f aca="false">H37/Datos!$C$7</f>
        <v>3.80747248</v>
      </c>
      <c r="I53" s="19" t="n">
        <f aca="false">I37/Datos!$C$7</f>
        <v>2.5383149855</v>
      </c>
      <c r="J53" s="19" t="n">
        <f aca="false">J37/Datos!$C$7</f>
        <v>3197.775</v>
      </c>
      <c r="K53" s="19" t="n">
        <f aca="false">K37/Datos!$C$7</f>
        <v>116.7075</v>
      </c>
      <c r="L53" s="19" t="n">
        <f aca="false">L37/Datos!$C$7</f>
        <v>576.0125</v>
      </c>
      <c r="M53" s="19" t="n">
        <f aca="false">M37/Datos!$C$7</f>
        <v>35.1925</v>
      </c>
      <c r="N53" s="19" t="n">
        <f aca="false">N37/Datos!$C$7</f>
        <v>5.635</v>
      </c>
      <c r="O53" s="19" t="n">
        <f aca="false">O37/Datos!$C$7</f>
        <v>12.39</v>
      </c>
      <c r="P53" s="19" t="n">
        <f aca="false">P37/Datos!$C$7</f>
        <v>2.7125</v>
      </c>
      <c r="Q53" s="19" t="n">
        <f aca="false">Q37/Datos!$C$7</f>
        <v>1.785</v>
      </c>
      <c r="R53" s="19" t="n">
        <f aca="false">R37/Datos!$C$7</f>
        <v>700.2884917525</v>
      </c>
      <c r="S53" s="19" t="n">
        <f aca="false">S37/Datos!$C$7</f>
        <v>31.72893732575</v>
      </c>
      <c r="T53" s="19" t="n">
        <f aca="false">T37/Datos!$C$7</f>
        <v>727.9125</v>
      </c>
      <c r="U53" s="19" t="n">
        <f aca="false">U37/Datos!$C$7</f>
        <v>22.5225</v>
      </c>
    </row>
    <row r="54" customFormat="false" ht="15" hidden="false" customHeight="false" outlineLevel="0" collapsed="false">
      <c r="A54" s="18" t="s">
        <v>157</v>
      </c>
      <c r="B54" s="19" t="n">
        <f aca="false">B38/Datos!$C$7</f>
        <v>962.1791739</v>
      </c>
      <c r="C54" s="19" t="n">
        <f aca="false">C38/Datos!$C$7</f>
        <v>204.18360721</v>
      </c>
      <c r="D54" s="19" t="n">
        <f aca="false">D38/Datos!$C$7</f>
        <v>845.6464148</v>
      </c>
      <c r="E54" s="19" t="n">
        <f aca="false">E38/Datos!$C$7</f>
        <v>50.6233221725</v>
      </c>
      <c r="F54" s="19" t="n">
        <f aca="false">F38/Datos!$C$7</f>
        <v>9.065410664</v>
      </c>
      <c r="G54" s="19" t="n">
        <f aca="false">G38/Datos!$C$7</f>
        <v>19.943903462</v>
      </c>
      <c r="H54" s="19" t="n">
        <f aca="false">H38/Datos!$C$7</f>
        <v>4.35139712</v>
      </c>
      <c r="I54" s="19" t="n">
        <f aca="false">I38/Datos!$C$7</f>
        <v>2.900931412</v>
      </c>
      <c r="J54" s="19" t="n">
        <f aca="false">J38/Datos!$C$7</f>
        <v>5116.44</v>
      </c>
      <c r="K54" s="19" t="n">
        <f aca="false">K38/Datos!$C$7</f>
        <v>183.3975</v>
      </c>
      <c r="L54" s="19" t="n">
        <f aca="false">L38/Datos!$C$7</f>
        <v>905.1625</v>
      </c>
      <c r="M54" s="19" t="n">
        <f aca="false">M38/Datos!$C$7</f>
        <v>55.3025</v>
      </c>
      <c r="N54" s="19" t="n">
        <f aca="false">N38/Datos!$C$7</f>
        <v>6.44</v>
      </c>
      <c r="O54" s="19" t="n">
        <f aca="false">O38/Datos!$C$7</f>
        <v>14.16</v>
      </c>
      <c r="P54" s="19" t="n">
        <f aca="false">P38/Datos!$C$7</f>
        <v>3.1</v>
      </c>
      <c r="Q54" s="19" t="n">
        <f aca="false">Q38/Datos!$C$7</f>
        <v>2.04</v>
      </c>
      <c r="R54" s="19" t="n">
        <f aca="false">R38/Datos!$C$7</f>
        <v>1100.4533441825</v>
      </c>
      <c r="S54" s="19" t="n">
        <f aca="false">S38/Datos!$C$7</f>
        <v>36.261642658</v>
      </c>
      <c r="T54" s="19" t="n">
        <f aca="false">T38/Datos!$C$7</f>
        <v>1143.8625</v>
      </c>
      <c r="U54" s="19" t="n">
        <f aca="false">U38/Datos!$C$7</f>
        <v>25.74</v>
      </c>
    </row>
    <row r="55" customFormat="false" ht="15" hidden="false" customHeight="false" outlineLevel="0" collapsed="false">
      <c r="A55" s="4" t="s">
        <v>178</v>
      </c>
      <c r="B55" s="15" t="n">
        <f aca="false">B39/Datos!$C$8</f>
        <v>668.179981875</v>
      </c>
      <c r="C55" s="15" t="n">
        <f aca="false">C39/Datos!$C$8</f>
        <v>154.684550916667</v>
      </c>
      <c r="D55" s="15" t="n">
        <f aca="false">D39/Datos!$C$8</f>
        <v>640.641223333333</v>
      </c>
      <c r="E55" s="15" t="n">
        <f aca="false">E39/Datos!$C$8</f>
        <v>38.3510016458333</v>
      </c>
      <c r="F55" s="15" t="n">
        <f aca="false">F39/Datos!$C$8</f>
        <v>9.44313610833333</v>
      </c>
      <c r="G55" s="15" t="n">
        <f aca="false">G39/Datos!$C$8</f>
        <v>20.7748994395833</v>
      </c>
      <c r="H55" s="15" t="n">
        <f aca="false">H39/Datos!$C$8</f>
        <v>4.53270533333333</v>
      </c>
      <c r="I55" s="15" t="n">
        <f aca="false">I39/Datos!$C$8</f>
        <v>3.02180355416667</v>
      </c>
      <c r="J55" s="15" t="n">
        <f aca="false">J39/Datos!$C$8</f>
        <v>3553.08333333333</v>
      </c>
      <c r="K55" s="15" t="n">
        <f aca="false">K39/Datos!$C$8</f>
        <v>138.9375</v>
      </c>
      <c r="L55" s="15" t="n">
        <f aca="false">L39/Datos!$C$8</f>
        <v>685.729166666667</v>
      </c>
      <c r="M55" s="15" t="n">
        <f aca="false">M39/Datos!$C$8</f>
        <v>41.8958333333333</v>
      </c>
      <c r="N55" s="15" t="n">
        <f aca="false">N39/Datos!$C$8</f>
        <v>6.70833333333333</v>
      </c>
      <c r="O55" s="15" t="n">
        <f aca="false">O39/Datos!$C$8</f>
        <v>14.75</v>
      </c>
      <c r="P55" s="15" t="n">
        <f aca="false">P39/Datos!$C$8</f>
        <v>3.22916666666667</v>
      </c>
      <c r="Q55" s="15" t="n">
        <f aca="false">Q39/Datos!$C$8</f>
        <v>2.125</v>
      </c>
      <c r="R55" s="15" t="n">
        <f aca="false">R39/Datos!$C$8</f>
        <v>833.676775895833</v>
      </c>
      <c r="S55" s="15" t="n">
        <f aca="false">S39/Datos!$C$8</f>
        <v>37.7725444354167</v>
      </c>
      <c r="T55" s="15" t="n">
        <f aca="false">T39/Datos!$C$8</f>
        <v>866.5625</v>
      </c>
      <c r="U55" s="15" t="n">
        <f aca="false">U39/Datos!$C$8</f>
        <v>26.8125</v>
      </c>
    </row>
    <row r="56" customFormat="false" ht="15" hidden="false" customHeight="false" outlineLevel="0" collapsed="false">
      <c r="A56" s="4" t="s">
        <v>179</v>
      </c>
      <c r="B56" s="15" t="n">
        <f aca="false">MAX(B43:B54)</f>
        <v>962.1791739</v>
      </c>
      <c r="C56" s="15" t="n">
        <f aca="false">MAX(C43:C54)</f>
        <v>204.18360721</v>
      </c>
      <c r="D56" s="15" t="n">
        <f aca="false">MAX(D43:D54)</f>
        <v>845.6464148</v>
      </c>
      <c r="E56" s="15" t="n">
        <f aca="false">MAX(E43:E54)</f>
        <v>50.6233221725</v>
      </c>
      <c r="F56" s="15" t="n">
        <f aca="false">MAX(F43:F54)</f>
        <v>10.198586997</v>
      </c>
      <c r="G56" s="15" t="n">
        <f aca="false">MAX(G43:G54)</f>
        <v>22.43689139475</v>
      </c>
      <c r="H56" s="15" t="n">
        <f aca="false">MAX(H43:H54)</f>
        <v>4.89532176</v>
      </c>
      <c r="I56" s="15" t="n">
        <f aca="false">MAX(I43:I54)</f>
        <v>3.2635478385</v>
      </c>
      <c r="J56" s="15" t="n">
        <f aca="false">MAX(J43:J54)</f>
        <v>5116.44</v>
      </c>
      <c r="K56" s="15" t="n">
        <f aca="false">MAX(K43:K54)</f>
        <v>183.3975</v>
      </c>
      <c r="L56" s="15" t="n">
        <f aca="false">MAX(L43:L54)</f>
        <v>905.1625</v>
      </c>
      <c r="M56" s="15" t="n">
        <f aca="false">MAX(M43:M54)</f>
        <v>55.3025</v>
      </c>
      <c r="N56" s="15" t="n">
        <f aca="false">MAX(N43:N54)</f>
        <v>7.245</v>
      </c>
      <c r="O56" s="15" t="n">
        <f aca="false">MAX(O43:O54)</f>
        <v>15.93</v>
      </c>
      <c r="P56" s="15" t="n">
        <f aca="false">MAX(P43:P54)</f>
        <v>3.4875</v>
      </c>
      <c r="Q56" s="15" t="n">
        <f aca="false">MAX(Q43:Q54)</f>
        <v>2.295</v>
      </c>
      <c r="R56" s="15" t="n">
        <f aca="false">MAX(R43:R54)</f>
        <v>1100.4533441825</v>
      </c>
      <c r="S56" s="15" t="n">
        <f aca="false">MAX(S43:S54)</f>
        <v>40.79434799025</v>
      </c>
      <c r="T56" s="15" t="n">
        <f aca="false">MAX(T43:T54)</f>
        <v>1143.8625</v>
      </c>
      <c r="U56" s="15" t="n">
        <f aca="false">MAX(U43:U54)</f>
        <v>28.9575</v>
      </c>
    </row>
    <row r="57" customFormat="false" ht="15" hidden="false" customHeight="false" outlineLevel="0" collapsed="false">
      <c r="A57" s="4" t="s">
        <v>180</v>
      </c>
      <c r="B57" s="15" t="n">
        <f aca="false">MIN(B43:B54)</f>
        <v>561.271184775</v>
      </c>
      <c r="C57" s="15" t="n">
        <f aca="false">MIN(C43:C54)</f>
        <v>129.93502277</v>
      </c>
      <c r="D57" s="15" t="n">
        <f aca="false">MIN(D43:D54)</f>
        <v>538.1386276</v>
      </c>
      <c r="E57" s="15" t="n">
        <f aca="false">MIN(E43:E54)</f>
        <v>32.2148413825</v>
      </c>
      <c r="F57" s="15" t="n">
        <f aca="false">MIN(F43:F54)</f>
        <v>7.932234331</v>
      </c>
      <c r="G57" s="15" t="n">
        <f aca="false">MIN(G43:G54)</f>
        <v>17.45091552925</v>
      </c>
      <c r="H57" s="15" t="n">
        <f aca="false">MIN(H43:H54)</f>
        <v>3.80747248</v>
      </c>
      <c r="I57" s="15" t="n">
        <f aca="false">MIN(I43:I54)</f>
        <v>2.5383149855</v>
      </c>
      <c r="J57" s="15" t="n">
        <f aca="false">MIN(J43:J54)</f>
        <v>2984.59</v>
      </c>
      <c r="K57" s="15" t="n">
        <f aca="false">MIN(K43:K54)</f>
        <v>116.7075</v>
      </c>
      <c r="L57" s="15" t="n">
        <f aca="false">MIN(L43:L54)</f>
        <v>576.0125</v>
      </c>
      <c r="M57" s="15" t="n">
        <f aca="false">MIN(M43:M54)</f>
        <v>35.1925</v>
      </c>
      <c r="N57" s="15" t="n">
        <f aca="false">MIN(N43:N54)</f>
        <v>5.635</v>
      </c>
      <c r="O57" s="15" t="n">
        <f aca="false">MIN(O43:O54)</f>
        <v>12.39</v>
      </c>
      <c r="P57" s="15" t="n">
        <f aca="false">MIN(P43:P54)</f>
        <v>2.7125</v>
      </c>
      <c r="Q57" s="15" t="n">
        <f aca="false">MIN(Q43:Q54)</f>
        <v>1.785</v>
      </c>
      <c r="R57" s="15" t="n">
        <f aca="false">MIN(R43:R54)</f>
        <v>700.2884917525</v>
      </c>
      <c r="S57" s="15" t="n">
        <f aca="false">MIN(S43:S54)</f>
        <v>31.72893732575</v>
      </c>
      <c r="T57" s="15" t="n">
        <f aca="false">MIN(T43:T54)</f>
        <v>727.9125</v>
      </c>
      <c r="U57" s="15" t="n">
        <f aca="false">MIN(U43:U54)</f>
        <v>22.5225</v>
      </c>
    </row>
    <row r="58" customFormat="false" ht="15" hidden="false" customHeight="false" outlineLevel="0" collapsed="false">
      <c r="A58" s="4" t="s">
        <v>181</v>
      </c>
      <c r="B58" s="20" t="str">
        <f aca="false">IF(MAX(B43:B54)=0,"-",INDEX($A$43:$A$54,MATCH(MAX(B43:B54),B43:B54,0)))</f>
        <v>Ene</v>
      </c>
      <c r="C58" s="20" t="str">
        <f aca="false">IF(MAX(C43:C54)=0,"-",INDEX($A$43:$A$54,MATCH(MAX(C43:C54),C43:C54,0)))</f>
        <v>Dic</v>
      </c>
      <c r="D58" s="20" t="str">
        <f aca="false">IF(MAX(D43:D54)=0,"-",INDEX($A$43:$A$54,MATCH(MAX(D43:D54),D43:D54,0)))</f>
        <v>Dic</v>
      </c>
      <c r="E58" s="20" t="str">
        <f aca="false">IF(MAX(E43:E54)=0,"-",INDEX($A$43:$A$54,MATCH(MAX(E43:E54),E43:E54,0)))</f>
        <v>Dic</v>
      </c>
      <c r="F58" s="20" t="str">
        <f aca="false">IF(MAX(F43:F54)=0,"-",INDEX($A$43:$A$54,MATCH(MAX(F43:F54),F43:F54,0)))</f>
        <v>Mar</v>
      </c>
      <c r="G58" s="20" t="str">
        <f aca="false">IF(MAX(G43:G54)=0,"-",INDEX($A$43:$A$54,MATCH(MAX(G43:G54),G43:G54,0)))</f>
        <v>Mar</v>
      </c>
      <c r="H58" s="20" t="str">
        <f aca="false">IF(MAX(H43:H54)=0,"-",INDEX($A$43:$A$54,MATCH(MAX(H43:H54),H43:H54,0)))</f>
        <v>Mar</v>
      </c>
      <c r="I58" s="20" t="str">
        <f aca="false">IF(MAX(I43:I54)=0,"-",INDEX($A$43:$A$54,MATCH(MAX(I43:I54),I43:I54,0)))</f>
        <v>Mar</v>
      </c>
      <c r="J58" s="20" t="str">
        <f aca="false">IF(MAX(J43:J54)=0,"-",INDEX($A$43:$A$54,MATCH(MAX(J43:J54),J43:J54,0)))</f>
        <v>Ene</v>
      </c>
      <c r="K58" s="20" t="str">
        <f aca="false">IF(MAX(K43:K54)=0,"-",INDEX($A$43:$A$54,MATCH(MAX(K43:K54),K43:K54,0)))</f>
        <v>Dic</v>
      </c>
      <c r="L58" s="20" t="str">
        <f aca="false">IF(MAX(L43:L54)=0,"-",INDEX($A$43:$A$54,MATCH(MAX(L43:L54),L43:L54,0)))</f>
        <v>Dic</v>
      </c>
      <c r="M58" s="20" t="str">
        <f aca="false">IF(MAX(M43:M54)=0,"-",INDEX($A$43:$A$54,MATCH(MAX(M43:M54),M43:M54,0)))</f>
        <v>Dic</v>
      </c>
      <c r="N58" s="20" t="str">
        <f aca="false">IF(MAX(N43:N54)=0,"-",INDEX($A$43:$A$54,MATCH(MAX(N43:N54),N43:N54,0)))</f>
        <v>Mar</v>
      </c>
      <c r="O58" s="20" t="str">
        <f aca="false">IF(MAX(O43:O54)=0,"-",INDEX($A$43:$A$54,MATCH(MAX(O43:O54),O43:O54,0)))</f>
        <v>Mar</v>
      </c>
      <c r="P58" s="20" t="str">
        <f aca="false">IF(MAX(P43:P54)=0,"-",INDEX($A$43:$A$54,MATCH(MAX(P43:P54),P43:P54,0)))</f>
        <v>Mar</v>
      </c>
      <c r="Q58" s="20" t="str">
        <f aca="false">IF(MAX(Q43:Q54)=0,"-",INDEX($A$43:$A$54,MATCH(MAX(Q43:Q54),Q43:Q54,0)))</f>
        <v>Mar</v>
      </c>
      <c r="R58" s="20" t="str">
        <f aca="false">IF(MAX(R43:R54)=0,"-",INDEX($A$43:$A$54,MATCH(MAX(R43:R54),R43:R54,0)))</f>
        <v>Dic</v>
      </c>
      <c r="S58" s="20" t="str">
        <f aca="false">IF(MAX(S43:S54)=0,"-",INDEX($A$43:$A$54,MATCH(MAX(S43:S54),S43:S54,0)))</f>
        <v>Mar</v>
      </c>
      <c r="T58" s="20" t="str">
        <f aca="false">IF(MAX(T43:T54)=0,"-",INDEX($A$43:$A$54,MATCH(MAX(T43:T54),T43:T54,0)))</f>
        <v>Dic</v>
      </c>
      <c r="U58" s="20" t="str">
        <f aca="false">IF(MAX(U43:U54)=0,"-",INDEX($A$43:$A$54,MATCH(MAX(U43:U54),U43:U54,0)))</f>
        <v>Mar</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7"/>
    <col collapsed="false" customWidth="true" hidden="false" outlineLevel="0" max="3" min="3" style="0" width="16"/>
    <col collapsed="false" customWidth="true" hidden="false" outlineLevel="0" max="6" min="4" style="0" width="14"/>
    <col collapsed="false" customWidth="true" hidden="false" outlineLevel="0" max="7" min="7" style="0" width="40"/>
  </cols>
  <sheetData>
    <row r="1" customFormat="false" ht="17.35" hidden="false" customHeight="false" outlineLevel="0" collapsed="false">
      <c r="A1" s="1" t="s">
        <v>182</v>
      </c>
    </row>
    <row r="2" customFormat="false" ht="15" hidden="false" customHeight="false" outlineLevel="0" collapsed="false">
      <c r="A2" s="2" t="s">
        <v>183</v>
      </c>
    </row>
    <row r="4" customFormat="false" ht="15" hidden="false" customHeight="false" outlineLevel="0" collapsed="false">
      <c r="A4" s="3" t="s">
        <v>184</v>
      </c>
      <c r="B4" s="3" t="s">
        <v>23</v>
      </c>
      <c r="C4" s="3" t="s">
        <v>57</v>
      </c>
      <c r="D4" s="3" t="s">
        <v>58</v>
      </c>
      <c r="E4" s="3" t="s">
        <v>59</v>
      </c>
      <c r="F4" s="3" t="s">
        <v>60</v>
      </c>
      <c r="G4" s="3" t="s">
        <v>185</v>
      </c>
    </row>
    <row r="5" customFormat="false" ht="15" hidden="false" customHeight="false" outlineLevel="0" collapsed="false">
      <c r="A5" s="5" t="s">
        <v>61</v>
      </c>
      <c r="B5" s="20" t="s">
        <v>62</v>
      </c>
      <c r="C5" s="19" t="n">
        <f aca="false">Datos!$C$24</f>
        <v>6</v>
      </c>
      <c r="D5" s="19" t="n">
        <f aca="false">Datos!$D$24</f>
        <v>1</v>
      </c>
      <c r="E5" s="19" t="n">
        <f aca="false">Datos!$E$24</f>
        <v>1</v>
      </c>
      <c r="F5" s="19" t="n">
        <f aca="false">Datos!$F$24</f>
        <v>1</v>
      </c>
      <c r="G5" s="5" t="s">
        <v>186</v>
      </c>
    </row>
    <row r="6" customFormat="false" ht="15" hidden="false" customHeight="false" outlineLevel="0" collapsed="false">
      <c r="A6" s="5" t="s">
        <v>187</v>
      </c>
      <c r="B6" s="20" t="s">
        <v>40</v>
      </c>
      <c r="C6" s="19" t="n">
        <f aca="false">Datos!$C$25</f>
        <v>265</v>
      </c>
      <c r="D6" s="19" t="n">
        <f aca="false">Datos!$D$25</f>
        <v>135</v>
      </c>
      <c r="E6" s="19" t="n">
        <f aca="false">Datos!$E$25</f>
        <v>165</v>
      </c>
      <c r="F6" s="19" t="n">
        <f aca="false">Datos!$F$25</f>
        <v>195</v>
      </c>
      <c r="G6" s="5" t="s">
        <v>186</v>
      </c>
    </row>
    <row r="7" customFormat="false" ht="15" hidden="false" customHeight="false" outlineLevel="0" collapsed="false">
      <c r="A7" s="5" t="s">
        <v>188</v>
      </c>
      <c r="B7" s="20" t="s">
        <v>40</v>
      </c>
      <c r="C7" s="19" t="n">
        <f aca="false">Datos!$C$26</f>
        <v>190</v>
      </c>
      <c r="D7" s="19" t="n">
        <f aca="false">Datos!$D$26</f>
        <v>135</v>
      </c>
      <c r="E7" s="19" t="n">
        <f aca="false">Datos!$E$26</f>
        <v>165</v>
      </c>
      <c r="F7" s="19" t="n">
        <f aca="false">Datos!$F$26</f>
        <v>195</v>
      </c>
      <c r="G7" s="5" t="s">
        <v>186</v>
      </c>
    </row>
    <row r="8" customFormat="false" ht="15" hidden="false" customHeight="false" outlineLevel="0" collapsed="false">
      <c r="A8" s="5" t="s">
        <v>189</v>
      </c>
      <c r="B8" s="20" t="s">
        <v>40</v>
      </c>
      <c r="C8" s="19" t="n">
        <f aca="false">Datos!$C$27</f>
        <v>410</v>
      </c>
      <c r="D8" s="19" t="n">
        <f aca="false">Datos!$D$27</f>
        <v>435</v>
      </c>
      <c r="E8" s="19" t="n">
        <f aca="false">Datos!$E$27</f>
        <v>515</v>
      </c>
      <c r="F8" s="19" t="n">
        <f aca="false">Datos!$F$27</f>
        <v>685</v>
      </c>
      <c r="G8" s="5" t="s">
        <v>186</v>
      </c>
    </row>
    <row r="9" customFormat="false" ht="15" hidden="false" customHeight="false" outlineLevel="0" collapsed="false">
      <c r="A9" s="5" t="s">
        <v>190</v>
      </c>
      <c r="B9" s="20" t="s">
        <v>45</v>
      </c>
      <c r="C9" s="21" t="n">
        <f aca="false">Datos!$C$24*Datos!$C$29+Datos!$C$28</f>
        <v>12.83</v>
      </c>
      <c r="D9" s="21" t="n">
        <f aca="false">Datos!$D$24*Datos!$D$29+Datos!$D$28</f>
        <v>4.88</v>
      </c>
      <c r="E9" s="21" t="n">
        <f aca="false">Datos!$E$24*Datos!$E$29+Datos!$E$28</f>
        <v>8.83</v>
      </c>
      <c r="F9" s="21" t="n">
        <f aca="false">Datos!$F$24*Datos!$F$29+Datos!$F$28</f>
        <v>16.73</v>
      </c>
      <c r="G9" s="5" t="s">
        <v>191</v>
      </c>
    </row>
    <row r="10" customFormat="false" ht="15" hidden="false" customHeight="false" outlineLevel="0" collapsed="false">
      <c r="A10" s="5" t="s">
        <v>192</v>
      </c>
      <c r="B10" s="20" t="s">
        <v>62</v>
      </c>
      <c r="C10" s="19" t="n">
        <f aca="false">INT(Datos!$C$12/C6)*INT(Datos!$C$13/C7)</f>
        <v>20</v>
      </c>
      <c r="D10" s="19" t="n">
        <f aca="false">INT(Datos!$C$12/D6)*INT(Datos!$C$13/D7)</f>
        <v>56</v>
      </c>
      <c r="E10" s="19" t="n">
        <f aca="false">INT(Datos!$C$12/E6)*INT(Datos!$C$13/E7)</f>
        <v>42</v>
      </c>
      <c r="F10" s="19" t="n">
        <f aca="false">INT(Datos!$C$12/F6)*INT(Datos!$C$13/F7)</f>
        <v>30</v>
      </c>
      <c r="G10" s="5" t="s">
        <v>193</v>
      </c>
    </row>
    <row r="11" customFormat="false" ht="15" hidden="false" customHeight="false" outlineLevel="0" collapsed="false">
      <c r="A11" s="5" t="s">
        <v>194</v>
      </c>
      <c r="B11" s="20" t="s">
        <v>62</v>
      </c>
      <c r="C11" s="19" t="n">
        <f aca="false">INT(Datos!$C$12/C7)*INT(Datos!$C$13/C6)</f>
        <v>18</v>
      </c>
      <c r="D11" s="19" t="n">
        <f aca="false">INT(Datos!$C$12/D7)*INT(Datos!$C$13/D6)</f>
        <v>56</v>
      </c>
      <c r="E11" s="19" t="n">
        <f aca="false">INT(Datos!$C$12/E7)*INT(Datos!$C$13/E6)</f>
        <v>42</v>
      </c>
      <c r="F11" s="19" t="n">
        <f aca="false">INT(Datos!$C$12/F7)*INT(Datos!$C$13/F6)</f>
        <v>30</v>
      </c>
      <c r="G11" s="5" t="s">
        <v>195</v>
      </c>
    </row>
    <row r="12" customFormat="false" ht="15" hidden="false" customHeight="false" outlineLevel="0" collapsed="false">
      <c r="A12" s="4" t="s">
        <v>196</v>
      </c>
      <c r="B12" s="20" t="s">
        <v>62</v>
      </c>
      <c r="C12" s="19" t="n">
        <f aca="false">MAX(C10,C11)</f>
        <v>20</v>
      </c>
      <c r="D12" s="19" t="n">
        <f aca="false">MAX(D10,D11)</f>
        <v>56</v>
      </c>
      <c r="E12" s="19" t="n">
        <f aca="false">MAX(E10,E11)</f>
        <v>42</v>
      </c>
      <c r="F12" s="19" t="n">
        <f aca="false">MAX(F10,F11)</f>
        <v>30</v>
      </c>
      <c r="G12" s="5" t="s">
        <v>197</v>
      </c>
    </row>
    <row r="13" customFormat="false" ht="23.85" hidden="false" customHeight="false" outlineLevel="0" collapsed="false">
      <c r="A13" s="5" t="s">
        <v>198</v>
      </c>
      <c r="B13" s="20"/>
      <c r="C13" s="20" t="str">
        <f aca="false">IF(C10&gt;=C11,INT(Datos!$C$12/C6)&amp;" × "&amp;INT(Datos!$C$13/C7)&amp;" (largo de la caja a lo largo)",INT(Datos!$C$12/C7)&amp;" × "&amp;INT(Datos!$C$13/C6)&amp;" (girada 90°)")</f>
        <v>4 × 5 (largo de la caja a lo largo)</v>
      </c>
      <c r="D13" s="20" t="str">
        <f aca="false">IF(D10&gt;=D11,INT(Datos!$C$12/D6)&amp;" × "&amp;INT(Datos!$C$13/D7)&amp;" (largo de la caja a lo largo)",INT(Datos!$C$12/D7)&amp;" × "&amp;INT(Datos!$C$13/D6)&amp;" (girada 90°)")</f>
        <v>8 × 7 (largo de la caja a lo largo)</v>
      </c>
      <c r="E13" s="20" t="str">
        <f aca="false">IF(E10&gt;=E11,INT(Datos!$C$12/E6)&amp;" × "&amp;INT(Datos!$C$13/E7)&amp;" (largo de la caja a lo largo)",INT(Datos!$C$12/E7)&amp;" × "&amp;INT(Datos!$C$13/E6)&amp;" (girada 90°)")</f>
        <v>7 × 6 (largo de la caja a lo largo)</v>
      </c>
      <c r="F13" s="20" t="str">
        <f aca="false">IF(F10&gt;=F11,INT(Datos!$C$12/F6)&amp;" × "&amp;INT(Datos!$C$13/F7)&amp;" (largo de la caja a lo largo)",INT(Datos!$C$12/F7)&amp;" × "&amp;INT(Datos!$C$13/F6)&amp;" (girada 90°)")</f>
        <v>6 × 5 (largo de la caja a lo largo)</v>
      </c>
      <c r="G13" s="5" t="s">
        <v>199</v>
      </c>
    </row>
    <row r="14" customFormat="false" ht="15" hidden="false" customHeight="false" outlineLevel="0" collapsed="false">
      <c r="A14" s="5" t="s">
        <v>200</v>
      </c>
      <c r="B14" s="20" t="s">
        <v>62</v>
      </c>
      <c r="C14" s="19" t="n">
        <f aca="false">INT((Datos!$C$16-Datos!$C$14)/C8)</f>
        <v>3</v>
      </c>
      <c r="D14" s="19" t="n">
        <f aca="false">INT((Datos!$C$16-Datos!$C$14)/D8)</f>
        <v>3</v>
      </c>
      <c r="E14" s="19" t="n">
        <f aca="false">INT((Datos!$C$16-Datos!$C$14)/E8)</f>
        <v>2</v>
      </c>
      <c r="F14" s="19" t="n">
        <f aca="false">INT((Datos!$C$16-Datos!$C$14)/F8)</f>
        <v>2</v>
      </c>
      <c r="G14" s="5" t="s">
        <v>201</v>
      </c>
    </row>
    <row r="15" customFormat="false" ht="15" hidden="false" customHeight="false" outlineLevel="0" collapsed="false">
      <c r="A15" s="5" t="s">
        <v>202</v>
      </c>
      <c r="B15" s="20" t="s">
        <v>62</v>
      </c>
      <c r="C15" s="19" t="n">
        <f aca="false">INT(Datos!$C$17/(C12*C9))</f>
        <v>4</v>
      </c>
      <c r="D15" s="19" t="n">
        <f aca="false">INT(Datos!$C$17/(D12*D9))</f>
        <v>4</v>
      </c>
      <c r="E15" s="19" t="n">
        <f aca="false">INT(Datos!$C$17/(E12*E9))</f>
        <v>2</v>
      </c>
      <c r="F15" s="19" t="n">
        <f aca="false">INT(Datos!$C$17/(F12*F9))</f>
        <v>2</v>
      </c>
      <c r="G15" s="5" t="s">
        <v>203</v>
      </c>
    </row>
    <row r="16" customFormat="false" ht="15" hidden="false" customHeight="false" outlineLevel="0" collapsed="false">
      <c r="A16" s="4" t="s">
        <v>204</v>
      </c>
      <c r="B16" s="20" t="s">
        <v>62</v>
      </c>
      <c r="C16" s="19" t="n">
        <f aca="false">MIN(C14,C15)</f>
        <v>3</v>
      </c>
      <c r="D16" s="19" t="n">
        <f aca="false">MIN(D14,D15)</f>
        <v>3</v>
      </c>
      <c r="E16" s="19" t="n">
        <f aca="false">MIN(E14,E15)</f>
        <v>2</v>
      </c>
      <c r="F16" s="19" t="n">
        <f aca="false">MIN(F14,F15)</f>
        <v>2</v>
      </c>
      <c r="G16" s="5" t="s">
        <v>205</v>
      </c>
    </row>
    <row r="17" customFormat="false" ht="15" hidden="false" customHeight="false" outlineLevel="0" collapsed="false">
      <c r="A17" s="5" t="s">
        <v>206</v>
      </c>
      <c r="B17" s="20" t="s">
        <v>62</v>
      </c>
      <c r="C17" s="19" t="n">
        <f aca="false">C12*C16</f>
        <v>60</v>
      </c>
      <c r="D17" s="19" t="n">
        <f aca="false">D12*D16</f>
        <v>168</v>
      </c>
      <c r="E17" s="19" t="n">
        <f aca="false">E12*E16</f>
        <v>84</v>
      </c>
      <c r="F17" s="19" t="n">
        <f aca="false">F12*F16</f>
        <v>60</v>
      </c>
      <c r="G17" s="5"/>
    </row>
    <row r="18" customFormat="false" ht="15" hidden="false" customHeight="false" outlineLevel="0" collapsed="false">
      <c r="A18" s="4" t="s">
        <v>207</v>
      </c>
      <c r="B18" s="20" t="s">
        <v>62</v>
      </c>
      <c r="C18" s="15" t="n">
        <f aca="false">C17*C5</f>
        <v>360</v>
      </c>
      <c r="D18" s="15" t="n">
        <f aca="false">D17*D5</f>
        <v>168</v>
      </c>
      <c r="E18" s="15" t="n">
        <f aca="false">E17*E5</f>
        <v>84</v>
      </c>
      <c r="F18" s="15" t="n">
        <f aca="false">F17*F5</f>
        <v>60</v>
      </c>
      <c r="G18" s="5" t="s">
        <v>208</v>
      </c>
    </row>
    <row r="19" customFormat="false" ht="15" hidden="false" customHeight="false" outlineLevel="0" collapsed="false">
      <c r="A19" s="5" t="s">
        <v>209</v>
      </c>
      <c r="B19" s="20" t="s">
        <v>45</v>
      </c>
      <c r="C19" s="19" t="n">
        <f aca="false">C17*C9+Datos!$C$15</f>
        <v>804.8</v>
      </c>
      <c r="D19" s="19" t="n">
        <f aca="false">D17*D9+Datos!$C$15</f>
        <v>854.84</v>
      </c>
      <c r="E19" s="19" t="n">
        <f aca="false">E17*E9+Datos!$C$15</f>
        <v>776.72</v>
      </c>
      <c r="F19" s="19" t="n">
        <f aca="false">F17*F9+Datos!$C$15</f>
        <v>1038.8</v>
      </c>
      <c r="G19" s="5" t="s">
        <v>210</v>
      </c>
    </row>
    <row r="20" customFormat="false" ht="15" hidden="false" customHeight="false" outlineLevel="0" collapsed="false">
      <c r="A20" s="5" t="s">
        <v>211</v>
      </c>
      <c r="B20" s="20" t="s">
        <v>40</v>
      </c>
      <c r="C20" s="19" t="n">
        <f aca="false">Datos!$C$14+C16*C8</f>
        <v>1375</v>
      </c>
      <c r="D20" s="19" t="n">
        <f aca="false">Datos!$C$14+D16*D8</f>
        <v>1450</v>
      </c>
      <c r="E20" s="19" t="n">
        <f aca="false">Datos!$C$14+E16*E8</f>
        <v>1175</v>
      </c>
      <c r="F20" s="19" t="n">
        <f aca="false">Datos!$C$14+F16*F8</f>
        <v>1515</v>
      </c>
      <c r="G20" s="5" t="s">
        <v>212</v>
      </c>
    </row>
    <row r="21" customFormat="false" ht="15" hidden="false" customHeight="false" outlineLevel="0" collapsed="false">
      <c r="A21" s="5" t="s">
        <v>213</v>
      </c>
      <c r="B21" s="20" t="s">
        <v>214</v>
      </c>
      <c r="C21" s="17" t="n">
        <f aca="false">C12*C6*C7/(Datos!$C$12*Datos!$C$13)</f>
        <v>0.839166666666667</v>
      </c>
      <c r="D21" s="17" t="n">
        <f aca="false">D12*D6*D7/(Datos!$C$12*Datos!$C$13)</f>
        <v>0.8505</v>
      </c>
      <c r="E21" s="17" t="n">
        <f aca="false">E12*E6*E7/(Datos!$C$12*Datos!$C$13)</f>
        <v>0.952875</v>
      </c>
      <c r="F21" s="17" t="n">
        <f aca="false">F12*F6*F7/(Datos!$C$12*Datos!$C$13)</f>
        <v>0.950625</v>
      </c>
      <c r="G21" s="5" t="s">
        <v>215</v>
      </c>
    </row>
    <row r="22" customFormat="false" ht="15" hidden="false" customHeight="false" outlineLevel="0" collapsed="false">
      <c r="A22" s="5" t="s">
        <v>216</v>
      </c>
      <c r="B22" s="20"/>
      <c r="C22" s="20" t="str">
        <f aca="false">IF(C15&lt;C14,"el peso","la altura")</f>
        <v>la altura</v>
      </c>
      <c r="D22" s="20" t="str">
        <f aca="false">IF(D15&lt;D14,"el peso","la altura")</f>
        <v>la altura</v>
      </c>
      <c r="E22" s="20" t="str">
        <f aca="false">IF(E15&lt;E14,"el peso","la altura")</f>
        <v>la altura</v>
      </c>
      <c r="F22" s="20" t="str">
        <f aca="false">IF(F15&lt;F14,"el peso","la altura")</f>
        <v>la altura</v>
      </c>
      <c r="G22"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
    <col collapsed="false" customWidth="true" hidden="false" outlineLevel="0" max="10" min="3" style="0" width="11"/>
    <col collapsed="false" customWidth="true" hidden="false" outlineLevel="0" max="11" min="11" style="0" width="44"/>
  </cols>
  <sheetData>
    <row r="1" customFormat="false" ht="17.35" hidden="false" customHeight="false" outlineLevel="0" collapsed="false">
      <c r="A1" s="1" t="s">
        <v>217</v>
      </c>
    </row>
    <row r="2" customFormat="false" ht="15" hidden="false" customHeight="false" outlineLevel="0" collapsed="false">
      <c r="A2" s="2" t="s">
        <v>218</v>
      </c>
    </row>
    <row r="4" customFormat="false" ht="15" hidden="false" customHeight="false" outlineLevel="0" collapsed="false">
      <c r="A4" s="3" t="s">
        <v>184</v>
      </c>
      <c r="B4" s="3" t="s">
        <v>23</v>
      </c>
      <c r="C4" s="3" t="s">
        <v>57</v>
      </c>
      <c r="D4" s="3" t="s">
        <v>58</v>
      </c>
      <c r="E4" s="3" t="s">
        <v>59</v>
      </c>
      <c r="F4" s="3" t="s">
        <v>60</v>
      </c>
      <c r="G4" s="3" t="s">
        <v>75</v>
      </c>
      <c r="H4" s="3" t="s">
        <v>76</v>
      </c>
      <c r="I4" s="3" t="s">
        <v>77</v>
      </c>
      <c r="J4" s="3" t="s">
        <v>78</v>
      </c>
      <c r="K4" s="3" t="s">
        <v>185</v>
      </c>
    </row>
    <row r="5" customFormat="false" ht="15" hidden="false" customHeight="false" outlineLevel="0" collapsed="false">
      <c r="A5" s="5" t="s">
        <v>80</v>
      </c>
      <c r="B5" s="20" t="s">
        <v>40</v>
      </c>
      <c r="C5" s="22" t="n">
        <f aca="false">Datos!$C$33</f>
        <v>76.2</v>
      </c>
      <c r="D5" s="22" t="n">
        <f aca="false">Datos!$D$33</f>
        <v>124</v>
      </c>
      <c r="E5" s="22" t="n">
        <f aca="false">Datos!$E$33</f>
        <v>153</v>
      </c>
      <c r="F5" s="22" t="n">
        <f aca="false">Datos!$F$33</f>
        <v>181.5</v>
      </c>
      <c r="G5" s="22" t="n">
        <f aca="false">Datos!$G$33</f>
        <v>276.5</v>
      </c>
      <c r="H5" s="22" t="n">
        <f aca="false">Datos!$H$33</f>
        <v>320</v>
      </c>
      <c r="I5" s="22" t="n">
        <f aca="false">Datos!$I$33</f>
        <v>390</v>
      </c>
      <c r="J5" s="22" t="n">
        <f aca="false">Datos!$J$33</f>
        <v>390</v>
      </c>
      <c r="K5" s="5" t="s">
        <v>186</v>
      </c>
    </row>
    <row r="6" customFormat="false" ht="15" hidden="false" customHeight="false" outlineLevel="0" collapsed="false">
      <c r="A6" s="5" t="s">
        <v>219</v>
      </c>
      <c r="B6" s="20" t="s">
        <v>40</v>
      </c>
      <c r="C6" s="19" t="n">
        <f aca="false">Datos!$C$34</f>
        <v>297.5</v>
      </c>
      <c r="D6" s="19" t="n">
        <f aca="false">Datos!$D$34</f>
        <v>333</v>
      </c>
      <c r="E6" s="19" t="n">
        <f aca="false">Datos!$E$34</f>
        <v>414</v>
      </c>
      <c r="F6" s="19" t="n">
        <f aca="false">Datos!$F$34</f>
        <v>582</v>
      </c>
      <c r="G6" s="19" t="n">
        <f aca="false">Datos!$G$34</f>
        <v>672</v>
      </c>
      <c r="H6" s="19" t="n">
        <f aca="false">Datos!$H$34</f>
        <v>858</v>
      </c>
      <c r="I6" s="19" t="n">
        <f aca="false">Datos!$I$34</f>
        <v>908</v>
      </c>
      <c r="J6" s="19" t="n">
        <f aca="false">Datos!$J$34</f>
        <v>1128</v>
      </c>
      <c r="K6" s="5" t="s">
        <v>186</v>
      </c>
    </row>
    <row r="7" customFormat="false" ht="15" hidden="false" customHeight="false" outlineLevel="0" collapsed="false">
      <c r="A7" s="5" t="s">
        <v>220</v>
      </c>
      <c r="B7" s="20" t="s">
        <v>45</v>
      </c>
      <c r="C7" s="21" t="n">
        <f aca="false">Datos!$C$35</f>
        <v>0.76</v>
      </c>
      <c r="D7" s="21" t="n">
        <f aca="false">Datos!$D$35</f>
        <v>1.48</v>
      </c>
      <c r="E7" s="21" t="n">
        <f aca="false">Datos!$E$35</f>
        <v>2.78</v>
      </c>
      <c r="F7" s="21" t="n">
        <f aca="false">Datos!$F$35</f>
        <v>5.48</v>
      </c>
      <c r="G7" s="21" t="n">
        <f aca="false">Datos!$G$35</f>
        <v>15.92</v>
      </c>
      <c r="H7" s="21" t="n">
        <f aca="false">Datos!$H$35</f>
        <v>23.3</v>
      </c>
      <c r="I7" s="21" t="n">
        <f aca="false">Datos!$I$35</f>
        <v>46.86176284</v>
      </c>
      <c r="J7" s="21" t="n">
        <f aca="false">Datos!$J$35</f>
        <v>56.84631739</v>
      </c>
      <c r="K7" s="5" t="s">
        <v>186</v>
      </c>
    </row>
    <row r="8" customFormat="false" ht="15" hidden="false" customHeight="false" outlineLevel="0" collapsed="false">
      <c r="A8" s="5" t="s">
        <v>221</v>
      </c>
      <c r="B8" s="20" t="s">
        <v>62</v>
      </c>
      <c r="C8" s="19" t="n">
        <f aca="false">INT(Datos!$C$12/C5)</f>
        <v>15</v>
      </c>
      <c r="D8" s="19" t="n">
        <f aca="false">INT(Datos!$C$12/D5)</f>
        <v>9</v>
      </c>
      <c r="E8" s="19" t="n">
        <f aca="false">INT(Datos!$C$12/E5)</f>
        <v>7</v>
      </c>
      <c r="F8" s="19" t="n">
        <f aca="false">INT(Datos!$C$12/F5)</f>
        <v>6</v>
      </c>
      <c r="G8" s="19" t="n">
        <f aca="false">INT(Datos!$C$12/G5)</f>
        <v>4</v>
      </c>
      <c r="H8" s="19" t="n">
        <f aca="false">INT(Datos!$C$12/H5)</f>
        <v>3</v>
      </c>
      <c r="I8" s="19" t="n">
        <f aca="false">INT(Datos!$C$12/I5)</f>
        <v>3</v>
      </c>
      <c r="J8" s="19" t="n">
        <f aca="false">INT(Datos!$C$12/J5)</f>
        <v>3</v>
      </c>
      <c r="K8" s="5" t="s">
        <v>222</v>
      </c>
    </row>
    <row r="9" customFormat="false" ht="15" hidden="false" customHeight="false" outlineLevel="0" collapsed="false">
      <c r="A9" s="5" t="s">
        <v>223</v>
      </c>
      <c r="B9" s="20" t="s">
        <v>62</v>
      </c>
      <c r="C9" s="19" t="n">
        <f aca="false">INT(Datos!$C$13/C5)</f>
        <v>13</v>
      </c>
      <c r="D9" s="19" t="n">
        <f aca="false">INT(Datos!$C$13/D5)</f>
        <v>8</v>
      </c>
      <c r="E9" s="19" t="n">
        <f aca="false">INT(Datos!$C$13/E5)</f>
        <v>6</v>
      </c>
      <c r="F9" s="19" t="n">
        <f aca="false">INT(Datos!$C$13/F5)</f>
        <v>5</v>
      </c>
      <c r="G9" s="19" t="n">
        <f aca="false">INT(Datos!$C$13/G5)</f>
        <v>3</v>
      </c>
      <c r="H9" s="19" t="n">
        <f aca="false">INT(Datos!$C$13/H5)</f>
        <v>3</v>
      </c>
      <c r="I9" s="19" t="n">
        <f aca="false">INT(Datos!$C$13/I5)</f>
        <v>2</v>
      </c>
      <c r="J9" s="19" t="n">
        <f aca="false">INT(Datos!$C$13/J5)</f>
        <v>2</v>
      </c>
      <c r="K9" s="5" t="s">
        <v>224</v>
      </c>
    </row>
    <row r="10" customFormat="false" ht="23.85" hidden="false" customHeight="false" outlineLevel="0" collapsed="false">
      <c r="A10" s="4" t="s">
        <v>225</v>
      </c>
      <c r="B10" s="20" t="s">
        <v>62</v>
      </c>
      <c r="C10" s="19" t="n">
        <f aca="false">C8*C9</f>
        <v>195</v>
      </c>
      <c r="D10" s="19" t="n">
        <f aca="false">D8*D9</f>
        <v>72</v>
      </c>
      <c r="E10" s="19" t="n">
        <f aca="false">E8*E9</f>
        <v>42</v>
      </c>
      <c r="F10" s="19" t="n">
        <f aca="false">F8*F9</f>
        <v>30</v>
      </c>
      <c r="G10" s="19" t="n">
        <f aca="false">G8*G9</f>
        <v>12</v>
      </c>
      <c r="H10" s="19" t="n">
        <f aca="false">H8*H9</f>
        <v>9</v>
      </c>
      <c r="I10" s="19" t="n">
        <f aca="false">I8*I9</f>
        <v>6</v>
      </c>
      <c r="J10" s="19" t="n">
        <f aca="false">J8*J9</f>
        <v>6</v>
      </c>
      <c r="K10" s="5" t="s">
        <v>226</v>
      </c>
    </row>
    <row r="11" customFormat="false" ht="15" hidden="false" customHeight="false" outlineLevel="0" collapsed="false">
      <c r="A11" s="5" t="s">
        <v>200</v>
      </c>
      <c r="B11" s="20" t="s">
        <v>62</v>
      </c>
      <c r="C11" s="19" t="n">
        <f aca="false">INT((Datos!$C$16-Datos!$C$14)/(C6+Datos!$C$18))</f>
        <v>4</v>
      </c>
      <c r="D11" s="19" t="n">
        <f aca="false">INT((Datos!$C$16-Datos!$C$14)/(D6+Datos!$C$18))</f>
        <v>4</v>
      </c>
      <c r="E11" s="19" t="n">
        <f aca="false">INT((Datos!$C$16-Datos!$C$14)/(E6+Datos!$C$18))</f>
        <v>3</v>
      </c>
      <c r="F11" s="19" t="n">
        <f aca="false">INT((Datos!$C$16-Datos!$C$14)/(F6+Datos!$C$18))</f>
        <v>2</v>
      </c>
      <c r="G11" s="19" t="n">
        <f aca="false">INT((Datos!$C$16-Datos!$C$14)/(G6+Datos!$C$18))</f>
        <v>2</v>
      </c>
      <c r="H11" s="19" t="n">
        <f aca="false">INT((Datos!$C$16-Datos!$C$14)/(H6+Datos!$C$18))</f>
        <v>1</v>
      </c>
      <c r="I11" s="19" t="n">
        <f aca="false">INT((Datos!$C$16-Datos!$C$14)/(I6+Datos!$C$18))</f>
        <v>1</v>
      </c>
      <c r="J11" s="19" t="n">
        <f aca="false">INT((Datos!$C$16-Datos!$C$14)/(J6+Datos!$C$18))</f>
        <v>1</v>
      </c>
      <c r="K11" s="5" t="s">
        <v>227</v>
      </c>
    </row>
    <row r="12" customFormat="false" ht="15" hidden="false" customHeight="false" outlineLevel="0" collapsed="false">
      <c r="A12" s="5" t="s">
        <v>202</v>
      </c>
      <c r="B12" s="20" t="s">
        <v>62</v>
      </c>
      <c r="C12" s="19" t="n">
        <f aca="false">INT(Datos!$C$17/(C10*C7+Datos!$C$19))</f>
        <v>7</v>
      </c>
      <c r="D12" s="19" t="n">
        <f aca="false">INT(Datos!$C$17/(D10*D7+Datos!$C$19))</f>
        <v>10</v>
      </c>
      <c r="E12" s="19" t="n">
        <f aca="false">INT(Datos!$C$17/(E10*E7+Datos!$C$19))</f>
        <v>9</v>
      </c>
      <c r="F12" s="19" t="n">
        <f aca="false">INT(Datos!$C$17/(F10*F7+Datos!$C$19))</f>
        <v>6</v>
      </c>
      <c r="G12" s="19" t="n">
        <f aca="false">INT(Datos!$C$17/(G10*G7+Datos!$C$19))</f>
        <v>5</v>
      </c>
      <c r="H12" s="19" t="n">
        <f aca="false">INT(Datos!$C$17/(H10*H7+Datos!$C$19))</f>
        <v>5</v>
      </c>
      <c r="I12" s="19" t="n">
        <f aca="false">INT(Datos!$C$17/(I10*I7+Datos!$C$19))</f>
        <v>3</v>
      </c>
      <c r="J12" s="19" t="n">
        <f aca="false">INT(Datos!$C$17/(J10*J7+Datos!$C$19))</f>
        <v>3</v>
      </c>
      <c r="K12" s="5" t="s">
        <v>203</v>
      </c>
    </row>
    <row r="13" customFormat="false" ht="15" hidden="false" customHeight="false" outlineLevel="0" collapsed="false">
      <c r="A13" s="4" t="s">
        <v>204</v>
      </c>
      <c r="B13" s="20" t="s">
        <v>62</v>
      </c>
      <c r="C13" s="19" t="n">
        <f aca="false">MAX(1,MIN(C11,C12))</f>
        <v>4</v>
      </c>
      <c r="D13" s="19" t="n">
        <f aca="false">MAX(1,MIN(D11,D12))</f>
        <v>4</v>
      </c>
      <c r="E13" s="19" t="n">
        <f aca="false">MAX(1,MIN(E11,E12))</f>
        <v>3</v>
      </c>
      <c r="F13" s="19" t="n">
        <f aca="false">MAX(1,MIN(F11,F12))</f>
        <v>2</v>
      </c>
      <c r="G13" s="19" t="n">
        <f aca="false">MAX(1,MIN(G11,G12))</f>
        <v>2</v>
      </c>
      <c r="H13" s="19" t="n">
        <f aca="false">MAX(1,MIN(H11,H12))</f>
        <v>1</v>
      </c>
      <c r="I13" s="19" t="n">
        <f aca="false">MAX(1,MIN(I11,I12))</f>
        <v>1</v>
      </c>
      <c r="J13" s="19" t="n">
        <f aca="false">MAX(1,MIN(J11,J12))</f>
        <v>1</v>
      </c>
      <c r="K13" s="5" t="s">
        <v>228</v>
      </c>
    </row>
    <row r="14" customFormat="false" ht="15" hidden="false" customHeight="false" outlineLevel="0" collapsed="false">
      <c r="A14" s="4" t="s">
        <v>229</v>
      </c>
      <c r="B14" s="20" t="s">
        <v>62</v>
      </c>
      <c r="C14" s="15" t="n">
        <f aca="false">C10*C13</f>
        <v>780</v>
      </c>
      <c r="D14" s="15" t="n">
        <f aca="false">D10*D13</f>
        <v>288</v>
      </c>
      <c r="E14" s="15" t="n">
        <f aca="false">E10*E13</f>
        <v>126</v>
      </c>
      <c r="F14" s="15" t="n">
        <f aca="false">F10*F13</f>
        <v>60</v>
      </c>
      <c r="G14" s="15" t="n">
        <f aca="false">G10*G13</f>
        <v>24</v>
      </c>
      <c r="H14" s="15" t="n">
        <f aca="false">H10*H13</f>
        <v>9</v>
      </c>
      <c r="I14" s="15" t="n">
        <f aca="false">I10*I13</f>
        <v>6</v>
      </c>
      <c r="J14" s="15" t="n">
        <f aca="false">J10*J13</f>
        <v>6</v>
      </c>
      <c r="K14" s="5" t="s">
        <v>208</v>
      </c>
    </row>
    <row r="15" customFormat="false" ht="15" hidden="false" customHeight="false" outlineLevel="0" collapsed="false">
      <c r="A15" s="5" t="s">
        <v>230</v>
      </c>
      <c r="B15" s="20" t="s">
        <v>62</v>
      </c>
      <c r="C15" s="19" t="n">
        <f aca="false">C13+1</f>
        <v>5</v>
      </c>
      <c r="D15" s="19" t="n">
        <f aca="false">D13+1</f>
        <v>5</v>
      </c>
      <c r="E15" s="19" t="n">
        <f aca="false">E13+1</f>
        <v>4</v>
      </c>
      <c r="F15" s="19" t="n">
        <f aca="false">F13+1</f>
        <v>3</v>
      </c>
      <c r="G15" s="19" t="n">
        <f aca="false">G13+1</f>
        <v>3</v>
      </c>
      <c r="H15" s="19" t="n">
        <f aca="false">H13+1</f>
        <v>2</v>
      </c>
      <c r="I15" s="19" t="n">
        <f aca="false">I13+1</f>
        <v>2</v>
      </c>
      <c r="J15" s="19" t="n">
        <f aca="false">J13+1</f>
        <v>2</v>
      </c>
      <c r="K15" s="5" t="s">
        <v>231</v>
      </c>
    </row>
    <row r="16" customFormat="false" ht="15" hidden="false" customHeight="false" outlineLevel="0" collapsed="false">
      <c r="A16" s="5" t="s">
        <v>209</v>
      </c>
      <c r="B16" s="20" t="s">
        <v>45</v>
      </c>
      <c r="C16" s="19" t="n">
        <f aca="false">C14*C7+C15*Datos!$C$19+Datos!$C$15</f>
        <v>630.8</v>
      </c>
      <c r="D16" s="19" t="n">
        <f aca="false">D14*D7+D15*Datos!$C$19+Datos!$C$15</f>
        <v>464.24</v>
      </c>
      <c r="E16" s="19" t="n">
        <f aca="false">E14*E7+E15*Datos!$C$19+Datos!$C$15</f>
        <v>387.68</v>
      </c>
      <c r="F16" s="19" t="n">
        <f aca="false">F14*F7+F15*Datos!$C$19+Datos!$C$15</f>
        <v>365.6</v>
      </c>
      <c r="G16" s="19" t="n">
        <f aca="false">G14*G7+G15*Datos!$C$19+Datos!$C$15</f>
        <v>418.88</v>
      </c>
      <c r="H16" s="19" t="n">
        <f aca="false">H14*H7+H15*Datos!$C$19+Datos!$C$15</f>
        <v>245.9</v>
      </c>
      <c r="I16" s="19" t="n">
        <f aca="false">I14*I7+I15*Datos!$C$19+Datos!$C$15</f>
        <v>317.37057704</v>
      </c>
      <c r="J16" s="19" t="n">
        <f aca="false">J14*J7+J15*Datos!$C$19+Datos!$C$15</f>
        <v>377.27790434</v>
      </c>
      <c r="K16" s="5"/>
    </row>
    <row r="17" customFormat="false" ht="15" hidden="false" customHeight="false" outlineLevel="0" collapsed="false">
      <c r="A17" s="5" t="s">
        <v>211</v>
      </c>
      <c r="B17" s="20" t="s">
        <v>40</v>
      </c>
      <c r="C17" s="19" t="n">
        <f aca="false">Datos!$C$14+C13*C6+C15*Datos!$C$18</f>
        <v>1350</v>
      </c>
      <c r="D17" s="19" t="n">
        <f aca="false">Datos!$C$14+D13*D6+D15*Datos!$C$18</f>
        <v>1492</v>
      </c>
      <c r="E17" s="19" t="n">
        <f aca="false">Datos!$C$14+E13*E6+E15*Datos!$C$18</f>
        <v>1399</v>
      </c>
      <c r="F17" s="19" t="n">
        <f aca="false">Datos!$C$14+F13*F6+F15*Datos!$C$18</f>
        <v>1318</v>
      </c>
      <c r="G17" s="19" t="n">
        <f aca="false">Datos!$C$14+G13*G6+G15*Datos!$C$18</f>
        <v>1498</v>
      </c>
      <c r="H17" s="19" t="n">
        <f aca="false">Datos!$C$14+H13*H6+H15*Datos!$C$18</f>
        <v>1009</v>
      </c>
      <c r="I17" s="19" t="n">
        <f aca="false">Datos!$C$14+I13*I6+I15*Datos!$C$18</f>
        <v>1059</v>
      </c>
      <c r="J17" s="19" t="n">
        <f aca="false">Datos!$C$14+J13*J6+J15*Datos!$C$18</f>
        <v>1279</v>
      </c>
      <c r="K17" s="5"/>
    </row>
    <row r="18" customFormat="false" ht="15" hidden="false" customHeight="false" outlineLevel="0" collapsed="false">
      <c r="A18" s="5" t="s">
        <v>216</v>
      </c>
      <c r="B18" s="20"/>
      <c r="C18" s="20" t="str">
        <f aca="false">IF(C12&lt;C11,"el peso","la altura")</f>
        <v>la altura</v>
      </c>
      <c r="D18" s="20" t="str">
        <f aca="false">IF(D12&lt;D11,"el peso","la altura")</f>
        <v>la altura</v>
      </c>
      <c r="E18" s="20" t="str">
        <f aca="false">IF(E12&lt;E11,"el peso","la altura")</f>
        <v>la altura</v>
      </c>
      <c r="F18" s="20" t="str">
        <f aca="false">IF(F12&lt;F11,"el peso","la altura")</f>
        <v>la altura</v>
      </c>
      <c r="G18" s="20" t="str">
        <f aca="false">IF(G12&lt;G11,"el peso","la altura")</f>
        <v>la altura</v>
      </c>
      <c r="H18" s="20" t="str">
        <f aca="false">IF(H12&lt;H11,"el peso","la altura")</f>
        <v>la altura</v>
      </c>
      <c r="I18" s="20" t="str">
        <f aca="false">IF(I12&lt;I11,"el peso","la altura")</f>
        <v>la altura</v>
      </c>
      <c r="J18" s="20" t="str">
        <f aca="false">IF(J12&lt;J11,"el peso","la altura")</f>
        <v>la altura</v>
      </c>
      <c r="K1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7"/>
    <col collapsed="false" customWidth="true" hidden="false" outlineLevel="0" max="6" min="3" style="0" width="22"/>
    <col collapsed="false" customWidth="true" hidden="false" outlineLevel="0" max="7" min="7" style="0" width="46"/>
  </cols>
  <sheetData>
    <row r="1" customFormat="false" ht="17.35" hidden="false" customHeight="false" outlineLevel="0" collapsed="false">
      <c r="A1" s="1" t="s">
        <v>232</v>
      </c>
    </row>
    <row r="2" customFormat="false" ht="15" hidden="false" customHeight="false" outlineLevel="0" collapsed="false">
      <c r="A2" s="2" t="s">
        <v>233</v>
      </c>
    </row>
    <row r="4" customFormat="false" ht="15" hidden="false" customHeight="false" outlineLevel="0" collapsed="false">
      <c r="A4" s="3" t="s">
        <v>184</v>
      </c>
      <c r="B4" s="3" t="s">
        <v>23</v>
      </c>
      <c r="C4" s="3" t="s">
        <v>93</v>
      </c>
      <c r="D4" s="3" t="s">
        <v>94</v>
      </c>
      <c r="E4" s="3" t="s">
        <v>185</v>
      </c>
    </row>
    <row r="5" customFormat="false" ht="15" hidden="false" customHeight="false" outlineLevel="0" collapsed="false">
      <c r="A5" s="5" t="s">
        <v>234</v>
      </c>
      <c r="B5" s="20" t="s">
        <v>96</v>
      </c>
      <c r="C5" s="21" t="n">
        <f aca="false">Datos!$C$46-Datos!$C$49</f>
        <v>7.4</v>
      </c>
      <c r="D5" s="21" t="n">
        <f aca="false">Datos!$D$46-Datos!$D$49</f>
        <v>6.4</v>
      </c>
      <c r="E5" s="5" t="s">
        <v>235</v>
      </c>
    </row>
    <row r="6" customFormat="false" ht="15" hidden="false" customHeight="false" outlineLevel="0" collapsed="false">
      <c r="A6" s="5" t="s">
        <v>236</v>
      </c>
      <c r="B6" s="20" t="s">
        <v>96</v>
      </c>
      <c r="C6" s="21" t="n">
        <f aca="false">Datos!$C$47-Datos!$C$50</f>
        <v>2.46</v>
      </c>
      <c r="D6" s="21" t="n">
        <f aca="false">Datos!$D$47-Datos!$D$50</f>
        <v>2.46</v>
      </c>
      <c r="E6" s="5" t="s">
        <v>237</v>
      </c>
    </row>
    <row r="7" customFormat="false" ht="15" hidden="false" customHeight="false" outlineLevel="0" collapsed="false">
      <c r="A7" s="5" t="s">
        <v>238</v>
      </c>
      <c r="B7" s="20" t="s">
        <v>96</v>
      </c>
      <c r="C7" s="21" t="n">
        <f aca="false">Datos!$C$48-Datos!$C$51</f>
        <v>2.3</v>
      </c>
      <c r="D7" s="21" t="n">
        <f aca="false">Datos!$D$48-Datos!$D$51</f>
        <v>2.5</v>
      </c>
      <c r="E7" s="5" t="s">
        <v>239</v>
      </c>
    </row>
    <row r="8" customFormat="false" ht="15" hidden="false" customHeight="false" outlineLevel="0" collapsed="false">
      <c r="A8" s="5" t="s">
        <v>240</v>
      </c>
      <c r="B8" s="20" t="s">
        <v>62</v>
      </c>
      <c r="C8" s="19" t="n">
        <f aca="false">INT(C5*1000/Datos!$C$13)*INT(C6*1000/Datos!$C$12)</f>
        <v>14</v>
      </c>
      <c r="D8" s="19" t="n">
        <f aca="false">INT(D5*1000/Datos!$C$13)*INT(D6*1000/Datos!$C$12)</f>
        <v>12</v>
      </c>
      <c r="E8" s="5" t="s">
        <v>241</v>
      </c>
    </row>
    <row r="9" customFormat="false" ht="15" hidden="false" customHeight="false" outlineLevel="0" collapsed="false">
      <c r="A9" s="5" t="s">
        <v>242</v>
      </c>
      <c r="B9" s="20" t="s">
        <v>62</v>
      </c>
      <c r="C9" s="19" t="n">
        <f aca="false">INT(C5*1000/Datos!$C$12)*INT(C6*1000/Datos!$C$13)</f>
        <v>12</v>
      </c>
      <c r="D9" s="19" t="n">
        <f aca="false">INT(D5*1000/Datos!$C$12)*INT(D6*1000/Datos!$C$13)</f>
        <v>10</v>
      </c>
      <c r="E9" s="5" t="s">
        <v>243</v>
      </c>
    </row>
    <row r="10" customFormat="false" ht="15" hidden="false" customHeight="false" outlineLevel="0" collapsed="false">
      <c r="A10" s="5" t="s">
        <v>244</v>
      </c>
      <c r="B10" s="20" t="s">
        <v>62</v>
      </c>
      <c r="C10" s="19" t="n">
        <f aca="false">MAX(C8,C9)</f>
        <v>14</v>
      </c>
      <c r="D10" s="19" t="n">
        <f aca="false">MAX(D8,D9)</f>
        <v>12</v>
      </c>
      <c r="E10" s="5" t="s">
        <v>197</v>
      </c>
    </row>
    <row r="11" customFormat="false" ht="15" hidden="false" customHeight="false" outlineLevel="0" collapsed="false">
      <c r="A11" s="5" t="s">
        <v>245</v>
      </c>
      <c r="B11" s="20"/>
      <c r="C11" s="20" t="str">
        <f aca="false">IF(C8&gt;=C9,INT(C5*1000/Datos!$C$13)&amp;" filas × "&amp;INT(C6*1000/Datos!$C$12)&amp;" (1,2 m a lo ancho)",INT(C5*1000/Datos!$C$12)&amp;" filas × "&amp;INT(C6*1000/Datos!$C$13)&amp;" (1,2 m a lo largo)")</f>
        <v>7 filas × 2 (1,2 m a lo ancho)</v>
      </c>
      <c r="D11" s="20" t="str">
        <f aca="false">IF(D8&gt;=D9,INT(D5*1000/Datos!$C$13)&amp;" filas × "&amp;INT(D6*1000/Datos!$C$12)&amp;" (1,2 m a lo ancho)",INT(D5*1000/Datos!$C$12)&amp;" filas × "&amp;INT(D6*1000/Datos!$C$13)&amp;" (1,2 m a lo largo)")</f>
        <v>6 filas × 2 (1,2 m a lo ancho)</v>
      </c>
      <c r="E11" s="5"/>
    </row>
    <row r="12" customFormat="false" ht="15" hidden="false" customHeight="false" outlineLevel="0" collapsed="false">
      <c r="A12" s="5" t="s">
        <v>246</v>
      </c>
      <c r="B12" s="20" t="s">
        <v>62</v>
      </c>
      <c r="C12" s="19" t="n">
        <f aca="false">Datos!$C$20</f>
        <v>1</v>
      </c>
      <c r="D12" s="19" t="n">
        <f aca="false">Datos!$C$20</f>
        <v>1</v>
      </c>
      <c r="E12" s="5" t="s">
        <v>247</v>
      </c>
    </row>
    <row r="13" customFormat="false" ht="15" hidden="false" customHeight="false" outlineLevel="0" collapsed="false">
      <c r="A13" s="4" t="s">
        <v>248</v>
      </c>
      <c r="B13" s="20" t="s">
        <v>62</v>
      </c>
      <c r="C13" s="15" t="n">
        <f aca="false">C10*C12</f>
        <v>14</v>
      </c>
      <c r="D13" s="15" t="n">
        <f aca="false">D10*D12</f>
        <v>12</v>
      </c>
      <c r="E13" s="5" t="s">
        <v>249</v>
      </c>
    </row>
    <row r="14" customFormat="false" ht="15" hidden="false" customHeight="false" outlineLevel="0" collapsed="false">
      <c r="A14" s="5" t="s">
        <v>105</v>
      </c>
      <c r="B14" s="20" t="s">
        <v>45</v>
      </c>
      <c r="C14" s="19" t="n">
        <f aca="false">Datos!$C$52</f>
        <v>12000</v>
      </c>
      <c r="D14" s="19" t="n">
        <f aca="false">Datos!$D$52</f>
        <v>10000</v>
      </c>
      <c r="E14" s="5" t="s">
        <v>186</v>
      </c>
    </row>
    <row r="15" customFormat="false" ht="15" hidden="false" customHeight="false" outlineLevel="0" collapsed="false">
      <c r="A15" s="5" t="s">
        <v>250</v>
      </c>
      <c r="B15" s="20" t="s">
        <v>40</v>
      </c>
      <c r="C15" s="19" t="n">
        <f aca="false">MAX(Pallet_cajas!C20:F20,Pallet_cilindros!C17:J17)</f>
        <v>1515</v>
      </c>
      <c r="D15" s="19" t="n">
        <f aca="false">MAX(Pallet_cajas!C20:F20,Pallet_cilindros!C17:J17)</f>
        <v>1515</v>
      </c>
      <c r="E15" s="5" t="s">
        <v>251</v>
      </c>
    </row>
    <row r="16" customFormat="false" ht="15" hidden="false" customHeight="false" outlineLevel="0" collapsed="false">
      <c r="A16" s="5" t="s">
        <v>252</v>
      </c>
      <c r="B16" s="20"/>
      <c r="C16" s="20" t="str">
        <f aca="false">IF(C15*C12&lt;=C7*1000,"sí","no")</f>
        <v>sí</v>
      </c>
      <c r="D16" s="20" t="str">
        <f aca="false">IF(D15*D12&lt;=D7*1000,"sí","no")</f>
        <v>sí</v>
      </c>
      <c r="E16" s="5"/>
    </row>
    <row r="18" customFormat="false" ht="15" hidden="false" customHeight="false" outlineLevel="0" collapsed="false">
      <c r="A18" s="4" t="s">
        <v>253</v>
      </c>
      <c r="C18" s="18" t="str">
        <f aca="false">INDEX(C4:D4,Datos!$C$53)</f>
        <v>Sider GyL Full p/ balancín</v>
      </c>
    </row>
    <row r="19" customFormat="false" ht="15" hidden="false" customHeight="false" outlineLevel="0" collapsed="false">
      <c r="A19" s="4" t="s">
        <v>254</v>
      </c>
      <c r="C19" s="15" t="n">
        <f aca="false">INDEX(C13:D13,Datos!$C$53)</f>
        <v>14</v>
      </c>
    </row>
    <row r="20" customFormat="false" ht="15" hidden="false" customHeight="false" outlineLevel="0" collapsed="false">
      <c r="A20" s="4" t="s">
        <v>255</v>
      </c>
      <c r="C20" s="23" t="n">
        <f aca="false">INDEX(C14:D14,Datos!$C$53)</f>
        <v>12000</v>
      </c>
    </row>
    <row r="22" customFormat="false" ht="15" hidden="false" customHeight="false" outlineLevel="0" collapsed="false">
      <c r="A22" s="6" t="s">
        <v>256</v>
      </c>
      <c r="B22" s="7"/>
      <c r="C22" s="7"/>
      <c r="D22" s="7"/>
      <c r="E22" s="7"/>
      <c r="F22" s="7"/>
      <c r="G22" s="7"/>
    </row>
    <row r="23" customFormat="false" ht="15" hidden="false" customHeight="false" outlineLevel="0" collapsed="false">
      <c r="A23" s="3" t="s">
        <v>184</v>
      </c>
      <c r="B23" s="3" t="s">
        <v>23</v>
      </c>
      <c r="C23" s="3" t="s">
        <v>75</v>
      </c>
      <c r="D23" s="3" t="s">
        <v>76</v>
      </c>
      <c r="E23" s="3" t="s">
        <v>77</v>
      </c>
      <c r="F23" s="3" t="s">
        <v>78</v>
      </c>
      <c r="G23" s="3" t="s">
        <v>185</v>
      </c>
    </row>
    <row r="24" customFormat="false" ht="15" hidden="false" customHeight="false" outlineLevel="0" collapsed="false">
      <c r="A24" s="5" t="s">
        <v>257</v>
      </c>
      <c r="B24" s="20" t="s">
        <v>96</v>
      </c>
      <c r="C24" s="21" t="n">
        <f aca="false">Datos!$C$39/1000</f>
        <v>0.6</v>
      </c>
      <c r="D24" s="21" t="n">
        <f aca="false">Datos!$D$39/1000</f>
        <v>0.7</v>
      </c>
      <c r="E24" s="21" t="n">
        <f aca="false">Datos!$E$39/1000</f>
        <v>0.8</v>
      </c>
      <c r="F24" s="21" t="n">
        <f aca="false">Datos!$F$39/1000</f>
        <v>0.8</v>
      </c>
      <c r="G24" s="5" t="s">
        <v>186</v>
      </c>
    </row>
    <row r="25" customFormat="false" ht="15" hidden="false" customHeight="false" outlineLevel="0" collapsed="false">
      <c r="A25" s="5" t="s">
        <v>258</v>
      </c>
      <c r="B25" s="20" t="s">
        <v>96</v>
      </c>
      <c r="C25" s="21" t="n">
        <f aca="false">Datos!$C$40/1000</f>
        <v>0.55</v>
      </c>
      <c r="D25" s="21" t="n">
        <f aca="false">Datos!$D$40/1000</f>
        <v>0.6</v>
      </c>
      <c r="E25" s="21" t="n">
        <f aca="false">Datos!$E$40/1000</f>
        <v>0.7</v>
      </c>
      <c r="F25" s="21" t="n">
        <f aca="false">Datos!$F$40/1000</f>
        <v>0.75</v>
      </c>
      <c r="G25" s="5" t="s">
        <v>186</v>
      </c>
    </row>
    <row r="26" customFormat="false" ht="23.85" hidden="false" customHeight="false" outlineLevel="0" collapsed="false">
      <c r="A26" s="5" t="s">
        <v>259</v>
      </c>
      <c r="B26" s="20" t="s">
        <v>62</v>
      </c>
      <c r="C26" s="19" t="n">
        <f aca="false">MAX(INT(ROUND((Datos!$C$56-Datos!$C$59-Datos!$C$60)/C24,6))*INT(ROUND(Datos!$C$57/C25,6)),INT(ROUND((Datos!$C$56-Datos!$C$59-Datos!$C$60)/C25,6))*INT(ROUND(Datos!$C$57/C24,6)))</f>
        <v>9</v>
      </c>
      <c r="D26" s="19" t="n">
        <f aca="false">MAX(INT(ROUND((Datos!$C$56-Datos!$C$59-Datos!$C$60)/D24,6))*INT(ROUND(Datos!$C$57/D25,6)),INT(ROUND((Datos!$C$56-Datos!$C$59-Datos!$C$60)/D25,6))*INT(ROUND(Datos!$C$57/D24,6)))</f>
        <v>6</v>
      </c>
      <c r="E26" s="19" t="n">
        <f aca="false">MAX(INT(ROUND((Datos!$C$56-Datos!$C$59-Datos!$C$60)/E24,6))*INT(ROUND(Datos!$C$57/E25,6)),INT(ROUND((Datos!$C$56-Datos!$C$59-Datos!$C$60)/E25,6))*INT(ROUND(Datos!$C$57/E24,6)))</f>
        <v>6</v>
      </c>
      <c r="F26" s="19" t="n">
        <f aca="false">MAX(INT(ROUND((Datos!$C$56-Datos!$C$59-Datos!$C$60)/F24,6))*INT(ROUND(Datos!$C$57/F25,6)),INT(ROUND((Datos!$C$56-Datos!$C$59-Datos!$C$60)/F25,6))*INT(ROUND(Datos!$C$57/F24,6)))</f>
        <v>6</v>
      </c>
      <c r="G26" s="5" t="s">
        <v>260</v>
      </c>
    </row>
    <row r="27" customFormat="false" ht="15" hidden="false" customHeight="false" outlineLevel="0" collapsed="false">
      <c r="A27" s="5" t="s">
        <v>261</v>
      </c>
      <c r="B27" s="20" t="s">
        <v>62</v>
      </c>
      <c r="C27" s="19" t="n">
        <f aca="false">MAX(INT(ROUND(Datos!$C$59/C24,6))*INT(ROUND(Datos!$C$58/C25,6)),INT(ROUND(Datos!$C$59/C25,6))*INT(ROUND(Datos!$C$58/C24,6)))</f>
        <v>2</v>
      </c>
      <c r="D27" s="19" t="n">
        <f aca="false">MAX(INT(ROUND(Datos!$C$59/D24,6))*INT(ROUND(Datos!$C$58/D25,6)),INT(ROUND(Datos!$C$59/D25,6))*INT(ROUND(Datos!$C$58/D24,6)))</f>
        <v>2</v>
      </c>
      <c r="E27" s="19" t="n">
        <f aca="false">MAX(INT(ROUND(Datos!$C$59/E24,6))*INT(ROUND(Datos!$C$58/E25,6)),INT(ROUND(Datos!$C$59/E25,6))*INT(ROUND(Datos!$C$58/E24,6)))</f>
        <v>1</v>
      </c>
      <c r="F27" s="19" t="n">
        <f aca="false">MAX(INT(ROUND(Datos!$C$59/F24,6))*INT(ROUND(Datos!$C$58/F25,6)),INT(ROUND(Datos!$C$59/F25,6))*INT(ROUND(Datos!$C$58/F24,6)))</f>
        <v>1</v>
      </c>
      <c r="G27" s="5" t="s">
        <v>262</v>
      </c>
    </row>
    <row r="28" customFormat="false" ht="15" hidden="false" customHeight="false" outlineLevel="0" collapsed="false">
      <c r="A28" s="5" t="s">
        <v>263</v>
      </c>
      <c r="B28" s="20" t="s">
        <v>62</v>
      </c>
      <c r="C28" s="19" t="n">
        <f aca="false">MAX(INT(ROUND(Datos!$C$60/C24,6))*INT(ROUND(Datos!$C$57/C25,6)),INT(ROUND(Datos!$C$60/C25,6))*INT(ROUND(Datos!$C$57/C24,6)))</f>
        <v>3</v>
      </c>
      <c r="D28" s="19" t="n">
        <f aca="false">MAX(INT(ROUND(Datos!$C$60/D24,6))*INT(ROUND(Datos!$C$57/D25,6)),INT(ROUND(Datos!$C$60/D25,6))*INT(ROUND(Datos!$C$57/D24,6)))</f>
        <v>2</v>
      </c>
      <c r="E28" s="19" t="n">
        <f aca="false">MAX(INT(ROUND(Datos!$C$60/E24,6))*INT(ROUND(Datos!$C$57/E25,6)),INT(ROUND(Datos!$C$60/E25,6))*INT(ROUND(Datos!$C$57/E24,6)))</f>
        <v>0</v>
      </c>
      <c r="F28" s="19" t="n">
        <f aca="false">MAX(INT(ROUND(Datos!$C$60/F24,6))*INT(ROUND(Datos!$C$57/F25,6)),INT(ROUND(Datos!$C$60/F25,6))*INT(ROUND(Datos!$C$57/F24,6)))</f>
        <v>0</v>
      </c>
      <c r="G28" s="5" t="s">
        <v>264</v>
      </c>
    </row>
    <row r="29" customFormat="false" ht="15" hidden="false" customHeight="false" outlineLevel="0" collapsed="false">
      <c r="A29" s="4" t="s">
        <v>265</v>
      </c>
      <c r="B29" s="20" t="s">
        <v>62</v>
      </c>
      <c r="C29" s="19" t="n">
        <f aca="false">C26+C27+C28</f>
        <v>14</v>
      </c>
      <c r="D29" s="19" t="n">
        <f aca="false">D26+D27+D28</f>
        <v>10</v>
      </c>
      <c r="E29" s="19" t="n">
        <f aca="false">E26+E27+E28</f>
        <v>7</v>
      </c>
      <c r="F29" s="19" t="n">
        <f aca="false">F26+F27+F28</f>
        <v>7</v>
      </c>
      <c r="G29" s="5" t="s">
        <v>266</v>
      </c>
    </row>
    <row r="30" customFormat="false" ht="15" hidden="false" customHeight="false" outlineLevel="0" collapsed="false">
      <c r="A30" s="5" t="s">
        <v>267</v>
      </c>
      <c r="B30" s="20" t="s">
        <v>45</v>
      </c>
      <c r="C30" s="19" t="n">
        <f aca="false">Datos!$C$42</f>
        <v>55</v>
      </c>
      <c r="D30" s="19" t="n">
        <f aca="false">Datos!$D$42</f>
        <v>100</v>
      </c>
      <c r="E30" s="19" t="n">
        <f aca="false">Datos!$E$42</f>
        <v>140</v>
      </c>
      <c r="F30" s="19" t="n">
        <f aca="false">Datos!$F$42</f>
        <v>185</v>
      </c>
      <c r="G30" s="5" t="s">
        <v>186</v>
      </c>
    </row>
    <row r="31" customFormat="false" ht="15" hidden="false" customHeight="false" outlineLevel="0" collapsed="false">
      <c r="A31" s="5" t="s">
        <v>268</v>
      </c>
      <c r="B31" s="20" t="s">
        <v>62</v>
      </c>
      <c r="C31" s="19" t="n">
        <f aca="false">INT(Datos!$C$62/C30)</f>
        <v>28</v>
      </c>
      <c r="D31" s="19" t="n">
        <f aca="false">INT(Datos!$C$62/D30)</f>
        <v>15</v>
      </c>
      <c r="E31" s="19" t="n">
        <f aca="false">INT(Datos!$C$62/E30)</f>
        <v>11</v>
      </c>
      <c r="F31" s="19" t="n">
        <f aca="false">INT(Datos!$C$62/F30)</f>
        <v>8</v>
      </c>
      <c r="G31" s="5" t="s">
        <v>269</v>
      </c>
    </row>
    <row r="32" customFormat="false" ht="15" hidden="false" customHeight="false" outlineLevel="0" collapsed="false">
      <c r="A32" s="5" t="s">
        <v>252</v>
      </c>
      <c r="B32" s="20"/>
      <c r="C32" s="20" t="str">
        <f aca="false">IF(Datos!$C$41/1000&lt;=Datos!$C$61,"sí","no")</f>
        <v>sí</v>
      </c>
      <c r="D32" s="20" t="str">
        <f aca="false">IF(Datos!$D$41/1000&lt;=Datos!$C$61,"sí","no")</f>
        <v>sí</v>
      </c>
      <c r="E32" s="20" t="str">
        <f aca="false">IF(Datos!$E$41/1000&lt;=Datos!$C$61,"sí","no")</f>
        <v>sí</v>
      </c>
      <c r="F32" s="20" t="str">
        <f aca="false">IF(Datos!$F$41/1000&lt;=Datos!$C$61,"sí","no")</f>
        <v>sí</v>
      </c>
      <c r="G32" s="5"/>
    </row>
    <row r="33" customFormat="false" ht="15" hidden="false" customHeight="false" outlineLevel="0" collapsed="false">
      <c r="A33" s="4" t="s">
        <v>270</v>
      </c>
      <c r="B33" s="20" t="s">
        <v>62</v>
      </c>
      <c r="C33" s="15" t="n">
        <f aca="false">MIN(C29,C31)</f>
        <v>14</v>
      </c>
      <c r="D33" s="15" t="n">
        <f aca="false">MIN(D29,D31)</f>
        <v>10</v>
      </c>
      <c r="E33" s="15" t="n">
        <f aca="false">MIN(E29,E31)</f>
        <v>7</v>
      </c>
      <c r="F33" s="15" t="n">
        <f aca="false">MIN(F29,F31)</f>
        <v>7</v>
      </c>
      <c r="G33" s="5" t="s">
        <v>271</v>
      </c>
    </row>
    <row r="34" customFormat="false" ht="15" hidden="false" customHeight="false" outlineLevel="0" collapsed="false">
      <c r="A34" s="5" t="s">
        <v>216</v>
      </c>
      <c r="B34" s="20"/>
      <c r="C34" s="20" t="str">
        <f aca="false">IF(C31&lt;C29,"el peso","el lugar")</f>
        <v>el lugar</v>
      </c>
      <c r="D34" s="20" t="str">
        <f aca="false">IF(D31&lt;D29,"el peso","el lugar")</f>
        <v>el lugar</v>
      </c>
      <c r="E34" s="20" t="str">
        <f aca="false">IF(E31&lt;E29,"el peso","el lugar")</f>
        <v>el lugar</v>
      </c>
      <c r="F34" s="20" t="str">
        <f aca="false">IF(F31&lt;F29,"el peso","el lugar")</f>
        <v>el lugar</v>
      </c>
      <c r="G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8"/>
    <col collapsed="false" customWidth="true" hidden="false" outlineLevel="0" max="6" min="3" style="0" width="22"/>
    <col collapsed="false" customWidth="true" hidden="false" outlineLevel="0" max="7" min="7" style="0" width="26"/>
  </cols>
  <sheetData>
    <row r="1" customFormat="false" ht="17.35" hidden="false" customHeight="false" outlineLevel="0" collapsed="false">
      <c r="A1" s="1" t="s">
        <v>272</v>
      </c>
    </row>
    <row r="2" customFormat="false" ht="15" hidden="false" customHeight="false" outlineLevel="0" collapsed="false">
      <c r="A2" s="2" t="s">
        <v>273</v>
      </c>
    </row>
    <row r="4" customFormat="false" ht="15" hidden="false" customHeight="false" outlineLevel="0" collapsed="false">
      <c r="A4" s="6" t="s">
        <v>274</v>
      </c>
      <c r="B4" s="7"/>
      <c r="C4" s="7"/>
      <c r="D4" s="7"/>
      <c r="E4" s="7"/>
      <c r="F4" s="7"/>
      <c r="G4" s="7"/>
    </row>
    <row r="5" customFormat="false" ht="15" hidden="false" customHeight="false" outlineLevel="0" collapsed="false">
      <c r="A5" s="3" t="s">
        <v>184</v>
      </c>
      <c r="B5" s="3" t="s">
        <v>23</v>
      </c>
      <c r="C5" s="3" t="s">
        <v>275</v>
      </c>
      <c r="D5" s="3" t="s">
        <v>276</v>
      </c>
      <c r="E5" s="3" t="s">
        <v>277</v>
      </c>
      <c r="F5" s="3" t="s">
        <v>278</v>
      </c>
      <c r="G5" s="3" t="s">
        <v>279</v>
      </c>
    </row>
    <row r="6" customFormat="false" ht="42" hidden="false" customHeight="true" outlineLevel="0" collapsed="false">
      <c r="A6" s="5" t="s">
        <v>280</v>
      </c>
      <c r="B6" s="20"/>
      <c r="C6" s="20" t="s">
        <v>281</v>
      </c>
      <c r="D6" s="20" t="s">
        <v>282</v>
      </c>
      <c r="E6" s="20" t="s">
        <v>283</v>
      </c>
      <c r="F6" s="20" t="s">
        <v>284</v>
      </c>
      <c r="G6" s="20" t="s">
        <v>285</v>
      </c>
    </row>
    <row r="7" customFormat="false" ht="15" hidden="false" customHeight="false" outlineLevel="0" collapsed="false">
      <c r="A7" s="5" t="s">
        <v>286</v>
      </c>
      <c r="B7" s="20" t="s">
        <v>62</v>
      </c>
      <c r="C7" s="19" t="n">
        <f aca="false">Pallet_cajas!C18</f>
        <v>360</v>
      </c>
      <c r="D7" s="19" t="n">
        <f aca="false">Pallet_cajas!D18</f>
        <v>168</v>
      </c>
      <c r="E7" s="19" t="n">
        <f aca="false">Pallet_cajas!E18</f>
        <v>84</v>
      </c>
      <c r="F7" s="19" t="n">
        <f aca="false">Pallet_cajas!F18</f>
        <v>60</v>
      </c>
      <c r="G7" s="19" t="n">
        <f aca="false">IF((IF(Pallet_cajas!D18=0,0,Produccion!C16/Pallet_cajas!D18)+IF(Pallet_cajas!E18=0,0,Produccion!D16/Pallet_cajas!E18)+IF(Pallet_cajas!F18=0,0,Produccion!E16/Pallet_cajas!F18))=0,0,(Produccion!C16+Produccion!D16+Produccion!E16)/(IF(Pallet_cajas!D18=0,0,Produccion!C16/Pallet_cajas!D18)+IF(Pallet_cajas!E18=0,0,Produccion!D16/Pallet_cajas!E18)+IF(Pallet_cajas!F18=0,0,Produccion!E16/Pallet_cajas!F18)))</f>
        <v>90.7491601395925</v>
      </c>
    </row>
    <row r="8" customFormat="false" ht="15" hidden="false" customHeight="false" outlineLevel="0" collapsed="false">
      <c r="A8" s="5" t="s">
        <v>209</v>
      </c>
      <c r="B8" s="20" t="s">
        <v>45</v>
      </c>
      <c r="C8" s="19" t="n">
        <f aca="false">Pallet_cajas!C19</f>
        <v>804.8</v>
      </c>
      <c r="D8" s="19" t="n">
        <f aca="false">Pallet_cajas!D19</f>
        <v>854.84</v>
      </c>
      <c r="E8" s="19" t="n">
        <f aca="false">Pallet_cajas!E19</f>
        <v>776.72</v>
      </c>
      <c r="F8" s="19" t="n">
        <f aca="false">Pallet_cajas!F19</f>
        <v>1038.8</v>
      </c>
      <c r="G8" s="19" t="n">
        <f aca="false">IF((IF(Pallet_cajas!D18=0,0,Produccion!C16/Pallet_cajas!D18)+IF(Pallet_cajas!E18=0,0,Produccion!D16/Pallet_cajas!E18)+IF(Pallet_cajas!F18=0,0,Produccion!E16/Pallet_cajas!F18))=0,0,(Produccion!C16/Pallet_cajas!D18*Pallet_cajas!D19+Produccion!D16/Pallet_cajas!E18*Pallet_cajas!E19+Produccion!E16/Pallet_cajas!F18*Pallet_cajas!F19)/(IF(Pallet_cajas!D18=0,0,Produccion!C16/Pallet_cajas!D18)+IF(Pallet_cajas!E18=0,0,Produccion!D16/Pallet_cajas!E18)+IF(Pallet_cajas!F18=0,0,Produccion!E16/Pallet_cajas!F18)))</f>
        <v>802.784630644483</v>
      </c>
    </row>
    <row r="9" customFormat="false" ht="15" hidden="false" customHeight="false" outlineLevel="0" collapsed="false">
      <c r="A9" s="5" t="s">
        <v>287</v>
      </c>
      <c r="B9" s="20" t="s">
        <v>40</v>
      </c>
      <c r="C9" s="19" t="n">
        <f aca="false">Pallet_cajas!C20</f>
        <v>1375</v>
      </c>
      <c r="D9" s="19" t="n">
        <f aca="false">Pallet_cajas!D20</f>
        <v>1450</v>
      </c>
      <c r="E9" s="19" t="n">
        <f aca="false">Pallet_cajas!E20</f>
        <v>1175</v>
      </c>
      <c r="F9" s="19" t="n">
        <f aca="false">Pallet_cajas!F20</f>
        <v>1515</v>
      </c>
      <c r="G9" s="19" t="n">
        <f aca="false">MAX(Pallet_cajas!D20,Pallet_cajas!E20,Pallet_cajas!F20)</f>
        <v>1515</v>
      </c>
    </row>
    <row r="10" customFormat="false" ht="15" hidden="false" customHeight="false" outlineLevel="0" collapsed="false">
      <c r="A10" s="5" t="s">
        <v>288</v>
      </c>
      <c r="B10" s="20" t="s">
        <v>62</v>
      </c>
      <c r="C10" s="19" t="n">
        <f aca="false">Camion!$C$19</f>
        <v>14</v>
      </c>
      <c r="D10" s="19" t="n">
        <f aca="false">Camion!$C$19</f>
        <v>14</v>
      </c>
      <c r="E10" s="19" t="n">
        <f aca="false">Camion!$C$19</f>
        <v>14</v>
      </c>
      <c r="F10" s="19" t="n">
        <f aca="false">Camion!$C$19</f>
        <v>14</v>
      </c>
      <c r="G10" s="19" t="n">
        <f aca="false">Camion!$C$19</f>
        <v>14</v>
      </c>
    </row>
    <row r="11" customFormat="false" ht="15" hidden="false" customHeight="false" outlineLevel="0" collapsed="false">
      <c r="A11" s="5" t="s">
        <v>289</v>
      </c>
      <c r="B11" s="20" t="s">
        <v>62</v>
      </c>
      <c r="C11" s="19" t="n">
        <f aca="false">INT(Camion!$C$20/C8)</f>
        <v>14</v>
      </c>
      <c r="D11" s="19" t="n">
        <f aca="false">INT(Camion!$C$20/D8)</f>
        <v>14</v>
      </c>
      <c r="E11" s="19" t="n">
        <f aca="false">INT(Camion!$C$20/E8)</f>
        <v>15</v>
      </c>
      <c r="F11" s="19" t="n">
        <f aca="false">INT(Camion!$C$20/F8)</f>
        <v>11</v>
      </c>
      <c r="G11" s="19" t="n">
        <f aca="false">IF(G8=0,0,INT(Camion!$C$20/G8))</f>
        <v>14</v>
      </c>
    </row>
    <row r="12" customFormat="false" ht="15" hidden="false" customHeight="false" outlineLevel="0" collapsed="false">
      <c r="A12" s="4" t="s">
        <v>290</v>
      </c>
      <c r="B12" s="20" t="s">
        <v>62</v>
      </c>
      <c r="C12" s="15" t="n">
        <f aca="false">MIN(C10,C11)</f>
        <v>14</v>
      </c>
      <c r="D12" s="15" t="n">
        <f aca="false">MIN(D10,D11)</f>
        <v>14</v>
      </c>
      <c r="E12" s="15" t="n">
        <f aca="false">MIN(E10,E11)</f>
        <v>14</v>
      </c>
      <c r="F12" s="15" t="n">
        <f aca="false">MIN(F10,F11)</f>
        <v>11</v>
      </c>
      <c r="G12" s="15" t="n">
        <f aca="false">MIN(G10,G11)</f>
        <v>14</v>
      </c>
    </row>
    <row r="13" customFormat="false" ht="15" hidden="false" customHeight="false" outlineLevel="0" collapsed="false">
      <c r="A13" s="5" t="s">
        <v>216</v>
      </c>
      <c r="B13" s="20"/>
      <c r="C13" s="20" t="str">
        <f aca="false">IF(C11&lt;C10,"el peso","el lugar")</f>
        <v>el lugar</v>
      </c>
      <c r="D13" s="20" t="str">
        <f aca="false">IF(D11&lt;D10,"el peso","el lugar")</f>
        <v>el lugar</v>
      </c>
      <c r="E13" s="20" t="str">
        <f aca="false">IF(E11&lt;E10,"el peso","el lugar")</f>
        <v>el lugar</v>
      </c>
      <c r="F13" s="20" t="str">
        <f aca="false">IF(F11&lt;F10,"el peso","el lugar")</f>
        <v>el peso</v>
      </c>
      <c r="G13" s="20" t="str">
        <f aca="false">IF(G11&lt;G10,"el peso","el lugar")</f>
        <v>el lugar</v>
      </c>
    </row>
    <row r="14" customFormat="false" ht="15" hidden="false" customHeight="false" outlineLevel="0" collapsed="false">
      <c r="A14" s="4" t="s">
        <v>291</v>
      </c>
      <c r="B14" s="20" t="s">
        <v>62</v>
      </c>
      <c r="C14" s="15" t="n">
        <f aca="false">C12*C7</f>
        <v>5040</v>
      </c>
      <c r="D14" s="15" t="n">
        <f aca="false">D12*D7</f>
        <v>2352</v>
      </c>
      <c r="E14" s="15" t="n">
        <f aca="false">E12*E7</f>
        <v>1176</v>
      </c>
      <c r="F14" s="15" t="n">
        <f aca="false">F12*F7</f>
        <v>660</v>
      </c>
      <c r="G14" s="15" t="n">
        <f aca="false">G12*G7</f>
        <v>1270.4882419543</v>
      </c>
    </row>
    <row r="15" customFormat="false" ht="15" hidden="false" customHeight="false" outlineLevel="0" collapsed="false">
      <c r="A15" s="5" t="s">
        <v>292</v>
      </c>
      <c r="B15" s="20" t="s">
        <v>293</v>
      </c>
      <c r="C15" s="19" t="n">
        <f aca="false">Produccion!B16</f>
        <v>32072.63913</v>
      </c>
      <c r="D15" s="19" t="n">
        <f aca="false">Produccion!C16</f>
        <v>7424.858444</v>
      </c>
      <c r="E15" s="19" t="n">
        <f aca="false">Produccion!D16</f>
        <v>30750.77872</v>
      </c>
      <c r="F15" s="19" t="n">
        <f aca="false">Produccion!E16</f>
        <v>1840.848079</v>
      </c>
      <c r="G15" s="19" t="n">
        <f aca="false">Produccion!R39</f>
        <v>40016.485243</v>
      </c>
    </row>
    <row r="16" customFormat="false" ht="15" hidden="false" customHeight="false" outlineLevel="0" collapsed="false">
      <c r="A16" s="5" t="s">
        <v>294</v>
      </c>
      <c r="B16" s="20" t="s">
        <v>295</v>
      </c>
      <c r="C16" s="19" t="n">
        <f aca="false">Produccion!B55</f>
        <v>668.179981875</v>
      </c>
      <c r="D16" s="19" t="n">
        <f aca="false">Produccion!C55</f>
        <v>154.684550916667</v>
      </c>
      <c r="E16" s="19" t="n">
        <f aca="false">Produccion!D55</f>
        <v>640.641223333333</v>
      </c>
      <c r="F16" s="19" t="n">
        <f aca="false">Produccion!E55</f>
        <v>38.3510016458333</v>
      </c>
      <c r="G16" s="19" t="n">
        <f aca="false">Produccion!R55</f>
        <v>833.676775895833</v>
      </c>
    </row>
    <row r="17" customFormat="false" ht="15" hidden="false" customHeight="false" outlineLevel="0" collapsed="false">
      <c r="A17" s="5" t="s">
        <v>296</v>
      </c>
      <c r="B17" s="20" t="s">
        <v>295</v>
      </c>
      <c r="C17" s="19" t="n">
        <f aca="false">Produccion!B56</f>
        <v>962.1791739</v>
      </c>
      <c r="D17" s="19" t="n">
        <f aca="false">Produccion!C56</f>
        <v>204.18360721</v>
      </c>
      <c r="E17" s="19" t="n">
        <f aca="false">Produccion!D56</f>
        <v>845.6464148</v>
      </c>
      <c r="F17" s="19" t="n">
        <f aca="false">Produccion!E56</f>
        <v>50.6233221725</v>
      </c>
      <c r="G17" s="19" t="n">
        <f aca="false">Produccion!R56</f>
        <v>1100.4533441825</v>
      </c>
    </row>
    <row r="18" customFormat="false" ht="15" hidden="false" customHeight="false" outlineLevel="0" collapsed="false">
      <c r="A18" s="5" t="s">
        <v>297</v>
      </c>
      <c r="B18" s="20" t="s">
        <v>295</v>
      </c>
      <c r="C18" s="19" t="n">
        <f aca="false">Produccion!B57</f>
        <v>561.271184775</v>
      </c>
      <c r="D18" s="19" t="n">
        <f aca="false">Produccion!C57</f>
        <v>129.93502277</v>
      </c>
      <c r="E18" s="19" t="n">
        <f aca="false">Produccion!D57</f>
        <v>538.1386276</v>
      </c>
      <c r="F18" s="19" t="n">
        <f aca="false">Produccion!E57</f>
        <v>32.2148413825</v>
      </c>
      <c r="G18" s="19" t="n">
        <f aca="false">Produccion!R57</f>
        <v>700.2884917525</v>
      </c>
    </row>
    <row r="19" customFormat="false" ht="15" hidden="false" customHeight="false" outlineLevel="0" collapsed="false">
      <c r="A19" s="5" t="s">
        <v>181</v>
      </c>
      <c r="B19" s="20"/>
      <c r="C19" s="20" t="str">
        <f aca="false">Produccion!B58</f>
        <v>Ene</v>
      </c>
      <c r="D19" s="20" t="str">
        <f aca="false">Produccion!C58</f>
        <v>Dic</v>
      </c>
      <c r="E19" s="20" t="str">
        <f aca="false">Produccion!D58</f>
        <v>Dic</v>
      </c>
      <c r="F19" s="20" t="str">
        <f aca="false">Produccion!E58</f>
        <v>Dic</v>
      </c>
      <c r="G19" s="20" t="str">
        <f aca="false">Produccion!R58</f>
        <v>Dic</v>
      </c>
    </row>
    <row r="20" customFormat="false" ht="15" hidden="false" customHeight="false" outlineLevel="0" collapsed="false">
      <c r="A20" s="5" t="s">
        <v>298</v>
      </c>
      <c r="B20" s="20" t="s">
        <v>295</v>
      </c>
      <c r="C20" s="24" t="n">
        <f aca="false">IF(C7=0,0,C17/C7)</f>
        <v>2.6727199275</v>
      </c>
      <c r="D20" s="24" t="n">
        <f aca="false">IF(D7=0,0,D17/D7)</f>
        <v>1.21537861434524</v>
      </c>
      <c r="E20" s="24" t="n">
        <f aca="false">IF(E7=0,0,E17/E7)</f>
        <v>10.0672192238095</v>
      </c>
      <c r="F20" s="24" t="n">
        <f aca="false">IF(F7=0,0,F17/F7)</f>
        <v>0.843722036208333</v>
      </c>
      <c r="G20" s="24" t="n">
        <f aca="false">IF(G7=0,0,G17/G7)</f>
        <v>12.1263198743631</v>
      </c>
    </row>
    <row r="21" customFormat="false" ht="15" hidden="false" customHeight="false" outlineLevel="0" collapsed="false">
      <c r="A21" s="5" t="s">
        <v>299</v>
      </c>
      <c r="B21" s="20" t="s">
        <v>300</v>
      </c>
      <c r="C21" s="21" t="n">
        <f aca="false">IF(C14=0,0,C16/C14)</f>
        <v>0.132575393229167</v>
      </c>
      <c r="D21" s="21" t="n">
        <f aca="false">IF(D14=0,0,D16/D14)</f>
        <v>0.0657672410359977</v>
      </c>
      <c r="E21" s="21" t="n">
        <f aca="false">IF(E14=0,0,E16/E14)</f>
        <v>0.544762945011338</v>
      </c>
      <c r="F21" s="21" t="n">
        <f aca="false">IF(F14=0,0,F16/F14)</f>
        <v>0.0581075782512626</v>
      </c>
      <c r="G21" s="21" t="n">
        <f aca="false">IF(G14=0,0,G16/G14)</f>
        <v>0.656186140387613</v>
      </c>
    </row>
    <row r="22" customFormat="false" ht="15" hidden="false" customHeight="false" outlineLevel="0" collapsed="false">
      <c r="A22" s="4" t="s">
        <v>301</v>
      </c>
      <c r="B22" s="20" t="s">
        <v>300</v>
      </c>
      <c r="C22" s="25" t="n">
        <f aca="false">IF(C14=0,0,C17/C14)</f>
        <v>0.19090856625</v>
      </c>
      <c r="D22" s="25" t="n">
        <f aca="false">IF(D14=0,0,D17/D14)</f>
        <v>0.086812758167517</v>
      </c>
      <c r="E22" s="25" t="n">
        <f aca="false">IF(E14=0,0,E17/E14)</f>
        <v>0.719087087414966</v>
      </c>
      <c r="F22" s="25" t="n">
        <f aca="false">IF(F14=0,0,F17/F14)</f>
        <v>0.0767020032916667</v>
      </c>
      <c r="G22" s="25" t="n">
        <f aca="false">IF(G14=0,0,G17/G14)</f>
        <v>0.86616570531165</v>
      </c>
    </row>
    <row r="23" customFormat="false" ht="15" hidden="false" customHeight="false" outlineLevel="0" collapsed="false">
      <c r="A23" s="5" t="s">
        <v>302</v>
      </c>
      <c r="B23" s="20" t="s">
        <v>300</v>
      </c>
      <c r="C23" s="21" t="n">
        <f aca="false">IF(C14=0,0,C18/C14)</f>
        <v>0.1113633303125</v>
      </c>
      <c r="D23" s="21" t="n">
        <f aca="false">IF(D14=0,0,D18/D14)</f>
        <v>0.0552444824702381</v>
      </c>
      <c r="E23" s="21" t="n">
        <f aca="false">IF(E14=0,0,E18/E14)</f>
        <v>0.457600873809524</v>
      </c>
      <c r="F23" s="21" t="n">
        <f aca="false">IF(F14=0,0,F18/F14)</f>
        <v>0.0488103657310606</v>
      </c>
      <c r="G23" s="21" t="n">
        <f aca="false">IF(G14=0,0,G18/G14)</f>
        <v>0.551196357925595</v>
      </c>
    </row>
    <row r="24" customFormat="false" ht="15" hidden="false" customHeight="false" outlineLevel="0" collapsed="false">
      <c r="A24" s="5" t="s">
        <v>303</v>
      </c>
      <c r="B24" s="20" t="s">
        <v>36</v>
      </c>
      <c r="C24" s="24" t="n">
        <f aca="false">IF(C22=0,"-",Datos!$C$9/C22)</f>
        <v>26.1905481677148</v>
      </c>
      <c r="D24" s="24" t="n">
        <f aca="false">IF(D22=0,"-",Datos!$C$9/D22)</f>
        <v>57.5952210889535</v>
      </c>
      <c r="E24" s="24" t="n">
        <f aca="false">IF(E22=0,"-",Datos!$C$9/E22)</f>
        <v>6.95326072113799</v>
      </c>
      <c r="F24" s="24" t="n">
        <f aca="false">IF(F22=0,"-",Datos!$C$9/F22)</f>
        <v>65.1873456418997</v>
      </c>
      <c r="G24" s="24" t="n">
        <f aca="false">IF(G22=0,"-",Datos!$C$9/G22)</f>
        <v>5.77256749988847</v>
      </c>
    </row>
    <row r="25" customFormat="false" ht="30" hidden="false" customHeight="true" outlineLevel="0" collapsed="false">
      <c r="A25" s="4" t="s">
        <v>304</v>
      </c>
      <c r="B25" s="20"/>
      <c r="C25" s="26" t="str">
        <f aca="false">IF(C22=0,"sin producción",IF(C22&gt;=1,ROUNDUP(C22,0)&amp;" viajes por semana (carga media "&amp;TEXT(C22/ROUNDUP(C22,0),"0%")&amp;")",IF(INT(1/C22)=1,"1 viaje por semana","1 viaje cada "&amp;INT(1/C22)&amp;" semanas")&amp;" (carga "&amp;TEXT(C22*INT(1/C22),"0%")&amp;")"))</f>
        <v>1 viaje cada 5 semanas (carga 95%)</v>
      </c>
      <c r="D25" s="26" t="str">
        <f aca="false">IF(D22=0,"sin producción",IF(D22&gt;=1,ROUNDUP(D22,0)&amp;" viajes por semana (carga media "&amp;TEXT(D22/ROUNDUP(D22,0),"0%")&amp;")",IF(INT(1/D22)=1,"1 viaje por semana","1 viaje cada "&amp;INT(1/D22)&amp;" semanas")&amp;" (carga "&amp;TEXT(D22*INT(1/D22),"0%")&amp;")"))</f>
        <v>1 viaje cada 11 semanas (carga 95%)</v>
      </c>
      <c r="E25" s="26" t="str">
        <f aca="false">IF(E22=0,"sin producción",IF(E22&gt;=1,ROUNDUP(E22,0)&amp;" viajes por semana (carga media "&amp;TEXT(E22/ROUNDUP(E22,0),"0%")&amp;")",IF(INT(1/E22)=1,"1 viaje por semana","1 viaje cada "&amp;INT(1/E22)&amp;" semanas")&amp;" (carga "&amp;TEXT(E22*INT(1/E22),"0%")&amp;")"))</f>
        <v>1 viaje por semana (carga 72%)</v>
      </c>
      <c r="F25" s="26" t="str">
        <f aca="false">IF(F22=0,"sin producción",IF(F22&gt;=1,ROUNDUP(F22,0)&amp;" viajes por semana (carga media "&amp;TEXT(F22/ROUNDUP(F22,0),"0%")&amp;")",IF(INT(1/F22)=1,"1 viaje por semana","1 viaje cada "&amp;INT(1/F22)&amp;" semanas")&amp;" (carga "&amp;TEXT(F22*INT(1/F22),"0%")&amp;")"))</f>
        <v>1 viaje cada 13 semanas (carga 100%)</v>
      </c>
      <c r="G25" s="26" t="str">
        <f aca="false">IF(G22=0,"sin producción",IF(G22&gt;=1,ROUNDUP(G22,0)&amp;" viajes por semana (carga media "&amp;TEXT(G22/ROUNDUP(G22,0),"0%")&amp;")",IF(INT(1/G22)=1,"1 viaje por semana","1 viaje cada "&amp;INT(1/G22)&amp;" semanas")&amp;" (carga "&amp;TEXT(G22*INT(1/G22),"0%")&amp;")"))</f>
        <v>1 viaje por semana (carga 87%)</v>
      </c>
    </row>
    <row r="26" customFormat="false" ht="15" hidden="false" customHeight="false" outlineLevel="0" collapsed="false">
      <c r="A26" s="5" t="s">
        <v>305</v>
      </c>
      <c r="B26" s="20" t="s">
        <v>300</v>
      </c>
      <c r="C26" s="24" t="n">
        <f aca="false">IF(C14=0,0,MAX(Produccion!B27:B38)/C14)</f>
        <v>0.763634265</v>
      </c>
      <c r="D26" s="24" t="n">
        <f aca="false">IF(D14=0,0,MAX(Produccion!C27:C38)/D14)</f>
        <v>0.347251032670068</v>
      </c>
      <c r="E26" s="24" t="n">
        <f aca="false">IF(E14=0,0,MAX(Produccion!D27:D38)/E14)</f>
        <v>2.87634834965986</v>
      </c>
      <c r="F26" s="24" t="n">
        <f aca="false">IF(F14=0,0,MAX(Produccion!E27:E38)/F14)</f>
        <v>0.306808013166667</v>
      </c>
      <c r="G26" s="24" t="n">
        <f aca="false">IF(G14=0,0,MAX(Produccion!R27:R38)/G14)</f>
        <v>3.4646628212466</v>
      </c>
    </row>
    <row r="27" customFormat="false" ht="15" hidden="false" customHeight="false" outlineLevel="0" collapsed="false">
      <c r="A27" s="5" t="s">
        <v>306</v>
      </c>
      <c r="B27" s="20" t="s">
        <v>300</v>
      </c>
      <c r="C27" s="24" t="n">
        <f aca="false">IF(C14=0,0,C15/C14)</f>
        <v>6.363618875</v>
      </c>
      <c r="D27" s="24" t="n">
        <f aca="false">IF(D14=0,0,D15/D14)</f>
        <v>3.15682756972789</v>
      </c>
      <c r="E27" s="24" t="n">
        <f aca="false">IF(E14=0,0,E15/E14)</f>
        <v>26.1486213605442</v>
      </c>
      <c r="F27" s="24" t="n">
        <f aca="false">IF(F14=0,0,F15/F14)</f>
        <v>2.78916375606061</v>
      </c>
      <c r="G27" s="24" t="n">
        <f aca="false">IF(G14=0,0,G15/G14)</f>
        <v>31.4969347386054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8"/>
    <col collapsed="false" customWidth="true" hidden="false" outlineLevel="0" max="6" min="3" style="0" width="22"/>
    <col collapsed="false" customWidth="true" hidden="false" outlineLevel="0" max="7" min="7" style="0" width="26"/>
  </cols>
  <sheetData>
    <row r="1" customFormat="false" ht="17.35" hidden="false" customHeight="false" outlineLevel="0" collapsed="false">
      <c r="A1" s="1" t="s">
        <v>307</v>
      </c>
    </row>
    <row r="2" customFormat="false" ht="15" hidden="false" customHeight="false" outlineLevel="0" collapsed="false">
      <c r="A2" s="2" t="s">
        <v>308</v>
      </c>
    </row>
    <row r="4" customFormat="false" ht="15" hidden="false" customHeight="false" outlineLevel="0" collapsed="false">
      <c r="A4" s="6" t="s">
        <v>309</v>
      </c>
      <c r="B4" s="7"/>
      <c r="C4" s="7"/>
      <c r="D4" s="7"/>
      <c r="E4" s="7"/>
      <c r="F4" s="7"/>
      <c r="G4" s="7"/>
    </row>
    <row r="5" customFormat="false" ht="15" hidden="false" customHeight="false" outlineLevel="0" collapsed="false">
      <c r="A5" s="3" t="s">
        <v>184</v>
      </c>
      <c r="B5" s="3" t="s">
        <v>23</v>
      </c>
      <c r="C5" s="3" t="s">
        <v>310</v>
      </c>
      <c r="D5" s="3" t="s">
        <v>311</v>
      </c>
      <c r="E5" s="3" t="s">
        <v>312</v>
      </c>
      <c r="F5" s="3" t="s">
        <v>313</v>
      </c>
      <c r="G5" s="3" t="s">
        <v>314</v>
      </c>
    </row>
    <row r="6" customFormat="false" ht="42" hidden="false" customHeight="true" outlineLevel="0" collapsed="false">
      <c r="A6" s="5" t="s">
        <v>280</v>
      </c>
      <c r="B6" s="20"/>
      <c r="C6" s="20" t="s">
        <v>315</v>
      </c>
      <c r="D6" s="20" t="s">
        <v>316</v>
      </c>
      <c r="E6" s="20" t="s">
        <v>317</v>
      </c>
      <c r="F6" s="20" t="s">
        <v>318</v>
      </c>
      <c r="G6" s="20" t="s">
        <v>319</v>
      </c>
    </row>
    <row r="7" customFormat="false" ht="15" hidden="false" customHeight="false" outlineLevel="0" collapsed="false">
      <c r="A7" s="5" t="s">
        <v>320</v>
      </c>
      <c r="B7" s="20" t="s">
        <v>62</v>
      </c>
      <c r="C7" s="19" t="n">
        <f aca="false">1</f>
        <v>1</v>
      </c>
      <c r="D7" s="19" t="n">
        <f aca="false">1</f>
        <v>1</v>
      </c>
      <c r="E7" s="19" t="n">
        <f aca="false">1</f>
        <v>1</v>
      </c>
      <c r="F7" s="19" t="n">
        <f aca="false">1</f>
        <v>1</v>
      </c>
      <c r="G7" s="19" t="n">
        <f aca="false">1</f>
        <v>1</v>
      </c>
    </row>
    <row r="8" customFormat="false" ht="15" hidden="false" customHeight="false" outlineLevel="0" collapsed="false">
      <c r="A8" s="5" t="s">
        <v>267</v>
      </c>
      <c r="B8" s="20" t="s">
        <v>45</v>
      </c>
      <c r="C8" s="19" t="n">
        <f aca="false">Camion!C30</f>
        <v>55</v>
      </c>
      <c r="D8" s="19" t="n">
        <f aca="false">Camion!D30</f>
        <v>100</v>
      </c>
      <c r="E8" s="19" t="n">
        <f aca="false">Camion!E30</f>
        <v>140</v>
      </c>
      <c r="F8" s="19" t="n">
        <f aca="false">Camion!F30</f>
        <v>185</v>
      </c>
      <c r="G8" s="19" t="n">
        <f aca="false">IF((Produccion!F16+Produccion!G16+Produccion!H16+Produccion!I16)=0,0,(Produccion!F16*Camion!C30+Produccion!G16*Camion!D30+Produccion!H16*Camion!E30+Produccion!I16*Camion!F30)/(Produccion!F16+Produccion!G16+Produccion!H16+Produccion!I16))</f>
        <v>100.350000000268</v>
      </c>
    </row>
    <row r="9" customFormat="false" ht="15" hidden="false" customHeight="false" outlineLevel="0" collapsed="false">
      <c r="A9" s="5" t="s">
        <v>88</v>
      </c>
      <c r="B9" s="20" t="s">
        <v>40</v>
      </c>
      <c r="C9" s="19" t="n">
        <f aca="false">Datos!$C$41</f>
        <v>962</v>
      </c>
      <c r="D9" s="19" t="n">
        <f aca="false">Datos!$D$41</f>
        <v>1145</v>
      </c>
      <c r="E9" s="19" t="n">
        <f aca="false">Datos!$E$41</f>
        <v>1200</v>
      </c>
      <c r="F9" s="19" t="n">
        <f aca="false">Datos!$F$41</f>
        <v>1597</v>
      </c>
      <c r="G9" s="19" t="n">
        <f aca="false">MAX(Datos!$C$41,Datos!$D$41,Datos!$E$41,Datos!$F$41)</f>
        <v>1597</v>
      </c>
    </row>
    <row r="10" customFormat="false" ht="15" hidden="false" customHeight="false" outlineLevel="0" collapsed="false">
      <c r="A10" s="5" t="s">
        <v>321</v>
      </c>
      <c r="B10" s="20" t="s">
        <v>62</v>
      </c>
      <c r="C10" s="19" t="n">
        <f aca="false">Camion!C29</f>
        <v>14</v>
      </c>
      <c r="D10" s="19" t="n">
        <f aca="false">Camion!D29</f>
        <v>10</v>
      </c>
      <c r="E10" s="19" t="n">
        <f aca="false">Camion!E29</f>
        <v>7</v>
      </c>
      <c r="F10" s="19" t="n">
        <f aca="false">Camion!F29</f>
        <v>7</v>
      </c>
      <c r="G10" s="19" t="n">
        <f aca="false">IF((Produccion!F16+Produccion!G16+Produccion!H16+Produccion!I16)=0,0,INT((Produccion!F16+Produccion!G16+Produccion!H16+Produccion!I16)/(Produccion!F16/Camion!C29+Produccion!G16/Camion!D29+Produccion!H16/Camion!E29+Produccion!I16/Camion!F29)))</f>
        <v>9</v>
      </c>
    </row>
    <row r="11" customFormat="false" ht="15" hidden="false" customHeight="false" outlineLevel="0" collapsed="false">
      <c r="A11" s="5" t="s">
        <v>322</v>
      </c>
      <c r="B11" s="20" t="s">
        <v>62</v>
      </c>
      <c r="C11" s="19" t="n">
        <f aca="false">Camion!C31</f>
        <v>28</v>
      </c>
      <c r="D11" s="19" t="n">
        <f aca="false">Camion!D31</f>
        <v>15</v>
      </c>
      <c r="E11" s="19" t="n">
        <f aca="false">Camion!E31</f>
        <v>11</v>
      </c>
      <c r="F11" s="19" t="n">
        <f aca="false">Camion!F31</f>
        <v>8</v>
      </c>
      <c r="G11" s="19" t="n">
        <f aca="false">IF(G8=0,0,INT(Datos!$C$62/G8))</f>
        <v>15</v>
      </c>
    </row>
    <row r="12" customFormat="false" ht="15" hidden="false" customHeight="false" outlineLevel="0" collapsed="false">
      <c r="A12" s="4" t="s">
        <v>270</v>
      </c>
      <c r="B12" s="20" t="s">
        <v>62</v>
      </c>
      <c r="C12" s="15" t="n">
        <f aca="false">MIN(C10,C11)</f>
        <v>14</v>
      </c>
      <c r="D12" s="15" t="n">
        <f aca="false">MIN(D10,D11)</f>
        <v>10</v>
      </c>
      <c r="E12" s="15" t="n">
        <f aca="false">MIN(E10,E11)</f>
        <v>7</v>
      </c>
      <c r="F12" s="15" t="n">
        <f aca="false">MIN(F10,F11)</f>
        <v>7</v>
      </c>
      <c r="G12" s="15" t="n">
        <f aca="false">MIN(G10,G11)</f>
        <v>9</v>
      </c>
    </row>
    <row r="13" customFormat="false" ht="15" hidden="false" customHeight="false" outlineLevel="0" collapsed="false">
      <c r="A13" s="5" t="s">
        <v>216</v>
      </c>
      <c r="B13" s="20"/>
      <c r="C13" s="20" t="str">
        <f aca="false">IF(C11&lt;C10,"el peso","el lugar")</f>
        <v>el lugar</v>
      </c>
      <c r="D13" s="20" t="str">
        <f aca="false">IF(D11&lt;D10,"el peso","el lugar")</f>
        <v>el lugar</v>
      </c>
      <c r="E13" s="20" t="str">
        <f aca="false">IF(E11&lt;E10,"el peso","el lugar")</f>
        <v>el lugar</v>
      </c>
      <c r="F13" s="20" t="str">
        <f aca="false">IF(F11&lt;F10,"el peso","el lugar")</f>
        <v>el lugar</v>
      </c>
      <c r="G13" s="20" t="str">
        <f aca="false">IF(G11&lt;G10,"el peso","el lugar")</f>
        <v>el lugar</v>
      </c>
    </row>
    <row r="14" customFormat="false" ht="15" hidden="false" customHeight="false" outlineLevel="0" collapsed="false">
      <c r="A14" s="4" t="s">
        <v>291</v>
      </c>
      <c r="B14" s="20" t="s">
        <v>62</v>
      </c>
      <c r="C14" s="15" t="n">
        <f aca="false">C12*C7</f>
        <v>14</v>
      </c>
      <c r="D14" s="15" t="n">
        <f aca="false">D12*D7</f>
        <v>10</v>
      </c>
      <c r="E14" s="15" t="n">
        <f aca="false">E12*E7</f>
        <v>7</v>
      </c>
      <c r="F14" s="15" t="n">
        <f aca="false">F12*F7</f>
        <v>7</v>
      </c>
      <c r="G14" s="15" t="n">
        <f aca="false">G12*G7</f>
        <v>9</v>
      </c>
    </row>
    <row r="15" customFormat="false" ht="15" hidden="false" customHeight="false" outlineLevel="0" collapsed="false">
      <c r="A15" s="5" t="s">
        <v>292</v>
      </c>
      <c r="B15" s="20" t="s">
        <v>293</v>
      </c>
      <c r="C15" s="19" t="n">
        <f aca="false">Produccion!F16</f>
        <v>453.2705332</v>
      </c>
      <c r="D15" s="19" t="n">
        <f aca="false">Produccion!G16</f>
        <v>997.1951731</v>
      </c>
      <c r="E15" s="19" t="n">
        <f aca="false">Produccion!H16</f>
        <v>217.569856</v>
      </c>
      <c r="F15" s="19" t="n">
        <f aca="false">Produccion!I16</f>
        <v>145.0465706</v>
      </c>
      <c r="G15" s="19" t="n">
        <f aca="false">Produccion!S39</f>
        <v>1813.0821329</v>
      </c>
    </row>
    <row r="16" customFormat="false" ht="15" hidden="false" customHeight="false" outlineLevel="0" collapsed="false">
      <c r="A16" s="5" t="s">
        <v>294</v>
      </c>
      <c r="B16" s="20" t="s">
        <v>295</v>
      </c>
      <c r="C16" s="19" t="n">
        <f aca="false">Produccion!F55</f>
        <v>9.44313610833333</v>
      </c>
      <c r="D16" s="19" t="n">
        <f aca="false">Produccion!G55</f>
        <v>20.7748994395833</v>
      </c>
      <c r="E16" s="19" t="n">
        <f aca="false">Produccion!H55</f>
        <v>4.53270533333333</v>
      </c>
      <c r="F16" s="19" t="n">
        <f aca="false">Produccion!I55</f>
        <v>3.02180355416667</v>
      </c>
      <c r="G16" s="19" t="n">
        <f aca="false">Produccion!S55</f>
        <v>37.7725444354167</v>
      </c>
    </row>
    <row r="17" customFormat="false" ht="15" hidden="false" customHeight="false" outlineLevel="0" collapsed="false">
      <c r="A17" s="5" t="s">
        <v>296</v>
      </c>
      <c r="B17" s="20" t="s">
        <v>295</v>
      </c>
      <c r="C17" s="19" t="n">
        <f aca="false">Produccion!F56</f>
        <v>10.198586997</v>
      </c>
      <c r="D17" s="19" t="n">
        <f aca="false">Produccion!G56</f>
        <v>22.43689139475</v>
      </c>
      <c r="E17" s="19" t="n">
        <f aca="false">Produccion!H56</f>
        <v>4.89532176</v>
      </c>
      <c r="F17" s="19" t="n">
        <f aca="false">Produccion!I56</f>
        <v>3.2635478385</v>
      </c>
      <c r="G17" s="19" t="n">
        <f aca="false">Produccion!S56</f>
        <v>40.79434799025</v>
      </c>
    </row>
    <row r="18" customFormat="false" ht="15" hidden="false" customHeight="false" outlineLevel="0" collapsed="false">
      <c r="A18" s="5" t="s">
        <v>297</v>
      </c>
      <c r="B18" s="20" t="s">
        <v>295</v>
      </c>
      <c r="C18" s="19" t="n">
        <f aca="false">Produccion!F57</f>
        <v>7.932234331</v>
      </c>
      <c r="D18" s="19" t="n">
        <f aca="false">Produccion!G57</f>
        <v>17.45091552925</v>
      </c>
      <c r="E18" s="19" t="n">
        <f aca="false">Produccion!H57</f>
        <v>3.80747248</v>
      </c>
      <c r="F18" s="19" t="n">
        <f aca="false">Produccion!I57</f>
        <v>2.5383149855</v>
      </c>
      <c r="G18" s="19" t="n">
        <f aca="false">Produccion!S57</f>
        <v>31.72893732575</v>
      </c>
    </row>
    <row r="19" customFormat="false" ht="15" hidden="false" customHeight="false" outlineLevel="0" collapsed="false">
      <c r="A19" s="5" t="s">
        <v>181</v>
      </c>
      <c r="B19" s="20"/>
      <c r="C19" s="20" t="str">
        <f aca="false">Produccion!F58</f>
        <v>Mar</v>
      </c>
      <c r="D19" s="20" t="str">
        <f aca="false">Produccion!G58</f>
        <v>Mar</v>
      </c>
      <c r="E19" s="20" t="str">
        <f aca="false">Produccion!H58</f>
        <v>Mar</v>
      </c>
      <c r="F19" s="20" t="str">
        <f aca="false">Produccion!I58</f>
        <v>Mar</v>
      </c>
      <c r="G19" s="20" t="str">
        <f aca="false">Produccion!S58</f>
        <v>Mar</v>
      </c>
    </row>
    <row r="20" customFormat="false" ht="15" hidden="false" customHeight="false" outlineLevel="0" collapsed="false">
      <c r="A20" s="5" t="s">
        <v>323</v>
      </c>
      <c r="B20" s="20" t="s">
        <v>295</v>
      </c>
      <c r="C20" s="24" t="n">
        <f aca="false">IF(C7=0,0,C17/C7)</f>
        <v>10.198586997</v>
      </c>
      <c r="D20" s="24" t="n">
        <f aca="false">IF(D7=0,0,D17/D7)</f>
        <v>22.43689139475</v>
      </c>
      <c r="E20" s="24" t="n">
        <f aca="false">IF(E7=0,0,E17/E7)</f>
        <v>4.89532176</v>
      </c>
      <c r="F20" s="24" t="n">
        <f aca="false">IF(F7=0,0,F17/F7)</f>
        <v>3.2635478385</v>
      </c>
      <c r="G20" s="24" t="n">
        <f aca="false">IF(G7=0,0,G17/G7)</f>
        <v>40.79434799025</v>
      </c>
    </row>
    <row r="21" customFormat="false" ht="15" hidden="false" customHeight="false" outlineLevel="0" collapsed="false">
      <c r="A21" s="5" t="s">
        <v>299</v>
      </c>
      <c r="B21" s="20" t="s">
        <v>300</v>
      </c>
      <c r="C21" s="21" t="n">
        <f aca="false">IF(C14=0,0,C16/C14)</f>
        <v>0.674509722023809</v>
      </c>
      <c r="D21" s="21" t="n">
        <f aca="false">IF(D14=0,0,D16/D14)</f>
        <v>2.07748994395833</v>
      </c>
      <c r="E21" s="21" t="n">
        <f aca="false">IF(E14=0,0,E16/E14)</f>
        <v>0.647529333333333</v>
      </c>
      <c r="F21" s="21" t="n">
        <f aca="false">IF(F14=0,0,F16/F14)</f>
        <v>0.43168622202381</v>
      </c>
      <c r="G21" s="21" t="n">
        <f aca="false">IF(G14=0,0,G16/G14)</f>
        <v>4.19694938171296</v>
      </c>
    </row>
    <row r="22" customFormat="false" ht="15" hidden="false" customHeight="false" outlineLevel="0" collapsed="false">
      <c r="A22" s="4" t="s">
        <v>301</v>
      </c>
      <c r="B22" s="20" t="s">
        <v>300</v>
      </c>
      <c r="C22" s="25" t="n">
        <f aca="false">IF(C14=0,0,C17/C14)</f>
        <v>0.728470499785714</v>
      </c>
      <c r="D22" s="25" t="n">
        <f aca="false">IF(D14=0,0,D17/D14)</f>
        <v>2.243689139475</v>
      </c>
      <c r="E22" s="25" t="n">
        <f aca="false">IF(E14=0,0,E17/E14)</f>
        <v>0.69933168</v>
      </c>
      <c r="F22" s="25" t="n">
        <f aca="false">IF(F14=0,0,F17/F14)</f>
        <v>0.466221119785714</v>
      </c>
      <c r="G22" s="25" t="n">
        <f aca="false">IF(G14=0,0,G17/G14)</f>
        <v>4.53270533225</v>
      </c>
    </row>
    <row r="23" customFormat="false" ht="15" hidden="false" customHeight="false" outlineLevel="0" collapsed="false">
      <c r="A23" s="5" t="s">
        <v>302</v>
      </c>
      <c r="B23" s="20" t="s">
        <v>300</v>
      </c>
      <c r="C23" s="21" t="n">
        <f aca="false">IF(C14=0,0,C18/C14)</f>
        <v>0.5665881665</v>
      </c>
      <c r="D23" s="21" t="n">
        <f aca="false">IF(D14=0,0,D18/D14)</f>
        <v>1.745091552925</v>
      </c>
      <c r="E23" s="21" t="n">
        <f aca="false">IF(E14=0,0,E18/E14)</f>
        <v>0.54392464</v>
      </c>
      <c r="F23" s="21" t="n">
        <f aca="false">IF(F14=0,0,F18/F14)</f>
        <v>0.3626164265</v>
      </c>
      <c r="G23" s="21" t="n">
        <f aca="false">IF(G14=0,0,G18/G14)</f>
        <v>3.52543748063889</v>
      </c>
    </row>
    <row r="24" customFormat="false" ht="15" hidden="false" customHeight="false" outlineLevel="0" collapsed="false">
      <c r="A24" s="5" t="s">
        <v>303</v>
      </c>
      <c r="B24" s="20" t="s">
        <v>36</v>
      </c>
      <c r="C24" s="24" t="n">
        <f aca="false">IF(C22=0,"-",Datos!$C$9/C22)</f>
        <v>6.86369592381681</v>
      </c>
      <c r="D24" s="24" t="n">
        <f aca="false">IF(D22=0,"-",Datos!$C$9/D22)</f>
        <v>2.22847270240384</v>
      </c>
      <c r="E24" s="24" t="n">
        <f aca="false">IF(E22=0,"-",Datos!$C$9/E22)</f>
        <v>7.1496832518727</v>
      </c>
      <c r="F24" s="24" t="n">
        <f aca="false">IF(F22=0,"-",Datos!$C$9/F22)</f>
        <v>10.7245248827383</v>
      </c>
      <c r="G24" s="24" t="n">
        <f aca="false">IF(G22=0,"-",Datos!$C$9/G22)</f>
        <v>1.10309398769543</v>
      </c>
    </row>
    <row r="25" customFormat="false" ht="30" hidden="false" customHeight="true" outlineLevel="0" collapsed="false">
      <c r="A25" s="4" t="s">
        <v>304</v>
      </c>
      <c r="B25" s="20"/>
      <c r="C25" s="26" t="str">
        <f aca="false">IF(C22=0,"sin producción",IF(C22&gt;=1,ROUNDUP(C22,0)&amp;" viajes por semana (carga media "&amp;TEXT(C22/ROUNDUP(C22,0),"0%")&amp;")",IF(INT(1/C22)=1,"1 viaje por semana","1 viaje cada "&amp;INT(1/C22)&amp;" semanas")&amp;" (carga "&amp;TEXT(C22*INT(1/C22),"0%")&amp;")"))</f>
        <v>1 viaje por semana (carga 73%)</v>
      </c>
      <c r="D25" s="26" t="str">
        <f aca="false">IF(D22=0,"sin producción",IF(D22&gt;=1,ROUNDUP(D22,0)&amp;" viajes por semana (carga media "&amp;TEXT(D22/ROUNDUP(D22,0),"0%")&amp;")",IF(INT(1/D22)=1,"1 viaje por semana","1 viaje cada "&amp;INT(1/D22)&amp;" semanas")&amp;" (carga "&amp;TEXT(D22*INT(1/D22),"0%")&amp;")"))</f>
        <v>3 viajes por semana (carga media 75%)</v>
      </c>
      <c r="E25" s="26" t="str">
        <f aca="false">IF(E22=0,"sin producción",IF(E22&gt;=1,ROUNDUP(E22,0)&amp;" viajes por semana (carga media "&amp;TEXT(E22/ROUNDUP(E22,0),"0%")&amp;")",IF(INT(1/E22)=1,"1 viaje por semana","1 viaje cada "&amp;INT(1/E22)&amp;" semanas")&amp;" (carga "&amp;TEXT(E22*INT(1/E22),"0%")&amp;")"))</f>
        <v>1 viaje por semana (carga 70%)</v>
      </c>
      <c r="F25" s="26" t="str">
        <f aca="false">IF(F22=0,"sin producción",IF(F22&gt;=1,ROUNDUP(F22,0)&amp;" viajes por semana (carga media "&amp;TEXT(F22/ROUNDUP(F22,0),"0%")&amp;")",IF(INT(1/F22)=1,"1 viaje por semana","1 viaje cada "&amp;INT(1/F22)&amp;" semanas")&amp;" (carga "&amp;TEXT(F22*INT(1/F22),"0%")&amp;")"))</f>
        <v>1 viaje cada 2 semanas (carga 93%)</v>
      </c>
      <c r="G25" s="26" t="str">
        <f aca="false">IF(G22=0,"sin producción",IF(G22&gt;=1,ROUNDUP(G22,0)&amp;" viajes por semana (carga media "&amp;TEXT(G22/ROUNDUP(G22,0),"0%")&amp;")",IF(INT(1/G22)=1,"1 viaje por semana","1 viaje cada "&amp;INT(1/G22)&amp;" semanas")&amp;" (carga "&amp;TEXT(G22*INT(1/G22),"0%")&amp;")"))</f>
        <v>5 viajes por semana (carga media 91%)</v>
      </c>
    </row>
    <row r="26" customFormat="false" ht="15" hidden="false" customHeight="false" outlineLevel="0" collapsed="false">
      <c r="A26" s="5" t="s">
        <v>305</v>
      </c>
      <c r="B26" s="20" t="s">
        <v>300</v>
      </c>
      <c r="C26" s="24" t="n">
        <f aca="false">IF(C14=0,0,MAX(Produccion!F27:F38)/C14)</f>
        <v>2.91388199914286</v>
      </c>
      <c r="D26" s="24" t="n">
        <f aca="false">IF(D14=0,0,MAX(Produccion!G27:G38)/D14)</f>
        <v>8.9747565579</v>
      </c>
      <c r="E26" s="24" t="n">
        <f aca="false">IF(E14=0,0,MAX(Produccion!H27:H38)/E14)</f>
        <v>2.79732672</v>
      </c>
      <c r="F26" s="24" t="n">
        <f aca="false">IF(F14=0,0,MAX(Produccion!I27:I38)/F14)</f>
        <v>1.86488447914286</v>
      </c>
      <c r="G26" s="24" t="n">
        <f aca="false">IF(G14=0,0,MAX(Produccion!S27:S38)/G14)</f>
        <v>18.130821329</v>
      </c>
    </row>
    <row r="27" customFormat="false" ht="15" hidden="false" customHeight="false" outlineLevel="0" collapsed="false">
      <c r="A27" s="5" t="s">
        <v>306</v>
      </c>
      <c r="B27" s="20" t="s">
        <v>300</v>
      </c>
      <c r="C27" s="24" t="n">
        <f aca="false">IF(C14=0,0,C15/C14)</f>
        <v>32.3764666571429</v>
      </c>
      <c r="D27" s="24" t="n">
        <f aca="false">IF(D14=0,0,D15/D14)</f>
        <v>99.71951731</v>
      </c>
      <c r="E27" s="24" t="n">
        <f aca="false">IF(E14=0,0,E15/E14)</f>
        <v>31.081408</v>
      </c>
      <c r="F27" s="24" t="n">
        <f aca="false">IF(F14=0,0,F15/F14)</f>
        <v>20.7209386571429</v>
      </c>
      <c r="G27" s="24" t="n">
        <f aca="false">IF(G14=0,0,G15/G14)</f>
        <v>201.453570322222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8"/>
    <col collapsed="false" customWidth="true" hidden="false" outlineLevel="0" max="6" min="3" style="0" width="22"/>
    <col collapsed="false" customWidth="true" hidden="false" outlineLevel="0" max="7" min="7" style="0" width="26"/>
  </cols>
  <sheetData>
    <row r="1" customFormat="false" ht="17.35" hidden="false" customHeight="false" outlineLevel="0" collapsed="false">
      <c r="A1" s="1" t="s">
        <v>324</v>
      </c>
    </row>
    <row r="2" customFormat="false" ht="15" hidden="false" customHeight="false" outlineLevel="0" collapsed="false">
      <c r="A2" s="2" t="s">
        <v>325</v>
      </c>
    </row>
    <row r="4" customFormat="false" ht="15" hidden="false" customHeight="false" outlineLevel="0" collapsed="false">
      <c r="A4" s="6" t="s">
        <v>326</v>
      </c>
      <c r="B4" s="7"/>
      <c r="C4" s="7"/>
      <c r="D4" s="7"/>
      <c r="E4" s="7"/>
      <c r="F4" s="7"/>
      <c r="G4" s="7"/>
    </row>
    <row r="5" customFormat="false" ht="15" hidden="false" customHeight="false" outlineLevel="0" collapsed="false">
      <c r="A5" s="3" t="s">
        <v>184</v>
      </c>
      <c r="B5" s="3" t="s">
        <v>23</v>
      </c>
      <c r="C5" s="3" t="s">
        <v>275</v>
      </c>
      <c r="D5" s="3" t="s">
        <v>276</v>
      </c>
      <c r="E5" s="3" t="s">
        <v>277</v>
      </c>
      <c r="F5" s="3" t="s">
        <v>278</v>
      </c>
      <c r="G5" s="3" t="s">
        <v>279</v>
      </c>
    </row>
    <row r="6" customFormat="false" ht="42" hidden="false" customHeight="true" outlineLevel="0" collapsed="false">
      <c r="A6" s="5" t="s">
        <v>280</v>
      </c>
      <c r="B6" s="20"/>
      <c r="C6" s="20" t="s">
        <v>327</v>
      </c>
      <c r="D6" s="20" t="s">
        <v>328</v>
      </c>
      <c r="E6" s="20" t="s">
        <v>329</v>
      </c>
      <c r="F6" s="20" t="s">
        <v>330</v>
      </c>
      <c r="G6" s="20" t="s">
        <v>285</v>
      </c>
    </row>
    <row r="7" customFormat="false" ht="15" hidden="false" customHeight="false" outlineLevel="0" collapsed="false">
      <c r="A7" s="5" t="s">
        <v>286</v>
      </c>
      <c r="B7" s="20" t="s">
        <v>62</v>
      </c>
      <c r="C7" s="19" t="n">
        <f aca="false">Pallet_cilindros!C14</f>
        <v>780</v>
      </c>
      <c r="D7" s="19" t="n">
        <f aca="false">Pallet_cilindros!D14</f>
        <v>288</v>
      </c>
      <c r="E7" s="19" t="n">
        <f aca="false">Pallet_cilindros!E14</f>
        <v>126</v>
      </c>
      <c r="F7" s="19" t="n">
        <f aca="false">Pallet_cilindros!F14</f>
        <v>60</v>
      </c>
      <c r="G7" s="19" t="n">
        <f aca="false">IF((IF(Pallet_cilindros!D14=0,0,Produccion!K16/Pallet_cilindros!D14)+IF(Pallet_cilindros!E14=0,0,Produccion!L16/Pallet_cilindros!E14)+IF(Pallet_cilindros!F14=0,0,Produccion!M16/Pallet_cilindros!F14))=0,0,(Produccion!K16+Produccion!L16+Produccion!M16)/(IF(Pallet_cilindros!D14=0,0,Produccion!K16/Pallet_cilindros!D14)+IF(Pallet_cilindros!E14=0,0,Produccion!L16/Pallet_cilindros!E14)+IF(Pallet_cilindros!F14=0,0,Produccion!M16/Pallet_cilindros!F14)))</f>
        <v>130.841766623612</v>
      </c>
    </row>
    <row r="8" customFormat="false" ht="15" hidden="false" customHeight="false" outlineLevel="0" collapsed="false">
      <c r="A8" s="5" t="s">
        <v>209</v>
      </c>
      <c r="B8" s="20" t="s">
        <v>45</v>
      </c>
      <c r="C8" s="19" t="n">
        <f aca="false">Pallet_cilindros!C16</f>
        <v>630.8</v>
      </c>
      <c r="D8" s="19" t="n">
        <f aca="false">Pallet_cilindros!D16</f>
        <v>464.24</v>
      </c>
      <c r="E8" s="19" t="n">
        <f aca="false">Pallet_cilindros!E16</f>
        <v>387.68</v>
      </c>
      <c r="F8" s="19" t="n">
        <f aca="false">Pallet_cilindros!F16</f>
        <v>365.6</v>
      </c>
      <c r="G8" s="19" t="n">
        <f aca="false">IF((IF(Pallet_cilindros!D14=0,0,Produccion!K16/Pallet_cilindros!D14)+IF(Pallet_cilindros!E14=0,0,Produccion!L16/Pallet_cilindros!E14)+IF(Pallet_cilindros!F14=0,0,Produccion!M16/Pallet_cilindros!F14))=0,0,(Produccion!K16/Pallet_cilindros!D14*Pallet_cilindros!D16+Produccion!L16/Pallet_cilindros!E14*Pallet_cilindros!E16+Produccion!M16/Pallet_cilindros!F14*Pallet_cilindros!F16)/(IF(Pallet_cilindros!D14=0,0,Produccion!K16/Pallet_cilindros!D14)+IF(Pallet_cilindros!E14=0,0,Produccion!L16/Pallet_cilindros!E14)+IF(Pallet_cilindros!F14=0,0,Produccion!M16/Pallet_cilindros!F14)))</f>
        <v>390.928771653784</v>
      </c>
    </row>
    <row r="9" customFormat="false" ht="15" hidden="false" customHeight="false" outlineLevel="0" collapsed="false">
      <c r="A9" s="5" t="s">
        <v>287</v>
      </c>
      <c r="B9" s="20" t="s">
        <v>40</v>
      </c>
      <c r="C9" s="19" t="n">
        <f aca="false">Pallet_cilindros!C17</f>
        <v>1350</v>
      </c>
      <c r="D9" s="19" t="n">
        <f aca="false">Pallet_cilindros!D17</f>
        <v>1492</v>
      </c>
      <c r="E9" s="19" t="n">
        <f aca="false">Pallet_cilindros!E17</f>
        <v>1399</v>
      </c>
      <c r="F9" s="19" t="n">
        <f aca="false">Pallet_cilindros!F17</f>
        <v>1318</v>
      </c>
      <c r="G9" s="19" t="n">
        <f aca="false">MAX(Pallet_cilindros!D17,Pallet_cilindros!E17,Pallet_cilindros!F17)</f>
        <v>1492</v>
      </c>
    </row>
    <row r="10" customFormat="false" ht="15" hidden="false" customHeight="false" outlineLevel="0" collapsed="false">
      <c r="A10" s="5" t="s">
        <v>288</v>
      </c>
      <c r="B10" s="20" t="s">
        <v>62</v>
      </c>
      <c r="C10" s="19" t="n">
        <f aca="false">Camion!$C$19</f>
        <v>14</v>
      </c>
      <c r="D10" s="19" t="n">
        <f aca="false">Camion!$C$19</f>
        <v>14</v>
      </c>
      <c r="E10" s="19" t="n">
        <f aca="false">Camion!$C$19</f>
        <v>14</v>
      </c>
      <c r="F10" s="19" t="n">
        <f aca="false">Camion!$C$19</f>
        <v>14</v>
      </c>
      <c r="G10" s="19" t="n">
        <f aca="false">Camion!$C$19</f>
        <v>14</v>
      </c>
    </row>
    <row r="11" customFormat="false" ht="15" hidden="false" customHeight="false" outlineLevel="0" collapsed="false">
      <c r="A11" s="5" t="s">
        <v>289</v>
      </c>
      <c r="B11" s="20" t="s">
        <v>62</v>
      </c>
      <c r="C11" s="19" t="n">
        <f aca="false">INT(Camion!$C$20/C8)</f>
        <v>19</v>
      </c>
      <c r="D11" s="19" t="n">
        <f aca="false">INT(Camion!$C$20/D8)</f>
        <v>25</v>
      </c>
      <c r="E11" s="19" t="n">
        <f aca="false">INT(Camion!$C$20/E8)</f>
        <v>30</v>
      </c>
      <c r="F11" s="19" t="n">
        <f aca="false">INT(Camion!$C$20/F8)</f>
        <v>32</v>
      </c>
      <c r="G11" s="19" t="n">
        <f aca="false">IF(G8=0,0,INT(Camion!$C$20/G8))</f>
        <v>30</v>
      </c>
    </row>
    <row r="12" customFormat="false" ht="15" hidden="false" customHeight="false" outlineLevel="0" collapsed="false">
      <c r="A12" s="4" t="s">
        <v>290</v>
      </c>
      <c r="B12" s="20" t="s">
        <v>62</v>
      </c>
      <c r="C12" s="15" t="n">
        <f aca="false">MIN(C10,C11)</f>
        <v>14</v>
      </c>
      <c r="D12" s="15" t="n">
        <f aca="false">MIN(D10,D11)</f>
        <v>14</v>
      </c>
      <c r="E12" s="15" t="n">
        <f aca="false">MIN(E10,E11)</f>
        <v>14</v>
      </c>
      <c r="F12" s="15" t="n">
        <f aca="false">MIN(F10,F11)</f>
        <v>14</v>
      </c>
      <c r="G12" s="15" t="n">
        <f aca="false">MIN(G10,G11)</f>
        <v>14</v>
      </c>
    </row>
    <row r="13" customFormat="false" ht="15" hidden="false" customHeight="false" outlineLevel="0" collapsed="false">
      <c r="A13" s="5" t="s">
        <v>216</v>
      </c>
      <c r="B13" s="20"/>
      <c r="C13" s="20" t="str">
        <f aca="false">IF(C11&lt;C10,"el peso","el lugar")</f>
        <v>el lugar</v>
      </c>
      <c r="D13" s="20" t="str">
        <f aca="false">IF(D11&lt;D10,"el peso","el lugar")</f>
        <v>el lugar</v>
      </c>
      <c r="E13" s="20" t="str">
        <f aca="false">IF(E11&lt;E10,"el peso","el lugar")</f>
        <v>el lugar</v>
      </c>
      <c r="F13" s="20" t="str">
        <f aca="false">IF(F11&lt;F10,"el peso","el lugar")</f>
        <v>el lugar</v>
      </c>
      <c r="G13" s="20" t="str">
        <f aca="false">IF(G11&lt;G10,"el peso","el lugar")</f>
        <v>el lugar</v>
      </c>
    </row>
    <row r="14" customFormat="false" ht="15" hidden="false" customHeight="false" outlineLevel="0" collapsed="false">
      <c r="A14" s="4" t="s">
        <v>291</v>
      </c>
      <c r="B14" s="20" t="s">
        <v>62</v>
      </c>
      <c r="C14" s="15" t="n">
        <f aca="false">C12*C7</f>
        <v>10920</v>
      </c>
      <c r="D14" s="15" t="n">
        <f aca="false">D12*D7</f>
        <v>4032</v>
      </c>
      <c r="E14" s="15" t="n">
        <f aca="false">E12*E7</f>
        <v>1764</v>
      </c>
      <c r="F14" s="15" t="n">
        <f aca="false">F12*F7</f>
        <v>840</v>
      </c>
      <c r="G14" s="15" t="n">
        <f aca="false">G12*G7</f>
        <v>1831.78473273057</v>
      </c>
    </row>
    <row r="15" customFormat="false" ht="15" hidden="false" customHeight="false" outlineLevel="0" collapsed="false">
      <c r="A15" s="5" t="s">
        <v>292</v>
      </c>
      <c r="B15" s="20" t="s">
        <v>293</v>
      </c>
      <c r="C15" s="19" t="n">
        <f aca="false">Produccion!J16</f>
        <v>170548</v>
      </c>
      <c r="D15" s="19" t="n">
        <f aca="false">Produccion!K16</f>
        <v>6669</v>
      </c>
      <c r="E15" s="19" t="n">
        <f aca="false">Produccion!L16</f>
        <v>32915</v>
      </c>
      <c r="F15" s="19" t="n">
        <f aca="false">Produccion!M16</f>
        <v>2011</v>
      </c>
      <c r="G15" s="19" t="n">
        <f aca="false">Produccion!T39</f>
        <v>41595</v>
      </c>
    </row>
    <row r="16" customFormat="false" ht="15" hidden="false" customHeight="false" outlineLevel="0" collapsed="false">
      <c r="A16" s="5" t="s">
        <v>294</v>
      </c>
      <c r="B16" s="20" t="s">
        <v>295</v>
      </c>
      <c r="C16" s="19" t="n">
        <f aca="false">Produccion!J55</f>
        <v>3553.08333333333</v>
      </c>
      <c r="D16" s="19" t="n">
        <f aca="false">Produccion!K55</f>
        <v>138.9375</v>
      </c>
      <c r="E16" s="19" t="n">
        <f aca="false">Produccion!L55</f>
        <v>685.729166666667</v>
      </c>
      <c r="F16" s="19" t="n">
        <f aca="false">Produccion!M55</f>
        <v>41.8958333333333</v>
      </c>
      <c r="G16" s="19" t="n">
        <f aca="false">Produccion!T55</f>
        <v>866.5625</v>
      </c>
    </row>
    <row r="17" customFormat="false" ht="15" hidden="false" customHeight="false" outlineLevel="0" collapsed="false">
      <c r="A17" s="5" t="s">
        <v>296</v>
      </c>
      <c r="B17" s="20" t="s">
        <v>295</v>
      </c>
      <c r="C17" s="19" t="n">
        <f aca="false">Produccion!J56</f>
        <v>5116.44</v>
      </c>
      <c r="D17" s="19" t="n">
        <f aca="false">Produccion!K56</f>
        <v>183.3975</v>
      </c>
      <c r="E17" s="19" t="n">
        <f aca="false">Produccion!L56</f>
        <v>905.1625</v>
      </c>
      <c r="F17" s="19" t="n">
        <f aca="false">Produccion!M56</f>
        <v>55.3025</v>
      </c>
      <c r="G17" s="19" t="n">
        <f aca="false">Produccion!T56</f>
        <v>1143.8625</v>
      </c>
    </row>
    <row r="18" customFormat="false" ht="15" hidden="false" customHeight="false" outlineLevel="0" collapsed="false">
      <c r="A18" s="5" t="s">
        <v>297</v>
      </c>
      <c r="B18" s="20" t="s">
        <v>295</v>
      </c>
      <c r="C18" s="19" t="n">
        <f aca="false">Produccion!J57</f>
        <v>2984.59</v>
      </c>
      <c r="D18" s="19" t="n">
        <f aca="false">Produccion!K57</f>
        <v>116.7075</v>
      </c>
      <c r="E18" s="19" t="n">
        <f aca="false">Produccion!L57</f>
        <v>576.0125</v>
      </c>
      <c r="F18" s="19" t="n">
        <f aca="false">Produccion!M57</f>
        <v>35.1925</v>
      </c>
      <c r="G18" s="19" t="n">
        <f aca="false">Produccion!T57</f>
        <v>727.9125</v>
      </c>
    </row>
    <row r="19" customFormat="false" ht="15" hidden="false" customHeight="false" outlineLevel="0" collapsed="false">
      <c r="A19" s="5" t="s">
        <v>181</v>
      </c>
      <c r="B19" s="20"/>
      <c r="C19" s="20" t="str">
        <f aca="false">Produccion!J58</f>
        <v>Ene</v>
      </c>
      <c r="D19" s="20" t="str">
        <f aca="false">Produccion!K58</f>
        <v>Dic</v>
      </c>
      <c r="E19" s="20" t="str">
        <f aca="false">Produccion!L58</f>
        <v>Dic</v>
      </c>
      <c r="F19" s="20" t="str">
        <f aca="false">Produccion!M58</f>
        <v>Dic</v>
      </c>
      <c r="G19" s="20" t="str">
        <f aca="false">Produccion!T58</f>
        <v>Dic</v>
      </c>
    </row>
    <row r="20" customFormat="false" ht="15" hidden="false" customHeight="false" outlineLevel="0" collapsed="false">
      <c r="A20" s="5" t="s">
        <v>298</v>
      </c>
      <c r="B20" s="20" t="s">
        <v>295</v>
      </c>
      <c r="C20" s="24" t="n">
        <f aca="false">IF(C7=0,0,C17/C7)</f>
        <v>6.55953846153846</v>
      </c>
      <c r="D20" s="24" t="n">
        <f aca="false">IF(D7=0,0,D17/D7)</f>
        <v>0.636796875</v>
      </c>
      <c r="E20" s="24" t="n">
        <f aca="false">IF(E7=0,0,E17/E7)</f>
        <v>7.18382936507937</v>
      </c>
      <c r="F20" s="24" t="n">
        <f aca="false">IF(F7=0,0,F17/F7)</f>
        <v>0.921708333333333</v>
      </c>
      <c r="G20" s="24" t="n">
        <f aca="false">IF(G7=0,0,G17/G7)</f>
        <v>8.7423345734127</v>
      </c>
    </row>
    <row r="21" customFormat="false" ht="15" hidden="false" customHeight="false" outlineLevel="0" collapsed="false">
      <c r="A21" s="5" t="s">
        <v>299</v>
      </c>
      <c r="B21" s="20" t="s">
        <v>300</v>
      </c>
      <c r="C21" s="21" t="n">
        <f aca="false">IF(C14=0,0,C16/C14)</f>
        <v>0.325373931623932</v>
      </c>
      <c r="D21" s="21" t="n">
        <f aca="false">IF(D14=0,0,D16/D14)</f>
        <v>0.0344587053571429</v>
      </c>
      <c r="E21" s="21" t="n">
        <f aca="false">IF(E14=0,0,E16/E14)</f>
        <v>0.388735355253212</v>
      </c>
      <c r="F21" s="21" t="n">
        <f aca="false">IF(F14=0,0,F16/F14)</f>
        <v>0.0498759920634921</v>
      </c>
      <c r="G21" s="21" t="n">
        <f aca="false">IF(G14=0,0,G16/G14)</f>
        <v>0.473070052673847</v>
      </c>
    </row>
    <row r="22" customFormat="false" ht="15" hidden="false" customHeight="false" outlineLevel="0" collapsed="false">
      <c r="A22" s="4" t="s">
        <v>301</v>
      </c>
      <c r="B22" s="20" t="s">
        <v>300</v>
      </c>
      <c r="C22" s="25" t="n">
        <f aca="false">IF(C14=0,0,C17/C14)</f>
        <v>0.468538461538462</v>
      </c>
      <c r="D22" s="25" t="n">
        <f aca="false">IF(D14=0,0,D17/D14)</f>
        <v>0.0454854910714286</v>
      </c>
      <c r="E22" s="25" t="n">
        <f aca="false">IF(E14=0,0,E17/E14)</f>
        <v>0.51313066893424</v>
      </c>
      <c r="F22" s="25" t="n">
        <f aca="false">IF(F14=0,0,F17/F14)</f>
        <v>0.0658363095238095</v>
      </c>
      <c r="G22" s="25" t="n">
        <f aca="false">IF(G14=0,0,G17/G14)</f>
        <v>0.624452469529478</v>
      </c>
    </row>
    <row r="23" customFormat="false" ht="15" hidden="false" customHeight="false" outlineLevel="0" collapsed="false">
      <c r="A23" s="5" t="s">
        <v>302</v>
      </c>
      <c r="B23" s="20" t="s">
        <v>300</v>
      </c>
      <c r="C23" s="21" t="n">
        <f aca="false">IF(C14=0,0,C18/C14)</f>
        <v>0.273314102564103</v>
      </c>
      <c r="D23" s="21" t="n">
        <f aca="false">IF(D14=0,0,D18/D14)</f>
        <v>0.0289453125</v>
      </c>
      <c r="E23" s="21" t="n">
        <f aca="false">IF(E14=0,0,E18/E14)</f>
        <v>0.326537698412698</v>
      </c>
      <c r="F23" s="21" t="n">
        <f aca="false">IF(F14=0,0,F18/F14)</f>
        <v>0.0418958333333333</v>
      </c>
      <c r="G23" s="21" t="n">
        <f aca="false">IF(G14=0,0,G18/G14)</f>
        <v>0.397378844246032</v>
      </c>
    </row>
    <row r="24" customFormat="false" ht="15" hidden="false" customHeight="false" outlineLevel="0" collapsed="false">
      <c r="A24" s="5" t="s">
        <v>303</v>
      </c>
      <c r="B24" s="20" t="s">
        <v>36</v>
      </c>
      <c r="C24" s="24" t="n">
        <f aca="false">IF(C22=0,"-",Datos!$C$9/C22)</f>
        <v>10.6714825151863</v>
      </c>
      <c r="D24" s="24" t="n">
        <f aca="false">IF(D22=0,"-",Datos!$C$9/D22)</f>
        <v>109.925162556742</v>
      </c>
      <c r="E24" s="24" t="n">
        <f aca="false">IF(E22=0,"-",Datos!$C$9/E22)</f>
        <v>9.74410672116885</v>
      </c>
      <c r="F24" s="24" t="n">
        <f aca="false">IF(F22=0,"-",Datos!$C$9/F22)</f>
        <v>75.9459337281316</v>
      </c>
      <c r="G24" s="24" t="n">
        <f aca="false">IF(G22=0,"-",Datos!$C$9/G22)</f>
        <v>8.0070145350974</v>
      </c>
    </row>
    <row r="25" customFormat="false" ht="30" hidden="false" customHeight="true" outlineLevel="0" collapsed="false">
      <c r="A25" s="4" t="s">
        <v>304</v>
      </c>
      <c r="B25" s="20"/>
      <c r="C25" s="26" t="str">
        <f aca="false">IF(C22=0,"sin producción",IF(C22&gt;=1,ROUNDUP(C22,0)&amp;" viajes por semana (carga media "&amp;TEXT(C22/ROUNDUP(C22,0),"0%")&amp;")",IF(INT(1/C22)=1,"1 viaje por semana","1 viaje cada "&amp;INT(1/C22)&amp;" semanas")&amp;" (carga "&amp;TEXT(C22*INT(1/C22),"0%")&amp;")"))</f>
        <v>1 viaje cada 2 semanas (carga 94%)</v>
      </c>
      <c r="D25" s="26" t="str">
        <f aca="false">IF(D22=0,"sin producción",IF(D22&gt;=1,ROUNDUP(D22,0)&amp;" viajes por semana (carga media "&amp;TEXT(D22/ROUNDUP(D22,0),"0%")&amp;")",IF(INT(1/D22)=1,"1 viaje por semana","1 viaje cada "&amp;INT(1/D22)&amp;" semanas")&amp;" (carga "&amp;TEXT(D22*INT(1/D22),"0%")&amp;")"))</f>
        <v>1 viaje cada 21 semanas (carga 96%)</v>
      </c>
      <c r="E25" s="26" t="str">
        <f aca="false">IF(E22=0,"sin producción",IF(E22&gt;=1,ROUNDUP(E22,0)&amp;" viajes por semana (carga media "&amp;TEXT(E22/ROUNDUP(E22,0),"0%")&amp;")",IF(INT(1/E22)=1,"1 viaje por semana","1 viaje cada "&amp;INT(1/E22)&amp;" semanas")&amp;" (carga "&amp;TEXT(E22*INT(1/E22),"0%")&amp;")"))</f>
        <v>1 viaje por semana (carga 51%)</v>
      </c>
      <c r="F25" s="26" t="str">
        <f aca="false">IF(F22=0,"sin producción",IF(F22&gt;=1,ROUNDUP(F22,0)&amp;" viajes por semana (carga media "&amp;TEXT(F22/ROUNDUP(F22,0),"0%")&amp;")",IF(INT(1/F22)=1,"1 viaje por semana","1 viaje cada "&amp;INT(1/F22)&amp;" semanas")&amp;" (carga "&amp;TEXT(F22*INT(1/F22),"0%")&amp;")"))</f>
        <v>1 viaje cada 15 semanas (carga 99%)</v>
      </c>
      <c r="G25" s="26" t="str">
        <f aca="false">IF(G22=0,"sin producción",IF(G22&gt;=1,ROUNDUP(G22,0)&amp;" viajes por semana (carga media "&amp;TEXT(G22/ROUNDUP(G22,0),"0%")&amp;")",IF(INT(1/G22)=1,"1 viaje por semana","1 viaje cada "&amp;INT(1/G22)&amp;" semanas")&amp;" (carga "&amp;TEXT(G22*INT(1/G22),"0%")&amp;")"))</f>
        <v>1 viaje por semana (carga 62%)</v>
      </c>
    </row>
    <row r="26" customFormat="false" ht="15" hidden="false" customHeight="false" outlineLevel="0" collapsed="false">
      <c r="A26" s="5" t="s">
        <v>305</v>
      </c>
      <c r="B26" s="20" t="s">
        <v>300</v>
      </c>
      <c r="C26" s="24" t="n">
        <f aca="false">IF(C14=0,0,MAX(Produccion!J27:J38)/C14)</f>
        <v>1.87415384615385</v>
      </c>
      <c r="D26" s="24" t="n">
        <f aca="false">IF(D14=0,0,MAX(Produccion!K27:K38)/D14)</f>
        <v>0.181941964285714</v>
      </c>
      <c r="E26" s="24" t="n">
        <f aca="false">IF(E14=0,0,MAX(Produccion!L27:L38)/E14)</f>
        <v>2.05252267573696</v>
      </c>
      <c r="F26" s="24" t="n">
        <f aca="false">IF(F14=0,0,MAX(Produccion!M27:M38)/F14)</f>
        <v>0.263345238095238</v>
      </c>
      <c r="G26" s="24" t="n">
        <f aca="false">IF(G14=0,0,MAX(Produccion!T27:T38)/G14)</f>
        <v>2.49780987811791</v>
      </c>
    </row>
    <row r="27" customFormat="false" ht="15" hidden="false" customHeight="false" outlineLevel="0" collapsed="false">
      <c r="A27" s="5" t="s">
        <v>306</v>
      </c>
      <c r="B27" s="20" t="s">
        <v>300</v>
      </c>
      <c r="C27" s="24" t="n">
        <f aca="false">IF(C14=0,0,C15/C14)</f>
        <v>15.6179487179487</v>
      </c>
      <c r="D27" s="24" t="n">
        <f aca="false">IF(D14=0,0,D15/D14)</f>
        <v>1.65401785714286</v>
      </c>
      <c r="E27" s="24" t="n">
        <f aca="false">IF(E14=0,0,E15/E14)</f>
        <v>18.6592970521542</v>
      </c>
      <c r="F27" s="24" t="n">
        <f aca="false">IF(F14=0,0,F15/F14)</f>
        <v>2.39404761904762</v>
      </c>
      <c r="G27" s="24" t="n">
        <f aca="false">IF(G14=0,0,G15/G14)</f>
        <v>22.7073625283447</v>
      </c>
    </row>
    <row r="30" customFormat="false" ht="15" hidden="false" customHeight="false" outlineLevel="0" collapsed="false">
      <c r="A30" s="6" t="s">
        <v>331</v>
      </c>
      <c r="B30" s="7"/>
      <c r="C30" s="7"/>
      <c r="D30" s="7"/>
      <c r="E30" s="7"/>
      <c r="F30" s="7"/>
      <c r="G30" s="7"/>
    </row>
    <row r="31" customFormat="false" ht="15" hidden="false" customHeight="false" outlineLevel="0" collapsed="false">
      <c r="A31" s="3" t="s">
        <v>184</v>
      </c>
      <c r="B31" s="3" t="s">
        <v>23</v>
      </c>
      <c r="C31" s="3" t="s">
        <v>310</v>
      </c>
      <c r="D31" s="3" t="s">
        <v>311</v>
      </c>
      <c r="E31" s="3" t="s">
        <v>312</v>
      </c>
      <c r="F31" s="3" t="s">
        <v>313</v>
      </c>
      <c r="G31" s="3" t="s">
        <v>314</v>
      </c>
    </row>
    <row r="32" customFormat="false" ht="42" hidden="false" customHeight="true" outlineLevel="0" collapsed="false">
      <c r="A32" s="5" t="s">
        <v>280</v>
      </c>
      <c r="B32" s="20"/>
      <c r="C32" s="20" t="s">
        <v>332</v>
      </c>
      <c r="D32" s="20" t="s">
        <v>333</v>
      </c>
      <c r="E32" s="20" t="s">
        <v>334</v>
      </c>
      <c r="F32" s="20" t="s">
        <v>335</v>
      </c>
      <c r="G32" s="20" t="s">
        <v>336</v>
      </c>
    </row>
    <row r="33" customFormat="false" ht="15" hidden="false" customHeight="false" outlineLevel="0" collapsed="false">
      <c r="A33" s="5" t="s">
        <v>286</v>
      </c>
      <c r="B33" s="20" t="s">
        <v>62</v>
      </c>
      <c r="C33" s="19" t="n">
        <f aca="false">Pallet_cilindros!G14</f>
        <v>24</v>
      </c>
      <c r="D33" s="19" t="n">
        <f aca="false">Pallet_cilindros!H14</f>
        <v>9</v>
      </c>
      <c r="E33" s="19" t="n">
        <f aca="false">Pallet_cilindros!I14</f>
        <v>6</v>
      </c>
      <c r="F33" s="19" t="n">
        <f aca="false">Pallet_cilindros!J14</f>
        <v>6</v>
      </c>
      <c r="G33" s="19" t="n">
        <f aca="false">IF((IF(Pallet_cilindros!G14=0,0,Produccion!N16/Pallet_cilindros!G14)+IF(Pallet_cilindros!H14=0,0,Produccion!O16/Pallet_cilindros!H14)+IF(Pallet_cilindros!I14=0,0,Produccion!P16/Pallet_cilindros!I14)+IF(Pallet_cilindros!J14=0,0,Produccion!Q16/Pallet_cilindros!J14))=0,0,(Produccion!N16+Produccion!O16+Produccion!P16+Produccion!Q16)/(IF(Pallet_cilindros!G14=0,0,Produccion!N16/Pallet_cilindros!G14)+IF(Pallet_cilindros!H14=0,0,Produccion!O16/Pallet_cilindros!H14)+IF(Pallet_cilindros!I14=0,0,Produccion!P16/Pallet_cilindros!I14)+IF(Pallet_cilindros!J14=0,0,Produccion!Q16/Pallet_cilindros!J14)))</f>
        <v>9.53922174181593</v>
      </c>
    </row>
    <row r="34" customFormat="false" ht="15" hidden="false" customHeight="false" outlineLevel="0" collapsed="false">
      <c r="A34" s="5" t="s">
        <v>209</v>
      </c>
      <c r="B34" s="20" t="s">
        <v>45</v>
      </c>
      <c r="C34" s="19" t="n">
        <f aca="false">Pallet_cilindros!G16</f>
        <v>418.88</v>
      </c>
      <c r="D34" s="19" t="n">
        <f aca="false">Pallet_cilindros!H16</f>
        <v>245.9</v>
      </c>
      <c r="E34" s="19" t="n">
        <f aca="false">Pallet_cilindros!I16</f>
        <v>317.37057704</v>
      </c>
      <c r="F34" s="19" t="n">
        <f aca="false">Pallet_cilindros!J16</f>
        <v>377.27790434</v>
      </c>
      <c r="G34" s="19" t="n">
        <f aca="false">IF((IF(Pallet_cilindros!G14=0,0,Produccion!N16/Pallet_cilindros!G14)+IF(Pallet_cilindros!H14=0,0,Produccion!O16/Pallet_cilindros!H14)+IF(Pallet_cilindros!I14=0,0,Produccion!P16/Pallet_cilindros!I14)+IF(Pallet_cilindros!J14=0,0,Produccion!Q16/Pallet_cilindros!J14))=0,0,(Produccion!N16/Pallet_cilindros!G14*Pallet_cilindros!G16+Produccion!O16/Pallet_cilindros!H14*Pallet_cilindros!H16+Produccion!P16/Pallet_cilindros!I14*Pallet_cilindros!I16+Produccion!Q16/Pallet_cilindros!J14*Pallet_cilindros!J16)/(IF(Pallet_cilindros!G14=0,0,Produccion!N16/Pallet_cilindros!G14)+IF(Pallet_cilindros!H14=0,0,Produccion!O16/Pallet_cilindros!H14)+IF(Pallet_cilindros!I14=0,0,Produccion!P16/Pallet_cilindros!I14)+IF(Pallet_cilindros!J14=0,0,Produccion!Q16/Pallet_cilindros!J14)))</f>
        <v>293.340859399481</v>
      </c>
    </row>
    <row r="35" customFormat="false" ht="15" hidden="false" customHeight="false" outlineLevel="0" collapsed="false">
      <c r="A35" s="5" t="s">
        <v>287</v>
      </c>
      <c r="B35" s="20" t="s">
        <v>40</v>
      </c>
      <c r="C35" s="19" t="n">
        <f aca="false">Pallet_cilindros!G17</f>
        <v>1498</v>
      </c>
      <c r="D35" s="19" t="n">
        <f aca="false">Pallet_cilindros!H17</f>
        <v>1009</v>
      </c>
      <c r="E35" s="19" t="n">
        <f aca="false">Pallet_cilindros!I17</f>
        <v>1059</v>
      </c>
      <c r="F35" s="19" t="n">
        <f aca="false">Pallet_cilindros!J17</f>
        <v>1279</v>
      </c>
      <c r="G35" s="19" t="n">
        <f aca="false">MAX(Pallet_cilindros!G17,Pallet_cilindros!H17,Pallet_cilindros!I17,Pallet_cilindros!J17)</f>
        <v>1498</v>
      </c>
    </row>
    <row r="36" customFormat="false" ht="15" hidden="false" customHeight="false" outlineLevel="0" collapsed="false">
      <c r="A36" s="5" t="s">
        <v>288</v>
      </c>
      <c r="B36" s="20" t="s">
        <v>62</v>
      </c>
      <c r="C36" s="19" t="n">
        <f aca="false">Camion!$C$19</f>
        <v>14</v>
      </c>
      <c r="D36" s="19" t="n">
        <f aca="false">Camion!$C$19</f>
        <v>14</v>
      </c>
      <c r="E36" s="19" t="n">
        <f aca="false">Camion!$C$19</f>
        <v>14</v>
      </c>
      <c r="F36" s="19" t="n">
        <f aca="false">Camion!$C$19</f>
        <v>14</v>
      </c>
      <c r="G36" s="19" t="n">
        <f aca="false">Camion!$C$19</f>
        <v>14</v>
      </c>
    </row>
    <row r="37" customFormat="false" ht="15" hidden="false" customHeight="false" outlineLevel="0" collapsed="false">
      <c r="A37" s="5" t="s">
        <v>289</v>
      </c>
      <c r="B37" s="20" t="s">
        <v>62</v>
      </c>
      <c r="C37" s="19" t="n">
        <f aca="false">INT(Camion!$C$20/C34)</f>
        <v>28</v>
      </c>
      <c r="D37" s="19" t="n">
        <f aca="false">INT(Camion!$C$20/D34)</f>
        <v>48</v>
      </c>
      <c r="E37" s="19" t="n">
        <f aca="false">INT(Camion!$C$20/E34)</f>
        <v>37</v>
      </c>
      <c r="F37" s="19" t="n">
        <f aca="false">INT(Camion!$C$20/F34)</f>
        <v>31</v>
      </c>
      <c r="G37" s="19" t="n">
        <f aca="false">IF(G34=0,0,INT(Camion!$C$20/G34))</f>
        <v>40</v>
      </c>
    </row>
    <row r="38" customFormat="false" ht="15" hidden="false" customHeight="false" outlineLevel="0" collapsed="false">
      <c r="A38" s="4" t="s">
        <v>290</v>
      </c>
      <c r="B38" s="20" t="s">
        <v>62</v>
      </c>
      <c r="C38" s="15" t="n">
        <f aca="false">MIN(C36,C37)</f>
        <v>14</v>
      </c>
      <c r="D38" s="15" t="n">
        <f aca="false">MIN(D36,D37)</f>
        <v>14</v>
      </c>
      <c r="E38" s="15" t="n">
        <f aca="false">MIN(E36,E37)</f>
        <v>14</v>
      </c>
      <c r="F38" s="15" t="n">
        <f aca="false">MIN(F36,F37)</f>
        <v>14</v>
      </c>
      <c r="G38" s="15" t="n">
        <f aca="false">MIN(G36,G37)</f>
        <v>14</v>
      </c>
    </row>
    <row r="39" customFormat="false" ht="15" hidden="false" customHeight="false" outlineLevel="0" collapsed="false">
      <c r="A39" s="5" t="s">
        <v>216</v>
      </c>
      <c r="B39" s="20"/>
      <c r="C39" s="20" t="str">
        <f aca="false">IF(C37&lt;C36,"el peso","el lugar")</f>
        <v>el lugar</v>
      </c>
      <c r="D39" s="20" t="str">
        <f aca="false">IF(D37&lt;D36,"el peso","el lugar")</f>
        <v>el lugar</v>
      </c>
      <c r="E39" s="20" t="str">
        <f aca="false">IF(E37&lt;E36,"el peso","el lugar")</f>
        <v>el lugar</v>
      </c>
      <c r="F39" s="20" t="str">
        <f aca="false">IF(F37&lt;F36,"el peso","el lugar")</f>
        <v>el lugar</v>
      </c>
      <c r="G39" s="20" t="str">
        <f aca="false">IF(G37&lt;G36,"el peso","el lugar")</f>
        <v>el lugar</v>
      </c>
    </row>
    <row r="40" customFormat="false" ht="15" hidden="false" customHeight="false" outlineLevel="0" collapsed="false">
      <c r="A40" s="4" t="s">
        <v>291</v>
      </c>
      <c r="B40" s="20" t="s">
        <v>62</v>
      </c>
      <c r="C40" s="15" t="n">
        <f aca="false">C38*C33</f>
        <v>336</v>
      </c>
      <c r="D40" s="15" t="n">
        <f aca="false">D38*D33</f>
        <v>126</v>
      </c>
      <c r="E40" s="15" t="n">
        <f aca="false">E38*E33</f>
        <v>84</v>
      </c>
      <c r="F40" s="15" t="n">
        <f aca="false">F38*F33</f>
        <v>84</v>
      </c>
      <c r="G40" s="15" t="n">
        <f aca="false">G38*G33</f>
        <v>133.549104385423</v>
      </c>
    </row>
    <row r="41" customFormat="false" ht="15" hidden="false" customHeight="false" outlineLevel="0" collapsed="false">
      <c r="A41" s="5" t="s">
        <v>292</v>
      </c>
      <c r="B41" s="20" t="s">
        <v>293</v>
      </c>
      <c r="C41" s="19" t="n">
        <f aca="false">Produccion!N16</f>
        <v>322</v>
      </c>
      <c r="D41" s="19" t="n">
        <f aca="false">Produccion!O16</f>
        <v>708</v>
      </c>
      <c r="E41" s="19" t="n">
        <f aca="false">Produccion!P16</f>
        <v>155</v>
      </c>
      <c r="F41" s="19" t="n">
        <f aca="false">Produccion!Q16</f>
        <v>102</v>
      </c>
      <c r="G41" s="19" t="n">
        <f aca="false">Produccion!U39</f>
        <v>1287</v>
      </c>
    </row>
    <row r="42" customFormat="false" ht="15" hidden="false" customHeight="false" outlineLevel="0" collapsed="false">
      <c r="A42" s="5" t="s">
        <v>294</v>
      </c>
      <c r="B42" s="20" t="s">
        <v>295</v>
      </c>
      <c r="C42" s="19" t="n">
        <f aca="false">Produccion!N55</f>
        <v>6.70833333333333</v>
      </c>
      <c r="D42" s="19" t="n">
        <f aca="false">Produccion!O55</f>
        <v>14.75</v>
      </c>
      <c r="E42" s="19" t="n">
        <f aca="false">Produccion!P55</f>
        <v>3.22916666666667</v>
      </c>
      <c r="F42" s="19" t="n">
        <f aca="false">Produccion!Q55</f>
        <v>2.125</v>
      </c>
      <c r="G42" s="19" t="n">
        <f aca="false">Produccion!U55</f>
        <v>26.8125</v>
      </c>
    </row>
    <row r="43" customFormat="false" ht="15" hidden="false" customHeight="false" outlineLevel="0" collapsed="false">
      <c r="A43" s="5" t="s">
        <v>296</v>
      </c>
      <c r="B43" s="20" t="s">
        <v>295</v>
      </c>
      <c r="C43" s="19" t="n">
        <f aca="false">Produccion!N56</f>
        <v>7.245</v>
      </c>
      <c r="D43" s="19" t="n">
        <f aca="false">Produccion!O56</f>
        <v>15.93</v>
      </c>
      <c r="E43" s="19" t="n">
        <f aca="false">Produccion!P56</f>
        <v>3.4875</v>
      </c>
      <c r="F43" s="19" t="n">
        <f aca="false">Produccion!Q56</f>
        <v>2.295</v>
      </c>
      <c r="G43" s="19" t="n">
        <f aca="false">Produccion!U56</f>
        <v>28.9575</v>
      </c>
    </row>
    <row r="44" customFormat="false" ht="15" hidden="false" customHeight="false" outlineLevel="0" collapsed="false">
      <c r="A44" s="5" t="s">
        <v>297</v>
      </c>
      <c r="B44" s="20" t="s">
        <v>295</v>
      </c>
      <c r="C44" s="19" t="n">
        <f aca="false">Produccion!N57</f>
        <v>5.635</v>
      </c>
      <c r="D44" s="19" t="n">
        <f aca="false">Produccion!O57</f>
        <v>12.39</v>
      </c>
      <c r="E44" s="19" t="n">
        <f aca="false">Produccion!P57</f>
        <v>2.7125</v>
      </c>
      <c r="F44" s="19" t="n">
        <f aca="false">Produccion!Q57</f>
        <v>1.785</v>
      </c>
      <c r="G44" s="19" t="n">
        <f aca="false">Produccion!U57</f>
        <v>22.5225</v>
      </c>
    </row>
    <row r="45" customFormat="false" ht="15" hidden="false" customHeight="false" outlineLevel="0" collapsed="false">
      <c r="A45" s="5" t="s">
        <v>181</v>
      </c>
      <c r="B45" s="20"/>
      <c r="C45" s="20" t="str">
        <f aca="false">Produccion!N58</f>
        <v>Mar</v>
      </c>
      <c r="D45" s="20" t="str">
        <f aca="false">Produccion!O58</f>
        <v>Mar</v>
      </c>
      <c r="E45" s="20" t="str">
        <f aca="false">Produccion!P58</f>
        <v>Mar</v>
      </c>
      <c r="F45" s="20" t="str">
        <f aca="false">Produccion!Q58</f>
        <v>Mar</v>
      </c>
      <c r="G45" s="20" t="str">
        <f aca="false">Produccion!U58</f>
        <v>Mar</v>
      </c>
    </row>
    <row r="46" customFormat="false" ht="15" hidden="false" customHeight="false" outlineLevel="0" collapsed="false">
      <c r="A46" s="5" t="s">
        <v>298</v>
      </c>
      <c r="B46" s="20" t="s">
        <v>295</v>
      </c>
      <c r="C46" s="24" t="n">
        <f aca="false">IF(C33=0,0,C43/C33)</f>
        <v>0.301875</v>
      </c>
      <c r="D46" s="24" t="n">
        <f aca="false">IF(D33=0,0,D43/D33)</f>
        <v>1.77</v>
      </c>
      <c r="E46" s="24" t="n">
        <f aca="false">IF(E33=0,0,E43/E33)</f>
        <v>0.58125</v>
      </c>
      <c r="F46" s="24" t="n">
        <f aca="false">IF(F33=0,0,F43/F33)</f>
        <v>0.3825</v>
      </c>
      <c r="G46" s="24" t="n">
        <f aca="false">IF(G33=0,0,G43/G33)</f>
        <v>3.035625</v>
      </c>
    </row>
    <row r="47" customFormat="false" ht="15" hidden="false" customHeight="false" outlineLevel="0" collapsed="false">
      <c r="A47" s="5" t="s">
        <v>299</v>
      </c>
      <c r="B47" s="20" t="s">
        <v>300</v>
      </c>
      <c r="C47" s="21" t="n">
        <f aca="false">IF(C40=0,0,C42/C40)</f>
        <v>0.0199652777777778</v>
      </c>
      <c r="D47" s="21" t="n">
        <f aca="false">IF(D40=0,0,D42/D40)</f>
        <v>0.117063492063492</v>
      </c>
      <c r="E47" s="21" t="n">
        <f aca="false">IF(E40=0,0,E42/E40)</f>
        <v>0.0384424603174603</v>
      </c>
      <c r="F47" s="21" t="n">
        <f aca="false">IF(F40=0,0,F42/F40)</f>
        <v>0.025297619047619</v>
      </c>
      <c r="G47" s="21" t="n">
        <f aca="false">IF(G40=0,0,G42/G40)</f>
        <v>0.200768849206349</v>
      </c>
    </row>
    <row r="48" customFormat="false" ht="15" hidden="false" customHeight="false" outlineLevel="0" collapsed="false">
      <c r="A48" s="4" t="s">
        <v>301</v>
      </c>
      <c r="B48" s="20" t="s">
        <v>300</v>
      </c>
      <c r="C48" s="25" t="n">
        <f aca="false">IF(C40=0,0,C43/C40)</f>
        <v>0.0215625</v>
      </c>
      <c r="D48" s="25" t="n">
        <f aca="false">IF(D40=0,0,D43/D40)</f>
        <v>0.126428571428571</v>
      </c>
      <c r="E48" s="25" t="n">
        <f aca="false">IF(E40=0,0,E43/E40)</f>
        <v>0.0415178571428571</v>
      </c>
      <c r="F48" s="25" t="n">
        <f aca="false">IF(F40=0,0,F43/F40)</f>
        <v>0.0273214285714286</v>
      </c>
      <c r="G48" s="25" t="n">
        <f aca="false">IF(G40=0,0,G43/G40)</f>
        <v>0.216830357142857</v>
      </c>
    </row>
    <row r="49" customFormat="false" ht="15" hidden="false" customHeight="false" outlineLevel="0" collapsed="false">
      <c r="A49" s="5" t="s">
        <v>302</v>
      </c>
      <c r="B49" s="20" t="s">
        <v>300</v>
      </c>
      <c r="C49" s="21" t="n">
        <f aca="false">IF(C40=0,0,C44/C40)</f>
        <v>0.0167708333333333</v>
      </c>
      <c r="D49" s="21" t="n">
        <f aca="false">IF(D40=0,0,D44/D40)</f>
        <v>0.0983333333333333</v>
      </c>
      <c r="E49" s="21" t="n">
        <f aca="false">IF(E40=0,0,E44/E40)</f>
        <v>0.0322916666666667</v>
      </c>
      <c r="F49" s="21" t="n">
        <f aca="false">IF(F40=0,0,F44/F40)</f>
        <v>0.02125</v>
      </c>
      <c r="G49" s="21" t="n">
        <f aca="false">IF(G40=0,0,G44/G40)</f>
        <v>0.168645833333333</v>
      </c>
    </row>
    <row r="50" customFormat="false" ht="15" hidden="false" customHeight="false" outlineLevel="0" collapsed="false">
      <c r="A50" s="5" t="s">
        <v>303</v>
      </c>
      <c r="B50" s="20" t="s">
        <v>36</v>
      </c>
      <c r="C50" s="24" t="n">
        <f aca="false">IF(C48=0,"-",Datos!$C$9/C48)</f>
        <v>231.884057971014</v>
      </c>
      <c r="D50" s="24" t="n">
        <f aca="false">IF(D48=0,"-",Datos!$C$9/D48)</f>
        <v>39.5480225988701</v>
      </c>
      <c r="E50" s="24" t="n">
        <f aca="false">IF(E48=0,"-",Datos!$C$9/E48)</f>
        <v>120.430107526882</v>
      </c>
      <c r="F50" s="24" t="n">
        <f aca="false">IF(F48=0,"-",Datos!$C$9/F48)</f>
        <v>183.006535947712</v>
      </c>
      <c r="G50" s="24" t="n">
        <f aca="false">IF(G48=0,"-",Datos!$C$9/G48)</f>
        <v>23.0595017500515</v>
      </c>
    </row>
    <row r="51" customFormat="false" ht="30" hidden="false" customHeight="true" outlineLevel="0" collapsed="false">
      <c r="A51" s="4" t="s">
        <v>304</v>
      </c>
      <c r="B51" s="20"/>
      <c r="C51" s="26" t="str">
        <f aca="false">IF(C48=0,"sin producción",IF(C48&gt;=1,ROUNDUP(C48,0)&amp;" viajes por semana (carga media "&amp;TEXT(C48/ROUNDUP(C48,0),"0%")&amp;")",IF(INT(1/C48)=1,"1 viaje por semana","1 viaje cada "&amp;INT(1/C48)&amp;" semanas")&amp;" (carga "&amp;TEXT(C48*INT(1/C48),"0%")&amp;")"))</f>
        <v>1 viaje cada 46 semanas (carga 99%)</v>
      </c>
      <c r="D51" s="26" t="str">
        <f aca="false">IF(D48=0,"sin producción",IF(D48&gt;=1,ROUNDUP(D48,0)&amp;" viajes por semana (carga media "&amp;TEXT(D48/ROUNDUP(D48,0),"0%")&amp;")",IF(INT(1/D48)=1,"1 viaje por semana","1 viaje cada "&amp;INT(1/D48)&amp;" semanas")&amp;" (carga "&amp;TEXT(D48*INT(1/D48),"0%")&amp;")"))</f>
        <v>1 viaje cada 7 semanas (carga 88%)</v>
      </c>
      <c r="E51" s="26" t="str">
        <f aca="false">IF(E48=0,"sin producción",IF(E48&gt;=1,ROUNDUP(E48,0)&amp;" viajes por semana (carga media "&amp;TEXT(E48/ROUNDUP(E48,0),"0%")&amp;")",IF(INT(1/E48)=1,"1 viaje por semana","1 viaje cada "&amp;INT(1/E48)&amp;" semanas")&amp;" (carga "&amp;TEXT(E48*INT(1/E48),"0%")&amp;")"))</f>
        <v>1 viaje cada 24 semanas (carga 100%)</v>
      </c>
      <c r="F51" s="26" t="str">
        <f aca="false">IF(F48=0,"sin producción",IF(F48&gt;=1,ROUNDUP(F48,0)&amp;" viajes por semana (carga media "&amp;TEXT(F48/ROUNDUP(F48,0),"0%")&amp;")",IF(INT(1/F48)=1,"1 viaje por semana","1 viaje cada "&amp;INT(1/F48)&amp;" semanas")&amp;" (carga "&amp;TEXT(F48*INT(1/F48),"0%")&amp;")"))</f>
        <v>1 viaje cada 36 semanas (carga 98%)</v>
      </c>
      <c r="G51" s="26" t="str">
        <f aca="false">IF(G48=0,"sin producción",IF(G48&gt;=1,ROUNDUP(G48,0)&amp;" viajes por semana (carga media "&amp;TEXT(G48/ROUNDUP(G48,0),"0%")&amp;")",IF(INT(1/G48)=1,"1 viaje por semana","1 viaje cada "&amp;INT(1/G48)&amp;" semanas")&amp;" (carga "&amp;TEXT(G48*INT(1/G48),"0%")&amp;")"))</f>
        <v>1 viaje cada 4 semanas (carga 87%)</v>
      </c>
    </row>
    <row r="52" customFormat="false" ht="15" hidden="false" customHeight="false" outlineLevel="0" collapsed="false">
      <c r="A52" s="5" t="s">
        <v>305</v>
      </c>
      <c r="B52" s="20" t="s">
        <v>300</v>
      </c>
      <c r="C52" s="24" t="n">
        <f aca="false">IF(C40=0,0,MAX(Produccion!N27:N38)/C40)</f>
        <v>0.08625</v>
      </c>
      <c r="D52" s="24" t="n">
        <f aca="false">IF(D40=0,0,MAX(Produccion!O27:O38)/D40)</f>
        <v>0.505714285714286</v>
      </c>
      <c r="E52" s="24" t="n">
        <f aca="false">IF(E40=0,0,MAX(Produccion!P27:P38)/E40)</f>
        <v>0.166071428571429</v>
      </c>
      <c r="F52" s="24" t="n">
        <f aca="false">IF(F40=0,0,MAX(Produccion!Q27:Q38)/F40)</f>
        <v>0.109285714285714</v>
      </c>
      <c r="G52" s="24" t="n">
        <f aca="false">IF(G40=0,0,MAX(Produccion!U27:U38)/G40)</f>
        <v>0.867321428571429</v>
      </c>
    </row>
    <row r="53" customFormat="false" ht="15" hidden="false" customHeight="false" outlineLevel="0" collapsed="false">
      <c r="A53" s="5" t="s">
        <v>306</v>
      </c>
      <c r="B53" s="20" t="s">
        <v>300</v>
      </c>
      <c r="C53" s="24" t="n">
        <f aca="false">IF(C40=0,0,C41/C40)</f>
        <v>0.958333333333333</v>
      </c>
      <c r="D53" s="24" t="n">
        <f aca="false">IF(D40=0,0,D41/D40)</f>
        <v>5.61904761904762</v>
      </c>
      <c r="E53" s="24" t="n">
        <f aca="false">IF(E40=0,0,E41/E40)</f>
        <v>1.8452380952381</v>
      </c>
      <c r="F53" s="24" t="n">
        <f aca="false">IF(F40=0,0,F41/F40)</f>
        <v>1.21428571428571</v>
      </c>
      <c r="G53" s="24" t="n">
        <f aca="false">IF(G40=0,0,G41/G40)</f>
        <v>9.63690476190477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10" min="2" style="0" width="18"/>
  </cols>
  <sheetData>
    <row r="1" customFormat="false" ht="17.35" hidden="false" customHeight="false" outlineLevel="0" collapsed="false">
      <c r="A1" s="1" t="s">
        <v>337</v>
      </c>
    </row>
    <row r="2" customFormat="false" ht="15" hidden="false" customHeight="false" outlineLevel="0" collapsed="false">
      <c r="A2" s="2" t="s">
        <v>338</v>
      </c>
    </row>
    <row r="4" customFormat="false" ht="45" hidden="false" customHeight="true" outlineLevel="0" collapsed="false">
      <c r="A4" s="3" t="s">
        <v>172</v>
      </c>
      <c r="B4" s="3" t="s">
        <v>339</v>
      </c>
      <c r="C4" s="3" t="s">
        <v>340</v>
      </c>
      <c r="D4" s="3" t="s">
        <v>341</v>
      </c>
      <c r="E4" s="3" t="s">
        <v>342</v>
      </c>
      <c r="F4" s="3" t="s">
        <v>343</v>
      </c>
      <c r="G4" s="3" t="s">
        <v>344</v>
      </c>
      <c r="H4" s="3" t="s">
        <v>345</v>
      </c>
      <c r="I4" s="3" t="s">
        <v>346</v>
      </c>
      <c r="J4" s="3" t="s">
        <v>347</v>
      </c>
    </row>
    <row r="5" customFormat="false" ht="15" hidden="false" customHeight="false" outlineLevel="0" collapsed="false">
      <c r="A5" s="18" t="s">
        <v>146</v>
      </c>
      <c r="B5" s="21" t="n">
        <f aca="false">IF(Escenarios_manuales!C14=0,0,Produccion!B43/Escenarios_manuales!C14)</f>
        <v>0.19090856625</v>
      </c>
      <c r="C5" s="21" t="n">
        <f aca="false">IF(Escenarios_manuales!G14=0,0,Produccion!R43/Escenarios_manuales!G14)</f>
        <v>0.787423368465136</v>
      </c>
      <c r="D5" s="21" t="n">
        <f aca="false">IF(Escenarios_rodantes!G14=0,0,Produccion!S43/Escenarios_rodantes!G14)</f>
        <v>4.28088836934722</v>
      </c>
      <c r="E5" s="21" t="n">
        <f aca="false">IF(Escenarios_cilindros!C14=0,0,Produccion!J43/Escenarios_cilindros!C14)</f>
        <v>0.468538461538462</v>
      </c>
      <c r="F5" s="21" t="n">
        <f aca="false">IF(Escenarios_cilindros!G14=0,0,Produccion!T43/Escenarios_cilindros!G14)</f>
        <v>0.567684063208617</v>
      </c>
      <c r="G5" s="21" t="n">
        <f aca="false">IF(Escenarios_cilindros!G40=0,0,Produccion!U43/Escenarios_cilindros!G40)</f>
        <v>0.204784226190476</v>
      </c>
      <c r="H5" s="24" t="n">
        <f aca="false">Produccion!B43/Pallet_cajas!C18+Produccion!C43/Pallet_cajas!D18+Produccion!D43/Pallet_cajas!E18+Produccion!E43/Pallet_cajas!F18+Produccion!J43/Pallet_cilindros!C14+Produccion!K43/Pallet_cilindros!D14+Produccion!L43/Pallet_cilindros!E14+Produccion!M43/Pallet_cilindros!F14+Produccion!N43/Pallet_cilindros!G14+Produccion!O43/Pallet_cilindros!H14+Produccion!P43/Pallet_cilindros!I14+Produccion!Q43/Pallet_cilindros!J14</f>
        <v>31.0707415991377</v>
      </c>
      <c r="I5" s="19" t="n">
        <f aca="false">Produccion!B43/Pallet_cajas!C18*Pallet_cajas!C19+Produccion!C43/Pallet_cajas!D18*Pallet_cajas!D19+Produccion!D43/Pallet_cajas!E18*Pallet_cajas!E19+Produccion!E43/Pallet_cajas!F18*Pallet_cajas!F19+Produccion!J43/Pallet_cilindros!C14*Pallet_cilindros!C16+Produccion!K43/Pallet_cilindros!D14*Pallet_cilindros!D16+Produccion!L43/Pallet_cilindros!E14*Pallet_cilindros!E16+Produccion!M43/Pallet_cilindros!F14*Pallet_cilindros!F16+Produccion!N43/Pallet_cilindros!G14*Pallet_cilindros!G16+Produccion!O43/Pallet_cilindros!H14*Pallet_cilindros!H16+Produccion!P43/Pallet_cilindros!I14*Pallet_cilindros!I16+Produccion!Q43/Pallet_cilindros!J14*Pallet_cilindros!J16</f>
        <v>19086.5397532646</v>
      </c>
      <c r="J5" s="25" t="n">
        <f aca="false">MAX(H5/Camion!$C$19,I5/Camion!$C$20)</f>
        <v>2.21933868565269</v>
      </c>
    </row>
    <row r="6" customFormat="false" ht="15" hidden="false" customHeight="false" outlineLevel="0" collapsed="false">
      <c r="A6" s="18" t="s">
        <v>147</v>
      </c>
      <c r="B6" s="21" t="n">
        <f aca="false">IF(Escenarios_manuales!C14=0,0,Produccion!B44/Escenarios_manuales!C14)</f>
        <v>0.1431814246875</v>
      </c>
      <c r="C6" s="21" t="n">
        <f aca="false">IF(Escenarios_manuales!G14=0,0,Produccion!R44/Escenarios_manuales!G14)</f>
        <v>0.629938694772109</v>
      </c>
      <c r="D6" s="21" t="n">
        <f aca="false">IF(Escenarios_rodantes!G14=0,0,Produccion!S44/Escenarios_rodantes!G14)</f>
        <v>3.77725444354167</v>
      </c>
      <c r="E6" s="21" t="n">
        <f aca="false">IF(Escenarios_cilindros!C14=0,0,Produccion!J44/Escenarios_cilindros!C14)</f>
        <v>0.351403846153846</v>
      </c>
      <c r="F6" s="21" t="n">
        <f aca="false">IF(Escenarios_cilindros!G14=0,0,Produccion!T44/Escenarios_cilindros!G14)</f>
        <v>0.454147250566894</v>
      </c>
      <c r="G6" s="21" t="n">
        <f aca="false">IF(Escenarios_cilindros!G40=0,0,Produccion!U44/Escenarios_cilindros!G40)</f>
        <v>0.180691964285714</v>
      </c>
      <c r="H6" s="24" t="n">
        <f aca="false">Produccion!B44/Pallet_cajas!C18+Produccion!C44/Pallet_cajas!D18+Produccion!D44/Pallet_cajas!E18+Produccion!E44/Pallet_cajas!F18+Produccion!J44/Pallet_cilindros!C14+Produccion!K44/Pallet_cilindros!D14+Produccion!L44/Pallet_cilindros!E14+Produccion!M44/Pallet_cilindros!F14+Produccion!N44/Pallet_cilindros!G14+Produccion!O44/Pallet_cilindros!H14+Produccion!P44/Pallet_cilindros!I14+Produccion!Q44/Pallet_cilindros!J14</f>
        <v>24.6310845265249</v>
      </c>
      <c r="I6" s="19" t="n">
        <f aca="false">Produccion!B44/Pallet_cajas!C18*Pallet_cajas!C19+Produccion!C44/Pallet_cajas!D18*Pallet_cajas!D19+Produccion!D44/Pallet_cajas!E18*Pallet_cajas!E19+Produccion!E44/Pallet_cajas!F18*Pallet_cajas!F19+Produccion!J44/Pallet_cilindros!C14*Pallet_cilindros!C16+Produccion!K44/Pallet_cilindros!D14*Pallet_cilindros!D16+Produccion!L44/Pallet_cilindros!E14*Pallet_cilindros!E16+Produccion!M44/Pallet_cilindros!F14*Pallet_cilindros!F16+Produccion!N44/Pallet_cilindros!G14*Pallet_cilindros!G16+Produccion!O44/Pallet_cilindros!H14*Pallet_cilindros!H16+Produccion!P44/Pallet_cilindros!I14*Pallet_cilindros!I16+Produccion!Q44/Pallet_cilindros!J14*Pallet_cilindros!J16</f>
        <v>15024.0527088099</v>
      </c>
      <c r="J6" s="25" t="n">
        <f aca="false">MAX(H6/Camion!$C$19,I6/Camion!$C$20)</f>
        <v>1.75936318046606</v>
      </c>
    </row>
    <row r="7" customFormat="false" ht="15" hidden="false" customHeight="false" outlineLevel="0" collapsed="false">
      <c r="A7" s="18" t="s">
        <v>148</v>
      </c>
      <c r="B7" s="21" t="n">
        <f aca="false">IF(Escenarios_manuales!C14=0,0,Produccion!B45/Escenarios_manuales!C14)</f>
        <v>0.1272723775</v>
      </c>
      <c r="C7" s="21" t="n">
        <f aca="false">IF(Escenarios_manuales!G14=0,0,Produccion!R45/Escenarios_manuales!G14)</f>
        <v>0.669309863195366</v>
      </c>
      <c r="D7" s="21" t="n">
        <f aca="false">IF(Escenarios_rodantes!G14=0,0,Produccion!S45/Escenarios_rodantes!G14)</f>
        <v>4.53270533225</v>
      </c>
      <c r="E7" s="21" t="n">
        <f aca="false">IF(Escenarios_cilindros!C14=0,0,Produccion!J45/Escenarios_cilindros!C14)</f>
        <v>0.312358974358974</v>
      </c>
      <c r="F7" s="21" t="n">
        <f aca="false">IF(Escenarios_cilindros!G14=0,0,Produccion!T45/Escenarios_cilindros!G14)</f>
        <v>0.482531453727324</v>
      </c>
      <c r="G7" s="21" t="n">
        <f aca="false">IF(Escenarios_cilindros!G40=0,0,Produccion!U45/Escenarios_cilindros!G40)</f>
        <v>0.216830357142857</v>
      </c>
      <c r="H7" s="24" t="n">
        <f aca="false">Produccion!B45/Pallet_cajas!C18+Produccion!C45/Pallet_cajas!D18+Produccion!D45/Pallet_cajas!E18+Produccion!E45/Pallet_cajas!F18+Produccion!J45/Pallet_cilindros!C14+Produccion!K45/Pallet_cilindros!D14+Produccion!L45/Pallet_cilindros!E14+Produccion!M45/Pallet_cilindros!F14+Produccion!N45/Pallet_cilindros!G14+Produccion!O45/Pallet_cilindros!H14+Produccion!P45/Pallet_cilindros!I14+Produccion!Q45/Pallet_cilindros!J14</f>
        <v>25.3162423629433</v>
      </c>
      <c r="I7" s="19" t="n">
        <f aca="false">Produccion!B45/Pallet_cajas!C18*Pallet_cajas!C19+Produccion!C45/Pallet_cajas!D18*Pallet_cajas!D19+Produccion!D45/Pallet_cajas!E18*Pallet_cajas!E19+Produccion!E45/Pallet_cajas!F18*Pallet_cajas!F19+Produccion!J45/Pallet_cilindros!C14*Pallet_cilindros!C16+Produccion!K45/Pallet_cilindros!D14*Pallet_cilindros!D16+Produccion!L45/Pallet_cilindros!E14*Pallet_cilindros!E16+Produccion!M45/Pallet_cilindros!F14*Pallet_cilindros!F16+Produccion!N45/Pallet_cilindros!G14*Pallet_cilindros!G16+Produccion!O45/Pallet_cilindros!H14*Pallet_cilindros!H16+Produccion!P45/Pallet_cilindros!I14*Pallet_cilindros!I16+Produccion!Q45/Pallet_cilindros!J14*Pallet_cilindros!J16</f>
        <v>15246.2401496687</v>
      </c>
      <c r="J7" s="25" t="n">
        <f aca="false">MAX(H7/Camion!$C$19,I7/Camion!$C$20)</f>
        <v>1.80830302592452</v>
      </c>
    </row>
    <row r="8" customFormat="false" ht="15" hidden="false" customHeight="false" outlineLevel="0" collapsed="false">
      <c r="A8" s="18" t="s">
        <v>149</v>
      </c>
      <c r="B8" s="21" t="n">
        <f aca="false">IF(Escenarios_manuales!C14=0,0,Produccion!B46/Escenarios_manuales!C14)</f>
        <v>0.11931785390625</v>
      </c>
      <c r="C8" s="21" t="n">
        <f aca="false">IF(Escenarios_manuales!G14=0,0,Produccion!R46/Escenarios_manuales!G14)</f>
        <v>0.669309863195366</v>
      </c>
      <c r="D8" s="21" t="n">
        <f aca="false">IF(Escenarios_rodantes!G14=0,0,Produccion!S46/Escenarios_rodantes!G14)</f>
        <v>4.53270533225</v>
      </c>
      <c r="E8" s="21" t="n">
        <f aca="false">IF(Escenarios_cilindros!C14=0,0,Produccion!J46/Escenarios_cilindros!C14)</f>
        <v>0.292836538461538</v>
      </c>
      <c r="F8" s="21" t="n">
        <f aca="false">IF(Escenarios_cilindros!G14=0,0,Produccion!T46/Escenarios_cilindros!G14)</f>
        <v>0.482531453727324</v>
      </c>
      <c r="G8" s="21" t="n">
        <f aca="false">IF(Escenarios_cilindros!G40=0,0,Produccion!U46/Escenarios_cilindros!G40)</f>
        <v>0.216830357142857</v>
      </c>
      <c r="H8" s="24" t="n">
        <f aca="false">Produccion!B46/Pallet_cajas!C18+Produccion!C46/Pallet_cajas!D18+Produccion!D46/Pallet_cajas!E18+Produccion!E46/Pallet_cajas!F18+Produccion!J46/Pallet_cilindros!C14+Produccion!K46/Pallet_cilindros!D14+Produccion!L46/Pallet_cilindros!E14+Produccion!M46/Pallet_cilindros!F14+Produccion!N46/Pallet_cilindros!G14+Produccion!O46/Pallet_cilindros!H14+Produccion!P46/Pallet_cilindros!I14+Produccion!Q46/Pallet_cilindros!J14</f>
        <v>24.9315649300667</v>
      </c>
      <c r="I8" s="19" t="n">
        <f aca="false">Produccion!B46/Pallet_cajas!C18*Pallet_cajas!C19+Produccion!C46/Pallet_cajas!D18*Pallet_cajas!D19+Produccion!D46/Pallet_cajas!E18*Pallet_cajas!E19+Produccion!E46/Pallet_cajas!F18*Pallet_cajas!F19+Produccion!J46/Pallet_cilindros!C14*Pallet_cilindros!C16+Produccion!K46/Pallet_cilindros!D14*Pallet_cilindros!D16+Produccion!L46/Pallet_cilindros!E14*Pallet_cilindros!E16+Produccion!M46/Pallet_cilindros!F14*Pallet_cilindros!F16+Produccion!N46/Pallet_cilindros!G14*Pallet_cilindros!G16+Produccion!O46/Pallet_cilindros!H14*Pallet_cilindros!H16+Produccion!P46/Pallet_cilindros!I14*Pallet_cilindros!I16+Produccion!Q46/Pallet_cilindros!J14*Pallet_cilindros!J16</f>
        <v>14984.2084055357</v>
      </c>
      <c r="J8" s="25" t="n">
        <f aca="false">MAX(H8/Camion!$C$19,I8/Camion!$C$20)</f>
        <v>1.78082606643334</v>
      </c>
    </row>
    <row r="9" customFormat="false" ht="15" hidden="false" customHeight="false" outlineLevel="0" collapsed="false">
      <c r="A9" s="18" t="s">
        <v>150</v>
      </c>
      <c r="B9" s="21" t="n">
        <f aca="false">IF(Escenarios_manuales!C14=0,0,Produccion!B47/Escenarios_manuales!C14)</f>
        <v>0.1113633303125</v>
      </c>
      <c r="C9" s="21" t="n">
        <f aca="false">IF(Escenarios_manuales!G14=0,0,Produccion!R47/Escenarios_manuales!G14)</f>
        <v>0.629938694772109</v>
      </c>
      <c r="D9" s="21" t="n">
        <f aca="false">IF(Escenarios_rodantes!G14=0,0,Produccion!S47/Escenarios_rodantes!G14)</f>
        <v>4.53270533225</v>
      </c>
      <c r="E9" s="21" t="n">
        <f aca="false">IF(Escenarios_cilindros!C14=0,0,Produccion!J47/Escenarios_cilindros!C14)</f>
        <v>0.273314102564103</v>
      </c>
      <c r="F9" s="21" t="n">
        <f aca="false">IF(Escenarios_cilindros!G14=0,0,Produccion!T47/Escenarios_cilindros!G14)</f>
        <v>0.454147250566894</v>
      </c>
      <c r="G9" s="21" t="n">
        <f aca="false">IF(Escenarios_cilindros!G40=0,0,Produccion!U47/Escenarios_cilindros!G40)</f>
        <v>0.216830357142857</v>
      </c>
      <c r="H9" s="24" t="n">
        <f aca="false">Produccion!B47/Pallet_cajas!C18+Produccion!C47/Pallet_cajas!D18+Produccion!D47/Pallet_cajas!E18+Produccion!E47/Pallet_cajas!F18+Produccion!J47/Pallet_cilindros!C14+Produccion!K47/Pallet_cilindros!D14+Produccion!L47/Pallet_cilindros!E14+Produccion!M47/Pallet_cilindros!F14+Produccion!N47/Pallet_cilindros!G14+Produccion!O47/Pallet_cilindros!H14+Produccion!P47/Pallet_cilindros!I14+Produccion!Q47/Pallet_cilindros!J14</f>
        <v>23.5983122950185</v>
      </c>
      <c r="I9" s="19" t="n">
        <f aca="false">Produccion!B47/Pallet_cajas!C18*Pallet_cajas!C19+Produccion!C47/Pallet_cajas!D18*Pallet_cajas!D19+Produccion!D47/Pallet_cajas!E18*Pallet_cajas!E19+Produccion!E47/Pallet_cajas!F18*Pallet_cajas!F19+Produccion!J47/Pallet_cilindros!C14*Pallet_cilindros!C16+Produccion!K47/Pallet_cilindros!D14*Pallet_cilindros!D16+Produccion!L47/Pallet_cilindros!E14*Pallet_cilindros!E16+Produccion!M47/Pallet_cilindros!F14*Pallet_cilindros!F16+Produccion!N47/Pallet_cilindros!G14*Pallet_cilindros!G16+Produccion!O47/Pallet_cilindros!H14*Pallet_cilindros!H16+Produccion!P47/Pallet_cilindros!I14*Pallet_cilindros!I16+Produccion!Q47/Pallet_cilindros!J14*Pallet_cilindros!J16</f>
        <v>14124.3378733306</v>
      </c>
      <c r="J9" s="25" t="n">
        <f aca="false">MAX(H9/Camion!$C$19,I9/Camion!$C$20)</f>
        <v>1.68559373535846</v>
      </c>
    </row>
    <row r="10" customFormat="false" ht="15" hidden="false" customHeight="false" outlineLevel="0" collapsed="false">
      <c r="A10" s="18" t="s">
        <v>151</v>
      </c>
      <c r="B10" s="21" t="n">
        <f aca="false">IF(Escenarios_manuales!C14=0,0,Produccion!B48/Escenarios_manuales!C14)</f>
        <v>0.1113633303125</v>
      </c>
      <c r="C10" s="21" t="n">
        <f aca="false">IF(Escenarios_manuales!G14=0,0,Produccion!R48/Escenarios_manuales!G14)</f>
        <v>0.590567526348852</v>
      </c>
      <c r="D10" s="21" t="n">
        <f aca="false">IF(Escenarios_rodantes!G14=0,0,Produccion!S48/Escenarios_rodantes!G14)</f>
        <v>4.02907140644444</v>
      </c>
      <c r="E10" s="21" t="n">
        <f aca="false">IF(Escenarios_cilindros!C14=0,0,Produccion!J48/Escenarios_cilindros!C14)</f>
        <v>0.273314102564103</v>
      </c>
      <c r="F10" s="21" t="n">
        <f aca="false">IF(Escenarios_cilindros!G14=0,0,Produccion!T48/Escenarios_cilindros!G14)</f>
        <v>0.425763047406463</v>
      </c>
      <c r="G10" s="21" t="n">
        <f aca="false">IF(Escenarios_cilindros!G40=0,0,Produccion!U48/Escenarios_cilindros!G40)</f>
        <v>0.192738095238095</v>
      </c>
      <c r="H10" s="24" t="n">
        <f aca="false">Produccion!B48/Pallet_cajas!C18+Produccion!C48/Pallet_cajas!D18+Produccion!D48/Pallet_cajas!E18+Produccion!E48/Pallet_cajas!F18+Produccion!J48/Pallet_cilindros!C14+Produccion!K48/Pallet_cilindros!D14+Produccion!L48/Pallet_cilindros!E14+Produccion!M48/Pallet_cilindros!F14+Produccion!N48/Pallet_cilindros!G14+Produccion!O48/Pallet_cilindros!H14+Produccion!P48/Pallet_cilindros!I14+Produccion!Q48/Pallet_cilindros!J14</f>
        <v>22.3124454261802</v>
      </c>
      <c r="I10" s="19" t="n">
        <f aca="false">Produccion!B48/Pallet_cajas!C18*Pallet_cajas!C19+Produccion!C48/Pallet_cajas!D18*Pallet_cajas!D19+Produccion!D48/Pallet_cajas!E18*Pallet_cajas!E19+Produccion!E48/Pallet_cajas!F18*Pallet_cajas!F19+Produccion!J48/Pallet_cilindros!C14*Pallet_cilindros!C16+Produccion!K48/Pallet_cilindros!D14*Pallet_cilindros!D16+Produccion!L48/Pallet_cilindros!E14*Pallet_cilindros!E16+Produccion!M48/Pallet_cilindros!F14*Pallet_cilindros!F16+Produccion!N48/Pallet_cilindros!G14*Pallet_cilindros!G16+Produccion!O48/Pallet_cilindros!H14*Pallet_cilindros!H16+Produccion!P48/Pallet_cilindros!I14*Pallet_cilindros!I16+Produccion!Q48/Pallet_cilindros!J14*Pallet_cilindros!J16</f>
        <v>13427.5576578901</v>
      </c>
      <c r="J10" s="25" t="n">
        <f aca="false">MAX(H10/Camion!$C$19,I10/Camion!$C$20)</f>
        <v>1.59374610187001</v>
      </c>
    </row>
    <row r="11" customFormat="false" ht="15" hidden="false" customHeight="false" outlineLevel="0" collapsed="false">
      <c r="A11" s="18" t="s">
        <v>152</v>
      </c>
      <c r="B11" s="21" t="n">
        <f aca="false">IF(Escenarios_manuales!C14=0,0,Produccion!B49/Escenarios_manuales!C14)</f>
        <v>0.11931785390625</v>
      </c>
      <c r="C11" s="21" t="n">
        <f aca="false">IF(Escenarios_manuales!G14=0,0,Produccion!R49/Escenarios_manuales!G14)</f>
        <v>0.629938694772109</v>
      </c>
      <c r="D11" s="21" t="n">
        <f aca="false">IF(Escenarios_rodantes!G14=0,0,Produccion!S49/Escenarios_rodantes!G14)</f>
        <v>4.53270533225</v>
      </c>
      <c r="E11" s="21" t="n">
        <f aca="false">IF(Escenarios_cilindros!C14=0,0,Produccion!J49/Escenarios_cilindros!C14)</f>
        <v>0.292836538461538</v>
      </c>
      <c r="F11" s="21" t="n">
        <f aca="false">IF(Escenarios_cilindros!G14=0,0,Produccion!T49/Escenarios_cilindros!G14)</f>
        <v>0.454147250566894</v>
      </c>
      <c r="G11" s="21" t="n">
        <f aca="false">IF(Escenarios_cilindros!G40=0,0,Produccion!U49/Escenarios_cilindros!G40)</f>
        <v>0.216830357142857</v>
      </c>
      <c r="H11" s="24" t="n">
        <f aca="false">Produccion!B49/Pallet_cajas!C18+Produccion!C49/Pallet_cajas!D18+Produccion!D49/Pallet_cajas!E18+Produccion!E49/Pallet_cajas!F18+Produccion!J49/Pallet_cilindros!C14+Produccion!K49/Pallet_cilindros!D14+Produccion!L49/Pallet_cilindros!E14+Produccion!M49/Pallet_cilindros!F14+Produccion!N49/Pallet_cilindros!G14+Produccion!O49/Pallet_cilindros!H14+Produccion!P49/Pallet_cilindros!I14+Produccion!Q49/Pallet_cilindros!J14</f>
        <v>23.9829897278951</v>
      </c>
      <c r="I11" s="19" t="n">
        <f aca="false">Produccion!B49/Pallet_cajas!C18*Pallet_cajas!C19+Produccion!C49/Pallet_cajas!D18*Pallet_cajas!D19+Produccion!D49/Pallet_cajas!E18*Pallet_cajas!E19+Produccion!E49/Pallet_cajas!F18*Pallet_cajas!F19+Produccion!J49/Pallet_cilindros!C14*Pallet_cilindros!C16+Produccion!K49/Pallet_cilindros!D14*Pallet_cilindros!D16+Produccion!L49/Pallet_cilindros!E14*Pallet_cilindros!E16+Produccion!M49/Pallet_cilindros!F14*Pallet_cilindros!F16+Produccion!N49/Pallet_cilindros!G14*Pallet_cilindros!G16+Produccion!O49/Pallet_cilindros!H14*Pallet_cilindros!H16+Produccion!P49/Pallet_cilindros!I14*Pallet_cilindros!I16+Produccion!Q49/Pallet_cilindros!J14*Pallet_cilindros!J16</f>
        <v>14386.3696174635</v>
      </c>
      <c r="J11" s="25" t="n">
        <f aca="false">MAX(H11/Camion!$C$19,I11/Camion!$C$20)</f>
        <v>1.71307069484965</v>
      </c>
    </row>
    <row r="12" customFormat="false" ht="15" hidden="false" customHeight="false" outlineLevel="0" collapsed="false">
      <c r="A12" s="18" t="s">
        <v>153</v>
      </c>
      <c r="B12" s="21" t="n">
        <f aca="false">IF(Escenarios_manuales!C14=0,0,Produccion!B50/Escenarios_manuales!C14)</f>
        <v>0.11931785390625</v>
      </c>
      <c r="C12" s="21" t="n">
        <f aca="false">IF(Escenarios_manuales!G14=0,0,Produccion!R50/Escenarios_manuales!G14)</f>
        <v>0.629938694772109</v>
      </c>
      <c r="D12" s="21" t="n">
        <f aca="false">IF(Escenarios_rodantes!G14=0,0,Produccion!S50/Escenarios_rodantes!G14)</f>
        <v>4.53270533225</v>
      </c>
      <c r="E12" s="21" t="n">
        <f aca="false">IF(Escenarios_cilindros!C14=0,0,Produccion!J50/Escenarios_cilindros!C14)</f>
        <v>0.292836538461538</v>
      </c>
      <c r="F12" s="21" t="n">
        <f aca="false">IF(Escenarios_cilindros!G14=0,0,Produccion!T50/Escenarios_cilindros!G14)</f>
        <v>0.454147250566894</v>
      </c>
      <c r="G12" s="21" t="n">
        <f aca="false">IF(Escenarios_cilindros!G40=0,0,Produccion!U50/Escenarios_cilindros!G40)</f>
        <v>0.216830357142857</v>
      </c>
      <c r="H12" s="24" t="n">
        <f aca="false">Produccion!B50/Pallet_cajas!C18+Produccion!C50/Pallet_cajas!D18+Produccion!D50/Pallet_cajas!E18+Produccion!E50/Pallet_cajas!F18+Produccion!J50/Pallet_cilindros!C14+Produccion!K50/Pallet_cilindros!D14+Produccion!L50/Pallet_cilindros!E14+Produccion!M50/Pallet_cilindros!F14+Produccion!N50/Pallet_cilindros!G14+Produccion!O50/Pallet_cilindros!H14+Produccion!P50/Pallet_cilindros!I14+Produccion!Q50/Pallet_cilindros!J14</f>
        <v>23.9829897278951</v>
      </c>
      <c r="I12" s="19" t="n">
        <f aca="false">Produccion!B50/Pallet_cajas!C18*Pallet_cajas!C19+Produccion!C50/Pallet_cajas!D18*Pallet_cajas!D19+Produccion!D50/Pallet_cajas!E18*Pallet_cajas!E19+Produccion!E50/Pallet_cajas!F18*Pallet_cajas!F19+Produccion!J50/Pallet_cilindros!C14*Pallet_cilindros!C16+Produccion!K50/Pallet_cilindros!D14*Pallet_cilindros!D16+Produccion!L50/Pallet_cilindros!E14*Pallet_cilindros!E16+Produccion!M50/Pallet_cilindros!F14*Pallet_cilindros!F16+Produccion!N50/Pallet_cilindros!G14*Pallet_cilindros!G16+Produccion!O50/Pallet_cilindros!H14*Pallet_cilindros!H16+Produccion!P50/Pallet_cilindros!I14*Pallet_cilindros!I16+Produccion!Q50/Pallet_cilindros!J14*Pallet_cilindros!J16</f>
        <v>14386.3696174635</v>
      </c>
      <c r="J12" s="25" t="n">
        <f aca="false">MAX(H12/Camion!$C$19,I12/Camion!$C$20)</f>
        <v>1.71307069484965</v>
      </c>
    </row>
    <row r="13" customFormat="false" ht="15" hidden="false" customHeight="false" outlineLevel="0" collapsed="false">
      <c r="A13" s="18" t="s">
        <v>154</v>
      </c>
      <c r="B13" s="21" t="n">
        <f aca="false">IF(Escenarios_manuales!C14=0,0,Produccion!B51/Escenarios_manuales!C14)</f>
        <v>0.11931785390625</v>
      </c>
      <c r="C13" s="21" t="n">
        <f aca="false">IF(Escenarios_manuales!G14=0,0,Produccion!R51/Escenarios_manuales!G14)</f>
        <v>0.629938694772109</v>
      </c>
      <c r="D13" s="21" t="n">
        <f aca="false">IF(Escenarios_rodantes!G14=0,0,Produccion!S51/Escenarios_rodantes!G14)</f>
        <v>4.28088836934722</v>
      </c>
      <c r="E13" s="21" t="n">
        <f aca="false">IF(Escenarios_cilindros!C14=0,0,Produccion!J51/Escenarios_cilindros!C14)</f>
        <v>0.292836538461538</v>
      </c>
      <c r="F13" s="21" t="n">
        <f aca="false">IF(Escenarios_cilindros!G14=0,0,Produccion!T51/Escenarios_cilindros!G14)</f>
        <v>0.454147250566894</v>
      </c>
      <c r="G13" s="21" t="n">
        <f aca="false">IF(Escenarios_cilindros!G40=0,0,Produccion!U51/Escenarios_cilindros!G40)</f>
        <v>0.204784226190476</v>
      </c>
      <c r="H13" s="24" t="n">
        <f aca="false">Produccion!B51/Pallet_cajas!C18+Produccion!C51/Pallet_cajas!D18+Produccion!D51/Pallet_cajas!E18+Produccion!E51/Pallet_cajas!F18+Produccion!J51/Pallet_cilindros!C14+Produccion!K51/Pallet_cilindros!D14+Produccion!L51/Pallet_cilindros!E14+Produccion!M51/Pallet_cilindros!F14+Produccion!N51/Pallet_cilindros!G14+Produccion!O51/Pallet_cilindros!H14+Produccion!P51/Pallet_cilindros!I14+Produccion!Q51/Pallet_cilindros!J14</f>
        <v>23.8143438945617</v>
      </c>
      <c r="I13" s="19" t="n">
        <f aca="false">Produccion!B51/Pallet_cajas!C18*Pallet_cajas!C19+Produccion!C51/Pallet_cajas!D18*Pallet_cajas!D19+Produccion!D51/Pallet_cajas!E18*Pallet_cajas!E19+Produccion!E51/Pallet_cajas!F18*Pallet_cajas!F19+Produccion!J51/Pallet_cilindros!C14*Pallet_cilindros!C16+Produccion!K51/Pallet_cilindros!D14*Pallet_cilindros!D16+Produccion!L51/Pallet_cilindros!E14*Pallet_cilindros!E16+Produccion!M51/Pallet_cilindros!F14*Pallet_cilindros!F16+Produccion!N51/Pallet_cilindros!G14*Pallet_cilindros!G16+Produccion!O51/Pallet_cilindros!H14*Pallet_cilindros!H16+Produccion!P51/Pallet_cilindros!I14*Pallet_cilindros!I16+Produccion!Q51/Pallet_cilindros!J14*Pallet_cilindros!J16</f>
        <v>14336.8989037794</v>
      </c>
      <c r="J13" s="25" t="n">
        <f aca="false">MAX(H13/Camion!$C$19,I13/Camion!$C$20)</f>
        <v>1.70102456389727</v>
      </c>
    </row>
    <row r="14" customFormat="false" ht="15" hidden="false" customHeight="false" outlineLevel="0" collapsed="false">
      <c r="A14" s="18" t="s">
        <v>155</v>
      </c>
      <c r="B14" s="21" t="n">
        <f aca="false">IF(Escenarios_manuales!C14=0,0,Produccion!B52/Escenarios_manuales!C14)</f>
        <v>0.11931785390625</v>
      </c>
      <c r="C14" s="21" t="n">
        <f aca="false">IF(Escenarios_manuales!G14=0,0,Produccion!R52/Escenarios_manuales!G14)</f>
        <v>0.590567526348852</v>
      </c>
      <c r="D14" s="21" t="n">
        <f aca="false">IF(Escenarios_rodantes!G14=0,0,Produccion!S52/Escenarios_rodantes!G14)</f>
        <v>3.77725444354167</v>
      </c>
      <c r="E14" s="21" t="n">
        <f aca="false">IF(Escenarios_cilindros!C14=0,0,Produccion!J52/Escenarios_cilindros!C14)</f>
        <v>0.292836538461538</v>
      </c>
      <c r="F14" s="21" t="n">
        <f aca="false">IF(Escenarios_cilindros!G14=0,0,Produccion!T52/Escenarios_cilindros!G14)</f>
        <v>0.425763047406463</v>
      </c>
      <c r="G14" s="21" t="n">
        <f aca="false">IF(Escenarios_cilindros!G40=0,0,Produccion!U52/Escenarios_cilindros!G40)</f>
        <v>0.180691964285714</v>
      </c>
      <c r="H14" s="24" t="n">
        <f aca="false">Produccion!B52/Pallet_cajas!C18+Produccion!C52/Pallet_cajas!D18+Produccion!D52/Pallet_cajas!E18+Produccion!E52/Pallet_cajas!F18+Produccion!J52/Pallet_cilindros!C14+Produccion!K52/Pallet_cilindros!D14+Produccion!L52/Pallet_cilindros!E14+Produccion!M52/Pallet_cilindros!F14+Produccion!N52/Pallet_cilindros!G14+Produccion!O52/Pallet_cilindros!H14+Produccion!P52/Pallet_cilindros!I14+Produccion!Q52/Pallet_cilindros!J14</f>
        <v>22.5284770257234</v>
      </c>
      <c r="I14" s="19" t="n">
        <f aca="false">Produccion!B52/Pallet_cajas!C18*Pallet_cajas!C19+Produccion!C52/Pallet_cajas!D18*Pallet_cajas!D19+Produccion!D52/Pallet_cajas!E18*Pallet_cajas!E19+Produccion!E52/Pallet_cajas!F18*Pallet_cajas!F19+Produccion!J52/Pallet_cilindros!C14*Pallet_cilindros!C16+Produccion!K52/Pallet_cilindros!D14*Pallet_cilindros!D16+Produccion!L52/Pallet_cilindros!E14*Pallet_cilindros!E16+Produccion!M52/Pallet_cilindros!F14*Pallet_cilindros!F16+Produccion!N52/Pallet_cilindros!G14*Pallet_cilindros!G16+Produccion!O52/Pallet_cilindros!H14*Pallet_cilindros!H16+Produccion!P52/Pallet_cilindros!I14*Pallet_cilindros!I16+Produccion!Q52/Pallet_cilindros!J14*Pallet_cilindros!J16</f>
        <v>13640.1186883389</v>
      </c>
      <c r="J14" s="25" t="n">
        <f aca="false">MAX(H14/Camion!$C$19,I14/Camion!$C$20)</f>
        <v>1.60917693040882</v>
      </c>
    </row>
    <row r="15" customFormat="false" ht="15" hidden="false" customHeight="false" outlineLevel="0" collapsed="false">
      <c r="A15" s="18" t="s">
        <v>156</v>
      </c>
      <c r="B15" s="21" t="n">
        <f aca="false">IF(Escenarios_manuales!C14=0,0,Produccion!B53/Escenarios_manuales!C14)</f>
        <v>0.11931785390625</v>
      </c>
      <c r="C15" s="21" t="n">
        <f aca="false">IF(Escenarios_manuales!G14=0,0,Produccion!R53/Escenarios_manuales!G14)</f>
        <v>0.551196357925595</v>
      </c>
      <c r="D15" s="21" t="n">
        <f aca="false">IF(Escenarios_rodantes!G14=0,0,Produccion!S53/Escenarios_rodantes!G14)</f>
        <v>3.52543748063889</v>
      </c>
      <c r="E15" s="21" t="n">
        <f aca="false">IF(Escenarios_cilindros!C14=0,0,Produccion!J53/Escenarios_cilindros!C14)</f>
        <v>0.292836538461538</v>
      </c>
      <c r="F15" s="21" t="n">
        <f aca="false">IF(Escenarios_cilindros!G14=0,0,Produccion!T53/Escenarios_cilindros!G14)</f>
        <v>0.397378844246032</v>
      </c>
      <c r="G15" s="21" t="n">
        <f aca="false">IF(Escenarios_cilindros!G40=0,0,Produccion!U53/Escenarios_cilindros!G40)</f>
        <v>0.168645833333333</v>
      </c>
      <c r="H15" s="24" t="n">
        <f aca="false">Produccion!B53/Pallet_cajas!C18+Produccion!C53/Pallet_cajas!D18+Produccion!D53/Pallet_cajas!E18+Produccion!E53/Pallet_cajas!F18+Produccion!J53/Pallet_cilindros!C14+Produccion!K53/Pallet_cilindros!D14+Produccion!L53/Pallet_cilindros!E14+Produccion!M53/Pallet_cilindros!F14+Produccion!N53/Pallet_cilindros!G14+Produccion!O53/Pallet_cilindros!H14+Produccion!P53/Pallet_cilindros!I14+Produccion!Q53/Pallet_cilindros!J14</f>
        <v>21.4112559902185</v>
      </c>
      <c r="I15" s="19" t="n">
        <f aca="false">Produccion!B53/Pallet_cajas!C18*Pallet_cajas!C19+Produccion!C53/Pallet_cajas!D18*Pallet_cajas!D19+Produccion!D53/Pallet_cajas!E18*Pallet_cajas!E19+Produccion!E53/Pallet_cajas!F18*Pallet_cajas!F19+Produccion!J53/Pallet_cilindros!C14*Pallet_cilindros!C16+Produccion!K53/Pallet_cilindros!D14*Pallet_cilindros!D16+Produccion!L53/Pallet_cilindros!E14*Pallet_cilindros!E16+Produccion!M53/Pallet_cilindros!F14*Pallet_cilindros!F16+Produccion!N53/Pallet_cilindros!G14*Pallet_cilindros!G16+Produccion!O53/Pallet_cilindros!H14*Pallet_cilindros!H16+Produccion!P53/Pallet_cilindros!I14*Pallet_cilindros!I16+Produccion!Q53/Pallet_cilindros!J14*Pallet_cilindros!J16</f>
        <v>12992.8091865826</v>
      </c>
      <c r="J15" s="25" t="n">
        <f aca="false">MAX(H15/Camion!$C$19,I15/Camion!$C$20)</f>
        <v>1.52937542787275</v>
      </c>
    </row>
    <row r="16" customFormat="false" ht="15" hidden="false" customHeight="false" outlineLevel="0" collapsed="false">
      <c r="A16" s="18" t="s">
        <v>157</v>
      </c>
      <c r="B16" s="21" t="n">
        <f aca="false">IF(Escenarios_manuales!C14=0,0,Produccion!B54/Escenarios_manuales!C14)</f>
        <v>0.19090856625</v>
      </c>
      <c r="C16" s="21" t="n">
        <f aca="false">IF(Escenarios_manuales!G14=0,0,Produccion!R54/Escenarios_manuales!G14)</f>
        <v>0.86616570531165</v>
      </c>
      <c r="D16" s="21" t="n">
        <f aca="false">IF(Escenarios_rodantes!G14=0,0,Produccion!S54/Escenarios_rodantes!G14)</f>
        <v>4.02907140644444</v>
      </c>
      <c r="E16" s="21" t="n">
        <f aca="false">IF(Escenarios_cilindros!C14=0,0,Produccion!J54/Escenarios_cilindros!C14)</f>
        <v>0.468538461538462</v>
      </c>
      <c r="F16" s="21" t="n">
        <f aca="false">IF(Escenarios_cilindros!G14=0,0,Produccion!T54/Escenarios_cilindros!G14)</f>
        <v>0.624452469529478</v>
      </c>
      <c r="G16" s="21" t="n">
        <f aca="false">IF(Escenarios_cilindros!G40=0,0,Produccion!U54/Escenarios_cilindros!G40)</f>
        <v>0.192738095238095</v>
      </c>
      <c r="H16" s="24" t="n">
        <f aca="false">Produccion!B54/Pallet_cajas!C18+Produccion!C54/Pallet_cajas!D18+Produccion!D54/Pallet_cajas!E18+Produccion!E54/Pallet_cajas!F18+Produccion!J54/Pallet_cilindros!C14+Produccion!K54/Pallet_cilindros!D14+Produccion!L54/Pallet_cilindros!E14+Produccion!M54/Pallet_cilindros!F14+Produccion!N54/Pallet_cilindros!G14+Produccion!O54/Pallet_cilindros!H14+Produccion!P54/Pallet_cilindros!I14+Produccion!Q54/Pallet_cilindros!J14</f>
        <v>32.7992461701476</v>
      </c>
      <c r="I16" s="19" t="n">
        <f aca="false">Produccion!B54/Pallet_cajas!C18*Pallet_cajas!C19+Produccion!C54/Pallet_cajas!D18*Pallet_cajas!D19+Produccion!D54/Pallet_cajas!E18*Pallet_cajas!E19+Produccion!E54/Pallet_cajas!F18*Pallet_cajas!F19+Produccion!J54/Pallet_cilindros!C14*Pallet_cilindros!C16+Produccion!K54/Pallet_cilindros!D14*Pallet_cilindros!D16+Produccion!L54/Pallet_cilindros!E14*Pallet_cilindros!E16+Produccion!M54/Pallet_cilindros!F14*Pallet_cilindros!F16+Produccion!N54/Pallet_cilindros!G14*Pallet_cilindros!G16+Produccion!O54/Pallet_cilindros!H14*Pallet_cilindros!H16+Produccion!P54/Pallet_cilindros!I14*Pallet_cilindros!I16+Produccion!Q54/Pallet_cilindros!J14*Pallet_cilindros!J16</f>
        <v>20232.7466157248</v>
      </c>
      <c r="J16" s="25" t="n">
        <f aca="false">MAX(H16/Camion!$C$19,I16/Camion!$C$20)</f>
        <v>2.34280329786769</v>
      </c>
    </row>
    <row r="17" customFormat="false" ht="15" hidden="false" customHeight="false" outlineLevel="0" collapsed="false">
      <c r="A17" s="4" t="s">
        <v>348</v>
      </c>
      <c r="B17" s="25" t="n">
        <f aca="false">MAX(B5:B16)</f>
        <v>0.19090856625</v>
      </c>
      <c r="C17" s="25" t="n">
        <f aca="false">MAX(C5:C16)</f>
        <v>0.86616570531165</v>
      </c>
      <c r="D17" s="25" t="n">
        <f aca="false">MAX(D5:D16)</f>
        <v>4.53270533225</v>
      </c>
      <c r="E17" s="25" t="n">
        <f aca="false">MAX(E5:E16)</f>
        <v>0.468538461538462</v>
      </c>
      <c r="F17" s="25" t="n">
        <f aca="false">MAX(F5:F16)</f>
        <v>0.624452469529478</v>
      </c>
      <c r="G17" s="25" t="n">
        <f aca="false">MAX(G5:G16)</f>
        <v>0.216830357142857</v>
      </c>
      <c r="H17" s="25" t="n">
        <f aca="false">MAX(H5:H16)</f>
        <v>32.7992461701476</v>
      </c>
      <c r="I17" s="25" t="n">
        <f aca="false">MAX(I5:I16)</f>
        <v>20232.7466157248</v>
      </c>
      <c r="J17" s="25" t="n">
        <f aca="false">MAX(J5:J16)</f>
        <v>2.34280329786769</v>
      </c>
    </row>
    <row r="18" customFormat="false" ht="15" hidden="false" customHeight="false" outlineLevel="0" collapsed="false">
      <c r="A18" s="4" t="s">
        <v>349</v>
      </c>
      <c r="B18" s="27" t="n">
        <f aca="false">AVERAGE(B5:B16)</f>
        <v>0.132575393229167</v>
      </c>
      <c r="C18" s="27" t="n">
        <f aca="false">AVERAGE(C5:C16)</f>
        <v>0.656186140387613</v>
      </c>
      <c r="D18" s="27" t="n">
        <f aca="false">AVERAGE(D5:D16)</f>
        <v>4.19694938171296</v>
      </c>
      <c r="E18" s="27" t="n">
        <f aca="false">AVERAGE(E5:E16)</f>
        <v>0.325373931623932</v>
      </c>
      <c r="F18" s="27" t="n">
        <f aca="false">AVERAGE(F5:F16)</f>
        <v>0.473070052673847</v>
      </c>
      <c r="G18" s="27" t="n">
        <f aca="false">AVERAGE(G5:G16)</f>
        <v>0.200768849206349</v>
      </c>
      <c r="H18" s="27" t="n">
        <f aca="false">AVERAGE(H5:H16)</f>
        <v>25.0316411396927</v>
      </c>
      <c r="I18" s="27" t="n">
        <f aca="false">AVERAGE(I5:I16)</f>
        <v>15155.6874314877</v>
      </c>
      <c r="J18" s="27" t="n">
        <f aca="false">AVERAGE(J5:J16)</f>
        <v>1.78797436712091</v>
      </c>
    </row>
    <row r="20" customFormat="false" ht="30" hidden="false" customHeight="true" outlineLevel="0" collapsed="false">
      <c r="A20" s="4" t="s">
        <v>350</v>
      </c>
      <c r="B20" s="5" t="s">
        <v>351</v>
      </c>
      <c r="C20" s="5"/>
      <c r="D20" s="5"/>
      <c r="E20" s="5"/>
      <c r="F20" s="5"/>
      <c r="G20" s="5"/>
      <c r="H20" s="5"/>
      <c r="I20" s="5"/>
      <c r="J20" s="5"/>
    </row>
  </sheetData>
  <mergeCells count="1">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s>
  <sheetData>
    <row r="1" customFormat="false" ht="17.35" hidden="false" customHeight="false" outlineLevel="0" collapsed="false">
      <c r="A1" s="1" t="s">
        <v>352</v>
      </c>
    </row>
    <row r="2" customFormat="false" ht="15" hidden="false" customHeight="false" outlineLevel="0" collapsed="false">
      <c r="A2" s="2" t="s">
        <v>353</v>
      </c>
    </row>
    <row r="4" customFormat="false" ht="15" hidden="false" customHeight="false" outlineLevel="0" collapsed="false">
      <c r="B4" s="28" t="s">
        <v>274</v>
      </c>
    </row>
    <row r="36" customFormat="false" ht="15" hidden="false" customHeight="false" outlineLevel="0" collapsed="false">
      <c r="B36" s="28" t="s">
        <v>354</v>
      </c>
    </row>
    <row r="98" customFormat="false" ht="15" hidden="false" customHeight="false" outlineLevel="0" collapsed="false">
      <c r="B98" s="28" t="s">
        <v>355</v>
      </c>
    </row>
    <row r="115" customFormat="false" ht="15" hidden="false" customHeight="false" outlineLevel="0" collapsed="false">
      <c r="B115" s="28" t="s">
        <v>356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130"/>
  </cols>
  <sheetData>
    <row r="1" customFormat="false" ht="17.35" hidden="false" customHeight="false" outlineLevel="0" collapsed="false">
      <c r="A1" s="1" t="s">
        <v>357</v>
      </c>
    </row>
    <row r="3" customFormat="false" ht="15" hidden="false" customHeight="false" outlineLevel="0" collapsed="false">
      <c r="A3" s="3" t="s">
        <v>358</v>
      </c>
      <c r="B3" s="3" t="s">
        <v>79</v>
      </c>
    </row>
    <row r="4" customFormat="false" ht="31.5" hidden="false" customHeight="true" outlineLevel="0" collapsed="false">
      <c r="A4" s="4" t="s">
        <v>359</v>
      </c>
      <c r="B4" s="5" t="s">
        <v>360</v>
      </c>
    </row>
    <row r="5" customFormat="false" ht="31.5" hidden="false" customHeight="true" outlineLevel="0" collapsed="false">
      <c r="A5" s="4" t="s">
        <v>361</v>
      </c>
      <c r="B5" s="5" t="s">
        <v>362</v>
      </c>
    </row>
    <row r="6" customFormat="false" ht="31.5" hidden="false" customHeight="true" outlineLevel="0" collapsed="false">
      <c r="A6" s="4" t="s">
        <v>363</v>
      </c>
      <c r="B6" s="5" t="s">
        <v>364</v>
      </c>
    </row>
    <row r="7" customFormat="false" ht="31.5" hidden="false" customHeight="true" outlineLevel="0" collapsed="false">
      <c r="A7" s="4" t="s">
        <v>365</v>
      </c>
      <c r="B7" s="5" t="s">
        <v>366</v>
      </c>
    </row>
    <row r="8" customFormat="false" ht="31.5" hidden="false" customHeight="true" outlineLevel="0" collapsed="false">
      <c r="A8" s="4" t="s">
        <v>367</v>
      </c>
      <c r="B8" s="5" t="s">
        <v>368</v>
      </c>
    </row>
    <row r="9" customFormat="false" ht="31.5" hidden="false" customHeight="true" outlineLevel="0" collapsed="false">
      <c r="A9" s="4" t="s">
        <v>369</v>
      </c>
      <c r="B9" s="5" t="s">
        <v>370</v>
      </c>
    </row>
    <row r="10" customFormat="false" ht="31.5" hidden="false" customHeight="true" outlineLevel="0" collapsed="false">
      <c r="A10" s="4" t="s">
        <v>371</v>
      </c>
      <c r="B10" s="5" t="s">
        <v>372</v>
      </c>
    </row>
    <row r="11" customFormat="false" ht="31.5" hidden="false" customHeight="true" outlineLevel="0" collapsed="false">
      <c r="A11" s="4" t="s">
        <v>373</v>
      </c>
      <c r="B11" s="5" t="s">
        <v>374</v>
      </c>
    </row>
    <row r="12" customFormat="false" ht="31.5" hidden="false" customHeight="true" outlineLevel="0" collapsed="false">
      <c r="A12" s="4" t="s">
        <v>375</v>
      </c>
      <c r="B12" s="5" t="s">
        <v>376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2026-10-16T20:21:53Z</dcterms:created>
  <dc:creator>openpyxl</dc:creator>
  <dc:description/>
  <dc:language>en-US</dc:language>
  <cp:lastModifiedBy/>
  <dcterms:modified xsi:type="dcterms:W3CDTF">2026-10-16T20:21:59Z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