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Demanda" sheetId="2" state="visible" r:id="rId4"/>
    <sheet name="Pallet" sheetId="3" state="visible" r:id="rId5"/>
    <sheet name="Camion" sheetId="4" state="visible" r:id="rId6"/>
    <sheet name="Escenari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<sst xmlns="http://schemas.openxmlformats.org/spreadsheetml/2006/main" count="573" uniqueCount="184">
  <si>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</si>
  <si>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</si>
  <si>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</si>
  <si>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</si>
  <si>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</si>
  <si>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</si>
  <si>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</si>
  <si>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</si>
  <si>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</si>
  <si>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</si>
  <si>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</si>
  <si>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</si>
  <si>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</si>
  <si>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</si>
  <si>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</si>
  <si>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</si>
  <si>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</si>
  <si>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</si>
  <si>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</si>
  <si>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</si>
  <si>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</si>
  <si>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</si>
  <si>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</si>
  <si>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</si>
  <si>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</si>
  <si>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</si>
  <si>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</si>
  <si>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</si>
  <si>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</si>
  <si>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</si>
  <si>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</si>
  <si>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</si>
  <si>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</si>
  <si>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</si>
  <si>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</si>
  <si>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</si>
  <si>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</si>
  <si>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</si>
  <si>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</si>
  <si>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</si>
  <si>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</si>
  <si>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</si>
  <si>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</si>
  <si>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</si>
  <si>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</si>
  <si>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</si>
  <si>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</si>
  <si>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</si>
  <si>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</si>
  <si>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</si>
  <si>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</si>
  <si>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</si>
  <si>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</si>
  <si>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</si>
  <si>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</si>
  <si>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</si>
  <si>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</si>
  <si>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</si>
  <si>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</si>
  <si>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</si>
  <si>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</si>
  <si>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</si>
  <si>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</si>
  <si>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</si>
  <si>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</si>
  <si>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</si>
  <si>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</si>
  <si>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</si>
  <si>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</si>
  <si>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</si>
  <si>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</si>
  <si>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</si>
  <si>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</si>
  <si>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</si>
  <si>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</si>
  <si>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Demanda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</si>
  <si>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</si>
  <si>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</si>
  <si>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</si>
  <si>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</si>
  <si>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</si>
  <si>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</si>
  <si>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</si>
  <si>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</si>
  <si>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</si>
  <si>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</si>
  <si>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</si>
  <si>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</si>
  <si>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</si>
  <si>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</si>
  <si>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</si>
  <si>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</si>
  <si>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</si>
  <si>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</si>
  <si>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</si>
  <si>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</si>
  <si>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</si>
  <si>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</si>
  <si>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</si>
  <si>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</si>
  <si>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</si>
  <si>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</si>
  <si>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</si>
  <si>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</si>
  <si>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</si>
  <si>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</si>
  <si>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</si>
  <si>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</si>
  <si>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</si>
  <si>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</si>
  <si>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</si>
  <si>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</si>
  <si>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Demanda por semana del año elegido (u/semana = anual × % del mes ÷ semanas por mes)</t>
  </si>
  <si>
    <t xml:space="preserve">Mes</t>
  </si>
  <si>
    <t xml:space="preserve">Pallets mix term. 1 a 10</t>
  </si>
  <si>
    <t xml:space="preserve">Carros mix 25 a 100</t>
  </si>
  <si>
    <t xml:space="preserve">Pallets mix cil. 1 a 10</t>
  </si>
  <si>
    <t xml:space="preserve">Pallets 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</si>
  <si>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</si>
  <si>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</si>
  <si>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</si>
  <si>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</si>
  <si>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</si>
  <si>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</si>
  <si>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</si>
  <si>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</si>
  <si>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</si>
  <si>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</si>
  <si>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</si>
  <si>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</si>
  <si>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</si>
  <si>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</si>
  <si>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</si>
  <si>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</si>
  <si>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</si>
  <si>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</si>
  <si>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</si>
  <si>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</si>
  <si>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</si>
  <si>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</si>
  <si>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</si>
  <si>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</si>
  <si>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</si>
  <si>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</si>
  <si>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</si>
  <si>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</si>
  <si>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Matafuegos manuales en caja (sider)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</si>
  <si>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</si>
  <si>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</si>
  <si>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</si>
  <si>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</si>
  <si>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1 + 2,5 + 5 + 10</t>
  </si>
  <si>
    <t xml:space="preserve">Unidades por pallet</t>
  </si>
  <si>
    <t xml:space="preserve">por tipo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</si>
  <si>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</si>
  <si>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</si>
  <si>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</si>
  <si>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</si>
  <si>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</si>
  <si>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</si>
  <si>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</si>
  <si>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5. Mix: pallets de cada tipo en el camión</t>
  </si>
  <si>
    <t xml:space="preserve">Demanda del mes</t>
  </si>
  <si>
    <t xml:space="preserve">Pallets en el mes</t>
  </si>
  <si>
    <t xml:space="preserve">pallets</t>
  </si>
  <si>
    <t xml:space="preserve">Participación</t>
  </si>
  <si>
    <t xml:space="preserve">Pallets en el camión</t>
  </si>
  <si>
    <t xml:space="preserve">Unidades en el camión</t>
  </si>
  <si>
    <t xml:space="preserve">Peso en el camión</t>
  </si>
  <si>
    <t xml:space="preserve">Viajes en el mes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</si>
  <si>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</si>
  <si>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</si>
  <si>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</si>
  <si>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</si>
  <si>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</si>
  <si>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</si>
  <si>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5. Mix: carros de cada tipo en el furgón</t>
  </si>
  <si>
    <t xml:space="preserve">Carros por furgón (un solo tipo)</t>
  </si>
  <si>
    <t xml:space="preserve">carros</t>
  </si>
  <si>
    <t xml:space="preserve">Carros en el furgón</t>
  </si>
  <si>
    <t xml:space="preserve">Ocupación del piso</t>
  </si>
  <si>
    <t xml:space="preserve">Peso en el furgón</t>
  </si>
  <si>
    <t xml:space="preserve">Cilindros de manuales (sider)</t>
  </si>
  <si>
    <t xml:space="preserve">Cilindros de rodantes (sider)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</si>
</sst>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15" hidden="false" customHeight="false" outlineLevel="0" collapsed="false">
      <c r="A46" s="3" t="s">
        <v>65</v>
      </c>
      <c r="B46" s="4" t="s">
        <v>58</v>
      </c>
      <c r="C46" s="10" t="n">
        <v>3.857</v>
      </c>
      <c r="K46" s="3" t="s">
        <v>66</v>
      </c>
    </row>
    <row r="47" customFormat="false" ht="15" hidden="false" customHeight="false" outlineLevel="0" collapsed="false">
      <c r="A47" s="3" t="s">
        <v>67</v>
      </c>
      <c r="B47" s="4" t="s">
        <v>58</v>
      </c>
      <c r="C47" s="10" t="n">
        <v>1.765</v>
      </c>
      <c r="K47" s="3" t="s">
        <v>68</v>
      </c>
    </row>
    <row r="48" customFormat="false" ht="15" hidden="false" customHeight="false" outlineLevel="0" collapsed="false">
      <c r="A48" s="3" t="s">
        <v>69</v>
      </c>
      <c r="B48" s="4" t="s">
        <v>58</v>
      </c>
      <c r="C48" s="10" t="n">
        <v>1.38</v>
      </c>
      <c r="K48" s="3" t="s">
        <v>70</v>
      </c>
    </row>
    <row r="49" customFormat="false" ht="15" hidden="false" customHeight="false" outlineLevel="0" collapsed="false">
      <c r="A49" s="3" t="s">
        <v>71</v>
      </c>
      <c r="B49" s="4" t="s">
        <v>58</v>
      </c>
      <c r="C49" s="10" t="n">
        <v>1</v>
      </c>
      <c r="K49" s="3" t="s">
        <v>72</v>
      </c>
    </row>
    <row r="50" customFormat="false" ht="15" hidden="false" customHeight="false" outlineLevel="0" collapsed="false">
      <c r="A50" s="3" t="s">
        <v>73</v>
      </c>
      <c r="B50" s="4" t="s">
        <v>58</v>
      </c>
      <c r="C50" s="10" t="n">
        <v>0.6</v>
      </c>
      <c r="K50" s="3" t="s">
        <v>72</v>
      </c>
    </row>
    <row r="51" customFormat="false" ht="15" hidden="false" customHeight="false" outlineLevel="0" collapsed="false">
      <c r="A51" s="3" t="s">
        <v>62</v>
      </c>
      <c r="B51" s="4" t="s">
        <v>18</v>
      </c>
      <c r="C51" s="6" t="n">
        <v>1593</v>
      </c>
      <c r="K51" s="3" t="s">
        <v>74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93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94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95</v>
      </c>
    </row>
    <row r="17" customFormat="false" ht="15" hidden="false" customHeight="false" outlineLevel="0" collapsed="false">
      <c r="A17" s="2" t="s">
        <v>94</v>
      </c>
      <c r="B17" s="2" t="s">
        <v>96</v>
      </c>
      <c r="C17" s="2" t="s">
        <v>97</v>
      </c>
      <c r="D17" s="2" t="s">
        <v>98</v>
      </c>
      <c r="E17" s="2" t="s">
        <v>99</v>
      </c>
      <c r="F17" s="2" t="s">
        <v>100</v>
      </c>
      <c r="G17" s="2" t="s">
        <v>101</v>
      </c>
      <c r="H17" s="2" t="s">
        <v>102</v>
      </c>
      <c r="I17" s="2" t="s">
        <v>103</v>
      </c>
      <c r="J17" s="2" t="s">
        <v>104</v>
      </c>
      <c r="K17" s="2" t="s">
        <v>105</v>
      </c>
      <c r="L17" s="2" t="s">
        <v>106</v>
      </c>
      <c r="M17" s="2" t="s">
        <v>107</v>
      </c>
      <c r="N17" s="2" t="s">
        <v>108</v>
      </c>
    </row>
    <row r="18" customFormat="false" ht="15" hidden="false" customHeight="false" outlineLevel="0" collapsed="false">
      <c r="A18" s="3" t="s">
        <v>109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110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111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112</v>
      </c>
    </row>
    <row r="23" customFormat="false" ht="30" hidden="false" customHeight="true" outlineLevel="0" collapsed="false">
      <c r="A23" s="2" t="s">
        <v>113</v>
      </c>
      <c r="B23" s="2" t="s">
        <v>77</v>
      </c>
      <c r="C23" s="2" t="s">
        <v>78</v>
      </c>
      <c r="D23" s="2" t="s">
        <v>79</v>
      </c>
      <c r="E23" s="2" t="s">
        <v>80</v>
      </c>
      <c r="F23" s="2" t="s">
        <v>81</v>
      </c>
      <c r="G23" s="2" t="s">
        <v>82</v>
      </c>
      <c r="H23" s="2" t="s">
        <v>83</v>
      </c>
      <c r="I23" s="2" t="s">
        <v>84</v>
      </c>
      <c r="J23" s="2" t="s">
        <v>85</v>
      </c>
      <c r="K23" s="2" t="s">
        <v>86</v>
      </c>
      <c r="L23" s="2" t="s">
        <v>87</v>
      </c>
      <c r="M23" s="2" t="s">
        <v>88</v>
      </c>
      <c r="N23" s="2" t="s">
        <v>89</v>
      </c>
      <c r="O23" s="2" t="s">
        <v>90</v>
      </c>
      <c r="P23" s="2" t="s">
        <v>91</v>
      </c>
      <c r="Q23" s="2" t="s">
        <v>92</v>
      </c>
      <c r="R23" s="2" t="s">
        <v>114</v>
      </c>
      <c r="S23" s="2" t="s">
        <v>115</v>
      </c>
      <c r="T23" s="2" t="s">
        <v>116</v>
      </c>
      <c r="U23" s="2" t="s">
        <v>117</v>
      </c>
    </row>
    <row r="24" customFormat="false" ht="15" hidden="false" customHeight="false" outlineLevel="0" collapsed="false">
      <c r="A24" s="12" t="s">
        <v>96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7" t="n">
        <f aca="false">IF(Pallet!C11=0,0,B24/Pallet!C11)+IF(Pallet!D11=0,0,C24/Pallet!D11)+IF(Pallet!E11=0,0,D24/Pallet!E11)+IF(Pallet!F11=0,0,E24/Pallet!F11)</f>
        <v>13.6966470860119</v>
      </c>
      <c r="S24" s="17" t="n">
        <f aca="false">F24+G24+H24+I24</f>
        <v>38.527995324125</v>
      </c>
      <c r="T24" s="17" t="n">
        <f aca="false">IF(Pallet!C23=0,0,J24/Pallet!C23)+IF(Pallet!D23=0,0,K24/Pallet!D23)+IF(Pallet!E23=0,0,L24/Pallet!E23)+IF(Pallet!F23=0,0,M24/Pallet!F23)</f>
        <v>14.5071153464591</v>
      </c>
      <c r="U24" s="17" t="n">
        <f aca="false">IF(Pallet!G23=0,0,N24/Pallet!G23)+IF(Pallet!H23=0,0,O24/Pallet!H23)+IF(Pallet!I23=0,0,P24/Pallet!I23)+IF(Pallet!J23=0,0,Q24/Pallet!J23)</f>
        <v>2.86697916666667</v>
      </c>
    </row>
    <row r="25" customFormat="false" ht="15" hidden="false" customHeight="false" outlineLevel="0" collapsed="false">
      <c r="A25" s="12" t="s">
        <v>97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7" t="n">
        <f aca="false">IF(Pallet!C11=0,0,B25/Pallet!C11)+IF(Pallet!D11=0,0,C25/Pallet!D11)+IF(Pallet!E11=0,0,D25/Pallet!E11)+IF(Pallet!F11=0,0,E25/Pallet!F11)</f>
        <v>10.8236816724345</v>
      </c>
      <c r="S25" s="17" t="n">
        <f aca="false">F25+G25+H25+I25</f>
        <v>33.995289991875</v>
      </c>
      <c r="T25" s="17" t="n">
        <f aca="false">IF(Pallet!C23=0,0,J25/Pallet!C23)+IF(Pallet!D23=0,0,K25/Pallet!D23)+IF(Pallet!E23=0,0,L25/Pallet!E23)+IF(Pallet!F23=0,0,M25/Pallet!F23)</f>
        <v>11.2777153540904</v>
      </c>
      <c r="U25" s="17" t="n">
        <f aca="false">IF(Pallet!G23=0,0,N25/Pallet!G23)+IF(Pallet!H23=0,0,O25/Pallet!H23)+IF(Pallet!I23=0,0,P25/Pallet!I23)+IF(Pallet!J23=0,0,Q25/Pallet!J23)</f>
        <v>2.5296875</v>
      </c>
    </row>
    <row r="26" customFormat="false" ht="15" hidden="false" customHeight="false" outlineLevel="0" collapsed="false">
      <c r="A26" s="12" t="s">
        <v>98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7" t="n">
        <f aca="false">IF(Pallet!C11=0,0,B26/Pallet!C11)+IF(Pallet!D11=0,0,C26/Pallet!D11)+IF(Pallet!E11=0,0,D26/Pallet!E11)+IF(Pallet!F11=0,0,E26/Pallet!F11)</f>
        <v>11.1521513697351</v>
      </c>
      <c r="S26" s="17" t="n">
        <f aca="false">F26+G26+H26+I26</f>
        <v>40.79434799025</v>
      </c>
      <c r="T26" s="17" t="n">
        <f aca="false">IF(Pallet!C23=0,0,J26/Pallet!C23)+IF(Pallet!D23=0,0,K26/Pallet!D23)+IF(Pallet!E23=0,0,L26/Pallet!E23)+IF(Pallet!F23=0,0,M26/Pallet!F23)</f>
        <v>11.1284659932082</v>
      </c>
      <c r="U26" s="17" t="n">
        <f aca="false">IF(Pallet!G23=0,0,N26/Pallet!G23)+IF(Pallet!H23=0,0,O26/Pallet!H23)+IF(Pallet!I23=0,0,P26/Pallet!I23)+IF(Pallet!J23=0,0,Q26/Pallet!J23)</f>
        <v>3.035625</v>
      </c>
    </row>
    <row r="27" customFormat="false" ht="15" hidden="false" customHeight="false" outlineLevel="0" collapsed="false">
      <c r="A27" s="12" t="s">
        <v>99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7" t="n">
        <f aca="false">IF(Pallet!C11=0,0,B27/Pallet!C11)+IF(Pallet!D11=0,0,C27/Pallet!D11)+IF(Pallet!E11=0,0,D27/Pallet!E11)+IF(Pallet!F11=0,0,E27/Pallet!F11)</f>
        <v>11.0407880394226</v>
      </c>
      <c r="S27" s="17" t="n">
        <f aca="false">F27+G27+H27+I27</f>
        <v>40.79434799025</v>
      </c>
      <c r="T27" s="17" t="n">
        <f aca="false">IF(Pallet!C23=0,0,J27/Pallet!C23)+IF(Pallet!D23=0,0,K27/Pallet!D23)+IF(Pallet!E23=0,0,L27/Pallet!E23)+IF(Pallet!F23=0,0,M27/Pallet!F23)</f>
        <v>10.8551518906441</v>
      </c>
      <c r="U27" s="17" t="n">
        <f aca="false">IF(Pallet!G23=0,0,N27/Pallet!G23)+IF(Pallet!H23=0,0,O27/Pallet!H23)+IF(Pallet!I23=0,0,P27/Pallet!I23)+IF(Pallet!J23=0,0,Q27/Pallet!J23)</f>
        <v>3.035625</v>
      </c>
    </row>
    <row r="28" customFormat="false" ht="15" hidden="false" customHeight="false" outlineLevel="0" collapsed="false">
      <c r="A28" s="12" t="s">
        <v>100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7" t="n">
        <f aca="false">IF(Pallet!C11=0,0,B28/Pallet!C11)+IF(Pallet!D11=0,0,C28/Pallet!D11)+IF(Pallet!E11=0,0,D28/Pallet!E11)+IF(Pallet!F11=0,0,E28/Pallet!F11)</f>
        <v>10.3782283511845</v>
      </c>
      <c r="S28" s="17" t="n">
        <f aca="false">F28+G28+H28+I28</f>
        <v>40.79434799025</v>
      </c>
      <c r="T28" s="17" t="n">
        <f aca="false">IF(Pallet!C23=0,0,J28/Pallet!C23)+IF(Pallet!D23=0,0,K28/Pallet!D23)+IF(Pallet!E23=0,0,L28/Pallet!E23)+IF(Pallet!F23=0,0,M28/Pallet!F23)</f>
        <v>10.1844589438339</v>
      </c>
      <c r="U28" s="17" t="n">
        <f aca="false">IF(Pallet!G23=0,0,N28/Pallet!G23)+IF(Pallet!H23=0,0,O28/Pallet!H23)+IF(Pallet!I23=0,0,P28/Pallet!I23)+IF(Pallet!J23=0,0,Q28/Pallet!J23)</f>
        <v>3.035625</v>
      </c>
    </row>
    <row r="29" customFormat="false" ht="15" hidden="false" customHeight="false" outlineLevel="0" collapsed="false">
      <c r="A29" s="12" t="s">
        <v>101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7" t="n">
        <f aca="false">IF(Pallet!C11=0,0,B29/Pallet!C11)+IF(Pallet!D11=0,0,C29/Pallet!D11)+IF(Pallet!E11=0,0,D29/Pallet!E11)+IF(Pallet!F11=0,0,E29/Pallet!F11)</f>
        <v>9.82703199325893</v>
      </c>
      <c r="S29" s="17" t="n">
        <f aca="false">F29+G29+H29+I29</f>
        <v>36.261642658</v>
      </c>
      <c r="T29" s="17" t="n">
        <f aca="false">IF(Pallet!C23=0,0,J29/Pallet!C23)+IF(Pallet!D23=0,0,K29/Pallet!D23)+IF(Pallet!E23=0,0,L29/Pallet!E23)+IF(Pallet!F23=0,0,M29/Pallet!F23)</f>
        <v>9.78708009958791</v>
      </c>
      <c r="U29" s="17" t="n">
        <f aca="false">IF(Pallet!G23=0,0,N29/Pallet!G23)+IF(Pallet!H23=0,0,O29/Pallet!H23)+IF(Pallet!I23=0,0,P29/Pallet!I23)+IF(Pallet!J23=0,0,Q29/Pallet!J23)</f>
        <v>2.69833333333333</v>
      </c>
    </row>
    <row r="30" customFormat="false" ht="15" hidden="false" customHeight="false" outlineLevel="0" collapsed="false">
      <c r="A30" s="12" t="s">
        <v>102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7" t="n">
        <f aca="false">IF(Pallet!C11=0,0,B30/Pallet!C11)+IF(Pallet!D11=0,0,C30/Pallet!D11)+IF(Pallet!E11=0,0,D30/Pallet!E11)+IF(Pallet!F11=0,0,E30/Pallet!F11)</f>
        <v>10.489591681497</v>
      </c>
      <c r="S30" s="17" t="n">
        <f aca="false">F30+G30+H30+I30</f>
        <v>40.79434799025</v>
      </c>
      <c r="T30" s="17" t="n">
        <f aca="false">IF(Pallet!C23=0,0,J30/Pallet!C23)+IF(Pallet!D23=0,0,K30/Pallet!D23)+IF(Pallet!E23=0,0,L30/Pallet!E23)+IF(Pallet!F23=0,0,M30/Pallet!F23)</f>
        <v>10.457773046398</v>
      </c>
      <c r="U30" s="17" t="n">
        <f aca="false">IF(Pallet!G23=0,0,N30/Pallet!G23)+IF(Pallet!H23=0,0,O30/Pallet!H23)+IF(Pallet!I23=0,0,P30/Pallet!I23)+IF(Pallet!J23=0,0,Q30/Pallet!J23)</f>
        <v>3.035625</v>
      </c>
    </row>
    <row r="31" customFormat="false" ht="15" hidden="false" customHeight="false" outlineLevel="0" collapsed="false">
      <c r="A31" s="12" t="s">
        <v>103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7" t="n">
        <f aca="false">IF(Pallet!C11=0,0,B31/Pallet!C11)+IF(Pallet!D11=0,0,C31/Pallet!D11)+IF(Pallet!E11=0,0,D31/Pallet!E11)+IF(Pallet!F11=0,0,E31/Pallet!F11)</f>
        <v>10.489591681497</v>
      </c>
      <c r="S31" s="17" t="n">
        <f aca="false">F31+G31+H31+I31</f>
        <v>40.79434799025</v>
      </c>
      <c r="T31" s="17" t="n">
        <f aca="false">IF(Pallet!C23=0,0,J31/Pallet!C23)+IF(Pallet!D23=0,0,K31/Pallet!D23)+IF(Pallet!E23=0,0,L31/Pallet!E23)+IF(Pallet!F23=0,0,M31/Pallet!F23)</f>
        <v>10.457773046398</v>
      </c>
      <c r="U31" s="17" t="n">
        <f aca="false">IF(Pallet!G23=0,0,N31/Pallet!G23)+IF(Pallet!H23=0,0,O31/Pallet!H23)+IF(Pallet!I23=0,0,P31/Pallet!I23)+IF(Pallet!J23=0,0,Q31/Pallet!J23)</f>
        <v>3.035625</v>
      </c>
    </row>
    <row r="32" customFormat="false" ht="15" hidden="false" customHeight="false" outlineLevel="0" collapsed="false">
      <c r="A32" s="12" t="s">
        <v>104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7" t="n">
        <f aca="false">IF(Pallet!C11=0,0,B32/Pallet!C11)+IF(Pallet!D11=0,0,C32/Pallet!D11)+IF(Pallet!E11=0,0,D32/Pallet!E11)+IF(Pallet!F11=0,0,E32/Pallet!F11)</f>
        <v>10.489591681497</v>
      </c>
      <c r="S32" s="17" t="n">
        <f aca="false">F32+G32+H32+I32</f>
        <v>38.527995324125</v>
      </c>
      <c r="T32" s="17" t="n">
        <f aca="false">IF(Pallet!C23=0,0,J32/Pallet!C23)+IF(Pallet!D23=0,0,K32/Pallet!D23)+IF(Pallet!E23=0,0,L32/Pallet!E23)+IF(Pallet!F23=0,0,M32/Pallet!F23)</f>
        <v>10.457773046398</v>
      </c>
      <c r="U32" s="17" t="n">
        <f aca="false">IF(Pallet!G23=0,0,N32/Pallet!G23)+IF(Pallet!H23=0,0,O32/Pallet!H23)+IF(Pallet!I23=0,0,P32/Pallet!I23)+IF(Pallet!J23=0,0,Q32/Pallet!J23)</f>
        <v>2.86697916666667</v>
      </c>
    </row>
    <row r="33" customFormat="false" ht="15" hidden="false" customHeight="false" outlineLevel="0" collapsed="false">
      <c r="A33" s="12" t="s">
        <v>105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7" t="n">
        <f aca="false">IF(Pallet!C11=0,0,B33/Pallet!C11)+IF(Pallet!D11=0,0,C33/Pallet!D11)+IF(Pallet!E11=0,0,D33/Pallet!E11)+IF(Pallet!F11=0,0,E33/Pallet!F11)</f>
        <v>9.93839532357143</v>
      </c>
      <c r="S33" s="17" t="n">
        <f aca="false">F33+G33+H33+I33</f>
        <v>33.995289991875</v>
      </c>
      <c r="T33" s="17" t="n">
        <f aca="false">IF(Pallet!C23=0,0,J33/Pallet!C23)+IF(Pallet!D23=0,0,K33/Pallet!D23)+IF(Pallet!E23=0,0,L33/Pallet!E23)+IF(Pallet!F23=0,0,M33/Pallet!F23)</f>
        <v>10.060394202152</v>
      </c>
      <c r="U33" s="17" t="n">
        <f aca="false">IF(Pallet!G23=0,0,N33/Pallet!G23)+IF(Pallet!H23=0,0,O33/Pallet!H23)+IF(Pallet!I23=0,0,P33/Pallet!I23)+IF(Pallet!J23=0,0,Q33/Pallet!J23)</f>
        <v>2.5296875</v>
      </c>
    </row>
    <row r="34" customFormat="false" ht="15" hidden="false" customHeight="false" outlineLevel="0" collapsed="false">
      <c r="A34" s="12" t="s">
        <v>106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7" t="n">
        <f aca="false">IF(Pallet!C11=0,0,B34/Pallet!C11)+IF(Pallet!D11=0,0,C34/Pallet!D11)+IF(Pallet!E11=0,0,D34/Pallet!E11)+IF(Pallet!F11=0,0,E34/Pallet!F11)</f>
        <v>9.38719896564584</v>
      </c>
      <c r="S34" s="17" t="n">
        <f aca="false">F34+G34+H34+I34</f>
        <v>31.72893732575</v>
      </c>
      <c r="T34" s="17" t="n">
        <f aca="false">IF(Pallet!C23=0,0,J34/Pallet!C23)+IF(Pallet!D23=0,0,K34/Pallet!D23)+IF(Pallet!E23=0,0,L34/Pallet!E23)+IF(Pallet!F23=0,0,M34/Pallet!F23)</f>
        <v>9.66301535790598</v>
      </c>
      <c r="U34" s="17" t="n">
        <f aca="false">IF(Pallet!G23=0,0,N34/Pallet!G23)+IF(Pallet!H23=0,0,O34/Pallet!H23)+IF(Pallet!I23=0,0,P34/Pallet!I23)+IF(Pallet!J23=0,0,Q34/Pallet!J23)</f>
        <v>2.36104166666667</v>
      </c>
    </row>
    <row r="35" customFormat="false" ht="15" hidden="false" customHeight="false" outlineLevel="0" collapsed="false">
      <c r="A35" s="12" t="s">
        <v>107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7" t="n">
        <f aca="false">IF(Pallet!C11=0,0,B35/Pallet!C11)+IF(Pallet!D11=0,0,C35/Pallet!D11)+IF(Pallet!E11=0,0,D35/Pallet!E11)+IF(Pallet!F11=0,0,E35/Pallet!F11)</f>
        <v>14.7990398018631</v>
      </c>
      <c r="S35" s="17" t="n">
        <f aca="false">F35+G35+H35+I35</f>
        <v>36.261642658</v>
      </c>
      <c r="T35" s="17" t="n">
        <f aca="false">IF(Pallet!C23=0,0,J35/Pallet!C23)+IF(Pallet!D23=0,0,K35/Pallet!D23)+IF(Pallet!E23=0,0,L35/Pallet!E23)+IF(Pallet!F23=0,0,M35/Pallet!F23)</f>
        <v>15.3018730349512</v>
      </c>
      <c r="U35" s="17" t="n">
        <f aca="false">IF(Pallet!G23=0,0,N35/Pallet!G23)+IF(Pallet!H23=0,0,O35/Pallet!H23)+IF(Pallet!I23=0,0,P35/Pallet!I23)+IF(Pallet!J23=0,0,Q35/Pallet!J23)</f>
        <v>2.69833333333333</v>
      </c>
    </row>
    <row r="36" customFormat="false" ht="15" hidden="false" customHeight="false" outlineLevel="0" collapsed="false">
      <c r="A36" s="12" t="s">
        <v>118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8" t="n">
        <f aca="false">MAX(R24:R35)</f>
        <v>14.7990398018631</v>
      </c>
      <c r="S36" s="18" t="n">
        <f aca="false">MAX(S24:S35)</f>
        <v>40.79434799025</v>
      </c>
      <c r="T36" s="18" t="n">
        <f aca="false">MAX(T24:T35)</f>
        <v>15.3018730349512</v>
      </c>
      <c r="U36" s="18" t="n">
        <f aca="false">MAX(U24:U35)</f>
        <v>3.035625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119</v>
      </c>
      <c r="B3" s="4" t="s">
        <v>18</v>
      </c>
      <c r="C3" s="19" t="n">
        <f aca="false">Datos!$C$19*Datos!$C$24+Datos!$C$23</f>
        <v>12.83</v>
      </c>
      <c r="D3" s="19" t="n">
        <f aca="false">Datos!$D$19*Datos!$D$24+Datos!$D$23</f>
        <v>4.88</v>
      </c>
      <c r="E3" s="19" t="n">
        <f aca="false">Datos!$E$19*Datos!$E$24+Datos!$E$23</f>
        <v>8.83</v>
      </c>
      <c r="F3" s="19" t="n">
        <f aca="false">Datos!$F$19*Datos!$F$24+Datos!$F$23</f>
        <v>16.73</v>
      </c>
    </row>
    <row r="4" customFormat="false" ht="15" hidden="false" customHeight="false" outlineLevel="0" collapsed="false">
      <c r="A4" s="3" t="s">
        <v>120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121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122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123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124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125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126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127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128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129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130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131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132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133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123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124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125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134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128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129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136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137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138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139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140</v>
      </c>
      <c r="B9" s="4" t="s">
        <v>32</v>
      </c>
      <c r="C9" s="16" t="n">
        <f aca="false">MAX(INT(ROUND((Datos!$C$46-Datos!$C$49-Datos!$C$50)/(Datos!$C$34/1000),6))*INT(ROUND(Datos!$C$47/(Datos!$C$35/1000),6)),INT(ROUND((Datos!$C$46-Datos!$C$49-Datos!$C$50)/(Datos!$C$35/1000),6))*INT(ROUND(Datos!$C$47/(Datos!$C$34/1000),6)))</f>
        <v>9</v>
      </c>
      <c r="D9" s="16" t="n">
        <f aca="false">MAX(INT(ROUND((Datos!$C$46-Datos!$C$49-Datos!$C$50)/(Datos!$D$34/1000),6))*INT(ROUND(Datos!$C$47/(Datos!$D$35/1000),6)),INT(ROUND((Datos!$C$46-Datos!$C$49-Datos!$C$50)/(Datos!$D$35/1000),6))*INT(ROUND(Datos!$C$47/(Datos!$D$34/1000),6)))</f>
        <v>6</v>
      </c>
      <c r="E9" s="16" t="n">
        <f aca="false">MAX(INT(ROUND((Datos!$C$46-Datos!$C$49-Datos!$C$50)/(Datos!$E$34/1000),6))*INT(ROUND(Datos!$C$47/(Datos!$E$35/1000),6)),INT(ROUND((Datos!$C$46-Datos!$C$49-Datos!$C$50)/(Datos!$E$35/1000),6))*INT(ROUND(Datos!$C$47/(Datos!$E$34/1000),6)))</f>
        <v>6</v>
      </c>
      <c r="F9" s="16" t="n">
        <f aca="false">MAX(INT(ROUND((Datos!$C$46-Datos!$C$49-Datos!$C$50)/(Datos!$F$34/1000),6))*INT(ROUND(Datos!$C$47/(Datos!$F$35/1000),6)),INT(ROUND((Datos!$C$46-Datos!$C$49-Datos!$C$50)/(Datos!$F$35/1000),6))*INT(ROUND(Datos!$C$47/(Datos!$F$34/1000),6)))</f>
        <v>6</v>
      </c>
    </row>
    <row r="10" customFormat="false" ht="15" hidden="false" customHeight="false" outlineLevel="0" collapsed="false">
      <c r="A10" s="3" t="s">
        <v>141</v>
      </c>
      <c r="B10" s="4" t="s">
        <v>32</v>
      </c>
      <c r="C10" s="16" t="n">
        <f aca="false">MAX(INT(ROUND(Datos!$C$49/(Datos!$C$34/1000),6))*INT(ROUND(Datos!$C$48/(Datos!$C$35/1000),6)),INT(ROUND(Datos!$C$49/(Datos!$C$35/1000),6))*INT(ROUND(Datos!$C$48/(Datos!$C$34/1000),6)))</f>
        <v>2</v>
      </c>
      <c r="D10" s="16" t="n">
        <f aca="false">MAX(INT(ROUND(Datos!$C$49/(Datos!$D$34/1000),6))*INT(ROUND(Datos!$C$48/(Datos!$D$35/1000),6)),INT(ROUND(Datos!$C$49/(Datos!$D$35/1000),6))*INT(ROUND(Datos!$C$48/(Datos!$D$34/1000),6)))</f>
        <v>2</v>
      </c>
      <c r="E10" s="16" t="n">
        <f aca="false">MAX(INT(ROUND(Datos!$C$49/(Datos!$E$34/1000),6))*INT(ROUND(Datos!$C$48/(Datos!$E$35/1000),6)),INT(ROUND(Datos!$C$49/(Datos!$E$35/1000),6))*INT(ROUND(Datos!$C$48/(Datos!$E$34/1000),6)))</f>
        <v>1</v>
      </c>
      <c r="F10" s="16" t="n">
        <f aca="false">MAX(INT(ROUND(Datos!$C$49/(Datos!$F$34/1000),6))*INT(ROUND(Datos!$C$48/(Datos!$F$35/1000),6)),INT(ROUND(Datos!$C$49/(Datos!$F$35/1000),6))*INT(ROUND(Datos!$C$48/(Datos!$F$34/1000),6)))</f>
        <v>1</v>
      </c>
    </row>
    <row r="11" customFormat="false" ht="15" hidden="false" customHeight="false" outlineLevel="0" collapsed="false">
      <c r="A11" s="3" t="s">
        <v>142</v>
      </c>
      <c r="B11" s="4" t="s">
        <v>32</v>
      </c>
      <c r="C11" s="16" t="n">
        <f aca="false">MAX(INT(ROUND(Datos!$C$50/(Datos!$C$34/1000),6))*INT(ROUND(Datos!$C$47/(Datos!$C$35/1000),6)),INT(ROUND(Datos!$C$50/(Datos!$C$35/1000),6))*INT(ROUND(Datos!$C$47/(Datos!$C$34/1000),6)))</f>
        <v>3</v>
      </c>
      <c r="D11" s="16" t="n">
        <f aca="false">MAX(INT(ROUND(Datos!$C$50/(Datos!$D$34/1000),6))*INT(ROUND(Datos!$C$47/(Datos!$D$35/1000),6)),INT(ROUND(Datos!$C$50/(Datos!$D$35/1000),6))*INT(ROUND(Datos!$C$47/(Datos!$D$34/1000),6)))</f>
        <v>2</v>
      </c>
      <c r="E11" s="16" t="n">
        <f aca="false">MAX(INT(ROUND(Datos!$C$50/(Datos!$E$34/1000),6))*INT(ROUND(Datos!$C$47/(Datos!$E$35/1000),6)),INT(ROUND(Datos!$C$50/(Datos!$E$35/1000),6))*INT(ROUND(Datos!$C$47/(Datos!$E$34/1000),6)))</f>
        <v>0</v>
      </c>
      <c r="F11" s="16" t="n">
        <f aca="false">MAX(INT(ROUND(Datos!$C$50/(Datos!$F$34/1000),6))*INT(ROUND(Datos!$C$47/(Datos!$F$35/1000),6)),INT(ROUND(Datos!$C$50/(Datos!$F$35/1000),6))*INT(ROUND(Datos!$C$47/(Datos!$F$34/1000),6)))</f>
        <v>0</v>
      </c>
    </row>
    <row r="12" customFormat="false" ht="15" hidden="false" customHeight="false" outlineLevel="0" collapsed="false">
      <c r="A12" s="3" t="s">
        <v>143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144</v>
      </c>
      <c r="B13" s="4" t="s">
        <v>32</v>
      </c>
      <c r="C13" s="16" t="n">
        <f aca="false">INT(Datos!$C$51/Datos!$C$36)</f>
        <v>28</v>
      </c>
      <c r="D13" s="16" t="n">
        <f aca="false">INT(Datos!$C$51/Datos!$D$36)</f>
        <v>15</v>
      </c>
      <c r="E13" s="16" t="n">
        <f aca="false">INT(Datos!$C$51/Datos!$E$36)</f>
        <v>11</v>
      </c>
      <c r="F13" s="16" t="n">
        <f aca="false">INT(Datos!$C$51/Datos!$F$36)</f>
        <v>8</v>
      </c>
    </row>
    <row r="14" customFormat="false" ht="15" hidden="false" customHeight="false" outlineLevel="0" collapsed="false">
      <c r="A14" s="12" t="s">
        <v>145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  <c r="B2" s="2" t="s">
        <v>2</v>
      </c>
      <c r="C2" s="2" t="s">
        <v>147</v>
      </c>
      <c r="D2" s="2" t="s">
        <v>148</v>
      </c>
      <c r="E2" s="2" t="s">
        <v>149</v>
      </c>
      <c r="F2" s="2" t="s">
        <v>150</v>
      </c>
      <c r="G2" s="2" t="s">
        <v>151</v>
      </c>
    </row>
    <row r="3" customFormat="false" ht="15" hidden="false" customHeight="false" outlineLevel="0" collapsed="false">
      <c r="A3" s="3" t="s">
        <v>152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20" t="s">
        <v>153</v>
      </c>
    </row>
    <row r="4" customFormat="false" ht="15" hidden="false" customHeight="false" outlineLevel="0" collapsed="false">
      <c r="A4" s="3" t="s">
        <v>128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20" t="s">
        <v>153</v>
      </c>
    </row>
    <row r="5" customFormat="false" ht="15" hidden="false" customHeight="false" outlineLevel="0" collapsed="false">
      <c r="A5" s="12" t="s">
        <v>138</v>
      </c>
      <c r="B5" s="4" t="s">
        <v>32</v>
      </c>
      <c r="C5" s="13" t="n">
        <f aca="false">IF(C4=0,0,MIN(Camion!$C$5,INT(Datos!$C$42/C4)))</f>
        <v>14</v>
      </c>
      <c r="D5" s="13" t="n">
        <f aca="false">IF(D4=0,0,MIN(Camion!$C$5,INT(Datos!$C$42/D4)))</f>
        <v>14</v>
      </c>
      <c r="E5" s="13" t="n">
        <f aca="false">IF(E4=0,0,MIN(Camion!$C$5,INT(Datos!$C$42/E4)))</f>
        <v>14</v>
      </c>
      <c r="F5" s="13" t="n">
        <f aca="false">IF(F4=0,0,MIN(Camion!$C$5,INT(Datos!$C$42/F4)))</f>
        <v>11</v>
      </c>
      <c r="G5" s="13" t="n">
        <f aca="false">$G$31</f>
        <v>14</v>
      </c>
    </row>
    <row r="6" customFormat="false" ht="15" hidden="false" customHeight="false" outlineLevel="0" collapsed="false">
      <c r="A6" s="12" t="s">
        <v>154</v>
      </c>
      <c r="B6" s="4" t="s">
        <v>32</v>
      </c>
      <c r="C6" s="13" t="n">
        <f aca="false">C5*C3</f>
        <v>5040</v>
      </c>
      <c r="D6" s="13" t="n">
        <f aca="false">D5*D3</f>
        <v>2352</v>
      </c>
      <c r="E6" s="13" t="n">
        <f aca="false">E5*E3</f>
        <v>1176</v>
      </c>
      <c r="F6" s="13" t="n">
        <f aca="false">F5*F3</f>
        <v>660</v>
      </c>
      <c r="G6" s="13" t="n">
        <f aca="false">$G$32</f>
        <v>2064</v>
      </c>
    </row>
    <row r="7" customFormat="false" ht="15" hidden="false" customHeight="false" outlineLevel="0" collapsed="false">
      <c r="A7" s="12" t="s">
        <v>155</v>
      </c>
    </row>
    <row r="8" customFormat="false" ht="15" hidden="false" customHeight="false" outlineLevel="0" collapsed="false">
      <c r="A8" s="3" t="s">
        <v>96</v>
      </c>
      <c r="B8" s="4" t="s">
        <v>156</v>
      </c>
      <c r="C8" s="19" t="n">
        <f aca="false">IF(C$6=0,0,Demanda!B24/C$6)</f>
        <v>0.19090856625</v>
      </c>
      <c r="D8" s="19" t="n">
        <f aca="false">IF(D$6=0,0,Demanda!C24/D$6)</f>
        <v>0.0789206892431973</v>
      </c>
      <c r="E8" s="19" t="n">
        <f aca="false">IF(E$6=0,0,Demanda!D24/E$6)</f>
        <v>0.653715534013605</v>
      </c>
      <c r="F8" s="19" t="n">
        <f aca="false">IF(F$6=0,0,Demanda!E24/F$6)</f>
        <v>0.0697290939015152</v>
      </c>
      <c r="G8" s="19" t="n">
        <f aca="false">IF($G$31=0,0,Demanda!R24/$G$31)</f>
        <v>0.978331934715136</v>
      </c>
    </row>
    <row r="9" customFormat="false" ht="15" hidden="false" customHeight="false" outlineLevel="0" collapsed="false">
      <c r="A9" s="3" t="s">
        <v>97</v>
      </c>
      <c r="B9" s="4" t="s">
        <v>156</v>
      </c>
      <c r="C9" s="19" t="n">
        <f aca="false">IF(C$6=0,0,Demanda!B25/C$6)</f>
        <v>0.1431814246875</v>
      </c>
      <c r="D9" s="19" t="n">
        <f aca="false">IF(D$6=0,0,Demanda!C25/D$6)</f>
        <v>0.0631365513945578</v>
      </c>
      <c r="E9" s="19" t="n">
        <f aca="false">IF(E$6=0,0,Demanda!D25/E$6)</f>
        <v>0.522972427210884</v>
      </c>
      <c r="F9" s="19" t="n">
        <f aca="false">IF(F$6=0,0,Demanda!E25/F$6)</f>
        <v>0.0557832751212121</v>
      </c>
      <c r="G9" s="19" t="n">
        <f aca="false">IF($G$31=0,0,Demanda!R25/$G$31)</f>
        <v>0.773120119459609</v>
      </c>
    </row>
    <row r="10" customFormat="false" ht="15" hidden="false" customHeight="false" outlineLevel="0" collapsed="false">
      <c r="A10" s="3" t="s">
        <v>98</v>
      </c>
      <c r="B10" s="4" t="s">
        <v>156</v>
      </c>
      <c r="C10" s="19" t="n">
        <f aca="false">IF(C$6=0,0,Demanda!B26/C$6)</f>
        <v>0.1272723775</v>
      </c>
      <c r="D10" s="19" t="n">
        <f aca="false">IF(D$6=0,0,Demanda!C26/D$6)</f>
        <v>0.0670825858567177</v>
      </c>
      <c r="E10" s="19" t="n">
        <f aca="false">IF(E$6=0,0,Demanda!D26/E$6)</f>
        <v>0.555658203911565</v>
      </c>
      <c r="F10" s="19" t="n">
        <f aca="false">IF(F$6=0,0,Demanda!E26/F$6)</f>
        <v>0.0592697298162879</v>
      </c>
      <c r="G10" s="19" t="n">
        <f aca="false">IF($G$31=0,0,Demanda!R26/$G$31)</f>
        <v>0.796582240695366</v>
      </c>
    </row>
    <row r="11" customFormat="false" ht="15" hidden="false" customHeight="false" outlineLevel="0" collapsed="false">
      <c r="A11" s="3" t="s">
        <v>99</v>
      </c>
      <c r="B11" s="4" t="s">
        <v>156</v>
      </c>
      <c r="C11" s="19" t="n">
        <f aca="false">IF(C$6=0,0,Demanda!B27/C$6)</f>
        <v>0.11931785390625</v>
      </c>
      <c r="D11" s="19" t="n">
        <f aca="false">IF(D$6=0,0,Demanda!C27/D$6)</f>
        <v>0.0670825858567177</v>
      </c>
      <c r="E11" s="19" t="n">
        <f aca="false">IF(E$6=0,0,Demanda!D27/E$6)</f>
        <v>0.555658203911565</v>
      </c>
      <c r="F11" s="19" t="n">
        <f aca="false">IF(F$6=0,0,Demanda!E27/F$6)</f>
        <v>0.0592697298162879</v>
      </c>
      <c r="G11" s="19" t="n">
        <f aca="false">IF($G$31=0,0,Demanda!R27/$G$31)</f>
        <v>0.788627717101616</v>
      </c>
    </row>
    <row r="12" customFormat="false" ht="15" hidden="false" customHeight="false" outlineLevel="0" collapsed="false">
      <c r="A12" s="3" t="s">
        <v>100</v>
      </c>
      <c r="B12" s="4" t="s">
        <v>156</v>
      </c>
      <c r="C12" s="19" t="n">
        <f aca="false">IF(C$6=0,0,Demanda!B28/C$6)</f>
        <v>0.1113633303125</v>
      </c>
      <c r="D12" s="19" t="n">
        <f aca="false">IF(D$6=0,0,Demanda!C28/D$6)</f>
        <v>0.0631365513945578</v>
      </c>
      <c r="E12" s="19" t="n">
        <f aca="false">IF(E$6=0,0,Demanda!D28/E$6)</f>
        <v>0.522972427210884</v>
      </c>
      <c r="F12" s="19" t="n">
        <f aca="false">IF(F$6=0,0,Demanda!E28/F$6)</f>
        <v>0.0557832751212121</v>
      </c>
      <c r="G12" s="19" t="n">
        <f aca="false">IF($G$31=0,0,Demanda!R28/$G$31)</f>
        <v>0.741302025084609</v>
      </c>
    </row>
    <row r="13" customFormat="false" ht="15" hidden="false" customHeight="false" outlineLevel="0" collapsed="false">
      <c r="A13" s="3" t="s">
        <v>101</v>
      </c>
      <c r="B13" s="4" t="s">
        <v>156</v>
      </c>
      <c r="C13" s="19" t="n">
        <f aca="false">IF(C$6=0,0,Demanda!B29/C$6)</f>
        <v>0.1113633303125</v>
      </c>
      <c r="D13" s="19" t="n">
        <f aca="false">IF(D$6=0,0,Demanda!C29/D$6)</f>
        <v>0.059190516932398</v>
      </c>
      <c r="E13" s="19" t="n">
        <f aca="false">IF(E$6=0,0,Demanda!D29/E$6)</f>
        <v>0.490286650510204</v>
      </c>
      <c r="F13" s="19" t="n">
        <f aca="false">IF(F$6=0,0,Demanda!E29/F$6)</f>
        <v>0.0522968204261364</v>
      </c>
      <c r="G13" s="19" t="n">
        <f aca="false">IF($G$31=0,0,Demanda!R29/$G$31)</f>
        <v>0.701930856661352</v>
      </c>
    </row>
    <row r="14" customFormat="false" ht="15" hidden="false" customHeight="false" outlineLevel="0" collapsed="false">
      <c r="A14" s="3" t="s">
        <v>102</v>
      </c>
      <c r="B14" s="4" t="s">
        <v>156</v>
      </c>
      <c r="C14" s="19" t="n">
        <f aca="false">IF(C$6=0,0,Demanda!B30/C$6)</f>
        <v>0.11931785390625</v>
      </c>
      <c r="D14" s="19" t="n">
        <f aca="false">IF(D$6=0,0,Demanda!C30/D$6)</f>
        <v>0.0631365513945578</v>
      </c>
      <c r="E14" s="19" t="n">
        <f aca="false">IF(E$6=0,0,Demanda!D30/E$6)</f>
        <v>0.522972427210884</v>
      </c>
      <c r="F14" s="19" t="n">
        <f aca="false">IF(F$6=0,0,Demanda!E30/F$6)</f>
        <v>0.0557832751212121</v>
      </c>
      <c r="G14" s="19" t="n">
        <f aca="false">IF($G$31=0,0,Demanda!R30/$G$31)</f>
        <v>0.749256548678359</v>
      </c>
    </row>
    <row r="15" customFormat="false" ht="15" hidden="false" customHeight="false" outlineLevel="0" collapsed="false">
      <c r="A15" s="3" t="s">
        <v>103</v>
      </c>
      <c r="B15" s="4" t="s">
        <v>156</v>
      </c>
      <c r="C15" s="19" t="n">
        <f aca="false">IF(C$6=0,0,Demanda!B31/C$6)</f>
        <v>0.11931785390625</v>
      </c>
      <c r="D15" s="19" t="n">
        <f aca="false">IF(D$6=0,0,Demanda!C31/D$6)</f>
        <v>0.0631365513945578</v>
      </c>
      <c r="E15" s="19" t="n">
        <f aca="false">IF(E$6=0,0,Demanda!D31/E$6)</f>
        <v>0.522972427210884</v>
      </c>
      <c r="F15" s="19" t="n">
        <f aca="false">IF(F$6=0,0,Demanda!E31/F$6)</f>
        <v>0.0557832751212121</v>
      </c>
      <c r="G15" s="19" t="n">
        <f aca="false">IF($G$31=0,0,Demanda!R31/$G$31)</f>
        <v>0.749256548678359</v>
      </c>
    </row>
    <row r="16" customFormat="false" ht="15" hidden="false" customHeight="false" outlineLevel="0" collapsed="false">
      <c r="A16" s="3" t="s">
        <v>104</v>
      </c>
      <c r="B16" s="4" t="s">
        <v>156</v>
      </c>
      <c r="C16" s="19" t="n">
        <f aca="false">IF(C$6=0,0,Demanda!B32/C$6)</f>
        <v>0.11931785390625</v>
      </c>
      <c r="D16" s="19" t="n">
        <f aca="false">IF(D$6=0,0,Demanda!C32/D$6)</f>
        <v>0.0631365513945578</v>
      </c>
      <c r="E16" s="19" t="n">
        <f aca="false">IF(E$6=0,0,Demanda!D32/E$6)</f>
        <v>0.522972427210884</v>
      </c>
      <c r="F16" s="19" t="n">
        <f aca="false">IF(F$6=0,0,Demanda!E32/F$6)</f>
        <v>0.0557832751212121</v>
      </c>
      <c r="G16" s="19" t="n">
        <f aca="false">IF($G$31=0,0,Demanda!R32/$G$31)</f>
        <v>0.749256548678359</v>
      </c>
    </row>
    <row r="17" customFormat="false" ht="15" hidden="false" customHeight="false" outlineLevel="0" collapsed="false">
      <c r="A17" s="3" t="s">
        <v>105</v>
      </c>
      <c r="B17" s="4" t="s">
        <v>156</v>
      </c>
      <c r="C17" s="19" t="n">
        <f aca="false">IF(C$6=0,0,Demanda!B33/C$6)</f>
        <v>0.11931785390625</v>
      </c>
      <c r="D17" s="19" t="n">
        <f aca="false">IF(D$6=0,0,Demanda!C33/D$6)</f>
        <v>0.059190516932398</v>
      </c>
      <c r="E17" s="19" t="n">
        <f aca="false">IF(E$6=0,0,Demanda!D33/E$6)</f>
        <v>0.490286650510204</v>
      </c>
      <c r="F17" s="19" t="n">
        <f aca="false">IF(F$6=0,0,Demanda!E33/F$6)</f>
        <v>0.0522968204261364</v>
      </c>
      <c r="G17" s="19" t="n">
        <f aca="false">IF($G$31=0,0,Demanda!R33/$G$31)</f>
        <v>0.709885380255102</v>
      </c>
    </row>
    <row r="18" customFormat="false" ht="15" hidden="false" customHeight="false" outlineLevel="0" collapsed="false">
      <c r="A18" s="3" t="s">
        <v>106</v>
      </c>
      <c r="B18" s="4" t="s">
        <v>156</v>
      </c>
      <c r="C18" s="19" t="n">
        <f aca="false">IF(C$6=0,0,Demanda!B34/C$6)</f>
        <v>0.11931785390625</v>
      </c>
      <c r="D18" s="19" t="n">
        <f aca="false">IF(D$6=0,0,Demanda!C34/D$6)</f>
        <v>0.0552444824702381</v>
      </c>
      <c r="E18" s="19" t="n">
        <f aca="false">IF(E$6=0,0,Demanda!D34/E$6)</f>
        <v>0.457600873809524</v>
      </c>
      <c r="F18" s="19" t="n">
        <f aca="false">IF(F$6=0,0,Demanda!E34/F$6)</f>
        <v>0.0488103657310606</v>
      </c>
      <c r="G18" s="19" t="n">
        <f aca="false">IF($G$31=0,0,Demanda!R34/$G$31)</f>
        <v>0.670514211831845</v>
      </c>
    </row>
    <row r="19" customFormat="false" ht="15" hidden="false" customHeight="false" outlineLevel="0" collapsed="false">
      <c r="A19" s="3" t="s">
        <v>107</v>
      </c>
      <c r="B19" s="4" t="s">
        <v>156</v>
      </c>
      <c r="C19" s="19" t="n">
        <f aca="false">IF(C$6=0,0,Demanda!B35/C$6)</f>
        <v>0.19090856625</v>
      </c>
      <c r="D19" s="19" t="n">
        <f aca="false">IF(D$6=0,0,Demanda!C35/D$6)</f>
        <v>0.086812758167517</v>
      </c>
      <c r="E19" s="19" t="n">
        <f aca="false">IF(E$6=0,0,Demanda!D35/E$6)</f>
        <v>0.719087087414966</v>
      </c>
      <c r="F19" s="19" t="n">
        <f aca="false">IF(F$6=0,0,Demanda!E35/F$6)</f>
        <v>0.0767020032916667</v>
      </c>
      <c r="G19" s="19" t="n">
        <f aca="false">IF($G$31=0,0,Demanda!R35/$G$31)</f>
        <v>1.05707427156165</v>
      </c>
    </row>
    <row r="20" customFormat="false" ht="15" hidden="false" customHeight="false" outlineLevel="0" collapsed="false">
      <c r="A20" s="12" t="s">
        <v>157</v>
      </c>
      <c r="B20" s="4" t="s">
        <v>156</v>
      </c>
      <c r="C20" s="21" t="n">
        <f aca="false">MAX(C8:C19)</f>
        <v>0.19090856625</v>
      </c>
      <c r="D20" s="21" t="n">
        <f aca="false">MAX(D8:D19)</f>
        <v>0.086812758167517</v>
      </c>
      <c r="E20" s="21" t="n">
        <f aca="false">MAX(E8:E19)</f>
        <v>0.719087087414966</v>
      </c>
      <c r="F20" s="21" t="n">
        <f aca="false">MAX(F8:F19)</f>
        <v>0.0767020032916667</v>
      </c>
      <c r="G20" s="21" t="n">
        <f aca="false">MAX(G8:G19)</f>
        <v>1.05707427156165</v>
      </c>
    </row>
    <row r="21" customFormat="false" ht="15" hidden="false" customHeight="false" outlineLevel="0" collapsed="false">
      <c r="A21" s="12" t="s">
        <v>158</v>
      </c>
      <c r="B21" s="4"/>
      <c r="C21" s="22" t="str">
        <f aca="false">IF(C20=0,"-",IF(C20&gt;=1,ROUNDUP(C20*Datos!$C$4,0)&amp;" por mes",IF(INT(1/C20)=1,"1 por semana","1 cada "&amp;INT(1/C20)&amp;" semanas")))</f>
        <v>1 cada 5 semanas</v>
      </c>
      <c r="D21" s="22" t="str">
        <f aca="false">IF(D20=0,"-",IF(D20&gt;=1,ROUNDUP(D20*Datos!$C$4,0)&amp;" por mes",IF(INT(1/D20)=1,"1 por semana","1 cada "&amp;INT(1/D20)&amp;" semanas")))</f>
        <v>1 cada 11 semanas</v>
      </c>
      <c r="E21" s="22" t="str">
        <f aca="false">IF(E20=0,"-",IF(E20&gt;=1,ROUNDUP(E20*Datos!$C$4,0)&amp;" por mes",IF(INT(1/E20)=1,"1 por semana","1 cada "&amp;INT(1/E20)&amp;" semanas")))</f>
        <v>1 por semana</v>
      </c>
      <c r="F21" s="22" t="str">
        <f aca="false">IF(F20=0,"-",IF(F20&gt;=1,ROUNDUP(F20*Datos!$C$4,0)&amp;" por mes",IF(INT(1/F20)=1,"1 por semana","1 cada "&amp;INT(1/F20)&amp;" semanas")))</f>
        <v>1 cada 13 semanas</v>
      </c>
      <c r="G21" s="22" t="str">
        <f aca="false">IF(G20=0,"-",IF(G20&gt;=1,ROUNDUP(G20*Datos!$C$4,0)&amp;" por mes",IF(INT(1/G20)=1,"1 por semana","1 cada "&amp;INT(1/G20)&amp;" semanas")))</f>
        <v>5 por mes</v>
      </c>
    </row>
    <row r="22" customFormat="false" ht="15" hidden="false" customHeight="false" outlineLevel="0" collapsed="false">
      <c r="A22" s="3" t="s">
        <v>159</v>
      </c>
      <c r="B22" s="4" t="s">
        <v>160</v>
      </c>
      <c r="C22" s="15" t="n">
        <f aca="false">IF(C20=0,0,IF(C20&gt;=1,C20*Datos!$C$4/ROUNDUP(C20*Datos!$C$4,0),C20*INT(1/C20)))</f>
        <v>0.95454283125</v>
      </c>
      <c r="D22" s="15" t="n">
        <f aca="false">IF(D20=0,0,IF(D20&gt;=1,D20*Datos!$C$4/ROUNDUP(D20*Datos!$C$4,0),D20*INT(1/D20)))</f>
        <v>0.954940339842687</v>
      </c>
      <c r="E22" s="15" t="n">
        <f aca="false">IF(E20=0,0,IF(E20&gt;=1,E20*Datos!$C$4/ROUNDUP(E20*Datos!$C$4,0),E20*INT(1/E20)))</f>
        <v>0.719087087414966</v>
      </c>
      <c r="F22" s="15" t="n">
        <f aca="false">IF(F20=0,0,IF(F20&gt;=1,F20*Datos!$C$4/ROUNDUP(F20*Datos!$C$4,0),F20*INT(1/F20)))</f>
        <v>0.997126042791667</v>
      </c>
      <c r="G22" s="15" t="n">
        <f aca="false">IF(G20=0,0,IF(G20&gt;=1,G20*Datos!$C$4/ROUNDUP(G20*Datos!$C$4,0),G20*INT(1/G20)))</f>
        <v>0.84565941724932</v>
      </c>
    </row>
    <row r="24" customFormat="false" ht="15" hidden="false" customHeight="false" outlineLevel="0" collapsed="false">
      <c r="A24" s="1" t="s">
        <v>161</v>
      </c>
    </row>
    <row r="25" customFormat="false" ht="15" hidden="false" customHeight="false" outlineLevel="0" collapsed="false">
      <c r="A25" s="2"/>
      <c r="B25" s="2" t="s">
        <v>2</v>
      </c>
      <c r="C25" s="2" t="s">
        <v>27</v>
      </c>
      <c r="D25" s="2" t="s">
        <v>28</v>
      </c>
      <c r="E25" s="2" t="s">
        <v>29</v>
      </c>
      <c r="F25" s="2" t="s">
        <v>30</v>
      </c>
      <c r="G25" s="2" t="s">
        <v>108</v>
      </c>
    </row>
    <row r="26" customFormat="false" ht="15" hidden="false" customHeight="false" outlineLevel="0" collapsed="false">
      <c r="A26" s="3" t="s">
        <v>157</v>
      </c>
      <c r="B26" s="4"/>
      <c r="C26" s="4" t="str">
        <f aca="false">INDEX(Demanda!$A$24:$A$35,MATCH(MAX(Demanda!$R$24:$R$35),Demanda!$R$24:$R$35,0))</f>
        <v>Dic</v>
      </c>
    </row>
    <row r="27" customFormat="false" ht="15" hidden="false" customHeight="false" outlineLevel="0" collapsed="false">
      <c r="A27" s="3" t="s">
        <v>162</v>
      </c>
      <c r="B27" s="4" t="s">
        <v>32</v>
      </c>
      <c r="C27" s="16" t="n">
        <f aca="false">INDEX(Demanda!B$24:B$35,MATCH(MAX(Demanda!$R$24:$R$35),Demanda!$R$24:$R$35,0))*Datos!$C$4</f>
        <v>3848.7166956</v>
      </c>
      <c r="D27" s="16" t="n">
        <f aca="false">INDEX(Demanda!C$24:C$35,MATCH(MAX(Demanda!$R$24:$R$35),Demanda!$R$24:$R$35,0))*Datos!$C$4</f>
        <v>816.73442884</v>
      </c>
      <c r="E27" s="16" t="n">
        <f aca="false">INDEX(Demanda!D$24:D$35,MATCH(MAX(Demanda!$R$24:$R$35),Demanda!$R$24:$R$35,0))*Datos!$C$4</f>
        <v>3382.5856592</v>
      </c>
      <c r="F27" s="16" t="n">
        <f aca="false">INDEX(Demanda!E$24:E$35,MATCH(MAX(Demanda!$R$24:$R$35),Demanda!$R$24:$R$35,0))*Datos!$C$4</f>
        <v>202.49328869</v>
      </c>
      <c r="G27" s="16" t="n">
        <f aca="false">SUM(C27:F27)</f>
        <v>8250.53007233</v>
      </c>
    </row>
    <row r="28" customFormat="false" ht="15" hidden="false" customHeight="false" outlineLevel="0" collapsed="false">
      <c r="A28" s="3" t="s">
        <v>152</v>
      </c>
      <c r="B28" s="4" t="s">
        <v>32</v>
      </c>
      <c r="C28" s="16" t="n">
        <f aca="false">Pallet!C11</f>
        <v>360</v>
      </c>
      <c r="D28" s="16" t="n">
        <f aca="false">Pallet!D11</f>
        <v>168</v>
      </c>
      <c r="E28" s="16" t="n">
        <f aca="false">Pallet!E11</f>
        <v>84</v>
      </c>
      <c r="F28" s="16" t="n">
        <f aca="false">Pallet!F11</f>
        <v>60</v>
      </c>
    </row>
    <row r="29" customFormat="false" ht="15" hidden="false" customHeight="false" outlineLevel="0" collapsed="false">
      <c r="A29" s="3" t="s">
        <v>163</v>
      </c>
      <c r="B29" s="4" t="s">
        <v>164</v>
      </c>
      <c r="C29" s="17" t="n">
        <f aca="false">IF(C28=0,0,C27/C28)</f>
        <v>10.69087971</v>
      </c>
      <c r="D29" s="17" t="n">
        <f aca="false">IF(D28=0,0,D27/D28)</f>
        <v>4.86151445738095</v>
      </c>
      <c r="E29" s="17" t="n">
        <f aca="false">IF(E28=0,0,E27/E28)</f>
        <v>40.2688768952381</v>
      </c>
      <c r="F29" s="17" t="n">
        <f aca="false">IF(F28=0,0,F27/F28)</f>
        <v>3.37488814483333</v>
      </c>
      <c r="G29" s="17" t="n">
        <f aca="false">SUM(C29:F29)</f>
        <v>59.1961592074524</v>
      </c>
    </row>
    <row r="30" customFormat="false" ht="15" hidden="false" customHeight="false" outlineLevel="0" collapsed="false">
      <c r="A30" s="3" t="s">
        <v>165</v>
      </c>
      <c r="B30" s="4" t="s">
        <v>160</v>
      </c>
      <c r="C30" s="15" t="n">
        <f aca="false">IF($G29=0,0,C29/$G29)</f>
        <v>0.18060090136142</v>
      </c>
      <c r="D30" s="15" t="n">
        <f aca="false">IF($G29=0,0,D29/$G29)</f>
        <v>0.0821255048041854</v>
      </c>
      <c r="E30" s="15" t="n">
        <f aca="false">IF($G29=0,0,E29/$G29)</f>
        <v>0.680261649309311</v>
      </c>
      <c r="F30" s="15" t="n">
        <f aca="false">IF($G29=0,0,F29/$G29)</f>
        <v>0.0570119445250843</v>
      </c>
      <c r="G30" s="15" t="n">
        <f aca="false">SUM(C30:F30)</f>
        <v>1</v>
      </c>
    </row>
    <row r="31" customFormat="false" ht="15" hidden="false" customHeight="false" outlineLevel="0" collapsed="false">
      <c r="A31" s="12" t="s">
        <v>166</v>
      </c>
      <c r="B31" s="4" t="s">
        <v>164</v>
      </c>
      <c r="C31" s="13" t="n">
        <f aca="false">ROUND(SUM($C30:C30)*$G31,0)</f>
        <v>3</v>
      </c>
      <c r="D31" s="13" t="n">
        <f aca="false">ROUND(SUM($C30:D30)*$G31,0)-ROUND(SUM($C30:C30)*$G31,0)</f>
        <v>1</v>
      </c>
      <c r="E31" s="13" t="n">
        <f aca="false">ROUND(SUM($C30:E30)*$G31,0)-ROUND(SUM($C30:D30)*$G31,0)</f>
        <v>9</v>
      </c>
      <c r="F31" s="13" t="n">
        <f aca="false">ROUND(SUM($C30:F30)*$G31,0)-ROUND(SUM($C30:E30)*$G31,0)</f>
        <v>1</v>
      </c>
      <c r="G31" s="13" t="n">
        <f aca="false">IF(G29=0,0,MIN(Camion!$C$5,INT(Datos!$C$42/(C30*Pallet!C12+D30*Pallet!D12+E30*Pallet!E12+F30*Pallet!F12))))</f>
        <v>14</v>
      </c>
    </row>
    <row r="32" customFormat="false" ht="15" hidden="false" customHeight="false" outlineLevel="0" collapsed="false">
      <c r="A32" s="3" t="s">
        <v>167</v>
      </c>
      <c r="B32" s="4" t="s">
        <v>32</v>
      </c>
      <c r="C32" s="16" t="n">
        <f aca="false">C31*Pallet!C11</f>
        <v>1080</v>
      </c>
      <c r="D32" s="16" t="n">
        <f aca="false">D31*Pallet!D11</f>
        <v>168</v>
      </c>
      <c r="E32" s="16" t="n">
        <f aca="false">E31*Pallet!E11</f>
        <v>756</v>
      </c>
      <c r="F32" s="16" t="n">
        <f aca="false">F31*Pallet!F11</f>
        <v>60</v>
      </c>
      <c r="G32" s="16" t="n">
        <f aca="false">SUM(C32:F32)</f>
        <v>2064</v>
      </c>
    </row>
    <row r="33" customFormat="false" ht="15" hidden="false" customHeight="false" outlineLevel="0" collapsed="false">
      <c r="A33" s="3" t="s">
        <v>168</v>
      </c>
      <c r="B33" s="4" t="s">
        <v>18</v>
      </c>
      <c r="C33" s="16" t="n">
        <f aca="false">C31*Pallet!C12</f>
        <v>2414.4</v>
      </c>
      <c r="D33" s="16" t="n">
        <f aca="false">D31*Pallet!D12</f>
        <v>854.84</v>
      </c>
      <c r="E33" s="16" t="n">
        <f aca="false">E31*Pallet!E12</f>
        <v>6990.48</v>
      </c>
      <c r="F33" s="16" t="n">
        <f aca="false">F31*Pallet!F12</f>
        <v>1038.8</v>
      </c>
      <c r="G33" s="16" t="n">
        <f aca="false">SUM(C33:F33)</f>
        <v>11298.52</v>
      </c>
    </row>
    <row r="34" customFormat="false" ht="15" hidden="false" customHeight="false" outlineLevel="0" collapsed="false">
      <c r="A34" s="12" t="s">
        <v>169</v>
      </c>
      <c r="B34" s="4" t="s">
        <v>156</v>
      </c>
      <c r="C34" s="23"/>
      <c r="D34" s="23"/>
      <c r="E34" s="23"/>
      <c r="F34" s="23"/>
      <c r="G34" s="18" t="n">
        <f aca="false">IF(G31=0,0,G29/G31)</f>
        <v>4.2282970862466</v>
      </c>
    </row>
    <row r="37" customFormat="false" ht="15" hidden="false" customHeight="false" outlineLevel="0" collapsed="false">
      <c r="A37" s="1" t="s">
        <v>170</v>
      </c>
    </row>
    <row r="38" customFormat="false" ht="15" hidden="false" customHeight="false" outlineLevel="0" collapsed="false">
      <c r="A38" s="2"/>
      <c r="B38" s="2" t="s">
        <v>2</v>
      </c>
      <c r="C38" s="2" t="s">
        <v>171</v>
      </c>
      <c r="D38" s="2" t="s">
        <v>172</v>
      </c>
      <c r="E38" s="2" t="s">
        <v>173</v>
      </c>
      <c r="F38" s="2" t="s">
        <v>174</v>
      </c>
      <c r="G38" s="2" t="s">
        <v>175</v>
      </c>
    </row>
    <row r="39" customFormat="false" ht="15" hidden="false" customHeight="false" outlineLevel="0" collapsed="false">
      <c r="A39" s="12" t="s">
        <v>145</v>
      </c>
      <c r="B39" s="4" t="s">
        <v>32</v>
      </c>
      <c r="C39" s="13" t="n">
        <f aca="false">Camion!C14</f>
        <v>14</v>
      </c>
      <c r="D39" s="13" t="n">
        <f aca="false">Camion!D14</f>
        <v>10</v>
      </c>
      <c r="E39" s="13" t="n">
        <f aca="false">Camion!E14</f>
        <v>7</v>
      </c>
      <c r="F39" s="13" t="n">
        <f aca="false">Camion!F14</f>
        <v>7</v>
      </c>
      <c r="G39" s="13" t="n">
        <f aca="false">$G$64</f>
        <v>9</v>
      </c>
    </row>
    <row r="40" customFormat="false" ht="15" hidden="false" customHeight="false" outlineLevel="0" collapsed="false">
      <c r="A40" s="12" t="s">
        <v>154</v>
      </c>
      <c r="B40" s="4" t="s">
        <v>32</v>
      </c>
      <c r="C40" s="13" t="n">
        <f aca="false">C39</f>
        <v>14</v>
      </c>
      <c r="D40" s="13" t="n">
        <f aca="false">D39</f>
        <v>10</v>
      </c>
      <c r="E40" s="13" t="n">
        <f aca="false">E39</f>
        <v>7</v>
      </c>
      <c r="F40" s="13" t="n">
        <f aca="false">F39</f>
        <v>7</v>
      </c>
      <c r="G40" s="13" t="n">
        <f aca="false">G39</f>
        <v>9</v>
      </c>
    </row>
    <row r="41" customFormat="false" ht="15" hidden="false" customHeight="false" outlineLevel="0" collapsed="false">
      <c r="A41" s="12" t="s">
        <v>155</v>
      </c>
    </row>
    <row r="42" customFormat="false" ht="15" hidden="false" customHeight="false" outlineLevel="0" collapsed="false">
      <c r="A42" s="3" t="s">
        <v>96</v>
      </c>
      <c r="B42" s="4" t="s">
        <v>156</v>
      </c>
      <c r="C42" s="19" t="n">
        <f aca="false">IF(C$40=0,0,Demanda!F24/C$40)</f>
        <v>0.687999916464286</v>
      </c>
      <c r="D42" s="19" t="n">
        <f aca="false">IF(D$40=0,0,Demanda!G24/D$40)</f>
        <v>2.1190397428375</v>
      </c>
      <c r="E42" s="19" t="n">
        <f aca="false">IF(E$40=0,0,Demanda!H24/E$40)</f>
        <v>0.66047992</v>
      </c>
      <c r="F42" s="19" t="n">
        <f aca="false">IF(F$40=0,0,Demanda!I24/F$40)</f>
        <v>0.440319946464286</v>
      </c>
      <c r="G42" s="19" t="n">
        <f aca="false">IF($G$64=0,0,Demanda!S24/$G$64)</f>
        <v>4.28088836934722</v>
      </c>
    </row>
    <row r="43" customFormat="false" ht="15" hidden="false" customHeight="false" outlineLevel="0" collapsed="false">
      <c r="A43" s="3" t="s">
        <v>97</v>
      </c>
      <c r="B43" s="4" t="s">
        <v>156</v>
      </c>
      <c r="C43" s="19" t="n">
        <f aca="false">IF(C$40=0,0,Demanda!F25/C$40)</f>
        <v>0.607058749821429</v>
      </c>
      <c r="D43" s="19" t="n">
        <f aca="false">IF(D$40=0,0,Demanda!G25/D$40)</f>
        <v>1.8697409495625</v>
      </c>
      <c r="E43" s="19" t="n">
        <f aca="false">IF(E$40=0,0,Demanda!H25/E$40)</f>
        <v>0.5827764</v>
      </c>
      <c r="F43" s="19" t="n">
        <f aca="false">IF(F$40=0,0,Demanda!I25/F$40)</f>
        <v>0.388517599821429</v>
      </c>
      <c r="G43" s="19" t="n">
        <f aca="false">IF($G$64=0,0,Demanda!S25/$G$64)</f>
        <v>3.77725444354167</v>
      </c>
    </row>
    <row r="44" customFormat="false" ht="15" hidden="false" customHeight="false" outlineLevel="0" collapsed="false">
      <c r="A44" s="3" t="s">
        <v>98</v>
      </c>
      <c r="B44" s="4" t="s">
        <v>156</v>
      </c>
      <c r="C44" s="19" t="n">
        <f aca="false">IF(C$40=0,0,Demanda!F26/C$40)</f>
        <v>0.728470499785714</v>
      </c>
      <c r="D44" s="19" t="n">
        <f aca="false">IF(D$40=0,0,Demanda!G26/D$40)</f>
        <v>2.243689139475</v>
      </c>
      <c r="E44" s="19" t="n">
        <f aca="false">IF(E$40=0,0,Demanda!H26/E$40)</f>
        <v>0.69933168</v>
      </c>
      <c r="F44" s="19" t="n">
        <f aca="false">IF(F$40=0,0,Demanda!I26/F$40)</f>
        <v>0.466221119785714</v>
      </c>
      <c r="G44" s="19" t="n">
        <f aca="false">IF($G$64=0,0,Demanda!S26/$G$64)</f>
        <v>4.53270533225</v>
      </c>
    </row>
    <row r="45" customFormat="false" ht="15" hidden="false" customHeight="false" outlineLevel="0" collapsed="false">
      <c r="A45" s="3" t="s">
        <v>99</v>
      </c>
      <c r="B45" s="4" t="s">
        <v>156</v>
      </c>
      <c r="C45" s="19" t="n">
        <f aca="false">IF(C$40=0,0,Demanda!F27/C$40)</f>
        <v>0.728470499785714</v>
      </c>
      <c r="D45" s="19" t="n">
        <f aca="false">IF(D$40=0,0,Demanda!G27/D$40)</f>
        <v>2.243689139475</v>
      </c>
      <c r="E45" s="19" t="n">
        <f aca="false">IF(E$40=0,0,Demanda!H27/E$40)</f>
        <v>0.69933168</v>
      </c>
      <c r="F45" s="19" t="n">
        <f aca="false">IF(F$40=0,0,Demanda!I27/F$40)</f>
        <v>0.466221119785714</v>
      </c>
      <c r="G45" s="19" t="n">
        <f aca="false">IF($G$64=0,0,Demanda!S27/$G$64)</f>
        <v>4.53270533225</v>
      </c>
    </row>
    <row r="46" customFormat="false" ht="15" hidden="false" customHeight="false" outlineLevel="0" collapsed="false">
      <c r="A46" s="3" t="s">
        <v>100</v>
      </c>
      <c r="B46" s="4" t="s">
        <v>156</v>
      </c>
      <c r="C46" s="19" t="n">
        <f aca="false">IF(C$40=0,0,Demanda!F28/C$40)</f>
        <v>0.728470499785714</v>
      </c>
      <c r="D46" s="19" t="n">
        <f aca="false">IF(D$40=0,0,Demanda!G28/D$40)</f>
        <v>2.243689139475</v>
      </c>
      <c r="E46" s="19" t="n">
        <f aca="false">IF(E$40=0,0,Demanda!H28/E$40)</f>
        <v>0.69933168</v>
      </c>
      <c r="F46" s="19" t="n">
        <f aca="false">IF(F$40=0,0,Demanda!I28/F$40)</f>
        <v>0.466221119785714</v>
      </c>
      <c r="G46" s="19" t="n">
        <f aca="false">IF($G$64=0,0,Demanda!S28/$G$64)</f>
        <v>4.53270533225</v>
      </c>
    </row>
    <row r="47" customFormat="false" ht="15" hidden="false" customHeight="false" outlineLevel="0" collapsed="false">
      <c r="A47" s="3" t="s">
        <v>101</v>
      </c>
      <c r="B47" s="4" t="s">
        <v>156</v>
      </c>
      <c r="C47" s="19" t="n">
        <f aca="false">IF(C$40=0,0,Demanda!F29/C$40)</f>
        <v>0.647529333142857</v>
      </c>
      <c r="D47" s="19" t="n">
        <f aca="false">IF(D$40=0,0,Demanda!G29/D$40)</f>
        <v>1.9943903462</v>
      </c>
      <c r="E47" s="19" t="n">
        <f aca="false">IF(E$40=0,0,Demanda!H29/E$40)</f>
        <v>0.62162816</v>
      </c>
      <c r="F47" s="19" t="n">
        <f aca="false">IF(F$40=0,0,Demanda!I29/F$40)</f>
        <v>0.414418773142857</v>
      </c>
      <c r="G47" s="19" t="n">
        <f aca="false">IF($G$64=0,0,Demanda!S29/$G$64)</f>
        <v>4.02907140644444</v>
      </c>
    </row>
    <row r="48" customFormat="false" ht="15" hidden="false" customHeight="false" outlineLevel="0" collapsed="false">
      <c r="A48" s="3" t="s">
        <v>102</v>
      </c>
      <c r="B48" s="4" t="s">
        <v>156</v>
      </c>
      <c r="C48" s="19" t="n">
        <f aca="false">IF(C$40=0,0,Demanda!F30/C$40)</f>
        <v>0.728470499785714</v>
      </c>
      <c r="D48" s="19" t="n">
        <f aca="false">IF(D$40=0,0,Demanda!G30/D$40)</f>
        <v>2.243689139475</v>
      </c>
      <c r="E48" s="19" t="n">
        <f aca="false">IF(E$40=0,0,Demanda!H30/E$40)</f>
        <v>0.69933168</v>
      </c>
      <c r="F48" s="19" t="n">
        <f aca="false">IF(F$40=0,0,Demanda!I30/F$40)</f>
        <v>0.466221119785714</v>
      </c>
      <c r="G48" s="19" t="n">
        <f aca="false">IF($G$64=0,0,Demanda!S30/$G$64)</f>
        <v>4.53270533225</v>
      </c>
    </row>
    <row r="49" customFormat="false" ht="15" hidden="false" customHeight="false" outlineLevel="0" collapsed="false">
      <c r="A49" s="3" t="s">
        <v>103</v>
      </c>
      <c r="B49" s="4" t="s">
        <v>156</v>
      </c>
      <c r="C49" s="19" t="n">
        <f aca="false">IF(C$40=0,0,Demanda!F31/C$40)</f>
        <v>0.728470499785714</v>
      </c>
      <c r="D49" s="19" t="n">
        <f aca="false">IF(D$40=0,0,Demanda!G31/D$40)</f>
        <v>2.243689139475</v>
      </c>
      <c r="E49" s="19" t="n">
        <f aca="false">IF(E$40=0,0,Demanda!H31/E$40)</f>
        <v>0.69933168</v>
      </c>
      <c r="F49" s="19" t="n">
        <f aca="false">IF(F$40=0,0,Demanda!I31/F$40)</f>
        <v>0.466221119785714</v>
      </c>
      <c r="G49" s="19" t="n">
        <f aca="false">IF($G$64=0,0,Demanda!S31/$G$64)</f>
        <v>4.53270533225</v>
      </c>
    </row>
    <row r="50" customFormat="false" ht="15" hidden="false" customHeight="false" outlineLevel="0" collapsed="false">
      <c r="A50" s="3" t="s">
        <v>104</v>
      </c>
      <c r="B50" s="4" t="s">
        <v>156</v>
      </c>
      <c r="C50" s="19" t="n">
        <f aca="false">IF(C$40=0,0,Demanda!F32/C$40)</f>
        <v>0.687999916464286</v>
      </c>
      <c r="D50" s="19" t="n">
        <f aca="false">IF(D$40=0,0,Demanda!G32/D$40)</f>
        <v>2.1190397428375</v>
      </c>
      <c r="E50" s="19" t="n">
        <f aca="false">IF(E$40=0,0,Demanda!H32/E$40)</f>
        <v>0.66047992</v>
      </c>
      <c r="F50" s="19" t="n">
        <f aca="false">IF(F$40=0,0,Demanda!I32/F$40)</f>
        <v>0.440319946464286</v>
      </c>
      <c r="G50" s="19" t="n">
        <f aca="false">IF($G$64=0,0,Demanda!S32/$G$64)</f>
        <v>4.28088836934722</v>
      </c>
    </row>
    <row r="51" customFormat="false" ht="15" hidden="false" customHeight="false" outlineLevel="0" collapsed="false">
      <c r="A51" s="3" t="s">
        <v>105</v>
      </c>
      <c r="B51" s="4" t="s">
        <v>156</v>
      </c>
      <c r="C51" s="19" t="n">
        <f aca="false">IF(C$40=0,0,Demanda!F33/C$40)</f>
        <v>0.607058749821429</v>
      </c>
      <c r="D51" s="19" t="n">
        <f aca="false">IF(D$40=0,0,Demanda!G33/D$40)</f>
        <v>1.8697409495625</v>
      </c>
      <c r="E51" s="19" t="n">
        <f aca="false">IF(E$40=0,0,Demanda!H33/E$40)</f>
        <v>0.5827764</v>
      </c>
      <c r="F51" s="19" t="n">
        <f aca="false">IF(F$40=0,0,Demanda!I33/F$40)</f>
        <v>0.388517599821429</v>
      </c>
      <c r="G51" s="19" t="n">
        <f aca="false">IF($G$64=0,0,Demanda!S33/$G$64)</f>
        <v>3.77725444354167</v>
      </c>
    </row>
    <row r="52" customFormat="false" ht="15" hidden="false" customHeight="false" outlineLevel="0" collapsed="false">
      <c r="A52" s="3" t="s">
        <v>106</v>
      </c>
      <c r="B52" s="4" t="s">
        <v>156</v>
      </c>
      <c r="C52" s="19" t="n">
        <f aca="false">IF(C$40=0,0,Demanda!F34/C$40)</f>
        <v>0.5665881665</v>
      </c>
      <c r="D52" s="19" t="n">
        <f aca="false">IF(D$40=0,0,Demanda!G34/D$40)</f>
        <v>1.745091552925</v>
      </c>
      <c r="E52" s="19" t="n">
        <f aca="false">IF(E$40=0,0,Demanda!H34/E$40)</f>
        <v>0.54392464</v>
      </c>
      <c r="F52" s="19" t="n">
        <f aca="false">IF(F$40=0,0,Demanda!I34/F$40)</f>
        <v>0.3626164265</v>
      </c>
      <c r="G52" s="19" t="n">
        <f aca="false">IF($G$64=0,0,Demanda!S34/$G$64)</f>
        <v>3.52543748063889</v>
      </c>
    </row>
    <row r="53" customFormat="false" ht="15" hidden="false" customHeight="false" outlineLevel="0" collapsed="false">
      <c r="A53" s="3" t="s">
        <v>107</v>
      </c>
      <c r="B53" s="4" t="s">
        <v>156</v>
      </c>
      <c r="C53" s="19" t="n">
        <f aca="false">IF(C$40=0,0,Demanda!F35/C$40)</f>
        <v>0.647529333142857</v>
      </c>
      <c r="D53" s="19" t="n">
        <f aca="false">IF(D$40=0,0,Demanda!G35/D$40)</f>
        <v>1.9943903462</v>
      </c>
      <c r="E53" s="19" t="n">
        <f aca="false">IF(E$40=0,0,Demanda!H35/E$40)</f>
        <v>0.62162816</v>
      </c>
      <c r="F53" s="19" t="n">
        <f aca="false">IF(F$40=0,0,Demanda!I35/F$40)</f>
        <v>0.414418773142857</v>
      </c>
      <c r="G53" s="19" t="n">
        <f aca="false">IF($G$64=0,0,Demanda!S35/$G$64)</f>
        <v>4.02907140644444</v>
      </c>
    </row>
    <row r="54" customFormat="false" ht="15" hidden="false" customHeight="false" outlineLevel="0" collapsed="false">
      <c r="A54" s="12" t="s">
        <v>157</v>
      </c>
      <c r="B54" s="4" t="s">
        <v>156</v>
      </c>
      <c r="C54" s="21" t="n">
        <f aca="false">MAX(C42:C53)</f>
        <v>0.728470499785714</v>
      </c>
      <c r="D54" s="21" t="n">
        <f aca="false">MAX(D42:D53)</f>
        <v>2.243689139475</v>
      </c>
      <c r="E54" s="21" t="n">
        <f aca="false">MAX(E42:E53)</f>
        <v>0.69933168</v>
      </c>
      <c r="F54" s="21" t="n">
        <f aca="false">MAX(F42:F53)</f>
        <v>0.466221119785714</v>
      </c>
      <c r="G54" s="21" t="n">
        <f aca="false">MAX(G42:G53)</f>
        <v>4.53270533225</v>
      </c>
    </row>
    <row r="55" customFormat="false" ht="15" hidden="false" customHeight="false" outlineLevel="0" collapsed="false">
      <c r="A55" s="12" t="s">
        <v>158</v>
      </c>
      <c r="B55" s="4"/>
      <c r="C55" s="22" t="str">
        <f aca="false">IF(C54=0,"-",IF(C54&gt;=1,ROUNDUP(C54*Datos!$C$4,0)&amp;" por mes",IF(INT(1/C54)=1,"1 por semana","1 cada "&amp;INT(1/C54)&amp;" semanas")))</f>
        <v>1 por semana</v>
      </c>
      <c r="D55" s="22" t="str">
        <f aca="false">IF(D54=0,"-",IF(D54&gt;=1,ROUNDUP(D54*Datos!$C$4,0)&amp;" por mes",IF(INT(1/D54)=1,"1 por semana","1 cada "&amp;INT(1/D54)&amp;" semanas")))</f>
        <v>9 por mes</v>
      </c>
      <c r="E55" s="22" t="str">
        <f aca="false">IF(E54=0,"-",IF(E54&gt;=1,ROUNDUP(E54*Datos!$C$4,0)&amp;" por mes",IF(INT(1/E54)=1,"1 por semana","1 cada "&amp;INT(1/E54)&amp;" semanas")))</f>
        <v>1 por semana</v>
      </c>
      <c r="F55" s="22" t="str">
        <f aca="false">IF(F54=0,"-",IF(F54&gt;=1,ROUNDUP(F54*Datos!$C$4,0)&amp;" por mes",IF(INT(1/F54)=1,"1 por semana","1 cada "&amp;INT(1/F54)&amp;" semanas")))</f>
        <v>1 cada 2 semanas</v>
      </c>
      <c r="G55" s="22" t="str">
        <f aca="false">IF(G54=0,"-",IF(G54&gt;=1,ROUNDUP(G54*Datos!$C$4,0)&amp;" por mes",IF(INT(1/G54)=1,"1 por semana","1 cada "&amp;INT(1/G54)&amp;" semanas")))</f>
        <v>19 por mes</v>
      </c>
    </row>
    <row r="56" customFormat="false" ht="15" hidden="false" customHeight="false" outlineLevel="0" collapsed="false">
      <c r="A56" s="3" t="s">
        <v>159</v>
      </c>
      <c r="B56" s="4" t="s">
        <v>160</v>
      </c>
      <c r="C56" s="15" t="n">
        <f aca="false">IF(C54=0,0,IF(C54&gt;=1,C54*Datos!$C$4/ROUNDUP(C54*Datos!$C$4,0),C54*INT(1/C54)))</f>
        <v>0.728470499785714</v>
      </c>
      <c r="D56" s="15" t="n">
        <f aca="false">IF(D54=0,0,IF(D54&gt;=1,D54*Datos!$C$4/ROUNDUP(D54*Datos!$C$4,0),D54*INT(1/D54)))</f>
        <v>0.9971951731</v>
      </c>
      <c r="E56" s="15" t="n">
        <f aca="false">IF(E54=0,0,IF(E54&gt;=1,E54*Datos!$C$4/ROUNDUP(E54*Datos!$C$4,0),E54*INT(1/E54)))</f>
        <v>0.69933168</v>
      </c>
      <c r="F56" s="15" t="n">
        <f aca="false">IF(F54=0,0,IF(F54&gt;=1,F54*Datos!$C$4/ROUNDUP(F54*Datos!$C$4,0),F54*INT(1/F54)))</f>
        <v>0.932442239571429</v>
      </c>
      <c r="G56" s="15" t="n">
        <f aca="false">IF(G54=0,0,IF(G54&gt;=1,G54*Datos!$C$4/ROUNDUP(G54*Datos!$C$4,0),G54*INT(1/G54)))</f>
        <v>0.954253754157895</v>
      </c>
    </row>
    <row r="58" customFormat="false" ht="15" hidden="false" customHeight="false" outlineLevel="0" collapsed="false">
      <c r="A58" s="1" t="s">
        <v>176</v>
      </c>
    </row>
    <row r="59" customFormat="false" ht="15" hidden="false" customHeight="false" outlineLevel="0" collapsed="false">
      <c r="A59" s="2"/>
      <c r="B59" s="2" t="s">
        <v>2</v>
      </c>
      <c r="C59" s="2" t="s">
        <v>42</v>
      </c>
      <c r="D59" s="2" t="s">
        <v>43</v>
      </c>
      <c r="E59" s="2" t="s">
        <v>44</v>
      </c>
      <c r="F59" s="2" t="s">
        <v>45</v>
      </c>
      <c r="G59" s="2" t="s">
        <v>108</v>
      </c>
    </row>
    <row r="60" customFormat="false" ht="15" hidden="false" customHeight="false" outlineLevel="0" collapsed="false">
      <c r="A60" s="3" t="s">
        <v>157</v>
      </c>
      <c r="B60" s="4"/>
      <c r="C60" s="4" t="str">
        <f aca="false">INDEX(Demanda!$A$24:$A$35,MATCH(MAX(Demanda!$S$24:$S$35),Demanda!$S$24:$S$35,0))</f>
        <v>Mar</v>
      </c>
    </row>
    <row r="61" customFormat="false" ht="15" hidden="false" customHeight="false" outlineLevel="0" collapsed="false">
      <c r="A61" s="3" t="s">
        <v>162</v>
      </c>
      <c r="B61" s="4" t="s">
        <v>32</v>
      </c>
      <c r="C61" s="16" t="n">
        <f aca="false">INDEX(Demanda!F$24:F$35,MATCH(MAX(Demanda!$S$24:$S$35),Demanda!$S$24:$S$35,0))*Datos!$C$4</f>
        <v>40.794347988</v>
      </c>
      <c r="D61" s="16" t="n">
        <f aca="false">INDEX(Demanda!G$24:G$35,MATCH(MAX(Demanda!$S$24:$S$35),Demanda!$S$24:$S$35,0))*Datos!$C$4</f>
        <v>89.747565579</v>
      </c>
      <c r="E61" s="16" t="n">
        <f aca="false">INDEX(Demanda!H$24:H$35,MATCH(MAX(Demanda!$S$24:$S$35),Demanda!$S$24:$S$35,0))*Datos!$C$4</f>
        <v>19.58128704</v>
      </c>
      <c r="F61" s="16" t="n">
        <f aca="false">INDEX(Demanda!I$24:I$35,MATCH(MAX(Demanda!$S$24:$S$35),Demanda!$S$24:$S$35,0))*Datos!$C$4</f>
        <v>13.054191354</v>
      </c>
      <c r="G61" s="16" t="n">
        <f aca="false">SUM(C61:F61)</f>
        <v>163.177391961</v>
      </c>
    </row>
    <row r="62" customFormat="false" ht="15" hidden="false" customHeight="false" outlineLevel="0" collapsed="false">
      <c r="A62" s="3" t="s">
        <v>177</v>
      </c>
      <c r="B62" s="4" t="s">
        <v>178</v>
      </c>
      <c r="C62" s="16" t="n">
        <f aca="false">Camion!C12</f>
        <v>14</v>
      </c>
      <c r="D62" s="16" t="n">
        <f aca="false">Camion!D12</f>
        <v>10</v>
      </c>
      <c r="E62" s="16" t="n">
        <f aca="false">Camion!E12</f>
        <v>7</v>
      </c>
      <c r="F62" s="16" t="n">
        <f aca="false">Camion!F12</f>
        <v>7</v>
      </c>
    </row>
    <row r="63" customFormat="false" ht="15" hidden="false" customHeight="false" outlineLevel="0" collapsed="false">
      <c r="A63" s="3" t="s">
        <v>165</v>
      </c>
      <c r="B63" s="4" t="s">
        <v>160</v>
      </c>
      <c r="C63" s="15" t="n">
        <f aca="false">IF($G61=0,0,C61/$G61)</f>
        <v>0.249999999986211</v>
      </c>
      <c r="D63" s="15" t="n">
        <f aca="false">IF($G61=0,0,D61/$G61)</f>
        <v>0.550000000002758</v>
      </c>
      <c r="E63" s="15" t="n">
        <f aca="false">IF($G61=0,0,E61/$G61)</f>
        <v>0.12000000002868</v>
      </c>
      <c r="F63" s="15" t="n">
        <f aca="false">IF($G61=0,0,F61/$G61)</f>
        <v>0.0799999999823505</v>
      </c>
      <c r="G63" s="15" t="n">
        <f aca="false">SUM(C63:F63)</f>
        <v>1</v>
      </c>
    </row>
    <row r="64" customFormat="false" ht="15" hidden="false" customHeight="false" outlineLevel="0" collapsed="false">
      <c r="A64" s="12" t="s">
        <v>179</v>
      </c>
      <c r="B64" s="4" t="s">
        <v>178</v>
      </c>
      <c r="C64" s="13" t="n">
        <f aca="false">ROUND(SUM($C63:C63)*$G64,0)</f>
        <v>2</v>
      </c>
      <c r="D64" s="13" t="n">
        <f aca="false">ROUND(SUM($C63:D63)*$G64,0)-ROUND(SUM($C63:C63)*$G64,0)</f>
        <v>5</v>
      </c>
      <c r="E64" s="13" t="n">
        <f aca="false">ROUND(SUM($C63:E63)*$G64,0)-ROUND(SUM($C63:D63)*$G64,0)</f>
        <v>1</v>
      </c>
      <c r="F64" s="13" t="n">
        <f aca="false">ROUND(SUM($C63:F63)*$G64,0)-ROUND(SUM($C63:E63)*$G64,0)</f>
        <v>1</v>
      </c>
      <c r="G64" s="13" t="n">
        <f aca="false">IF(G61=0,0,MIN(INT(1/(C63/C62+D63/D62+E63/E62+F63/F62)),INT(Datos!$C$51/(C63*Datos!$C$36+D63*Datos!$D$36+E63*Datos!$E$36+F63*Datos!$F$36))))</f>
        <v>9</v>
      </c>
    </row>
    <row r="65" customFormat="false" ht="15" hidden="false" customHeight="false" outlineLevel="0" collapsed="false">
      <c r="A65" s="3" t="s">
        <v>180</v>
      </c>
      <c r="B65" s="4" t="s">
        <v>160</v>
      </c>
      <c r="C65" s="15" t="n">
        <f aca="false">IF(C62=0,0,C64/C62)</f>
        <v>0.142857142857143</v>
      </c>
      <c r="D65" s="15" t="n">
        <f aca="false">IF(D62=0,0,D64/D62)</f>
        <v>0.5</v>
      </c>
      <c r="E65" s="15" t="n">
        <f aca="false">IF(E62=0,0,E64/E62)</f>
        <v>0.142857142857143</v>
      </c>
      <c r="F65" s="15" t="n">
        <f aca="false">IF(F62=0,0,F64/F62)</f>
        <v>0.142857142857143</v>
      </c>
      <c r="G65" s="15" t="n">
        <f aca="false">SUM(C65:F65)</f>
        <v>0.928571428571429</v>
      </c>
    </row>
    <row r="66" customFormat="false" ht="15" hidden="false" customHeight="false" outlineLevel="0" collapsed="false">
      <c r="A66" s="3" t="s">
        <v>181</v>
      </c>
      <c r="B66" s="4" t="s">
        <v>18</v>
      </c>
      <c r="C66" s="16" t="n">
        <f aca="false">C64*Datos!$C$36</f>
        <v>110</v>
      </c>
      <c r="D66" s="16" t="n">
        <f aca="false">D64*Datos!$D$36</f>
        <v>500</v>
      </c>
      <c r="E66" s="16" t="n">
        <f aca="false">E64*Datos!$E$36</f>
        <v>140</v>
      </c>
      <c r="F66" s="16" t="n">
        <f aca="false">F64*Datos!$F$36</f>
        <v>185</v>
      </c>
      <c r="G66" s="16" t="n">
        <f aca="false">SUM(C66:F66)</f>
        <v>935</v>
      </c>
    </row>
    <row r="67" customFormat="false" ht="15" hidden="false" customHeight="false" outlineLevel="0" collapsed="false">
      <c r="A67" s="12" t="s">
        <v>169</v>
      </c>
      <c r="B67" s="4" t="s">
        <v>156</v>
      </c>
      <c r="C67" s="23"/>
      <c r="D67" s="23"/>
      <c r="E67" s="23"/>
      <c r="F67" s="23"/>
      <c r="G67" s="18" t="n">
        <f aca="false">IF(G64=0,0,G61/G64)</f>
        <v>18.130821329</v>
      </c>
    </row>
    <row r="70" customFormat="false" ht="15" hidden="false" customHeight="false" outlineLevel="0" collapsed="false">
      <c r="A70" s="1" t="s">
        <v>182</v>
      </c>
    </row>
    <row r="71" customFormat="false" ht="15" hidden="false" customHeight="false" outlineLevel="0" collapsed="false">
      <c r="A71" s="2"/>
      <c r="B71" s="2" t="s">
        <v>2</v>
      </c>
      <c r="C71" s="2" t="s">
        <v>147</v>
      </c>
      <c r="D71" s="2" t="s">
        <v>148</v>
      </c>
      <c r="E71" s="2" t="s">
        <v>149</v>
      </c>
      <c r="F71" s="2" t="s">
        <v>150</v>
      </c>
      <c r="G71" s="2" t="s">
        <v>151</v>
      </c>
    </row>
    <row r="72" customFormat="false" ht="15" hidden="false" customHeight="false" outlineLevel="0" collapsed="false">
      <c r="A72" s="3" t="s">
        <v>152</v>
      </c>
      <c r="B72" s="4" t="s">
        <v>32</v>
      </c>
      <c r="C72" s="16" t="n">
        <f aca="false">Pallet!C23</f>
        <v>780</v>
      </c>
      <c r="D72" s="16" t="n">
        <f aca="false">Pallet!D23</f>
        <v>288</v>
      </c>
      <c r="E72" s="16" t="n">
        <f aca="false">Pallet!E23</f>
        <v>126</v>
      </c>
      <c r="F72" s="16" t="n">
        <f aca="false">Pallet!F23</f>
        <v>60</v>
      </c>
      <c r="G72" s="20" t="s">
        <v>153</v>
      </c>
    </row>
    <row r="73" customFormat="false" ht="15" hidden="false" customHeight="false" outlineLevel="0" collapsed="false">
      <c r="A73" s="3" t="s">
        <v>128</v>
      </c>
      <c r="B73" s="4" t="s">
        <v>18</v>
      </c>
      <c r="C73" s="16" t="n">
        <f aca="false">Pallet!C24</f>
        <v>630.8</v>
      </c>
      <c r="D73" s="16" t="n">
        <f aca="false">Pallet!D24</f>
        <v>464.24</v>
      </c>
      <c r="E73" s="16" t="n">
        <f aca="false">Pallet!E24</f>
        <v>387.68</v>
      </c>
      <c r="F73" s="16" t="n">
        <f aca="false">Pallet!F24</f>
        <v>365.6</v>
      </c>
      <c r="G73" s="20" t="s">
        <v>153</v>
      </c>
    </row>
    <row r="74" customFormat="false" ht="15" hidden="false" customHeight="false" outlineLevel="0" collapsed="false">
      <c r="A74" s="12" t="s">
        <v>138</v>
      </c>
      <c r="B74" s="4" t="s">
        <v>32</v>
      </c>
      <c r="C74" s="13" t="n">
        <f aca="false">IF(C73=0,0,MIN(Camion!$C$5,INT(Datos!$C$42/C73)))</f>
        <v>14</v>
      </c>
      <c r="D74" s="13" t="n">
        <f aca="false">IF(D73=0,0,MIN(Camion!$C$5,INT(Datos!$C$42/D73)))</f>
        <v>14</v>
      </c>
      <c r="E74" s="13" t="n">
        <f aca="false">IF(E73=0,0,MIN(Camion!$C$5,INT(Datos!$C$42/E73)))</f>
        <v>14</v>
      </c>
      <c r="F74" s="13" t="n">
        <f aca="false">IF(F73=0,0,MIN(Camion!$C$5,INT(Datos!$C$42/F73)))</f>
        <v>14</v>
      </c>
      <c r="G74" s="13" t="n">
        <f aca="false">$G$100</f>
        <v>14</v>
      </c>
    </row>
    <row r="75" customFormat="false" ht="15" hidden="false" customHeight="false" outlineLevel="0" collapsed="false">
      <c r="A75" s="12" t="s">
        <v>154</v>
      </c>
      <c r="B75" s="4" t="s">
        <v>32</v>
      </c>
      <c r="C75" s="13" t="n">
        <f aca="false">C74*C72</f>
        <v>10920</v>
      </c>
      <c r="D75" s="13" t="n">
        <f aca="false">D74*D72</f>
        <v>4032</v>
      </c>
      <c r="E75" s="13" t="n">
        <f aca="false">E74*E72</f>
        <v>1764</v>
      </c>
      <c r="F75" s="13" t="n">
        <f aca="false">F74*F72</f>
        <v>840</v>
      </c>
      <c r="G75" s="13" t="n">
        <f aca="false">$G$101</f>
        <v>5784</v>
      </c>
    </row>
    <row r="76" customFormat="false" ht="15" hidden="false" customHeight="false" outlineLevel="0" collapsed="false">
      <c r="A76" s="12" t="s">
        <v>155</v>
      </c>
    </row>
    <row r="77" customFormat="false" ht="15" hidden="false" customHeight="false" outlineLevel="0" collapsed="false">
      <c r="A77" s="3" t="s">
        <v>96</v>
      </c>
      <c r="B77" s="4" t="s">
        <v>156</v>
      </c>
      <c r="C77" s="19" t="n">
        <f aca="false">IF(C$75=0,0,Demanda!J24/C$75)</f>
        <v>0.468538461538462</v>
      </c>
      <c r="D77" s="19" t="n">
        <f aca="false">IF(D$75=0,0,Demanda!K24/D$75)</f>
        <v>0.0413504464285714</v>
      </c>
      <c r="E77" s="19" t="n">
        <f aca="false">IF(E$75=0,0,Demanda!L24/E$75)</f>
        <v>0.466482426303855</v>
      </c>
      <c r="F77" s="19" t="n">
        <f aca="false">IF(F$75=0,0,Demanda!M24/F$75)</f>
        <v>0.0598511904761905</v>
      </c>
      <c r="G77" s="19" t="n">
        <f aca="false">IF($G$100=0,0,Demanda!T24/$G$100)</f>
        <v>1.03622252474708</v>
      </c>
    </row>
    <row r="78" customFormat="false" ht="15" hidden="false" customHeight="false" outlineLevel="0" collapsed="false">
      <c r="A78" s="3" t="s">
        <v>97</v>
      </c>
      <c r="B78" s="4" t="s">
        <v>156</v>
      </c>
      <c r="C78" s="19" t="n">
        <f aca="false">IF(C$75=0,0,Demanda!J25/C$75)</f>
        <v>0.351403846153846</v>
      </c>
      <c r="D78" s="19" t="n">
        <f aca="false">IF(D$75=0,0,Demanda!K25/D$75)</f>
        <v>0.0330803571428571</v>
      </c>
      <c r="E78" s="19" t="n">
        <f aca="false">IF(E$75=0,0,Demanda!L25/E$75)</f>
        <v>0.373185941043084</v>
      </c>
      <c r="F78" s="19" t="n">
        <f aca="false">IF(F$75=0,0,Demanda!M25/F$75)</f>
        <v>0.0478809523809524</v>
      </c>
      <c r="G78" s="19" t="n">
        <f aca="false">IF($G$100=0,0,Demanda!T25/$G$100)</f>
        <v>0.80555109672074</v>
      </c>
    </row>
    <row r="79" customFormat="false" ht="15" hidden="false" customHeight="false" outlineLevel="0" collapsed="false">
      <c r="A79" s="3" t="s">
        <v>98</v>
      </c>
      <c r="B79" s="4" t="s">
        <v>156</v>
      </c>
      <c r="C79" s="19" t="n">
        <f aca="false">IF(C$75=0,0,Demanda!J26/C$75)</f>
        <v>0.312358974358974</v>
      </c>
      <c r="D79" s="19" t="n">
        <f aca="false">IF(D$75=0,0,Demanda!K26/D$75)</f>
        <v>0.0351478794642857</v>
      </c>
      <c r="E79" s="19" t="n">
        <f aca="false">IF(E$75=0,0,Demanda!L26/E$75)</f>
        <v>0.396510062358277</v>
      </c>
      <c r="F79" s="19" t="n">
        <f aca="false">IF(F$75=0,0,Demanda!M26/F$75)</f>
        <v>0.0508735119047619</v>
      </c>
      <c r="G79" s="19" t="n">
        <f aca="false">IF($G$100=0,0,Demanda!T26/$G$100)</f>
        <v>0.794890428086299</v>
      </c>
    </row>
    <row r="80" customFormat="false" ht="15" hidden="false" customHeight="false" outlineLevel="0" collapsed="false">
      <c r="A80" s="3" t="s">
        <v>99</v>
      </c>
      <c r="B80" s="4" t="s">
        <v>156</v>
      </c>
      <c r="C80" s="19" t="n">
        <f aca="false">IF(C$75=0,0,Demanda!J27/C$75)</f>
        <v>0.292836538461538</v>
      </c>
      <c r="D80" s="19" t="n">
        <f aca="false">IF(D$75=0,0,Demanda!K27/D$75)</f>
        <v>0.0351478794642857</v>
      </c>
      <c r="E80" s="19" t="n">
        <f aca="false">IF(E$75=0,0,Demanda!L27/E$75)</f>
        <v>0.396510062358277</v>
      </c>
      <c r="F80" s="19" t="n">
        <f aca="false">IF(F$75=0,0,Demanda!M27/F$75)</f>
        <v>0.0508735119047619</v>
      </c>
      <c r="G80" s="19" t="n">
        <f aca="false">IF($G$100=0,0,Demanda!T27/$G$100)</f>
        <v>0.775367992188863</v>
      </c>
    </row>
    <row r="81" customFormat="false" ht="15" hidden="false" customHeight="false" outlineLevel="0" collapsed="false">
      <c r="A81" s="3" t="s">
        <v>100</v>
      </c>
      <c r="B81" s="4" t="s">
        <v>156</v>
      </c>
      <c r="C81" s="19" t="n">
        <f aca="false">IF(C$75=0,0,Demanda!J28/C$75)</f>
        <v>0.273314102564103</v>
      </c>
      <c r="D81" s="19" t="n">
        <f aca="false">IF(D$75=0,0,Demanda!K28/D$75)</f>
        <v>0.0330803571428571</v>
      </c>
      <c r="E81" s="19" t="n">
        <f aca="false">IF(E$75=0,0,Demanda!L28/E$75)</f>
        <v>0.373185941043084</v>
      </c>
      <c r="F81" s="19" t="n">
        <f aca="false">IF(F$75=0,0,Demanda!M28/F$75)</f>
        <v>0.0478809523809524</v>
      </c>
      <c r="G81" s="19" t="n">
        <f aca="false">IF($G$100=0,0,Demanda!T28/$G$100)</f>
        <v>0.727461353130996</v>
      </c>
    </row>
    <row r="82" customFormat="false" ht="15" hidden="false" customHeight="false" outlineLevel="0" collapsed="false">
      <c r="A82" s="3" t="s">
        <v>101</v>
      </c>
      <c r="B82" s="4" t="s">
        <v>156</v>
      </c>
      <c r="C82" s="19" t="n">
        <f aca="false">IF(C$75=0,0,Demanda!J29/C$75)</f>
        <v>0.273314102564103</v>
      </c>
      <c r="D82" s="19" t="n">
        <f aca="false">IF(D$75=0,0,Demanda!K29/D$75)</f>
        <v>0.0310128348214286</v>
      </c>
      <c r="E82" s="19" t="n">
        <f aca="false">IF(E$75=0,0,Demanda!L29/E$75)</f>
        <v>0.349861819727891</v>
      </c>
      <c r="F82" s="19" t="n">
        <f aca="false">IF(F$75=0,0,Demanda!M29/F$75)</f>
        <v>0.0448883928571429</v>
      </c>
      <c r="G82" s="19" t="n">
        <f aca="false">IF($G$100=0,0,Demanda!T29/$G$100)</f>
        <v>0.699077149970565</v>
      </c>
    </row>
    <row r="83" customFormat="false" ht="15" hidden="false" customHeight="false" outlineLevel="0" collapsed="false">
      <c r="A83" s="3" t="s">
        <v>102</v>
      </c>
      <c r="B83" s="4" t="s">
        <v>156</v>
      </c>
      <c r="C83" s="19" t="n">
        <f aca="false">IF(C$75=0,0,Demanda!J30/C$75)</f>
        <v>0.292836538461538</v>
      </c>
      <c r="D83" s="19" t="n">
        <f aca="false">IF(D$75=0,0,Demanda!K30/D$75)</f>
        <v>0.0330803571428571</v>
      </c>
      <c r="E83" s="19" t="n">
        <f aca="false">IF(E$75=0,0,Demanda!L30/E$75)</f>
        <v>0.373185941043084</v>
      </c>
      <c r="F83" s="19" t="n">
        <f aca="false">IF(F$75=0,0,Demanda!M30/F$75)</f>
        <v>0.0478809523809524</v>
      </c>
      <c r="G83" s="19" t="n">
        <f aca="false">IF($G$100=0,0,Demanda!T30/$G$100)</f>
        <v>0.746983789028432</v>
      </c>
    </row>
    <row r="84" customFormat="false" ht="15" hidden="false" customHeight="false" outlineLevel="0" collapsed="false">
      <c r="A84" s="3" t="s">
        <v>103</v>
      </c>
      <c r="B84" s="4" t="s">
        <v>156</v>
      </c>
      <c r="C84" s="19" t="n">
        <f aca="false">IF(C$75=0,0,Demanda!J31/C$75)</f>
        <v>0.292836538461538</v>
      </c>
      <c r="D84" s="19" t="n">
        <f aca="false">IF(D$75=0,0,Demanda!K31/D$75)</f>
        <v>0.0330803571428571</v>
      </c>
      <c r="E84" s="19" t="n">
        <f aca="false">IF(E$75=0,0,Demanda!L31/E$75)</f>
        <v>0.373185941043084</v>
      </c>
      <c r="F84" s="19" t="n">
        <f aca="false">IF(F$75=0,0,Demanda!M31/F$75)</f>
        <v>0.0478809523809524</v>
      </c>
      <c r="G84" s="19" t="n">
        <f aca="false">IF($G$100=0,0,Demanda!T31/$G$100)</f>
        <v>0.746983789028432</v>
      </c>
    </row>
    <row r="85" customFormat="false" ht="15" hidden="false" customHeight="false" outlineLevel="0" collapsed="false">
      <c r="A85" s="3" t="s">
        <v>104</v>
      </c>
      <c r="B85" s="4" t="s">
        <v>156</v>
      </c>
      <c r="C85" s="19" t="n">
        <f aca="false">IF(C$75=0,0,Demanda!J32/C$75)</f>
        <v>0.292836538461538</v>
      </c>
      <c r="D85" s="19" t="n">
        <f aca="false">IF(D$75=0,0,Demanda!K32/D$75)</f>
        <v>0.0330803571428571</v>
      </c>
      <c r="E85" s="19" t="n">
        <f aca="false">IF(E$75=0,0,Demanda!L32/E$75)</f>
        <v>0.373185941043084</v>
      </c>
      <c r="F85" s="19" t="n">
        <f aca="false">IF(F$75=0,0,Demanda!M32/F$75)</f>
        <v>0.0478809523809524</v>
      </c>
      <c r="G85" s="19" t="n">
        <f aca="false">IF($G$100=0,0,Demanda!T32/$G$100)</f>
        <v>0.746983789028432</v>
      </c>
    </row>
    <row r="86" customFormat="false" ht="15" hidden="false" customHeight="false" outlineLevel="0" collapsed="false">
      <c r="A86" s="3" t="s">
        <v>105</v>
      </c>
      <c r="B86" s="4" t="s">
        <v>156</v>
      </c>
      <c r="C86" s="19" t="n">
        <f aca="false">IF(C$75=0,0,Demanda!J33/C$75)</f>
        <v>0.292836538461538</v>
      </c>
      <c r="D86" s="19" t="n">
        <f aca="false">IF(D$75=0,0,Demanda!K33/D$75)</f>
        <v>0.0310128348214286</v>
      </c>
      <c r="E86" s="19" t="n">
        <f aca="false">IF(E$75=0,0,Demanda!L33/E$75)</f>
        <v>0.349861819727891</v>
      </c>
      <c r="F86" s="19" t="n">
        <f aca="false">IF(F$75=0,0,Demanda!M33/F$75)</f>
        <v>0.0448883928571429</v>
      </c>
      <c r="G86" s="19" t="n">
        <f aca="false">IF($G$100=0,0,Demanda!T33/$G$100)</f>
        <v>0.718599585868001</v>
      </c>
    </row>
    <row r="87" customFormat="false" ht="15" hidden="false" customHeight="false" outlineLevel="0" collapsed="false">
      <c r="A87" s="3" t="s">
        <v>106</v>
      </c>
      <c r="B87" s="4" t="s">
        <v>156</v>
      </c>
      <c r="C87" s="19" t="n">
        <f aca="false">IF(C$75=0,0,Demanda!J34/C$75)</f>
        <v>0.292836538461538</v>
      </c>
      <c r="D87" s="19" t="n">
        <f aca="false">IF(D$75=0,0,Demanda!K34/D$75)</f>
        <v>0.0289453125</v>
      </c>
      <c r="E87" s="19" t="n">
        <f aca="false">IF(E$75=0,0,Demanda!L34/E$75)</f>
        <v>0.326537698412698</v>
      </c>
      <c r="F87" s="19" t="n">
        <f aca="false">IF(F$75=0,0,Demanda!M34/F$75)</f>
        <v>0.0418958333333333</v>
      </c>
      <c r="G87" s="19" t="n">
        <f aca="false">IF($G$100=0,0,Demanda!T34/$G$100)</f>
        <v>0.69021538270757</v>
      </c>
    </row>
    <row r="88" customFormat="false" ht="15" hidden="false" customHeight="false" outlineLevel="0" collapsed="false">
      <c r="A88" s="3" t="s">
        <v>107</v>
      </c>
      <c r="B88" s="4" t="s">
        <v>156</v>
      </c>
      <c r="C88" s="19" t="n">
        <f aca="false">IF(C$75=0,0,Demanda!J35/C$75)</f>
        <v>0.468538461538462</v>
      </c>
      <c r="D88" s="19" t="n">
        <f aca="false">IF(D$75=0,0,Demanda!K35/D$75)</f>
        <v>0.0454854910714286</v>
      </c>
      <c r="E88" s="19" t="n">
        <f aca="false">IF(E$75=0,0,Demanda!L35/E$75)</f>
        <v>0.51313066893424</v>
      </c>
      <c r="F88" s="19" t="n">
        <f aca="false">IF(F$75=0,0,Demanda!M35/F$75)</f>
        <v>0.0658363095238095</v>
      </c>
      <c r="G88" s="19" t="n">
        <f aca="false">IF($G$100=0,0,Demanda!T35/$G$100)</f>
        <v>1.09299093106794</v>
      </c>
    </row>
    <row r="89" customFormat="false" ht="15" hidden="false" customHeight="false" outlineLevel="0" collapsed="false">
      <c r="A89" s="12" t="s">
        <v>157</v>
      </c>
      <c r="B89" s="4" t="s">
        <v>156</v>
      </c>
      <c r="C89" s="21" t="n">
        <f aca="false">MAX(C77:C88)</f>
        <v>0.468538461538462</v>
      </c>
      <c r="D89" s="21" t="n">
        <f aca="false">MAX(D77:D88)</f>
        <v>0.0454854910714286</v>
      </c>
      <c r="E89" s="21" t="n">
        <f aca="false">MAX(E77:E88)</f>
        <v>0.51313066893424</v>
      </c>
      <c r="F89" s="21" t="n">
        <f aca="false">MAX(F77:F88)</f>
        <v>0.0658363095238095</v>
      </c>
      <c r="G89" s="21" t="n">
        <f aca="false">MAX(G77:G88)</f>
        <v>1.09299093106794</v>
      </c>
    </row>
    <row r="90" customFormat="false" ht="15" hidden="false" customHeight="false" outlineLevel="0" collapsed="false">
      <c r="A90" s="12" t="s">
        <v>158</v>
      </c>
      <c r="B90" s="4"/>
      <c r="C90" s="22" t="str">
        <f aca="false">IF(C89=0,"-",IF(C89&gt;=1,ROUNDUP(C89*Datos!$C$4,0)&amp;" por mes",IF(INT(1/C89)=1,"1 por semana","1 cada "&amp;INT(1/C89)&amp;" semanas")))</f>
        <v>1 cada 2 semanas</v>
      </c>
      <c r="D90" s="22" t="str">
        <f aca="false">IF(D89=0,"-",IF(D89&gt;=1,ROUNDUP(D89*Datos!$C$4,0)&amp;" por mes",IF(INT(1/D89)=1,"1 por semana","1 cada "&amp;INT(1/D89)&amp;" semanas")))</f>
        <v>1 cada 21 semanas</v>
      </c>
      <c r="E90" s="22" t="str">
        <f aca="false">IF(E89=0,"-",IF(E89&gt;=1,ROUNDUP(E89*Datos!$C$4,0)&amp;" por mes",IF(INT(1/E89)=1,"1 por semana","1 cada "&amp;INT(1/E89)&amp;" semanas")))</f>
        <v>1 por semana</v>
      </c>
      <c r="F90" s="22" t="str">
        <f aca="false">IF(F89=0,"-",IF(F89&gt;=1,ROUNDUP(F89*Datos!$C$4,0)&amp;" por mes",IF(INT(1/F89)=1,"1 por semana","1 cada "&amp;INT(1/F89)&amp;" semanas")))</f>
        <v>1 cada 15 semanas</v>
      </c>
      <c r="G90" s="22" t="str">
        <f aca="false">IF(G89=0,"-",IF(G89&gt;=1,ROUNDUP(G89*Datos!$C$4,0)&amp;" por mes",IF(INT(1/G89)=1,"1 por semana","1 cada "&amp;INT(1/G89)&amp;" semanas")))</f>
        <v>5 por mes</v>
      </c>
    </row>
    <row r="91" customFormat="false" ht="15" hidden="false" customHeight="false" outlineLevel="0" collapsed="false">
      <c r="A91" s="3" t="s">
        <v>159</v>
      </c>
      <c r="B91" s="4" t="s">
        <v>160</v>
      </c>
      <c r="C91" s="15" t="n">
        <f aca="false">IF(C89=0,0,IF(C89&gt;=1,C89*Datos!$C$4/ROUNDUP(C89*Datos!$C$4,0),C89*INT(1/C89)))</f>
        <v>0.937076923076923</v>
      </c>
      <c r="D91" s="15" t="n">
        <f aca="false">IF(D89=0,0,IF(D89&gt;=1,D89*Datos!$C$4/ROUNDUP(D89*Datos!$C$4,0),D89*INT(1/D89)))</f>
        <v>0.9551953125</v>
      </c>
      <c r="E91" s="15" t="n">
        <f aca="false">IF(E89=0,0,IF(E89&gt;=1,E89*Datos!$C$4/ROUNDUP(E89*Datos!$C$4,0),E89*INT(1/E89)))</f>
        <v>0.51313066893424</v>
      </c>
      <c r="F91" s="15" t="n">
        <f aca="false">IF(F89=0,0,IF(F89&gt;=1,F89*Datos!$C$4/ROUNDUP(F89*Datos!$C$4,0),F89*INT(1/F89)))</f>
        <v>0.987544642857143</v>
      </c>
      <c r="G91" s="15" t="n">
        <f aca="false">IF(G89=0,0,IF(G89&gt;=1,G89*Datos!$C$4/ROUNDUP(G89*Datos!$C$4,0),G89*INT(1/G89)))</f>
        <v>0.874392744854352</v>
      </c>
    </row>
    <row r="93" customFormat="false" ht="15" hidden="false" customHeight="false" outlineLevel="0" collapsed="false">
      <c r="A93" s="1" t="s">
        <v>161</v>
      </c>
    </row>
    <row r="94" customFormat="false" ht="15" hidden="false" customHeight="false" outlineLevel="0" collapsed="false">
      <c r="A94" s="2"/>
      <c r="B94" s="2" t="s">
        <v>2</v>
      </c>
      <c r="C94" s="2" t="s">
        <v>27</v>
      </c>
      <c r="D94" s="2" t="s">
        <v>28</v>
      </c>
      <c r="E94" s="2" t="s">
        <v>29</v>
      </c>
      <c r="F94" s="2" t="s">
        <v>30</v>
      </c>
      <c r="G94" s="2" t="s">
        <v>108</v>
      </c>
    </row>
    <row r="95" customFormat="false" ht="15" hidden="false" customHeight="false" outlineLevel="0" collapsed="false">
      <c r="A95" s="3" t="s">
        <v>157</v>
      </c>
      <c r="B95" s="4"/>
      <c r="C95" s="4" t="str">
        <f aca="false">INDEX(Demanda!$A$24:$A$35,MATCH(MAX(Demanda!$T$24:$T$35),Demanda!$T$24:$T$35,0))</f>
        <v>Dic</v>
      </c>
    </row>
    <row r="96" customFormat="false" ht="15" hidden="false" customHeight="false" outlineLevel="0" collapsed="false">
      <c r="A96" s="3" t="s">
        <v>162</v>
      </c>
      <c r="B96" s="4" t="s">
        <v>32</v>
      </c>
      <c r="C96" s="16" t="n">
        <f aca="false">INDEX(Demanda!J$24:J$35,MATCH(MAX(Demanda!$T$24:$T$35),Demanda!$T$24:$T$35,0))*Datos!$C$4</f>
        <v>20465.76</v>
      </c>
      <c r="D96" s="16" t="n">
        <f aca="false">INDEX(Demanda!K$24:K$35,MATCH(MAX(Demanda!$T$24:$T$35),Demanda!$T$24:$T$35,0))*Datos!$C$4</f>
        <v>733.59</v>
      </c>
      <c r="E96" s="16" t="n">
        <f aca="false">INDEX(Demanda!L$24:L$35,MATCH(MAX(Demanda!$T$24:$T$35),Demanda!$T$24:$T$35,0))*Datos!$C$4</f>
        <v>3620.65</v>
      </c>
      <c r="F96" s="16" t="n">
        <f aca="false">INDEX(Demanda!M$24:M$35,MATCH(MAX(Demanda!$T$24:$T$35),Demanda!$T$24:$T$35,0))*Datos!$C$4</f>
        <v>221.21</v>
      </c>
      <c r="G96" s="16" t="n">
        <f aca="false">SUM(C96:F96)</f>
        <v>25041.21</v>
      </c>
    </row>
    <row r="97" customFormat="false" ht="15" hidden="false" customHeight="false" outlineLevel="0" collapsed="false">
      <c r="A97" s="3" t="s">
        <v>152</v>
      </c>
      <c r="B97" s="4" t="s">
        <v>32</v>
      </c>
      <c r="C97" s="16" t="n">
        <f aca="false">Pallet!C23</f>
        <v>780</v>
      </c>
      <c r="D97" s="16" t="n">
        <f aca="false">Pallet!D23</f>
        <v>288</v>
      </c>
      <c r="E97" s="16" t="n">
        <f aca="false">Pallet!E23</f>
        <v>126</v>
      </c>
      <c r="F97" s="16" t="n">
        <f aca="false">Pallet!F23</f>
        <v>60</v>
      </c>
    </row>
    <row r="98" customFormat="false" ht="15" hidden="false" customHeight="false" outlineLevel="0" collapsed="false">
      <c r="A98" s="3" t="s">
        <v>163</v>
      </c>
      <c r="B98" s="4" t="s">
        <v>164</v>
      </c>
      <c r="C98" s="17" t="n">
        <f aca="false">IF(C97=0,0,C96/C97)</f>
        <v>26.2381538461538</v>
      </c>
      <c r="D98" s="17" t="n">
        <f aca="false">IF(D97=0,0,D96/D97)</f>
        <v>2.5471875</v>
      </c>
      <c r="E98" s="17" t="n">
        <f aca="false">IF(E97=0,0,E96/E97)</f>
        <v>28.7353174603175</v>
      </c>
      <c r="F98" s="17" t="n">
        <f aca="false">IF(F97=0,0,F96/F97)</f>
        <v>3.68683333333333</v>
      </c>
      <c r="G98" s="17" t="n">
        <f aca="false">SUM(C98:F98)</f>
        <v>61.2074921398046</v>
      </c>
    </row>
    <row r="99" customFormat="false" ht="15" hidden="false" customHeight="false" outlineLevel="0" collapsed="false">
      <c r="A99" s="3" t="s">
        <v>165</v>
      </c>
      <c r="B99" s="4" t="s">
        <v>160</v>
      </c>
      <c r="C99" s="15" t="n">
        <f aca="false">IF($G98=0,0,C98/$G98)</f>
        <v>0.428675525313519</v>
      </c>
      <c r="D99" s="15" t="n">
        <f aca="false">IF($G98=0,0,D98/$G98)</f>
        <v>0.0416156161762345</v>
      </c>
      <c r="E99" s="15" t="n">
        <f aca="false">IF($G98=0,0,E98/$G98)</f>
        <v>0.469473857786606</v>
      </c>
      <c r="F99" s="15" t="n">
        <f aca="false">IF($G98=0,0,F98/$G98)</f>
        <v>0.0602350007236402</v>
      </c>
      <c r="G99" s="15" t="n">
        <f aca="false">SUM(C99:F99)</f>
        <v>1</v>
      </c>
    </row>
    <row r="100" customFormat="false" ht="15" hidden="false" customHeight="false" outlineLevel="0" collapsed="false">
      <c r="A100" s="12" t="s">
        <v>166</v>
      </c>
      <c r="B100" s="4" t="s">
        <v>164</v>
      </c>
      <c r="C100" s="13" t="n">
        <f aca="false">ROUND(SUM($C99:C99)*$G100,0)</f>
        <v>6</v>
      </c>
      <c r="D100" s="13" t="n">
        <f aca="false">ROUND(SUM($C99:D99)*$G100,0)-ROUND(SUM($C99:C99)*$G100,0)</f>
        <v>1</v>
      </c>
      <c r="E100" s="13" t="n">
        <f aca="false">ROUND(SUM($C99:E99)*$G100,0)-ROUND(SUM($C99:D99)*$G100,0)</f>
        <v>6</v>
      </c>
      <c r="F100" s="13" t="n">
        <f aca="false">ROUND(SUM($C99:F99)*$G100,0)-ROUND(SUM($C99:E99)*$G100,0)</f>
        <v>1</v>
      </c>
      <c r="G100" s="13" t="n">
        <f aca="false">IF(G98=0,0,MIN(Camion!$C$5,INT(Datos!$C$42/(C99*Pallet!C24+D99*Pallet!D24+E99*Pallet!E24+F99*Pallet!F24))))</f>
        <v>14</v>
      </c>
    </row>
    <row r="101" customFormat="false" ht="15" hidden="false" customHeight="false" outlineLevel="0" collapsed="false">
      <c r="A101" s="3" t="s">
        <v>167</v>
      </c>
      <c r="B101" s="4" t="s">
        <v>32</v>
      </c>
      <c r="C101" s="16" t="n">
        <f aca="false">C100*Pallet!C23</f>
        <v>4680</v>
      </c>
      <c r="D101" s="16" t="n">
        <f aca="false">D100*Pallet!D23</f>
        <v>288</v>
      </c>
      <c r="E101" s="16" t="n">
        <f aca="false">E100*Pallet!E23</f>
        <v>756</v>
      </c>
      <c r="F101" s="16" t="n">
        <f aca="false">F100*Pallet!F23</f>
        <v>60</v>
      </c>
      <c r="G101" s="16" t="n">
        <f aca="false">SUM(C101:F101)</f>
        <v>5784</v>
      </c>
    </row>
    <row r="102" customFormat="false" ht="15" hidden="false" customHeight="false" outlineLevel="0" collapsed="false">
      <c r="A102" s="3" t="s">
        <v>168</v>
      </c>
      <c r="B102" s="4" t="s">
        <v>18</v>
      </c>
      <c r="C102" s="16" t="n">
        <f aca="false">C100*Pallet!C24</f>
        <v>3784.8</v>
      </c>
      <c r="D102" s="16" t="n">
        <f aca="false">D100*Pallet!D24</f>
        <v>464.24</v>
      </c>
      <c r="E102" s="16" t="n">
        <f aca="false">E100*Pallet!E24</f>
        <v>2326.08</v>
      </c>
      <c r="F102" s="16" t="n">
        <f aca="false">F100*Pallet!F24</f>
        <v>365.6</v>
      </c>
      <c r="G102" s="16" t="n">
        <f aca="false">SUM(C102:F102)</f>
        <v>6940.72</v>
      </c>
    </row>
    <row r="103" customFormat="false" ht="15" hidden="false" customHeight="false" outlineLevel="0" collapsed="false">
      <c r="A103" s="12" t="s">
        <v>169</v>
      </c>
      <c r="B103" s="4" t="s">
        <v>156</v>
      </c>
      <c r="C103" s="23"/>
      <c r="D103" s="23"/>
      <c r="E103" s="23"/>
      <c r="F103" s="23"/>
      <c r="G103" s="18" t="n">
        <f aca="false">IF(G100=0,0,G98/G100)</f>
        <v>4.37196372427176</v>
      </c>
    </row>
    <row r="106" customFormat="false" ht="15" hidden="false" customHeight="false" outlineLevel="0" collapsed="false">
      <c r="A106" s="1" t="s">
        <v>183</v>
      </c>
    </row>
    <row r="107" customFormat="false" ht="15" hidden="false" customHeight="false" outlineLevel="0" collapsed="false">
      <c r="A107" s="2"/>
      <c r="B107" s="2" t="s">
        <v>2</v>
      </c>
      <c r="C107" s="2" t="s">
        <v>171</v>
      </c>
      <c r="D107" s="2" t="s">
        <v>172</v>
      </c>
      <c r="E107" s="2" t="s">
        <v>173</v>
      </c>
      <c r="F107" s="2" t="s">
        <v>174</v>
      </c>
      <c r="G107" s="2" t="s">
        <v>175</v>
      </c>
    </row>
    <row r="108" customFormat="false" ht="15" hidden="false" customHeight="false" outlineLevel="0" collapsed="false">
      <c r="A108" s="3" t="s">
        <v>152</v>
      </c>
      <c r="B108" s="4" t="s">
        <v>32</v>
      </c>
      <c r="C108" s="16" t="n">
        <f aca="false">Pallet!G23</f>
        <v>24</v>
      </c>
      <c r="D108" s="16" t="n">
        <f aca="false">Pallet!H23</f>
        <v>9</v>
      </c>
      <c r="E108" s="16" t="n">
        <f aca="false">Pallet!I23</f>
        <v>6</v>
      </c>
      <c r="F108" s="16" t="n">
        <f aca="false">Pallet!J23</f>
        <v>6</v>
      </c>
      <c r="G108" s="20" t="s">
        <v>153</v>
      </c>
    </row>
    <row r="109" customFormat="false" ht="15" hidden="false" customHeight="false" outlineLevel="0" collapsed="false">
      <c r="A109" s="3" t="s">
        <v>128</v>
      </c>
      <c r="B109" s="4" t="s">
        <v>18</v>
      </c>
      <c r="C109" s="16" t="n">
        <f aca="false">Pallet!G24</f>
        <v>418.88</v>
      </c>
      <c r="D109" s="16" t="n">
        <f aca="false">Pallet!H24</f>
        <v>245.9</v>
      </c>
      <c r="E109" s="16" t="n">
        <f aca="false">Pallet!I24</f>
        <v>317.37057704</v>
      </c>
      <c r="F109" s="16" t="n">
        <f aca="false">Pallet!J24</f>
        <v>377.27790434</v>
      </c>
      <c r="G109" s="20" t="s">
        <v>153</v>
      </c>
    </row>
    <row r="110" customFormat="false" ht="15" hidden="false" customHeight="false" outlineLevel="0" collapsed="false">
      <c r="A110" s="12" t="s">
        <v>138</v>
      </c>
      <c r="B110" s="4" t="s">
        <v>32</v>
      </c>
      <c r="C110" s="13" t="n">
        <f aca="false">IF(C109=0,0,MIN(Camion!$C$5,INT(Datos!$C$42/C109)))</f>
        <v>14</v>
      </c>
      <c r="D110" s="13" t="n">
        <f aca="false">IF(D109=0,0,MIN(Camion!$C$5,INT(Datos!$C$42/D109)))</f>
        <v>14</v>
      </c>
      <c r="E110" s="13" t="n">
        <f aca="false">IF(E109=0,0,MIN(Camion!$C$5,INT(Datos!$C$42/E109)))</f>
        <v>14</v>
      </c>
      <c r="F110" s="13" t="n">
        <f aca="false">IF(F109=0,0,MIN(Camion!$C$5,INT(Datos!$C$42/F109)))</f>
        <v>14</v>
      </c>
      <c r="G110" s="13" t="n">
        <f aca="false">$G$136</f>
        <v>14</v>
      </c>
    </row>
    <row r="111" customFormat="false" ht="15" hidden="false" customHeight="false" outlineLevel="0" collapsed="false">
      <c r="A111" s="12" t="s">
        <v>154</v>
      </c>
      <c r="B111" s="4" t="s">
        <v>32</v>
      </c>
      <c r="C111" s="13" t="n">
        <f aca="false">C110*C108</f>
        <v>336</v>
      </c>
      <c r="D111" s="13" t="n">
        <f aca="false">D110*D108</f>
        <v>126</v>
      </c>
      <c r="E111" s="13" t="n">
        <f aca="false">E110*E108</f>
        <v>84</v>
      </c>
      <c r="F111" s="13" t="n">
        <f aca="false">F110*F108</f>
        <v>84</v>
      </c>
      <c r="G111" s="13" t="n">
        <f aca="false">$G$137</f>
        <v>129</v>
      </c>
    </row>
    <row r="112" customFormat="false" ht="15" hidden="false" customHeight="false" outlineLevel="0" collapsed="false">
      <c r="A112" s="12" t="s">
        <v>155</v>
      </c>
    </row>
    <row r="113" customFormat="false" ht="15" hidden="false" customHeight="false" outlineLevel="0" collapsed="false">
      <c r="A113" s="3" t="s">
        <v>96</v>
      </c>
      <c r="B113" s="4" t="s">
        <v>156</v>
      </c>
      <c r="C113" s="19" t="n">
        <f aca="false">IF(C$111=0,0,Demanda!N24/C$111)</f>
        <v>0.0203645833333333</v>
      </c>
      <c r="D113" s="19" t="n">
        <f aca="false">IF(D$111=0,0,Demanda!O24/D$111)</f>
        <v>0.119404761904762</v>
      </c>
      <c r="E113" s="19" t="n">
        <f aca="false">IF(E$111=0,0,Demanda!P24/E$111)</f>
        <v>0.0392113095238095</v>
      </c>
      <c r="F113" s="19" t="n">
        <f aca="false">IF(F$111=0,0,Demanda!Q24/F$111)</f>
        <v>0.0258035714285714</v>
      </c>
      <c r="G113" s="19" t="n">
        <f aca="false">IF($G$136=0,0,Demanda!U24/$G$136)</f>
        <v>0.204784226190476</v>
      </c>
    </row>
    <row r="114" customFormat="false" ht="15" hidden="false" customHeight="false" outlineLevel="0" collapsed="false">
      <c r="A114" s="3" t="s">
        <v>97</v>
      </c>
      <c r="B114" s="4" t="s">
        <v>156</v>
      </c>
      <c r="C114" s="19" t="n">
        <f aca="false">IF(C$111=0,0,Demanda!N25/C$111)</f>
        <v>0.01796875</v>
      </c>
      <c r="D114" s="19" t="n">
        <f aca="false">IF(D$111=0,0,Demanda!O25/D$111)</f>
        <v>0.105357142857143</v>
      </c>
      <c r="E114" s="19" t="n">
        <f aca="false">IF(E$111=0,0,Demanda!P25/E$111)</f>
        <v>0.0345982142857143</v>
      </c>
      <c r="F114" s="19" t="n">
        <f aca="false">IF(F$111=0,0,Demanda!Q25/F$111)</f>
        <v>0.0227678571428571</v>
      </c>
      <c r="G114" s="19" t="n">
        <f aca="false">IF($G$136=0,0,Demanda!U25/$G$136)</f>
        <v>0.180691964285714</v>
      </c>
    </row>
    <row r="115" customFormat="false" ht="15" hidden="false" customHeight="false" outlineLevel="0" collapsed="false">
      <c r="A115" s="3" t="s">
        <v>98</v>
      </c>
      <c r="B115" s="4" t="s">
        <v>156</v>
      </c>
      <c r="C115" s="19" t="n">
        <f aca="false">IF(C$111=0,0,Demanda!N26/C$111)</f>
        <v>0.0215625</v>
      </c>
      <c r="D115" s="19" t="n">
        <f aca="false">IF(D$111=0,0,Demanda!O26/D$111)</f>
        <v>0.126428571428571</v>
      </c>
      <c r="E115" s="19" t="n">
        <f aca="false">IF(E$111=0,0,Demanda!P26/E$111)</f>
        <v>0.0415178571428571</v>
      </c>
      <c r="F115" s="19" t="n">
        <f aca="false">IF(F$111=0,0,Demanda!Q26/F$111)</f>
        <v>0.0273214285714286</v>
      </c>
      <c r="G115" s="19" t="n">
        <f aca="false">IF($G$136=0,0,Demanda!U26/$G$136)</f>
        <v>0.216830357142857</v>
      </c>
    </row>
    <row r="116" customFormat="false" ht="15" hidden="false" customHeight="false" outlineLevel="0" collapsed="false">
      <c r="A116" s="3" t="s">
        <v>99</v>
      </c>
      <c r="B116" s="4" t="s">
        <v>156</v>
      </c>
      <c r="C116" s="19" t="n">
        <f aca="false">IF(C$111=0,0,Demanda!N27/C$111)</f>
        <v>0.0215625</v>
      </c>
      <c r="D116" s="19" t="n">
        <f aca="false">IF(D$111=0,0,Demanda!O27/D$111)</f>
        <v>0.126428571428571</v>
      </c>
      <c r="E116" s="19" t="n">
        <f aca="false">IF(E$111=0,0,Demanda!P27/E$111)</f>
        <v>0.0415178571428571</v>
      </c>
      <c r="F116" s="19" t="n">
        <f aca="false">IF(F$111=0,0,Demanda!Q27/F$111)</f>
        <v>0.0273214285714286</v>
      </c>
      <c r="G116" s="19" t="n">
        <f aca="false">IF($G$136=0,0,Demanda!U27/$G$136)</f>
        <v>0.216830357142857</v>
      </c>
    </row>
    <row r="117" customFormat="false" ht="15" hidden="false" customHeight="false" outlineLevel="0" collapsed="false">
      <c r="A117" s="3" t="s">
        <v>100</v>
      </c>
      <c r="B117" s="4" t="s">
        <v>156</v>
      </c>
      <c r="C117" s="19" t="n">
        <f aca="false">IF(C$111=0,0,Demanda!N28/C$111)</f>
        <v>0.0215625</v>
      </c>
      <c r="D117" s="19" t="n">
        <f aca="false">IF(D$111=0,0,Demanda!O28/D$111)</f>
        <v>0.126428571428571</v>
      </c>
      <c r="E117" s="19" t="n">
        <f aca="false">IF(E$111=0,0,Demanda!P28/E$111)</f>
        <v>0.0415178571428571</v>
      </c>
      <c r="F117" s="19" t="n">
        <f aca="false">IF(F$111=0,0,Demanda!Q28/F$111)</f>
        <v>0.0273214285714286</v>
      </c>
      <c r="G117" s="19" t="n">
        <f aca="false">IF($G$136=0,0,Demanda!U28/$G$136)</f>
        <v>0.216830357142857</v>
      </c>
    </row>
    <row r="118" customFormat="false" ht="15" hidden="false" customHeight="false" outlineLevel="0" collapsed="false">
      <c r="A118" s="3" t="s">
        <v>101</v>
      </c>
      <c r="B118" s="4" t="s">
        <v>156</v>
      </c>
      <c r="C118" s="19" t="n">
        <f aca="false">IF(C$111=0,0,Demanda!N29/C$111)</f>
        <v>0.0191666666666667</v>
      </c>
      <c r="D118" s="19" t="n">
        <f aca="false">IF(D$111=0,0,Demanda!O29/D$111)</f>
        <v>0.112380952380952</v>
      </c>
      <c r="E118" s="19" t="n">
        <f aca="false">IF(E$111=0,0,Demanda!P29/E$111)</f>
        <v>0.0369047619047619</v>
      </c>
      <c r="F118" s="19" t="n">
        <f aca="false">IF(F$111=0,0,Demanda!Q29/F$111)</f>
        <v>0.0242857142857143</v>
      </c>
      <c r="G118" s="19" t="n">
        <f aca="false">IF($G$136=0,0,Demanda!U29/$G$136)</f>
        <v>0.192738095238095</v>
      </c>
    </row>
    <row r="119" customFormat="false" ht="15" hidden="false" customHeight="false" outlineLevel="0" collapsed="false">
      <c r="A119" s="3" t="s">
        <v>102</v>
      </c>
      <c r="B119" s="4" t="s">
        <v>156</v>
      </c>
      <c r="C119" s="19" t="n">
        <f aca="false">IF(C$111=0,0,Demanda!N30/C$111)</f>
        <v>0.0215625</v>
      </c>
      <c r="D119" s="19" t="n">
        <f aca="false">IF(D$111=0,0,Demanda!O30/D$111)</f>
        <v>0.126428571428571</v>
      </c>
      <c r="E119" s="19" t="n">
        <f aca="false">IF(E$111=0,0,Demanda!P30/E$111)</f>
        <v>0.0415178571428571</v>
      </c>
      <c r="F119" s="19" t="n">
        <f aca="false">IF(F$111=0,0,Demanda!Q30/F$111)</f>
        <v>0.0273214285714286</v>
      </c>
      <c r="G119" s="19" t="n">
        <f aca="false">IF($G$136=0,0,Demanda!U30/$G$136)</f>
        <v>0.216830357142857</v>
      </c>
    </row>
    <row r="120" customFormat="false" ht="15" hidden="false" customHeight="false" outlineLevel="0" collapsed="false">
      <c r="A120" s="3" t="s">
        <v>103</v>
      </c>
      <c r="B120" s="4" t="s">
        <v>156</v>
      </c>
      <c r="C120" s="19" t="n">
        <f aca="false">IF(C$111=0,0,Demanda!N31/C$111)</f>
        <v>0.0215625</v>
      </c>
      <c r="D120" s="19" t="n">
        <f aca="false">IF(D$111=0,0,Demanda!O31/D$111)</f>
        <v>0.126428571428571</v>
      </c>
      <c r="E120" s="19" t="n">
        <f aca="false">IF(E$111=0,0,Demanda!P31/E$111)</f>
        <v>0.0415178571428571</v>
      </c>
      <c r="F120" s="19" t="n">
        <f aca="false">IF(F$111=0,0,Demanda!Q31/F$111)</f>
        <v>0.0273214285714286</v>
      </c>
      <c r="G120" s="19" t="n">
        <f aca="false">IF($G$136=0,0,Demanda!U31/$G$136)</f>
        <v>0.216830357142857</v>
      </c>
    </row>
    <row r="121" customFormat="false" ht="15" hidden="false" customHeight="false" outlineLevel="0" collapsed="false">
      <c r="A121" s="3" t="s">
        <v>104</v>
      </c>
      <c r="B121" s="4" t="s">
        <v>156</v>
      </c>
      <c r="C121" s="19" t="n">
        <f aca="false">IF(C$111=0,0,Demanda!N32/C$111)</f>
        <v>0.0203645833333333</v>
      </c>
      <c r="D121" s="19" t="n">
        <f aca="false">IF(D$111=0,0,Demanda!O32/D$111)</f>
        <v>0.119404761904762</v>
      </c>
      <c r="E121" s="19" t="n">
        <f aca="false">IF(E$111=0,0,Demanda!P32/E$111)</f>
        <v>0.0392113095238095</v>
      </c>
      <c r="F121" s="19" t="n">
        <f aca="false">IF(F$111=0,0,Demanda!Q32/F$111)</f>
        <v>0.0258035714285714</v>
      </c>
      <c r="G121" s="19" t="n">
        <f aca="false">IF($G$136=0,0,Demanda!U32/$G$136)</f>
        <v>0.204784226190476</v>
      </c>
    </row>
    <row r="122" customFormat="false" ht="15" hidden="false" customHeight="false" outlineLevel="0" collapsed="false">
      <c r="A122" s="3" t="s">
        <v>105</v>
      </c>
      <c r="B122" s="4" t="s">
        <v>156</v>
      </c>
      <c r="C122" s="19" t="n">
        <f aca="false">IF(C$111=0,0,Demanda!N33/C$111)</f>
        <v>0.01796875</v>
      </c>
      <c r="D122" s="19" t="n">
        <f aca="false">IF(D$111=0,0,Demanda!O33/D$111)</f>
        <v>0.105357142857143</v>
      </c>
      <c r="E122" s="19" t="n">
        <f aca="false">IF(E$111=0,0,Demanda!P33/E$111)</f>
        <v>0.0345982142857143</v>
      </c>
      <c r="F122" s="19" t="n">
        <f aca="false">IF(F$111=0,0,Demanda!Q33/F$111)</f>
        <v>0.0227678571428571</v>
      </c>
      <c r="G122" s="19" t="n">
        <f aca="false">IF($G$136=0,0,Demanda!U33/$G$136)</f>
        <v>0.180691964285714</v>
      </c>
    </row>
    <row r="123" customFormat="false" ht="15" hidden="false" customHeight="false" outlineLevel="0" collapsed="false">
      <c r="A123" s="3" t="s">
        <v>106</v>
      </c>
      <c r="B123" s="4" t="s">
        <v>156</v>
      </c>
      <c r="C123" s="19" t="n">
        <f aca="false">IF(C$111=0,0,Demanda!N34/C$111)</f>
        <v>0.0167708333333333</v>
      </c>
      <c r="D123" s="19" t="n">
        <f aca="false">IF(D$111=0,0,Demanda!O34/D$111)</f>
        <v>0.0983333333333333</v>
      </c>
      <c r="E123" s="19" t="n">
        <f aca="false">IF(E$111=0,0,Demanda!P34/E$111)</f>
        <v>0.0322916666666667</v>
      </c>
      <c r="F123" s="19" t="n">
        <f aca="false">IF(F$111=0,0,Demanda!Q34/F$111)</f>
        <v>0.02125</v>
      </c>
      <c r="G123" s="19" t="n">
        <f aca="false">IF($G$136=0,0,Demanda!U34/$G$136)</f>
        <v>0.168645833333333</v>
      </c>
    </row>
    <row r="124" customFormat="false" ht="15" hidden="false" customHeight="false" outlineLevel="0" collapsed="false">
      <c r="A124" s="3" t="s">
        <v>107</v>
      </c>
      <c r="B124" s="4" t="s">
        <v>156</v>
      </c>
      <c r="C124" s="19" t="n">
        <f aca="false">IF(C$111=0,0,Demanda!N35/C$111)</f>
        <v>0.0191666666666667</v>
      </c>
      <c r="D124" s="19" t="n">
        <f aca="false">IF(D$111=0,0,Demanda!O35/D$111)</f>
        <v>0.112380952380952</v>
      </c>
      <c r="E124" s="19" t="n">
        <f aca="false">IF(E$111=0,0,Demanda!P35/E$111)</f>
        <v>0.0369047619047619</v>
      </c>
      <c r="F124" s="19" t="n">
        <f aca="false">IF(F$111=0,0,Demanda!Q35/F$111)</f>
        <v>0.0242857142857143</v>
      </c>
      <c r="G124" s="19" t="n">
        <f aca="false">IF($G$136=0,0,Demanda!U35/$G$136)</f>
        <v>0.192738095238095</v>
      </c>
    </row>
    <row r="125" customFormat="false" ht="15" hidden="false" customHeight="false" outlineLevel="0" collapsed="false">
      <c r="A125" s="12" t="s">
        <v>157</v>
      </c>
      <c r="B125" s="4" t="s">
        <v>156</v>
      </c>
      <c r="C125" s="21" t="n">
        <f aca="false">MAX(C113:C124)</f>
        <v>0.0215625</v>
      </c>
      <c r="D125" s="21" t="n">
        <f aca="false">MAX(D113:D124)</f>
        <v>0.126428571428571</v>
      </c>
      <c r="E125" s="21" t="n">
        <f aca="false">MAX(E113:E124)</f>
        <v>0.0415178571428571</v>
      </c>
      <c r="F125" s="21" t="n">
        <f aca="false">MAX(F113:F124)</f>
        <v>0.0273214285714286</v>
      </c>
      <c r="G125" s="21" t="n">
        <f aca="false">MAX(G113:G124)</f>
        <v>0.216830357142857</v>
      </c>
    </row>
    <row r="126" customFormat="false" ht="15" hidden="false" customHeight="false" outlineLevel="0" collapsed="false">
      <c r="A126" s="12" t="s">
        <v>158</v>
      </c>
      <c r="B126" s="4"/>
      <c r="C126" s="22" t="str">
        <f aca="false">IF(C125=0,"-",IF(C125&gt;=1,ROUNDUP(C125*Datos!$C$4,0)&amp;" por mes",IF(INT(1/C125)=1,"1 por semana","1 cada "&amp;INT(1/C125)&amp;" semanas")))</f>
        <v>1 cada 46 semanas</v>
      </c>
      <c r="D126" s="22" t="str">
        <f aca="false">IF(D125=0,"-",IF(D125&gt;=1,ROUNDUP(D125*Datos!$C$4,0)&amp;" por mes",IF(INT(1/D125)=1,"1 por semana","1 cada "&amp;INT(1/D125)&amp;" semanas")))</f>
        <v>1 cada 7 semanas</v>
      </c>
      <c r="E126" s="22" t="str">
        <f aca="false">IF(E125=0,"-",IF(E125&gt;=1,ROUNDUP(E125*Datos!$C$4,0)&amp;" por mes",IF(INT(1/E125)=1,"1 por semana","1 cada "&amp;INT(1/E125)&amp;" semanas")))</f>
        <v>1 cada 24 semanas</v>
      </c>
      <c r="F126" s="22" t="str">
        <f aca="false">IF(F125=0,"-",IF(F125&gt;=1,ROUNDUP(F125*Datos!$C$4,0)&amp;" por mes",IF(INT(1/F125)=1,"1 por semana","1 cada "&amp;INT(1/F125)&amp;" semanas")))</f>
        <v>1 cada 36 semanas</v>
      </c>
      <c r="G126" s="22" t="str">
        <f aca="false">IF(G125=0,"-",IF(G125&gt;=1,ROUNDUP(G125*Datos!$C$4,0)&amp;" por mes",IF(INT(1/G125)=1,"1 por semana","1 cada "&amp;INT(1/G125)&amp;" semanas")))</f>
        <v>1 cada 4 semanas</v>
      </c>
    </row>
    <row r="127" customFormat="false" ht="15" hidden="false" customHeight="false" outlineLevel="0" collapsed="false">
      <c r="A127" s="3" t="s">
        <v>159</v>
      </c>
      <c r="B127" s="4" t="s">
        <v>160</v>
      </c>
      <c r="C127" s="15" t="n">
        <f aca="false">IF(C125=0,0,IF(C125&gt;=1,C125*Datos!$C$4/ROUNDUP(C125*Datos!$C$4,0),C125*INT(1/C125)))</f>
        <v>0.991875</v>
      </c>
      <c r="D127" s="15" t="n">
        <f aca="false">IF(D125=0,0,IF(D125&gt;=1,D125*Datos!$C$4/ROUNDUP(D125*Datos!$C$4,0),D125*INT(1/D125)))</f>
        <v>0.885</v>
      </c>
      <c r="E127" s="15" t="n">
        <f aca="false">IF(E125=0,0,IF(E125&gt;=1,E125*Datos!$C$4/ROUNDUP(E125*Datos!$C$4,0),E125*INT(1/E125)))</f>
        <v>0.996428571428571</v>
      </c>
      <c r="F127" s="15" t="n">
        <f aca="false">IF(F125=0,0,IF(F125&gt;=1,F125*Datos!$C$4/ROUNDUP(F125*Datos!$C$4,0),F125*INT(1/F125)))</f>
        <v>0.983571428571429</v>
      </c>
      <c r="G127" s="15" t="n">
        <f aca="false">IF(G125=0,0,IF(G125&gt;=1,G125*Datos!$C$4/ROUNDUP(G125*Datos!$C$4,0),G125*INT(1/G125)))</f>
        <v>0.867321428571429</v>
      </c>
    </row>
    <row r="129" customFormat="false" ht="15" hidden="false" customHeight="false" outlineLevel="0" collapsed="false">
      <c r="A129" s="1" t="s">
        <v>161</v>
      </c>
    </row>
    <row r="130" customFormat="false" ht="15" hidden="false" customHeight="false" outlineLevel="0" collapsed="false">
      <c r="A130" s="2"/>
      <c r="B130" s="2" t="s">
        <v>2</v>
      </c>
      <c r="C130" s="2" t="s">
        <v>42</v>
      </c>
      <c r="D130" s="2" t="s">
        <v>43</v>
      </c>
      <c r="E130" s="2" t="s">
        <v>44</v>
      </c>
      <c r="F130" s="2" t="s">
        <v>45</v>
      </c>
      <c r="G130" s="2" t="s">
        <v>108</v>
      </c>
    </row>
    <row r="131" customFormat="false" ht="15" hidden="false" customHeight="false" outlineLevel="0" collapsed="false">
      <c r="A131" s="3" t="s">
        <v>157</v>
      </c>
      <c r="B131" s="4"/>
      <c r="C131" s="4" t="str">
        <f aca="false">INDEX(Demanda!$A$24:$A$35,MATCH(MAX(Demanda!$U$24:$U$35),Demanda!$U$24:$U$35,0))</f>
        <v>Mar</v>
      </c>
    </row>
    <row r="132" customFormat="false" ht="15" hidden="false" customHeight="false" outlineLevel="0" collapsed="false">
      <c r="A132" s="3" t="s">
        <v>162</v>
      </c>
      <c r="B132" s="4" t="s">
        <v>32</v>
      </c>
      <c r="C132" s="16" t="n">
        <f aca="false">INDEX(Demanda!N$24:N$35,MATCH(MAX(Demanda!$U$24:$U$35),Demanda!$U$24:$U$35,0))*Datos!$C$4</f>
        <v>28.98</v>
      </c>
      <c r="D132" s="16" t="n">
        <f aca="false">INDEX(Demanda!O$24:O$35,MATCH(MAX(Demanda!$U$24:$U$35),Demanda!$U$24:$U$35,0))*Datos!$C$4</f>
        <v>63.72</v>
      </c>
      <c r="E132" s="16" t="n">
        <f aca="false">INDEX(Demanda!P$24:P$35,MATCH(MAX(Demanda!$U$24:$U$35),Demanda!$U$24:$U$35,0))*Datos!$C$4</f>
        <v>13.95</v>
      </c>
      <c r="F132" s="16" t="n">
        <f aca="false">INDEX(Demanda!Q$24:Q$35,MATCH(MAX(Demanda!$U$24:$U$35),Demanda!$U$24:$U$35,0))*Datos!$C$4</f>
        <v>9.18</v>
      </c>
      <c r="G132" s="16" t="n">
        <f aca="false">SUM(C132:F132)</f>
        <v>115.83</v>
      </c>
    </row>
    <row r="133" customFormat="false" ht="15" hidden="false" customHeight="false" outlineLevel="0" collapsed="false">
      <c r="A133" s="3" t="s">
        <v>152</v>
      </c>
      <c r="B133" s="4" t="s">
        <v>32</v>
      </c>
      <c r="C133" s="16" t="n">
        <f aca="false">Pallet!G23</f>
        <v>24</v>
      </c>
      <c r="D133" s="16" t="n">
        <f aca="false">Pallet!H23</f>
        <v>9</v>
      </c>
      <c r="E133" s="16" t="n">
        <f aca="false">Pallet!I23</f>
        <v>6</v>
      </c>
      <c r="F133" s="16" t="n">
        <f aca="false">Pallet!J23</f>
        <v>6</v>
      </c>
    </row>
    <row r="134" customFormat="false" ht="15" hidden="false" customHeight="false" outlineLevel="0" collapsed="false">
      <c r="A134" s="3" t="s">
        <v>163</v>
      </c>
      <c r="B134" s="4" t="s">
        <v>164</v>
      </c>
      <c r="C134" s="17" t="n">
        <f aca="false">IF(C133=0,0,C132/C133)</f>
        <v>1.2075</v>
      </c>
      <c r="D134" s="17" t="n">
        <f aca="false">IF(D133=0,0,D132/D133)</f>
        <v>7.08</v>
      </c>
      <c r="E134" s="17" t="n">
        <f aca="false">IF(E133=0,0,E132/E133)</f>
        <v>2.325</v>
      </c>
      <c r="F134" s="17" t="n">
        <f aca="false">IF(F133=0,0,F132/F133)</f>
        <v>1.53</v>
      </c>
      <c r="G134" s="17" t="n">
        <f aca="false">SUM(C134:F134)</f>
        <v>12.1425</v>
      </c>
    </row>
    <row r="135" customFormat="false" ht="15" hidden="false" customHeight="false" outlineLevel="0" collapsed="false">
      <c r="A135" s="3" t="s">
        <v>165</v>
      </c>
      <c r="B135" s="4" t="s">
        <v>160</v>
      </c>
      <c r="C135" s="15" t="n">
        <f aca="false">IF($G134=0,0,C134/$G134)</f>
        <v>0.099444101297097</v>
      </c>
      <c r="D135" s="15" t="n">
        <f aca="false">IF($G134=0,0,D134/$G134)</f>
        <v>0.58307597282273</v>
      </c>
      <c r="E135" s="15" t="n">
        <f aca="false">IF($G134=0,0,E134/$G134)</f>
        <v>0.19147621988882</v>
      </c>
      <c r="F135" s="15" t="n">
        <f aca="false">IF($G134=0,0,F134/$G134)</f>
        <v>0.126003705991353</v>
      </c>
      <c r="G135" s="15" t="n">
        <f aca="false">SUM(C135:F135)</f>
        <v>1</v>
      </c>
    </row>
    <row r="136" customFormat="false" ht="15" hidden="false" customHeight="false" outlineLevel="0" collapsed="false">
      <c r="A136" s="12" t="s">
        <v>166</v>
      </c>
      <c r="B136" s="4" t="s">
        <v>164</v>
      </c>
      <c r="C136" s="13" t="n">
        <f aca="false">ROUND(SUM($C135:C135)*$G136,0)</f>
        <v>1</v>
      </c>
      <c r="D136" s="13" t="n">
        <f aca="false">ROUND(SUM($C135:D135)*$G136,0)-ROUND(SUM($C135:C135)*$G136,0)</f>
        <v>9</v>
      </c>
      <c r="E136" s="13" t="n">
        <f aca="false">ROUND(SUM($C135:E135)*$G136,0)-ROUND(SUM($C135:D135)*$G136,0)</f>
        <v>2</v>
      </c>
      <c r="F136" s="13" t="n">
        <f aca="false">ROUND(SUM($C135:F135)*$G136,0)-ROUND(SUM($C135:E135)*$G136,0)</f>
        <v>2</v>
      </c>
      <c r="G136" s="13" t="n">
        <f aca="false">IF(G134=0,0,MIN(Camion!$C$5,INT(Datos!$C$42/(C135*Pallet!G24+D135*Pallet!H24+E135*Pallet!I24+F135*Pallet!J24))))</f>
        <v>14</v>
      </c>
    </row>
    <row r="137" customFormat="false" ht="15" hidden="false" customHeight="false" outlineLevel="0" collapsed="false">
      <c r="A137" s="3" t="s">
        <v>167</v>
      </c>
      <c r="B137" s="4" t="s">
        <v>32</v>
      </c>
      <c r="C137" s="16" t="n">
        <f aca="false">C136*Pallet!G23</f>
        <v>24</v>
      </c>
      <c r="D137" s="16" t="n">
        <f aca="false">D136*Pallet!H23</f>
        <v>81</v>
      </c>
      <c r="E137" s="16" t="n">
        <f aca="false">E136*Pallet!I23</f>
        <v>12</v>
      </c>
      <c r="F137" s="16" t="n">
        <f aca="false">F136*Pallet!J23</f>
        <v>12</v>
      </c>
      <c r="G137" s="16" t="n">
        <f aca="false">SUM(C137:F137)</f>
        <v>129</v>
      </c>
    </row>
    <row r="138" customFormat="false" ht="15" hidden="false" customHeight="false" outlineLevel="0" collapsed="false">
      <c r="A138" s="3" t="s">
        <v>168</v>
      </c>
      <c r="B138" s="4" t="s">
        <v>18</v>
      </c>
      <c r="C138" s="16" t="n">
        <f aca="false">C136*Pallet!G24</f>
        <v>418.88</v>
      </c>
      <c r="D138" s="16" t="n">
        <f aca="false">D136*Pallet!H24</f>
        <v>2213.1</v>
      </c>
      <c r="E138" s="16" t="n">
        <f aca="false">E136*Pallet!I24</f>
        <v>634.74115408</v>
      </c>
      <c r="F138" s="16" t="n">
        <f aca="false">F136*Pallet!J24</f>
        <v>754.55580868</v>
      </c>
      <c r="G138" s="16" t="n">
        <f aca="false">SUM(C138:F138)</f>
        <v>4021.27696276</v>
      </c>
    </row>
    <row r="139" customFormat="false" ht="15" hidden="false" customHeight="false" outlineLevel="0" collapsed="false">
      <c r="A139" s="12" t="s">
        <v>169</v>
      </c>
      <c r="B139" s="4" t="s">
        <v>156</v>
      </c>
      <c r="C139" s="23"/>
      <c r="D139" s="23"/>
      <c r="E139" s="23"/>
      <c r="F139" s="23"/>
      <c r="G139" s="18" t="n">
        <f aca="false">IF(G136=0,0,G134/G136)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2026-10-16T20:56:21Z</dcterms:created>
  <dc:creator>openpyxl</dc:creator>
  <dc:description/>
  <dc:language>en-US</dc:language>
  <cp:lastModifiedBy/>
  <dcterms:modified xsi:type="dcterms:W3CDTF">2026-10-16T20:56:21Z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