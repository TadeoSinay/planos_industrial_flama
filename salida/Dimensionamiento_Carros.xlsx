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s" sheetId="1" state="visible" r:id="rId3"/>
    <sheet name="datos_base" sheetId="2" state="visible" r:id="rId4"/>
    <sheet name="parametros_carros" sheetId="3" state="visible" r:id="rId5"/>
    <sheet name="Plan mensual" sheetId="4" state="visible" r:id="rId6"/>
    <sheet name="Demanda por puesto" sheetId="5" state="visible" r:id="rId7"/>
    <sheet name="Resumen Capacidad" sheetId="6" state="visible" r:id="rId8"/>
    <sheet name="Proceso (Word)" sheetId="7" state="visible" r:id="rId9"/>
  </sheets>
  <definedNames>
    <definedName function="false" hidden="false" name="Umbral_aprov" vbProcedure="false">parametros_carros!$B$8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<sst xmlns="http://schemas.openxmlformats.org/spreadsheetml/2006/main" count="1126" uniqueCount="513">
  <si>
    <t xml:space="preserve">Links e IMPORTRANGE</t>
  </si>
  <si>
    <t xml:space="preserve">Pegar en B el link de cada Google Sheet. La primera vez, tocar la primera celda de cada bloque y «Permitir acceso». Todos los IMPORTRANGE del libro están en esta hoja; las demás la leen.</t>
  </si>
  <si>
    <t xml:space="preserve">Archivo</t>
  </si>
  <si>
    <t xml:space="preserve">Link</t>
  </si>
  <si>
    <t xml:space="preserve">Qué se importa</t>
  </si>
  <si>
    <t xml:space="preserve">Estado</t>
  </si>
  <si>
    <t xml:space="preserve">Proyecciones</t>
  </si>
  <si>
    <t xml:space="preserve">https://docs.google.com/spreadsheets/d/1xc4xDAwSYT3l-RulPYtcePxiCninrbQGzaBUsgO0YEs/edit?gid=1764491891#gid=1764491891</t>
  </si>
  <si>
    <t xml:space="preserve">Indexado Dim Técnico B7:K10 y B19:K22 → datos_base</t>
  </si>
  <si>
    <t xml:space="preserve">Dimensionamiento Recargas Planta Comercial</t>
  </si>
  <si>
    <t xml:space="preserve">PEGAR ACÁ EL LINK DEL GOOGLE SHEET</t>
  </si>
  <si>
    <t xml:space="preserve">sobrestock_sustitutos B86:K89: alta de sustitutos ABC (cilindros vacíos) → datos_base</t>
  </si>
  <si>
    <t xml:space="preserve">Dimensionamiento Recargas Planta Industrial</t>
  </si>
  <si>
    <t xml:space="preserve">sobrestock_sustitutos B86:K89: alta de sustitutos ABC (terminados) → datos_base</t>
  </si>
  <si>
    <t xml:space="preserve">MRP (FLAMA_MRP)</t>
  </si>
  <si>
    <t xml:space="preserve">ESTACIONALIDAD C6:N6 (E03) → parametros_carros filas 12 a 15</t>
  </si>
  <si>
    <t xml:space="preserve">MRP (FLAMA_MRP) · ESTACIONALIDAD!C6:N6: E03 rodantes (25 a 100 kg)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</si>
  <si>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</si>
  <si>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</si>
  <si>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</si>
  <si>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</si>
  <si>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</si>
  <si>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</si>
  <si>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</si>
  <si>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</si>
  <si>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</si>
  <si>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</si>
  <si>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</si>
  <si>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</si>
  <si>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E03 rodantes (25 a 100 kg)</t>
  </si>
  <si>
    <t xml:space="preserve">Proyecciones · Indexado Dim Técnico!B7:K10: carros terminados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</si>
  <si>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</si>
  <si>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</si>
  <si>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</si>
  <si>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</si>
  <si>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</si>
  <si>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</si>
  <si>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</si>
  <si>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</si>
  <si>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</si>
  <si>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</si>
  <si>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Carro ABC 25 kg</t>
  </si>
  <si>
    <t xml:space="preserve">Carro ABC 50 kg</t>
  </si>
  <si>
    <t xml:space="preserve">Carro ABC 70 kg</t>
  </si>
  <si>
    <t xml:space="preserve">Carro ABC 100 kg</t>
  </si>
  <si>
    <t xml:space="preserve">Proyecciones · Indexado Dim Técnico!B19:K22: cilindros vendidos vacíos</t>
  </si>
  <si>
    <t xml:space="preserve">Dimensionamiento Recargas Planta Industrial · sobrestock_sustitutos!B86:K89: alta de sustitutos ABC (terminado, planta industrial)</t>
  </si>
  <si>
    <t xml:space="preserve">Dimensionamiento Recargas Planta Comercial · sobrestock_sustitutos!B86:K89: alta de sustitutos ABC (cilindro vacío, planta comercial)</t>
  </si>
  <si>
    <t xml:space="preserve">Carros terminados</t>
  </si>
  <si>
    <t xml:space="preserve">Total terminados</t>
  </si>
  <si>
    <t xml:space="preserve">Cilindros vendidos vacíos</t>
  </si>
  <si>
    <t xml:space="preserve">Cilindros ABC 25 kg</t>
  </si>
  <si>
    <t xml:space="preserve">Cilindros ABC 50 kg</t>
  </si>
  <si>
    <t xml:space="preserve">Cilindros ABC 70 kg</t>
  </si>
  <si>
    <t xml:space="preserve">Cilindros ABC 100 kg</t>
  </si>
  <si>
    <t xml:space="preserve">Total cilindros</t>
  </si>
  <si>
    <t xml:space="preserve">Total recipientes a fabricar (con sustitutos)</t>
  </si>
  <si>
    <t xml:space="preserve">Total por modelo (terminados + cilindros)</t>
  </si>
  <si>
    <t xml:space="preserve">Recipientes de 25 kg</t>
  </si>
  <si>
    <t xml:space="preserve">Recipientes de 50 kg</t>
  </si>
  <si>
    <t xml:space="preserve">Recipientes de 70 kg</t>
  </si>
  <si>
    <t xml:space="preserve">Recipientes de 100 kg</t>
  </si>
  <si>
    <t xml:space="preserve">Total</t>
  </si>
  <si>
    <t xml:space="preserve">Fuente: Proyecciones, Indexado Dim Técnico (hoja Links): terminados filas 7 a 10 y cilindros filas 19 a 22.</t>
  </si>
  <si>
    <t xml:space="preserve">Datos de cada modelo (Word, Tabla 0)</t>
  </si>
  <si>
    <t xml:space="preserve">Ø (mm)</t>
  </si>
  <si>
    <t xml:space="preserve">Chapa (mm)</t>
  </si>
  <si>
    <t xml:space="preserve">Altura cuerpo (mm)</t>
  </si>
  <si>
    <t xml:space="preserve">Cuerpo vacío (kg)</t>
  </si>
  <si>
    <t xml:space="preserve">Lleno de agua (kg)</t>
  </si>
  <si>
    <t xml:space="preserve">Volumen interior (l)</t>
  </si>
  <si>
    <t xml:space="preserve">Carro vacío c/ruedas (kg)</t>
  </si>
  <si>
    <t xml:space="preserve">Carro terminado (kg)</t>
  </si>
  <si>
    <t xml:space="preserve">Manga mínima (m)</t>
  </si>
  <si>
    <t xml:space="preserve">Casquete</t>
  </si>
  <si>
    <t xml:space="preserve">Carro 25 kg</t>
  </si>
  <si>
    <t xml:space="preserve">10" (MP-15)</t>
  </si>
  <si>
    <t xml:space="preserve">Carro 50 kg</t>
  </si>
  <si>
    <t xml:space="preserve">12" (MP-16)</t>
  </si>
  <si>
    <t xml:space="preserve">Carro 70 kg</t>
  </si>
  <si>
    <t xml:space="preserve">15" (MP-17)</t>
  </si>
  <si>
    <t xml:space="preserve">Carro 100 kg</t>
  </si>
  <si>
    <t xml:space="preserve">Chapa LAC 1500 × 3000 mm: 3,2 mm (25 y 50 kg) y 4,75 mm (70 y 100 kg). Cupla M30 × 1,5 (25 y 50 kg) y 2½" BSP (70 y 100 kg). Prueba hidráulica a 4 MPa; presión de servicio 14 bar (N₂).</t>
  </si>
  <si>
    <t xml:space="preserve">Sustitutos ABC para las plantas de recargas</t>
  </si>
  <si>
    <t xml:space="preserve">Carro ABC 25 kg — sustituto (terminado, planta industrial)</t>
  </si>
  <si>
    <t xml:space="preserve">Carro ABC 50 kg — sustituto (terminado, planta industrial)</t>
  </si>
  <si>
    <t xml:space="preserve">Carro ABC 70 kg — sustituto (terminado, planta industrial)</t>
  </si>
  <si>
    <t xml:space="preserve">Carro ABC 100 kg — sustituto (terminado, planta industrial)</t>
  </si>
  <si>
    <t xml:space="preserve">Total sustitutos terminados</t>
  </si>
  <si>
    <t xml:space="preserve">Carro ABC 25 kg — sustituto (cilindro vacío, planta comercial)</t>
  </si>
  <si>
    <t xml:space="preserve">Carro ABC 50 kg — sustituto (cilindro vacío, planta comercial)</t>
  </si>
  <si>
    <t xml:space="preserve">Carro ABC 70 kg — sustituto (cilindro vacío, planta comercial)</t>
  </si>
  <si>
    <t xml:space="preserve">Carro ABC 100 kg — sustituto (cilindro vacío, planta comercial)</t>
  </si>
  <si>
    <t xml:space="preserve">Total sustitutos cilindros vacíos</t>
  </si>
  <si>
    <t xml:space="preserve">Sustitutos: alta (paso 4) de cada Dimensionamiento de recargas · Word de recargas § 9</t>
  </si>
  <si>
    <t xml:space="preserve">Parámetro</t>
  </si>
  <si>
    <t xml:space="preserve">Valor</t>
  </si>
  <si>
    <t xml:space="preserve">Nota</t>
  </si>
  <si>
    <t xml:space="preserve">Días hábiles por mes</t>
  </si>
  <si>
    <t xml:space="preserve">Mismo valor que Manuales y que el Word (20 días por mes)</t>
  </si>
  <si>
    <t xml:space="preserve">Horas por día (1 turno)</t>
  </si>
  <si>
    <t xml:space="preserve">Jornada de 8 h</t>
  </si>
  <si>
    <t xml:space="preserve">Refrigerio y pausas (min/turno)</t>
  </si>
  <si>
    <t xml:space="preserve">Ajustado para que el turno productivo dé 410 min, como en el Word (ritmo pico = 410 min / 20 carros = 20,5 min por carro)</t>
  </si>
  <si>
    <t xml:space="preserve">Horas productivas por turno</t>
  </si>
  <si>
    <t xml:space="preserve">Horas/día − refrigerio y pausas (= 410 min)</t>
  </si>
  <si>
    <t xml:space="preserve">Turnos por día</t>
  </si>
  <si>
    <t xml:space="preserve">Un solo turno (editable; los turnos por puesto se cargan en Resumen Capacidad)</t>
  </si>
  <si>
    <t xml:space="preserve">Horas productivas por mes</t>
  </si>
  <si>
    <t xml:space="preserve">Días × horas productivas × turnos</t>
  </si>
  <si>
    <t xml:space="preserve">Umbral de aprovechamiento</t>
  </si>
  <si>
    <t xml:space="preserve">Límite duro (análisis de riesgos) · Word de recargas § 8</t>
  </si>
  <si>
    <t xml:space="preserve">Año de inicio del 2° turno (antes: más máquinas)</t>
  </si>
  <si>
    <t xml:space="preserve">Todos los turnos entran ese año · Word de recargas § 8</t>
  </si>
  <si>
    <t xml:space="preserve">ESTACIONALIDAD (% de la demanda anual por mes; MRP, hoja Links)</t>
  </si>
  <si>
    <t xml:space="preserve">Modelo</t>
  </si>
  <si>
    <t xml:space="preserve">25 kg</t>
  </si>
  <si>
    <t xml:space="preserve">MRP, ESTACIONALIDAD E03 rodantes (25 a 100 kg) (hoja Links)</t>
  </si>
  <si>
    <t xml:space="preserve">50 kg</t>
  </si>
  <si>
    <t xml:space="preserve">70 kg</t>
  </si>
  <si>
    <t xml:space="preserve">100 kg</t>
  </si>
  <si>
    <t xml:space="preserve">CAPACIDAD POR PUESTO (tiempos en minutos por recipiente, del Word)</t>
  </si>
  <si>
    <t xml:space="preserve">N°</t>
  </si>
  <si>
    <t xml:space="preserve">Puesto</t>
  </si>
  <si>
    <t xml:space="preserve">Máquina / equipo principal</t>
  </si>
  <si>
    <t xml:space="preserve">t 25 kg (min/u)</t>
  </si>
  <si>
    <t xml:space="preserve">t 50 kg (min/u)</t>
  </si>
  <si>
    <t xml:space="preserve">t 70 kg (min/u)</t>
  </si>
  <si>
    <t xml:space="preserve">t 100 kg (min/u)</t>
  </si>
  <si>
    <t xml:space="preserve">Alcance</t>
  </si>
  <si>
    <t xml:space="preserve">Tiempo ponderado (min/u)</t>
  </si>
  <si>
    <t xml:space="preserve">Disponibilidad</t>
  </si>
  <si>
    <t xml:space="preserve">Cap. real (u/h)</t>
  </si>
  <si>
    <t xml:space="preserve">Cap. real (u/mes)</t>
  </si>
  <si>
    <t xml:space="preserve">Control: min/día con el pico del Word</t>
  </si>
  <si>
    <t xml:space="preserve">Word: min/día pico</t>
  </si>
  <si>
    <t xml:space="preserve">SUPOSICIONES</t>
  </si>
  <si>
    <t xml:space="preserve">1</t>
  </si>
  <si>
    <t xml:space="preserve">Recepción de materia prima</t>
  </si>
  <si>
    <t xml:space="preserve">Autoelevador Heli CPCD50 K2 (compartido con manuales) + balanza de plataforma + medidor de espesores Melisam MR017</t>
  </si>
  <si>
    <t xml:space="preserve">Todos</t>
  </si>
  <si>
    <t xml:space="preserve">Tabla 4 del Word (min/mes en el pico de 400 carros): chapa 93 + casquetes 330 + polvo 110 + caño y barra 90 + otros insumos 90, repartidos por carro. La tabla suma 1.146 min/mes aunque el Word indica 1.199. Lo hace el operario de almacén</t>
  </si>
  <si>
    <t xml:space="preserve">2</t>
  </si>
  <si>
    <t xml:space="preserve">Corte de chapa (guillotina)</t>
  </si>
  <si>
    <t xml:space="preserve">Guillotinas Ermaksan CNC HGS 2600-6 (1.er corte) y QC12Y 6 × 2500 (2.º corte), compartidas con manuales + mesa elevadora de tijera 3 t + ventosas</t>
  </si>
  <si>
    <t xml:space="preserve">Hoja 25 kg: 10,6 min / 9 cuerpos + tiras de patas 3,5 min / 9. Hoja 50 kg: 8,8 min / 6 + tiras de 40 mm 5,5 min / 6. Hoja mixta 70+100: 14,5 min / 4 + tiras de placas (5 min cada 23 placas, 2 por cuerpo) + tiras de triángulos (12,1 min en 2 de cada 3 hojas mixtas). Todos: pata 0,2 min + piezas de accesorios a largo 0,8 min (4 cortes de 0,2). Las hojas de 4,75 mm las cortan dos personas</t>
  </si>
  <si>
    <t xml:space="preserve">2.1</t>
  </si>
  <si>
    <t xml:space="preserve">Marcado del cuerpo</t>
  </si>
  <si>
    <t xml:space="preserve">Marcadora por micropercusión DTMAQ MPE 150130 + mesa con topes + punzón DPS</t>
  </si>
  <si>
    <t xml:space="preserve">Tabla de secuencia del puesto 2.1: 1,5 min por cuerpo de 25 y 50 kg y 1,8 min en 70 y 100 kg (entre dos). Lo hace el operario de corte</t>
  </si>
  <si>
    <t xml:space="preserve">3</t>
  </si>
  <si>
    <t xml:space="preserve">Cilindrado</t>
  </si>
  <si>
    <t xml:space="preserve">Roladora hidráulica CNC de 4 rodillos W12 8 × 1500 (Anhui Runbang), exclusiva de carros</t>
  </si>
  <si>
    <t xml:space="preserve">Ciclo por pieza: 2,6 / 2,8 / 4,5 / 5,0 min. En 70 y 100 kg se suma la tanda de tiras de refuerzo (12 min cada 23 placas = 11,5 cuerpos). No se comparte con manuales (rodillos grandes)</t>
  </si>
  <si>
    <t xml:space="preserve">4</t>
  </si>
  <si>
    <t xml:space="preserve">Punteo del cuerpo</t>
  </si>
  <si>
    <t xml:space="preserve">Virador de soldadura Serecon ZJ R-410 sobre base fija + MIG/MAG Pampa 300</t>
  </si>
  <si>
    <t xml:space="preserve">3,0 / 3,3 min; 70 y 100 kg con los dos refuerzos 7,8 / 8,0 min + corte de placas (35 min por tanda de 23 placas = 11,5 cuerpos) + 1 min de ayuda para sacar el cuerpo de la roladora</t>
  </si>
  <si>
    <t xml:space="preserve">5</t>
  </si>
  <si>
    <t xml:space="preserve">Soldadura longitudinal</t>
  </si>
  <si>
    <t xml:space="preserve">Soldadora longitudinal automática ZH-1300 (Dragon Welding) + fuente MIG-350IX + chiller SDL-1000</t>
  </si>
  <si>
    <t xml:space="preserve">Arco (490-900 mm a 500 mm/min en 3,2 mm y 350 mm/min en 4,75 mm) + 2 min de carga, mordazas, retiro e inspección. El mismo operario hace el punteo</t>
  </si>
  <si>
    <t xml:space="preserve">6</t>
  </si>
  <si>
    <t xml:space="preserve">Soldadura de cupla en la cúpula</t>
  </si>
  <si>
    <t xml:space="preserve">Posicionador VEVOR 30 kg sobre mesa Müller + soporte de torcha + MIG/MAG Pampa 300</t>
  </si>
  <si>
    <t xml:space="preserve">3,2 min por cúpula con cupla M30 (25 y 50 kg) y 4,0 min con cupla 2½" (70 y 100 kg). El Word lo asigna al operario de punteo y soldadura longitudinal</t>
  </si>
  <si>
    <t xml:space="preserve">7</t>
  </si>
  <si>
    <t xml:space="preserve">Armado y soldadura circunferencial</t>
  </si>
  <si>
    <t xml:space="preserve">Virador de 1.000 kg (USA Tools) con soporte fijo de torcha X-Y-Z + MIG/MAG Pampa 300</t>
  </si>
  <si>
    <t xml:space="preserve">Encastre, punteo, soldadura automática (cilindro girando, torcha fija) e inspección de fondo y cúpula: 14,6 / 15,2 / 19,4 min. Puesto más cargado de la línea: operario propio</t>
  </si>
  <si>
    <t xml:space="preserve">8</t>
  </si>
  <si>
    <t xml:space="preserve">Soldadura de accesorios</t>
  </si>
  <si>
    <t xml:space="preserve">Virador de 1.000 kg + MIG/MAG Pampa 300 (soldadura manual)</t>
  </si>
  <si>
    <t xml:space="preserve">Marcar posiciones, puntear y soldar manija, flejes, pata, triángulos y caño del eje: 15,7 / 15,9 / 17,6 min por carro. Operario propio</t>
  </si>
  <si>
    <t xml:space="preserve">8.1</t>
  </si>
  <si>
    <t xml:space="preserve">Fabricación de accesorios</t>
  </si>
  <si>
    <t xml:space="preserve">Sensitiva Bosch GCO 220 + prensa hidráulica 20 t + dobladora de caños 12 t + taladro de banco</t>
  </si>
  <si>
    <t xml:space="preserve">11,0 min por juego (manija, caño del eje, eje, 2 triángulos, 2 flejes y pata). El Word lo asigna al operario de cilindrado</t>
  </si>
  <si>
    <t xml:space="preserve">9</t>
  </si>
  <si>
    <t xml:space="preserve">Prueba hidráulica</t>
  </si>
  <si>
    <t xml:space="preserve">Máquina de prueba Yukon M-000200 + 2 bandejas de prueba + tanque y bomba</t>
  </si>
  <si>
    <t xml:space="preserve">Estanquidad al 100 %: 7,9 min (25 kg) y 8,7 min (resto, con la ayuda para dar vuelta el cilindro y el juego provisorio) + expansión 4 min en la muestra (≈12 % del lote semanal)</t>
  </si>
  <si>
    <t xml:space="preserve">10</t>
  </si>
  <si>
    <t xml:space="preserve">Secado</t>
  </si>
  <si>
    <t xml:space="preserve">Secadora eléctrica Melisam MR011 (1 boca)</t>
  </si>
  <si>
    <t xml:space="preserve">Tiempo de máquina por modelo. El operario (el de prueba hidráulica) solo ocupa 2 min por carro: el secado corre solo</t>
  </si>
  <si>
    <t xml:space="preserve">11</t>
  </si>
  <si>
    <t xml:space="preserve">Pulmón de despacho y carga a pintura</t>
  </si>
  <si>
    <t xml:space="preserve">Autoelevador Heli CPCD50 + tarimas de carga con topes (2 operarios)</t>
  </si>
  <si>
    <t xml:space="preserve">Por cada uno de los 2 operarios (almacén y montaje): 5,8 min por tarima de 4 carros chicos y 4,4 min por tarima de 2 grandes</t>
  </si>
  <si>
    <t xml:space="preserve">12</t>
  </si>
  <si>
    <t xml:space="preserve">Recepción de pintados y cambio de juego</t>
  </si>
  <si>
    <t xml:space="preserve">Criques carrito 2 t + zorra de retorno (2 operarios). Pintura en polvo tercerizada</t>
  </si>
  <si>
    <t xml:space="preserve">Por operario: descarga igual que la carga (1,45 / 2,2 min) + la mitad del cambio de juego provisorio (3,0 / 3,3 min por carro). La pintura es tercerizada (3 días hábiles ida y vuelta; USD 13,5 / 20,3 / 27,5 / 32 por carro)</t>
  </si>
  <si>
    <t xml:space="preserve">13 B</t>
  </si>
  <si>
    <t xml:space="preserve">Carga de polvo y presurización</t>
  </si>
  <si>
    <t xml:space="preserve">Cargadora de polvo por vacío Yukon M-000121 + balanza 300 kg + batería de N₂ + llave dinamométrica</t>
  </si>
  <si>
    <t xml:space="preserve">Terminados</t>
  </si>
  <si>
    <t xml:space="preserve">Estación B: balanza, carga de polvo (≈5 s por kg), válvula, presurización a 14 bar y detector de fugas. Operario de carga</t>
  </si>
  <si>
    <t xml:space="preserve">13 A-C / 15</t>
  </si>
  <si>
    <t xml:space="preserve">Montaje, manga, precinto y etiquetado</t>
  </si>
  <si>
    <t xml:space="preserve">Puesto manual (estaciones A y C) + mesa de etiquetado</t>
  </si>
  <si>
    <t xml:space="preserve">Estaciones A y C: 3,6 / 3,6 / 4,3 / 5,3 min + placa de características y traslado al depósito (puesto 15) 2,5 min. Operario de montaje</t>
  </si>
  <si>
    <t xml:space="preserve">14-17</t>
  </si>
  <si>
    <t xml:space="preserve">Calidad: pérdidas, inspección final, liberación y ensayos de lote</t>
  </si>
  <si>
    <t xml:space="preserve">Sala de pérdidas 5 × 5 m (21 °C) + recinto de descarga + Yukon M-000200 + balanza</t>
  </si>
  <si>
    <t xml:space="preserve">Técnico de calidad, por carro: recepción de pintados 1 min + espesor 0,24; pérdidas 3 min × 25 % de muestra; inspección final 1,5; liberación 0,3; medidas 4 min × 25 %</t>
  </si>
  <si>
    <t xml:space="preserve">16</t>
  </si>
  <si>
    <t xml:space="preserve">Depósito de producto terminado y despacho</t>
  </si>
  <si>
    <t xml:space="preserve">Autoelevador + tarima de carga (2 operarios)</t>
  </si>
  <si>
    <t xml:space="preserve">Por cada uno de los 2 operarios: 1,2 min por carro chico y 2,0 min por carro grande</t>
  </si>
  <si>
    <t xml:space="preserve">Alcance: "Todos" = carros terminados + cilindros vendidos vacíos; "Terminados" = solo los que se cargan como matafuego (puestos 13 a 17, salvo el despacho).</t>
  </si>
  <si>
    <t xml:space="preserve">Tiempo ponderado = promedio de los 4 tiempos con la mezcla de modelos de 2035 (datos_base). Cap. real (u/h) = 60 / tiempo ponderado × disponibilidad. Cap. real (u/mes) = cap. real × horas productivas del mes.</t>
  </si>
  <si>
    <t xml:space="preserve">Control: carga en min/día con la mezcla del pico del Word (5 de 25 kg, 11 de 50 kg, 3 de 70 kg y 1 de 100 kg = 20 carros/día, más los tiempos fijos). Tiene que dar parecido a la columna del Word.</t>
  </si>
  <si>
    <t xml:space="preserve">Ocupación (Demanda por puesto y Resumen Capacidad) = (carga del mes pico + pérdida por cambios y tiempos fijos) / horas productivas del mes: es comparable con el '% del turno' del Word. En Resumen se divide por máquinas × turnos.</t>
  </si>
  <si>
    <t xml:space="preserve">Los puestos 11, 12 y 16 los hacen 2 operarios a la vez (almacén y montaje): el tiempo es el de cada uno. La guillotina y el autoelevador se comparten con la línea de manuales: su carga real es la suma de las dos planillas. Corte: tiempos del W-CAR (una sola guillotina); con G1 y G2 en serie falta que el grupo los separe por máquina.</t>
  </si>
  <si>
    <t xml:space="preserve">DISPONIBILIDAD (cambios de modelo y tiempos fijos por día)</t>
  </si>
  <si>
    <t xml:space="preserve">Cambio (min/cambio)</t>
  </si>
  <si>
    <t xml:space="preserve">N° cambios/día</t>
  </si>
  <si>
    <t xml:space="preserve">Otros tiempos fijos (min/día)</t>
  </si>
  <si>
    <t xml:space="preserve">Pérdida total (min/día)</t>
  </si>
  <si>
    <t xml:space="preserve">Pérdida (h/mes)</t>
  </si>
  <si>
    <t xml:space="preserve">Carga diaria de los 2 carros de abastecimiento (20 min/día) + cuplas 33 min/mes</t>
  </si>
  <si>
    <t xml:space="preserve">6 cambios de tope por día (2 de patas + 4 de piezas) × 0,5 min; preparación 5 min + traer y devolver 2 paquetes 20 min</t>
  </si>
  <si>
    <t xml:space="preserve">3 cambios de modelo por día (mover el tope lateral) + 4 min de preparación (prueba de profundidad)</t>
  </si>
  <si>
    <t xml:space="preserve">3 cambios de programa por día × 4 min (programa, ajuste y primera pieza); traer y devolver carros 3 × 2 min</t>
  </si>
  <si>
    <t xml:space="preserve">Preparación: gas, soldadora y extracción</t>
  </si>
  <si>
    <t xml:space="preserve">3 cambios de programa por día × 1 min; preparación 5 min</t>
  </si>
  <si>
    <t xml:space="preserve">2 cambios de medida por día × 2 min (topes del adaptador y velocidad); preparación 5 min</t>
  </si>
  <si>
    <t xml:space="preserve">2 cambios de medida por día × 2 min; preparación 5 min</t>
  </si>
  <si>
    <t xml:space="preserve">2 cambios de modelo por día × 2 min; preparación 5 min</t>
  </si>
  <si>
    <t xml:space="preserve">3 cambios de modelo por día × 2 min; traslados 6 min + preparación 3 min</t>
  </si>
  <si>
    <t xml:space="preserve">Preparación: arranque, manómetro patrón, filtros y orden</t>
  </si>
  <si>
    <t xml:space="preserve">Sin cambios: el tiempo se programa por modelo</t>
  </si>
  <si>
    <t xml:space="preserve">10 min por viaje, 2 viajes por semana en el pico</t>
  </si>
  <si>
    <t xml:space="preserve">Recargas de la muestra 32 min/día + arranque, cierre y cambio de big bag 16 min/día</t>
  </si>
  <si>
    <t xml:space="preserve">Recargas, orden y preparación</t>
  </si>
  <si>
    <t xml:space="preserve">Fijo por día: actas, sala, registro, certificados y ensayos de lote (manga, rodadura y funcionamiento ≈13,5 carros por semana, 718 min/semana). Dependen de la cantidad de lotes, no del volumen</t>
  </si>
  <si>
    <t xml:space="preserve">10 min por viaje, 5 viajes por semana</t>
  </si>
  <si>
    <t xml:space="preserve">Celdas verdes = datos editables (tiempos, alcance, cambios y tiempos fijos). Disponibilidad = 1 − pérdida del mes / horas productivas del mes.</t>
  </si>
  <si>
    <t xml:space="preserve">Producto</t>
  </si>
  <si>
    <t xml:space="preserve">Tipo</t>
  </si>
  <si>
    <t xml:space="preserve">Total anual</t>
  </si>
  <si>
    <t xml:space="preserve">Terminado</t>
  </si>
  <si>
    <t xml:space="preserve">Cilindro</t>
  </si>
  <si>
    <t xml:space="preserve">Total recipientes</t>
  </si>
  <si>
    <t xml:space="preserve">Año 2026 — carga (h/mes)</t>
  </si>
  <si>
    <t xml:space="preserve">Total anual (h)</t>
  </si>
  <si>
    <t xml:space="preserve">Mes pico (h/mes)</t>
  </si>
  <si>
    <t xml:space="preserve">Ocupación pico (1 puesto, 1 turno, con fijos)</t>
  </si>
  <si>
    <t xml:space="preserve">Mes pico</t>
  </si>
  <si>
    <t xml:space="preserve">Año 2027 — carga (h/mes)</t>
  </si>
  <si>
    <t xml:space="preserve">Año 2028 — carga (h/mes)</t>
  </si>
  <si>
    <t xml:space="preserve">Año 2029 — carga (h/mes)</t>
  </si>
  <si>
    <t xml:space="preserve">Año 2030 — carga (h/mes)</t>
  </si>
  <si>
    <t xml:space="preserve">Año 2031 — carga (h/mes)</t>
  </si>
  <si>
    <t xml:space="preserve">Año 2032 — carga (h/mes)</t>
  </si>
  <si>
    <t xml:space="preserve">Año 2033 — carga (h/mes)</t>
  </si>
  <si>
    <t xml:space="preserve">Año 2034 — carga (h/mes)</t>
  </si>
  <si>
    <t xml:space="preserve">Año 2035 — carga (h/mes)</t>
  </si>
  <si>
    <t xml:space="preserve">Aprovechamiento por puesto (mes pico)</t>
  </si>
  <si>
    <t xml:space="preserve">Recurso</t>
  </si>
  <si>
    <t xml:space="preserve">Referencias</t>
  </si>
  <si>
    <t xml:space="preserve">Manual</t>
  </si>
  <si>
    <t xml:space="preserve">Agrega máquina</t>
  </si>
  <si>
    <t xml:space="preserve">Máquina</t>
  </si>
  <si>
    <t xml:space="preserve">Agrega turno</t>
  </si>
  <si>
    <t xml:space="preserve">Agrega operario (puesto manual)</t>
  </si>
  <si>
    <t xml:space="preserve">Tercerizado</t>
  </si>
  <si>
    <t xml:space="preserve">Revisar</t>
  </si>
  <si>
    <t xml:space="preserve">Colores automáticos contra el año anterior · Word de recargas § 9</t>
  </si>
  <si>
    <t xml:space="preserve">Aprovechamiento máximo</t>
  </si>
  <si>
    <t xml:space="preserve">Máquinas/operarios en el puesto</t>
  </si>
  <si>
    <t xml:space="preserve">TOTAL máquinas / puestos</t>
  </si>
  <si>
    <t xml:space="preserve">Cantidad de turnos</t>
  </si>
  <si>
    <t xml:space="preserve">Cantidad de turnos en el año</t>
  </si>
  <si>
    <t xml:space="preserve">Producción de carros — proceso por puesto (resumen del Word 'PROCESO CARRO EN LIMPIO')</t>
  </si>
  <si>
    <t xml:space="preserve">Matafuegos de polvo ABC sobre ruedas de 25, 50, 70 y 100 kg: cuerpo de chapa LAC rolada y soldada, fondo y cúpula estampados y cupla roscada en la cúpula. Escenario del Word: pico de 20 carros por día (5 de 25 kg, 11 de 50 kg, 3 de 70 kg y 1 de 100 kg), promedio = 70 % del pico (14 por día), turno de 410 min.</t>
  </si>
  <si>
    <t xml:space="preserve">Qué se hace</t>
  </si>
  <si>
    <t xml:space="preserve">Entrada</t>
  </si>
  <si>
    <t xml:space="preserve">Salida</t>
  </si>
  <si>
    <t xml:space="preserve">Equipos y herramientas principales</t>
  </si>
  <si>
    <t xml:space="preserve">Quién lo hace</t>
  </si>
  <si>
    <t xml:space="preserve">Carga pico (Word)</t>
  </si>
  <si>
    <t xml:space="preserve">Carga promedio (Word)</t>
  </si>
  <si>
    <t xml:space="preserve">Superficie</t>
  </si>
  <si>
    <t xml:space="preserve">Controles / norma</t>
  </si>
  <si>
    <t xml:space="preserve">Descarga, cuarentena y control de la MP. Chapa: certificado de colada y espesor con ultrasonido en 3 puntos. Casquetes, cuplas y polvo por muestreo IRAM 15 (nivel II, AQL 6,5 % / 4 %). Etiqueta de color por mes de ingreso (verde, amarillo, azul, rojo). Carga diaria de 2 carros de abastecimiento a los puestos 6 y 7.</t>
  </si>
  <si>
    <t xml:space="preserve">Camión playo: chapa LAC en paquetes (20 hojas de 3,2 mm ≈2.260 kg; 15 de 4,75 mm ≈2.520 kg), casquetes en pallets (400 / 300 / 150 u), cuplas en cajas, polvo en big bags de 1.000 kg, caño y barra trefilada.</t>
  </si>
  <si>
    <t xml:space="preserve">MP aprobada en el almacén (calle de chapa, racks de casquetes e insumos, depósito de polvo). Rechazados a zona de retenidos.</t>
  </si>
  <si>
    <t xml:space="preserve">Autoelevador Heli CPCD50 K2 5 t; medidor de espesores Melisam MR017; cinta Pi Tape; calibre y micrómetro Insize; balanza de plataforma 1.500 kg; gancho big bag; calador; 2 carros Storage Compat FCEP10520.</t>
  </si>
  <si>
    <t xml:space="preserve">Operario de almacén (compartido con manuales) + señalero para la chapa</t>
  </si>
  <si>
    <t xml:space="preserve">60 min/día (14,6 %)</t>
  </si>
  <si>
    <t xml:space="preserve">43 min/día (10,5 %)</t>
  </si>
  <si>
    <t xml:space="preserve">≈191 m² (sin playón ni depósito de polvo)</t>
  </si>
  <si>
    <t xml:space="preserve">IRAM 3550 3.2.1 y 4.1.3.2 (espesor mínimo 2,9 / 4,5 mm), 6.1.4; IRAM 3569 para el polvo; muestreo IRAM 15 / IRAM 18.</t>
  </si>
  <si>
    <t xml:space="preserve">Corte de chapas</t>
  </si>
  <si>
    <t xml:space="preserve">Corte en dos fases en la guillotina: 1.ª columnas con el paquete en la mesa elevadora; 2.ª cuerpos. Hoja 25 kg: 9 cuerpos de 858 × 490; hoja 50 kg: 6 de 994 × 640; hoja mixta: 3 de 70 kg + 1 de 100 kg (1212 mm). De las orillas salen tiras para placas de refuerzo, terceras patas, flejes y triángulos.</t>
  </si>
  <si>
    <t xml:space="preserve">Paquetes de chapa traídos por el autoelevador a la mesa elevadora de tijera de 3 t.</t>
  </si>
  <si>
    <t xml:space="preserve">Cuerpos a la mesa de marcado (2.1); piezas de accesorios en cajas al 8.1; scrap (≈28 kg/día pico) al contenedor de 1.000 l.</t>
  </si>
  <si>
    <t xml:space="preserve">Guillotinas Ermaksan CNC HGS 2600-6 y QC12Y 6 × 2500 (compartidas con manuales); mesa elevadora SJG3.0-1.6; ventosas Hamilton VH3; carros de traslado; EFE 600; mesa FMT ME500.</t>
  </si>
  <si>
    <t xml:space="preserve">Operario de corte (compartido con manuales); hoja de 4,75 mm entre dos (ayuda el de cilindrado)</t>
  </si>
  <si>
    <t xml:space="preserve">107 min/día (26,1 %)</t>
  </si>
  <si>
    <t xml:space="preserve">77 min/día (18,8 %)</t>
  </si>
  <si>
    <t xml:space="preserve">≈44 m²</t>
  </si>
  <si>
    <t xml:space="preserve">Control interno: primera pieza ± 0,5 mm y escuadra. Aprovechamiento 84 % (3,2 mm) y 79 % (mixta).</t>
  </si>
  <si>
    <t xml:space="preserve">Grabado por micropercusión sobre la chapa plana: FLAMA + año, n.° de serie, PE 4 MPa y cuño DPS; marca de colada y planilla de trazabilidad.</t>
  </si>
  <si>
    <t xml:space="preserve">Cuerpos recién cortados desde la rampa trasera de la guillotina.</t>
  </si>
  <si>
    <t xml:space="preserve">Cuerpos grabados: 25 y 50 kg parados en el EFE 600; 70 y 100 kg acostados en la mesa móvil, con el grabado hacia abajo.</t>
  </si>
  <si>
    <t xml:space="preserve">Marcadora DTMAQ MPE 150130; mesa de marcado con topes; punzón DPS 15 × 7 mm; calibre con varilla de profundidad.</t>
  </si>
  <si>
    <t xml:space="preserve">Operario de corte</t>
  </si>
  <si>
    <t xml:space="preserve">37 min/día (9,0 %)</t>
  </si>
  <si>
    <t xml:space="preserve">27 min/día (6,7 %)</t>
  </si>
  <si>
    <t xml:space="preserve">≈9 m²</t>
  </si>
  <si>
    <t xml:space="preserve">IRAM 3550 5.1 y Res. 349/07 (cuño DPS). Profundidad ≤ 0,2 mm (espesor mínimo 4.1.3.2).</t>
  </si>
  <si>
    <t xml:space="preserve">Rolado de cada cuerpo en una pasada con precurvado de ambos extremos; un programa por diámetro (276,5 / 320 / 390 mm y 380 mm para las tiras de refuerzo), por tandas.</t>
  </si>
  <si>
    <t xml:space="preserve">Cuerpos grabados en el EFE 600 y la mesa móvil; tiras de refuerzo cada 2,9 días.</t>
  </si>
  <si>
    <t xml:space="preserve">Virolas (cilindro abierto) al pulmón de 1,8 × 1,2 m; 70 y 100 kg en la cuna volcadora.</t>
  </si>
  <si>
    <t xml:space="preserve">Roladora CNC 4 rodillos W12 8 × 1500 (Anhui Runbang), exclusiva de carros; cintas Pi Tape; cuna volcadora Indumov.</t>
  </si>
  <si>
    <t xml:space="preserve">Operario de cilindrado (también ayuda en el corte y el punteo y hace el 8.1)</t>
  </si>
  <si>
    <t xml:space="preserve">Roladora 84 min/día (20,6 %); operario 109 min (26,6 %)</t>
  </si>
  <si>
    <t xml:space="preserve">Roladora 65 min (15,8 %); operario 81 min (19,8 %)</t>
  </si>
  <si>
    <t xml:space="preserve">≈35 m²</t>
  </si>
  <si>
    <t xml:space="preserve">Control interno: Ø ± 1 mm; escalón de junta ≤ ¼ del espesor.</t>
  </si>
  <si>
    <t xml:space="preserve">Cierre de la junta longitudinal con 5 a 7 puntos MIG; en 70 y 100 kg se puntean 2 placas de refuerzo por dentro. Corte de placas de las tiras roladas con amoladora.</t>
  </si>
  <si>
    <t xml:space="preserve">Virolas del cilindrado (70 y 100 kg en la cuna, entre dos).</t>
  </si>
  <si>
    <t xml:space="preserve">Cuerpo punteado al pulmón de 1,6 × 1,2 m o en la cuna.</t>
  </si>
  <si>
    <t xml:space="preserve">Virador Serecon ZJ R-410 (2.613,60 €) sobre base fija; MIG/MAG Pampa 300 trifásica ($1.830.535); pinzas de presión; amoladora 115 mm; extracción de humos.</t>
  </si>
  <si>
    <t xml:space="preserve">Operario de punteo y soldadura longitudinal</t>
  </si>
  <si>
    <t xml:space="preserve">104 min/día (25,4 %)</t>
  </si>
  <si>
    <t xml:space="preserve">74 min/día (18,0 %)</t>
  </si>
  <si>
    <t xml:space="preserve">≈27 m²</t>
  </si>
  <si>
    <t xml:space="preserve">Control interno: junta alineada, puntos sin poros, Ø ± 1 mm, placas a 100 mm del borde.</t>
  </si>
  <si>
    <t xml:space="preserve">Costura longitudinal automática de punta a punta en una pasada (mandril con barra de cobre y mordazas tipo piano). Inspección del 100 % por dentro y por fuera.</t>
  </si>
  <si>
    <t xml:space="preserve">Cuerpos punteados (el mismo operario adelanta el punteo mientras suelda la máquina).</t>
  </si>
  <si>
    <t xml:space="preserve">Tubo cerrado al pulmón del armado; rechazados a zona de no conforme.</t>
  </si>
  <si>
    <t xml:space="preserve">Soldadora longitudinal ZH-1300 Dragon Welding (USD 6.200) + fuente MIG-350IX (USD 2.100) + chiller SDL-1000 (USD 790); lámpara LED.</t>
  </si>
  <si>
    <t xml:space="preserve">76 min/día (18,5 %)</t>
  </si>
  <si>
    <t xml:space="preserve">55 min/día (13,5 %)</t>
  </si>
  <si>
    <t xml:space="preserve">≈22 m²</t>
  </si>
  <si>
    <t xml:space="preserve">IRAM 3550 3.2.2.1 (una sola costura longitudinal), 3.2.2.2 (proceso automático), 6.1.2 (aspecto de costuras).</t>
  </si>
  <si>
    <t xml:space="preserve">Punteo de la cupla en 3 puntos y cordón de filete en una vuelta con la cúpula girando en un posicionador y la torcha fija. Calibre pasa/no pasa de la rosca.</t>
  </si>
  <si>
    <t xml:space="preserve">Cúpulas y cuplas del carro 1 de abastecimiento.</t>
  </si>
  <si>
    <t xml:space="preserve">Cúpulas soldadas al carro canasto (pulmón hacia el puesto 7).</t>
  </si>
  <si>
    <t xml:space="preserve">Posicionador VEVOR 30 kg (USD 564); mesa Müller Weld Block 2.0; MIG/MAG Pampa 300; tapones centradores; calibres tampón; spray antiproyecciones.</t>
  </si>
  <si>
    <t xml:space="preserve">Operario de punteo y soldadura longitudinal (propuesta del Word)</t>
  </si>
  <si>
    <t xml:space="preserve">76 min/día (18,6 %)</t>
  </si>
  <si>
    <t xml:space="preserve">56 min/día (13,7 %)</t>
  </si>
  <si>
    <t xml:space="preserve">≈16 m²</t>
  </si>
  <si>
    <t xml:space="preserve">IRAM 3550 3.2.2.1 y 3.2.2.2 (no alcanzada); estanqueidad en la prueba hidráulica (4.1.4).</t>
  </si>
  <si>
    <t xml:space="preserve">Encastre de fondo y cúpula, punteo en 4 puntos y soldadura circunferencial automática (cilindro girando en el virador, torcha fija). Fondo inspeccionado antes de cerrar.</t>
  </si>
  <si>
    <t xml:space="preserve">Cuerpos soldados, cúpulas con cupla (carro canasto) y fondos (carro 2).</t>
  </si>
  <si>
    <t xml:space="preserve">Cilindro cerrado con la boca tapada al pulmón del puesto 8; 70 y 100 kg en cuna.</t>
  </si>
  <si>
    <t xml:space="preserve">Virador 1.000 kg USA Tools (USD 1.493) con soporte de torcha X-Y-Z; MIG/MAG Pampa 300; galgas; boroscopio.</t>
  </si>
  <si>
    <t xml:space="preserve">Operario propio</t>
  </si>
  <si>
    <t xml:space="preserve">327 min/día (79,8 %)</t>
  </si>
  <si>
    <t xml:space="preserve">231 min/día (56,4 %)</t>
  </si>
  <si>
    <t xml:space="preserve">IRAM 3550 3.2.2.1 (máx. 2 costuras transversales), 3.2.2.2, 6.1.2.</t>
  </si>
  <si>
    <t xml:space="preserve">Marcado de posiciones desde la costura longitudinal y soldadura manual de manija, flejes de manga, pata, triángulos y caño del eje. Se monta el juego provisorio de eje y ruedas.</t>
  </si>
  <si>
    <t xml:space="preserve">Cilindro cerrado y kit de accesorios del 8.1.</t>
  </si>
  <si>
    <t xml:space="preserve">Carro sobre su juego provisorio, rodando a la prueba hidráulica.</t>
  </si>
  <si>
    <t xml:space="preserve">Virador 1.000 kg; MIG/MAG Pampa 300; cinta flexible pipe wrap; escuadra; 177 juegos provisorios (354 ruedas y 177 ejes).</t>
  </si>
  <si>
    <t xml:space="preserve">Soldador propio</t>
  </si>
  <si>
    <t xml:space="preserve">333 min/día (81,2 %)</t>
  </si>
  <si>
    <t xml:space="preserve">236 min/día (57,6 %)</t>
  </si>
  <si>
    <t xml:space="preserve">≈29 m²</t>
  </si>
  <si>
    <t xml:space="preserve">IRAM 3550 6.1.1: todas las soldaduras del tren de rodaje antes de formar los lotes.</t>
  </si>
  <si>
    <t xml:space="preserve">Corte, aplastado, curvado y agujereado de manija, caño del eje, eje, triángulos y flejes; armado de un kit por carro. No se suelda.</t>
  </si>
  <si>
    <t xml:space="preserve">Caño de 1" y 1¼", barra trefilada de 3/4" y 1", piezas de chapa del corte.</t>
  </si>
  <si>
    <t xml:space="preserve">Kits al carro de kits del puesto 8; ejes en cajón por modelo.</t>
  </si>
  <si>
    <t xml:space="preserve">Sensitiva Bosch GCO 220 ($514.605); prensa Lusqtoff 20 t ($1.452.683); dobladora TOR-QUE 12 t ($774.001); perforadora Barbero 16 mm ($590.799); rack de barras.</t>
  </si>
  <si>
    <t xml:space="preserve">Operario de cilindrado (propuesta del Word)</t>
  </si>
  <si>
    <t xml:space="preserve">235 min/día (57,3 %)</t>
  </si>
  <si>
    <t xml:space="preserve">169 min/día (41,2 %)</t>
  </si>
  <si>
    <t xml:space="preserve">≈32 m²</t>
  </si>
  <si>
    <t xml:space="preserve">IRAM 3550 3.12.3 (estabilidad), 3.8.2 (soporte de manga); rodadura en ensayos de lote.</t>
  </si>
  <si>
    <t xml:space="preserve">Estanquidad al 100 % a 4 MPa durante 1 min y expansión en el 10 % de cada lote semanal. Llenado con bomba y vaciado con aire a 1 bar; dos bandejas de prueba en paralelo.</t>
  </si>
  <si>
    <t xml:space="preserve">Carro con accesorios sobre su juego provisorio.</t>
  </si>
  <si>
    <t xml:space="preserve">Carro vacío, rodando al secado.</t>
  </si>
  <si>
    <t xml:space="preserve">Máquina de prueba Yukon M-000200; 2 bandejas con rejilla; tanque Rotoplas 1.000 l; bomba periférica Czerweny; bomba sumergible; pantalla de policarbonato.</t>
  </si>
  <si>
    <t xml:space="preserve">Operario de prueba hidráulica</t>
  </si>
  <si>
    <t xml:space="preserve">190 min/día (46,3 %)</t>
  </si>
  <si>
    <t xml:space="preserve">136 min/día (33,2 %)</t>
  </si>
  <si>
    <t xml:space="preserve">IRAM 3550 4.1.4, 4.1.6, 6.1.3.1 y 6.1.3.2, 7.1.3.</t>
  </si>
  <si>
    <t xml:space="preserve">Aire caliente por lanza hasta secar el interior (8 / 10 / 12 / 14 min de máquina), control con linterna y boca tapada con cinta.</t>
  </si>
  <si>
    <t xml:space="preserve">Carros vacíos de la prueba hidráulica.</t>
  </si>
  <si>
    <t xml:space="preserve">Carros secos al pulmón de despacho.</t>
  </si>
  <si>
    <t xml:space="preserve">Secadora eléctrica Melisam MR011; linterna LED.</t>
  </si>
  <si>
    <t xml:space="preserve">Operario 43 min/día (10,5 %); máquina 200 min</t>
  </si>
  <si>
    <t xml:space="preserve">Operario 31 min/día (7,6 %); máquina 140 min</t>
  </si>
  <si>
    <t xml:space="preserve">≈7,5 m²</t>
  </si>
  <si>
    <t xml:space="preserve">Control interno: interior 100 % seco.</t>
  </si>
  <si>
    <t xml:space="preserve">Pulmón de despacho y transporte a pintura</t>
  </si>
  <si>
    <t xml:space="preserve">Espera hasta aprobar el lote semanal en la prueba hidráulica; carga al camión con tarima y autoelevador (≈80 carros por semirremolque).</t>
  </si>
  <si>
    <t xml:space="preserve">Carros secos con la boca tapada.</t>
  </si>
  <si>
    <t xml:space="preserve">Lote aprobado en camión a la pintura tercerizada.</t>
  </si>
  <si>
    <t xml:space="preserve">Autoelevador Heli CPCD50; 2 tarimas de carga con topes; fajas con criquet.</t>
  </si>
  <si>
    <t xml:space="preserve">Operario de almacén + operario de montaje</t>
  </si>
  <si>
    <t xml:space="preserve">36 min/día cada uno</t>
  </si>
  <si>
    <t xml:space="preserve">25 min/día cada uno</t>
  </si>
  <si>
    <t xml:space="preserve">≈70 m² (120 carros)</t>
  </si>
  <si>
    <t xml:space="preserve">Solo sale el lote aprobado (IRAM 3550 6.1.3).</t>
  </si>
  <si>
    <t xml:space="preserve">Pintura tercerizada y recepción de pintados</t>
  </si>
  <si>
    <t xml:space="preserve">Pintura en polvo poliéster roja (IRAM-DEF D 10-54) en un pintor externo, 3 días hábiles ida y vuelta. Al volver: descarga, cambio del juego provisorio por eje y ruedas nuevas e inspección al 100 %.</t>
  </si>
  <si>
    <t xml:space="preserve">Carros pintados en el camión.</t>
  </si>
  <si>
    <t xml:space="preserve">Carros sobre ruedas nuevas al pulmón de pintados; juegos provisorios de vuelta al puesto 8.</t>
  </si>
  <si>
    <t xml:space="preserve">Servicio de pintura (USD 13,5 / 20,3 / 27,5 / 32 por carro); 2 criques carrito 2 t; zorra de retorno; medidor de espesor UNI-T UT343D.</t>
  </si>
  <si>
    <t xml:space="preserve">Operario de almacén + operario de montaje + técnico de calidad</t>
  </si>
  <si>
    <t xml:space="preserve">67 min/día por operario; calidad 30 min</t>
  </si>
  <si>
    <t xml:space="preserve">47 min/día por operario; calidad 21 min</t>
  </si>
  <si>
    <t xml:space="preserve">≈79 m²</t>
  </si>
  <si>
    <t xml:space="preserve">IRAM 3550 3.11 (color), 3.2.1 (recubrimiento), 5.1 (grabado legible).</t>
  </si>
  <si>
    <t xml:space="preserve">13</t>
  </si>
  <si>
    <t xml:space="preserve">Carga, armado y presurización</t>
  </si>
  <si>
    <t xml:space="preserve">A: cinta e interior. B: carga de polvo por vacío al peso (±3 %), válvula con manómetro y pescante, presurización con N₂ a 14 bar y detector de fugas. C: manga, traba, precinto y tarjeta.</t>
  </si>
  <si>
    <t xml:space="preserve">Carros pintados sobre ruedas nuevas; válvulas, manómetros, mangas, polvo en big bag, N₂ en batería.</t>
  </si>
  <si>
    <t xml:space="preserve">Matafuego cargado: muestra a la sala de pérdidas (14), resto al etiquetado (15).</t>
  </si>
  <si>
    <t xml:space="preserve">Cargadora por vacío Yukon M-000121; balanza 300 kg; bastidor de big bag con tolva; batería de N₂ 11 tubos; regulador; llave dinamométrica; colector de polvo.</t>
  </si>
  <si>
    <t xml:space="preserve">Operario de carga (B) + operario de montaje (A y C)</t>
  </si>
  <si>
    <t xml:space="preserve">Carga 273 min (66,6 %); montaje 147 min (35,9 %)</t>
  </si>
  <si>
    <t xml:space="preserve">Carga 205 min (50,0 %); montaje 109 min (26,6 %)</t>
  </si>
  <si>
    <t xml:space="preserve">≈60 m²</t>
  </si>
  <si>
    <t xml:space="preserve">IRAM 3550 4.6, 7.5, 3.9, 4.7, 3.10, 3.6, 3.4.2, 4.8.1.</t>
  </si>
  <si>
    <t xml:space="preserve">14</t>
  </si>
  <si>
    <t xml:space="preserve">Ensayo de pérdidas (Camino B)</t>
  </si>
  <si>
    <t xml:space="preserve">La muestra del lote (IRAM 15) pasa 7 días en una sala a 21 °C; se lee el manómetro el día 1 y el día 7.</t>
  </si>
  <si>
    <t xml:space="preserve">Carros de la muestra con tarjeta naranja.</t>
  </si>
  <si>
    <t xml:space="preserve">Carros al puesto 17 o al etiquetado.</t>
  </si>
  <si>
    <t xml:space="preserve">Sala de paneles 5 × 5 m; split BGH 3000F; registrador Elitech RC-5.</t>
  </si>
  <si>
    <t xml:space="preserve">Técnico de calidad</t>
  </si>
  <si>
    <t xml:space="preserve">19 min/día</t>
  </si>
  <si>
    <t xml:space="preserve">17 min/día</t>
  </si>
  <si>
    <t xml:space="preserve">≈25 m² (30 lugares)</t>
  </si>
  <si>
    <t xml:space="preserve">IRAM 3550 4.9 y 7.8; aceptación IRAM 15 AQL 6,5 %.</t>
  </si>
  <si>
    <t xml:space="preserve">15</t>
  </si>
  <si>
    <t xml:space="preserve">Etiquetado e inspección final (Camino A)</t>
  </si>
  <si>
    <t xml:space="preserve">Calcomanía de características (vinilo UV con corte de seguridad) y etiqueta del polvo; inspección visual al 100 %; tarjeta amarilla de RETENIDO.</t>
  </si>
  <si>
    <t xml:space="preserve">Carros cargados del puesto 13 y muestras que vuelven.</t>
  </si>
  <si>
    <t xml:space="preserve">Carros retenidos al depósito (16).</t>
  </si>
  <si>
    <t xml:space="preserve">Calcomanías en rollo de 1.000; plantilla con imán; espátula de fieltro; alcohol isopropílico.</t>
  </si>
  <si>
    <t xml:space="preserve">Operario de montaje + técnico de calidad</t>
  </si>
  <si>
    <t xml:space="preserve">Montaje 50 min (en el 13); calidad 35 min</t>
  </si>
  <si>
    <t xml:space="preserve">Montaje 35 min; calidad 26 min</t>
  </si>
  <si>
    <t xml:space="preserve">IRAM 3550 5.2.2 a 5.2.6, 6.2.1, 7.11.</t>
  </si>
  <si>
    <t xml:space="preserve">Depósito de producto retenido, liberado y despacho</t>
  </si>
  <si>
    <t xml:space="preserve">Zonas amarilla (retenidos, 180 carros), verde (liberados, 100) y roja; liberación del lote por calidad y despacho a clientes (lo más viejo primero).</t>
  </si>
  <si>
    <t xml:space="preserve">Carros etiquetados con tarjeta de RETENIDO.</t>
  </si>
  <si>
    <t xml:space="preserve">Carros liberados a clientes con remito y certificado del lote.</t>
  </si>
  <si>
    <t xml:space="preserve">Autoelevador; tarimas de carga; fajas con criquet.</t>
  </si>
  <si>
    <t xml:space="preserve">Técnico de calidad + operarios de almacén y montaje</t>
  </si>
  <si>
    <t xml:space="preserve">Calidad 14 min; carga 37 min por operario</t>
  </si>
  <si>
    <t xml:space="preserve">Calidad 12 min; carga 28 min por operario</t>
  </si>
  <si>
    <t xml:space="preserve">≈200 m²</t>
  </si>
  <si>
    <t xml:space="preserve">IRAM 3550 6.2.3 (decisión del lote con AQL 4 % y 6,5 %).</t>
  </si>
  <si>
    <t xml:space="preserve">17</t>
  </si>
  <si>
    <t xml:space="preserve">Ensayos de lote (Camino B)</t>
  </si>
  <si>
    <t xml:space="preserve">Sobre la muestra: medidas, prueba hidrostática de la manga a 4 MPa, rodadura (1 km, caída de 20 cm y choque) y funcionamiento continuo / intermitente en recinto cerrado. Los carros vuelven al 13 para recargarse.</t>
  </si>
  <si>
    <t xml:space="preserve">Carros de la muestra con 7 días en la sala.</t>
  </si>
  <si>
    <t xml:space="preserve">Informe del lote; carros descargados a recarga (13).</t>
  </si>
  <si>
    <t xml:space="preserve">Recinto de descarga 12 × 3 m; colector de polvo 3 HP; balanza 300 kg; anemómetro; cronómetro; Yukon M-000200.</t>
  </si>
  <si>
    <t xml:space="preserve">Técnico de calidad + operario de almacén (rodadura)</t>
  </si>
  <si>
    <t xml:space="preserve">164 min/día (técnico)</t>
  </si>
  <si>
    <t xml:space="preserve">160 min/día (técnico)</t>
  </si>
  <si>
    <t xml:space="preserve">≈70 m² (sin el patio)</t>
  </si>
  <si>
    <t xml:space="preserve">IRAM 3550 4.1.5, 4.3, 4.8, 4.10, 4.11, 7.3, 7.7, 7.9, 7.10.</t>
  </si>
  <si>
    <t xml:space="preserve">Personal propuesto en el Word (mes pico, turno de 410 min)</t>
  </si>
  <si>
    <t xml:space="preserve">Persona</t>
  </si>
  <si>
    <t xml:space="preserve">Puestos</t>
  </si>
  <si>
    <t xml:space="preserve">Pico (min/día)</t>
  </si>
  <si>
    <t xml:space="preserve">Promedio (min/día)</t>
  </si>
  <si>
    <t xml:space="preserve">2 y 2.1 (el resto del turno corta para manuales)</t>
  </si>
  <si>
    <t xml:space="preserve">144 (35 %)</t>
  </si>
  <si>
    <t xml:space="preserve">104 (25 %)</t>
  </si>
  <si>
    <t xml:space="preserve">Operario de cilindrado</t>
  </si>
  <si>
    <t xml:space="preserve">3 + ayudas en el corte y el punteo + 8.1</t>
  </si>
  <si>
    <t xml:space="preserve">342 (83,4 %)</t>
  </si>
  <si>
    <t xml:space="preserve">250 (61,0 %)</t>
  </si>
  <si>
    <t xml:space="preserve">4 + 5 + 6 (cupla)</t>
  </si>
  <si>
    <t xml:space="preserve">230 a 256 (56 a 62 %)</t>
  </si>
  <si>
    <t xml:space="preserve">≈185 (45 %)</t>
  </si>
  <si>
    <t xml:space="preserve">Operario de armado y soldadura circunferencial</t>
  </si>
  <si>
    <t xml:space="preserve">327 (79,8 %)</t>
  </si>
  <si>
    <t xml:space="preserve">231 (56,4 %)</t>
  </si>
  <si>
    <t xml:space="preserve">Soldador de accesorios</t>
  </si>
  <si>
    <t xml:space="preserve">333 (81,2 %)</t>
  </si>
  <si>
    <t xml:space="preserve">236 (57,6 %)</t>
  </si>
  <si>
    <t xml:space="preserve">9 + 10 + juegos provisorios</t>
  </si>
  <si>
    <t xml:space="preserve">233 (56,8 %)</t>
  </si>
  <si>
    <t xml:space="preserve">167 (40,7 %)</t>
  </si>
  <si>
    <t xml:space="preserve">Operario de carga</t>
  </si>
  <si>
    <t xml:space="preserve">13 B + recargas de la muestra</t>
  </si>
  <si>
    <t xml:space="preserve">273 (66,6 %)</t>
  </si>
  <si>
    <t xml:space="preserve">205 (50,0 %)</t>
  </si>
  <si>
    <t xml:space="preserve">Operario de montaje</t>
  </si>
  <si>
    <t xml:space="preserve">13 A y C, 15, cambio de juego (12) y camiones (11, 12 y 16)</t>
  </si>
  <si>
    <t xml:space="preserve">287 (70,0 %)</t>
  </si>
  <si>
    <t xml:space="preserve">209 (51,0 %)</t>
  </si>
  <si>
    <t xml:space="preserve">12, 14, 15, 16 y 17</t>
  </si>
  <si>
    <t xml:space="preserve">262 (63,9 %)</t>
  </si>
  <si>
    <t xml:space="preserve">Operario de almacén (compartido con manuales)</t>
  </si>
  <si>
    <t xml:space="preserve">1, camiones (11, 12 y 16), cambio de juego, big bag y rodadura</t>
  </si>
  <si>
    <t xml:space="preserve">247 (60,2 %)</t>
  </si>
  <si>
    <t xml:space="preserve">186 (45,4 %)</t>
  </si>
  <si>
    <t xml:space="preserve">El promedio del operario de punteo y soldadura longitudinal se estimó como 129 + 56 min (no figura en el Word).</t>
  </si>
  <si>
    <t xml:space="preserve">Recorrido de un lote (producción semanal de un modelo)</t>
  </si>
  <si>
    <t xml:space="preserve">Semana 1</t>
  </si>
  <si>
    <t xml:space="preserve">Se suelda (7, 8 y 8.1), se prueba (9), se seca (10) y espera en el pulmón de despacho (11). Al final de la semana se aprueba en la prueba hidráulica.</t>
  </si>
  <si>
    <t xml:space="preserve">Semana 2</t>
  </si>
  <si>
    <t xml:space="preserve">Viaja a la pintura el lunes y vuelve unos 3 días hábiles después; al bajarlo se cambia el juego provisorio por eje y ruedas nuevas (12).</t>
  </si>
  <si>
    <t xml:space="preserve">Semana 3</t>
  </si>
  <si>
    <t xml:space="preserve">Se carga y presuriza (13), primero la muestra, que entra a la sala de pérdidas (14). El resto se etiqueta y queda retenido (15 y 16).</t>
  </si>
  <si>
    <t xml:space="preserve">Semana 4</t>
  </si>
  <si>
    <t xml:space="preserve">La muestra cumple 7 días, se hacen los ensayos de lote (17) y se decide el lote. Si se acepta, se libera y se despacha.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</si>
</sst>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"/>
    <numFmt numFmtId="167" formatCode="0"/>
    <numFmt numFmtId="168" formatCode="0.00"/>
    <numFmt numFmtId="169" formatCode="0.0"/>
    <numFmt numFmtId="170" formatCode="0%"/>
    <numFmt numFmtId="171" formatCode="#,##0.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theme="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  <bgColor rgb="FFF2F2F2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808080"/>
      </patternFill>
    </fill>
    <fill>
      <patternFill patternType="solid">
        <fgColor rgb="FFE06666"/>
        <bgColor rgb="FFFF66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4A86E8"/>
        </patternFill>
      </fill>
    </dxf>
    <dxf>
      <fill>
        <patternFill>
          <bgColor rgb="FFFF00FF"/>
        </patternFill>
      </fill>
    </dxf>
    <dxf>
      <fill>
        <patternFill>
          <bgColor rgb="FFE0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3" min="2" style="1" width="11"/>
    <col collapsed="false" customWidth="true" hidden="false" outlineLevel="0" max="14" min="14" style="1" width="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/>
      <c r="D3" s="4"/>
      <c r="E3" s="4"/>
      <c r="F3" s="4"/>
      <c r="G3" s="4" t="s">
        <v>4</v>
      </c>
      <c r="H3" s="4"/>
      <c r="I3" s="4"/>
      <c r="J3" s="4"/>
      <c r="K3" s="4"/>
      <c r="L3" s="4"/>
      <c r="M3" s="4" t="s">
        <v>5</v>
      </c>
    </row>
    <row r="4" customFormat="false" ht="23.25" hidden="false" customHeight="true" outlineLevel="0" collapsed="false">
      <c r="A4" s="5" t="s">
        <v>6</v>
      </c>
      <c r="B4" s="6" t="s">
        <v>7</v>
      </c>
      <c r="C4" s="6"/>
      <c r="D4" s="6"/>
      <c r="E4" s="6"/>
      <c r="F4" s="6"/>
      <c r="G4" s="6" t="s">
        <v>8</v>
      </c>
      <c r="H4" s="6"/>
      <c r="I4" s="6"/>
      <c r="J4" s="6"/>
      <c r="K4" s="6"/>
      <c r="L4" s="6"/>
      <c r="M4" s="7" t="str">
        <f aca="false">IF(ISERROR(B16),"Falta el link o «Permitir acceso»","OK")</f>
        <v>OK</v>
      </c>
    </row>
    <row r="5" customFormat="false" ht="15" hidden="false" customHeight="true" outlineLevel="0" collapsed="false">
      <c r="A5" s="5" t="s">
        <v>9</v>
      </c>
      <c r="B5" s="6" t="s">
        <v>10</v>
      </c>
      <c r="C5" s="6"/>
      <c r="D5" s="6"/>
      <c r="E5" s="6"/>
      <c r="F5" s="6"/>
      <c r="G5" s="6" t="s">
        <v>11</v>
      </c>
      <c r="H5" s="6"/>
      <c r="I5" s="6"/>
      <c r="J5" s="6"/>
      <c r="K5" s="6"/>
      <c r="L5" s="6"/>
      <c r="M5" s="7" t="str">
        <f aca="false">IF(ISERROR(B37),"Falta el link o «Permitir acceso»","OK")</f>
        <v>OK</v>
      </c>
    </row>
    <row r="6" customFormat="false" ht="15" hidden="false" customHeight="true" outlineLevel="0" collapsed="false">
      <c r="A6" s="5" t="s">
        <v>12</v>
      </c>
      <c r="B6" s="6" t="s">
        <v>10</v>
      </c>
      <c r="C6" s="6"/>
      <c r="D6" s="6"/>
      <c r="E6" s="6"/>
      <c r="F6" s="6"/>
      <c r="G6" s="6" t="s">
        <v>13</v>
      </c>
      <c r="H6" s="6"/>
      <c r="I6" s="6"/>
      <c r="J6" s="6"/>
      <c r="K6" s="6"/>
      <c r="L6" s="6"/>
      <c r="M6" s="7" t="str">
        <f aca="false">IF(ISERROR(B30),"Falta el link o «Permitir acceso»","OK")</f>
        <v>OK</v>
      </c>
    </row>
    <row r="7" customFormat="false" ht="15" hidden="false" customHeight="true" outlineLevel="0" collapsed="false">
      <c r="A7" s="5" t="s">
        <v>14</v>
      </c>
      <c r="B7" s="6" t="s">
        <v>10</v>
      </c>
      <c r="C7" s="6"/>
      <c r="D7" s="6"/>
      <c r="E7" s="6"/>
      <c r="F7" s="6"/>
      <c r="G7" s="6" t="s">
        <v>15</v>
      </c>
      <c r="H7" s="6"/>
      <c r="I7" s="6"/>
      <c r="J7" s="6"/>
      <c r="K7" s="6"/>
      <c r="L7" s="6"/>
      <c r="M7" s="7" t="str">
        <f aca="false">IF(ISERROR(B12),"Falta el link o «Permitir acceso»","OK")</f>
        <v>OK</v>
      </c>
    </row>
    <row r="10" customFormat="false" ht="15" hidden="false" customHeight="true" outlineLevel="0" collapsed="false">
      <c r="A10" s="8" t="s">
        <v>16</v>
      </c>
    </row>
    <row r="11" customFormat="false" ht="15" hidden="false" customHeight="true" outlineLevel="0" collapsed="false">
      <c r="A11" s="4"/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</row>
    <row r="12" customFormat="false" ht="15" hidden="false" customHeight="true" outlineLevel="0" collapsed="false">
      <c r="A12" s="6" t="s">
        <v>29</v>
      </c>
      <c r="B12" s="9" t="n">
        <f aca="false">IFERROR(__xludf.DUMMYFUNCTION("IMPORTRANGE(Links!$B$7,""ESTACIONALIDAD!C6:N6"")"),0.085)</f>
        <v>0.085</v>
      </c>
      <c r="C12" s="9" t="n">
        <f aca="false">IFERROR(__xludf.DUMMYFUNCTION("""COMPUTED_VALUE"""),0.075)</f>
        <v>0.075</v>
      </c>
      <c r="D12" s="9" t="n">
        <f aca="false">IFERROR(__xludf.DUMMYFUNCTION("""COMPUTED_VALUE"""),0.09)</f>
        <v>0.09</v>
      </c>
      <c r="E12" s="9" t="n">
        <f aca="false">IFERROR(__xludf.DUMMYFUNCTION("""COMPUTED_VALUE"""),0.09)</f>
        <v>0.09</v>
      </c>
      <c r="F12" s="9" t="n">
        <f aca="false">IFERROR(__xludf.DUMMYFUNCTION("""COMPUTED_VALUE"""),0.09)</f>
        <v>0.09</v>
      </c>
      <c r="G12" s="9" t="n">
        <f aca="false">IFERROR(__xludf.DUMMYFUNCTION("""COMPUTED_VALUE"""),0.08)</f>
        <v>0.08</v>
      </c>
      <c r="H12" s="9" t="n">
        <f aca="false">IFERROR(__xludf.DUMMYFUNCTION("""COMPUTED_VALUE"""),0.09)</f>
        <v>0.09</v>
      </c>
      <c r="I12" s="9" t="n">
        <f aca="false">IFERROR(__xludf.DUMMYFUNCTION("""COMPUTED_VALUE"""),0.09)</f>
        <v>0.09</v>
      </c>
      <c r="J12" s="9" t="n">
        <f aca="false">IFERROR(__xludf.DUMMYFUNCTION("""COMPUTED_VALUE"""),0.085)</f>
        <v>0.085</v>
      </c>
      <c r="K12" s="9" t="n">
        <f aca="false">IFERROR(__xludf.DUMMYFUNCTION("""COMPUTED_VALUE"""),0.075)</f>
        <v>0.075</v>
      </c>
      <c r="L12" s="9" t="n">
        <f aca="false">IFERROR(__xludf.DUMMYFUNCTION("""COMPUTED_VALUE"""),0.07)</f>
        <v>0.07</v>
      </c>
      <c r="M12" s="9" t="n">
        <f aca="false">IFERROR(__xludf.DUMMYFUNCTION("""COMPUTED_VALUE"""),0.08)</f>
        <v>0.08</v>
      </c>
    </row>
    <row r="14" customFormat="false" ht="15" hidden="false" customHeight="true" outlineLevel="0" collapsed="false">
      <c r="A14" s="8" t="s">
        <v>30</v>
      </c>
    </row>
    <row r="15" customFormat="false" ht="15" hidden="false" customHeight="true" outlineLevel="0" collapsed="false">
      <c r="A15" s="4"/>
      <c r="B15" s="4" t="s">
        <v>31</v>
      </c>
      <c r="C15" s="4" t="s">
        <v>32</v>
      </c>
      <c r="D15" s="4" t="s">
        <v>33</v>
      </c>
      <c r="E15" s="4" t="s">
        <v>34</v>
      </c>
      <c r="F15" s="4" t="s">
        <v>35</v>
      </c>
      <c r="G15" s="4" t="s">
        <v>36</v>
      </c>
      <c r="H15" s="4" t="s">
        <v>37</v>
      </c>
      <c r="I15" s="4" t="s">
        <v>38</v>
      </c>
      <c r="J15" s="4" t="s">
        <v>39</v>
      </c>
      <c r="K15" s="4" t="s">
        <v>40</v>
      </c>
    </row>
    <row r="16" customFormat="false" ht="15" hidden="false" customHeight="true" outlineLevel="0" collapsed="false">
      <c r="A16" s="6" t="s">
        <v>41</v>
      </c>
      <c r="B16" s="10" t="n">
        <f aca="false">IFERROR(__xludf.DUMMYFUNCTION("IMPORTRANGE(Links!$B$4,""Indexado Dim Técnico!B7:K10"")"),34.05179136)</f>
        <v>34.05179136</v>
      </c>
      <c r="C16" s="10" t="n">
        <f aca="false">IFERROR(__xludf.DUMMYFUNCTION("""COMPUTED_VALUE"""),58.46214745)</f>
        <v>58.46214745</v>
      </c>
      <c r="D16" s="10" t="n">
        <f aca="false">IFERROR(__xludf.DUMMYFUNCTION("""COMPUTED_VALUE"""),75.20853998)</f>
        <v>75.20853998</v>
      </c>
      <c r="E16" s="10" t="n">
        <f aca="false">IFERROR(__xludf.DUMMYFUNCTION("""COMPUTED_VALUE"""),100.5298529)</f>
        <v>100.5298529</v>
      </c>
      <c r="F16" s="10" t="n">
        <f aca="false">IFERROR(__xludf.DUMMYFUNCTION("""COMPUTED_VALUE"""),155.8760035)</f>
        <v>155.8760035</v>
      </c>
      <c r="G16" s="10" t="n">
        <f aca="false">IFERROR(__xludf.DUMMYFUNCTION("""COMPUTED_VALUE"""),211.9344827)</f>
        <v>211.9344827</v>
      </c>
      <c r="H16" s="10" t="n">
        <f aca="false">IFERROR(__xludf.DUMMYFUNCTION("""COMPUTED_VALUE"""),272.6682332)</f>
        <v>272.6682332</v>
      </c>
      <c r="I16" s="10" t="n">
        <f aca="false">IFERROR(__xludf.DUMMYFUNCTION("""COMPUTED_VALUE"""),337.8486707)</f>
        <v>337.8486707</v>
      </c>
      <c r="J16" s="10" t="n">
        <f aca="false">IFERROR(__xludf.DUMMYFUNCTION("""COMPUTED_VALUE"""),393.6274156)</f>
        <v>393.6274156</v>
      </c>
      <c r="K16" s="10" t="n">
        <f aca="false">IFERROR(__xludf.DUMMYFUNCTION("""COMPUTED_VALUE"""),453.2705332)</f>
        <v>453.2705332</v>
      </c>
    </row>
    <row r="17" customFormat="false" ht="15" hidden="false" customHeight="true" outlineLevel="0" collapsed="false">
      <c r="A17" s="6" t="s">
        <v>42</v>
      </c>
      <c r="B17" s="10" t="n">
        <f aca="false">IFERROR(__xludf.DUMMYFUNCTION("""COMPUTED_VALUE"""),74.913941)</f>
        <v>74.913941</v>
      </c>
      <c r="C17" s="10" t="n">
        <f aca="false">IFERROR(__xludf.DUMMYFUNCTION("""COMPUTED_VALUE"""),128.6167244)</f>
        <v>128.6167244</v>
      </c>
      <c r="D17" s="10" t="n">
        <f aca="false">IFERROR(__xludf.DUMMYFUNCTION("""COMPUTED_VALUE"""),165.458788)</f>
        <v>165.458788</v>
      </c>
      <c r="E17" s="10" t="n">
        <f aca="false">IFERROR(__xludf.DUMMYFUNCTION("""COMPUTED_VALUE"""),221.1656765)</f>
        <v>221.1656765</v>
      </c>
      <c r="F17" s="10" t="n">
        <f aca="false">IFERROR(__xludf.DUMMYFUNCTION("""COMPUTED_VALUE"""),342.9272077)</f>
        <v>342.9272077</v>
      </c>
      <c r="G17" s="10" t="n">
        <f aca="false">IFERROR(__xludf.DUMMYFUNCTION("""COMPUTED_VALUE"""),466.255862)</f>
        <v>466.255862</v>
      </c>
      <c r="H17" s="10" t="n">
        <f aca="false">IFERROR(__xludf.DUMMYFUNCTION("""COMPUTED_VALUE"""),599.8701129)</f>
        <v>599.8701129</v>
      </c>
      <c r="I17" s="10" t="n">
        <f aca="false">IFERROR(__xludf.DUMMYFUNCTION("""COMPUTED_VALUE"""),743.2670756)</f>
        <v>743.2670756</v>
      </c>
      <c r="J17" s="10" t="n">
        <f aca="false">IFERROR(__xludf.DUMMYFUNCTION("""COMPUTED_VALUE"""),865.9803143)</f>
        <v>865.9803143</v>
      </c>
      <c r="K17" s="10" t="n">
        <f aca="false">IFERROR(__xludf.DUMMYFUNCTION("""COMPUTED_VALUE"""),997.1951731)</f>
        <v>997.1951731</v>
      </c>
    </row>
    <row r="18" customFormat="false" ht="15" hidden="false" customHeight="true" outlineLevel="0" collapsed="false">
      <c r="A18" s="6" t="s">
        <v>43</v>
      </c>
      <c r="B18" s="10" t="n">
        <f aca="false">IFERROR(__xludf.DUMMYFUNCTION("""COMPUTED_VALUE"""),16.34485985)</f>
        <v>16.34485985</v>
      </c>
      <c r="C18" s="10" t="n">
        <f aca="false">IFERROR(__xludf.DUMMYFUNCTION("""COMPUTED_VALUE"""),28.06183078)</f>
        <v>28.06183078</v>
      </c>
      <c r="D18" s="10" t="n">
        <f aca="false">IFERROR(__xludf.DUMMYFUNCTION("""COMPUTED_VALUE"""),36.10009919)</f>
        <v>36.10009919</v>
      </c>
      <c r="E18" s="10" t="n">
        <f aca="false">IFERROR(__xludf.DUMMYFUNCTION("""COMPUTED_VALUE"""),48.25432941)</f>
        <v>48.25432941</v>
      </c>
      <c r="F18" s="10" t="n">
        <f aca="false">IFERROR(__xludf.DUMMYFUNCTION("""COMPUTED_VALUE"""),74.82048167)</f>
        <v>74.82048167</v>
      </c>
      <c r="G18" s="10" t="n">
        <f aca="false">IFERROR(__xludf.DUMMYFUNCTION("""COMPUTED_VALUE"""),101.7285517)</f>
        <v>101.7285517</v>
      </c>
      <c r="H18" s="10" t="n">
        <f aca="false">IFERROR(__xludf.DUMMYFUNCTION("""COMPUTED_VALUE"""),130.8807519)</f>
        <v>130.8807519</v>
      </c>
      <c r="I18" s="10" t="n">
        <f aca="false">IFERROR(__xludf.DUMMYFUNCTION("""COMPUTED_VALUE"""),162.1673619)</f>
        <v>162.1673619</v>
      </c>
      <c r="J18" s="10" t="n">
        <f aca="false">IFERROR(__xludf.DUMMYFUNCTION("""COMPUTED_VALUE"""),188.9411595)</f>
        <v>188.9411595</v>
      </c>
      <c r="K18" s="10" t="n">
        <f aca="false">IFERROR(__xludf.DUMMYFUNCTION("""COMPUTED_VALUE"""),217.569856)</f>
        <v>217.569856</v>
      </c>
    </row>
    <row r="19" customFormat="false" ht="15" hidden="false" customHeight="true" outlineLevel="0" collapsed="false">
      <c r="A19" s="6" t="s">
        <v>44</v>
      </c>
      <c r="B19" s="10" t="n">
        <f aca="false">IFERROR(__xludf.DUMMYFUNCTION("""COMPUTED_VALUE"""),10.89657324)</f>
        <v>10.89657324</v>
      </c>
      <c r="C19" s="10" t="n">
        <f aca="false">IFERROR(__xludf.DUMMYFUNCTION("""COMPUTED_VALUE"""),18.70788719)</f>
        <v>18.70788719</v>
      </c>
      <c r="D19" s="10" t="n">
        <f aca="false">IFERROR(__xludf.DUMMYFUNCTION("""COMPUTED_VALUE"""),24.06673279)</f>
        <v>24.06673279</v>
      </c>
      <c r="E19" s="10" t="n">
        <f aca="false">IFERROR(__xludf.DUMMYFUNCTION("""COMPUTED_VALUE"""),32.16955294)</f>
        <v>32.16955294</v>
      </c>
      <c r="F19" s="10" t="n">
        <f aca="false">IFERROR(__xludf.DUMMYFUNCTION("""COMPUTED_VALUE"""),49.88032112)</f>
        <v>49.88032112</v>
      </c>
      <c r="G19" s="10" t="n">
        <f aca="false">IFERROR(__xludf.DUMMYFUNCTION("""COMPUTED_VALUE"""),67.81903447)</f>
        <v>67.81903447</v>
      </c>
      <c r="H19" s="10" t="n">
        <f aca="false">IFERROR(__xludf.DUMMYFUNCTION("""COMPUTED_VALUE"""),87.25383461)</f>
        <v>87.25383461</v>
      </c>
      <c r="I19" s="10" t="n">
        <f aca="false">IFERROR(__xludf.DUMMYFUNCTION("""COMPUTED_VALUE"""),108.1115746)</f>
        <v>108.1115746</v>
      </c>
      <c r="J19" s="10" t="n">
        <f aca="false">IFERROR(__xludf.DUMMYFUNCTION("""COMPUTED_VALUE"""),125.960773)</f>
        <v>125.960773</v>
      </c>
      <c r="K19" s="10" t="n">
        <f aca="false">IFERROR(__xludf.DUMMYFUNCTION("""COMPUTED_VALUE"""),145.0465706)</f>
        <v>145.0465706</v>
      </c>
    </row>
    <row r="21" customFormat="false" ht="15" hidden="false" customHeight="true" outlineLevel="0" collapsed="false">
      <c r="A21" s="8" t="s">
        <v>45</v>
      </c>
    </row>
    <row r="22" customFormat="false" ht="15" hidden="false" customHeight="true" outlineLevel="0" collapsed="false">
      <c r="A22" s="4"/>
      <c r="B22" s="4" t="s">
        <v>31</v>
      </c>
      <c r="C22" s="4" t="s">
        <v>32</v>
      </c>
      <c r="D22" s="4" t="s">
        <v>33</v>
      </c>
      <c r="E22" s="4" t="s">
        <v>34</v>
      </c>
      <c r="F22" s="4" t="s">
        <v>35</v>
      </c>
      <c r="G22" s="4" t="s">
        <v>36</v>
      </c>
      <c r="H22" s="4" t="s">
        <v>37</v>
      </c>
      <c r="I22" s="4" t="s">
        <v>38</v>
      </c>
      <c r="J22" s="4" t="s">
        <v>39</v>
      </c>
      <c r="K22" s="4" t="s">
        <v>40</v>
      </c>
    </row>
    <row r="23" customFormat="false" ht="15" hidden="false" customHeight="true" outlineLevel="0" collapsed="false">
      <c r="A23" s="6" t="s">
        <v>41</v>
      </c>
      <c r="B23" s="10" t="n">
        <f aca="false">IFERROR(__xludf.DUMMYFUNCTION("IMPORTRANGE(Links!$B$4,""Indexado Dim Técnico!B19:K22"")"),0)</f>
        <v>0</v>
      </c>
      <c r="C23" s="10" t="n">
        <f aca="false">IFERROR(__xludf.DUMMYFUNCTION("""COMPUTED_VALUE"""),0)</f>
        <v>0</v>
      </c>
      <c r="D23" s="10" t="n">
        <f aca="false">IFERROR(__xludf.DUMMYFUNCTION("""COMPUTED_VALUE"""),14.4)</f>
        <v>14.4</v>
      </c>
      <c r="E23" s="10" t="n">
        <f aca="false">IFERROR(__xludf.DUMMYFUNCTION("""COMPUTED_VALUE"""),50.2)</f>
        <v>50.2</v>
      </c>
      <c r="F23" s="10" t="n">
        <f aca="false">IFERROR(__xludf.DUMMYFUNCTION("""COMPUTED_VALUE"""),93)</f>
        <v>93</v>
      </c>
      <c r="G23" s="10" t="n">
        <f aca="false">IFERROR(__xludf.DUMMYFUNCTION("""COMPUTED_VALUE"""),135)</f>
        <v>135</v>
      </c>
      <c r="H23" s="10" t="n">
        <f aca="false">IFERROR(__xludf.DUMMYFUNCTION("""COMPUTED_VALUE"""),191)</f>
        <v>191</v>
      </c>
      <c r="I23" s="10" t="n">
        <f aca="false">IFERROR(__xludf.DUMMYFUNCTION("""COMPUTED_VALUE"""),247)</f>
        <v>247</v>
      </c>
      <c r="J23" s="10" t="n">
        <f aca="false">IFERROR(__xludf.DUMMYFUNCTION("""COMPUTED_VALUE"""),277)</f>
        <v>277</v>
      </c>
      <c r="K23" s="10" t="n">
        <f aca="false">IFERROR(__xludf.DUMMYFUNCTION("""COMPUTED_VALUE"""),322)</f>
        <v>322</v>
      </c>
    </row>
    <row r="24" customFormat="false" ht="15" hidden="false" customHeight="true" outlineLevel="0" collapsed="false">
      <c r="A24" s="6" t="s">
        <v>42</v>
      </c>
      <c r="B24" s="10" t="n">
        <f aca="false">IFERROR(__xludf.DUMMYFUNCTION("""COMPUTED_VALUE"""),0)</f>
        <v>0</v>
      </c>
      <c r="C24" s="10" t="n">
        <f aca="false">IFERROR(__xludf.DUMMYFUNCTION("""COMPUTED_VALUE"""),0)</f>
        <v>0</v>
      </c>
      <c r="D24" s="10" t="n">
        <f aca="false">IFERROR(__xludf.DUMMYFUNCTION("""COMPUTED_VALUE"""),31.8)</f>
        <v>31.8</v>
      </c>
      <c r="E24" s="10" t="n">
        <f aca="false">IFERROR(__xludf.DUMMYFUNCTION("""COMPUTED_VALUE"""),110.8)</f>
        <v>110.8</v>
      </c>
      <c r="F24" s="10" t="n">
        <f aca="false">IFERROR(__xludf.DUMMYFUNCTION("""COMPUTED_VALUE"""),205.2)</f>
        <v>205.2</v>
      </c>
      <c r="G24" s="10" t="n">
        <f aca="false">IFERROR(__xludf.DUMMYFUNCTION("""COMPUTED_VALUE"""),297.6)</f>
        <v>297.6</v>
      </c>
      <c r="H24" s="10" t="n">
        <f aca="false">IFERROR(__xludf.DUMMYFUNCTION("""COMPUTED_VALUE"""),420.8)</f>
        <v>420.8</v>
      </c>
      <c r="I24" s="10" t="n">
        <f aca="false">IFERROR(__xludf.DUMMYFUNCTION("""COMPUTED_VALUE"""),544)</f>
        <v>544</v>
      </c>
      <c r="J24" s="10" t="n">
        <f aca="false">IFERROR(__xludf.DUMMYFUNCTION("""COMPUTED_VALUE"""),609.6)</f>
        <v>609.6</v>
      </c>
      <c r="K24" s="10" t="n">
        <f aca="false">IFERROR(__xludf.DUMMYFUNCTION("""COMPUTED_VALUE"""),708)</f>
        <v>708</v>
      </c>
    </row>
    <row r="25" customFormat="false" ht="15" hidden="false" customHeight="true" outlineLevel="0" collapsed="false">
      <c r="A25" s="6" t="s">
        <v>43</v>
      </c>
      <c r="B25" s="10" t="n">
        <f aca="false">IFERROR(__xludf.DUMMYFUNCTION("""COMPUTED_VALUE"""),0)</f>
        <v>0</v>
      </c>
      <c r="C25" s="10" t="n">
        <f aca="false">IFERROR(__xludf.DUMMYFUNCTION("""COMPUTED_VALUE"""),0)</f>
        <v>0</v>
      </c>
      <c r="D25" s="10" t="n">
        <f aca="false">IFERROR(__xludf.DUMMYFUNCTION("""COMPUTED_VALUE"""),7)</f>
        <v>7</v>
      </c>
      <c r="E25" s="10" t="n">
        <f aca="false">IFERROR(__xludf.DUMMYFUNCTION("""COMPUTED_VALUE"""),24.4)</f>
        <v>24.4</v>
      </c>
      <c r="F25" s="10" t="n">
        <f aca="false">IFERROR(__xludf.DUMMYFUNCTION("""COMPUTED_VALUE"""),45.2)</f>
        <v>45.2</v>
      </c>
      <c r="G25" s="10" t="n">
        <f aca="false">IFERROR(__xludf.DUMMYFUNCTION("""COMPUTED_VALUE"""),65.4)</f>
        <v>65.4</v>
      </c>
      <c r="H25" s="10" t="n">
        <f aca="false">IFERROR(__xludf.DUMMYFUNCTION("""COMPUTED_VALUE"""),92.2)</f>
        <v>92.2</v>
      </c>
      <c r="I25" s="10" t="n">
        <f aca="false">IFERROR(__xludf.DUMMYFUNCTION("""COMPUTED_VALUE"""),119)</f>
        <v>119</v>
      </c>
      <c r="J25" s="10" t="n">
        <f aca="false">IFERROR(__xludf.DUMMYFUNCTION("""COMPUTED_VALUE"""),133.4)</f>
        <v>133.4</v>
      </c>
      <c r="K25" s="10" t="n">
        <f aca="false">IFERROR(__xludf.DUMMYFUNCTION("""COMPUTED_VALUE"""),155)</f>
        <v>155</v>
      </c>
    </row>
    <row r="26" customFormat="false" ht="15" hidden="false" customHeight="true" outlineLevel="0" collapsed="false">
      <c r="A26" s="6" t="s">
        <v>44</v>
      </c>
      <c r="B26" s="10" t="n">
        <f aca="false">IFERROR(__xludf.DUMMYFUNCTION("""COMPUTED_VALUE"""),0)</f>
        <v>0</v>
      </c>
      <c r="C26" s="10" t="n">
        <f aca="false">IFERROR(__xludf.DUMMYFUNCTION("""COMPUTED_VALUE"""),0)</f>
        <v>0</v>
      </c>
      <c r="D26" s="10" t="n">
        <f aca="false">IFERROR(__xludf.DUMMYFUNCTION("""COMPUTED_VALUE"""),4.6)</f>
        <v>4.6</v>
      </c>
      <c r="E26" s="10" t="n">
        <f aca="false">IFERROR(__xludf.DUMMYFUNCTION("""COMPUTED_VALUE"""),16)</f>
        <v>16</v>
      </c>
      <c r="F26" s="10" t="n">
        <f aca="false">IFERROR(__xludf.DUMMYFUNCTION("""COMPUTED_VALUE"""),29.6)</f>
        <v>29.6</v>
      </c>
      <c r="G26" s="10" t="n">
        <f aca="false">IFERROR(__xludf.DUMMYFUNCTION("""COMPUTED_VALUE"""),42.8)</f>
        <v>42.8</v>
      </c>
      <c r="H26" s="10" t="n">
        <f aca="false">IFERROR(__xludf.DUMMYFUNCTION("""COMPUTED_VALUE"""),60.4)</f>
        <v>60.4</v>
      </c>
      <c r="I26" s="10" t="n">
        <f aca="false">IFERROR(__xludf.DUMMYFUNCTION("""COMPUTED_VALUE"""),78)</f>
        <v>78</v>
      </c>
      <c r="J26" s="10" t="n">
        <f aca="false">IFERROR(__xludf.DUMMYFUNCTION("""COMPUTED_VALUE"""),87.6)</f>
        <v>87.6</v>
      </c>
      <c r="K26" s="10" t="n">
        <f aca="false">IFERROR(__xludf.DUMMYFUNCTION("""COMPUTED_VALUE"""),102)</f>
        <v>102</v>
      </c>
    </row>
    <row r="28" customFormat="false" ht="15" hidden="false" customHeight="true" outlineLevel="0" collapsed="false">
      <c r="A28" s="8" t="s">
        <v>46</v>
      </c>
    </row>
    <row r="29" customFormat="false" ht="15" hidden="false" customHeight="true" outlineLevel="0" collapsed="false">
      <c r="A29" s="4"/>
      <c r="B29" s="4" t="s">
        <v>31</v>
      </c>
      <c r="C29" s="4" t="s">
        <v>32</v>
      </c>
      <c r="D29" s="4" t="s">
        <v>33</v>
      </c>
      <c r="E29" s="4" t="s">
        <v>34</v>
      </c>
      <c r="F29" s="4" t="s">
        <v>35</v>
      </c>
      <c r="G29" s="4" t="s">
        <v>36</v>
      </c>
      <c r="H29" s="4" t="s">
        <v>37</v>
      </c>
      <c r="I29" s="4" t="s">
        <v>38</v>
      </c>
      <c r="J29" s="4" t="s">
        <v>39</v>
      </c>
      <c r="K29" s="4" t="s">
        <v>40</v>
      </c>
    </row>
    <row r="30" customFormat="false" ht="15" hidden="false" customHeight="true" outlineLevel="0" collapsed="false">
      <c r="A30" s="6" t="s">
        <v>41</v>
      </c>
      <c r="B30" s="10" t="n">
        <f aca="false">IFERROR(__xludf.DUMMYFUNCTION("IMPORTRANGE(Links!$B$6,""sobrestock_sustitutos!B86:K89"")"),1)</f>
        <v>1</v>
      </c>
      <c r="C30" s="10" t="n">
        <f aca="false">IFERROR(__xludf.DUMMYFUNCTION("""COMPUTED_VALUE"""),0.08)</f>
        <v>0.08</v>
      </c>
      <c r="D30" s="10" t="n">
        <f aca="false">IFERROR(__xludf.DUMMYFUNCTION("""COMPUTED_VALUE"""),0.08)</f>
        <v>0.08</v>
      </c>
      <c r="E30" s="10" t="n">
        <f aca="false">IFERROR(__xludf.DUMMYFUNCTION("""COMPUTED_VALUE"""),1.08)</f>
        <v>1.08</v>
      </c>
      <c r="F30" s="10" t="n">
        <f aca="false">IFERROR(__xludf.DUMMYFUNCTION("""COMPUTED_VALUE"""),1.16)</f>
        <v>1.16</v>
      </c>
      <c r="G30" s="10" t="n">
        <f aca="false">IFERROR(__xludf.DUMMYFUNCTION("""COMPUTED_VALUE"""),1.24)</f>
        <v>1.24</v>
      </c>
      <c r="H30" s="10" t="n">
        <f aca="false">IFERROR(__xludf.DUMMYFUNCTION("""COMPUTED_VALUE"""),0.32)</f>
        <v>0.32</v>
      </c>
      <c r="I30" s="10" t="n">
        <f aca="false">IFERROR(__xludf.DUMMYFUNCTION("""COMPUTED_VALUE"""),1.32)</f>
        <v>1.32</v>
      </c>
      <c r="J30" s="10" t="n">
        <f aca="false">IFERROR(__xludf.DUMMYFUNCTION("""COMPUTED_VALUE"""),0.4)</f>
        <v>0.4</v>
      </c>
      <c r="K30" s="10" t="n">
        <f aca="false">IFERROR(__xludf.DUMMYFUNCTION("""COMPUTED_VALUE"""),0.4)</f>
        <v>0.4</v>
      </c>
    </row>
    <row r="31" customFormat="false" ht="15" hidden="false" customHeight="true" outlineLevel="0" collapsed="false">
      <c r="A31" s="6" t="s">
        <v>42</v>
      </c>
      <c r="B31" s="10" t="n">
        <f aca="false">IFERROR(__xludf.DUMMYFUNCTION("""COMPUTED_VALUE"""),1)</f>
        <v>1</v>
      </c>
      <c r="C31" s="10" t="n">
        <f aca="false">IFERROR(__xludf.DUMMYFUNCTION("""COMPUTED_VALUE"""),0.08)</f>
        <v>0.08</v>
      </c>
      <c r="D31" s="10" t="n">
        <f aca="false">IFERROR(__xludf.DUMMYFUNCTION("""COMPUTED_VALUE"""),2.08)</f>
        <v>2.08</v>
      </c>
      <c r="E31" s="10" t="n">
        <f aca="false">IFERROR(__xludf.DUMMYFUNCTION("""COMPUTED_VALUE"""),1.24)</f>
        <v>1.24</v>
      </c>
      <c r="F31" s="10" t="n">
        <f aca="false">IFERROR(__xludf.DUMMYFUNCTION("""COMPUTED_VALUE"""),2.32)</f>
        <v>2.32</v>
      </c>
      <c r="G31" s="10" t="n">
        <f aca="false">IFERROR(__xludf.DUMMYFUNCTION("""COMPUTED_VALUE"""),2.48)</f>
        <v>2.48</v>
      </c>
      <c r="H31" s="10" t="n">
        <f aca="false">IFERROR(__xludf.DUMMYFUNCTION("""COMPUTED_VALUE"""),0.64)</f>
        <v>0.64</v>
      </c>
      <c r="I31" s="10" t="n">
        <f aca="false">IFERROR(__xludf.DUMMYFUNCTION("""COMPUTED_VALUE"""),1.64)</f>
        <v>1.64</v>
      </c>
      <c r="J31" s="10" t="n">
        <f aca="false">IFERROR(__xludf.DUMMYFUNCTION("""COMPUTED_VALUE"""),1.72)</f>
        <v>1.72</v>
      </c>
      <c r="K31" s="10" t="n">
        <f aca="false">IFERROR(__xludf.DUMMYFUNCTION("""COMPUTED_VALUE"""),1.8)</f>
        <v>1.8</v>
      </c>
    </row>
    <row r="32" customFormat="false" ht="15" hidden="false" customHeight="true" outlineLevel="0" collapsed="false">
      <c r="A32" s="6" t="s">
        <v>43</v>
      </c>
      <c r="B32" s="10" t="n">
        <f aca="false">IFERROR(__xludf.DUMMYFUNCTION("""COMPUTED_VALUE"""),1)</f>
        <v>1</v>
      </c>
      <c r="C32" s="10" t="n">
        <f aca="false">IFERROR(__xludf.DUMMYFUNCTION("""COMPUTED_VALUE"""),0.08)</f>
        <v>0.08</v>
      </c>
      <c r="D32" s="10" t="n">
        <f aca="false">IFERROR(__xludf.DUMMYFUNCTION("""COMPUTED_VALUE"""),0.08)</f>
        <v>0.08</v>
      </c>
      <c r="E32" s="10" t="n">
        <f aca="false">IFERROR(__xludf.DUMMYFUNCTION("""COMPUTED_VALUE"""),0.08)</f>
        <v>0.08</v>
      </c>
      <c r="F32" s="10" t="n">
        <f aca="false">IFERROR(__xludf.DUMMYFUNCTION("""COMPUTED_VALUE"""),1.08)</f>
        <v>1.08</v>
      </c>
      <c r="G32" s="10" t="n">
        <f aca="false">IFERROR(__xludf.DUMMYFUNCTION("""COMPUTED_VALUE"""),0.16)</f>
        <v>0.16</v>
      </c>
      <c r="H32" s="10" t="n">
        <f aca="false">IFERROR(__xludf.DUMMYFUNCTION("""COMPUTED_VALUE"""),0.16)</f>
        <v>0.16</v>
      </c>
      <c r="I32" s="10" t="n">
        <f aca="false">IFERROR(__xludf.DUMMYFUNCTION("""COMPUTED_VALUE"""),0.16)</f>
        <v>0.16</v>
      </c>
      <c r="J32" s="10" t="n">
        <f aca="false">IFERROR(__xludf.DUMMYFUNCTION("""COMPUTED_VALUE"""),1.16)</f>
        <v>1.16</v>
      </c>
      <c r="K32" s="10" t="n">
        <f aca="false">IFERROR(__xludf.DUMMYFUNCTION("""COMPUTED_VALUE"""),0.24)</f>
        <v>0.24</v>
      </c>
    </row>
    <row r="33" customFormat="false" ht="15" hidden="false" customHeight="true" outlineLevel="0" collapsed="false">
      <c r="A33" s="6" t="s">
        <v>44</v>
      </c>
      <c r="B33" s="10" t="n">
        <f aca="false">IFERROR(__xludf.DUMMYFUNCTION("""COMPUTED_VALUE"""),1)</f>
        <v>1</v>
      </c>
      <c r="C33" s="10" t="n">
        <f aca="false">IFERROR(__xludf.DUMMYFUNCTION("""COMPUTED_VALUE"""),0.08)</f>
        <v>0.08</v>
      </c>
      <c r="D33" s="10" t="n">
        <f aca="false">IFERROR(__xludf.DUMMYFUNCTION("""COMPUTED_VALUE"""),0.08)</f>
        <v>0.08</v>
      </c>
      <c r="E33" s="10" t="n">
        <f aca="false">IFERROR(__xludf.DUMMYFUNCTION("""COMPUTED_VALUE"""),0.08)</f>
        <v>0.08</v>
      </c>
      <c r="F33" s="10" t="n">
        <f aca="false">IFERROR(__xludf.DUMMYFUNCTION("""COMPUTED_VALUE"""),0.08)</f>
        <v>0.08</v>
      </c>
      <c r="G33" s="10" t="n">
        <f aca="false">IFERROR(__xludf.DUMMYFUNCTION("""COMPUTED_VALUE"""),1.08)</f>
        <v>1.08</v>
      </c>
      <c r="H33" s="10" t="n">
        <f aca="false">IFERROR(__xludf.DUMMYFUNCTION("""COMPUTED_VALUE"""),0.16)</f>
        <v>0.16</v>
      </c>
      <c r="I33" s="10" t="n">
        <f aca="false">IFERROR(__xludf.DUMMYFUNCTION("""COMPUTED_VALUE"""),0.16)</f>
        <v>0.16</v>
      </c>
      <c r="J33" s="10" t="n">
        <f aca="false">IFERROR(__xludf.DUMMYFUNCTION("""COMPUTED_VALUE"""),0.16)</f>
        <v>0.16</v>
      </c>
      <c r="K33" s="10" t="n">
        <f aca="false">IFERROR(__xludf.DUMMYFUNCTION("""COMPUTED_VALUE"""),0.16)</f>
        <v>0.16</v>
      </c>
    </row>
    <row r="35" customFormat="false" ht="15" hidden="false" customHeight="true" outlineLevel="0" collapsed="false">
      <c r="A35" s="8" t="s">
        <v>47</v>
      </c>
    </row>
    <row r="36" customFormat="false" ht="15" hidden="false" customHeight="true" outlineLevel="0" collapsed="false">
      <c r="A36" s="4"/>
      <c r="B36" s="4" t="s">
        <v>31</v>
      </c>
      <c r="C36" s="4" t="s">
        <v>32</v>
      </c>
      <c r="D36" s="4" t="s">
        <v>33</v>
      </c>
      <c r="E36" s="4" t="s">
        <v>34</v>
      </c>
      <c r="F36" s="4" t="s">
        <v>35</v>
      </c>
      <c r="G36" s="4" t="s">
        <v>36</v>
      </c>
      <c r="H36" s="4" t="s">
        <v>37</v>
      </c>
      <c r="I36" s="4" t="s">
        <v>38</v>
      </c>
      <c r="J36" s="4" t="s">
        <v>39</v>
      </c>
      <c r="K36" s="4" t="s">
        <v>40</v>
      </c>
    </row>
    <row r="37" customFormat="false" ht="15" hidden="false" customHeight="true" outlineLevel="0" collapsed="false">
      <c r="A37" s="6" t="s">
        <v>41</v>
      </c>
      <c r="B37" s="10" t="n">
        <f aca="false">IFERROR(__xludf.DUMMYFUNCTION("IMPORTRANGE(Links!$B$5,""sobrestock_sustitutos!B86:K89"")"),1)</f>
        <v>1</v>
      </c>
      <c r="C37" s="10" t="n">
        <f aca="false">IFERROR(__xludf.DUMMYFUNCTION("""COMPUTED_VALUE"""),0.08)</f>
        <v>0.08</v>
      </c>
      <c r="D37" s="10" t="n">
        <f aca="false">IFERROR(__xludf.DUMMYFUNCTION("""COMPUTED_VALUE"""),1.08)</f>
        <v>1.08</v>
      </c>
      <c r="E37" s="10" t="n">
        <f aca="false">IFERROR(__xludf.DUMMYFUNCTION("""COMPUTED_VALUE"""),2.16)</f>
        <v>2.16</v>
      </c>
      <c r="F37" s="10" t="n">
        <f aca="false">IFERROR(__xludf.DUMMYFUNCTION("""COMPUTED_VALUE"""),1.32)</f>
        <v>1.32</v>
      </c>
      <c r="G37" s="10" t="n">
        <f aca="false">IFERROR(__xludf.DUMMYFUNCTION("""COMPUTED_VALUE"""),1.4)</f>
        <v>1.4</v>
      </c>
      <c r="H37" s="10" t="n">
        <f aca="false">IFERROR(__xludf.DUMMYFUNCTION("""COMPUTED_VALUE"""),1.48)</f>
        <v>1.48</v>
      </c>
      <c r="I37" s="10" t="n">
        <f aca="false">IFERROR(__xludf.DUMMYFUNCTION("""COMPUTED_VALUE"""),1.56)</f>
        <v>1.56</v>
      </c>
      <c r="J37" s="10" t="n">
        <f aca="false">IFERROR(__xludf.DUMMYFUNCTION("""COMPUTED_VALUE"""),0.64)</f>
        <v>0.64</v>
      </c>
      <c r="K37" s="10" t="n">
        <f aca="false">IFERROR(__xludf.DUMMYFUNCTION("""COMPUTED_VALUE"""),1.64)</f>
        <v>1.64</v>
      </c>
    </row>
    <row r="38" customFormat="false" ht="15" hidden="false" customHeight="true" outlineLevel="0" collapsed="false">
      <c r="A38" s="6" t="s">
        <v>42</v>
      </c>
      <c r="B38" s="10" t="n">
        <f aca="false">IFERROR(__xludf.DUMMYFUNCTION("""COMPUTED_VALUE"""),1)</f>
        <v>1</v>
      </c>
      <c r="C38" s="10" t="n">
        <f aca="false">IFERROR(__xludf.DUMMYFUNCTION("""COMPUTED_VALUE"""),1.08)</f>
        <v>1.08</v>
      </c>
      <c r="D38" s="10" t="n">
        <f aca="false">IFERROR(__xludf.DUMMYFUNCTION("""COMPUTED_VALUE"""),2.16)</f>
        <v>2.16</v>
      </c>
      <c r="E38" s="10" t="n">
        <f aca="false">IFERROR(__xludf.DUMMYFUNCTION("""COMPUTED_VALUE"""),3.32)</f>
        <v>3.32</v>
      </c>
      <c r="F38" s="10" t="n">
        <f aca="false">IFERROR(__xludf.DUMMYFUNCTION("""COMPUTED_VALUE"""),3.56)</f>
        <v>3.56</v>
      </c>
      <c r="G38" s="10" t="n">
        <f aca="false">IFERROR(__xludf.DUMMYFUNCTION("""COMPUTED_VALUE"""),3.8)</f>
        <v>3.8</v>
      </c>
      <c r="H38" s="10" t="n">
        <f aca="false">IFERROR(__xludf.DUMMYFUNCTION("""COMPUTED_VALUE"""),3.04)</f>
        <v>3.04</v>
      </c>
      <c r="I38" s="10" t="n">
        <f aca="false">IFERROR(__xludf.DUMMYFUNCTION("""COMPUTED_VALUE"""),3.2)</f>
        <v>3.2</v>
      </c>
      <c r="J38" s="10" t="n">
        <f aca="false">IFERROR(__xludf.DUMMYFUNCTION("""COMPUTED_VALUE"""),2.36)</f>
        <v>2.36</v>
      </c>
      <c r="K38" s="10" t="n">
        <f aca="false">IFERROR(__xludf.DUMMYFUNCTION("""COMPUTED_VALUE"""),2.44)</f>
        <v>2.44</v>
      </c>
    </row>
    <row r="39" customFormat="false" ht="15" hidden="false" customHeight="true" outlineLevel="0" collapsed="false">
      <c r="A39" s="6" t="s">
        <v>43</v>
      </c>
      <c r="B39" s="10" t="n">
        <f aca="false">IFERROR(__xludf.DUMMYFUNCTION("""COMPUTED_VALUE"""),1)</f>
        <v>1</v>
      </c>
      <c r="C39" s="10" t="n">
        <f aca="false">IFERROR(__xludf.DUMMYFUNCTION("""COMPUTED_VALUE"""),0.08)</f>
        <v>0.08</v>
      </c>
      <c r="D39" s="10" t="n">
        <f aca="false">IFERROR(__xludf.DUMMYFUNCTION("""COMPUTED_VALUE"""),0.08)</f>
        <v>0.08</v>
      </c>
      <c r="E39" s="10" t="n">
        <f aca="false">IFERROR(__xludf.DUMMYFUNCTION("""COMPUTED_VALUE"""),1.08)</f>
        <v>1.08</v>
      </c>
      <c r="F39" s="10" t="n">
        <f aca="false">IFERROR(__xludf.DUMMYFUNCTION("""COMPUTED_VALUE"""),1.16)</f>
        <v>1.16</v>
      </c>
      <c r="G39" s="10" t="n">
        <f aca="false">IFERROR(__xludf.DUMMYFUNCTION("""COMPUTED_VALUE"""),0.24)</f>
        <v>0.24</v>
      </c>
      <c r="H39" s="10" t="n">
        <f aca="false">IFERROR(__xludf.DUMMYFUNCTION("""COMPUTED_VALUE"""),1.24)</f>
        <v>1.24</v>
      </c>
      <c r="I39" s="10" t="n">
        <f aca="false">IFERROR(__xludf.DUMMYFUNCTION("""COMPUTED_VALUE"""),0.32)</f>
        <v>0.32</v>
      </c>
      <c r="J39" s="10" t="n">
        <f aca="false">IFERROR(__xludf.DUMMYFUNCTION("""COMPUTED_VALUE"""),0.32)</f>
        <v>0.32</v>
      </c>
      <c r="K39" s="10" t="n">
        <f aca="false">IFERROR(__xludf.DUMMYFUNCTION("""COMPUTED_VALUE"""),1.32)</f>
        <v>1.32</v>
      </c>
    </row>
    <row r="40" customFormat="false" ht="15" hidden="false" customHeight="true" outlineLevel="0" collapsed="false">
      <c r="A40" s="6" t="s">
        <v>44</v>
      </c>
      <c r="B40" s="10" t="n">
        <f aca="false">IFERROR(__xludf.DUMMYFUNCTION("""COMPUTED_VALUE"""),1)</f>
        <v>1</v>
      </c>
      <c r="C40" s="10" t="n">
        <f aca="false">IFERROR(__xludf.DUMMYFUNCTION("""COMPUTED_VALUE"""),0.08)</f>
        <v>0.08</v>
      </c>
      <c r="D40" s="10" t="n">
        <f aca="false">IFERROR(__xludf.DUMMYFUNCTION("""COMPUTED_VALUE"""),0.08)</f>
        <v>0.08</v>
      </c>
      <c r="E40" s="10" t="n">
        <f aca="false">IFERROR(__xludf.DUMMYFUNCTION("""COMPUTED_VALUE"""),0.08)</f>
        <v>0.08</v>
      </c>
      <c r="F40" s="10" t="n">
        <f aca="false">IFERROR(__xludf.DUMMYFUNCTION("""COMPUTED_VALUE"""),1.08)</f>
        <v>1.08</v>
      </c>
      <c r="G40" s="10" t="n">
        <f aca="false">IFERROR(__xludf.DUMMYFUNCTION("""COMPUTED_VALUE"""),0.16)</f>
        <v>0.16</v>
      </c>
      <c r="H40" s="10" t="n">
        <f aca="false">IFERROR(__xludf.DUMMYFUNCTION("""COMPUTED_VALUE"""),1.16)</f>
        <v>1.16</v>
      </c>
      <c r="I40" s="10" t="n">
        <f aca="false">IFERROR(__xludf.DUMMYFUNCTION("""COMPUTED_VALUE"""),0.24)</f>
        <v>0.24</v>
      </c>
      <c r="J40" s="10" t="n">
        <f aca="false">IFERROR(__xludf.DUMMYFUNCTION("""COMPUTED_VALUE"""),0.24)</f>
        <v>0.24</v>
      </c>
      <c r="K40" s="10" t="n">
        <f aca="false">IFERROR(__xludf.DUMMYFUNCTION("""COMPUTED_VALUE"""),0.24)</f>
        <v>0.24</v>
      </c>
    </row>
  </sheetData>
  <mergeCells count="10">
    <mergeCell ref="B3:F3"/>
    <mergeCell ref="G3:L3"/>
    <mergeCell ref="B4:F4"/>
    <mergeCell ref="G4:L4"/>
    <mergeCell ref="B5:F5"/>
    <mergeCell ref="G5:L5"/>
    <mergeCell ref="B6:F6"/>
    <mergeCell ref="G6:L6"/>
    <mergeCell ref="B7:F7"/>
    <mergeCell ref="G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1" min="2" style="1" width="12"/>
    <col collapsed="false" customWidth="true" hidden="false" outlineLevel="0" max="26" min="12" style="1" width="8.86"/>
  </cols>
  <sheetData>
    <row r="1" customFormat="false" ht="14.25" hidden="false" customHeight="true" outlineLevel="0" collapsed="false">
      <c r="A1" s="11" t="s">
        <v>48</v>
      </c>
      <c r="B1" s="11" t="n">
        <v>2026</v>
      </c>
      <c r="C1" s="11" t="n">
        <v>2027</v>
      </c>
      <c r="D1" s="11" t="n">
        <v>2028</v>
      </c>
      <c r="E1" s="11" t="n">
        <v>2029</v>
      </c>
      <c r="F1" s="11" t="n">
        <v>2030</v>
      </c>
      <c r="G1" s="11" t="n">
        <v>2031</v>
      </c>
      <c r="H1" s="11" t="n">
        <v>2032</v>
      </c>
      <c r="I1" s="11" t="n">
        <v>2033</v>
      </c>
      <c r="J1" s="11" t="n">
        <v>2034</v>
      </c>
      <c r="K1" s="11" t="n">
        <v>2035</v>
      </c>
    </row>
    <row r="2" customFormat="false" ht="14.25" hidden="false" customHeight="true" outlineLevel="0" collapsed="false">
      <c r="A2" s="12" t="s">
        <v>41</v>
      </c>
      <c r="B2" s="13" t="n">
        <f aca="false">Links!B16</f>
        <v>34.05179136</v>
      </c>
      <c r="C2" s="13" t="n">
        <f aca="false">Links!C16</f>
        <v>58.46214745</v>
      </c>
      <c r="D2" s="13" t="n">
        <f aca="false">Links!D16</f>
        <v>75.20853998</v>
      </c>
      <c r="E2" s="13" t="n">
        <f aca="false">Links!E16</f>
        <v>100.5298529</v>
      </c>
      <c r="F2" s="13" t="n">
        <f aca="false">Links!F16</f>
        <v>155.8760035</v>
      </c>
      <c r="G2" s="13" t="n">
        <f aca="false">Links!G16</f>
        <v>211.9344827</v>
      </c>
      <c r="H2" s="13" t="n">
        <f aca="false">Links!H16</f>
        <v>272.6682332</v>
      </c>
      <c r="I2" s="13" t="n">
        <f aca="false">Links!I16</f>
        <v>337.8486707</v>
      </c>
      <c r="J2" s="13" t="n">
        <f aca="false">Links!J16</f>
        <v>393.6274156</v>
      </c>
      <c r="K2" s="13" t="n">
        <f aca="false">Links!K16</f>
        <v>453.2705332</v>
      </c>
    </row>
    <row r="3" customFormat="false" ht="14.25" hidden="false" customHeight="true" outlineLevel="0" collapsed="false">
      <c r="A3" s="12" t="s">
        <v>42</v>
      </c>
      <c r="B3" s="13" t="n">
        <f aca="false">Links!B17</f>
        <v>74.913941</v>
      </c>
      <c r="C3" s="13" t="n">
        <f aca="false">Links!C17</f>
        <v>128.6167244</v>
      </c>
      <c r="D3" s="13" t="n">
        <f aca="false">Links!D17</f>
        <v>165.458788</v>
      </c>
      <c r="E3" s="13" t="n">
        <f aca="false">Links!E17</f>
        <v>221.1656765</v>
      </c>
      <c r="F3" s="13" t="n">
        <f aca="false">Links!F17</f>
        <v>342.9272077</v>
      </c>
      <c r="G3" s="13" t="n">
        <f aca="false">Links!G17</f>
        <v>466.255862</v>
      </c>
      <c r="H3" s="13" t="n">
        <f aca="false">Links!H17</f>
        <v>599.8701129</v>
      </c>
      <c r="I3" s="13" t="n">
        <f aca="false">Links!I17</f>
        <v>743.2670756</v>
      </c>
      <c r="J3" s="13" t="n">
        <f aca="false">Links!J17</f>
        <v>865.9803143</v>
      </c>
      <c r="K3" s="13" t="n">
        <f aca="false">Links!K17</f>
        <v>997.1951731</v>
      </c>
    </row>
    <row r="4" customFormat="false" ht="14.25" hidden="false" customHeight="true" outlineLevel="0" collapsed="false">
      <c r="A4" s="12" t="s">
        <v>43</v>
      </c>
      <c r="B4" s="13" t="n">
        <f aca="false">Links!B18</f>
        <v>16.34485985</v>
      </c>
      <c r="C4" s="13" t="n">
        <f aca="false">Links!C18</f>
        <v>28.06183078</v>
      </c>
      <c r="D4" s="13" t="n">
        <f aca="false">Links!D18</f>
        <v>36.10009919</v>
      </c>
      <c r="E4" s="13" t="n">
        <f aca="false">Links!E18</f>
        <v>48.25432941</v>
      </c>
      <c r="F4" s="13" t="n">
        <f aca="false">Links!F18</f>
        <v>74.82048167</v>
      </c>
      <c r="G4" s="13" t="n">
        <f aca="false">Links!G18</f>
        <v>101.7285517</v>
      </c>
      <c r="H4" s="13" t="n">
        <f aca="false">Links!H18</f>
        <v>130.8807519</v>
      </c>
      <c r="I4" s="13" t="n">
        <f aca="false">Links!I18</f>
        <v>162.1673619</v>
      </c>
      <c r="J4" s="13" t="n">
        <f aca="false">Links!J18</f>
        <v>188.9411595</v>
      </c>
      <c r="K4" s="13" t="n">
        <f aca="false">Links!K18</f>
        <v>217.569856</v>
      </c>
    </row>
    <row r="5" customFormat="false" ht="14.25" hidden="false" customHeight="true" outlineLevel="0" collapsed="false">
      <c r="A5" s="12" t="s">
        <v>44</v>
      </c>
      <c r="B5" s="13" t="n">
        <f aca="false">Links!B19</f>
        <v>10.89657324</v>
      </c>
      <c r="C5" s="13" t="n">
        <f aca="false">Links!C19</f>
        <v>18.70788719</v>
      </c>
      <c r="D5" s="13" t="n">
        <f aca="false">Links!D19</f>
        <v>24.06673279</v>
      </c>
      <c r="E5" s="13" t="n">
        <f aca="false">Links!E19</f>
        <v>32.16955294</v>
      </c>
      <c r="F5" s="13" t="n">
        <f aca="false">Links!F19</f>
        <v>49.88032112</v>
      </c>
      <c r="G5" s="13" t="n">
        <f aca="false">Links!G19</f>
        <v>67.81903447</v>
      </c>
      <c r="H5" s="13" t="n">
        <f aca="false">Links!H19</f>
        <v>87.25383461</v>
      </c>
      <c r="I5" s="13" t="n">
        <f aca="false">Links!I19</f>
        <v>108.1115746</v>
      </c>
      <c r="J5" s="13" t="n">
        <f aca="false">Links!J19</f>
        <v>125.960773</v>
      </c>
      <c r="K5" s="13" t="n">
        <f aca="false">Links!K19</f>
        <v>145.0465706</v>
      </c>
    </row>
    <row r="6" customFormat="false" ht="14.25" hidden="false" customHeight="true" outlineLevel="0" collapsed="false">
      <c r="A6" s="14" t="s">
        <v>49</v>
      </c>
      <c r="B6" s="15" t="n">
        <f aca="false">SUM(B2:B5)</f>
        <v>136.20716545</v>
      </c>
      <c r="C6" s="15" t="n">
        <f aca="false">SUM(C2:C5)</f>
        <v>233.84858982</v>
      </c>
      <c r="D6" s="15" t="n">
        <f aca="false">SUM(D2:D5)</f>
        <v>300.83415996</v>
      </c>
      <c r="E6" s="15" t="n">
        <f aca="false">SUM(E2:E5)</f>
        <v>402.11941175</v>
      </c>
      <c r="F6" s="15" t="n">
        <f aca="false">SUM(F2:F5)</f>
        <v>623.50401399</v>
      </c>
      <c r="G6" s="15" t="n">
        <f aca="false">SUM(G2:G5)</f>
        <v>847.73793087</v>
      </c>
      <c r="H6" s="15" t="n">
        <f aca="false">SUM(H2:H5)</f>
        <v>1090.67293261</v>
      </c>
      <c r="I6" s="15" t="n">
        <f aca="false">SUM(I2:I5)</f>
        <v>1351.3946828</v>
      </c>
      <c r="J6" s="15" t="n">
        <f aca="false">SUM(J2:J5)</f>
        <v>1574.5096624</v>
      </c>
      <c r="K6" s="15" t="n">
        <f aca="false">SUM(K2:K5)</f>
        <v>1813.0821329</v>
      </c>
    </row>
    <row r="7" customFormat="false" ht="14.25" hidden="false" customHeight="true" outlineLevel="0" collapsed="false"/>
    <row r="8" customFormat="false" ht="14.25" hidden="false" customHeight="true" outlineLevel="0" collapsed="false">
      <c r="A8" s="11" t="s">
        <v>50</v>
      </c>
      <c r="B8" s="11" t="n">
        <v>2026</v>
      </c>
      <c r="C8" s="11" t="n">
        <v>2027</v>
      </c>
      <c r="D8" s="11" t="n">
        <v>2028</v>
      </c>
      <c r="E8" s="11" t="n">
        <v>2029</v>
      </c>
      <c r="F8" s="11" t="n">
        <v>2030</v>
      </c>
      <c r="G8" s="11" t="n">
        <v>2031</v>
      </c>
      <c r="H8" s="11" t="n">
        <v>2032</v>
      </c>
      <c r="I8" s="11" t="n">
        <v>2033</v>
      </c>
      <c r="J8" s="11" t="n">
        <v>2034</v>
      </c>
      <c r="K8" s="11" t="n">
        <v>2035</v>
      </c>
    </row>
    <row r="9" customFormat="false" ht="14.25" hidden="false" customHeight="true" outlineLevel="0" collapsed="false">
      <c r="A9" s="12" t="s">
        <v>51</v>
      </c>
      <c r="B9" s="13" t="n">
        <f aca="false">Links!B23</f>
        <v>0</v>
      </c>
      <c r="C9" s="13" t="n">
        <f aca="false">Links!C23</f>
        <v>0</v>
      </c>
      <c r="D9" s="13" t="n">
        <f aca="false">Links!D23</f>
        <v>14.4</v>
      </c>
      <c r="E9" s="13" t="n">
        <f aca="false">Links!E23</f>
        <v>50.2</v>
      </c>
      <c r="F9" s="13" t="n">
        <f aca="false">Links!F23</f>
        <v>93</v>
      </c>
      <c r="G9" s="13" t="n">
        <f aca="false">Links!G23</f>
        <v>135</v>
      </c>
      <c r="H9" s="13" t="n">
        <f aca="false">Links!H23</f>
        <v>191</v>
      </c>
      <c r="I9" s="13" t="n">
        <f aca="false">Links!I23</f>
        <v>247</v>
      </c>
      <c r="J9" s="13" t="n">
        <f aca="false">Links!J23</f>
        <v>277</v>
      </c>
      <c r="K9" s="13" t="n">
        <f aca="false">Links!K23</f>
        <v>322</v>
      </c>
    </row>
    <row r="10" customFormat="false" ht="14.25" hidden="false" customHeight="true" outlineLevel="0" collapsed="false">
      <c r="A10" s="12" t="s">
        <v>52</v>
      </c>
      <c r="B10" s="13" t="n">
        <f aca="false">Links!B24</f>
        <v>0</v>
      </c>
      <c r="C10" s="13" t="n">
        <f aca="false">Links!C24</f>
        <v>0</v>
      </c>
      <c r="D10" s="13" t="n">
        <f aca="false">Links!D24</f>
        <v>31.8</v>
      </c>
      <c r="E10" s="13" t="n">
        <f aca="false">Links!E24</f>
        <v>110.8</v>
      </c>
      <c r="F10" s="13" t="n">
        <f aca="false">Links!F24</f>
        <v>205.2</v>
      </c>
      <c r="G10" s="13" t="n">
        <f aca="false">Links!G24</f>
        <v>297.6</v>
      </c>
      <c r="H10" s="13" t="n">
        <f aca="false">Links!H24</f>
        <v>420.8</v>
      </c>
      <c r="I10" s="13" t="n">
        <f aca="false">Links!I24</f>
        <v>544</v>
      </c>
      <c r="J10" s="13" t="n">
        <f aca="false">Links!J24</f>
        <v>609.6</v>
      </c>
      <c r="K10" s="13" t="n">
        <f aca="false">Links!K24</f>
        <v>708</v>
      </c>
    </row>
    <row r="11" customFormat="false" ht="14.25" hidden="false" customHeight="true" outlineLevel="0" collapsed="false">
      <c r="A11" s="12" t="s">
        <v>53</v>
      </c>
      <c r="B11" s="13" t="n">
        <f aca="false">Links!B25</f>
        <v>0</v>
      </c>
      <c r="C11" s="13" t="n">
        <f aca="false">Links!C25</f>
        <v>0</v>
      </c>
      <c r="D11" s="13" t="n">
        <f aca="false">Links!D25</f>
        <v>7</v>
      </c>
      <c r="E11" s="13" t="n">
        <f aca="false">Links!E25</f>
        <v>24.4</v>
      </c>
      <c r="F11" s="13" t="n">
        <f aca="false">Links!F25</f>
        <v>45.2</v>
      </c>
      <c r="G11" s="13" t="n">
        <f aca="false">Links!G25</f>
        <v>65.4</v>
      </c>
      <c r="H11" s="13" t="n">
        <f aca="false">Links!H25</f>
        <v>92.2</v>
      </c>
      <c r="I11" s="13" t="n">
        <f aca="false">Links!I25</f>
        <v>119</v>
      </c>
      <c r="J11" s="13" t="n">
        <f aca="false">Links!J25</f>
        <v>133.4</v>
      </c>
      <c r="K11" s="13" t="n">
        <f aca="false">Links!K25</f>
        <v>155</v>
      </c>
    </row>
    <row r="12" customFormat="false" ht="14.25" hidden="false" customHeight="true" outlineLevel="0" collapsed="false">
      <c r="A12" s="12" t="s">
        <v>54</v>
      </c>
      <c r="B12" s="13" t="n">
        <f aca="false">Links!B26</f>
        <v>0</v>
      </c>
      <c r="C12" s="13" t="n">
        <f aca="false">Links!C26</f>
        <v>0</v>
      </c>
      <c r="D12" s="13" t="n">
        <f aca="false">Links!D26</f>
        <v>4.6</v>
      </c>
      <c r="E12" s="13" t="n">
        <f aca="false">Links!E26</f>
        <v>16</v>
      </c>
      <c r="F12" s="13" t="n">
        <f aca="false">Links!F26</f>
        <v>29.6</v>
      </c>
      <c r="G12" s="13" t="n">
        <f aca="false">Links!G26</f>
        <v>42.8</v>
      </c>
      <c r="H12" s="13" t="n">
        <f aca="false">Links!H26</f>
        <v>60.4</v>
      </c>
      <c r="I12" s="13" t="n">
        <f aca="false">Links!I26</f>
        <v>78</v>
      </c>
      <c r="J12" s="13" t="n">
        <f aca="false">Links!J26</f>
        <v>87.6</v>
      </c>
      <c r="K12" s="13" t="n">
        <f aca="false">Links!K26</f>
        <v>102</v>
      </c>
    </row>
    <row r="13" customFormat="false" ht="14.25" hidden="false" customHeight="true" outlineLevel="0" collapsed="false">
      <c r="A13" s="14" t="s">
        <v>55</v>
      </c>
      <c r="B13" s="15" t="n">
        <f aca="false">SUM(B9:B12)</f>
        <v>0</v>
      </c>
      <c r="C13" s="15" t="n">
        <f aca="false">SUM(C9:C12)</f>
        <v>0</v>
      </c>
      <c r="D13" s="15" t="n">
        <f aca="false">SUM(D9:D12)</f>
        <v>57.8</v>
      </c>
      <c r="E13" s="15" t="n">
        <f aca="false">SUM(E9:E12)</f>
        <v>201.4</v>
      </c>
      <c r="F13" s="15" t="n">
        <f aca="false">SUM(F9:F12)</f>
        <v>373</v>
      </c>
      <c r="G13" s="15" t="n">
        <f aca="false">SUM(G9:G12)</f>
        <v>540.8</v>
      </c>
      <c r="H13" s="15" t="n">
        <f aca="false">SUM(H9:H12)</f>
        <v>764.4</v>
      </c>
      <c r="I13" s="15" t="n">
        <f aca="false">SUM(I9:I12)</f>
        <v>988</v>
      </c>
      <c r="J13" s="15" t="n">
        <f aca="false">SUM(J9:J12)</f>
        <v>1107.6</v>
      </c>
      <c r="K13" s="15" t="n">
        <f aca="false">SUM(K9:K12)</f>
        <v>1287</v>
      </c>
    </row>
    <row r="14" customFormat="false" ht="14.25" hidden="false" customHeight="true" outlineLevel="0" collapsed="false"/>
    <row r="15" customFormat="false" ht="14.25" hidden="false" customHeight="true" outlineLevel="0" collapsed="false">
      <c r="A15" s="16" t="s">
        <v>56</v>
      </c>
      <c r="B15" s="17" t="n">
        <f aca="false">B6+B13+B39+B44</f>
        <v>144.20716545</v>
      </c>
      <c r="C15" s="17" t="n">
        <f aca="false">C6+C13+C39+C44</f>
        <v>235.48858982</v>
      </c>
      <c r="D15" s="17" t="n">
        <f aca="false">D6+D13+D39+D44</f>
        <v>364.35415996</v>
      </c>
      <c r="E15" s="17" t="n">
        <f aca="false">E6+E13+E39+E44</f>
        <v>612.63941175</v>
      </c>
      <c r="F15" s="17" t="n">
        <f aca="false">F6+F13+F39+F44</f>
        <v>1008.26401399</v>
      </c>
      <c r="G15" s="17" t="n">
        <f aca="false">G6+G13+G39+G44</f>
        <v>1399.09793087</v>
      </c>
      <c r="H15" s="17" t="n">
        <f aca="false">H6+H13+H39+H44</f>
        <v>1863.27293261</v>
      </c>
      <c r="I15" s="17" t="n">
        <f aca="false">I6+I13+I39+I44</f>
        <v>2347.9946828</v>
      </c>
      <c r="J15" s="17" t="n">
        <f aca="false">J6+J13+J39+J44</f>
        <v>2689.1096624</v>
      </c>
      <c r="K15" s="17" t="n">
        <f aca="false">K6+K13+K39+K44</f>
        <v>3108.3221329</v>
      </c>
    </row>
    <row r="16" customFormat="false" ht="14.25" hidden="false" customHeight="true" outlineLevel="0" collapsed="false"/>
    <row r="17" customFormat="false" ht="14.25" hidden="false" customHeight="true" outlineLevel="0" collapsed="false">
      <c r="A17" s="11" t="s">
        <v>57</v>
      </c>
      <c r="B17" s="11" t="n">
        <v>2026</v>
      </c>
      <c r="C17" s="11" t="n">
        <v>2027</v>
      </c>
      <c r="D17" s="11" t="n">
        <v>2028</v>
      </c>
      <c r="E17" s="11" t="n">
        <v>2029</v>
      </c>
      <c r="F17" s="11" t="n">
        <v>2030</v>
      </c>
      <c r="G17" s="11" t="n">
        <v>2031</v>
      </c>
      <c r="H17" s="11" t="n">
        <v>2032</v>
      </c>
      <c r="I17" s="11" t="n">
        <v>2033</v>
      </c>
      <c r="J17" s="11" t="n">
        <v>2034</v>
      </c>
      <c r="K17" s="11" t="n">
        <v>2035</v>
      </c>
    </row>
    <row r="18" customFormat="false" ht="14.25" hidden="false" customHeight="true" outlineLevel="0" collapsed="false">
      <c r="A18" s="12" t="s">
        <v>58</v>
      </c>
      <c r="B18" s="18" t="n">
        <f aca="false">B2+B9</f>
        <v>34.05179136</v>
      </c>
      <c r="C18" s="18" t="n">
        <f aca="false">C2+C9</f>
        <v>58.46214745</v>
      </c>
      <c r="D18" s="18" t="n">
        <f aca="false">D2+D9</f>
        <v>89.60853998</v>
      </c>
      <c r="E18" s="18" t="n">
        <f aca="false">E2+E9</f>
        <v>150.7298529</v>
      </c>
      <c r="F18" s="18" t="n">
        <f aca="false">F2+F9</f>
        <v>248.8760035</v>
      </c>
      <c r="G18" s="18" t="n">
        <f aca="false">G2+G9</f>
        <v>346.9344827</v>
      </c>
      <c r="H18" s="18" t="n">
        <f aca="false">H2+H9</f>
        <v>463.6682332</v>
      </c>
      <c r="I18" s="18" t="n">
        <f aca="false">I2+I9</f>
        <v>584.8486707</v>
      </c>
      <c r="J18" s="18" t="n">
        <f aca="false">J2+J9</f>
        <v>670.6274156</v>
      </c>
      <c r="K18" s="18" t="n">
        <f aca="false">K2+K9</f>
        <v>775.2705332</v>
      </c>
    </row>
    <row r="19" customFormat="false" ht="14.25" hidden="false" customHeight="true" outlineLevel="0" collapsed="false">
      <c r="A19" s="12" t="s">
        <v>59</v>
      </c>
      <c r="B19" s="18" t="n">
        <f aca="false">B3+B10</f>
        <v>74.913941</v>
      </c>
      <c r="C19" s="18" t="n">
        <f aca="false">C3+C10</f>
        <v>128.6167244</v>
      </c>
      <c r="D19" s="18" t="n">
        <f aca="false">D3+D10</f>
        <v>197.258788</v>
      </c>
      <c r="E19" s="18" t="n">
        <f aca="false">E3+E10</f>
        <v>331.9656765</v>
      </c>
      <c r="F19" s="18" t="n">
        <f aca="false">F3+F10</f>
        <v>548.1272077</v>
      </c>
      <c r="G19" s="18" t="n">
        <f aca="false">G3+G10</f>
        <v>763.855862</v>
      </c>
      <c r="H19" s="18" t="n">
        <f aca="false">H3+H10</f>
        <v>1020.6701129</v>
      </c>
      <c r="I19" s="18" t="n">
        <f aca="false">I3+I10</f>
        <v>1287.2670756</v>
      </c>
      <c r="J19" s="18" t="n">
        <f aca="false">J3+J10</f>
        <v>1475.5803143</v>
      </c>
      <c r="K19" s="18" t="n">
        <f aca="false">K3+K10</f>
        <v>1705.1951731</v>
      </c>
    </row>
    <row r="20" customFormat="false" ht="14.25" hidden="false" customHeight="true" outlineLevel="0" collapsed="false">
      <c r="A20" s="12" t="s">
        <v>60</v>
      </c>
      <c r="B20" s="18" t="n">
        <f aca="false">B4+B11</f>
        <v>16.34485985</v>
      </c>
      <c r="C20" s="18" t="n">
        <f aca="false">C4+C11</f>
        <v>28.06183078</v>
      </c>
      <c r="D20" s="18" t="n">
        <f aca="false">D4+D11</f>
        <v>43.10009919</v>
      </c>
      <c r="E20" s="18" t="n">
        <f aca="false">E4+E11</f>
        <v>72.65432941</v>
      </c>
      <c r="F20" s="18" t="n">
        <f aca="false">F4+F11</f>
        <v>120.02048167</v>
      </c>
      <c r="G20" s="18" t="n">
        <f aca="false">G4+G11</f>
        <v>167.1285517</v>
      </c>
      <c r="H20" s="18" t="n">
        <f aca="false">H4+H11</f>
        <v>223.0807519</v>
      </c>
      <c r="I20" s="18" t="n">
        <f aca="false">I4+I11</f>
        <v>281.1673619</v>
      </c>
      <c r="J20" s="18" t="n">
        <f aca="false">J4+J11</f>
        <v>322.3411595</v>
      </c>
      <c r="K20" s="18" t="n">
        <f aca="false">K4+K11</f>
        <v>372.569856</v>
      </c>
    </row>
    <row r="21" customFormat="false" ht="14.25" hidden="false" customHeight="true" outlineLevel="0" collapsed="false">
      <c r="A21" s="12" t="s">
        <v>61</v>
      </c>
      <c r="B21" s="18" t="n">
        <f aca="false">B5+B12</f>
        <v>10.89657324</v>
      </c>
      <c r="C21" s="18" t="n">
        <f aca="false">C5+C12</f>
        <v>18.70788719</v>
      </c>
      <c r="D21" s="18" t="n">
        <f aca="false">D5+D12</f>
        <v>28.66673279</v>
      </c>
      <c r="E21" s="18" t="n">
        <f aca="false">E5+E12</f>
        <v>48.16955294</v>
      </c>
      <c r="F21" s="18" t="n">
        <f aca="false">F5+F12</f>
        <v>79.48032112</v>
      </c>
      <c r="G21" s="18" t="n">
        <f aca="false">G5+G12</f>
        <v>110.61903447</v>
      </c>
      <c r="H21" s="18" t="n">
        <f aca="false">H5+H12</f>
        <v>147.65383461</v>
      </c>
      <c r="I21" s="18" t="n">
        <f aca="false">I5+I12</f>
        <v>186.1115746</v>
      </c>
      <c r="J21" s="18" t="n">
        <f aca="false">J5+J12</f>
        <v>213.560773</v>
      </c>
      <c r="K21" s="18" t="n">
        <f aca="false">K5+K12</f>
        <v>247.0465706</v>
      </c>
    </row>
    <row r="22" customFormat="false" ht="14.25" hidden="false" customHeight="true" outlineLevel="0" collapsed="false">
      <c r="A22" s="14" t="s">
        <v>62</v>
      </c>
      <c r="B22" s="15" t="n">
        <f aca="false">SUM(B18:B21)</f>
        <v>136.20716545</v>
      </c>
      <c r="C22" s="15" t="n">
        <f aca="false">SUM(C18:C21)</f>
        <v>233.84858982</v>
      </c>
      <c r="D22" s="15" t="n">
        <f aca="false">SUM(D18:D21)</f>
        <v>358.63415996</v>
      </c>
      <c r="E22" s="15" t="n">
        <f aca="false">SUM(E18:E21)</f>
        <v>603.51941175</v>
      </c>
      <c r="F22" s="15" t="n">
        <f aca="false">SUM(F18:F21)</f>
        <v>996.50401399</v>
      </c>
      <c r="G22" s="15" t="n">
        <f aca="false">SUM(G18:G21)</f>
        <v>1388.53793087</v>
      </c>
      <c r="H22" s="15" t="n">
        <f aca="false">SUM(H18:H21)</f>
        <v>1855.07293261</v>
      </c>
      <c r="I22" s="15" t="n">
        <f aca="false">SUM(I18:I21)</f>
        <v>2339.3946828</v>
      </c>
      <c r="J22" s="15" t="n">
        <f aca="false">SUM(J18:J21)</f>
        <v>2682.1096624</v>
      </c>
      <c r="K22" s="15" t="n">
        <f aca="false">SUM(K18:K21)</f>
        <v>3100.0821329</v>
      </c>
    </row>
    <row r="23" customFormat="false" ht="14.25" hidden="false" customHeight="true" outlineLevel="0" collapsed="false"/>
    <row r="24" customFormat="false" ht="14.25" hidden="false" customHeight="true" outlineLevel="0" collapsed="false">
      <c r="A24" s="19" t="s">
        <v>63</v>
      </c>
    </row>
    <row r="25" customFormat="false" ht="14.25" hidden="false" customHeight="true" outlineLevel="0" collapsed="false"/>
    <row r="26" customFormat="false" ht="14.25" hidden="false" customHeight="true" outlineLevel="0" collapsed="false">
      <c r="A26" s="11" t="s">
        <v>64</v>
      </c>
      <c r="B26" s="11" t="s">
        <v>65</v>
      </c>
      <c r="C26" s="11" t="s">
        <v>66</v>
      </c>
      <c r="D26" s="11" t="s">
        <v>67</v>
      </c>
      <c r="E26" s="11" t="s">
        <v>68</v>
      </c>
      <c r="F26" s="11" t="s">
        <v>69</v>
      </c>
      <c r="G26" s="11" t="s">
        <v>70</v>
      </c>
      <c r="H26" s="11" t="s">
        <v>71</v>
      </c>
      <c r="I26" s="11" t="s">
        <v>72</v>
      </c>
      <c r="J26" s="11" t="s">
        <v>73</v>
      </c>
      <c r="K26" s="11" t="s">
        <v>74</v>
      </c>
    </row>
    <row r="27" customFormat="false" ht="14.25" hidden="false" customHeight="true" outlineLevel="0" collapsed="false">
      <c r="A27" s="12" t="s">
        <v>75</v>
      </c>
      <c r="B27" s="12" t="n">
        <v>276.5</v>
      </c>
      <c r="C27" s="12" t="n">
        <v>3.2</v>
      </c>
      <c r="D27" s="12" t="n">
        <v>490</v>
      </c>
      <c r="E27" s="12" t="n">
        <v>10.6</v>
      </c>
      <c r="F27" s="12" t="n">
        <v>43</v>
      </c>
      <c r="G27" s="12" t="n">
        <v>35</v>
      </c>
      <c r="H27" s="12" t="n">
        <v>25</v>
      </c>
      <c r="I27" s="12" t="n">
        <v>53</v>
      </c>
      <c r="J27" s="12" t="n">
        <v>5</v>
      </c>
      <c r="K27" s="12" t="s">
        <v>76</v>
      </c>
    </row>
    <row r="28" customFormat="false" ht="14.25" hidden="false" customHeight="true" outlineLevel="0" collapsed="false">
      <c r="A28" s="12" t="s">
        <v>77</v>
      </c>
      <c r="B28" s="12" t="n">
        <v>320</v>
      </c>
      <c r="C28" s="12" t="n">
        <v>3.2</v>
      </c>
      <c r="D28" s="12" t="n">
        <v>640</v>
      </c>
      <c r="E28" s="12" t="n">
        <v>16</v>
      </c>
      <c r="F28" s="12" t="n">
        <v>68</v>
      </c>
      <c r="G28" s="12" t="n">
        <v>60</v>
      </c>
      <c r="H28" s="12" t="n">
        <v>36</v>
      </c>
      <c r="I28" s="12" t="n">
        <v>90</v>
      </c>
      <c r="J28" s="12" t="n">
        <v>5</v>
      </c>
      <c r="K28" s="12" t="s">
        <v>78</v>
      </c>
    </row>
    <row r="29" customFormat="false" ht="14.25" hidden="false" customHeight="true" outlineLevel="0" collapsed="false">
      <c r="A29" s="12" t="s">
        <v>79</v>
      </c>
      <c r="B29" s="12" t="n">
        <v>390</v>
      </c>
      <c r="C29" s="12" t="n">
        <v>4.75</v>
      </c>
      <c r="D29" s="12" t="n">
        <v>680</v>
      </c>
      <c r="E29" s="12" t="n">
        <v>30.7</v>
      </c>
      <c r="F29" s="12" t="n">
        <v>127</v>
      </c>
      <c r="G29" s="12" t="n">
        <v>93</v>
      </c>
      <c r="H29" s="12" t="n">
        <v>61</v>
      </c>
      <c r="I29" s="12" t="n">
        <v>136</v>
      </c>
      <c r="J29" s="12" t="n">
        <v>5</v>
      </c>
      <c r="K29" s="12" t="s">
        <v>80</v>
      </c>
    </row>
    <row r="30" customFormat="false" ht="14.25" hidden="false" customHeight="true" outlineLevel="0" collapsed="false">
      <c r="A30" s="12" t="s">
        <v>81</v>
      </c>
      <c r="B30" s="12" t="n">
        <v>390</v>
      </c>
      <c r="C30" s="12" t="n">
        <v>4.75</v>
      </c>
      <c r="D30" s="12" t="n">
        <v>900</v>
      </c>
      <c r="E30" s="12" t="n">
        <v>40.7</v>
      </c>
      <c r="F30" s="12" t="n">
        <v>157</v>
      </c>
      <c r="G30" s="12" t="n">
        <v>118</v>
      </c>
      <c r="H30" s="12" t="n">
        <v>71</v>
      </c>
      <c r="I30" s="12" t="n">
        <v>179</v>
      </c>
      <c r="J30" s="12" t="n">
        <v>12</v>
      </c>
      <c r="K30" s="12" t="s">
        <v>80</v>
      </c>
    </row>
    <row r="31" customFormat="false" ht="14.25" hidden="false" customHeight="true" outlineLevel="0" collapsed="false"/>
    <row r="32" customFormat="false" ht="14.25" hidden="false" customHeight="true" outlineLevel="0" collapsed="false">
      <c r="A32" s="19" t="s">
        <v>82</v>
      </c>
    </row>
    <row r="33" customFormat="false" ht="14.25" hidden="false" customHeight="true" outlineLevel="0" collapsed="false"/>
    <row r="34" customFormat="false" ht="14.25" hidden="false" customHeight="true" outlineLevel="0" collapsed="false">
      <c r="A34" s="11" t="s">
        <v>83</v>
      </c>
      <c r="B34" s="11" t="n">
        <v>2026</v>
      </c>
      <c r="C34" s="11" t="n">
        <v>2027</v>
      </c>
      <c r="D34" s="11" t="n">
        <v>2028</v>
      </c>
      <c r="E34" s="11" t="n">
        <v>2029</v>
      </c>
      <c r="F34" s="11" t="n">
        <v>2030</v>
      </c>
      <c r="G34" s="11" t="n">
        <v>2031</v>
      </c>
      <c r="H34" s="11" t="n">
        <v>2032</v>
      </c>
      <c r="I34" s="11" t="n">
        <v>2033</v>
      </c>
      <c r="J34" s="11" t="n">
        <v>2034</v>
      </c>
      <c r="K34" s="11" t="n">
        <v>2035</v>
      </c>
    </row>
    <row r="35" customFormat="false" ht="14.25" hidden="false" customHeight="true" outlineLevel="0" collapsed="false">
      <c r="A35" s="12" t="s">
        <v>84</v>
      </c>
      <c r="B35" s="13" t="n">
        <f aca="false">IFERROR(Links!B30,0)</f>
        <v>1</v>
      </c>
      <c r="C35" s="13" t="n">
        <f aca="false">IFERROR(Links!C30,0)</f>
        <v>0.08</v>
      </c>
      <c r="D35" s="13" t="n">
        <f aca="false">IFERROR(Links!D30,0)</f>
        <v>0.08</v>
      </c>
      <c r="E35" s="13" t="n">
        <f aca="false">IFERROR(Links!E30,0)</f>
        <v>1.08</v>
      </c>
      <c r="F35" s="13" t="n">
        <f aca="false">IFERROR(Links!F30,0)</f>
        <v>1.16</v>
      </c>
      <c r="G35" s="13" t="n">
        <f aca="false">IFERROR(Links!G30,0)</f>
        <v>1.24</v>
      </c>
      <c r="H35" s="13" t="n">
        <f aca="false">IFERROR(Links!H30,0)</f>
        <v>0.32</v>
      </c>
      <c r="I35" s="13" t="n">
        <f aca="false">IFERROR(Links!I30,0)</f>
        <v>1.32</v>
      </c>
      <c r="J35" s="13" t="n">
        <f aca="false">IFERROR(Links!J30,0)</f>
        <v>0.4</v>
      </c>
      <c r="K35" s="13" t="n">
        <f aca="false">IFERROR(Links!K30,0)</f>
        <v>0.4</v>
      </c>
    </row>
    <row r="36" customFormat="false" ht="14.25" hidden="false" customHeight="true" outlineLevel="0" collapsed="false">
      <c r="A36" s="12" t="s">
        <v>85</v>
      </c>
      <c r="B36" s="13" t="n">
        <f aca="false">IFERROR(Links!B31,0)</f>
        <v>1</v>
      </c>
      <c r="C36" s="13" t="n">
        <f aca="false">IFERROR(Links!C31,0)</f>
        <v>0.08</v>
      </c>
      <c r="D36" s="13" t="n">
        <f aca="false">IFERROR(Links!D31,0)</f>
        <v>2.08</v>
      </c>
      <c r="E36" s="13" t="n">
        <f aca="false">IFERROR(Links!E31,0)</f>
        <v>1.24</v>
      </c>
      <c r="F36" s="13" t="n">
        <f aca="false">IFERROR(Links!F31,0)</f>
        <v>2.32</v>
      </c>
      <c r="G36" s="13" t="n">
        <f aca="false">IFERROR(Links!G31,0)</f>
        <v>2.48</v>
      </c>
      <c r="H36" s="13" t="n">
        <f aca="false">IFERROR(Links!H31,0)</f>
        <v>0.64</v>
      </c>
      <c r="I36" s="13" t="n">
        <f aca="false">IFERROR(Links!I31,0)</f>
        <v>1.64</v>
      </c>
      <c r="J36" s="13" t="n">
        <f aca="false">IFERROR(Links!J31,0)</f>
        <v>1.72</v>
      </c>
      <c r="K36" s="13" t="n">
        <f aca="false">IFERROR(Links!K31,0)</f>
        <v>1.8</v>
      </c>
    </row>
    <row r="37" customFormat="false" ht="14.25" hidden="false" customHeight="true" outlineLevel="0" collapsed="false">
      <c r="A37" s="12" t="s">
        <v>86</v>
      </c>
      <c r="B37" s="13" t="n">
        <f aca="false">IFERROR(Links!B32,0)</f>
        <v>1</v>
      </c>
      <c r="C37" s="13" t="n">
        <f aca="false">IFERROR(Links!C32,0)</f>
        <v>0.08</v>
      </c>
      <c r="D37" s="13" t="n">
        <f aca="false">IFERROR(Links!D32,0)</f>
        <v>0.08</v>
      </c>
      <c r="E37" s="13" t="n">
        <f aca="false">IFERROR(Links!E32,0)</f>
        <v>0.08</v>
      </c>
      <c r="F37" s="13" t="n">
        <f aca="false">IFERROR(Links!F32,0)</f>
        <v>1.08</v>
      </c>
      <c r="G37" s="13" t="n">
        <f aca="false">IFERROR(Links!G32,0)</f>
        <v>0.16</v>
      </c>
      <c r="H37" s="13" t="n">
        <f aca="false">IFERROR(Links!H32,0)</f>
        <v>0.16</v>
      </c>
      <c r="I37" s="13" t="n">
        <f aca="false">IFERROR(Links!I32,0)</f>
        <v>0.16</v>
      </c>
      <c r="J37" s="13" t="n">
        <f aca="false">IFERROR(Links!J32,0)</f>
        <v>1.16</v>
      </c>
      <c r="K37" s="13" t="n">
        <f aca="false">IFERROR(Links!K32,0)</f>
        <v>0.24</v>
      </c>
    </row>
    <row r="38" customFormat="false" ht="14.25" hidden="false" customHeight="true" outlineLevel="0" collapsed="false">
      <c r="A38" s="12" t="s">
        <v>87</v>
      </c>
      <c r="B38" s="13" t="n">
        <f aca="false">IFERROR(Links!B33,0)</f>
        <v>1</v>
      </c>
      <c r="C38" s="13" t="n">
        <f aca="false">IFERROR(Links!C33,0)</f>
        <v>0.08</v>
      </c>
      <c r="D38" s="13" t="n">
        <f aca="false">IFERROR(Links!D33,0)</f>
        <v>0.08</v>
      </c>
      <c r="E38" s="13" t="n">
        <f aca="false">IFERROR(Links!E33,0)</f>
        <v>0.08</v>
      </c>
      <c r="F38" s="13" t="n">
        <f aca="false">IFERROR(Links!F33,0)</f>
        <v>0.08</v>
      </c>
      <c r="G38" s="13" t="n">
        <f aca="false">IFERROR(Links!G33,0)</f>
        <v>1.08</v>
      </c>
      <c r="H38" s="13" t="n">
        <f aca="false">IFERROR(Links!H33,0)</f>
        <v>0.16</v>
      </c>
      <c r="I38" s="13" t="n">
        <f aca="false">IFERROR(Links!I33,0)</f>
        <v>0.16</v>
      </c>
      <c r="J38" s="13" t="n">
        <f aca="false">IFERROR(Links!J33,0)</f>
        <v>0.16</v>
      </c>
      <c r="K38" s="13" t="n">
        <f aca="false">IFERROR(Links!K33,0)</f>
        <v>0.16</v>
      </c>
    </row>
    <row r="39" customFormat="false" ht="14.25" hidden="false" customHeight="true" outlineLevel="0" collapsed="false">
      <c r="A39" s="14" t="s">
        <v>88</v>
      </c>
      <c r="B39" s="15" t="n">
        <f aca="false">SUM(B35:B38)</f>
        <v>4</v>
      </c>
      <c r="C39" s="15" t="n">
        <f aca="false">SUM(C35:C38)</f>
        <v>0.32</v>
      </c>
      <c r="D39" s="15" t="n">
        <f aca="false">SUM(D35:D38)</f>
        <v>2.32</v>
      </c>
      <c r="E39" s="15" t="n">
        <f aca="false">SUM(E35:E38)</f>
        <v>2.48</v>
      </c>
      <c r="F39" s="15" t="n">
        <f aca="false">SUM(F35:F38)</f>
        <v>4.64</v>
      </c>
      <c r="G39" s="15" t="n">
        <f aca="false">SUM(G35:G38)</f>
        <v>4.96</v>
      </c>
      <c r="H39" s="15" t="n">
        <f aca="false">SUM(H35:H38)</f>
        <v>1.28</v>
      </c>
      <c r="I39" s="15" t="n">
        <f aca="false">SUM(I35:I38)</f>
        <v>3.28</v>
      </c>
      <c r="J39" s="15" t="n">
        <f aca="false">SUM(J35:J38)</f>
        <v>3.44</v>
      </c>
      <c r="K39" s="15" t="n">
        <f aca="false">SUM(K35:K38)</f>
        <v>2.6</v>
      </c>
    </row>
    <row r="40" customFormat="false" ht="14.25" hidden="false" customHeight="true" outlineLevel="0" collapsed="false">
      <c r="A40" s="12" t="s">
        <v>89</v>
      </c>
      <c r="B40" s="13" t="n">
        <f aca="false">IFERROR(Links!B37,0)</f>
        <v>1</v>
      </c>
      <c r="C40" s="13" t="n">
        <f aca="false">IFERROR(Links!C37,0)</f>
        <v>0.08</v>
      </c>
      <c r="D40" s="13" t="n">
        <f aca="false">IFERROR(Links!D37,0)</f>
        <v>1.08</v>
      </c>
      <c r="E40" s="13" t="n">
        <f aca="false">IFERROR(Links!E37,0)</f>
        <v>2.16</v>
      </c>
      <c r="F40" s="13" t="n">
        <f aca="false">IFERROR(Links!F37,0)</f>
        <v>1.32</v>
      </c>
      <c r="G40" s="13" t="n">
        <f aca="false">IFERROR(Links!G37,0)</f>
        <v>1.4</v>
      </c>
      <c r="H40" s="13" t="n">
        <f aca="false">IFERROR(Links!H37,0)</f>
        <v>1.48</v>
      </c>
      <c r="I40" s="13" t="n">
        <f aca="false">IFERROR(Links!I37,0)</f>
        <v>1.56</v>
      </c>
      <c r="J40" s="13" t="n">
        <f aca="false">IFERROR(Links!J37,0)</f>
        <v>0.64</v>
      </c>
      <c r="K40" s="13" t="n">
        <f aca="false">IFERROR(Links!K37,0)</f>
        <v>1.64</v>
      </c>
    </row>
    <row r="41" customFormat="false" ht="14.25" hidden="false" customHeight="true" outlineLevel="0" collapsed="false">
      <c r="A41" s="12" t="s">
        <v>90</v>
      </c>
      <c r="B41" s="13" t="n">
        <f aca="false">IFERROR(Links!B38,0)</f>
        <v>1</v>
      </c>
      <c r="C41" s="13" t="n">
        <f aca="false">IFERROR(Links!C38,0)</f>
        <v>1.08</v>
      </c>
      <c r="D41" s="13" t="n">
        <f aca="false">IFERROR(Links!D38,0)</f>
        <v>2.16</v>
      </c>
      <c r="E41" s="13" t="n">
        <f aca="false">IFERROR(Links!E38,0)</f>
        <v>3.32</v>
      </c>
      <c r="F41" s="13" t="n">
        <f aca="false">IFERROR(Links!F38,0)</f>
        <v>3.56</v>
      </c>
      <c r="G41" s="13" t="n">
        <f aca="false">IFERROR(Links!G38,0)</f>
        <v>3.8</v>
      </c>
      <c r="H41" s="13" t="n">
        <f aca="false">IFERROR(Links!H38,0)</f>
        <v>3.04</v>
      </c>
      <c r="I41" s="13" t="n">
        <f aca="false">IFERROR(Links!I38,0)</f>
        <v>3.2</v>
      </c>
      <c r="J41" s="13" t="n">
        <f aca="false">IFERROR(Links!J38,0)</f>
        <v>2.36</v>
      </c>
      <c r="K41" s="13" t="n">
        <f aca="false">IFERROR(Links!K38,0)</f>
        <v>2.44</v>
      </c>
    </row>
    <row r="42" customFormat="false" ht="14.25" hidden="false" customHeight="true" outlineLevel="0" collapsed="false">
      <c r="A42" s="12" t="s">
        <v>91</v>
      </c>
      <c r="B42" s="13" t="n">
        <f aca="false">IFERROR(Links!B39,0)</f>
        <v>1</v>
      </c>
      <c r="C42" s="13" t="n">
        <f aca="false">IFERROR(Links!C39,0)</f>
        <v>0.08</v>
      </c>
      <c r="D42" s="13" t="n">
        <f aca="false">IFERROR(Links!D39,0)</f>
        <v>0.08</v>
      </c>
      <c r="E42" s="13" t="n">
        <f aca="false">IFERROR(Links!E39,0)</f>
        <v>1.08</v>
      </c>
      <c r="F42" s="13" t="n">
        <f aca="false">IFERROR(Links!F39,0)</f>
        <v>1.16</v>
      </c>
      <c r="G42" s="13" t="n">
        <f aca="false">IFERROR(Links!G39,0)</f>
        <v>0.24</v>
      </c>
      <c r="H42" s="13" t="n">
        <f aca="false">IFERROR(Links!H39,0)</f>
        <v>1.24</v>
      </c>
      <c r="I42" s="13" t="n">
        <f aca="false">IFERROR(Links!I39,0)</f>
        <v>0.32</v>
      </c>
      <c r="J42" s="13" t="n">
        <f aca="false">IFERROR(Links!J39,0)</f>
        <v>0.32</v>
      </c>
      <c r="K42" s="13" t="n">
        <f aca="false">IFERROR(Links!K39,0)</f>
        <v>1.32</v>
      </c>
    </row>
    <row r="43" customFormat="false" ht="14.25" hidden="false" customHeight="true" outlineLevel="0" collapsed="false">
      <c r="A43" s="12" t="s">
        <v>92</v>
      </c>
      <c r="B43" s="13" t="n">
        <f aca="false">IFERROR(Links!B40,0)</f>
        <v>1</v>
      </c>
      <c r="C43" s="13" t="n">
        <f aca="false">IFERROR(Links!C40,0)</f>
        <v>0.08</v>
      </c>
      <c r="D43" s="13" t="n">
        <f aca="false">IFERROR(Links!D40,0)</f>
        <v>0.08</v>
      </c>
      <c r="E43" s="13" t="n">
        <f aca="false">IFERROR(Links!E40,0)</f>
        <v>0.08</v>
      </c>
      <c r="F43" s="13" t="n">
        <f aca="false">IFERROR(Links!F40,0)</f>
        <v>1.08</v>
      </c>
      <c r="G43" s="13" t="n">
        <f aca="false">IFERROR(Links!G40,0)</f>
        <v>0.16</v>
      </c>
      <c r="H43" s="13" t="n">
        <f aca="false">IFERROR(Links!H40,0)</f>
        <v>1.16</v>
      </c>
      <c r="I43" s="13" t="n">
        <f aca="false">IFERROR(Links!I40,0)</f>
        <v>0.24</v>
      </c>
      <c r="J43" s="13" t="n">
        <f aca="false">IFERROR(Links!J40,0)</f>
        <v>0.24</v>
      </c>
      <c r="K43" s="13" t="n">
        <f aca="false">IFERROR(Links!K40,0)</f>
        <v>0.24</v>
      </c>
    </row>
    <row r="44" customFormat="false" ht="14.25" hidden="false" customHeight="true" outlineLevel="0" collapsed="false">
      <c r="A44" s="14" t="s">
        <v>93</v>
      </c>
      <c r="B44" s="15" t="n">
        <f aca="false">SUM(B40:B43)</f>
        <v>4</v>
      </c>
      <c r="C44" s="15" t="n">
        <f aca="false">SUM(C40:C43)</f>
        <v>1.32</v>
      </c>
      <c r="D44" s="15" t="n">
        <f aca="false">SUM(D40:D43)</f>
        <v>3.4</v>
      </c>
      <c r="E44" s="15" t="n">
        <f aca="false">SUM(E40:E43)</f>
        <v>6.64</v>
      </c>
      <c r="F44" s="15" t="n">
        <f aca="false">SUM(F40:F43)</f>
        <v>7.12</v>
      </c>
      <c r="G44" s="15" t="n">
        <f aca="false">SUM(G40:G43)</f>
        <v>5.6</v>
      </c>
      <c r="H44" s="15" t="n">
        <f aca="false">SUM(H40:H43)</f>
        <v>6.92</v>
      </c>
      <c r="I44" s="15" t="n">
        <f aca="false">SUM(I40:I43)</f>
        <v>5.32</v>
      </c>
      <c r="J44" s="15" t="n">
        <f aca="false">SUM(J40:J43)</f>
        <v>3.56</v>
      </c>
      <c r="K44" s="15" t="n">
        <f aca="false">SUM(K40:K43)</f>
        <v>5.64</v>
      </c>
    </row>
    <row r="45" customFormat="false" ht="14.25" hidden="false" customHeight="true" outlineLevel="0" collapsed="false">
      <c r="A45" s="20" t="s">
        <v>94</v>
      </c>
    </row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7" min="4" style="1" width="11"/>
    <col collapsed="false" customWidth="true" hidden="false" outlineLevel="0" max="8" min="8" style="1" width="12"/>
    <col collapsed="false" customWidth="true" hidden="false" outlineLevel="0" max="10" min="9" style="1" width="13"/>
    <col collapsed="false" customWidth="true" hidden="false" outlineLevel="0" max="12" min="11" style="1" width="11"/>
    <col collapsed="false" customWidth="true" hidden="false" outlineLevel="0" max="13" min="13" style="1" width="14"/>
    <col collapsed="false" customWidth="true" hidden="false" outlineLevel="0" max="14" min="14" style="1" width="11"/>
    <col collapsed="false" customWidth="true" hidden="false" outlineLevel="0" max="15" min="15" style="1" width="70"/>
    <col collapsed="false" customWidth="true" hidden="false" outlineLevel="0" max="26" min="16" style="1" width="8.86"/>
  </cols>
  <sheetData>
    <row r="1" customFormat="false" ht="14.25" hidden="false" customHeight="true" outlineLevel="0" collapsed="false">
      <c r="A1" s="11" t="s">
        <v>95</v>
      </c>
      <c r="B1" s="11" t="s">
        <v>96</v>
      </c>
      <c r="C1" s="11" t="s">
        <v>97</v>
      </c>
    </row>
    <row r="2" customFormat="false" ht="30" hidden="false" customHeight="true" outlineLevel="0" collapsed="false">
      <c r="A2" s="21" t="s">
        <v>98</v>
      </c>
      <c r="B2" s="22" t="n">
        <v>20</v>
      </c>
      <c r="C2" s="21" t="s">
        <v>99</v>
      </c>
    </row>
    <row r="3" customFormat="false" ht="30" hidden="false" customHeight="true" outlineLevel="0" collapsed="false">
      <c r="A3" s="21" t="s">
        <v>100</v>
      </c>
      <c r="B3" s="22" t="n">
        <v>8</v>
      </c>
      <c r="C3" s="21" t="s">
        <v>101</v>
      </c>
    </row>
    <row r="4" customFormat="false" ht="45" hidden="false" customHeight="true" outlineLevel="0" collapsed="false">
      <c r="A4" s="21" t="s">
        <v>102</v>
      </c>
      <c r="B4" s="22" t="n">
        <v>30</v>
      </c>
      <c r="C4" s="21" t="s">
        <v>103</v>
      </c>
    </row>
    <row r="5" customFormat="false" ht="30" hidden="false" customHeight="true" outlineLevel="0" collapsed="false">
      <c r="A5" s="21" t="s">
        <v>104</v>
      </c>
      <c r="B5" s="23" t="n">
        <f aca="false">B3-B4/60</f>
        <v>7.5</v>
      </c>
      <c r="C5" s="21" t="s">
        <v>105</v>
      </c>
    </row>
    <row r="6" customFormat="false" ht="30" hidden="false" customHeight="true" outlineLevel="0" collapsed="false">
      <c r="A6" s="21" t="s">
        <v>106</v>
      </c>
      <c r="B6" s="22" t="n">
        <v>1</v>
      </c>
      <c r="C6" s="21" t="s">
        <v>107</v>
      </c>
    </row>
    <row r="7" customFormat="false" ht="30" hidden="false" customHeight="true" outlineLevel="0" collapsed="false">
      <c r="A7" s="21" t="s">
        <v>108</v>
      </c>
      <c r="B7" s="24" t="n">
        <f aca="false">B2*B5*B6</f>
        <v>150</v>
      </c>
      <c r="C7" s="21" t="s">
        <v>109</v>
      </c>
    </row>
    <row r="8" customFormat="false" ht="30" hidden="false" customHeight="true" outlineLevel="0" collapsed="false">
      <c r="A8" s="21" t="s">
        <v>110</v>
      </c>
      <c r="B8" s="25" t="n">
        <v>0.9</v>
      </c>
      <c r="C8" s="21" t="s">
        <v>111</v>
      </c>
    </row>
    <row r="9" customFormat="false" ht="14.25" hidden="false" customHeight="true" outlineLevel="0" collapsed="false">
      <c r="A9" s="21" t="s">
        <v>112</v>
      </c>
      <c r="B9" s="22" t="n">
        <v>2032</v>
      </c>
      <c r="C9" s="21" t="s">
        <v>113</v>
      </c>
    </row>
    <row r="10" customFormat="false" ht="14.25" hidden="false" customHeight="true" outlineLevel="0" collapsed="false">
      <c r="A10" s="26" t="s">
        <v>114</v>
      </c>
    </row>
    <row r="11" customFormat="false" ht="14.25" hidden="false" customHeight="true" outlineLevel="0" collapsed="false">
      <c r="A11" s="11" t="s">
        <v>115</v>
      </c>
      <c r="B11" s="11" t="s">
        <v>17</v>
      </c>
      <c r="C11" s="11" t="s">
        <v>18</v>
      </c>
      <c r="D11" s="11" t="s">
        <v>19</v>
      </c>
      <c r="E11" s="11" t="s">
        <v>20</v>
      </c>
      <c r="F11" s="11" t="s">
        <v>21</v>
      </c>
      <c r="G11" s="11" t="s">
        <v>22</v>
      </c>
      <c r="H11" s="11" t="s">
        <v>23</v>
      </c>
      <c r="I11" s="11" t="s">
        <v>24</v>
      </c>
      <c r="J11" s="11" t="s">
        <v>25</v>
      </c>
      <c r="K11" s="11" t="s">
        <v>26</v>
      </c>
      <c r="L11" s="11" t="s">
        <v>27</v>
      </c>
      <c r="M11" s="11" t="s">
        <v>28</v>
      </c>
      <c r="N11" s="11" t="s">
        <v>62</v>
      </c>
    </row>
    <row r="12" customFormat="false" ht="14.25" hidden="false" customHeight="true" outlineLevel="0" collapsed="false">
      <c r="A12" s="12" t="s">
        <v>116</v>
      </c>
      <c r="B12" s="27" t="n">
        <f aca="false">Links!B12</f>
        <v>0.085</v>
      </c>
      <c r="C12" s="27" t="n">
        <f aca="false">Links!C12</f>
        <v>0.075</v>
      </c>
      <c r="D12" s="27" t="n">
        <f aca="false">Links!D12</f>
        <v>0.09</v>
      </c>
      <c r="E12" s="27" t="n">
        <f aca="false">Links!E12</f>
        <v>0.09</v>
      </c>
      <c r="F12" s="27" t="n">
        <f aca="false">Links!F12</f>
        <v>0.09</v>
      </c>
      <c r="G12" s="27" t="n">
        <f aca="false">Links!G12</f>
        <v>0.08</v>
      </c>
      <c r="H12" s="27" t="n">
        <f aca="false">Links!H12</f>
        <v>0.09</v>
      </c>
      <c r="I12" s="27" t="n">
        <f aca="false">Links!I12</f>
        <v>0.09</v>
      </c>
      <c r="J12" s="27" t="n">
        <f aca="false">Links!J12</f>
        <v>0.085</v>
      </c>
      <c r="K12" s="27" t="n">
        <f aca="false">Links!K12</f>
        <v>0.075</v>
      </c>
      <c r="L12" s="27" t="n">
        <f aca="false">Links!L12</f>
        <v>0.07</v>
      </c>
      <c r="M12" s="27" t="n">
        <f aca="false">Links!M12</f>
        <v>0.08</v>
      </c>
      <c r="N12" s="25" t="n">
        <f aca="false">SUM(B12:M12)</f>
        <v>1</v>
      </c>
      <c r="O12" s="28" t="s">
        <v>117</v>
      </c>
    </row>
    <row r="13" customFormat="false" ht="14.25" hidden="false" customHeight="true" outlineLevel="0" collapsed="false">
      <c r="A13" s="12" t="s">
        <v>118</v>
      </c>
      <c r="B13" s="27" t="n">
        <f aca="false">Links!B12</f>
        <v>0.085</v>
      </c>
      <c r="C13" s="27" t="n">
        <f aca="false">Links!C12</f>
        <v>0.075</v>
      </c>
      <c r="D13" s="27" t="n">
        <f aca="false">Links!D12</f>
        <v>0.09</v>
      </c>
      <c r="E13" s="27" t="n">
        <f aca="false">Links!E12</f>
        <v>0.09</v>
      </c>
      <c r="F13" s="27" t="n">
        <f aca="false">Links!F12</f>
        <v>0.09</v>
      </c>
      <c r="G13" s="27" t="n">
        <f aca="false">Links!G12</f>
        <v>0.08</v>
      </c>
      <c r="H13" s="27" t="n">
        <f aca="false">Links!H12</f>
        <v>0.09</v>
      </c>
      <c r="I13" s="27" t="n">
        <f aca="false">Links!I12</f>
        <v>0.09</v>
      </c>
      <c r="J13" s="27" t="n">
        <f aca="false">Links!J12</f>
        <v>0.085</v>
      </c>
      <c r="K13" s="27" t="n">
        <f aca="false">Links!K12</f>
        <v>0.075</v>
      </c>
      <c r="L13" s="27" t="n">
        <f aca="false">Links!L12</f>
        <v>0.07</v>
      </c>
      <c r="M13" s="27" t="n">
        <f aca="false">Links!M12</f>
        <v>0.08</v>
      </c>
      <c r="N13" s="25" t="n">
        <f aca="false">SUM(B13:M13)</f>
        <v>1</v>
      </c>
      <c r="O13" s="1" t="s">
        <v>117</v>
      </c>
    </row>
    <row r="14" customFormat="false" ht="14.25" hidden="false" customHeight="true" outlineLevel="0" collapsed="false">
      <c r="A14" s="12" t="s">
        <v>119</v>
      </c>
      <c r="B14" s="27" t="n">
        <f aca="false">Links!B12</f>
        <v>0.085</v>
      </c>
      <c r="C14" s="27" t="n">
        <f aca="false">Links!C12</f>
        <v>0.075</v>
      </c>
      <c r="D14" s="27" t="n">
        <f aca="false">Links!D12</f>
        <v>0.09</v>
      </c>
      <c r="E14" s="27" t="n">
        <f aca="false">Links!E12</f>
        <v>0.09</v>
      </c>
      <c r="F14" s="27" t="n">
        <f aca="false">Links!F12</f>
        <v>0.09</v>
      </c>
      <c r="G14" s="27" t="n">
        <f aca="false">Links!G12</f>
        <v>0.08</v>
      </c>
      <c r="H14" s="27" t="n">
        <f aca="false">Links!H12</f>
        <v>0.09</v>
      </c>
      <c r="I14" s="27" t="n">
        <f aca="false">Links!I12</f>
        <v>0.09</v>
      </c>
      <c r="J14" s="27" t="n">
        <f aca="false">Links!J12</f>
        <v>0.085</v>
      </c>
      <c r="K14" s="27" t="n">
        <f aca="false">Links!K12</f>
        <v>0.075</v>
      </c>
      <c r="L14" s="27" t="n">
        <f aca="false">Links!L12</f>
        <v>0.07</v>
      </c>
      <c r="M14" s="27" t="n">
        <f aca="false">Links!M12</f>
        <v>0.08</v>
      </c>
      <c r="N14" s="25" t="n">
        <f aca="false">SUM(B14:M14)</f>
        <v>1</v>
      </c>
      <c r="O14" s="1" t="s">
        <v>117</v>
      </c>
    </row>
    <row r="15" customFormat="false" ht="14.25" hidden="false" customHeight="true" outlineLevel="0" collapsed="false">
      <c r="A15" s="12" t="s">
        <v>120</v>
      </c>
      <c r="B15" s="27" t="n">
        <f aca="false">Links!B12</f>
        <v>0.085</v>
      </c>
      <c r="C15" s="27" t="n">
        <f aca="false">Links!C12</f>
        <v>0.075</v>
      </c>
      <c r="D15" s="27" t="n">
        <f aca="false">Links!D12</f>
        <v>0.09</v>
      </c>
      <c r="E15" s="27" t="n">
        <f aca="false">Links!E12</f>
        <v>0.09</v>
      </c>
      <c r="F15" s="27" t="n">
        <f aca="false">Links!F12</f>
        <v>0.09</v>
      </c>
      <c r="G15" s="27" t="n">
        <f aca="false">Links!G12</f>
        <v>0.08</v>
      </c>
      <c r="H15" s="27" t="n">
        <f aca="false">Links!H12</f>
        <v>0.09</v>
      </c>
      <c r="I15" s="27" t="n">
        <f aca="false">Links!I12</f>
        <v>0.09</v>
      </c>
      <c r="J15" s="27" t="n">
        <f aca="false">Links!J12</f>
        <v>0.085</v>
      </c>
      <c r="K15" s="27" t="n">
        <f aca="false">Links!K12</f>
        <v>0.075</v>
      </c>
      <c r="L15" s="27" t="n">
        <f aca="false">Links!L12</f>
        <v>0.07</v>
      </c>
      <c r="M15" s="27" t="n">
        <f aca="false">Links!M12</f>
        <v>0.08</v>
      </c>
      <c r="N15" s="25" t="n">
        <f aca="false">SUM(B15:M15)</f>
        <v>1</v>
      </c>
      <c r="O15" s="1" t="s">
        <v>117</v>
      </c>
    </row>
    <row r="16" customFormat="false" ht="14.25" hidden="false" customHeight="true" outlineLevel="0" collapsed="false"/>
    <row r="17" customFormat="false" ht="14.25" hidden="false" customHeight="true" outlineLevel="0" collapsed="false">
      <c r="A17" s="26" t="s">
        <v>121</v>
      </c>
    </row>
    <row r="18" customFormat="false" ht="45" hidden="false" customHeight="true" outlineLevel="0" collapsed="false">
      <c r="A18" s="11" t="s">
        <v>122</v>
      </c>
      <c r="B18" s="11" t="s">
        <v>123</v>
      </c>
      <c r="C18" s="11" t="s">
        <v>124</v>
      </c>
      <c r="D18" s="11" t="s">
        <v>125</v>
      </c>
      <c r="E18" s="11" t="s">
        <v>126</v>
      </c>
      <c r="F18" s="11" t="s">
        <v>127</v>
      </c>
      <c r="G18" s="11" t="s">
        <v>128</v>
      </c>
      <c r="H18" s="11" t="s">
        <v>129</v>
      </c>
      <c r="I18" s="11" t="s">
        <v>130</v>
      </c>
      <c r="J18" s="11" t="s">
        <v>131</v>
      </c>
      <c r="K18" s="11" t="s">
        <v>132</v>
      </c>
      <c r="L18" s="11" t="s">
        <v>133</v>
      </c>
      <c r="M18" s="11" t="s">
        <v>134</v>
      </c>
      <c r="N18" s="11" t="s">
        <v>135</v>
      </c>
      <c r="O18" s="11" t="s">
        <v>136</v>
      </c>
    </row>
    <row r="19" customFormat="false" ht="60" hidden="false" customHeight="true" outlineLevel="0" collapsed="false">
      <c r="A19" s="29" t="s">
        <v>137</v>
      </c>
      <c r="B19" s="30" t="s">
        <v>138</v>
      </c>
      <c r="C19" s="21" t="s">
        <v>139</v>
      </c>
      <c r="D19" s="31" t="n">
        <f aca="false">(93+330+110+90+90)/400</f>
        <v>1.7825</v>
      </c>
      <c r="E19" s="31" t="n">
        <f aca="false">(93+330+110+90+90)/400</f>
        <v>1.7825</v>
      </c>
      <c r="F19" s="31" t="n">
        <f aca="false">(93+330+110+90+90)/400</f>
        <v>1.7825</v>
      </c>
      <c r="G19" s="31" t="n">
        <f aca="false">(93+330+110+90+90)/400</f>
        <v>1.7825</v>
      </c>
      <c r="H19" s="29" t="s">
        <v>140</v>
      </c>
      <c r="I19" s="31" t="n">
        <f aca="false">IF(H19="Todos",(D19*datos_base!$K$18+E19*datos_base!$K$19+F19*datos_base!$K$20+G19*datos_base!$K$21)/datos_base!$K$22,(D19*datos_base!$K$2+E19*datos_base!$K$3+F19*datos_base!$K$4+G19*datos_base!$K$5)/datos_base!$K$6)</f>
        <v>1.7825</v>
      </c>
      <c r="J19" s="32" t="n">
        <f aca="false">H45</f>
        <v>0.951888888888889</v>
      </c>
      <c r="K19" s="33" t="n">
        <f aca="false">IF(I19&gt;0,60/I19*J19,0)</f>
        <v>32.0411407199626</v>
      </c>
      <c r="L19" s="34" t="n">
        <f aca="false">K19*$B$7</f>
        <v>4806.17110799439</v>
      </c>
      <c r="M19" s="35" t="n">
        <f aca="false">5*D19+11*E19+3*F19+1*G19+F45</f>
        <v>57.3</v>
      </c>
      <c r="N19" s="35" t="n">
        <v>60</v>
      </c>
      <c r="O19" s="21" t="s">
        <v>141</v>
      </c>
    </row>
    <row r="20" customFormat="false" ht="90" hidden="false" customHeight="true" outlineLevel="0" collapsed="false">
      <c r="A20" s="29" t="s">
        <v>142</v>
      </c>
      <c r="B20" s="30" t="s">
        <v>143</v>
      </c>
      <c r="C20" s="21" t="s">
        <v>144</v>
      </c>
      <c r="D20" s="31" t="n">
        <f aca="false">10.6/9+3.5/9+0.2+0.8</f>
        <v>2.56666666666667</v>
      </c>
      <c r="E20" s="31" t="n">
        <f aca="false">8.8/6+5.5/6+0.2+0.8</f>
        <v>3.38333333333333</v>
      </c>
      <c r="F20" s="31" t="n">
        <f aca="false">14.5/4+5*2/23+12.1*(2/3)/4+0.2+0.8</f>
        <v>7.07644927536232</v>
      </c>
      <c r="G20" s="31" t="n">
        <f aca="false">14.5/4+5*2/23+12.1*(2/3)/4+0.2+0.8</f>
        <v>7.07644927536232</v>
      </c>
      <c r="H20" s="29" t="s">
        <v>140</v>
      </c>
      <c r="I20" s="31" t="n">
        <f aca="false">IF(H20="Todos",(D20*datos_base!$K$18+E20*datos_base!$K$19+F20*datos_base!$K$20+G20*datos_base!$K$21)/datos_base!$K$22,(D20*datos_base!$K$2+E20*datos_base!$K$3+F20*datos_base!$K$4+G20*datos_base!$K$5)/datos_base!$K$6)</f>
        <v>3.91724747816852</v>
      </c>
      <c r="J20" s="32" t="n">
        <f aca="false">H46</f>
        <v>0.937777777777778</v>
      </c>
      <c r="K20" s="33" t="n">
        <f aca="false">IF(I20&gt;0,60/I20*J20,0)</f>
        <v>14.36382740183</v>
      </c>
      <c r="L20" s="34" t="n">
        <f aca="false">K20*$B$7</f>
        <v>2154.57411027451</v>
      </c>
      <c r="M20" s="35" t="n">
        <f aca="false">5*D20+11*E20+3*F20+1*G20+F46</f>
        <v>106.355797101449</v>
      </c>
      <c r="N20" s="35" t="n">
        <v>107</v>
      </c>
      <c r="O20" s="21" t="s">
        <v>145</v>
      </c>
    </row>
    <row r="21" customFormat="false" ht="30" hidden="false" customHeight="true" outlineLevel="0" collapsed="false">
      <c r="A21" s="29" t="s">
        <v>146</v>
      </c>
      <c r="B21" s="30" t="s">
        <v>147</v>
      </c>
      <c r="C21" s="21" t="s">
        <v>148</v>
      </c>
      <c r="D21" s="31" t="n">
        <v>1.5</v>
      </c>
      <c r="E21" s="31" t="n">
        <v>1.5</v>
      </c>
      <c r="F21" s="31" t="n">
        <v>1.8</v>
      </c>
      <c r="G21" s="31" t="n">
        <v>1.8</v>
      </c>
      <c r="H21" s="29" t="s">
        <v>140</v>
      </c>
      <c r="I21" s="31" t="n">
        <f aca="false">IF(H21="Todos",(D21*datos_base!$K$18+E21*datos_base!$K$19+F21*datos_base!$K$20+G21*datos_base!$K$21)/datos_base!$K$22,(D21*datos_base!$K$2+E21*datos_base!$K$3+F21*datos_base!$K$4+G21*datos_base!$K$5)/datos_base!$K$6)</f>
        <v>1.55996129135008</v>
      </c>
      <c r="J21" s="32" t="n">
        <f aca="false">H47</f>
        <v>0.987777777777778</v>
      </c>
      <c r="K21" s="33" t="n">
        <f aca="false">IF(I21&gt;0,60/I21*J21,0)</f>
        <v>37.9923957057767</v>
      </c>
      <c r="L21" s="34" t="n">
        <f aca="false">K21*$B$7</f>
        <v>5698.8593558665</v>
      </c>
      <c r="M21" s="35" t="n">
        <f aca="false">5*D21+11*E21+3*F21+1*G21+F47</f>
        <v>36.7</v>
      </c>
      <c r="N21" s="35" t="n">
        <v>37</v>
      </c>
      <c r="O21" s="21" t="s">
        <v>149</v>
      </c>
    </row>
    <row r="22" customFormat="false" ht="45" hidden="false" customHeight="true" outlineLevel="0" collapsed="false">
      <c r="A22" s="29" t="s">
        <v>150</v>
      </c>
      <c r="B22" s="30" t="s">
        <v>151</v>
      </c>
      <c r="C22" s="21" t="s">
        <v>152</v>
      </c>
      <c r="D22" s="31" t="n">
        <v>2.6</v>
      </c>
      <c r="E22" s="31" t="n">
        <v>2.8</v>
      </c>
      <c r="F22" s="31" t="n">
        <f aca="false">4.5+12/11.5</f>
        <v>5.54347826086957</v>
      </c>
      <c r="G22" s="31" t="n">
        <f aca="false">5+12/11.5</f>
        <v>6.04347826086957</v>
      </c>
      <c r="H22" s="29" t="s">
        <v>140</v>
      </c>
      <c r="I22" s="31" t="n">
        <f aca="false">IF(H22="Todos",(D22*datos_base!$K$18+E22*datos_base!$K$19+F22*datos_base!$K$20+G22*datos_base!$K$21)/datos_base!$K$22,(D22*datos_base!$K$2+E22*datos_base!$K$3+F22*datos_base!$K$4+G22*datos_base!$K$5)/datos_base!$K$6)</f>
        <v>3.33817070115948</v>
      </c>
      <c r="J22" s="32" t="n">
        <f aca="false">H48</f>
        <v>0.96</v>
      </c>
      <c r="K22" s="33" t="n">
        <f aca="false">IF(I22&gt;0,60/I22*J22,0)</f>
        <v>17.2549594243318</v>
      </c>
      <c r="L22" s="34" t="n">
        <f aca="false">K22*$B$7</f>
        <v>2588.24391364976</v>
      </c>
      <c r="M22" s="35" t="n">
        <f aca="false">5*D22+11*E22+3*F22+1*G22+F48</f>
        <v>84.4739130434783</v>
      </c>
      <c r="N22" s="35" t="n">
        <v>84</v>
      </c>
      <c r="O22" s="21" t="s">
        <v>153</v>
      </c>
    </row>
    <row r="23" customFormat="false" ht="45" hidden="false" customHeight="true" outlineLevel="0" collapsed="false">
      <c r="A23" s="29" t="s">
        <v>154</v>
      </c>
      <c r="B23" s="30" t="s">
        <v>155</v>
      </c>
      <c r="C23" s="21" t="s">
        <v>156</v>
      </c>
      <c r="D23" s="31" t="n">
        <v>3</v>
      </c>
      <c r="E23" s="31" t="n">
        <v>3.3</v>
      </c>
      <c r="F23" s="31" t="n">
        <f aca="false">7.8+35/11.5+1</f>
        <v>11.8434782608696</v>
      </c>
      <c r="G23" s="31" t="n">
        <f aca="false">8+35/11.5+1</f>
        <v>12.0434782608696</v>
      </c>
      <c r="H23" s="29" t="s">
        <v>140</v>
      </c>
      <c r="I23" s="31" t="n">
        <f aca="false">IF(H23="Todos",(D23*datos_base!$K$18+E23*datos_base!$K$19+F23*datos_base!$K$20+G23*datos_base!$K$21)/datos_base!$K$22,(D23*datos_base!$K$2+E23*datos_base!$K$3+F23*datos_base!$K$4+G23*datos_base!$K$5)/datos_base!$K$6)</f>
        <v>4.94850717039361</v>
      </c>
      <c r="J23" s="32" t="n">
        <f aca="false">H49</f>
        <v>0.988888888888889</v>
      </c>
      <c r="K23" s="33" t="n">
        <f aca="false">IF(I23&gt;0,60/I23*J23,0)</f>
        <v>11.9901479962115</v>
      </c>
      <c r="L23" s="34" t="n">
        <f aca="false">K23*$B$7</f>
        <v>1798.52219943173</v>
      </c>
      <c r="M23" s="35" t="n">
        <f aca="false">5*D23+11*E23+3*F23+1*G23+F49</f>
        <v>103.873913043478</v>
      </c>
      <c r="N23" s="35" t="n">
        <v>104</v>
      </c>
      <c r="O23" s="21" t="s">
        <v>157</v>
      </c>
    </row>
    <row r="24" customFormat="false" ht="45" hidden="false" customHeight="true" outlineLevel="0" collapsed="false">
      <c r="A24" s="29" t="s">
        <v>158</v>
      </c>
      <c r="B24" s="30" t="s">
        <v>159</v>
      </c>
      <c r="C24" s="21" t="s">
        <v>160</v>
      </c>
      <c r="D24" s="31" t="n">
        <v>3</v>
      </c>
      <c r="E24" s="31" t="n">
        <v>3.3</v>
      </c>
      <c r="F24" s="31" t="n">
        <v>3.9</v>
      </c>
      <c r="G24" s="31" t="n">
        <v>4.6</v>
      </c>
      <c r="H24" s="29" t="s">
        <v>140</v>
      </c>
      <c r="I24" s="31" t="n">
        <f aca="false">IF(H24="Todos",(D24*datos_base!$K$18+E24*datos_base!$K$19+F24*datos_base!$K$20+G24*datos_base!$K$21)/datos_base!$K$22,(D24*datos_base!$K$2+E24*datos_base!$K$3+F24*datos_base!$K$4+G24*datos_base!$K$5)/datos_base!$K$6)</f>
        <v>3.40068162133757</v>
      </c>
      <c r="J24" s="32" t="n">
        <f aca="false">H50</f>
        <v>0.982222222222222</v>
      </c>
      <c r="K24" s="33" t="n">
        <f aca="false">IF(I24&gt;0,60/I24*J24,0)</f>
        <v>17.3298590975281</v>
      </c>
      <c r="L24" s="34" t="n">
        <f aca="false">K24*$B$7</f>
        <v>2599.47886462921</v>
      </c>
      <c r="M24" s="35" t="n">
        <f aca="false">5*D24+11*E24+3*F24+1*G24+F50</f>
        <v>75.6</v>
      </c>
      <c r="N24" s="35" t="n">
        <v>76</v>
      </c>
      <c r="O24" s="21" t="s">
        <v>161</v>
      </c>
    </row>
    <row r="25" customFormat="false" ht="45" hidden="false" customHeight="true" outlineLevel="0" collapsed="false">
      <c r="A25" s="29" t="s">
        <v>162</v>
      </c>
      <c r="B25" s="30" t="s">
        <v>163</v>
      </c>
      <c r="C25" s="21" t="s">
        <v>164</v>
      </c>
      <c r="D25" s="31" t="n">
        <v>3.2</v>
      </c>
      <c r="E25" s="31" t="n">
        <v>3.2</v>
      </c>
      <c r="F25" s="31" t="n">
        <v>4</v>
      </c>
      <c r="G25" s="31" t="n">
        <v>4</v>
      </c>
      <c r="H25" s="29" t="s">
        <v>140</v>
      </c>
      <c r="I25" s="31" t="n">
        <f aca="false">IF(H25="Todos",(D25*datos_base!$K$18+E25*datos_base!$K$19+F25*datos_base!$K$20+G25*datos_base!$K$21)/datos_base!$K$22,(D25*datos_base!$K$2+E25*datos_base!$K$3+F25*datos_base!$K$4+G25*datos_base!$K$5)/datos_base!$K$6)</f>
        <v>3.35989677693355</v>
      </c>
      <c r="J25" s="32" t="n">
        <f aca="false">H51</f>
        <v>0.98</v>
      </c>
      <c r="K25" s="33" t="n">
        <f aca="false">IF(I25&gt;0,60/I25*J25,0)</f>
        <v>17.5005376366546</v>
      </c>
      <c r="L25" s="34" t="n">
        <f aca="false">K25*$B$7</f>
        <v>2625.08064549819</v>
      </c>
      <c r="M25" s="35" t="n">
        <f aca="false">5*D25+11*E25+3*F25+1*G25+F51</f>
        <v>76.2</v>
      </c>
      <c r="N25" s="35" t="n">
        <v>76</v>
      </c>
      <c r="O25" s="21" t="s">
        <v>165</v>
      </c>
    </row>
    <row r="26" customFormat="false" ht="45" hidden="false" customHeight="true" outlineLevel="0" collapsed="false">
      <c r="A26" s="29" t="s">
        <v>166</v>
      </c>
      <c r="B26" s="30" t="s">
        <v>167</v>
      </c>
      <c r="C26" s="21" t="s">
        <v>168</v>
      </c>
      <c r="D26" s="31" t="n">
        <v>14.6</v>
      </c>
      <c r="E26" s="31" t="n">
        <v>15.2</v>
      </c>
      <c r="F26" s="31" t="n">
        <v>19.4</v>
      </c>
      <c r="G26" s="31" t="n">
        <v>19.4</v>
      </c>
      <c r="H26" s="29" t="s">
        <v>140</v>
      </c>
      <c r="I26" s="31" t="n">
        <f aca="false">IF(H26="Todos",(D26*datos_base!$K$18+E26*datos_base!$K$19+F26*datos_base!$K$20+G26*datos_base!$K$21)/datos_base!$K$22,(D26*datos_base!$K$2+E26*datos_base!$K$3+F26*datos_base!$K$4+G26*datos_base!$K$5)/datos_base!$K$6)</f>
        <v>15.8894096930912</v>
      </c>
      <c r="J26" s="32" t="n">
        <f aca="false">H52</f>
        <v>0.98</v>
      </c>
      <c r="K26" s="33" t="n">
        <f aca="false">IF(I26&gt;0,60/I26*J26,0)</f>
        <v>3.7005780035722</v>
      </c>
      <c r="L26" s="34" t="n">
        <f aca="false">K26*$B$7</f>
        <v>555.086700535829</v>
      </c>
      <c r="M26" s="35" t="n">
        <f aca="false">5*D26+11*E26+3*F26+1*G26+F52</f>
        <v>326.8</v>
      </c>
      <c r="N26" s="35" t="n">
        <v>327</v>
      </c>
      <c r="O26" s="21" t="s">
        <v>169</v>
      </c>
    </row>
    <row r="27" customFormat="false" ht="30" hidden="false" customHeight="true" outlineLevel="0" collapsed="false">
      <c r="A27" s="29" t="s">
        <v>170</v>
      </c>
      <c r="B27" s="30" t="s">
        <v>171</v>
      </c>
      <c r="C27" s="21" t="s">
        <v>172</v>
      </c>
      <c r="D27" s="31" t="n">
        <v>15.7</v>
      </c>
      <c r="E27" s="31" t="n">
        <v>15.9</v>
      </c>
      <c r="F27" s="31" t="n">
        <v>17.6</v>
      </c>
      <c r="G27" s="31" t="n">
        <v>17.6</v>
      </c>
      <c r="H27" s="29" t="s">
        <v>140</v>
      </c>
      <c r="I27" s="31" t="n">
        <f aca="false">IF(H27="Todos",(D27*datos_base!$K$18+E27*datos_base!$K$19+F27*datos_base!$K$20+G27*datos_base!$K$21)/datos_base!$K$22,(D27*datos_base!$K$2+E27*datos_base!$K$3+F27*datos_base!$K$4+G27*datos_base!$K$5)/datos_base!$K$6)</f>
        <v>16.1897645223805</v>
      </c>
      <c r="J27" s="32" t="n">
        <f aca="false">H53</f>
        <v>0.98</v>
      </c>
      <c r="K27" s="33" t="n">
        <f aca="false">IF(I27&gt;0,60/I27*J27,0)</f>
        <v>3.6319243506424</v>
      </c>
      <c r="L27" s="34" t="n">
        <f aca="false">K27*$B$7</f>
        <v>544.788652596359</v>
      </c>
      <c r="M27" s="35" t="n">
        <f aca="false">5*D27+11*E27+3*F27+1*G27+F53</f>
        <v>332.8</v>
      </c>
      <c r="N27" s="35" t="n">
        <v>333</v>
      </c>
      <c r="O27" s="21" t="s">
        <v>173</v>
      </c>
    </row>
    <row r="28" customFormat="false" ht="45" hidden="false" customHeight="true" outlineLevel="0" collapsed="false">
      <c r="A28" s="29" t="s">
        <v>174</v>
      </c>
      <c r="B28" s="30" t="s">
        <v>175</v>
      </c>
      <c r="C28" s="21" t="s">
        <v>176</v>
      </c>
      <c r="D28" s="31" t="n">
        <v>11</v>
      </c>
      <c r="E28" s="31" t="n">
        <v>11</v>
      </c>
      <c r="F28" s="31" t="n">
        <v>11</v>
      </c>
      <c r="G28" s="31" t="n">
        <v>11</v>
      </c>
      <c r="H28" s="29" t="s">
        <v>140</v>
      </c>
      <c r="I28" s="31" t="n">
        <f aca="false">IF(H28="Todos",(D28*datos_base!$K$18+E28*datos_base!$K$19+F28*datos_base!$K$20+G28*datos_base!$K$21)/datos_base!$K$22,(D28*datos_base!$K$2+E28*datos_base!$K$3+F28*datos_base!$K$4+G28*datos_base!$K$5)/datos_base!$K$6)</f>
        <v>11</v>
      </c>
      <c r="J28" s="32" t="n">
        <f aca="false">H54</f>
        <v>0.966666666666667</v>
      </c>
      <c r="K28" s="33" t="n">
        <f aca="false">IF(I28&gt;0,60/I28*J28,0)</f>
        <v>5.27272727272727</v>
      </c>
      <c r="L28" s="34" t="n">
        <f aca="false">K28*$B$7</f>
        <v>790.909090909091</v>
      </c>
      <c r="M28" s="35" t="n">
        <f aca="false">5*D28+11*E28+3*F28+1*G28+F54</f>
        <v>235</v>
      </c>
      <c r="N28" s="35" t="n">
        <v>235</v>
      </c>
      <c r="O28" s="21" t="s">
        <v>177</v>
      </c>
    </row>
    <row r="29" customFormat="false" ht="45" hidden="false" customHeight="true" outlineLevel="0" collapsed="false">
      <c r="A29" s="29" t="s">
        <v>178</v>
      </c>
      <c r="B29" s="30" t="s">
        <v>179</v>
      </c>
      <c r="C29" s="21" t="s">
        <v>180</v>
      </c>
      <c r="D29" s="31" t="n">
        <f aca="false">7.9+4*0.12</f>
        <v>8.38</v>
      </c>
      <c r="E29" s="31" t="n">
        <f aca="false">8.7+4*0.12</f>
        <v>9.18</v>
      </c>
      <c r="F29" s="31" t="n">
        <f aca="false">8.7+4*0.12</f>
        <v>9.18</v>
      </c>
      <c r="G29" s="31" t="n">
        <f aca="false">8.7+4*0.12</f>
        <v>9.18</v>
      </c>
      <c r="H29" s="29" t="s">
        <v>140</v>
      </c>
      <c r="I29" s="31" t="n">
        <f aca="false">IF(H29="Todos",(D29*datos_base!$K$18+E29*datos_base!$K$19+F29*datos_base!$K$20+G29*datos_base!$K$21)/datos_base!$K$22,(D29*datos_base!$K$2+E29*datos_base!$K$3+F29*datos_base!$K$4+G29*datos_base!$K$5)/datos_base!$K$6)</f>
        <v>8.97993548558669</v>
      </c>
      <c r="J29" s="32" t="n">
        <f aca="false">H55</f>
        <v>0.977777777777778</v>
      </c>
      <c r="K29" s="33" t="n">
        <f aca="false">IF(I29&gt;0,60/I29*J29,0)</f>
        <v>6.5330833123278</v>
      </c>
      <c r="L29" s="34" t="n">
        <f aca="false">K29*$B$7</f>
        <v>979.96249684917</v>
      </c>
      <c r="M29" s="35" t="n">
        <f aca="false">5*D29+11*E29+3*F29+1*G29+F55</f>
        <v>189.6</v>
      </c>
      <c r="N29" s="35" t="n">
        <v>190</v>
      </c>
      <c r="O29" s="21" t="s">
        <v>181</v>
      </c>
    </row>
    <row r="30" customFormat="false" ht="30" hidden="false" customHeight="true" outlineLevel="0" collapsed="false">
      <c r="A30" s="29" t="s">
        <v>182</v>
      </c>
      <c r="B30" s="30" t="s">
        <v>183</v>
      </c>
      <c r="C30" s="21" t="s">
        <v>184</v>
      </c>
      <c r="D30" s="31" t="n">
        <v>8</v>
      </c>
      <c r="E30" s="31" t="n">
        <v>10</v>
      </c>
      <c r="F30" s="31" t="n">
        <v>12</v>
      </c>
      <c r="G30" s="31" t="n">
        <v>14</v>
      </c>
      <c r="H30" s="29" t="s">
        <v>140</v>
      </c>
      <c r="I30" s="31" t="n">
        <f aca="false">IF(H30="Todos",(D30*datos_base!$K$18+E30*datos_base!$K$19+F30*datos_base!$K$20+G30*datos_base!$K$21)/datos_base!$K$22,(D30*datos_base!$K$2+E30*datos_base!$K$3+F30*datos_base!$K$4+G30*datos_base!$K$5)/datos_base!$K$6)</f>
        <v>10.0589613178503</v>
      </c>
      <c r="J30" s="32" t="n">
        <f aca="false">H56</f>
        <v>1</v>
      </c>
      <c r="K30" s="33" t="n">
        <f aca="false">IF(I30&gt;0,60/I30*J30,0)</f>
        <v>5.96483057286699</v>
      </c>
      <c r="L30" s="34" t="n">
        <f aca="false">K30*$B$7</f>
        <v>894.724585930049</v>
      </c>
      <c r="M30" s="35" t="n">
        <f aca="false">5*D30+11*E30+3*F30+1*G30+F56</f>
        <v>200</v>
      </c>
      <c r="N30" s="35" t="n">
        <v>200</v>
      </c>
      <c r="O30" s="21" t="s">
        <v>185</v>
      </c>
    </row>
    <row r="31" customFormat="false" ht="30" hidden="false" customHeight="true" outlineLevel="0" collapsed="false">
      <c r="A31" s="29" t="s">
        <v>186</v>
      </c>
      <c r="B31" s="30" t="s">
        <v>187</v>
      </c>
      <c r="C31" s="21" t="s">
        <v>188</v>
      </c>
      <c r="D31" s="31" t="n">
        <v>1.45</v>
      </c>
      <c r="E31" s="31" t="n">
        <v>1.45</v>
      </c>
      <c r="F31" s="31" t="n">
        <v>2.2</v>
      </c>
      <c r="G31" s="31" t="n">
        <v>2.2</v>
      </c>
      <c r="H31" s="29" t="s">
        <v>140</v>
      </c>
      <c r="I31" s="31" t="n">
        <f aca="false">IF(H31="Todos",(D31*datos_base!$K$18+E31*datos_base!$K$19+F31*datos_base!$K$20+G31*datos_base!$K$21)/datos_base!$K$22,(D31*datos_base!$K$2+E31*datos_base!$K$3+F31*datos_base!$K$4+G31*datos_base!$K$5)/datos_base!$K$6)</f>
        <v>1.5999032283752</v>
      </c>
      <c r="J31" s="32" t="n">
        <f aca="false">H57</f>
        <v>0.991111111111111</v>
      </c>
      <c r="K31" s="33" t="n">
        <f aca="false">IF(I31&gt;0,60/I31*J31,0)</f>
        <v>37.1689147268354</v>
      </c>
      <c r="L31" s="34" t="n">
        <f aca="false">K31*$B$7</f>
        <v>5575.33720902531</v>
      </c>
      <c r="M31" s="35" t="n">
        <f aca="false">5*D31+11*E31+3*F31+1*G31+F57</f>
        <v>36</v>
      </c>
      <c r="N31" s="35" t="n">
        <v>36</v>
      </c>
      <c r="O31" s="21" t="s">
        <v>189</v>
      </c>
    </row>
    <row r="32" customFormat="false" ht="45" hidden="false" customHeight="true" outlineLevel="0" collapsed="false">
      <c r="A32" s="29" t="s">
        <v>190</v>
      </c>
      <c r="B32" s="30" t="s">
        <v>191</v>
      </c>
      <c r="C32" s="21" t="s">
        <v>192</v>
      </c>
      <c r="D32" s="31" t="n">
        <f aca="false">1.45+3/2</f>
        <v>2.95</v>
      </c>
      <c r="E32" s="31" t="n">
        <f aca="false">1.45+3/2</f>
        <v>2.95</v>
      </c>
      <c r="F32" s="31" t="n">
        <f aca="false">2.2+3.3/2</f>
        <v>3.85</v>
      </c>
      <c r="G32" s="31" t="n">
        <f aca="false">2.2+3.3/2</f>
        <v>3.85</v>
      </c>
      <c r="H32" s="29" t="s">
        <v>140</v>
      </c>
      <c r="I32" s="31" t="n">
        <f aca="false">IF(H32="Todos",(D32*datos_base!$K$18+E32*datos_base!$K$19+F32*datos_base!$K$20+G32*datos_base!$K$21)/datos_base!$K$22,(D32*datos_base!$K$2+E32*datos_base!$K$3+F32*datos_base!$K$4+G32*datos_base!$K$5)/datos_base!$K$6)</f>
        <v>3.12988387405025</v>
      </c>
      <c r="J32" s="32" t="n">
        <f aca="false">H58</f>
        <v>0.991111111111111</v>
      </c>
      <c r="K32" s="33" t="n">
        <f aca="false">IF(I32&gt;0,60/I32*J32,0)</f>
        <v>18.9996399418211</v>
      </c>
      <c r="L32" s="34" t="n">
        <f aca="false">K32*$B$7</f>
        <v>2849.94599127316</v>
      </c>
      <c r="M32" s="35" t="n">
        <f aca="false">5*D32+11*E32+3*F32+1*G32+F58</f>
        <v>66.6</v>
      </c>
      <c r="N32" s="35" t="n">
        <f aca="false">(180+153)/5</f>
        <v>66.6</v>
      </c>
      <c r="O32" s="21" t="s">
        <v>193</v>
      </c>
    </row>
    <row r="33" customFormat="false" ht="45" hidden="false" customHeight="true" outlineLevel="0" collapsed="false">
      <c r="A33" s="29" t="s">
        <v>194</v>
      </c>
      <c r="B33" s="30" t="s">
        <v>195</v>
      </c>
      <c r="C33" s="21" t="s">
        <v>196</v>
      </c>
      <c r="D33" s="31" t="n">
        <v>8.3</v>
      </c>
      <c r="E33" s="31" t="n">
        <v>11.3</v>
      </c>
      <c r="F33" s="31" t="n">
        <v>13.8</v>
      </c>
      <c r="G33" s="31" t="n">
        <v>17.3</v>
      </c>
      <c r="H33" s="29" t="s">
        <v>197</v>
      </c>
      <c r="I33" s="31" t="n">
        <f aca="false">IF(H33="Todos",(D33*datos_base!$K$18+E33*datos_base!$K$19+F33*datos_base!$K$20+G33*datos_base!$K$21)/datos_base!$K$22,(D33*datos_base!$K$2+E33*datos_base!$K$3+F33*datos_base!$K$4+G33*datos_base!$K$5)/datos_base!$K$6)</f>
        <v>11.3300000000072</v>
      </c>
      <c r="J33" s="32" t="n">
        <f aca="false">H59</f>
        <v>0.893333333333333</v>
      </c>
      <c r="K33" s="33" t="n">
        <f aca="false">IF(I33&gt;0,60/I33*J33,0)</f>
        <v>4.73080317740213</v>
      </c>
      <c r="L33" s="34" t="n">
        <f aca="false">K33*$B$7</f>
        <v>709.620476610319</v>
      </c>
      <c r="M33" s="35" t="n">
        <f aca="false">5*D33+11*E33+3*F33+1*G33+F59</f>
        <v>272.5</v>
      </c>
      <c r="N33" s="35" t="n">
        <v>273</v>
      </c>
      <c r="O33" s="21" t="s">
        <v>198</v>
      </c>
    </row>
    <row r="34" customFormat="false" ht="30" hidden="false" customHeight="true" outlineLevel="0" collapsed="false">
      <c r="A34" s="29" t="s">
        <v>199</v>
      </c>
      <c r="B34" s="30" t="s">
        <v>200</v>
      </c>
      <c r="C34" s="21" t="s">
        <v>201</v>
      </c>
      <c r="D34" s="31" t="n">
        <f aca="false">3.6+2.5</f>
        <v>6.1</v>
      </c>
      <c r="E34" s="31" t="n">
        <f aca="false">3.6+2.5</f>
        <v>6.1</v>
      </c>
      <c r="F34" s="31" t="n">
        <f aca="false">4.3+2.5</f>
        <v>6.8</v>
      </c>
      <c r="G34" s="31" t="n">
        <f aca="false">5.3+2.5</f>
        <v>7.8</v>
      </c>
      <c r="H34" s="29" t="s">
        <v>197</v>
      </c>
      <c r="I34" s="31" t="n">
        <f aca="false">IF(H34="Todos",(D34*datos_base!$K$18+E34*datos_base!$K$19+F34*datos_base!$K$20+G34*datos_base!$K$21)/datos_base!$K$22,(D34*datos_base!$K$2+E34*datos_base!$K$3+F34*datos_base!$K$4+G34*datos_base!$K$5)/datos_base!$K$6)</f>
        <v>6.31999999999007</v>
      </c>
      <c r="J34" s="32" t="n">
        <f aca="false">H60</f>
        <v>0.953333333333333</v>
      </c>
      <c r="K34" s="33" t="n">
        <f aca="false">IF(I34&gt;0,60/I34*J34,0)</f>
        <v>9.05063291140662</v>
      </c>
      <c r="L34" s="34" t="n">
        <f aca="false">K34*$B$7</f>
        <v>1357.59493671099</v>
      </c>
      <c r="M34" s="35" t="n">
        <f aca="false">5*D34+11*E34+3*F34+1*G34+F60</f>
        <v>146.8</v>
      </c>
      <c r="N34" s="35" t="n">
        <v>147</v>
      </c>
      <c r="O34" s="21" t="s">
        <v>202</v>
      </c>
    </row>
    <row r="35" customFormat="false" ht="45" hidden="false" customHeight="true" outlineLevel="0" collapsed="false">
      <c r="A35" s="29" t="s">
        <v>203</v>
      </c>
      <c r="B35" s="30" t="s">
        <v>204</v>
      </c>
      <c r="C35" s="21" t="s">
        <v>205</v>
      </c>
      <c r="D35" s="31" t="n">
        <f aca="false">1+8*3/100+3*0.25+1.5+0.3+4*0.25</f>
        <v>4.79</v>
      </c>
      <c r="E35" s="31" t="n">
        <f aca="false">1+8*3/100+3*0.25+1.5+0.3+4*0.25</f>
        <v>4.79</v>
      </c>
      <c r="F35" s="31" t="n">
        <f aca="false">1+8*3/100+3*0.25+1.5+0.3+4*0.25</f>
        <v>4.79</v>
      </c>
      <c r="G35" s="31" t="n">
        <f aca="false">1+8*3/100+3*0.25+1.5+0.3+4*0.25</f>
        <v>4.79</v>
      </c>
      <c r="H35" s="29" t="s">
        <v>197</v>
      </c>
      <c r="I35" s="31" t="n">
        <f aca="false">IF(H35="Todos",(D35*datos_base!$K$18+E35*datos_base!$K$19+F35*datos_base!$K$20+G35*datos_base!$K$21)/datos_base!$K$22,(D35*datos_base!$K$2+E35*datos_base!$K$3+F35*datos_base!$K$4+G35*datos_base!$K$5)/datos_base!$K$6)</f>
        <v>4.79</v>
      </c>
      <c r="J35" s="32" t="n">
        <f aca="false">H61</f>
        <v>0.629777777777778</v>
      </c>
      <c r="K35" s="33" t="n">
        <f aca="false">IF(I35&gt;0,60/I35*J35,0)</f>
        <v>7.88865692414753</v>
      </c>
      <c r="L35" s="34" t="n">
        <f aca="false">K35*$B$7</f>
        <v>1183.29853862213</v>
      </c>
      <c r="M35" s="35" t="n">
        <f aca="false">5*D35+11*E35+3*F35+1*G35+F61</f>
        <v>262.4</v>
      </c>
      <c r="N35" s="35" t="n">
        <v>262</v>
      </c>
      <c r="O35" s="21" t="s">
        <v>206</v>
      </c>
    </row>
    <row r="36" customFormat="false" ht="30" hidden="false" customHeight="true" outlineLevel="0" collapsed="false">
      <c r="A36" s="29" t="s">
        <v>207</v>
      </c>
      <c r="B36" s="30" t="s">
        <v>208</v>
      </c>
      <c r="C36" s="21" t="s">
        <v>209</v>
      </c>
      <c r="D36" s="31" t="n">
        <v>1.2</v>
      </c>
      <c r="E36" s="31" t="n">
        <v>1.2</v>
      </c>
      <c r="F36" s="31" t="n">
        <v>2</v>
      </c>
      <c r="G36" s="31" t="n">
        <v>2</v>
      </c>
      <c r="H36" s="29" t="s">
        <v>140</v>
      </c>
      <c r="I36" s="31" t="n">
        <f aca="false">IF(H36="Todos",(D36*datos_base!$K$18+E36*datos_base!$K$19+F36*datos_base!$K$20+G36*datos_base!$K$21)/datos_base!$K$22,(D36*datos_base!$K$2+E36*datos_base!$K$3+F36*datos_base!$K$4+G36*datos_base!$K$5)/datos_base!$K$6)</f>
        <v>1.35989677693355</v>
      </c>
      <c r="J36" s="32" t="n">
        <f aca="false">H62</f>
        <v>0.977777777777778</v>
      </c>
      <c r="K36" s="33" t="n">
        <f aca="false">IF(I36&gt;0,60/I36*J36,0)</f>
        <v>43.1405292385168</v>
      </c>
      <c r="L36" s="34" t="n">
        <f aca="false">K36*$B$7</f>
        <v>6471.07938577752</v>
      </c>
      <c r="M36" s="35" t="n">
        <f aca="false">5*D36+11*E36+3*F36+1*G36+F62</f>
        <v>37.2</v>
      </c>
      <c r="N36" s="35" t="n">
        <f aca="false">186/5</f>
        <v>37.2</v>
      </c>
      <c r="O36" s="21" t="s">
        <v>210</v>
      </c>
    </row>
    <row r="37" customFormat="false" ht="14.25" hidden="false" customHeight="true" outlineLevel="0" collapsed="false"/>
    <row r="38" customFormat="false" ht="30" hidden="false" customHeight="true" outlineLevel="0" collapsed="false">
      <c r="A38" s="36" t="s">
        <v>211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customFormat="false" ht="30" hidden="false" customHeight="true" outlineLevel="0" collapsed="false">
      <c r="A39" s="36" t="s">
        <v>212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customFormat="false" ht="30" hidden="false" customHeight="true" outlineLevel="0" collapsed="false">
      <c r="A40" s="36" t="s">
        <v>213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customFormat="false" ht="30" hidden="false" customHeight="true" outlineLevel="0" collapsed="false">
      <c r="A41" s="36" t="s">
        <v>214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customFormat="false" ht="30" hidden="false" customHeight="true" outlineLevel="0" collapsed="false">
      <c r="A42" s="36" t="s">
        <v>215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customFormat="false" ht="14.25" hidden="false" customHeight="true" outlineLevel="0" collapsed="false">
      <c r="A43" s="26" t="s">
        <v>216</v>
      </c>
    </row>
    <row r="44" customFormat="false" ht="57" hidden="false" customHeight="true" outlineLevel="0" collapsed="false">
      <c r="A44" s="11" t="s">
        <v>122</v>
      </c>
      <c r="B44" s="11" t="s">
        <v>123</v>
      </c>
      <c r="C44" s="11" t="s">
        <v>217</v>
      </c>
      <c r="D44" s="11" t="s">
        <v>218</v>
      </c>
      <c r="E44" s="11" t="s">
        <v>219</v>
      </c>
      <c r="F44" s="11" t="s">
        <v>220</v>
      </c>
      <c r="G44" s="11" t="s">
        <v>221</v>
      </c>
      <c r="H44" s="11" t="s">
        <v>131</v>
      </c>
      <c r="I44" s="11" t="s">
        <v>136</v>
      </c>
      <c r="J44" s="11"/>
      <c r="K44" s="11"/>
      <c r="L44" s="11"/>
      <c r="M44" s="11"/>
      <c r="N44" s="11"/>
      <c r="O44" s="11"/>
    </row>
    <row r="45" customFormat="false" ht="15" hidden="false" customHeight="true" outlineLevel="0" collapsed="false">
      <c r="A45" s="29" t="str">
        <f aca="false">A19</f>
        <v>1</v>
      </c>
      <c r="B45" s="21" t="str">
        <f aca="false">B19</f>
        <v>Recepción de materia prima</v>
      </c>
      <c r="C45" s="37" t="n">
        <v>0</v>
      </c>
      <c r="D45" s="38" t="n">
        <v>0</v>
      </c>
      <c r="E45" s="37" t="n">
        <f aca="false">20+33/20</f>
        <v>21.65</v>
      </c>
      <c r="F45" s="39" t="n">
        <f aca="false">C45*D45+E45</f>
        <v>21.65</v>
      </c>
      <c r="G45" s="31" t="n">
        <f aca="false">F45*$B$2/60</f>
        <v>7.21666666666667</v>
      </c>
      <c r="H45" s="40" t="n">
        <f aca="false">MAX(0,1-G45/$B$7)</f>
        <v>0.951888888888889</v>
      </c>
      <c r="I45" s="21" t="s">
        <v>222</v>
      </c>
      <c r="J45" s="21"/>
      <c r="K45" s="21"/>
      <c r="L45" s="21"/>
      <c r="M45" s="21"/>
      <c r="N45" s="21"/>
      <c r="O45" s="21"/>
    </row>
    <row r="46" customFormat="false" ht="15" hidden="false" customHeight="true" outlineLevel="0" collapsed="false">
      <c r="A46" s="29" t="str">
        <f aca="false">A20</f>
        <v>2</v>
      </c>
      <c r="B46" s="21" t="str">
        <f aca="false">B20</f>
        <v>Corte de chapa (guillotina)</v>
      </c>
      <c r="C46" s="37" t="n">
        <v>0.5</v>
      </c>
      <c r="D46" s="38" t="n">
        <v>6</v>
      </c>
      <c r="E46" s="37" t="n">
        <f aca="false">5+20</f>
        <v>25</v>
      </c>
      <c r="F46" s="39" t="n">
        <f aca="false">C46*D46+E46</f>
        <v>28</v>
      </c>
      <c r="G46" s="31" t="n">
        <f aca="false">F46*$B$2/60</f>
        <v>9.33333333333333</v>
      </c>
      <c r="H46" s="40" t="n">
        <f aca="false">MAX(0,1-G46/$B$7)</f>
        <v>0.937777777777778</v>
      </c>
      <c r="I46" s="21" t="s">
        <v>223</v>
      </c>
      <c r="J46" s="21"/>
      <c r="K46" s="21"/>
      <c r="L46" s="21"/>
      <c r="M46" s="21"/>
      <c r="N46" s="21"/>
      <c r="O46" s="21"/>
    </row>
    <row r="47" customFormat="false" ht="15" hidden="false" customHeight="true" outlineLevel="0" collapsed="false">
      <c r="A47" s="29" t="str">
        <f aca="false">A21</f>
        <v>2.1</v>
      </c>
      <c r="B47" s="21" t="str">
        <f aca="false">B21</f>
        <v>Marcado del cuerpo</v>
      </c>
      <c r="C47" s="37" t="n">
        <v>0.5</v>
      </c>
      <c r="D47" s="38" t="n">
        <v>3</v>
      </c>
      <c r="E47" s="37" t="n">
        <v>4</v>
      </c>
      <c r="F47" s="39" t="n">
        <f aca="false">C47*D47+E47</f>
        <v>5.5</v>
      </c>
      <c r="G47" s="31" t="n">
        <f aca="false">F47*$B$2/60</f>
        <v>1.83333333333333</v>
      </c>
      <c r="H47" s="40" t="n">
        <f aca="false">MAX(0,1-G47/$B$7)</f>
        <v>0.987777777777778</v>
      </c>
      <c r="I47" s="21" t="s">
        <v>224</v>
      </c>
      <c r="J47" s="21"/>
      <c r="K47" s="21"/>
      <c r="L47" s="21"/>
      <c r="M47" s="21"/>
      <c r="N47" s="21"/>
      <c r="O47" s="21"/>
    </row>
    <row r="48" customFormat="false" ht="15" hidden="false" customHeight="true" outlineLevel="0" collapsed="false">
      <c r="A48" s="29" t="str">
        <f aca="false">A22</f>
        <v>3</v>
      </c>
      <c r="B48" s="21" t="str">
        <f aca="false">B22</f>
        <v>Cilindrado</v>
      </c>
      <c r="C48" s="37" t="n">
        <v>4</v>
      </c>
      <c r="D48" s="38" t="n">
        <v>3</v>
      </c>
      <c r="E48" s="37" t="n">
        <v>6</v>
      </c>
      <c r="F48" s="39" t="n">
        <f aca="false">C48*D48+E48</f>
        <v>18</v>
      </c>
      <c r="G48" s="31" t="n">
        <f aca="false">F48*$B$2/60</f>
        <v>6</v>
      </c>
      <c r="H48" s="40" t="n">
        <f aca="false">MAX(0,1-G48/$B$7)</f>
        <v>0.96</v>
      </c>
      <c r="I48" s="21" t="s">
        <v>225</v>
      </c>
      <c r="J48" s="21"/>
      <c r="K48" s="21"/>
      <c r="L48" s="21"/>
      <c r="M48" s="21"/>
      <c r="N48" s="21"/>
      <c r="O48" s="21"/>
    </row>
    <row r="49" customFormat="false" ht="15" hidden="false" customHeight="true" outlineLevel="0" collapsed="false">
      <c r="A49" s="29" t="str">
        <f aca="false">A23</f>
        <v>4</v>
      </c>
      <c r="B49" s="21" t="str">
        <f aca="false">B23</f>
        <v>Punteo del cuerpo</v>
      </c>
      <c r="C49" s="37" t="n">
        <v>0</v>
      </c>
      <c r="D49" s="38" t="n">
        <v>0</v>
      </c>
      <c r="E49" s="37" t="n">
        <v>5</v>
      </c>
      <c r="F49" s="39" t="n">
        <f aca="false">C49*D49+E49</f>
        <v>5</v>
      </c>
      <c r="G49" s="31" t="n">
        <f aca="false">F49*$B$2/60</f>
        <v>1.66666666666667</v>
      </c>
      <c r="H49" s="40" t="n">
        <f aca="false">MAX(0,1-G49/$B$7)</f>
        <v>0.988888888888889</v>
      </c>
      <c r="I49" s="21" t="s">
        <v>226</v>
      </c>
      <c r="J49" s="21"/>
      <c r="K49" s="21"/>
      <c r="L49" s="21"/>
      <c r="M49" s="21"/>
      <c r="N49" s="21"/>
      <c r="O49" s="21"/>
    </row>
    <row r="50" customFormat="false" ht="15" hidden="false" customHeight="true" outlineLevel="0" collapsed="false">
      <c r="A50" s="29" t="str">
        <f aca="false">A24</f>
        <v>5</v>
      </c>
      <c r="B50" s="21" t="str">
        <f aca="false">B24</f>
        <v>Soldadura longitudinal</v>
      </c>
      <c r="C50" s="37" t="n">
        <v>1</v>
      </c>
      <c r="D50" s="38" t="n">
        <v>3</v>
      </c>
      <c r="E50" s="37" t="n">
        <v>5</v>
      </c>
      <c r="F50" s="39" t="n">
        <f aca="false">C50*D50+E50</f>
        <v>8</v>
      </c>
      <c r="G50" s="31" t="n">
        <f aca="false">F50*$B$2/60</f>
        <v>2.66666666666667</v>
      </c>
      <c r="H50" s="40" t="n">
        <f aca="false">MAX(0,1-G50/$B$7)</f>
        <v>0.982222222222222</v>
      </c>
      <c r="I50" s="21" t="s">
        <v>227</v>
      </c>
      <c r="J50" s="21"/>
      <c r="K50" s="21"/>
      <c r="L50" s="21"/>
      <c r="M50" s="21"/>
      <c r="N50" s="21"/>
      <c r="O50" s="21"/>
    </row>
    <row r="51" customFormat="false" ht="30" hidden="false" customHeight="true" outlineLevel="0" collapsed="false">
      <c r="A51" s="29" t="str">
        <f aca="false">A25</f>
        <v>6</v>
      </c>
      <c r="B51" s="21" t="str">
        <f aca="false">B25</f>
        <v>Soldadura de cupla en la cúpula</v>
      </c>
      <c r="C51" s="37" t="n">
        <v>2</v>
      </c>
      <c r="D51" s="38" t="n">
        <v>2</v>
      </c>
      <c r="E51" s="37" t="n">
        <v>5</v>
      </c>
      <c r="F51" s="39" t="n">
        <f aca="false">C51*D51+E51</f>
        <v>9</v>
      </c>
      <c r="G51" s="31" t="n">
        <f aca="false">F51*$B$2/60</f>
        <v>3</v>
      </c>
      <c r="H51" s="40" t="n">
        <f aca="false">MAX(0,1-G51/$B$7)</f>
        <v>0.98</v>
      </c>
      <c r="I51" s="21" t="s">
        <v>228</v>
      </c>
      <c r="J51" s="21"/>
      <c r="K51" s="21"/>
      <c r="L51" s="21"/>
      <c r="M51" s="21"/>
      <c r="N51" s="21"/>
      <c r="O51" s="21"/>
    </row>
    <row r="52" customFormat="false" ht="30" hidden="false" customHeight="true" outlineLevel="0" collapsed="false">
      <c r="A52" s="29" t="str">
        <f aca="false">A26</f>
        <v>7</v>
      </c>
      <c r="B52" s="21" t="str">
        <f aca="false">B26</f>
        <v>Armado y soldadura circunferencial</v>
      </c>
      <c r="C52" s="37" t="n">
        <v>2</v>
      </c>
      <c r="D52" s="38" t="n">
        <v>2</v>
      </c>
      <c r="E52" s="37" t="n">
        <v>5</v>
      </c>
      <c r="F52" s="39" t="n">
        <f aca="false">C52*D52+E52</f>
        <v>9</v>
      </c>
      <c r="G52" s="31" t="n">
        <f aca="false">F52*$B$2/60</f>
        <v>3</v>
      </c>
      <c r="H52" s="40" t="n">
        <f aca="false">MAX(0,1-G52/$B$7)</f>
        <v>0.98</v>
      </c>
      <c r="I52" s="21" t="s">
        <v>229</v>
      </c>
      <c r="J52" s="21"/>
      <c r="K52" s="21"/>
      <c r="L52" s="21"/>
      <c r="M52" s="21"/>
      <c r="N52" s="21"/>
      <c r="O52" s="21"/>
    </row>
    <row r="53" customFormat="false" ht="15" hidden="false" customHeight="true" outlineLevel="0" collapsed="false">
      <c r="A53" s="29" t="str">
        <f aca="false">A27</f>
        <v>8</v>
      </c>
      <c r="B53" s="21" t="str">
        <f aca="false">B27</f>
        <v>Soldadura de accesorios</v>
      </c>
      <c r="C53" s="37" t="n">
        <v>2</v>
      </c>
      <c r="D53" s="38" t="n">
        <v>2</v>
      </c>
      <c r="E53" s="37" t="n">
        <v>5</v>
      </c>
      <c r="F53" s="39" t="n">
        <f aca="false">C53*D53+E53</f>
        <v>9</v>
      </c>
      <c r="G53" s="31" t="n">
        <f aca="false">F53*$B$2/60</f>
        <v>3</v>
      </c>
      <c r="H53" s="40" t="n">
        <f aca="false">MAX(0,1-G53/$B$7)</f>
        <v>0.98</v>
      </c>
      <c r="I53" s="21" t="s">
        <v>230</v>
      </c>
      <c r="J53" s="21"/>
      <c r="K53" s="21"/>
      <c r="L53" s="21"/>
      <c r="M53" s="21"/>
      <c r="N53" s="21"/>
      <c r="O53" s="21"/>
    </row>
    <row r="54" customFormat="false" ht="15" hidden="false" customHeight="true" outlineLevel="0" collapsed="false">
      <c r="A54" s="29" t="str">
        <f aca="false">A28</f>
        <v>8.1</v>
      </c>
      <c r="B54" s="21" t="str">
        <f aca="false">B28</f>
        <v>Fabricación de accesorios</v>
      </c>
      <c r="C54" s="37" t="n">
        <v>2</v>
      </c>
      <c r="D54" s="38" t="n">
        <v>3</v>
      </c>
      <c r="E54" s="37" t="n">
        <f aca="false">6+3</f>
        <v>9</v>
      </c>
      <c r="F54" s="39" t="n">
        <f aca="false">C54*D54+E54</f>
        <v>15</v>
      </c>
      <c r="G54" s="31" t="n">
        <f aca="false">F54*$B$2/60</f>
        <v>5</v>
      </c>
      <c r="H54" s="40" t="n">
        <f aca="false">MAX(0,1-G54/$B$7)</f>
        <v>0.966666666666667</v>
      </c>
      <c r="I54" s="21" t="s">
        <v>231</v>
      </c>
      <c r="J54" s="21"/>
      <c r="K54" s="21"/>
      <c r="L54" s="21"/>
      <c r="M54" s="21"/>
      <c r="N54" s="21"/>
      <c r="O54" s="21"/>
    </row>
    <row r="55" customFormat="false" ht="15" hidden="false" customHeight="true" outlineLevel="0" collapsed="false">
      <c r="A55" s="29" t="str">
        <f aca="false">A29</f>
        <v>9</v>
      </c>
      <c r="B55" s="21" t="str">
        <f aca="false">B29</f>
        <v>Prueba hidráulica</v>
      </c>
      <c r="C55" s="37" t="n">
        <v>0</v>
      </c>
      <c r="D55" s="38" t="n">
        <v>0</v>
      </c>
      <c r="E55" s="37" t="n">
        <v>10</v>
      </c>
      <c r="F55" s="39" t="n">
        <f aca="false">C55*D55+E55</f>
        <v>10</v>
      </c>
      <c r="G55" s="31" t="n">
        <f aca="false">F55*$B$2/60</f>
        <v>3.33333333333333</v>
      </c>
      <c r="H55" s="40" t="n">
        <f aca="false">MAX(0,1-G55/$B$7)</f>
        <v>0.977777777777778</v>
      </c>
      <c r="I55" s="21" t="s">
        <v>232</v>
      </c>
      <c r="J55" s="21"/>
      <c r="K55" s="21"/>
      <c r="L55" s="21"/>
      <c r="M55" s="21"/>
      <c r="N55" s="21"/>
      <c r="O55" s="21"/>
    </row>
    <row r="56" customFormat="false" ht="15" hidden="false" customHeight="true" outlineLevel="0" collapsed="false">
      <c r="A56" s="29" t="str">
        <f aca="false">A30</f>
        <v>10</v>
      </c>
      <c r="B56" s="21" t="str">
        <f aca="false">B30</f>
        <v>Secado</v>
      </c>
      <c r="C56" s="37" t="n">
        <v>0</v>
      </c>
      <c r="D56" s="38" t="n">
        <v>0</v>
      </c>
      <c r="E56" s="37" t="n">
        <v>0</v>
      </c>
      <c r="F56" s="39" t="n">
        <f aca="false">C56*D56+E56</f>
        <v>0</v>
      </c>
      <c r="G56" s="31" t="n">
        <f aca="false">F56*$B$2/60</f>
        <v>0</v>
      </c>
      <c r="H56" s="40" t="n">
        <f aca="false">MAX(0,1-G56/$B$7)</f>
        <v>1</v>
      </c>
      <c r="I56" s="21" t="s">
        <v>233</v>
      </c>
      <c r="J56" s="21"/>
      <c r="K56" s="21"/>
      <c r="L56" s="21"/>
      <c r="M56" s="21"/>
      <c r="N56" s="21"/>
      <c r="O56" s="21"/>
    </row>
    <row r="57" customFormat="false" ht="30" hidden="false" customHeight="true" outlineLevel="0" collapsed="false">
      <c r="A57" s="29" t="str">
        <f aca="false">A31</f>
        <v>11</v>
      </c>
      <c r="B57" s="21" t="str">
        <f aca="false">B31</f>
        <v>Pulmón de despacho y carga a pintura</v>
      </c>
      <c r="C57" s="37" t="n">
        <v>0</v>
      </c>
      <c r="D57" s="38" t="n">
        <v>0</v>
      </c>
      <c r="E57" s="37" t="n">
        <f aca="false">2*10/5</f>
        <v>4</v>
      </c>
      <c r="F57" s="39" t="n">
        <f aca="false">C57*D57+E57</f>
        <v>4</v>
      </c>
      <c r="G57" s="31" t="n">
        <f aca="false">F57*$B$2/60</f>
        <v>1.33333333333333</v>
      </c>
      <c r="H57" s="40" t="n">
        <f aca="false">MAX(0,1-G57/$B$7)</f>
        <v>0.991111111111111</v>
      </c>
      <c r="I57" s="21" t="s">
        <v>234</v>
      </c>
      <c r="J57" s="21"/>
      <c r="K57" s="21"/>
      <c r="L57" s="21"/>
      <c r="M57" s="21"/>
      <c r="N57" s="21"/>
      <c r="O57" s="21"/>
    </row>
    <row r="58" customFormat="false" ht="30" hidden="false" customHeight="true" outlineLevel="0" collapsed="false">
      <c r="A58" s="29" t="str">
        <f aca="false">A32</f>
        <v>12</v>
      </c>
      <c r="B58" s="21" t="str">
        <f aca="false">B32</f>
        <v>Recepción de pintados y cambio de juego</v>
      </c>
      <c r="C58" s="37" t="n">
        <v>0</v>
      </c>
      <c r="D58" s="38" t="n">
        <v>0</v>
      </c>
      <c r="E58" s="37" t="n">
        <f aca="false">2*10/5</f>
        <v>4</v>
      </c>
      <c r="F58" s="39" t="n">
        <f aca="false">C58*D58+E58</f>
        <v>4</v>
      </c>
      <c r="G58" s="31" t="n">
        <f aca="false">F58*$B$2/60</f>
        <v>1.33333333333333</v>
      </c>
      <c r="H58" s="40" t="n">
        <f aca="false">MAX(0,1-G58/$B$7)</f>
        <v>0.991111111111111</v>
      </c>
      <c r="I58" s="21" t="s">
        <v>234</v>
      </c>
      <c r="J58" s="21"/>
      <c r="K58" s="21"/>
      <c r="L58" s="21"/>
      <c r="M58" s="21"/>
      <c r="N58" s="21"/>
      <c r="O58" s="21"/>
    </row>
    <row r="59" customFormat="false" ht="30" hidden="false" customHeight="true" outlineLevel="0" collapsed="false">
      <c r="A59" s="29" t="str">
        <f aca="false">A33</f>
        <v>13 B</v>
      </c>
      <c r="B59" s="21" t="str">
        <f aca="false">B33</f>
        <v>Carga de polvo y presurización</v>
      </c>
      <c r="C59" s="37" t="n">
        <v>0</v>
      </c>
      <c r="D59" s="38" t="n">
        <v>0</v>
      </c>
      <c r="E59" s="37" t="n">
        <f aca="false">32+16</f>
        <v>48</v>
      </c>
      <c r="F59" s="39" t="n">
        <f aca="false">C59*D59+E59</f>
        <v>48</v>
      </c>
      <c r="G59" s="31" t="n">
        <f aca="false">F59*$B$2/60</f>
        <v>16</v>
      </c>
      <c r="H59" s="40" t="n">
        <f aca="false">MAX(0,1-G59/$B$7)</f>
        <v>0.893333333333333</v>
      </c>
      <c r="I59" s="21" t="s">
        <v>235</v>
      </c>
      <c r="J59" s="21"/>
      <c r="K59" s="21"/>
      <c r="L59" s="21"/>
      <c r="M59" s="21"/>
      <c r="N59" s="21"/>
      <c r="O59" s="21"/>
    </row>
    <row r="60" customFormat="false" ht="30" hidden="false" customHeight="true" outlineLevel="0" collapsed="false">
      <c r="A60" s="29" t="str">
        <f aca="false">A34</f>
        <v>13 A-C / 15</v>
      </c>
      <c r="B60" s="21" t="str">
        <f aca="false">B34</f>
        <v>Montaje, manga, precinto y etiquetado</v>
      </c>
      <c r="C60" s="37" t="n">
        <v>0</v>
      </c>
      <c r="D60" s="38" t="n">
        <v>0</v>
      </c>
      <c r="E60" s="37" t="n">
        <v>21</v>
      </c>
      <c r="F60" s="39" t="n">
        <f aca="false">C60*D60+E60</f>
        <v>21</v>
      </c>
      <c r="G60" s="31" t="n">
        <f aca="false">F60*$B$2/60</f>
        <v>7</v>
      </c>
      <c r="H60" s="40" t="n">
        <f aca="false">MAX(0,1-G60/$B$7)</f>
        <v>0.953333333333333</v>
      </c>
      <c r="I60" s="21" t="s">
        <v>236</v>
      </c>
      <c r="J60" s="21"/>
      <c r="K60" s="21"/>
      <c r="L60" s="21"/>
      <c r="M60" s="21"/>
      <c r="N60" s="21"/>
      <c r="O60" s="21"/>
    </row>
    <row r="61" customFormat="false" ht="45" hidden="false" customHeight="true" outlineLevel="0" collapsed="false">
      <c r="A61" s="29" t="str">
        <f aca="false">A35</f>
        <v>14-17</v>
      </c>
      <c r="B61" s="21" t="str">
        <f aca="false">B35</f>
        <v>Calidad: pérdidas, inspección final, liberación y ensayos de lote</v>
      </c>
      <c r="C61" s="37" t="n">
        <v>0</v>
      </c>
      <c r="D61" s="38" t="n">
        <v>0</v>
      </c>
      <c r="E61" s="37" t="n">
        <f aca="false">15*2/5+20/5+5+10*4/5+(115+243+27+273+60)/5</f>
        <v>166.6</v>
      </c>
      <c r="F61" s="39" t="n">
        <f aca="false">C61*D61+E61</f>
        <v>166.6</v>
      </c>
      <c r="G61" s="31" t="n">
        <f aca="false">F61*$B$2/60</f>
        <v>55.5333333333333</v>
      </c>
      <c r="H61" s="40" t="n">
        <f aca="false">MAX(0,1-G61/$B$7)</f>
        <v>0.629777777777778</v>
      </c>
      <c r="I61" s="21" t="s">
        <v>237</v>
      </c>
      <c r="J61" s="21"/>
      <c r="K61" s="21"/>
      <c r="L61" s="21"/>
      <c r="M61" s="21"/>
      <c r="N61" s="21"/>
      <c r="O61" s="21"/>
    </row>
    <row r="62" customFormat="false" ht="30" hidden="false" customHeight="true" outlineLevel="0" collapsed="false">
      <c r="A62" s="29" t="str">
        <f aca="false">A36</f>
        <v>16</v>
      </c>
      <c r="B62" s="21" t="str">
        <f aca="false">B36</f>
        <v>Depósito de producto terminado y despacho</v>
      </c>
      <c r="C62" s="37" t="n">
        <v>0</v>
      </c>
      <c r="D62" s="38" t="n">
        <v>0</v>
      </c>
      <c r="E62" s="37" t="n">
        <f aca="false">10*5/5</f>
        <v>10</v>
      </c>
      <c r="F62" s="39" t="n">
        <f aca="false">C62*D62+E62</f>
        <v>10</v>
      </c>
      <c r="G62" s="31" t="n">
        <f aca="false">F62*$B$2/60</f>
        <v>3.33333333333333</v>
      </c>
      <c r="H62" s="40" t="n">
        <f aca="false">MAX(0,1-G62/$B$7)</f>
        <v>0.977777777777778</v>
      </c>
      <c r="I62" s="21" t="s">
        <v>238</v>
      </c>
      <c r="J62" s="21"/>
      <c r="K62" s="21"/>
      <c r="L62" s="21"/>
      <c r="M62" s="21"/>
      <c r="N62" s="21"/>
      <c r="O62" s="21"/>
    </row>
    <row r="63" customFormat="false" ht="14.25" hidden="false" customHeight="true" outlineLevel="0" collapsed="false"/>
    <row r="64" customFormat="false" ht="14.25" hidden="false" customHeight="true" outlineLevel="0" collapsed="false">
      <c r="A64" s="36" t="s">
        <v>239</v>
      </c>
      <c r="B64" s="36"/>
      <c r="C64" s="36"/>
      <c r="D64" s="36"/>
      <c r="E64" s="36"/>
      <c r="F64" s="36"/>
      <c r="G64" s="36"/>
      <c r="H64" s="36"/>
      <c r="I64" s="36"/>
    </row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5">
    <mergeCell ref="A38:O38"/>
    <mergeCell ref="A39:O39"/>
    <mergeCell ref="A40:O40"/>
    <mergeCell ref="A41:O41"/>
    <mergeCell ref="A42:O42"/>
    <mergeCell ref="I44:O44"/>
    <mergeCell ref="I45:O45"/>
    <mergeCell ref="I46:O46"/>
    <mergeCell ref="I47:O47"/>
    <mergeCell ref="I48:O48"/>
    <mergeCell ref="I49:O49"/>
    <mergeCell ref="I50:O50"/>
    <mergeCell ref="I51:O51"/>
    <mergeCell ref="I52:O52"/>
    <mergeCell ref="I53:O53"/>
    <mergeCell ref="I54:O54"/>
    <mergeCell ref="I55:O55"/>
    <mergeCell ref="I56:O56"/>
    <mergeCell ref="I57:O57"/>
    <mergeCell ref="I58:O58"/>
    <mergeCell ref="I59:O59"/>
    <mergeCell ref="I60:O60"/>
    <mergeCell ref="I61:O61"/>
    <mergeCell ref="I62:O62"/>
    <mergeCell ref="A64:I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16" min="4" style="1" width="10"/>
    <col collapsed="false" customWidth="true" hidden="false" outlineLevel="0" max="26" min="17" style="1" width="8.86"/>
  </cols>
  <sheetData>
    <row r="1" customFormat="false" ht="14.25" hidden="false" customHeight="true" outlineLevel="0" collapsed="false">
      <c r="A1" s="11" t="n">
        <v>2026</v>
      </c>
      <c r="B1" s="11" t="s">
        <v>240</v>
      </c>
      <c r="C1" s="11" t="s">
        <v>241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242</v>
      </c>
    </row>
    <row r="2" customFormat="false" ht="14.25" hidden="false" customHeight="true" outlineLevel="0" collapsed="false">
      <c r="A2" s="22" t="n">
        <v>2026</v>
      </c>
      <c r="B2" s="12" t="s">
        <v>41</v>
      </c>
      <c r="C2" s="12" t="s">
        <v>243</v>
      </c>
      <c r="D2" s="41" t="n">
        <f aca="false">(datos_base!$B$2+datos_base!$B$35)*parametros_carros!B$12</f>
        <v>2.9794022656</v>
      </c>
      <c r="E2" s="41" t="n">
        <f aca="false">(datos_base!$B$2+datos_base!$B$35)*parametros_carros!C$12</f>
        <v>2.628884352</v>
      </c>
      <c r="F2" s="41" t="n">
        <f aca="false">(datos_base!$B$2+datos_base!$B$35)*parametros_carros!D$12</f>
        <v>3.1546612224</v>
      </c>
      <c r="G2" s="41" t="n">
        <f aca="false">(datos_base!$B$2+datos_base!$B$35)*parametros_carros!E$12</f>
        <v>3.1546612224</v>
      </c>
      <c r="H2" s="41" t="n">
        <f aca="false">(datos_base!$B$2+datos_base!$B$35)*parametros_carros!F$12</f>
        <v>3.1546612224</v>
      </c>
      <c r="I2" s="41" t="n">
        <f aca="false">(datos_base!$B$2+datos_base!$B$35)*parametros_carros!G$12</f>
        <v>2.8041433088</v>
      </c>
      <c r="J2" s="41" t="n">
        <f aca="false">(datos_base!$B$2+datos_base!$B$35)*parametros_carros!H$12</f>
        <v>3.1546612224</v>
      </c>
      <c r="K2" s="41" t="n">
        <f aca="false">(datos_base!$B$2+datos_base!$B$35)*parametros_carros!I$12</f>
        <v>3.1546612224</v>
      </c>
      <c r="L2" s="41" t="n">
        <f aca="false">(datos_base!$B$2+datos_base!$B$35)*parametros_carros!J$12</f>
        <v>2.9794022656</v>
      </c>
      <c r="M2" s="41" t="n">
        <f aca="false">(datos_base!$B$2+datos_base!$B$35)*parametros_carros!K$12</f>
        <v>2.628884352</v>
      </c>
      <c r="N2" s="41" t="n">
        <f aca="false">(datos_base!$B$2+datos_base!$B$35)*parametros_carros!L$12</f>
        <v>2.4536253952</v>
      </c>
      <c r="O2" s="41" t="n">
        <f aca="false">(datos_base!$B$2+datos_base!$B$35)*parametros_carros!M$12</f>
        <v>2.8041433088</v>
      </c>
      <c r="P2" s="42" t="n">
        <f aca="false">SUM(D2:O2)</f>
        <v>35.05179136</v>
      </c>
    </row>
    <row r="3" customFormat="false" ht="14.25" hidden="false" customHeight="true" outlineLevel="0" collapsed="false">
      <c r="A3" s="22" t="n">
        <v>2026</v>
      </c>
      <c r="B3" s="12" t="s">
        <v>42</v>
      </c>
      <c r="C3" s="12" t="s">
        <v>243</v>
      </c>
      <c r="D3" s="41" t="n">
        <f aca="false">(datos_base!$B$3+datos_base!$B$36)*parametros_carros!B$13</f>
        <v>6.452684985</v>
      </c>
      <c r="E3" s="41" t="n">
        <f aca="false">(datos_base!$B$3+datos_base!$B$36)*parametros_carros!C$13</f>
        <v>5.693545575</v>
      </c>
      <c r="F3" s="41" t="n">
        <f aca="false">(datos_base!$B$3+datos_base!$B$36)*parametros_carros!D$13</f>
        <v>6.83225469</v>
      </c>
      <c r="G3" s="41" t="n">
        <f aca="false">(datos_base!$B$3+datos_base!$B$36)*parametros_carros!E$13</f>
        <v>6.83225469</v>
      </c>
      <c r="H3" s="41" t="n">
        <f aca="false">(datos_base!$B$3+datos_base!$B$36)*parametros_carros!F$13</f>
        <v>6.83225469</v>
      </c>
      <c r="I3" s="41" t="n">
        <f aca="false">(datos_base!$B$3+datos_base!$B$36)*parametros_carros!G$13</f>
        <v>6.07311528</v>
      </c>
      <c r="J3" s="41" t="n">
        <f aca="false">(datos_base!$B$3+datos_base!$B$36)*parametros_carros!H$13</f>
        <v>6.83225469</v>
      </c>
      <c r="K3" s="41" t="n">
        <f aca="false">(datos_base!$B$3+datos_base!$B$36)*parametros_carros!I$13</f>
        <v>6.83225469</v>
      </c>
      <c r="L3" s="41" t="n">
        <f aca="false">(datos_base!$B$3+datos_base!$B$36)*parametros_carros!J$13</f>
        <v>6.452684985</v>
      </c>
      <c r="M3" s="41" t="n">
        <f aca="false">(datos_base!$B$3+datos_base!$B$36)*parametros_carros!K$13</f>
        <v>5.693545575</v>
      </c>
      <c r="N3" s="41" t="n">
        <f aca="false">(datos_base!$B$3+datos_base!$B$36)*parametros_carros!L$13</f>
        <v>5.31397587</v>
      </c>
      <c r="O3" s="41" t="n">
        <f aca="false">(datos_base!$B$3+datos_base!$B$36)*parametros_carros!M$13</f>
        <v>6.07311528</v>
      </c>
      <c r="P3" s="42" t="n">
        <f aca="false">SUM(D3:O3)</f>
        <v>75.913941</v>
      </c>
    </row>
    <row r="4" customFormat="false" ht="14.25" hidden="false" customHeight="true" outlineLevel="0" collapsed="false">
      <c r="A4" s="22" t="n">
        <v>2026</v>
      </c>
      <c r="B4" s="12" t="s">
        <v>43</v>
      </c>
      <c r="C4" s="12" t="s">
        <v>243</v>
      </c>
      <c r="D4" s="41" t="n">
        <f aca="false">(datos_base!$B$4+datos_base!$B$37)*parametros_carros!B$14</f>
        <v>1.47431308725</v>
      </c>
      <c r="E4" s="41" t="n">
        <f aca="false">(datos_base!$B$4+datos_base!$B$37)*parametros_carros!C$14</f>
        <v>1.30086448875</v>
      </c>
      <c r="F4" s="41" t="n">
        <f aca="false">(datos_base!$B$4+datos_base!$B$37)*parametros_carros!D$14</f>
        <v>1.5610373865</v>
      </c>
      <c r="G4" s="41" t="n">
        <f aca="false">(datos_base!$B$4+datos_base!$B$37)*parametros_carros!E$14</f>
        <v>1.5610373865</v>
      </c>
      <c r="H4" s="41" t="n">
        <f aca="false">(datos_base!$B$4+datos_base!$B$37)*parametros_carros!F$14</f>
        <v>1.5610373865</v>
      </c>
      <c r="I4" s="41" t="n">
        <f aca="false">(datos_base!$B$4+datos_base!$B$37)*parametros_carros!G$14</f>
        <v>1.387588788</v>
      </c>
      <c r="J4" s="41" t="n">
        <f aca="false">(datos_base!$B$4+datos_base!$B$37)*parametros_carros!H$14</f>
        <v>1.5610373865</v>
      </c>
      <c r="K4" s="41" t="n">
        <f aca="false">(datos_base!$B$4+datos_base!$B$37)*parametros_carros!I$14</f>
        <v>1.5610373865</v>
      </c>
      <c r="L4" s="41" t="n">
        <f aca="false">(datos_base!$B$4+datos_base!$B$37)*parametros_carros!J$14</f>
        <v>1.47431308725</v>
      </c>
      <c r="M4" s="41" t="n">
        <f aca="false">(datos_base!$B$4+datos_base!$B$37)*parametros_carros!K$14</f>
        <v>1.30086448875</v>
      </c>
      <c r="N4" s="41" t="n">
        <f aca="false">(datos_base!$B$4+datos_base!$B$37)*parametros_carros!L$14</f>
        <v>1.2141401895</v>
      </c>
      <c r="O4" s="41" t="n">
        <f aca="false">(datos_base!$B$4+datos_base!$B$37)*parametros_carros!M$14</f>
        <v>1.387588788</v>
      </c>
      <c r="P4" s="42" t="n">
        <f aca="false">SUM(D4:O4)</f>
        <v>17.34485985</v>
      </c>
    </row>
    <row r="5" customFormat="false" ht="14.25" hidden="false" customHeight="true" outlineLevel="0" collapsed="false">
      <c r="A5" s="22" t="n">
        <v>2026</v>
      </c>
      <c r="B5" s="12" t="s">
        <v>44</v>
      </c>
      <c r="C5" s="12" t="s">
        <v>243</v>
      </c>
      <c r="D5" s="41" t="n">
        <f aca="false">(datos_base!$B$5+datos_base!$B$38)*parametros_carros!B$15</f>
        <v>1.0112087254</v>
      </c>
      <c r="E5" s="41" t="n">
        <f aca="false">(datos_base!$B$5+datos_base!$B$38)*parametros_carros!C$15</f>
        <v>0.892242993</v>
      </c>
      <c r="F5" s="41" t="n">
        <f aca="false">(datos_base!$B$5+datos_base!$B$38)*parametros_carros!D$15</f>
        <v>1.0706915916</v>
      </c>
      <c r="G5" s="41" t="n">
        <f aca="false">(datos_base!$B$5+datos_base!$B$38)*parametros_carros!E$15</f>
        <v>1.0706915916</v>
      </c>
      <c r="H5" s="41" t="n">
        <f aca="false">(datos_base!$B$5+datos_base!$B$38)*parametros_carros!F$15</f>
        <v>1.0706915916</v>
      </c>
      <c r="I5" s="41" t="n">
        <f aca="false">(datos_base!$B$5+datos_base!$B$38)*parametros_carros!G$15</f>
        <v>0.9517258592</v>
      </c>
      <c r="J5" s="41" t="n">
        <f aca="false">(datos_base!$B$5+datos_base!$B$38)*parametros_carros!H$15</f>
        <v>1.0706915916</v>
      </c>
      <c r="K5" s="41" t="n">
        <f aca="false">(datos_base!$B$5+datos_base!$B$38)*parametros_carros!I$15</f>
        <v>1.0706915916</v>
      </c>
      <c r="L5" s="41" t="n">
        <f aca="false">(datos_base!$B$5+datos_base!$B$38)*parametros_carros!J$15</f>
        <v>1.0112087254</v>
      </c>
      <c r="M5" s="41" t="n">
        <f aca="false">(datos_base!$B$5+datos_base!$B$38)*parametros_carros!K$15</f>
        <v>0.892242993</v>
      </c>
      <c r="N5" s="41" t="n">
        <f aca="false">(datos_base!$B$5+datos_base!$B$38)*parametros_carros!L$15</f>
        <v>0.8327601268</v>
      </c>
      <c r="O5" s="41" t="n">
        <f aca="false">(datos_base!$B$5+datos_base!$B$38)*parametros_carros!M$15</f>
        <v>0.9517258592</v>
      </c>
      <c r="P5" s="42" t="n">
        <f aca="false">SUM(D5:O5)</f>
        <v>11.89657324</v>
      </c>
    </row>
    <row r="6" customFormat="false" ht="14.25" hidden="false" customHeight="true" outlineLevel="0" collapsed="false">
      <c r="A6" s="22" t="n">
        <v>2026</v>
      </c>
      <c r="B6" s="12" t="s">
        <v>51</v>
      </c>
      <c r="C6" s="12" t="s">
        <v>244</v>
      </c>
      <c r="D6" s="41" t="n">
        <f aca="false">(datos_base!$B$9+datos_base!$B$40)*parametros_carros!B$12</f>
        <v>0.085</v>
      </c>
      <c r="E6" s="41" t="n">
        <f aca="false">(datos_base!$B$9+datos_base!$B$40)*parametros_carros!C$12</f>
        <v>0.075</v>
      </c>
      <c r="F6" s="41" t="n">
        <f aca="false">(datos_base!$B$9+datos_base!$B$40)*parametros_carros!D$12</f>
        <v>0.09</v>
      </c>
      <c r="G6" s="41" t="n">
        <f aca="false">(datos_base!$B$9+datos_base!$B$40)*parametros_carros!E$12</f>
        <v>0.09</v>
      </c>
      <c r="H6" s="41" t="n">
        <f aca="false">(datos_base!$B$9+datos_base!$B$40)*parametros_carros!F$12</f>
        <v>0.09</v>
      </c>
      <c r="I6" s="41" t="n">
        <f aca="false">(datos_base!$B$9+datos_base!$B$40)*parametros_carros!G$12</f>
        <v>0.08</v>
      </c>
      <c r="J6" s="41" t="n">
        <f aca="false">(datos_base!$B$9+datos_base!$B$40)*parametros_carros!H$12</f>
        <v>0.09</v>
      </c>
      <c r="K6" s="41" t="n">
        <f aca="false">(datos_base!$B$9+datos_base!$B$40)*parametros_carros!I$12</f>
        <v>0.09</v>
      </c>
      <c r="L6" s="41" t="n">
        <f aca="false">(datos_base!$B$9+datos_base!$B$40)*parametros_carros!J$12</f>
        <v>0.085</v>
      </c>
      <c r="M6" s="41" t="n">
        <f aca="false">(datos_base!$B$9+datos_base!$B$40)*parametros_carros!K$12</f>
        <v>0.075</v>
      </c>
      <c r="N6" s="41" t="n">
        <f aca="false">(datos_base!$B$9+datos_base!$B$40)*parametros_carros!L$12</f>
        <v>0.07</v>
      </c>
      <c r="O6" s="41" t="n">
        <f aca="false">(datos_base!$B$9+datos_base!$B$40)*parametros_carros!M$12</f>
        <v>0.08</v>
      </c>
      <c r="P6" s="42" t="n">
        <f aca="false">SUM(D6:O6)</f>
        <v>1</v>
      </c>
    </row>
    <row r="7" customFormat="false" ht="14.25" hidden="false" customHeight="true" outlineLevel="0" collapsed="false">
      <c r="A7" s="22" t="n">
        <v>2026</v>
      </c>
      <c r="B7" s="12" t="s">
        <v>52</v>
      </c>
      <c r="C7" s="12" t="s">
        <v>244</v>
      </c>
      <c r="D7" s="41" t="n">
        <f aca="false">(datos_base!$B$10+datos_base!$B$41)*parametros_carros!B$13</f>
        <v>0.085</v>
      </c>
      <c r="E7" s="41" t="n">
        <f aca="false">(datos_base!$B$10+datos_base!$B$41)*parametros_carros!C$13</f>
        <v>0.075</v>
      </c>
      <c r="F7" s="41" t="n">
        <f aca="false">(datos_base!$B$10+datos_base!$B$41)*parametros_carros!D$13</f>
        <v>0.09</v>
      </c>
      <c r="G7" s="41" t="n">
        <f aca="false">(datos_base!$B$10+datos_base!$B$41)*parametros_carros!E$13</f>
        <v>0.09</v>
      </c>
      <c r="H7" s="41" t="n">
        <f aca="false">(datos_base!$B$10+datos_base!$B$41)*parametros_carros!F$13</f>
        <v>0.09</v>
      </c>
      <c r="I7" s="41" t="n">
        <f aca="false">(datos_base!$B$10+datos_base!$B$41)*parametros_carros!G$13</f>
        <v>0.08</v>
      </c>
      <c r="J7" s="41" t="n">
        <f aca="false">(datos_base!$B$10+datos_base!$B$41)*parametros_carros!H$13</f>
        <v>0.09</v>
      </c>
      <c r="K7" s="41" t="n">
        <f aca="false">(datos_base!$B$10+datos_base!$B$41)*parametros_carros!I$13</f>
        <v>0.09</v>
      </c>
      <c r="L7" s="41" t="n">
        <f aca="false">(datos_base!$B$10+datos_base!$B$41)*parametros_carros!J$13</f>
        <v>0.085</v>
      </c>
      <c r="M7" s="41" t="n">
        <f aca="false">(datos_base!$B$10+datos_base!$B$41)*parametros_carros!K$13</f>
        <v>0.075</v>
      </c>
      <c r="N7" s="41" t="n">
        <f aca="false">(datos_base!$B$10+datos_base!$B$41)*parametros_carros!L$13</f>
        <v>0.07</v>
      </c>
      <c r="O7" s="41" t="n">
        <f aca="false">(datos_base!$B$10+datos_base!$B$41)*parametros_carros!M$13</f>
        <v>0.08</v>
      </c>
      <c r="P7" s="42" t="n">
        <f aca="false">SUM(D7:O7)</f>
        <v>1</v>
      </c>
    </row>
    <row r="8" customFormat="false" ht="14.25" hidden="false" customHeight="true" outlineLevel="0" collapsed="false">
      <c r="A8" s="22" t="n">
        <v>2026</v>
      </c>
      <c r="B8" s="12" t="s">
        <v>53</v>
      </c>
      <c r="C8" s="12" t="s">
        <v>244</v>
      </c>
      <c r="D8" s="41" t="n">
        <f aca="false">(datos_base!$B$11+datos_base!$B$42)*parametros_carros!B$14</f>
        <v>0.085</v>
      </c>
      <c r="E8" s="41" t="n">
        <f aca="false">(datos_base!$B$11+datos_base!$B$42)*parametros_carros!C$14</f>
        <v>0.075</v>
      </c>
      <c r="F8" s="41" t="n">
        <f aca="false">(datos_base!$B$11+datos_base!$B$42)*parametros_carros!D$14</f>
        <v>0.09</v>
      </c>
      <c r="G8" s="41" t="n">
        <f aca="false">(datos_base!$B$11+datos_base!$B$42)*parametros_carros!E$14</f>
        <v>0.09</v>
      </c>
      <c r="H8" s="41" t="n">
        <f aca="false">(datos_base!$B$11+datos_base!$B$42)*parametros_carros!F$14</f>
        <v>0.09</v>
      </c>
      <c r="I8" s="41" t="n">
        <f aca="false">(datos_base!$B$11+datos_base!$B$42)*parametros_carros!G$14</f>
        <v>0.08</v>
      </c>
      <c r="J8" s="41" t="n">
        <f aca="false">(datos_base!$B$11+datos_base!$B$42)*parametros_carros!H$14</f>
        <v>0.09</v>
      </c>
      <c r="K8" s="41" t="n">
        <f aca="false">(datos_base!$B$11+datos_base!$B$42)*parametros_carros!I$14</f>
        <v>0.09</v>
      </c>
      <c r="L8" s="41" t="n">
        <f aca="false">(datos_base!$B$11+datos_base!$B$42)*parametros_carros!J$14</f>
        <v>0.085</v>
      </c>
      <c r="M8" s="41" t="n">
        <f aca="false">(datos_base!$B$11+datos_base!$B$42)*parametros_carros!K$14</f>
        <v>0.075</v>
      </c>
      <c r="N8" s="41" t="n">
        <f aca="false">(datos_base!$B$11+datos_base!$B$42)*parametros_carros!L$14</f>
        <v>0.07</v>
      </c>
      <c r="O8" s="41" t="n">
        <f aca="false">(datos_base!$B$11+datos_base!$B$42)*parametros_carros!M$14</f>
        <v>0.08</v>
      </c>
      <c r="P8" s="42" t="n">
        <f aca="false">SUM(D8:O8)</f>
        <v>1</v>
      </c>
    </row>
    <row r="9" customFormat="false" ht="14.25" hidden="false" customHeight="true" outlineLevel="0" collapsed="false">
      <c r="A9" s="22" t="n">
        <v>2026</v>
      </c>
      <c r="B9" s="12" t="s">
        <v>54</v>
      </c>
      <c r="C9" s="12" t="s">
        <v>244</v>
      </c>
      <c r="D9" s="41" t="n">
        <f aca="false">(datos_base!$B$12+datos_base!$B$43)*parametros_carros!B$15</f>
        <v>0.085</v>
      </c>
      <c r="E9" s="41" t="n">
        <f aca="false">(datos_base!$B$12+datos_base!$B$43)*parametros_carros!C$15</f>
        <v>0.075</v>
      </c>
      <c r="F9" s="41" t="n">
        <f aca="false">(datos_base!$B$12+datos_base!$B$43)*parametros_carros!D$15</f>
        <v>0.09</v>
      </c>
      <c r="G9" s="41" t="n">
        <f aca="false">(datos_base!$B$12+datos_base!$B$43)*parametros_carros!E$15</f>
        <v>0.09</v>
      </c>
      <c r="H9" s="41" t="n">
        <f aca="false">(datos_base!$B$12+datos_base!$B$43)*parametros_carros!F$15</f>
        <v>0.09</v>
      </c>
      <c r="I9" s="41" t="n">
        <f aca="false">(datos_base!$B$12+datos_base!$B$43)*parametros_carros!G$15</f>
        <v>0.08</v>
      </c>
      <c r="J9" s="41" t="n">
        <f aca="false">(datos_base!$B$12+datos_base!$B$43)*parametros_carros!H$15</f>
        <v>0.09</v>
      </c>
      <c r="K9" s="41" t="n">
        <f aca="false">(datos_base!$B$12+datos_base!$B$43)*parametros_carros!I$15</f>
        <v>0.09</v>
      </c>
      <c r="L9" s="41" t="n">
        <f aca="false">(datos_base!$B$12+datos_base!$B$43)*parametros_carros!J$15</f>
        <v>0.085</v>
      </c>
      <c r="M9" s="41" t="n">
        <f aca="false">(datos_base!$B$12+datos_base!$B$43)*parametros_carros!K$15</f>
        <v>0.075</v>
      </c>
      <c r="N9" s="41" t="n">
        <f aca="false">(datos_base!$B$12+datos_base!$B$43)*parametros_carros!L$15</f>
        <v>0.07</v>
      </c>
      <c r="O9" s="41" t="n">
        <f aca="false">(datos_base!$B$12+datos_base!$B$43)*parametros_carros!M$15</f>
        <v>0.08</v>
      </c>
      <c r="P9" s="42" t="n">
        <f aca="false">SUM(D9:O9)</f>
        <v>1</v>
      </c>
    </row>
    <row r="10" customFormat="false" ht="14.25" hidden="false" customHeight="true" outlineLevel="0" collapsed="false">
      <c r="A10" s="43"/>
      <c r="B10" s="16" t="s">
        <v>245</v>
      </c>
      <c r="C10" s="43"/>
      <c r="D10" s="44" t="n">
        <f aca="false">SUM(D2:D9)</f>
        <v>12.25760906325</v>
      </c>
      <c r="E10" s="44" t="n">
        <f aca="false">SUM(E2:E9)</f>
        <v>10.81553740875</v>
      </c>
      <c r="F10" s="44" t="n">
        <f aca="false">SUM(F2:F9)</f>
        <v>12.9786448905</v>
      </c>
      <c r="G10" s="44" t="n">
        <f aca="false">SUM(G2:G9)</f>
        <v>12.9786448905</v>
      </c>
      <c r="H10" s="44" t="n">
        <f aca="false">SUM(H2:H9)</f>
        <v>12.9786448905</v>
      </c>
      <c r="I10" s="44" t="n">
        <f aca="false">SUM(I2:I9)</f>
        <v>11.536573236</v>
      </c>
      <c r="J10" s="44" t="n">
        <f aca="false">SUM(J2:J9)</f>
        <v>12.9786448905</v>
      </c>
      <c r="K10" s="44" t="n">
        <f aca="false">SUM(K2:K9)</f>
        <v>12.9786448905</v>
      </c>
      <c r="L10" s="44" t="n">
        <f aca="false">SUM(L2:L9)</f>
        <v>12.25760906325</v>
      </c>
      <c r="M10" s="44" t="n">
        <f aca="false">SUM(M2:M9)</f>
        <v>10.81553740875</v>
      </c>
      <c r="N10" s="44" t="n">
        <f aca="false">SUM(N2:N9)</f>
        <v>10.0945015815</v>
      </c>
      <c r="O10" s="44" t="n">
        <f aca="false">SUM(O2:O9)</f>
        <v>11.536573236</v>
      </c>
      <c r="P10" s="44" t="n">
        <f aca="false">SUM(P2:P9)</f>
        <v>144.20716545</v>
      </c>
    </row>
    <row r="11" customFormat="false" ht="14.25" hidden="false" customHeight="true" outlineLevel="0" collapsed="false"/>
    <row r="12" customFormat="false" ht="14.25" hidden="false" customHeight="true" outlineLevel="0" collapsed="false">
      <c r="A12" s="11" t="n">
        <v>2027</v>
      </c>
      <c r="B12" s="11" t="s">
        <v>240</v>
      </c>
      <c r="C12" s="11" t="s">
        <v>241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21</v>
      </c>
      <c r="I12" s="11" t="s">
        <v>22</v>
      </c>
      <c r="J12" s="11" t="s">
        <v>23</v>
      </c>
      <c r="K12" s="11" t="s">
        <v>24</v>
      </c>
      <c r="L12" s="11" t="s">
        <v>25</v>
      </c>
      <c r="M12" s="11" t="s">
        <v>26</v>
      </c>
      <c r="N12" s="11" t="s">
        <v>27</v>
      </c>
      <c r="O12" s="11" t="s">
        <v>28</v>
      </c>
      <c r="P12" s="11" t="s">
        <v>242</v>
      </c>
    </row>
    <row r="13" customFormat="false" ht="14.25" hidden="false" customHeight="true" outlineLevel="0" collapsed="false">
      <c r="A13" s="22" t="n">
        <v>2027</v>
      </c>
      <c r="B13" s="12" t="s">
        <v>41</v>
      </c>
      <c r="C13" s="12" t="s">
        <v>243</v>
      </c>
      <c r="D13" s="41" t="n">
        <f aca="false">(datos_base!$C$2+datos_base!$C$35)*parametros_carros!B$12</f>
        <v>4.97608253325</v>
      </c>
      <c r="E13" s="41" t="n">
        <f aca="false">(datos_base!$C$2+datos_base!$C$35)*parametros_carros!C$12</f>
        <v>4.39066105875</v>
      </c>
      <c r="F13" s="41" t="n">
        <f aca="false">(datos_base!$C$2+datos_base!$C$35)*parametros_carros!D$12</f>
        <v>5.2687932705</v>
      </c>
      <c r="G13" s="41" t="n">
        <f aca="false">(datos_base!$C$2+datos_base!$C$35)*parametros_carros!E$12</f>
        <v>5.2687932705</v>
      </c>
      <c r="H13" s="41" t="n">
        <f aca="false">(datos_base!$C$2+datos_base!$C$35)*parametros_carros!F$12</f>
        <v>5.2687932705</v>
      </c>
      <c r="I13" s="41" t="n">
        <f aca="false">(datos_base!$C$2+datos_base!$C$35)*parametros_carros!G$12</f>
        <v>4.683371796</v>
      </c>
      <c r="J13" s="41" t="n">
        <f aca="false">(datos_base!$C$2+datos_base!$C$35)*parametros_carros!H$12</f>
        <v>5.2687932705</v>
      </c>
      <c r="K13" s="41" t="n">
        <f aca="false">(datos_base!$C$2+datos_base!$C$35)*parametros_carros!I$12</f>
        <v>5.2687932705</v>
      </c>
      <c r="L13" s="41" t="n">
        <f aca="false">(datos_base!$C$2+datos_base!$C$35)*parametros_carros!J$12</f>
        <v>4.97608253325</v>
      </c>
      <c r="M13" s="41" t="n">
        <f aca="false">(datos_base!$C$2+datos_base!$C$35)*parametros_carros!K$12</f>
        <v>4.39066105875</v>
      </c>
      <c r="N13" s="41" t="n">
        <f aca="false">(datos_base!$C$2+datos_base!$C$35)*parametros_carros!L$12</f>
        <v>4.0979503215</v>
      </c>
      <c r="O13" s="41" t="n">
        <f aca="false">(datos_base!$C$2+datos_base!$C$35)*parametros_carros!M$12</f>
        <v>4.683371796</v>
      </c>
      <c r="P13" s="42" t="n">
        <f aca="false">SUM(D13:O13)</f>
        <v>58.54214745</v>
      </c>
    </row>
    <row r="14" customFormat="false" ht="14.25" hidden="false" customHeight="true" outlineLevel="0" collapsed="false">
      <c r="A14" s="22" t="n">
        <v>2027</v>
      </c>
      <c r="B14" s="12" t="s">
        <v>42</v>
      </c>
      <c r="C14" s="12" t="s">
        <v>243</v>
      </c>
      <c r="D14" s="41" t="n">
        <f aca="false">(datos_base!$C$3+datos_base!$C$36)*parametros_carros!B$13</f>
        <v>10.939221574</v>
      </c>
      <c r="E14" s="41" t="n">
        <f aca="false">(datos_base!$C$3+datos_base!$C$36)*parametros_carros!C$13</f>
        <v>9.65225433</v>
      </c>
      <c r="F14" s="41" t="n">
        <f aca="false">(datos_base!$C$3+datos_base!$C$36)*parametros_carros!D$13</f>
        <v>11.582705196</v>
      </c>
      <c r="G14" s="41" t="n">
        <f aca="false">(datos_base!$C$3+datos_base!$C$36)*parametros_carros!E$13</f>
        <v>11.582705196</v>
      </c>
      <c r="H14" s="41" t="n">
        <f aca="false">(datos_base!$C$3+datos_base!$C$36)*parametros_carros!F$13</f>
        <v>11.582705196</v>
      </c>
      <c r="I14" s="41" t="n">
        <f aca="false">(datos_base!$C$3+datos_base!$C$36)*parametros_carros!G$13</f>
        <v>10.295737952</v>
      </c>
      <c r="J14" s="41" t="n">
        <f aca="false">(datos_base!$C$3+datos_base!$C$36)*parametros_carros!H$13</f>
        <v>11.582705196</v>
      </c>
      <c r="K14" s="41" t="n">
        <f aca="false">(datos_base!$C$3+datos_base!$C$36)*parametros_carros!I$13</f>
        <v>11.582705196</v>
      </c>
      <c r="L14" s="41" t="n">
        <f aca="false">(datos_base!$C$3+datos_base!$C$36)*parametros_carros!J$13</f>
        <v>10.939221574</v>
      </c>
      <c r="M14" s="41" t="n">
        <f aca="false">(datos_base!$C$3+datos_base!$C$36)*parametros_carros!K$13</f>
        <v>9.65225433</v>
      </c>
      <c r="N14" s="41" t="n">
        <f aca="false">(datos_base!$C$3+datos_base!$C$36)*parametros_carros!L$13</f>
        <v>9.008770708</v>
      </c>
      <c r="O14" s="41" t="n">
        <f aca="false">(datos_base!$C$3+datos_base!$C$36)*parametros_carros!M$13</f>
        <v>10.295737952</v>
      </c>
      <c r="P14" s="42" t="n">
        <f aca="false">SUM(D14:O14)</f>
        <v>128.6967244</v>
      </c>
    </row>
    <row r="15" customFormat="false" ht="14.25" hidden="false" customHeight="true" outlineLevel="0" collapsed="false">
      <c r="A15" s="22" t="n">
        <v>2027</v>
      </c>
      <c r="B15" s="12" t="s">
        <v>43</v>
      </c>
      <c r="C15" s="12" t="s">
        <v>243</v>
      </c>
      <c r="D15" s="41" t="n">
        <f aca="false">(datos_base!$C$4+datos_base!$C$37)*parametros_carros!B$14</f>
        <v>2.3920556163</v>
      </c>
      <c r="E15" s="41" t="n">
        <f aca="false">(datos_base!$C$4+datos_base!$C$37)*parametros_carros!C$14</f>
        <v>2.1106373085</v>
      </c>
      <c r="F15" s="41" t="n">
        <f aca="false">(datos_base!$C$4+datos_base!$C$37)*parametros_carros!D$14</f>
        <v>2.5327647702</v>
      </c>
      <c r="G15" s="41" t="n">
        <f aca="false">(datos_base!$C$4+datos_base!$C$37)*parametros_carros!E$14</f>
        <v>2.5327647702</v>
      </c>
      <c r="H15" s="41" t="n">
        <f aca="false">(datos_base!$C$4+datos_base!$C$37)*parametros_carros!F$14</f>
        <v>2.5327647702</v>
      </c>
      <c r="I15" s="41" t="n">
        <f aca="false">(datos_base!$C$4+datos_base!$C$37)*parametros_carros!G$14</f>
        <v>2.2513464624</v>
      </c>
      <c r="J15" s="41" t="n">
        <f aca="false">(datos_base!$C$4+datos_base!$C$37)*parametros_carros!H$14</f>
        <v>2.5327647702</v>
      </c>
      <c r="K15" s="41" t="n">
        <f aca="false">(datos_base!$C$4+datos_base!$C$37)*parametros_carros!I$14</f>
        <v>2.5327647702</v>
      </c>
      <c r="L15" s="41" t="n">
        <f aca="false">(datos_base!$C$4+datos_base!$C$37)*parametros_carros!J$14</f>
        <v>2.3920556163</v>
      </c>
      <c r="M15" s="41" t="n">
        <f aca="false">(datos_base!$C$4+datos_base!$C$37)*parametros_carros!K$14</f>
        <v>2.1106373085</v>
      </c>
      <c r="N15" s="41" t="n">
        <f aca="false">(datos_base!$C$4+datos_base!$C$37)*parametros_carros!L$14</f>
        <v>1.9699281546</v>
      </c>
      <c r="O15" s="41" t="n">
        <f aca="false">(datos_base!$C$4+datos_base!$C$37)*parametros_carros!M$14</f>
        <v>2.2513464624</v>
      </c>
      <c r="P15" s="42" t="n">
        <f aca="false">SUM(D15:O15)</f>
        <v>28.14183078</v>
      </c>
    </row>
    <row r="16" customFormat="false" ht="14.25" hidden="false" customHeight="true" outlineLevel="0" collapsed="false">
      <c r="A16" s="22" t="n">
        <v>2027</v>
      </c>
      <c r="B16" s="12" t="s">
        <v>44</v>
      </c>
      <c r="C16" s="12" t="s">
        <v>243</v>
      </c>
      <c r="D16" s="41" t="n">
        <f aca="false">(datos_base!$C$5+datos_base!$C$38)*parametros_carros!B$15</f>
        <v>1.59697041115</v>
      </c>
      <c r="E16" s="41" t="n">
        <f aca="false">(datos_base!$C$5+datos_base!$C$38)*parametros_carros!C$15</f>
        <v>1.40909153925</v>
      </c>
      <c r="F16" s="41" t="n">
        <f aca="false">(datos_base!$C$5+datos_base!$C$38)*parametros_carros!D$15</f>
        <v>1.6909098471</v>
      </c>
      <c r="G16" s="41" t="n">
        <f aca="false">(datos_base!$C$5+datos_base!$C$38)*parametros_carros!E$15</f>
        <v>1.6909098471</v>
      </c>
      <c r="H16" s="41" t="n">
        <f aca="false">(datos_base!$C$5+datos_base!$C$38)*parametros_carros!F$15</f>
        <v>1.6909098471</v>
      </c>
      <c r="I16" s="41" t="n">
        <f aca="false">(datos_base!$C$5+datos_base!$C$38)*parametros_carros!G$15</f>
        <v>1.5030309752</v>
      </c>
      <c r="J16" s="41" t="n">
        <f aca="false">(datos_base!$C$5+datos_base!$C$38)*parametros_carros!H$15</f>
        <v>1.6909098471</v>
      </c>
      <c r="K16" s="41" t="n">
        <f aca="false">(datos_base!$C$5+datos_base!$C$38)*parametros_carros!I$15</f>
        <v>1.6909098471</v>
      </c>
      <c r="L16" s="41" t="n">
        <f aca="false">(datos_base!$C$5+datos_base!$C$38)*parametros_carros!J$15</f>
        <v>1.59697041115</v>
      </c>
      <c r="M16" s="41" t="n">
        <f aca="false">(datos_base!$C$5+datos_base!$C$38)*parametros_carros!K$15</f>
        <v>1.40909153925</v>
      </c>
      <c r="N16" s="41" t="n">
        <f aca="false">(datos_base!$C$5+datos_base!$C$38)*parametros_carros!L$15</f>
        <v>1.3151521033</v>
      </c>
      <c r="O16" s="41" t="n">
        <f aca="false">(datos_base!$C$5+datos_base!$C$38)*parametros_carros!M$15</f>
        <v>1.5030309752</v>
      </c>
      <c r="P16" s="42" t="n">
        <f aca="false">SUM(D16:O16)</f>
        <v>18.78788719</v>
      </c>
    </row>
    <row r="17" customFormat="false" ht="14.25" hidden="false" customHeight="true" outlineLevel="0" collapsed="false">
      <c r="A17" s="22" t="n">
        <v>2027</v>
      </c>
      <c r="B17" s="12" t="s">
        <v>51</v>
      </c>
      <c r="C17" s="12" t="s">
        <v>244</v>
      </c>
      <c r="D17" s="41" t="n">
        <f aca="false">(datos_base!$C$9+datos_base!$C$40)*parametros_carros!B$12</f>
        <v>0.0068</v>
      </c>
      <c r="E17" s="41" t="n">
        <f aca="false">(datos_base!$C$9+datos_base!$C$40)*parametros_carros!C$12</f>
        <v>0.006</v>
      </c>
      <c r="F17" s="41" t="n">
        <f aca="false">(datos_base!$C$9+datos_base!$C$40)*parametros_carros!D$12</f>
        <v>0.0072</v>
      </c>
      <c r="G17" s="41" t="n">
        <f aca="false">(datos_base!$C$9+datos_base!$C$40)*parametros_carros!E$12</f>
        <v>0.0072</v>
      </c>
      <c r="H17" s="41" t="n">
        <f aca="false">(datos_base!$C$9+datos_base!$C$40)*parametros_carros!F$12</f>
        <v>0.0072</v>
      </c>
      <c r="I17" s="41" t="n">
        <f aca="false">(datos_base!$C$9+datos_base!$C$40)*parametros_carros!G$12</f>
        <v>0.0064</v>
      </c>
      <c r="J17" s="41" t="n">
        <f aca="false">(datos_base!$C$9+datos_base!$C$40)*parametros_carros!H$12</f>
        <v>0.0072</v>
      </c>
      <c r="K17" s="41" t="n">
        <f aca="false">(datos_base!$C$9+datos_base!$C$40)*parametros_carros!I$12</f>
        <v>0.0072</v>
      </c>
      <c r="L17" s="41" t="n">
        <f aca="false">(datos_base!$C$9+datos_base!$C$40)*parametros_carros!J$12</f>
        <v>0.0068</v>
      </c>
      <c r="M17" s="41" t="n">
        <f aca="false">(datos_base!$C$9+datos_base!$C$40)*parametros_carros!K$12</f>
        <v>0.006</v>
      </c>
      <c r="N17" s="41" t="n">
        <f aca="false">(datos_base!$C$9+datos_base!$C$40)*parametros_carros!L$12</f>
        <v>0.0056</v>
      </c>
      <c r="O17" s="41" t="n">
        <f aca="false">(datos_base!$C$9+datos_base!$C$40)*parametros_carros!M$12</f>
        <v>0.0064</v>
      </c>
      <c r="P17" s="42" t="n">
        <f aca="false">SUM(D17:O17)</f>
        <v>0.08</v>
      </c>
    </row>
    <row r="18" customFormat="false" ht="14.25" hidden="false" customHeight="true" outlineLevel="0" collapsed="false">
      <c r="A18" s="22" t="n">
        <v>2027</v>
      </c>
      <c r="B18" s="12" t="s">
        <v>52</v>
      </c>
      <c r="C18" s="12" t="s">
        <v>244</v>
      </c>
      <c r="D18" s="41" t="n">
        <f aca="false">(datos_base!$C$10+datos_base!$C$41)*parametros_carros!B$13</f>
        <v>0.0918</v>
      </c>
      <c r="E18" s="41" t="n">
        <f aca="false">(datos_base!$C$10+datos_base!$C$41)*parametros_carros!C$13</f>
        <v>0.081</v>
      </c>
      <c r="F18" s="41" t="n">
        <f aca="false">(datos_base!$C$10+datos_base!$C$41)*parametros_carros!D$13</f>
        <v>0.0972</v>
      </c>
      <c r="G18" s="41" t="n">
        <f aca="false">(datos_base!$C$10+datos_base!$C$41)*parametros_carros!E$13</f>
        <v>0.0972</v>
      </c>
      <c r="H18" s="41" t="n">
        <f aca="false">(datos_base!$C$10+datos_base!$C$41)*parametros_carros!F$13</f>
        <v>0.0972</v>
      </c>
      <c r="I18" s="41" t="n">
        <f aca="false">(datos_base!$C$10+datos_base!$C$41)*parametros_carros!G$13</f>
        <v>0.0864</v>
      </c>
      <c r="J18" s="41" t="n">
        <f aca="false">(datos_base!$C$10+datos_base!$C$41)*parametros_carros!H$13</f>
        <v>0.0972</v>
      </c>
      <c r="K18" s="41" t="n">
        <f aca="false">(datos_base!$C$10+datos_base!$C$41)*parametros_carros!I$13</f>
        <v>0.0972</v>
      </c>
      <c r="L18" s="41" t="n">
        <f aca="false">(datos_base!$C$10+datos_base!$C$41)*parametros_carros!J$13</f>
        <v>0.0918</v>
      </c>
      <c r="M18" s="41" t="n">
        <f aca="false">(datos_base!$C$10+datos_base!$C$41)*parametros_carros!K$13</f>
        <v>0.081</v>
      </c>
      <c r="N18" s="41" t="n">
        <f aca="false">(datos_base!$C$10+datos_base!$C$41)*parametros_carros!L$13</f>
        <v>0.0756</v>
      </c>
      <c r="O18" s="41" t="n">
        <f aca="false">(datos_base!$C$10+datos_base!$C$41)*parametros_carros!M$13</f>
        <v>0.0864</v>
      </c>
      <c r="P18" s="42" t="n">
        <f aca="false">SUM(D18:O18)</f>
        <v>1.08</v>
      </c>
    </row>
    <row r="19" customFormat="false" ht="14.25" hidden="false" customHeight="true" outlineLevel="0" collapsed="false">
      <c r="A19" s="22" t="n">
        <v>2027</v>
      </c>
      <c r="B19" s="12" t="s">
        <v>53</v>
      </c>
      <c r="C19" s="12" t="s">
        <v>244</v>
      </c>
      <c r="D19" s="41" t="n">
        <f aca="false">(datos_base!$C$11+datos_base!$C$42)*parametros_carros!B$14</f>
        <v>0.0068</v>
      </c>
      <c r="E19" s="41" t="n">
        <f aca="false">(datos_base!$C$11+datos_base!$C$42)*parametros_carros!C$14</f>
        <v>0.006</v>
      </c>
      <c r="F19" s="41" t="n">
        <f aca="false">(datos_base!$C$11+datos_base!$C$42)*parametros_carros!D$14</f>
        <v>0.0072</v>
      </c>
      <c r="G19" s="41" t="n">
        <f aca="false">(datos_base!$C$11+datos_base!$C$42)*parametros_carros!E$14</f>
        <v>0.0072</v>
      </c>
      <c r="H19" s="41" t="n">
        <f aca="false">(datos_base!$C$11+datos_base!$C$42)*parametros_carros!F$14</f>
        <v>0.0072</v>
      </c>
      <c r="I19" s="41" t="n">
        <f aca="false">(datos_base!$C$11+datos_base!$C$42)*parametros_carros!G$14</f>
        <v>0.0064</v>
      </c>
      <c r="J19" s="41" t="n">
        <f aca="false">(datos_base!$C$11+datos_base!$C$42)*parametros_carros!H$14</f>
        <v>0.0072</v>
      </c>
      <c r="K19" s="41" t="n">
        <f aca="false">(datos_base!$C$11+datos_base!$C$42)*parametros_carros!I$14</f>
        <v>0.0072</v>
      </c>
      <c r="L19" s="41" t="n">
        <f aca="false">(datos_base!$C$11+datos_base!$C$42)*parametros_carros!J$14</f>
        <v>0.0068</v>
      </c>
      <c r="M19" s="41" t="n">
        <f aca="false">(datos_base!$C$11+datos_base!$C$42)*parametros_carros!K$14</f>
        <v>0.006</v>
      </c>
      <c r="N19" s="41" t="n">
        <f aca="false">(datos_base!$C$11+datos_base!$C$42)*parametros_carros!L$14</f>
        <v>0.0056</v>
      </c>
      <c r="O19" s="41" t="n">
        <f aca="false">(datos_base!$C$11+datos_base!$C$42)*parametros_carros!M$14</f>
        <v>0.0064</v>
      </c>
      <c r="P19" s="42" t="n">
        <f aca="false">SUM(D19:O19)</f>
        <v>0.08</v>
      </c>
    </row>
    <row r="20" customFormat="false" ht="14.25" hidden="false" customHeight="true" outlineLevel="0" collapsed="false">
      <c r="A20" s="22" t="n">
        <v>2027</v>
      </c>
      <c r="B20" s="12" t="s">
        <v>54</v>
      </c>
      <c r="C20" s="12" t="s">
        <v>244</v>
      </c>
      <c r="D20" s="41" t="n">
        <f aca="false">(datos_base!$C$12+datos_base!$C$43)*parametros_carros!B$15</f>
        <v>0.0068</v>
      </c>
      <c r="E20" s="41" t="n">
        <f aca="false">(datos_base!$C$12+datos_base!$C$43)*parametros_carros!C$15</f>
        <v>0.006</v>
      </c>
      <c r="F20" s="41" t="n">
        <f aca="false">(datos_base!$C$12+datos_base!$C$43)*parametros_carros!D$15</f>
        <v>0.0072</v>
      </c>
      <c r="G20" s="41" t="n">
        <f aca="false">(datos_base!$C$12+datos_base!$C$43)*parametros_carros!E$15</f>
        <v>0.0072</v>
      </c>
      <c r="H20" s="41" t="n">
        <f aca="false">(datos_base!$C$12+datos_base!$C$43)*parametros_carros!F$15</f>
        <v>0.0072</v>
      </c>
      <c r="I20" s="41" t="n">
        <f aca="false">(datos_base!$C$12+datos_base!$C$43)*parametros_carros!G$15</f>
        <v>0.0064</v>
      </c>
      <c r="J20" s="41" t="n">
        <f aca="false">(datos_base!$C$12+datos_base!$C$43)*parametros_carros!H$15</f>
        <v>0.0072</v>
      </c>
      <c r="K20" s="41" t="n">
        <f aca="false">(datos_base!$C$12+datos_base!$C$43)*parametros_carros!I$15</f>
        <v>0.0072</v>
      </c>
      <c r="L20" s="41" t="n">
        <f aca="false">(datos_base!$C$12+datos_base!$C$43)*parametros_carros!J$15</f>
        <v>0.0068</v>
      </c>
      <c r="M20" s="41" t="n">
        <f aca="false">(datos_base!$C$12+datos_base!$C$43)*parametros_carros!K$15</f>
        <v>0.006</v>
      </c>
      <c r="N20" s="41" t="n">
        <f aca="false">(datos_base!$C$12+datos_base!$C$43)*parametros_carros!L$15</f>
        <v>0.0056</v>
      </c>
      <c r="O20" s="41" t="n">
        <f aca="false">(datos_base!$C$12+datos_base!$C$43)*parametros_carros!M$15</f>
        <v>0.0064</v>
      </c>
      <c r="P20" s="42" t="n">
        <f aca="false">SUM(D20:O20)</f>
        <v>0.08</v>
      </c>
    </row>
    <row r="21" customFormat="false" ht="14.25" hidden="false" customHeight="true" outlineLevel="0" collapsed="false">
      <c r="A21" s="43"/>
      <c r="B21" s="16" t="s">
        <v>245</v>
      </c>
      <c r="C21" s="43"/>
      <c r="D21" s="44" t="n">
        <f aca="false">SUM(D13:D20)</f>
        <v>20.0165301347</v>
      </c>
      <c r="E21" s="44" t="n">
        <f aca="false">SUM(E13:E20)</f>
        <v>17.6616442365</v>
      </c>
      <c r="F21" s="44" t="n">
        <f aca="false">SUM(F13:F20)</f>
        <v>21.1939730838</v>
      </c>
      <c r="G21" s="44" t="n">
        <f aca="false">SUM(G13:G20)</f>
        <v>21.1939730838</v>
      </c>
      <c r="H21" s="44" t="n">
        <f aca="false">SUM(H13:H20)</f>
        <v>21.1939730838</v>
      </c>
      <c r="I21" s="44" t="n">
        <f aca="false">SUM(I13:I20)</f>
        <v>18.8390871856</v>
      </c>
      <c r="J21" s="44" t="n">
        <f aca="false">SUM(J13:J20)</f>
        <v>21.1939730838</v>
      </c>
      <c r="K21" s="44" t="n">
        <f aca="false">SUM(K13:K20)</f>
        <v>21.1939730838</v>
      </c>
      <c r="L21" s="44" t="n">
        <f aca="false">SUM(L13:L20)</f>
        <v>20.0165301347</v>
      </c>
      <c r="M21" s="44" t="n">
        <f aca="false">SUM(M13:M20)</f>
        <v>17.6616442365</v>
      </c>
      <c r="N21" s="44" t="n">
        <f aca="false">SUM(N13:N20)</f>
        <v>16.4842012874</v>
      </c>
      <c r="O21" s="44" t="n">
        <f aca="false">SUM(O13:O20)</f>
        <v>18.8390871856</v>
      </c>
      <c r="P21" s="44" t="n">
        <f aca="false">SUM(P13:P20)</f>
        <v>235.48858982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11" t="n">
        <v>2028</v>
      </c>
      <c r="B23" s="11" t="s">
        <v>240</v>
      </c>
      <c r="C23" s="11" t="s">
        <v>241</v>
      </c>
      <c r="D23" s="11" t="s">
        <v>17</v>
      </c>
      <c r="E23" s="11" t="s">
        <v>18</v>
      </c>
      <c r="F23" s="11" t="s">
        <v>19</v>
      </c>
      <c r="G23" s="11" t="s">
        <v>20</v>
      </c>
      <c r="H23" s="11" t="s">
        <v>21</v>
      </c>
      <c r="I23" s="11" t="s">
        <v>22</v>
      </c>
      <c r="J23" s="11" t="s">
        <v>23</v>
      </c>
      <c r="K23" s="11" t="s">
        <v>24</v>
      </c>
      <c r="L23" s="11" t="s">
        <v>25</v>
      </c>
      <c r="M23" s="11" t="s">
        <v>26</v>
      </c>
      <c r="N23" s="11" t="s">
        <v>27</v>
      </c>
      <c r="O23" s="11" t="s">
        <v>28</v>
      </c>
      <c r="P23" s="11" t="s">
        <v>242</v>
      </c>
    </row>
    <row r="24" customFormat="false" ht="14.25" hidden="false" customHeight="true" outlineLevel="0" collapsed="false">
      <c r="A24" s="22" t="n">
        <v>2028</v>
      </c>
      <c r="B24" s="12" t="s">
        <v>41</v>
      </c>
      <c r="C24" s="12" t="s">
        <v>243</v>
      </c>
      <c r="D24" s="41" t="n">
        <f aca="false">(datos_base!$D$2+datos_base!$D$35)*parametros_carros!B$12</f>
        <v>6.3995258983</v>
      </c>
      <c r="E24" s="41" t="n">
        <f aca="false">(datos_base!$D$2+datos_base!$D$35)*parametros_carros!C$12</f>
        <v>5.6466404985</v>
      </c>
      <c r="F24" s="41" t="n">
        <f aca="false">(datos_base!$D$2+datos_base!$D$35)*parametros_carros!D$12</f>
        <v>6.7759685982</v>
      </c>
      <c r="G24" s="41" t="n">
        <f aca="false">(datos_base!$D$2+datos_base!$D$35)*parametros_carros!E$12</f>
        <v>6.7759685982</v>
      </c>
      <c r="H24" s="41" t="n">
        <f aca="false">(datos_base!$D$2+datos_base!$D$35)*parametros_carros!F$12</f>
        <v>6.7759685982</v>
      </c>
      <c r="I24" s="41" t="n">
        <f aca="false">(datos_base!$D$2+datos_base!$D$35)*parametros_carros!G$12</f>
        <v>6.0230831984</v>
      </c>
      <c r="J24" s="41" t="n">
        <f aca="false">(datos_base!$D$2+datos_base!$D$35)*parametros_carros!H$12</f>
        <v>6.7759685982</v>
      </c>
      <c r="K24" s="41" t="n">
        <f aca="false">(datos_base!$D$2+datos_base!$D$35)*parametros_carros!I$12</f>
        <v>6.7759685982</v>
      </c>
      <c r="L24" s="41" t="n">
        <f aca="false">(datos_base!$D$2+datos_base!$D$35)*parametros_carros!J$12</f>
        <v>6.3995258983</v>
      </c>
      <c r="M24" s="41" t="n">
        <f aca="false">(datos_base!$D$2+datos_base!$D$35)*parametros_carros!K$12</f>
        <v>5.6466404985</v>
      </c>
      <c r="N24" s="41" t="n">
        <f aca="false">(datos_base!$D$2+datos_base!$D$35)*parametros_carros!L$12</f>
        <v>5.2701977986</v>
      </c>
      <c r="O24" s="41" t="n">
        <f aca="false">(datos_base!$D$2+datos_base!$D$35)*parametros_carros!M$12</f>
        <v>6.0230831984</v>
      </c>
      <c r="P24" s="42" t="n">
        <f aca="false">SUM(D24:O24)</f>
        <v>75.28853998</v>
      </c>
    </row>
    <row r="25" customFormat="false" ht="14.25" hidden="false" customHeight="true" outlineLevel="0" collapsed="false">
      <c r="A25" s="22" t="n">
        <v>2028</v>
      </c>
      <c r="B25" s="12" t="s">
        <v>42</v>
      </c>
      <c r="C25" s="12" t="s">
        <v>243</v>
      </c>
      <c r="D25" s="41" t="n">
        <f aca="false">(datos_base!$D$3+datos_base!$D$36)*parametros_carros!B$13</f>
        <v>14.24079698</v>
      </c>
      <c r="E25" s="41" t="n">
        <f aca="false">(datos_base!$D$3+datos_base!$D$36)*parametros_carros!C$13</f>
        <v>12.5654091</v>
      </c>
      <c r="F25" s="41" t="n">
        <f aca="false">(datos_base!$D$3+datos_base!$D$36)*parametros_carros!D$13</f>
        <v>15.07849092</v>
      </c>
      <c r="G25" s="41" t="n">
        <f aca="false">(datos_base!$D$3+datos_base!$D$36)*parametros_carros!E$13</f>
        <v>15.07849092</v>
      </c>
      <c r="H25" s="41" t="n">
        <f aca="false">(datos_base!$D$3+datos_base!$D$36)*parametros_carros!F$13</f>
        <v>15.07849092</v>
      </c>
      <c r="I25" s="41" t="n">
        <f aca="false">(datos_base!$D$3+datos_base!$D$36)*parametros_carros!G$13</f>
        <v>13.40310304</v>
      </c>
      <c r="J25" s="41" t="n">
        <f aca="false">(datos_base!$D$3+datos_base!$D$36)*parametros_carros!H$13</f>
        <v>15.07849092</v>
      </c>
      <c r="K25" s="41" t="n">
        <f aca="false">(datos_base!$D$3+datos_base!$D$36)*parametros_carros!I$13</f>
        <v>15.07849092</v>
      </c>
      <c r="L25" s="41" t="n">
        <f aca="false">(datos_base!$D$3+datos_base!$D$36)*parametros_carros!J$13</f>
        <v>14.24079698</v>
      </c>
      <c r="M25" s="41" t="n">
        <f aca="false">(datos_base!$D$3+datos_base!$D$36)*parametros_carros!K$13</f>
        <v>12.5654091</v>
      </c>
      <c r="N25" s="41" t="n">
        <f aca="false">(datos_base!$D$3+datos_base!$D$36)*parametros_carros!L$13</f>
        <v>11.72771516</v>
      </c>
      <c r="O25" s="41" t="n">
        <f aca="false">(datos_base!$D$3+datos_base!$D$36)*parametros_carros!M$13</f>
        <v>13.40310304</v>
      </c>
      <c r="P25" s="42" t="n">
        <f aca="false">SUM(D25:O25)</f>
        <v>167.538788</v>
      </c>
    </row>
    <row r="26" customFormat="false" ht="14.25" hidden="false" customHeight="true" outlineLevel="0" collapsed="false">
      <c r="A26" s="22" t="n">
        <v>2028</v>
      </c>
      <c r="B26" s="12" t="s">
        <v>43</v>
      </c>
      <c r="C26" s="12" t="s">
        <v>243</v>
      </c>
      <c r="D26" s="41" t="n">
        <f aca="false">(datos_base!$D$4+datos_base!$D$37)*parametros_carros!B$14</f>
        <v>3.07530843115</v>
      </c>
      <c r="E26" s="41" t="n">
        <f aca="false">(datos_base!$D$4+datos_base!$D$37)*parametros_carros!C$14</f>
        <v>2.71350743925</v>
      </c>
      <c r="F26" s="41" t="n">
        <f aca="false">(datos_base!$D$4+datos_base!$D$37)*parametros_carros!D$14</f>
        <v>3.2562089271</v>
      </c>
      <c r="G26" s="41" t="n">
        <f aca="false">(datos_base!$D$4+datos_base!$D$37)*parametros_carros!E$14</f>
        <v>3.2562089271</v>
      </c>
      <c r="H26" s="41" t="n">
        <f aca="false">(datos_base!$D$4+datos_base!$D$37)*parametros_carros!F$14</f>
        <v>3.2562089271</v>
      </c>
      <c r="I26" s="41" t="n">
        <f aca="false">(datos_base!$D$4+datos_base!$D$37)*parametros_carros!G$14</f>
        <v>2.8944079352</v>
      </c>
      <c r="J26" s="41" t="n">
        <f aca="false">(datos_base!$D$4+datos_base!$D$37)*parametros_carros!H$14</f>
        <v>3.2562089271</v>
      </c>
      <c r="K26" s="41" t="n">
        <f aca="false">(datos_base!$D$4+datos_base!$D$37)*parametros_carros!I$14</f>
        <v>3.2562089271</v>
      </c>
      <c r="L26" s="41" t="n">
        <f aca="false">(datos_base!$D$4+datos_base!$D$37)*parametros_carros!J$14</f>
        <v>3.07530843115</v>
      </c>
      <c r="M26" s="41" t="n">
        <f aca="false">(datos_base!$D$4+datos_base!$D$37)*parametros_carros!K$14</f>
        <v>2.71350743925</v>
      </c>
      <c r="N26" s="41" t="n">
        <f aca="false">(datos_base!$D$4+datos_base!$D$37)*parametros_carros!L$14</f>
        <v>2.5326069433</v>
      </c>
      <c r="O26" s="41" t="n">
        <f aca="false">(datos_base!$D$4+datos_base!$D$37)*parametros_carros!M$14</f>
        <v>2.8944079352</v>
      </c>
      <c r="P26" s="42" t="n">
        <f aca="false">SUM(D26:O26)</f>
        <v>36.18009919</v>
      </c>
    </row>
    <row r="27" customFormat="false" ht="14.25" hidden="false" customHeight="true" outlineLevel="0" collapsed="false">
      <c r="A27" s="22" t="n">
        <v>2028</v>
      </c>
      <c r="B27" s="12" t="s">
        <v>44</v>
      </c>
      <c r="C27" s="12" t="s">
        <v>243</v>
      </c>
      <c r="D27" s="41" t="n">
        <f aca="false">(datos_base!$D$5+datos_base!$D$38)*parametros_carros!B$15</f>
        <v>2.05247228715</v>
      </c>
      <c r="E27" s="41" t="n">
        <f aca="false">(datos_base!$D$5+datos_base!$D$38)*parametros_carros!C$15</f>
        <v>1.81100495925</v>
      </c>
      <c r="F27" s="41" t="n">
        <f aca="false">(datos_base!$D$5+datos_base!$D$38)*parametros_carros!D$15</f>
        <v>2.1732059511</v>
      </c>
      <c r="G27" s="41" t="n">
        <f aca="false">(datos_base!$D$5+datos_base!$D$38)*parametros_carros!E$15</f>
        <v>2.1732059511</v>
      </c>
      <c r="H27" s="41" t="n">
        <f aca="false">(datos_base!$D$5+datos_base!$D$38)*parametros_carros!F$15</f>
        <v>2.1732059511</v>
      </c>
      <c r="I27" s="41" t="n">
        <f aca="false">(datos_base!$D$5+datos_base!$D$38)*parametros_carros!G$15</f>
        <v>1.9317386232</v>
      </c>
      <c r="J27" s="41" t="n">
        <f aca="false">(datos_base!$D$5+datos_base!$D$38)*parametros_carros!H$15</f>
        <v>2.1732059511</v>
      </c>
      <c r="K27" s="41" t="n">
        <f aca="false">(datos_base!$D$5+datos_base!$D$38)*parametros_carros!I$15</f>
        <v>2.1732059511</v>
      </c>
      <c r="L27" s="41" t="n">
        <f aca="false">(datos_base!$D$5+datos_base!$D$38)*parametros_carros!J$15</f>
        <v>2.05247228715</v>
      </c>
      <c r="M27" s="41" t="n">
        <f aca="false">(datos_base!$D$5+datos_base!$D$38)*parametros_carros!K$15</f>
        <v>1.81100495925</v>
      </c>
      <c r="N27" s="41" t="n">
        <f aca="false">(datos_base!$D$5+datos_base!$D$38)*parametros_carros!L$15</f>
        <v>1.6902712953</v>
      </c>
      <c r="O27" s="41" t="n">
        <f aca="false">(datos_base!$D$5+datos_base!$D$38)*parametros_carros!M$15</f>
        <v>1.9317386232</v>
      </c>
      <c r="P27" s="42" t="n">
        <f aca="false">SUM(D27:O27)</f>
        <v>24.14673279</v>
      </c>
    </row>
    <row r="28" customFormat="false" ht="14.25" hidden="false" customHeight="true" outlineLevel="0" collapsed="false">
      <c r="A28" s="22" t="n">
        <v>2028</v>
      </c>
      <c r="B28" s="12" t="s">
        <v>51</v>
      </c>
      <c r="C28" s="12" t="s">
        <v>244</v>
      </c>
      <c r="D28" s="41" t="n">
        <f aca="false">(datos_base!$D$9+datos_base!$D$40)*parametros_carros!B$12</f>
        <v>1.3158</v>
      </c>
      <c r="E28" s="41" t="n">
        <f aca="false">(datos_base!$D$9+datos_base!$D$40)*parametros_carros!C$12</f>
        <v>1.161</v>
      </c>
      <c r="F28" s="41" t="n">
        <f aca="false">(datos_base!$D$9+datos_base!$D$40)*parametros_carros!D$12</f>
        <v>1.3932</v>
      </c>
      <c r="G28" s="41" t="n">
        <f aca="false">(datos_base!$D$9+datos_base!$D$40)*parametros_carros!E$12</f>
        <v>1.3932</v>
      </c>
      <c r="H28" s="41" t="n">
        <f aca="false">(datos_base!$D$9+datos_base!$D$40)*parametros_carros!F$12</f>
        <v>1.3932</v>
      </c>
      <c r="I28" s="41" t="n">
        <f aca="false">(datos_base!$D$9+datos_base!$D$40)*parametros_carros!G$12</f>
        <v>1.2384</v>
      </c>
      <c r="J28" s="41" t="n">
        <f aca="false">(datos_base!$D$9+datos_base!$D$40)*parametros_carros!H$12</f>
        <v>1.3932</v>
      </c>
      <c r="K28" s="41" t="n">
        <f aca="false">(datos_base!$D$9+datos_base!$D$40)*parametros_carros!I$12</f>
        <v>1.3932</v>
      </c>
      <c r="L28" s="41" t="n">
        <f aca="false">(datos_base!$D$9+datos_base!$D$40)*parametros_carros!J$12</f>
        <v>1.3158</v>
      </c>
      <c r="M28" s="41" t="n">
        <f aca="false">(datos_base!$D$9+datos_base!$D$40)*parametros_carros!K$12</f>
        <v>1.161</v>
      </c>
      <c r="N28" s="41" t="n">
        <f aca="false">(datos_base!$D$9+datos_base!$D$40)*parametros_carros!L$12</f>
        <v>1.0836</v>
      </c>
      <c r="O28" s="41" t="n">
        <f aca="false">(datos_base!$D$9+datos_base!$D$40)*parametros_carros!M$12</f>
        <v>1.2384</v>
      </c>
      <c r="P28" s="42" t="n">
        <f aca="false">SUM(D28:O28)</f>
        <v>15.48</v>
      </c>
    </row>
    <row r="29" customFormat="false" ht="14.25" hidden="false" customHeight="true" outlineLevel="0" collapsed="false">
      <c r="A29" s="22" t="n">
        <v>2028</v>
      </c>
      <c r="B29" s="12" t="s">
        <v>52</v>
      </c>
      <c r="C29" s="12" t="s">
        <v>244</v>
      </c>
      <c r="D29" s="41" t="n">
        <f aca="false">(datos_base!$D$10+datos_base!$D$41)*parametros_carros!B$13</f>
        <v>2.8866</v>
      </c>
      <c r="E29" s="41" t="n">
        <f aca="false">(datos_base!$D$10+datos_base!$D$41)*parametros_carros!C$13</f>
        <v>2.547</v>
      </c>
      <c r="F29" s="41" t="n">
        <f aca="false">(datos_base!$D$10+datos_base!$D$41)*parametros_carros!D$13</f>
        <v>3.0564</v>
      </c>
      <c r="G29" s="41" t="n">
        <f aca="false">(datos_base!$D$10+datos_base!$D$41)*parametros_carros!E$13</f>
        <v>3.0564</v>
      </c>
      <c r="H29" s="41" t="n">
        <f aca="false">(datos_base!$D$10+datos_base!$D$41)*parametros_carros!F$13</f>
        <v>3.0564</v>
      </c>
      <c r="I29" s="41" t="n">
        <f aca="false">(datos_base!$D$10+datos_base!$D$41)*parametros_carros!G$13</f>
        <v>2.7168</v>
      </c>
      <c r="J29" s="41" t="n">
        <f aca="false">(datos_base!$D$10+datos_base!$D$41)*parametros_carros!H$13</f>
        <v>3.0564</v>
      </c>
      <c r="K29" s="41" t="n">
        <f aca="false">(datos_base!$D$10+datos_base!$D$41)*parametros_carros!I$13</f>
        <v>3.0564</v>
      </c>
      <c r="L29" s="41" t="n">
        <f aca="false">(datos_base!$D$10+datos_base!$D$41)*parametros_carros!J$13</f>
        <v>2.8866</v>
      </c>
      <c r="M29" s="41" t="n">
        <f aca="false">(datos_base!$D$10+datos_base!$D$41)*parametros_carros!K$13</f>
        <v>2.547</v>
      </c>
      <c r="N29" s="41" t="n">
        <f aca="false">(datos_base!$D$10+datos_base!$D$41)*parametros_carros!L$13</f>
        <v>2.3772</v>
      </c>
      <c r="O29" s="41" t="n">
        <f aca="false">(datos_base!$D$10+datos_base!$D$41)*parametros_carros!M$13</f>
        <v>2.7168</v>
      </c>
      <c r="P29" s="42" t="n">
        <f aca="false">SUM(D29:O29)</f>
        <v>33.96</v>
      </c>
    </row>
    <row r="30" customFormat="false" ht="14.25" hidden="false" customHeight="true" outlineLevel="0" collapsed="false">
      <c r="A30" s="22" t="n">
        <v>2028</v>
      </c>
      <c r="B30" s="12" t="s">
        <v>53</v>
      </c>
      <c r="C30" s="12" t="s">
        <v>244</v>
      </c>
      <c r="D30" s="41" t="n">
        <f aca="false">(datos_base!$D$11+datos_base!$D$42)*parametros_carros!B$14</f>
        <v>0.6018</v>
      </c>
      <c r="E30" s="41" t="n">
        <f aca="false">(datos_base!$D$11+datos_base!$D$42)*parametros_carros!C$14</f>
        <v>0.531</v>
      </c>
      <c r="F30" s="41" t="n">
        <f aca="false">(datos_base!$D$11+datos_base!$D$42)*parametros_carros!D$14</f>
        <v>0.6372</v>
      </c>
      <c r="G30" s="41" t="n">
        <f aca="false">(datos_base!$D$11+datos_base!$D$42)*parametros_carros!E$14</f>
        <v>0.6372</v>
      </c>
      <c r="H30" s="41" t="n">
        <f aca="false">(datos_base!$D$11+datos_base!$D$42)*parametros_carros!F$14</f>
        <v>0.6372</v>
      </c>
      <c r="I30" s="41" t="n">
        <f aca="false">(datos_base!$D$11+datos_base!$D$42)*parametros_carros!G$14</f>
        <v>0.5664</v>
      </c>
      <c r="J30" s="41" t="n">
        <f aca="false">(datos_base!$D$11+datos_base!$D$42)*parametros_carros!H$14</f>
        <v>0.6372</v>
      </c>
      <c r="K30" s="41" t="n">
        <f aca="false">(datos_base!$D$11+datos_base!$D$42)*parametros_carros!I$14</f>
        <v>0.6372</v>
      </c>
      <c r="L30" s="41" t="n">
        <f aca="false">(datos_base!$D$11+datos_base!$D$42)*parametros_carros!J$14</f>
        <v>0.6018</v>
      </c>
      <c r="M30" s="41" t="n">
        <f aca="false">(datos_base!$D$11+datos_base!$D$42)*parametros_carros!K$14</f>
        <v>0.531</v>
      </c>
      <c r="N30" s="41" t="n">
        <f aca="false">(datos_base!$D$11+datos_base!$D$42)*parametros_carros!L$14</f>
        <v>0.4956</v>
      </c>
      <c r="O30" s="41" t="n">
        <f aca="false">(datos_base!$D$11+datos_base!$D$42)*parametros_carros!M$14</f>
        <v>0.5664</v>
      </c>
      <c r="P30" s="42" t="n">
        <f aca="false">SUM(D30:O30)</f>
        <v>7.08</v>
      </c>
    </row>
    <row r="31" customFormat="false" ht="14.25" hidden="false" customHeight="true" outlineLevel="0" collapsed="false">
      <c r="A31" s="22" t="n">
        <v>2028</v>
      </c>
      <c r="B31" s="12" t="s">
        <v>54</v>
      </c>
      <c r="C31" s="12" t="s">
        <v>244</v>
      </c>
      <c r="D31" s="41" t="n">
        <f aca="false">(datos_base!$D$12+datos_base!$D$43)*parametros_carros!B$15</f>
        <v>0.3978</v>
      </c>
      <c r="E31" s="41" t="n">
        <f aca="false">(datos_base!$D$12+datos_base!$D$43)*parametros_carros!C$15</f>
        <v>0.351</v>
      </c>
      <c r="F31" s="41" t="n">
        <f aca="false">(datos_base!$D$12+datos_base!$D$43)*parametros_carros!D$15</f>
        <v>0.4212</v>
      </c>
      <c r="G31" s="41" t="n">
        <f aca="false">(datos_base!$D$12+datos_base!$D$43)*parametros_carros!E$15</f>
        <v>0.4212</v>
      </c>
      <c r="H31" s="41" t="n">
        <f aca="false">(datos_base!$D$12+datos_base!$D$43)*parametros_carros!F$15</f>
        <v>0.4212</v>
      </c>
      <c r="I31" s="41" t="n">
        <f aca="false">(datos_base!$D$12+datos_base!$D$43)*parametros_carros!G$15</f>
        <v>0.3744</v>
      </c>
      <c r="J31" s="41" t="n">
        <f aca="false">(datos_base!$D$12+datos_base!$D$43)*parametros_carros!H$15</f>
        <v>0.4212</v>
      </c>
      <c r="K31" s="41" t="n">
        <f aca="false">(datos_base!$D$12+datos_base!$D$43)*parametros_carros!I$15</f>
        <v>0.4212</v>
      </c>
      <c r="L31" s="41" t="n">
        <f aca="false">(datos_base!$D$12+datos_base!$D$43)*parametros_carros!J$15</f>
        <v>0.3978</v>
      </c>
      <c r="M31" s="41" t="n">
        <f aca="false">(datos_base!$D$12+datos_base!$D$43)*parametros_carros!K$15</f>
        <v>0.351</v>
      </c>
      <c r="N31" s="41" t="n">
        <f aca="false">(datos_base!$D$12+datos_base!$D$43)*parametros_carros!L$15</f>
        <v>0.3276</v>
      </c>
      <c r="O31" s="41" t="n">
        <f aca="false">(datos_base!$D$12+datos_base!$D$43)*parametros_carros!M$15</f>
        <v>0.3744</v>
      </c>
      <c r="P31" s="42" t="n">
        <f aca="false">SUM(D31:O31)</f>
        <v>4.68</v>
      </c>
    </row>
    <row r="32" customFormat="false" ht="14.25" hidden="false" customHeight="true" outlineLevel="0" collapsed="false">
      <c r="A32" s="43"/>
      <c r="B32" s="16" t="s">
        <v>245</v>
      </c>
      <c r="C32" s="43"/>
      <c r="D32" s="44" t="n">
        <f aca="false">SUM(D24:D31)</f>
        <v>30.9701035966</v>
      </c>
      <c r="E32" s="44" t="n">
        <f aca="false">SUM(E24:E31)</f>
        <v>27.326561997</v>
      </c>
      <c r="F32" s="44" t="n">
        <f aca="false">SUM(F24:F31)</f>
        <v>32.7918743964</v>
      </c>
      <c r="G32" s="44" t="n">
        <f aca="false">SUM(G24:G31)</f>
        <v>32.7918743964</v>
      </c>
      <c r="H32" s="44" t="n">
        <f aca="false">SUM(H24:H31)</f>
        <v>32.7918743964</v>
      </c>
      <c r="I32" s="44" t="n">
        <f aca="false">SUM(I24:I31)</f>
        <v>29.1483327968</v>
      </c>
      <c r="J32" s="44" t="n">
        <f aca="false">SUM(J24:J31)</f>
        <v>32.7918743964</v>
      </c>
      <c r="K32" s="44" t="n">
        <f aca="false">SUM(K24:K31)</f>
        <v>32.7918743964</v>
      </c>
      <c r="L32" s="44" t="n">
        <f aca="false">SUM(L24:L31)</f>
        <v>30.9701035966</v>
      </c>
      <c r="M32" s="44" t="n">
        <f aca="false">SUM(M24:M31)</f>
        <v>27.326561997</v>
      </c>
      <c r="N32" s="44" t="n">
        <f aca="false">SUM(N24:N31)</f>
        <v>25.5047911972</v>
      </c>
      <c r="O32" s="44" t="n">
        <f aca="false">SUM(O24:O31)</f>
        <v>29.1483327968</v>
      </c>
      <c r="P32" s="44" t="n">
        <f aca="false">SUM(P24:P31)</f>
        <v>364.35415996</v>
      </c>
    </row>
    <row r="33" customFormat="false" ht="14.25" hidden="false" customHeight="true" outlineLevel="0" collapsed="false"/>
    <row r="34" customFormat="false" ht="14.25" hidden="false" customHeight="true" outlineLevel="0" collapsed="false">
      <c r="A34" s="11" t="n">
        <v>2029</v>
      </c>
      <c r="B34" s="11" t="s">
        <v>240</v>
      </c>
      <c r="C34" s="11" t="s">
        <v>241</v>
      </c>
      <c r="D34" s="11" t="s">
        <v>17</v>
      </c>
      <c r="E34" s="11" t="s">
        <v>18</v>
      </c>
      <c r="F34" s="11" t="s">
        <v>19</v>
      </c>
      <c r="G34" s="11" t="s">
        <v>20</v>
      </c>
      <c r="H34" s="11" t="s">
        <v>21</v>
      </c>
      <c r="I34" s="11" t="s">
        <v>22</v>
      </c>
      <c r="J34" s="11" t="s">
        <v>23</v>
      </c>
      <c r="K34" s="11" t="s">
        <v>24</v>
      </c>
      <c r="L34" s="11" t="s">
        <v>25</v>
      </c>
      <c r="M34" s="11" t="s">
        <v>26</v>
      </c>
      <c r="N34" s="11" t="s">
        <v>27</v>
      </c>
      <c r="O34" s="11" t="s">
        <v>28</v>
      </c>
      <c r="P34" s="11" t="s">
        <v>242</v>
      </c>
    </row>
    <row r="35" customFormat="false" ht="14.25" hidden="false" customHeight="true" outlineLevel="0" collapsed="false">
      <c r="A35" s="22" t="n">
        <v>2029</v>
      </c>
      <c r="B35" s="12" t="s">
        <v>41</v>
      </c>
      <c r="C35" s="12" t="s">
        <v>243</v>
      </c>
      <c r="D35" s="41" t="n">
        <f aca="false">(datos_base!$E$2+datos_base!$E$35)*parametros_carros!B$12</f>
        <v>8.6368374965</v>
      </c>
      <c r="E35" s="41" t="n">
        <f aca="false">(datos_base!$E$2+datos_base!$E$35)*parametros_carros!C$12</f>
        <v>7.6207389675</v>
      </c>
      <c r="F35" s="41" t="n">
        <f aca="false">(datos_base!$E$2+datos_base!$E$35)*parametros_carros!D$12</f>
        <v>9.144886761</v>
      </c>
      <c r="G35" s="41" t="n">
        <f aca="false">(datos_base!$E$2+datos_base!$E$35)*parametros_carros!E$12</f>
        <v>9.144886761</v>
      </c>
      <c r="H35" s="41" t="n">
        <f aca="false">(datos_base!$E$2+datos_base!$E$35)*parametros_carros!F$12</f>
        <v>9.144886761</v>
      </c>
      <c r="I35" s="41" t="n">
        <f aca="false">(datos_base!$E$2+datos_base!$E$35)*parametros_carros!G$12</f>
        <v>8.128788232</v>
      </c>
      <c r="J35" s="41" t="n">
        <f aca="false">(datos_base!$E$2+datos_base!$E$35)*parametros_carros!H$12</f>
        <v>9.144886761</v>
      </c>
      <c r="K35" s="41" t="n">
        <f aca="false">(datos_base!$E$2+datos_base!$E$35)*parametros_carros!I$12</f>
        <v>9.144886761</v>
      </c>
      <c r="L35" s="41" t="n">
        <f aca="false">(datos_base!$E$2+datos_base!$E$35)*parametros_carros!J$12</f>
        <v>8.6368374965</v>
      </c>
      <c r="M35" s="41" t="n">
        <f aca="false">(datos_base!$E$2+datos_base!$E$35)*parametros_carros!K$12</f>
        <v>7.6207389675</v>
      </c>
      <c r="N35" s="41" t="n">
        <f aca="false">(datos_base!$E$2+datos_base!$E$35)*parametros_carros!L$12</f>
        <v>7.112689703</v>
      </c>
      <c r="O35" s="41" t="n">
        <f aca="false">(datos_base!$E$2+datos_base!$E$35)*parametros_carros!M$12</f>
        <v>8.128788232</v>
      </c>
      <c r="P35" s="42" t="n">
        <f aca="false">SUM(D35:O35)</f>
        <v>101.6098529</v>
      </c>
    </row>
    <row r="36" customFormat="false" ht="14.25" hidden="false" customHeight="true" outlineLevel="0" collapsed="false">
      <c r="A36" s="22" t="n">
        <v>2029</v>
      </c>
      <c r="B36" s="12" t="s">
        <v>42</v>
      </c>
      <c r="C36" s="12" t="s">
        <v>243</v>
      </c>
      <c r="D36" s="41" t="n">
        <f aca="false">(datos_base!$E$3+datos_base!$E$36)*parametros_carros!B$13</f>
        <v>18.9044825025</v>
      </c>
      <c r="E36" s="41" t="n">
        <f aca="false">(datos_base!$E$3+datos_base!$E$36)*parametros_carros!C$13</f>
        <v>16.6804257375</v>
      </c>
      <c r="F36" s="41" t="n">
        <f aca="false">(datos_base!$E$3+datos_base!$E$36)*parametros_carros!D$13</f>
        <v>20.016510885</v>
      </c>
      <c r="G36" s="41" t="n">
        <f aca="false">(datos_base!$E$3+datos_base!$E$36)*parametros_carros!E$13</f>
        <v>20.016510885</v>
      </c>
      <c r="H36" s="41" t="n">
        <f aca="false">(datos_base!$E$3+datos_base!$E$36)*parametros_carros!F$13</f>
        <v>20.016510885</v>
      </c>
      <c r="I36" s="41" t="n">
        <f aca="false">(datos_base!$E$3+datos_base!$E$36)*parametros_carros!G$13</f>
        <v>17.79245412</v>
      </c>
      <c r="J36" s="41" t="n">
        <f aca="false">(datos_base!$E$3+datos_base!$E$36)*parametros_carros!H$13</f>
        <v>20.016510885</v>
      </c>
      <c r="K36" s="41" t="n">
        <f aca="false">(datos_base!$E$3+datos_base!$E$36)*parametros_carros!I$13</f>
        <v>20.016510885</v>
      </c>
      <c r="L36" s="41" t="n">
        <f aca="false">(datos_base!$E$3+datos_base!$E$36)*parametros_carros!J$13</f>
        <v>18.9044825025</v>
      </c>
      <c r="M36" s="41" t="n">
        <f aca="false">(datos_base!$E$3+datos_base!$E$36)*parametros_carros!K$13</f>
        <v>16.6804257375</v>
      </c>
      <c r="N36" s="41" t="n">
        <f aca="false">(datos_base!$E$3+datos_base!$E$36)*parametros_carros!L$13</f>
        <v>15.568397355</v>
      </c>
      <c r="O36" s="41" t="n">
        <f aca="false">(datos_base!$E$3+datos_base!$E$36)*parametros_carros!M$13</f>
        <v>17.79245412</v>
      </c>
      <c r="P36" s="42" t="n">
        <f aca="false">SUM(D36:O36)</f>
        <v>222.4056765</v>
      </c>
    </row>
    <row r="37" customFormat="false" ht="14.25" hidden="false" customHeight="true" outlineLevel="0" collapsed="false">
      <c r="A37" s="22" t="n">
        <v>2029</v>
      </c>
      <c r="B37" s="12" t="s">
        <v>43</v>
      </c>
      <c r="C37" s="12" t="s">
        <v>243</v>
      </c>
      <c r="D37" s="41" t="n">
        <f aca="false">(datos_base!$E$4+datos_base!$E$37)*parametros_carros!B$14</f>
        <v>4.10841799985</v>
      </c>
      <c r="E37" s="41" t="n">
        <f aca="false">(datos_base!$E$4+datos_base!$E$37)*parametros_carros!C$14</f>
        <v>3.62507470575</v>
      </c>
      <c r="F37" s="41" t="n">
        <f aca="false">(datos_base!$E$4+datos_base!$E$37)*parametros_carros!D$14</f>
        <v>4.3500896469</v>
      </c>
      <c r="G37" s="41" t="n">
        <f aca="false">(datos_base!$E$4+datos_base!$E$37)*parametros_carros!E$14</f>
        <v>4.3500896469</v>
      </c>
      <c r="H37" s="41" t="n">
        <f aca="false">(datos_base!$E$4+datos_base!$E$37)*parametros_carros!F$14</f>
        <v>4.3500896469</v>
      </c>
      <c r="I37" s="41" t="n">
        <f aca="false">(datos_base!$E$4+datos_base!$E$37)*parametros_carros!G$14</f>
        <v>3.8667463528</v>
      </c>
      <c r="J37" s="41" t="n">
        <f aca="false">(datos_base!$E$4+datos_base!$E$37)*parametros_carros!H$14</f>
        <v>4.3500896469</v>
      </c>
      <c r="K37" s="41" t="n">
        <f aca="false">(datos_base!$E$4+datos_base!$E$37)*parametros_carros!I$14</f>
        <v>4.3500896469</v>
      </c>
      <c r="L37" s="41" t="n">
        <f aca="false">(datos_base!$E$4+datos_base!$E$37)*parametros_carros!J$14</f>
        <v>4.10841799985</v>
      </c>
      <c r="M37" s="41" t="n">
        <f aca="false">(datos_base!$E$4+datos_base!$E$37)*parametros_carros!K$14</f>
        <v>3.62507470575</v>
      </c>
      <c r="N37" s="41" t="n">
        <f aca="false">(datos_base!$E$4+datos_base!$E$37)*parametros_carros!L$14</f>
        <v>3.3834030587</v>
      </c>
      <c r="O37" s="41" t="n">
        <f aca="false">(datos_base!$E$4+datos_base!$E$37)*parametros_carros!M$14</f>
        <v>3.8667463528</v>
      </c>
      <c r="P37" s="42" t="n">
        <f aca="false">SUM(D37:O37)</f>
        <v>48.33432941</v>
      </c>
    </row>
    <row r="38" customFormat="false" ht="14.25" hidden="false" customHeight="true" outlineLevel="0" collapsed="false">
      <c r="A38" s="22" t="n">
        <v>2029</v>
      </c>
      <c r="B38" s="12" t="s">
        <v>44</v>
      </c>
      <c r="C38" s="12" t="s">
        <v>243</v>
      </c>
      <c r="D38" s="41" t="n">
        <f aca="false">(datos_base!$E$5+datos_base!$E$38)*parametros_carros!B$15</f>
        <v>2.7412119999</v>
      </c>
      <c r="E38" s="41" t="n">
        <f aca="false">(datos_base!$E$5+datos_base!$E$38)*parametros_carros!C$15</f>
        <v>2.4187164705</v>
      </c>
      <c r="F38" s="41" t="n">
        <f aca="false">(datos_base!$E$5+datos_base!$E$38)*parametros_carros!D$15</f>
        <v>2.9024597646</v>
      </c>
      <c r="G38" s="41" t="n">
        <f aca="false">(datos_base!$E$5+datos_base!$E$38)*parametros_carros!E$15</f>
        <v>2.9024597646</v>
      </c>
      <c r="H38" s="41" t="n">
        <f aca="false">(datos_base!$E$5+datos_base!$E$38)*parametros_carros!F$15</f>
        <v>2.9024597646</v>
      </c>
      <c r="I38" s="41" t="n">
        <f aca="false">(datos_base!$E$5+datos_base!$E$38)*parametros_carros!G$15</f>
        <v>2.5799642352</v>
      </c>
      <c r="J38" s="41" t="n">
        <f aca="false">(datos_base!$E$5+datos_base!$E$38)*parametros_carros!H$15</f>
        <v>2.9024597646</v>
      </c>
      <c r="K38" s="41" t="n">
        <f aca="false">(datos_base!$E$5+datos_base!$E$38)*parametros_carros!I$15</f>
        <v>2.9024597646</v>
      </c>
      <c r="L38" s="41" t="n">
        <f aca="false">(datos_base!$E$5+datos_base!$E$38)*parametros_carros!J$15</f>
        <v>2.7412119999</v>
      </c>
      <c r="M38" s="41" t="n">
        <f aca="false">(datos_base!$E$5+datos_base!$E$38)*parametros_carros!K$15</f>
        <v>2.4187164705</v>
      </c>
      <c r="N38" s="41" t="n">
        <f aca="false">(datos_base!$E$5+datos_base!$E$38)*parametros_carros!L$15</f>
        <v>2.2574687058</v>
      </c>
      <c r="O38" s="41" t="n">
        <f aca="false">(datos_base!$E$5+datos_base!$E$38)*parametros_carros!M$15</f>
        <v>2.5799642352</v>
      </c>
      <c r="P38" s="42" t="n">
        <f aca="false">SUM(D38:O38)</f>
        <v>32.24955294</v>
      </c>
    </row>
    <row r="39" customFormat="false" ht="14.25" hidden="false" customHeight="true" outlineLevel="0" collapsed="false">
      <c r="A39" s="22" t="n">
        <v>2029</v>
      </c>
      <c r="B39" s="12" t="s">
        <v>51</v>
      </c>
      <c r="C39" s="12" t="s">
        <v>244</v>
      </c>
      <c r="D39" s="41" t="n">
        <f aca="false">(datos_base!$E$9+datos_base!$E$40)*parametros_carros!B$12</f>
        <v>4.4506</v>
      </c>
      <c r="E39" s="41" t="n">
        <f aca="false">(datos_base!$E$9+datos_base!$E$40)*parametros_carros!C$12</f>
        <v>3.927</v>
      </c>
      <c r="F39" s="41" t="n">
        <f aca="false">(datos_base!$E$9+datos_base!$E$40)*parametros_carros!D$12</f>
        <v>4.7124</v>
      </c>
      <c r="G39" s="41" t="n">
        <f aca="false">(datos_base!$E$9+datos_base!$E$40)*parametros_carros!E$12</f>
        <v>4.7124</v>
      </c>
      <c r="H39" s="41" t="n">
        <f aca="false">(datos_base!$E$9+datos_base!$E$40)*parametros_carros!F$12</f>
        <v>4.7124</v>
      </c>
      <c r="I39" s="41" t="n">
        <f aca="false">(datos_base!$E$9+datos_base!$E$40)*parametros_carros!G$12</f>
        <v>4.1888</v>
      </c>
      <c r="J39" s="41" t="n">
        <f aca="false">(datos_base!$E$9+datos_base!$E$40)*parametros_carros!H$12</f>
        <v>4.7124</v>
      </c>
      <c r="K39" s="41" t="n">
        <f aca="false">(datos_base!$E$9+datos_base!$E$40)*parametros_carros!I$12</f>
        <v>4.7124</v>
      </c>
      <c r="L39" s="41" t="n">
        <f aca="false">(datos_base!$E$9+datos_base!$E$40)*parametros_carros!J$12</f>
        <v>4.4506</v>
      </c>
      <c r="M39" s="41" t="n">
        <f aca="false">(datos_base!$E$9+datos_base!$E$40)*parametros_carros!K$12</f>
        <v>3.927</v>
      </c>
      <c r="N39" s="41" t="n">
        <f aca="false">(datos_base!$E$9+datos_base!$E$40)*parametros_carros!L$12</f>
        <v>3.6652</v>
      </c>
      <c r="O39" s="41" t="n">
        <f aca="false">(datos_base!$E$9+datos_base!$E$40)*parametros_carros!M$12</f>
        <v>4.1888</v>
      </c>
      <c r="P39" s="42" t="n">
        <f aca="false">SUM(D39:O39)</f>
        <v>52.36</v>
      </c>
    </row>
    <row r="40" customFormat="false" ht="14.25" hidden="false" customHeight="true" outlineLevel="0" collapsed="false">
      <c r="A40" s="22" t="n">
        <v>2029</v>
      </c>
      <c r="B40" s="12" t="s">
        <v>52</v>
      </c>
      <c r="C40" s="12" t="s">
        <v>244</v>
      </c>
      <c r="D40" s="41" t="n">
        <f aca="false">(datos_base!$E$10+datos_base!$E$41)*parametros_carros!B$13</f>
        <v>9.7002</v>
      </c>
      <c r="E40" s="41" t="n">
        <f aca="false">(datos_base!$E$10+datos_base!$E$41)*parametros_carros!C$13</f>
        <v>8.559</v>
      </c>
      <c r="F40" s="41" t="n">
        <f aca="false">(datos_base!$E$10+datos_base!$E$41)*parametros_carros!D$13</f>
        <v>10.2708</v>
      </c>
      <c r="G40" s="41" t="n">
        <f aca="false">(datos_base!$E$10+datos_base!$E$41)*parametros_carros!E$13</f>
        <v>10.2708</v>
      </c>
      <c r="H40" s="41" t="n">
        <f aca="false">(datos_base!$E$10+datos_base!$E$41)*parametros_carros!F$13</f>
        <v>10.2708</v>
      </c>
      <c r="I40" s="41" t="n">
        <f aca="false">(datos_base!$E$10+datos_base!$E$41)*parametros_carros!G$13</f>
        <v>9.1296</v>
      </c>
      <c r="J40" s="41" t="n">
        <f aca="false">(datos_base!$E$10+datos_base!$E$41)*parametros_carros!H$13</f>
        <v>10.2708</v>
      </c>
      <c r="K40" s="41" t="n">
        <f aca="false">(datos_base!$E$10+datos_base!$E$41)*parametros_carros!I$13</f>
        <v>10.2708</v>
      </c>
      <c r="L40" s="41" t="n">
        <f aca="false">(datos_base!$E$10+datos_base!$E$41)*parametros_carros!J$13</f>
        <v>9.7002</v>
      </c>
      <c r="M40" s="41" t="n">
        <f aca="false">(datos_base!$E$10+datos_base!$E$41)*parametros_carros!K$13</f>
        <v>8.559</v>
      </c>
      <c r="N40" s="41" t="n">
        <f aca="false">(datos_base!$E$10+datos_base!$E$41)*parametros_carros!L$13</f>
        <v>7.9884</v>
      </c>
      <c r="O40" s="41" t="n">
        <f aca="false">(datos_base!$E$10+datos_base!$E$41)*parametros_carros!M$13</f>
        <v>9.1296</v>
      </c>
      <c r="P40" s="42" t="n">
        <f aca="false">SUM(D40:O40)</f>
        <v>114.12</v>
      </c>
    </row>
    <row r="41" customFormat="false" ht="14.25" hidden="false" customHeight="true" outlineLevel="0" collapsed="false">
      <c r="A41" s="22" t="n">
        <v>2029</v>
      </c>
      <c r="B41" s="12" t="s">
        <v>53</v>
      </c>
      <c r="C41" s="12" t="s">
        <v>244</v>
      </c>
      <c r="D41" s="41" t="n">
        <f aca="false">(datos_base!$E$11+datos_base!$E$42)*parametros_carros!B$14</f>
        <v>2.1658</v>
      </c>
      <c r="E41" s="41" t="n">
        <f aca="false">(datos_base!$E$11+datos_base!$E$42)*parametros_carros!C$14</f>
        <v>1.911</v>
      </c>
      <c r="F41" s="41" t="n">
        <f aca="false">(datos_base!$E$11+datos_base!$E$42)*parametros_carros!D$14</f>
        <v>2.2932</v>
      </c>
      <c r="G41" s="41" t="n">
        <f aca="false">(datos_base!$E$11+datos_base!$E$42)*parametros_carros!E$14</f>
        <v>2.2932</v>
      </c>
      <c r="H41" s="41" t="n">
        <f aca="false">(datos_base!$E$11+datos_base!$E$42)*parametros_carros!F$14</f>
        <v>2.2932</v>
      </c>
      <c r="I41" s="41" t="n">
        <f aca="false">(datos_base!$E$11+datos_base!$E$42)*parametros_carros!G$14</f>
        <v>2.0384</v>
      </c>
      <c r="J41" s="41" t="n">
        <f aca="false">(datos_base!$E$11+datos_base!$E$42)*parametros_carros!H$14</f>
        <v>2.2932</v>
      </c>
      <c r="K41" s="41" t="n">
        <f aca="false">(datos_base!$E$11+datos_base!$E$42)*parametros_carros!I$14</f>
        <v>2.2932</v>
      </c>
      <c r="L41" s="41" t="n">
        <f aca="false">(datos_base!$E$11+datos_base!$E$42)*parametros_carros!J$14</f>
        <v>2.1658</v>
      </c>
      <c r="M41" s="41" t="n">
        <f aca="false">(datos_base!$E$11+datos_base!$E$42)*parametros_carros!K$14</f>
        <v>1.911</v>
      </c>
      <c r="N41" s="41" t="n">
        <f aca="false">(datos_base!$E$11+datos_base!$E$42)*parametros_carros!L$14</f>
        <v>1.7836</v>
      </c>
      <c r="O41" s="41" t="n">
        <f aca="false">(datos_base!$E$11+datos_base!$E$42)*parametros_carros!M$14</f>
        <v>2.0384</v>
      </c>
      <c r="P41" s="42" t="n">
        <f aca="false">SUM(D41:O41)</f>
        <v>25.48</v>
      </c>
    </row>
    <row r="42" customFormat="false" ht="14.25" hidden="false" customHeight="true" outlineLevel="0" collapsed="false">
      <c r="A42" s="22" t="n">
        <v>2029</v>
      </c>
      <c r="B42" s="12" t="s">
        <v>54</v>
      </c>
      <c r="C42" s="12" t="s">
        <v>244</v>
      </c>
      <c r="D42" s="41" t="n">
        <f aca="false">(datos_base!$E$12+datos_base!$E$43)*parametros_carros!B$15</f>
        <v>1.3668</v>
      </c>
      <c r="E42" s="41" t="n">
        <f aca="false">(datos_base!$E$12+datos_base!$E$43)*parametros_carros!C$15</f>
        <v>1.206</v>
      </c>
      <c r="F42" s="41" t="n">
        <f aca="false">(datos_base!$E$12+datos_base!$E$43)*parametros_carros!D$15</f>
        <v>1.4472</v>
      </c>
      <c r="G42" s="41" t="n">
        <f aca="false">(datos_base!$E$12+datos_base!$E$43)*parametros_carros!E$15</f>
        <v>1.4472</v>
      </c>
      <c r="H42" s="41" t="n">
        <f aca="false">(datos_base!$E$12+datos_base!$E$43)*parametros_carros!F$15</f>
        <v>1.4472</v>
      </c>
      <c r="I42" s="41" t="n">
        <f aca="false">(datos_base!$E$12+datos_base!$E$43)*parametros_carros!G$15</f>
        <v>1.2864</v>
      </c>
      <c r="J42" s="41" t="n">
        <f aca="false">(datos_base!$E$12+datos_base!$E$43)*parametros_carros!H$15</f>
        <v>1.4472</v>
      </c>
      <c r="K42" s="41" t="n">
        <f aca="false">(datos_base!$E$12+datos_base!$E$43)*parametros_carros!I$15</f>
        <v>1.4472</v>
      </c>
      <c r="L42" s="41" t="n">
        <f aca="false">(datos_base!$E$12+datos_base!$E$43)*parametros_carros!J$15</f>
        <v>1.3668</v>
      </c>
      <c r="M42" s="41" t="n">
        <f aca="false">(datos_base!$E$12+datos_base!$E$43)*parametros_carros!K$15</f>
        <v>1.206</v>
      </c>
      <c r="N42" s="41" t="n">
        <f aca="false">(datos_base!$E$12+datos_base!$E$43)*parametros_carros!L$15</f>
        <v>1.1256</v>
      </c>
      <c r="O42" s="41" t="n">
        <f aca="false">(datos_base!$E$12+datos_base!$E$43)*parametros_carros!M$15</f>
        <v>1.2864</v>
      </c>
      <c r="P42" s="42" t="n">
        <f aca="false">SUM(D42:O42)</f>
        <v>16.08</v>
      </c>
    </row>
    <row r="43" customFormat="false" ht="14.25" hidden="false" customHeight="true" outlineLevel="0" collapsed="false">
      <c r="A43" s="43"/>
      <c r="B43" s="16" t="s">
        <v>245</v>
      </c>
      <c r="C43" s="43"/>
      <c r="D43" s="44" t="n">
        <f aca="false">SUM(D35:D42)</f>
        <v>52.07434999875</v>
      </c>
      <c r="E43" s="44" t="n">
        <f aca="false">SUM(E35:E42)</f>
        <v>45.94795588125</v>
      </c>
      <c r="F43" s="44" t="n">
        <f aca="false">SUM(F35:F42)</f>
        <v>55.1375470575</v>
      </c>
      <c r="G43" s="44" t="n">
        <f aca="false">SUM(G35:G42)</f>
        <v>55.1375470575</v>
      </c>
      <c r="H43" s="44" t="n">
        <f aca="false">SUM(H35:H42)</f>
        <v>55.1375470575</v>
      </c>
      <c r="I43" s="44" t="n">
        <f aca="false">SUM(I35:I42)</f>
        <v>49.01115294</v>
      </c>
      <c r="J43" s="44" t="n">
        <f aca="false">SUM(J35:J42)</f>
        <v>55.1375470575</v>
      </c>
      <c r="K43" s="44" t="n">
        <f aca="false">SUM(K35:K42)</f>
        <v>55.1375470575</v>
      </c>
      <c r="L43" s="44" t="n">
        <f aca="false">SUM(L35:L42)</f>
        <v>52.07434999875</v>
      </c>
      <c r="M43" s="44" t="n">
        <f aca="false">SUM(M35:M42)</f>
        <v>45.94795588125</v>
      </c>
      <c r="N43" s="44" t="n">
        <f aca="false">SUM(N35:N42)</f>
        <v>42.8847588225</v>
      </c>
      <c r="O43" s="44" t="n">
        <f aca="false">SUM(O35:O42)</f>
        <v>49.01115294</v>
      </c>
      <c r="P43" s="44" t="n">
        <f aca="false">SUM(P35:P42)</f>
        <v>612.63941175</v>
      </c>
    </row>
    <row r="44" customFormat="false" ht="14.25" hidden="false" customHeight="true" outlineLevel="0" collapsed="false"/>
    <row r="45" customFormat="false" ht="14.25" hidden="false" customHeight="true" outlineLevel="0" collapsed="false">
      <c r="A45" s="11" t="n">
        <v>2030</v>
      </c>
      <c r="B45" s="11" t="s">
        <v>240</v>
      </c>
      <c r="C45" s="11" t="s">
        <v>241</v>
      </c>
      <c r="D45" s="11" t="s">
        <v>17</v>
      </c>
      <c r="E45" s="11" t="s">
        <v>18</v>
      </c>
      <c r="F45" s="11" t="s">
        <v>19</v>
      </c>
      <c r="G45" s="11" t="s">
        <v>20</v>
      </c>
      <c r="H45" s="11" t="s">
        <v>21</v>
      </c>
      <c r="I45" s="11" t="s">
        <v>22</v>
      </c>
      <c r="J45" s="11" t="s">
        <v>23</v>
      </c>
      <c r="K45" s="11" t="s">
        <v>24</v>
      </c>
      <c r="L45" s="11" t="s">
        <v>25</v>
      </c>
      <c r="M45" s="11" t="s">
        <v>26</v>
      </c>
      <c r="N45" s="11" t="s">
        <v>27</v>
      </c>
      <c r="O45" s="11" t="s">
        <v>28</v>
      </c>
      <c r="P45" s="11" t="s">
        <v>242</v>
      </c>
    </row>
    <row r="46" customFormat="false" ht="14.25" hidden="false" customHeight="true" outlineLevel="0" collapsed="false">
      <c r="A46" s="22" t="n">
        <v>2030</v>
      </c>
      <c r="B46" s="12" t="s">
        <v>41</v>
      </c>
      <c r="C46" s="12" t="s">
        <v>243</v>
      </c>
      <c r="D46" s="41" t="n">
        <f aca="false">(datos_base!$F$2+datos_base!$F$35)*parametros_carros!B$12</f>
        <v>13.3480602975</v>
      </c>
      <c r="E46" s="41" t="n">
        <f aca="false">(datos_base!$F$2+datos_base!$F$35)*parametros_carros!C$12</f>
        <v>11.7777002625</v>
      </c>
      <c r="F46" s="41" t="n">
        <f aca="false">(datos_base!$F$2+datos_base!$F$35)*parametros_carros!D$12</f>
        <v>14.133240315</v>
      </c>
      <c r="G46" s="41" t="n">
        <f aca="false">(datos_base!$F$2+datos_base!$F$35)*parametros_carros!E$12</f>
        <v>14.133240315</v>
      </c>
      <c r="H46" s="41" t="n">
        <f aca="false">(datos_base!$F$2+datos_base!$F$35)*parametros_carros!F$12</f>
        <v>14.133240315</v>
      </c>
      <c r="I46" s="41" t="n">
        <f aca="false">(datos_base!$F$2+datos_base!$F$35)*parametros_carros!G$12</f>
        <v>12.56288028</v>
      </c>
      <c r="J46" s="41" t="n">
        <f aca="false">(datos_base!$F$2+datos_base!$F$35)*parametros_carros!H$12</f>
        <v>14.133240315</v>
      </c>
      <c r="K46" s="41" t="n">
        <f aca="false">(datos_base!$F$2+datos_base!$F$35)*parametros_carros!I$12</f>
        <v>14.133240315</v>
      </c>
      <c r="L46" s="41" t="n">
        <f aca="false">(datos_base!$F$2+datos_base!$F$35)*parametros_carros!J$12</f>
        <v>13.3480602975</v>
      </c>
      <c r="M46" s="41" t="n">
        <f aca="false">(datos_base!$F$2+datos_base!$F$35)*parametros_carros!K$12</f>
        <v>11.7777002625</v>
      </c>
      <c r="N46" s="41" t="n">
        <f aca="false">(datos_base!$F$2+datos_base!$F$35)*parametros_carros!L$12</f>
        <v>10.992520245</v>
      </c>
      <c r="O46" s="41" t="n">
        <f aca="false">(datos_base!$F$2+datos_base!$F$35)*parametros_carros!M$12</f>
        <v>12.56288028</v>
      </c>
      <c r="P46" s="42" t="n">
        <f aca="false">SUM(D46:O46)</f>
        <v>157.0360035</v>
      </c>
    </row>
    <row r="47" customFormat="false" ht="14.25" hidden="false" customHeight="true" outlineLevel="0" collapsed="false">
      <c r="A47" s="22" t="n">
        <v>2030</v>
      </c>
      <c r="B47" s="12" t="s">
        <v>42</v>
      </c>
      <c r="C47" s="12" t="s">
        <v>243</v>
      </c>
      <c r="D47" s="41" t="n">
        <f aca="false">(datos_base!$F$3+datos_base!$F$36)*parametros_carros!B$13</f>
        <v>29.3460126545</v>
      </c>
      <c r="E47" s="41" t="n">
        <f aca="false">(datos_base!$F$3+datos_base!$F$36)*parametros_carros!C$13</f>
        <v>25.8935405775</v>
      </c>
      <c r="F47" s="41" t="n">
        <f aca="false">(datos_base!$F$3+datos_base!$F$36)*parametros_carros!D$13</f>
        <v>31.072248693</v>
      </c>
      <c r="G47" s="41" t="n">
        <f aca="false">(datos_base!$F$3+datos_base!$F$36)*parametros_carros!E$13</f>
        <v>31.072248693</v>
      </c>
      <c r="H47" s="41" t="n">
        <f aca="false">(datos_base!$F$3+datos_base!$F$36)*parametros_carros!F$13</f>
        <v>31.072248693</v>
      </c>
      <c r="I47" s="41" t="n">
        <f aca="false">(datos_base!$F$3+datos_base!$F$36)*parametros_carros!G$13</f>
        <v>27.619776616</v>
      </c>
      <c r="J47" s="41" t="n">
        <f aca="false">(datos_base!$F$3+datos_base!$F$36)*parametros_carros!H$13</f>
        <v>31.072248693</v>
      </c>
      <c r="K47" s="41" t="n">
        <f aca="false">(datos_base!$F$3+datos_base!$F$36)*parametros_carros!I$13</f>
        <v>31.072248693</v>
      </c>
      <c r="L47" s="41" t="n">
        <f aca="false">(datos_base!$F$3+datos_base!$F$36)*parametros_carros!J$13</f>
        <v>29.3460126545</v>
      </c>
      <c r="M47" s="41" t="n">
        <f aca="false">(datos_base!$F$3+datos_base!$F$36)*parametros_carros!K$13</f>
        <v>25.8935405775</v>
      </c>
      <c r="N47" s="41" t="n">
        <f aca="false">(datos_base!$F$3+datos_base!$F$36)*parametros_carros!L$13</f>
        <v>24.167304539</v>
      </c>
      <c r="O47" s="41" t="n">
        <f aca="false">(datos_base!$F$3+datos_base!$F$36)*parametros_carros!M$13</f>
        <v>27.619776616</v>
      </c>
      <c r="P47" s="42" t="n">
        <f aca="false">SUM(D47:O47)</f>
        <v>345.2472077</v>
      </c>
    </row>
    <row r="48" customFormat="false" ht="14.25" hidden="false" customHeight="true" outlineLevel="0" collapsed="false">
      <c r="A48" s="22" t="n">
        <v>2030</v>
      </c>
      <c r="B48" s="12" t="s">
        <v>43</v>
      </c>
      <c r="C48" s="12" t="s">
        <v>243</v>
      </c>
      <c r="D48" s="41" t="n">
        <f aca="false">(datos_base!$F$4+datos_base!$F$37)*parametros_carros!B$14</f>
        <v>6.45154094195</v>
      </c>
      <c r="E48" s="41" t="n">
        <f aca="false">(datos_base!$F$4+datos_base!$F$37)*parametros_carros!C$14</f>
        <v>5.69253612525</v>
      </c>
      <c r="F48" s="41" t="n">
        <f aca="false">(datos_base!$F$4+datos_base!$F$37)*parametros_carros!D$14</f>
        <v>6.8310433503</v>
      </c>
      <c r="G48" s="41" t="n">
        <f aca="false">(datos_base!$F$4+datos_base!$F$37)*parametros_carros!E$14</f>
        <v>6.8310433503</v>
      </c>
      <c r="H48" s="41" t="n">
        <f aca="false">(datos_base!$F$4+datos_base!$F$37)*parametros_carros!F$14</f>
        <v>6.8310433503</v>
      </c>
      <c r="I48" s="41" t="n">
        <f aca="false">(datos_base!$F$4+datos_base!$F$37)*parametros_carros!G$14</f>
        <v>6.0720385336</v>
      </c>
      <c r="J48" s="41" t="n">
        <f aca="false">(datos_base!$F$4+datos_base!$F$37)*parametros_carros!H$14</f>
        <v>6.8310433503</v>
      </c>
      <c r="K48" s="41" t="n">
        <f aca="false">(datos_base!$F$4+datos_base!$F$37)*parametros_carros!I$14</f>
        <v>6.8310433503</v>
      </c>
      <c r="L48" s="41" t="n">
        <f aca="false">(datos_base!$F$4+datos_base!$F$37)*parametros_carros!J$14</f>
        <v>6.45154094195</v>
      </c>
      <c r="M48" s="41" t="n">
        <f aca="false">(datos_base!$F$4+datos_base!$F$37)*parametros_carros!K$14</f>
        <v>5.69253612525</v>
      </c>
      <c r="N48" s="41" t="n">
        <f aca="false">(datos_base!$F$4+datos_base!$F$37)*parametros_carros!L$14</f>
        <v>5.3130337169</v>
      </c>
      <c r="O48" s="41" t="n">
        <f aca="false">(datos_base!$F$4+datos_base!$F$37)*parametros_carros!M$14</f>
        <v>6.0720385336</v>
      </c>
      <c r="P48" s="42" t="n">
        <f aca="false">SUM(D48:O48)</f>
        <v>75.90048167</v>
      </c>
    </row>
    <row r="49" customFormat="false" ht="14.25" hidden="false" customHeight="true" outlineLevel="0" collapsed="false">
      <c r="A49" s="22" t="n">
        <v>2030</v>
      </c>
      <c r="B49" s="12" t="s">
        <v>44</v>
      </c>
      <c r="C49" s="12" t="s">
        <v>243</v>
      </c>
      <c r="D49" s="41" t="n">
        <f aca="false">(datos_base!$F$5+datos_base!$F$38)*parametros_carros!B$15</f>
        <v>4.2466272952</v>
      </c>
      <c r="E49" s="41" t="n">
        <f aca="false">(datos_base!$F$5+datos_base!$F$38)*parametros_carros!C$15</f>
        <v>3.747024084</v>
      </c>
      <c r="F49" s="41" t="n">
        <f aca="false">(datos_base!$F$5+datos_base!$F$38)*parametros_carros!D$15</f>
        <v>4.4964289008</v>
      </c>
      <c r="G49" s="41" t="n">
        <f aca="false">(datos_base!$F$5+datos_base!$F$38)*parametros_carros!E$15</f>
        <v>4.4964289008</v>
      </c>
      <c r="H49" s="41" t="n">
        <f aca="false">(datos_base!$F$5+datos_base!$F$38)*parametros_carros!F$15</f>
        <v>4.4964289008</v>
      </c>
      <c r="I49" s="41" t="n">
        <f aca="false">(datos_base!$F$5+datos_base!$F$38)*parametros_carros!G$15</f>
        <v>3.9968256896</v>
      </c>
      <c r="J49" s="41" t="n">
        <f aca="false">(datos_base!$F$5+datos_base!$F$38)*parametros_carros!H$15</f>
        <v>4.4964289008</v>
      </c>
      <c r="K49" s="41" t="n">
        <f aca="false">(datos_base!$F$5+datos_base!$F$38)*parametros_carros!I$15</f>
        <v>4.4964289008</v>
      </c>
      <c r="L49" s="41" t="n">
        <f aca="false">(datos_base!$F$5+datos_base!$F$38)*parametros_carros!J$15</f>
        <v>4.2466272952</v>
      </c>
      <c r="M49" s="41" t="n">
        <f aca="false">(datos_base!$F$5+datos_base!$F$38)*parametros_carros!K$15</f>
        <v>3.747024084</v>
      </c>
      <c r="N49" s="41" t="n">
        <f aca="false">(datos_base!$F$5+datos_base!$F$38)*parametros_carros!L$15</f>
        <v>3.4972224784</v>
      </c>
      <c r="O49" s="41" t="n">
        <f aca="false">(datos_base!$F$5+datos_base!$F$38)*parametros_carros!M$15</f>
        <v>3.9968256896</v>
      </c>
      <c r="P49" s="42" t="n">
        <f aca="false">SUM(D49:O49)</f>
        <v>49.96032112</v>
      </c>
    </row>
    <row r="50" customFormat="false" ht="14.25" hidden="false" customHeight="true" outlineLevel="0" collapsed="false">
      <c r="A50" s="22" t="n">
        <v>2030</v>
      </c>
      <c r="B50" s="12" t="s">
        <v>51</v>
      </c>
      <c r="C50" s="12" t="s">
        <v>244</v>
      </c>
      <c r="D50" s="41" t="n">
        <f aca="false">(datos_base!$F$9+datos_base!$F$40)*parametros_carros!B$12</f>
        <v>8.0172</v>
      </c>
      <c r="E50" s="41" t="n">
        <f aca="false">(datos_base!$F$9+datos_base!$F$40)*parametros_carros!C$12</f>
        <v>7.074</v>
      </c>
      <c r="F50" s="41" t="n">
        <f aca="false">(datos_base!$F$9+datos_base!$F$40)*parametros_carros!D$12</f>
        <v>8.4888</v>
      </c>
      <c r="G50" s="41" t="n">
        <f aca="false">(datos_base!$F$9+datos_base!$F$40)*parametros_carros!E$12</f>
        <v>8.4888</v>
      </c>
      <c r="H50" s="41" t="n">
        <f aca="false">(datos_base!$F$9+datos_base!$F$40)*parametros_carros!F$12</f>
        <v>8.4888</v>
      </c>
      <c r="I50" s="41" t="n">
        <f aca="false">(datos_base!$F$9+datos_base!$F$40)*parametros_carros!G$12</f>
        <v>7.5456</v>
      </c>
      <c r="J50" s="41" t="n">
        <f aca="false">(datos_base!$F$9+datos_base!$F$40)*parametros_carros!H$12</f>
        <v>8.4888</v>
      </c>
      <c r="K50" s="41" t="n">
        <f aca="false">(datos_base!$F$9+datos_base!$F$40)*parametros_carros!I$12</f>
        <v>8.4888</v>
      </c>
      <c r="L50" s="41" t="n">
        <f aca="false">(datos_base!$F$9+datos_base!$F$40)*parametros_carros!J$12</f>
        <v>8.0172</v>
      </c>
      <c r="M50" s="41" t="n">
        <f aca="false">(datos_base!$F$9+datos_base!$F$40)*parametros_carros!K$12</f>
        <v>7.074</v>
      </c>
      <c r="N50" s="41" t="n">
        <f aca="false">(datos_base!$F$9+datos_base!$F$40)*parametros_carros!L$12</f>
        <v>6.6024</v>
      </c>
      <c r="O50" s="41" t="n">
        <f aca="false">(datos_base!$F$9+datos_base!$F$40)*parametros_carros!M$12</f>
        <v>7.5456</v>
      </c>
      <c r="P50" s="42" t="n">
        <f aca="false">SUM(D50:O50)</f>
        <v>94.32</v>
      </c>
    </row>
    <row r="51" customFormat="false" ht="14.25" hidden="false" customHeight="true" outlineLevel="0" collapsed="false">
      <c r="A51" s="22" t="n">
        <v>2030</v>
      </c>
      <c r="B51" s="12" t="s">
        <v>52</v>
      </c>
      <c r="C51" s="12" t="s">
        <v>244</v>
      </c>
      <c r="D51" s="41" t="n">
        <f aca="false">(datos_base!$F$10+datos_base!$F$41)*parametros_carros!B$13</f>
        <v>17.7446</v>
      </c>
      <c r="E51" s="41" t="n">
        <f aca="false">(datos_base!$F$10+datos_base!$F$41)*parametros_carros!C$13</f>
        <v>15.657</v>
      </c>
      <c r="F51" s="41" t="n">
        <f aca="false">(datos_base!$F$10+datos_base!$F$41)*parametros_carros!D$13</f>
        <v>18.7884</v>
      </c>
      <c r="G51" s="41" t="n">
        <f aca="false">(datos_base!$F$10+datos_base!$F$41)*parametros_carros!E$13</f>
        <v>18.7884</v>
      </c>
      <c r="H51" s="41" t="n">
        <f aca="false">(datos_base!$F$10+datos_base!$F$41)*parametros_carros!F$13</f>
        <v>18.7884</v>
      </c>
      <c r="I51" s="41" t="n">
        <f aca="false">(datos_base!$F$10+datos_base!$F$41)*parametros_carros!G$13</f>
        <v>16.7008</v>
      </c>
      <c r="J51" s="41" t="n">
        <f aca="false">(datos_base!$F$10+datos_base!$F$41)*parametros_carros!H$13</f>
        <v>18.7884</v>
      </c>
      <c r="K51" s="41" t="n">
        <f aca="false">(datos_base!$F$10+datos_base!$F$41)*parametros_carros!I$13</f>
        <v>18.7884</v>
      </c>
      <c r="L51" s="41" t="n">
        <f aca="false">(datos_base!$F$10+datos_base!$F$41)*parametros_carros!J$13</f>
        <v>17.7446</v>
      </c>
      <c r="M51" s="41" t="n">
        <f aca="false">(datos_base!$F$10+datos_base!$F$41)*parametros_carros!K$13</f>
        <v>15.657</v>
      </c>
      <c r="N51" s="41" t="n">
        <f aca="false">(datos_base!$F$10+datos_base!$F$41)*parametros_carros!L$13</f>
        <v>14.6132</v>
      </c>
      <c r="O51" s="41" t="n">
        <f aca="false">(datos_base!$F$10+datos_base!$F$41)*parametros_carros!M$13</f>
        <v>16.7008</v>
      </c>
      <c r="P51" s="42" t="n">
        <f aca="false">SUM(D51:O51)</f>
        <v>208.76</v>
      </c>
    </row>
    <row r="52" customFormat="false" ht="14.25" hidden="false" customHeight="true" outlineLevel="0" collapsed="false">
      <c r="A52" s="22" t="n">
        <v>2030</v>
      </c>
      <c r="B52" s="12" t="s">
        <v>53</v>
      </c>
      <c r="C52" s="12" t="s">
        <v>244</v>
      </c>
      <c r="D52" s="41" t="n">
        <f aca="false">(datos_base!$F$11+datos_base!$F$42)*parametros_carros!B$14</f>
        <v>3.9406</v>
      </c>
      <c r="E52" s="41" t="n">
        <f aca="false">(datos_base!$F$11+datos_base!$F$42)*parametros_carros!C$14</f>
        <v>3.477</v>
      </c>
      <c r="F52" s="41" t="n">
        <f aca="false">(datos_base!$F$11+datos_base!$F$42)*parametros_carros!D$14</f>
        <v>4.1724</v>
      </c>
      <c r="G52" s="41" t="n">
        <f aca="false">(datos_base!$F$11+datos_base!$F$42)*parametros_carros!E$14</f>
        <v>4.1724</v>
      </c>
      <c r="H52" s="41" t="n">
        <f aca="false">(datos_base!$F$11+datos_base!$F$42)*parametros_carros!F$14</f>
        <v>4.1724</v>
      </c>
      <c r="I52" s="41" t="n">
        <f aca="false">(datos_base!$F$11+datos_base!$F$42)*parametros_carros!G$14</f>
        <v>3.7088</v>
      </c>
      <c r="J52" s="41" t="n">
        <f aca="false">(datos_base!$F$11+datos_base!$F$42)*parametros_carros!H$14</f>
        <v>4.1724</v>
      </c>
      <c r="K52" s="41" t="n">
        <f aca="false">(datos_base!$F$11+datos_base!$F$42)*parametros_carros!I$14</f>
        <v>4.1724</v>
      </c>
      <c r="L52" s="41" t="n">
        <f aca="false">(datos_base!$F$11+datos_base!$F$42)*parametros_carros!J$14</f>
        <v>3.9406</v>
      </c>
      <c r="M52" s="41" t="n">
        <f aca="false">(datos_base!$F$11+datos_base!$F$42)*parametros_carros!K$14</f>
        <v>3.477</v>
      </c>
      <c r="N52" s="41" t="n">
        <f aca="false">(datos_base!$F$11+datos_base!$F$42)*parametros_carros!L$14</f>
        <v>3.2452</v>
      </c>
      <c r="O52" s="41" t="n">
        <f aca="false">(datos_base!$F$11+datos_base!$F$42)*parametros_carros!M$14</f>
        <v>3.7088</v>
      </c>
      <c r="P52" s="42" t="n">
        <f aca="false">SUM(D52:O52)</f>
        <v>46.36</v>
      </c>
    </row>
    <row r="53" customFormat="false" ht="14.25" hidden="false" customHeight="true" outlineLevel="0" collapsed="false">
      <c r="A53" s="22" t="n">
        <v>2030</v>
      </c>
      <c r="B53" s="12" t="s">
        <v>54</v>
      </c>
      <c r="C53" s="12" t="s">
        <v>244</v>
      </c>
      <c r="D53" s="41" t="n">
        <f aca="false">(datos_base!$F$12+datos_base!$F$43)*parametros_carros!B$15</f>
        <v>2.6078</v>
      </c>
      <c r="E53" s="41" t="n">
        <f aca="false">(datos_base!$F$12+datos_base!$F$43)*parametros_carros!C$15</f>
        <v>2.301</v>
      </c>
      <c r="F53" s="41" t="n">
        <f aca="false">(datos_base!$F$12+datos_base!$F$43)*parametros_carros!D$15</f>
        <v>2.7612</v>
      </c>
      <c r="G53" s="41" t="n">
        <f aca="false">(datos_base!$F$12+datos_base!$F$43)*parametros_carros!E$15</f>
        <v>2.7612</v>
      </c>
      <c r="H53" s="41" t="n">
        <f aca="false">(datos_base!$F$12+datos_base!$F$43)*parametros_carros!F$15</f>
        <v>2.7612</v>
      </c>
      <c r="I53" s="41" t="n">
        <f aca="false">(datos_base!$F$12+datos_base!$F$43)*parametros_carros!G$15</f>
        <v>2.4544</v>
      </c>
      <c r="J53" s="41" t="n">
        <f aca="false">(datos_base!$F$12+datos_base!$F$43)*parametros_carros!H$15</f>
        <v>2.7612</v>
      </c>
      <c r="K53" s="41" t="n">
        <f aca="false">(datos_base!$F$12+datos_base!$F$43)*parametros_carros!I$15</f>
        <v>2.7612</v>
      </c>
      <c r="L53" s="41" t="n">
        <f aca="false">(datos_base!$F$12+datos_base!$F$43)*parametros_carros!J$15</f>
        <v>2.6078</v>
      </c>
      <c r="M53" s="41" t="n">
        <f aca="false">(datos_base!$F$12+datos_base!$F$43)*parametros_carros!K$15</f>
        <v>2.301</v>
      </c>
      <c r="N53" s="41" t="n">
        <f aca="false">(datos_base!$F$12+datos_base!$F$43)*parametros_carros!L$15</f>
        <v>2.1476</v>
      </c>
      <c r="O53" s="41" t="n">
        <f aca="false">(datos_base!$F$12+datos_base!$F$43)*parametros_carros!M$15</f>
        <v>2.4544</v>
      </c>
      <c r="P53" s="42" t="n">
        <f aca="false">SUM(D53:O53)</f>
        <v>30.68</v>
      </c>
    </row>
    <row r="54" customFormat="false" ht="14.25" hidden="false" customHeight="true" outlineLevel="0" collapsed="false">
      <c r="A54" s="43"/>
      <c r="B54" s="16" t="s">
        <v>245</v>
      </c>
      <c r="C54" s="43"/>
      <c r="D54" s="44" t="n">
        <f aca="false">SUM(D46:D53)</f>
        <v>85.70244118915</v>
      </c>
      <c r="E54" s="44" t="n">
        <f aca="false">SUM(E46:E53)</f>
        <v>75.61980104925</v>
      </c>
      <c r="F54" s="44" t="n">
        <f aca="false">SUM(F46:F53)</f>
        <v>90.7437612591</v>
      </c>
      <c r="G54" s="44" t="n">
        <f aca="false">SUM(G46:G53)</f>
        <v>90.7437612591</v>
      </c>
      <c r="H54" s="44" t="n">
        <f aca="false">SUM(H46:H53)</f>
        <v>90.7437612591</v>
      </c>
      <c r="I54" s="44" t="n">
        <f aca="false">SUM(I46:I53)</f>
        <v>80.6611211192</v>
      </c>
      <c r="J54" s="44" t="n">
        <f aca="false">SUM(J46:J53)</f>
        <v>90.7437612591</v>
      </c>
      <c r="K54" s="44" t="n">
        <f aca="false">SUM(K46:K53)</f>
        <v>90.7437612591</v>
      </c>
      <c r="L54" s="44" t="n">
        <f aca="false">SUM(L46:L53)</f>
        <v>85.70244118915</v>
      </c>
      <c r="M54" s="44" t="n">
        <f aca="false">SUM(M46:M53)</f>
        <v>75.61980104925</v>
      </c>
      <c r="N54" s="44" t="n">
        <f aca="false">SUM(N46:N53)</f>
        <v>70.5784809793</v>
      </c>
      <c r="O54" s="44" t="n">
        <f aca="false">SUM(O46:O53)</f>
        <v>80.6611211192</v>
      </c>
      <c r="P54" s="44" t="n">
        <f aca="false">SUM(P46:P53)</f>
        <v>1008.26401399</v>
      </c>
    </row>
    <row r="55" customFormat="false" ht="14.25" hidden="false" customHeight="true" outlineLevel="0" collapsed="false"/>
    <row r="56" customFormat="false" ht="14.25" hidden="false" customHeight="true" outlineLevel="0" collapsed="false">
      <c r="A56" s="11" t="n">
        <v>2031</v>
      </c>
      <c r="B56" s="11" t="s">
        <v>240</v>
      </c>
      <c r="C56" s="11" t="s">
        <v>241</v>
      </c>
      <c r="D56" s="11" t="s">
        <v>17</v>
      </c>
      <c r="E56" s="11" t="s">
        <v>18</v>
      </c>
      <c r="F56" s="11" t="s">
        <v>19</v>
      </c>
      <c r="G56" s="11" t="s">
        <v>20</v>
      </c>
      <c r="H56" s="11" t="s">
        <v>21</v>
      </c>
      <c r="I56" s="11" t="s">
        <v>22</v>
      </c>
      <c r="J56" s="11" t="s">
        <v>23</v>
      </c>
      <c r="K56" s="11" t="s">
        <v>24</v>
      </c>
      <c r="L56" s="11" t="s">
        <v>25</v>
      </c>
      <c r="M56" s="11" t="s">
        <v>26</v>
      </c>
      <c r="N56" s="11" t="s">
        <v>27</v>
      </c>
      <c r="O56" s="11" t="s">
        <v>28</v>
      </c>
      <c r="P56" s="11" t="s">
        <v>242</v>
      </c>
    </row>
    <row r="57" customFormat="false" ht="14.25" hidden="false" customHeight="true" outlineLevel="0" collapsed="false">
      <c r="A57" s="22" t="n">
        <v>2031</v>
      </c>
      <c r="B57" s="12" t="s">
        <v>41</v>
      </c>
      <c r="C57" s="12" t="s">
        <v>243</v>
      </c>
      <c r="D57" s="41" t="n">
        <f aca="false">(datos_base!$G$2+datos_base!$G$35)*parametros_carros!B$12</f>
        <v>18.1198310295</v>
      </c>
      <c r="E57" s="41" t="n">
        <f aca="false">(datos_base!$G$2+datos_base!$G$35)*parametros_carros!C$12</f>
        <v>15.9880862025</v>
      </c>
      <c r="F57" s="41" t="n">
        <f aca="false">(datos_base!$G$2+datos_base!$G$35)*parametros_carros!D$12</f>
        <v>19.185703443</v>
      </c>
      <c r="G57" s="41" t="n">
        <f aca="false">(datos_base!$G$2+datos_base!$G$35)*parametros_carros!E$12</f>
        <v>19.185703443</v>
      </c>
      <c r="H57" s="41" t="n">
        <f aca="false">(datos_base!$G$2+datos_base!$G$35)*parametros_carros!F$12</f>
        <v>19.185703443</v>
      </c>
      <c r="I57" s="41" t="n">
        <f aca="false">(datos_base!$G$2+datos_base!$G$35)*parametros_carros!G$12</f>
        <v>17.053958616</v>
      </c>
      <c r="J57" s="41" t="n">
        <f aca="false">(datos_base!$G$2+datos_base!$G$35)*parametros_carros!H$12</f>
        <v>19.185703443</v>
      </c>
      <c r="K57" s="41" t="n">
        <f aca="false">(datos_base!$G$2+datos_base!$G$35)*parametros_carros!I$12</f>
        <v>19.185703443</v>
      </c>
      <c r="L57" s="41" t="n">
        <f aca="false">(datos_base!$G$2+datos_base!$G$35)*parametros_carros!J$12</f>
        <v>18.1198310295</v>
      </c>
      <c r="M57" s="41" t="n">
        <f aca="false">(datos_base!$G$2+datos_base!$G$35)*parametros_carros!K$12</f>
        <v>15.9880862025</v>
      </c>
      <c r="N57" s="41" t="n">
        <f aca="false">(datos_base!$G$2+datos_base!$G$35)*parametros_carros!L$12</f>
        <v>14.922213789</v>
      </c>
      <c r="O57" s="41" t="n">
        <f aca="false">(datos_base!$G$2+datos_base!$G$35)*parametros_carros!M$12</f>
        <v>17.053958616</v>
      </c>
      <c r="P57" s="42" t="n">
        <f aca="false">SUM(D57:O57)</f>
        <v>213.1744827</v>
      </c>
    </row>
    <row r="58" customFormat="false" ht="14.25" hidden="false" customHeight="true" outlineLevel="0" collapsed="false">
      <c r="A58" s="22" t="n">
        <v>2031</v>
      </c>
      <c r="B58" s="12" t="s">
        <v>42</v>
      </c>
      <c r="C58" s="12" t="s">
        <v>243</v>
      </c>
      <c r="D58" s="41" t="n">
        <f aca="false">(datos_base!$G$3+datos_base!$G$36)*parametros_carros!B$13</f>
        <v>39.84254827</v>
      </c>
      <c r="E58" s="41" t="n">
        <f aca="false">(datos_base!$G$3+datos_base!$G$36)*parametros_carros!C$13</f>
        <v>35.15518965</v>
      </c>
      <c r="F58" s="41" t="n">
        <f aca="false">(datos_base!$G$3+datos_base!$G$36)*parametros_carros!D$13</f>
        <v>42.18622758</v>
      </c>
      <c r="G58" s="41" t="n">
        <f aca="false">(datos_base!$G$3+datos_base!$G$36)*parametros_carros!E$13</f>
        <v>42.18622758</v>
      </c>
      <c r="H58" s="41" t="n">
        <f aca="false">(datos_base!$G$3+datos_base!$G$36)*parametros_carros!F$13</f>
        <v>42.18622758</v>
      </c>
      <c r="I58" s="41" t="n">
        <f aca="false">(datos_base!$G$3+datos_base!$G$36)*parametros_carros!G$13</f>
        <v>37.49886896</v>
      </c>
      <c r="J58" s="41" t="n">
        <f aca="false">(datos_base!$G$3+datos_base!$G$36)*parametros_carros!H$13</f>
        <v>42.18622758</v>
      </c>
      <c r="K58" s="41" t="n">
        <f aca="false">(datos_base!$G$3+datos_base!$G$36)*parametros_carros!I$13</f>
        <v>42.18622758</v>
      </c>
      <c r="L58" s="41" t="n">
        <f aca="false">(datos_base!$G$3+datos_base!$G$36)*parametros_carros!J$13</f>
        <v>39.84254827</v>
      </c>
      <c r="M58" s="41" t="n">
        <f aca="false">(datos_base!$G$3+datos_base!$G$36)*parametros_carros!K$13</f>
        <v>35.15518965</v>
      </c>
      <c r="N58" s="41" t="n">
        <f aca="false">(datos_base!$G$3+datos_base!$G$36)*parametros_carros!L$13</f>
        <v>32.81151034</v>
      </c>
      <c r="O58" s="41" t="n">
        <f aca="false">(datos_base!$G$3+datos_base!$G$36)*parametros_carros!M$13</f>
        <v>37.49886896</v>
      </c>
      <c r="P58" s="42" t="n">
        <f aca="false">SUM(D58:O58)</f>
        <v>468.735862</v>
      </c>
    </row>
    <row r="59" customFormat="false" ht="14.25" hidden="false" customHeight="true" outlineLevel="0" collapsed="false">
      <c r="A59" s="22" t="n">
        <v>2031</v>
      </c>
      <c r="B59" s="12" t="s">
        <v>43</v>
      </c>
      <c r="C59" s="12" t="s">
        <v>243</v>
      </c>
      <c r="D59" s="41" t="n">
        <f aca="false">(datos_base!$G$4+datos_base!$G$37)*parametros_carros!B$14</f>
        <v>8.6605268945</v>
      </c>
      <c r="E59" s="41" t="n">
        <f aca="false">(datos_base!$G$4+datos_base!$G$37)*parametros_carros!C$14</f>
        <v>7.6416413775</v>
      </c>
      <c r="F59" s="41" t="n">
        <f aca="false">(datos_base!$G$4+datos_base!$G$37)*parametros_carros!D$14</f>
        <v>9.169969653</v>
      </c>
      <c r="G59" s="41" t="n">
        <f aca="false">(datos_base!$G$4+datos_base!$G$37)*parametros_carros!E$14</f>
        <v>9.169969653</v>
      </c>
      <c r="H59" s="41" t="n">
        <f aca="false">(datos_base!$G$4+datos_base!$G$37)*parametros_carros!F$14</f>
        <v>9.169969653</v>
      </c>
      <c r="I59" s="41" t="n">
        <f aca="false">(datos_base!$G$4+datos_base!$G$37)*parametros_carros!G$14</f>
        <v>8.151084136</v>
      </c>
      <c r="J59" s="41" t="n">
        <f aca="false">(datos_base!$G$4+datos_base!$G$37)*parametros_carros!H$14</f>
        <v>9.169969653</v>
      </c>
      <c r="K59" s="41" t="n">
        <f aca="false">(datos_base!$G$4+datos_base!$G$37)*parametros_carros!I$14</f>
        <v>9.169969653</v>
      </c>
      <c r="L59" s="41" t="n">
        <f aca="false">(datos_base!$G$4+datos_base!$G$37)*parametros_carros!J$14</f>
        <v>8.6605268945</v>
      </c>
      <c r="M59" s="41" t="n">
        <f aca="false">(datos_base!$G$4+datos_base!$G$37)*parametros_carros!K$14</f>
        <v>7.6416413775</v>
      </c>
      <c r="N59" s="41" t="n">
        <f aca="false">(datos_base!$G$4+datos_base!$G$37)*parametros_carros!L$14</f>
        <v>7.132198619</v>
      </c>
      <c r="O59" s="41" t="n">
        <f aca="false">(datos_base!$G$4+datos_base!$G$37)*parametros_carros!M$14</f>
        <v>8.151084136</v>
      </c>
      <c r="P59" s="42" t="n">
        <f aca="false">SUM(D59:O59)</f>
        <v>101.8885517</v>
      </c>
    </row>
    <row r="60" customFormat="false" ht="14.25" hidden="false" customHeight="true" outlineLevel="0" collapsed="false">
      <c r="A60" s="22" t="n">
        <v>2031</v>
      </c>
      <c r="B60" s="12" t="s">
        <v>44</v>
      </c>
      <c r="C60" s="12" t="s">
        <v>243</v>
      </c>
      <c r="D60" s="41" t="n">
        <f aca="false">(datos_base!$G$5+datos_base!$G$38)*parametros_carros!B$15</f>
        <v>5.85641792995</v>
      </c>
      <c r="E60" s="41" t="n">
        <f aca="false">(datos_base!$G$5+datos_base!$G$38)*parametros_carros!C$15</f>
        <v>5.16742758525</v>
      </c>
      <c r="F60" s="41" t="n">
        <f aca="false">(datos_base!$G$5+datos_base!$G$38)*parametros_carros!D$15</f>
        <v>6.2009131023</v>
      </c>
      <c r="G60" s="41" t="n">
        <f aca="false">(datos_base!$G$5+datos_base!$G$38)*parametros_carros!E$15</f>
        <v>6.2009131023</v>
      </c>
      <c r="H60" s="41" t="n">
        <f aca="false">(datos_base!$G$5+datos_base!$G$38)*parametros_carros!F$15</f>
        <v>6.2009131023</v>
      </c>
      <c r="I60" s="41" t="n">
        <f aca="false">(datos_base!$G$5+datos_base!$G$38)*parametros_carros!G$15</f>
        <v>5.5119227576</v>
      </c>
      <c r="J60" s="41" t="n">
        <f aca="false">(datos_base!$G$5+datos_base!$G$38)*parametros_carros!H$15</f>
        <v>6.2009131023</v>
      </c>
      <c r="K60" s="41" t="n">
        <f aca="false">(datos_base!$G$5+datos_base!$G$38)*parametros_carros!I$15</f>
        <v>6.2009131023</v>
      </c>
      <c r="L60" s="41" t="n">
        <f aca="false">(datos_base!$G$5+datos_base!$G$38)*parametros_carros!J$15</f>
        <v>5.85641792995</v>
      </c>
      <c r="M60" s="41" t="n">
        <f aca="false">(datos_base!$G$5+datos_base!$G$38)*parametros_carros!K$15</f>
        <v>5.16742758525</v>
      </c>
      <c r="N60" s="41" t="n">
        <f aca="false">(datos_base!$G$5+datos_base!$G$38)*parametros_carros!L$15</f>
        <v>4.8229324129</v>
      </c>
      <c r="O60" s="41" t="n">
        <f aca="false">(datos_base!$G$5+datos_base!$G$38)*parametros_carros!M$15</f>
        <v>5.5119227576</v>
      </c>
      <c r="P60" s="42" t="n">
        <f aca="false">SUM(D60:O60)</f>
        <v>68.89903447</v>
      </c>
    </row>
    <row r="61" customFormat="false" ht="14.25" hidden="false" customHeight="true" outlineLevel="0" collapsed="false">
      <c r="A61" s="22" t="n">
        <v>2031</v>
      </c>
      <c r="B61" s="12" t="s">
        <v>51</v>
      </c>
      <c r="C61" s="12" t="s">
        <v>244</v>
      </c>
      <c r="D61" s="41" t="n">
        <f aca="false">(datos_base!$G$9+datos_base!$G$40)*parametros_carros!B$12</f>
        <v>11.594</v>
      </c>
      <c r="E61" s="41" t="n">
        <f aca="false">(datos_base!$G$9+datos_base!$G$40)*parametros_carros!C$12</f>
        <v>10.23</v>
      </c>
      <c r="F61" s="41" t="n">
        <f aca="false">(datos_base!$G$9+datos_base!$G$40)*parametros_carros!D$12</f>
        <v>12.276</v>
      </c>
      <c r="G61" s="41" t="n">
        <f aca="false">(datos_base!$G$9+datos_base!$G$40)*parametros_carros!E$12</f>
        <v>12.276</v>
      </c>
      <c r="H61" s="41" t="n">
        <f aca="false">(datos_base!$G$9+datos_base!$G$40)*parametros_carros!F$12</f>
        <v>12.276</v>
      </c>
      <c r="I61" s="41" t="n">
        <f aca="false">(datos_base!$G$9+datos_base!$G$40)*parametros_carros!G$12</f>
        <v>10.912</v>
      </c>
      <c r="J61" s="41" t="n">
        <f aca="false">(datos_base!$G$9+datos_base!$G$40)*parametros_carros!H$12</f>
        <v>12.276</v>
      </c>
      <c r="K61" s="41" t="n">
        <f aca="false">(datos_base!$G$9+datos_base!$G$40)*parametros_carros!I$12</f>
        <v>12.276</v>
      </c>
      <c r="L61" s="41" t="n">
        <f aca="false">(datos_base!$G$9+datos_base!$G$40)*parametros_carros!J$12</f>
        <v>11.594</v>
      </c>
      <c r="M61" s="41" t="n">
        <f aca="false">(datos_base!$G$9+datos_base!$G$40)*parametros_carros!K$12</f>
        <v>10.23</v>
      </c>
      <c r="N61" s="41" t="n">
        <f aca="false">(datos_base!$G$9+datos_base!$G$40)*parametros_carros!L$12</f>
        <v>9.548</v>
      </c>
      <c r="O61" s="41" t="n">
        <f aca="false">(datos_base!$G$9+datos_base!$G$40)*parametros_carros!M$12</f>
        <v>10.912</v>
      </c>
      <c r="P61" s="42" t="n">
        <f aca="false">SUM(D61:O61)</f>
        <v>136.4</v>
      </c>
    </row>
    <row r="62" customFormat="false" ht="14.25" hidden="false" customHeight="true" outlineLevel="0" collapsed="false">
      <c r="A62" s="22" t="n">
        <v>2031</v>
      </c>
      <c r="B62" s="12" t="s">
        <v>52</v>
      </c>
      <c r="C62" s="12" t="s">
        <v>244</v>
      </c>
      <c r="D62" s="41" t="n">
        <f aca="false">(datos_base!$G$10+datos_base!$G$41)*parametros_carros!B$13</f>
        <v>25.619</v>
      </c>
      <c r="E62" s="41" t="n">
        <f aca="false">(datos_base!$G$10+datos_base!$G$41)*parametros_carros!C$13</f>
        <v>22.605</v>
      </c>
      <c r="F62" s="41" t="n">
        <f aca="false">(datos_base!$G$10+datos_base!$G$41)*parametros_carros!D$13</f>
        <v>27.126</v>
      </c>
      <c r="G62" s="41" t="n">
        <f aca="false">(datos_base!$G$10+datos_base!$G$41)*parametros_carros!E$13</f>
        <v>27.126</v>
      </c>
      <c r="H62" s="41" t="n">
        <f aca="false">(datos_base!$G$10+datos_base!$G$41)*parametros_carros!F$13</f>
        <v>27.126</v>
      </c>
      <c r="I62" s="41" t="n">
        <f aca="false">(datos_base!$G$10+datos_base!$G$41)*parametros_carros!G$13</f>
        <v>24.112</v>
      </c>
      <c r="J62" s="41" t="n">
        <f aca="false">(datos_base!$G$10+datos_base!$G$41)*parametros_carros!H$13</f>
        <v>27.126</v>
      </c>
      <c r="K62" s="41" t="n">
        <f aca="false">(datos_base!$G$10+datos_base!$G$41)*parametros_carros!I$13</f>
        <v>27.126</v>
      </c>
      <c r="L62" s="41" t="n">
        <f aca="false">(datos_base!$G$10+datos_base!$G$41)*parametros_carros!J$13</f>
        <v>25.619</v>
      </c>
      <c r="M62" s="41" t="n">
        <f aca="false">(datos_base!$G$10+datos_base!$G$41)*parametros_carros!K$13</f>
        <v>22.605</v>
      </c>
      <c r="N62" s="41" t="n">
        <f aca="false">(datos_base!$G$10+datos_base!$G$41)*parametros_carros!L$13</f>
        <v>21.098</v>
      </c>
      <c r="O62" s="41" t="n">
        <f aca="false">(datos_base!$G$10+datos_base!$G$41)*parametros_carros!M$13</f>
        <v>24.112</v>
      </c>
      <c r="P62" s="42" t="n">
        <f aca="false">SUM(D62:O62)</f>
        <v>301.4</v>
      </c>
    </row>
    <row r="63" customFormat="false" ht="14.25" hidden="false" customHeight="true" outlineLevel="0" collapsed="false">
      <c r="A63" s="22" t="n">
        <v>2031</v>
      </c>
      <c r="B63" s="12" t="s">
        <v>53</v>
      </c>
      <c r="C63" s="12" t="s">
        <v>244</v>
      </c>
      <c r="D63" s="41" t="n">
        <f aca="false">(datos_base!$G$11+datos_base!$G$42)*parametros_carros!B$14</f>
        <v>5.5794</v>
      </c>
      <c r="E63" s="41" t="n">
        <f aca="false">(datos_base!$G$11+datos_base!$G$42)*parametros_carros!C$14</f>
        <v>4.923</v>
      </c>
      <c r="F63" s="41" t="n">
        <f aca="false">(datos_base!$G$11+datos_base!$G$42)*parametros_carros!D$14</f>
        <v>5.9076</v>
      </c>
      <c r="G63" s="41" t="n">
        <f aca="false">(datos_base!$G$11+datos_base!$G$42)*parametros_carros!E$14</f>
        <v>5.9076</v>
      </c>
      <c r="H63" s="41" t="n">
        <f aca="false">(datos_base!$G$11+datos_base!$G$42)*parametros_carros!F$14</f>
        <v>5.9076</v>
      </c>
      <c r="I63" s="41" t="n">
        <f aca="false">(datos_base!$G$11+datos_base!$G$42)*parametros_carros!G$14</f>
        <v>5.2512</v>
      </c>
      <c r="J63" s="41" t="n">
        <f aca="false">(datos_base!$G$11+datos_base!$G$42)*parametros_carros!H$14</f>
        <v>5.9076</v>
      </c>
      <c r="K63" s="41" t="n">
        <f aca="false">(datos_base!$G$11+datos_base!$G$42)*parametros_carros!I$14</f>
        <v>5.9076</v>
      </c>
      <c r="L63" s="41" t="n">
        <f aca="false">(datos_base!$G$11+datos_base!$G$42)*parametros_carros!J$14</f>
        <v>5.5794</v>
      </c>
      <c r="M63" s="41" t="n">
        <f aca="false">(datos_base!$G$11+datos_base!$G$42)*parametros_carros!K$14</f>
        <v>4.923</v>
      </c>
      <c r="N63" s="41" t="n">
        <f aca="false">(datos_base!$G$11+datos_base!$G$42)*parametros_carros!L$14</f>
        <v>4.5948</v>
      </c>
      <c r="O63" s="41" t="n">
        <f aca="false">(datos_base!$G$11+datos_base!$G$42)*parametros_carros!M$14</f>
        <v>5.2512</v>
      </c>
      <c r="P63" s="42" t="n">
        <f aca="false">SUM(D63:O63)</f>
        <v>65.64</v>
      </c>
    </row>
    <row r="64" customFormat="false" ht="14.25" hidden="false" customHeight="true" outlineLevel="0" collapsed="false">
      <c r="A64" s="22" t="n">
        <v>2031</v>
      </c>
      <c r="B64" s="12" t="s">
        <v>54</v>
      </c>
      <c r="C64" s="12" t="s">
        <v>244</v>
      </c>
      <c r="D64" s="41" t="n">
        <f aca="false">(datos_base!$G$12+datos_base!$G$43)*parametros_carros!B$15</f>
        <v>3.6516</v>
      </c>
      <c r="E64" s="41" t="n">
        <f aca="false">(datos_base!$G$12+datos_base!$G$43)*parametros_carros!C$15</f>
        <v>3.222</v>
      </c>
      <c r="F64" s="41" t="n">
        <f aca="false">(datos_base!$G$12+datos_base!$G$43)*parametros_carros!D$15</f>
        <v>3.8664</v>
      </c>
      <c r="G64" s="41" t="n">
        <f aca="false">(datos_base!$G$12+datos_base!$G$43)*parametros_carros!E$15</f>
        <v>3.8664</v>
      </c>
      <c r="H64" s="41" t="n">
        <f aca="false">(datos_base!$G$12+datos_base!$G$43)*parametros_carros!F$15</f>
        <v>3.8664</v>
      </c>
      <c r="I64" s="41" t="n">
        <f aca="false">(datos_base!$G$12+datos_base!$G$43)*parametros_carros!G$15</f>
        <v>3.4368</v>
      </c>
      <c r="J64" s="41" t="n">
        <f aca="false">(datos_base!$G$12+datos_base!$G$43)*parametros_carros!H$15</f>
        <v>3.8664</v>
      </c>
      <c r="K64" s="41" t="n">
        <f aca="false">(datos_base!$G$12+datos_base!$G$43)*parametros_carros!I$15</f>
        <v>3.8664</v>
      </c>
      <c r="L64" s="41" t="n">
        <f aca="false">(datos_base!$G$12+datos_base!$G$43)*parametros_carros!J$15</f>
        <v>3.6516</v>
      </c>
      <c r="M64" s="41" t="n">
        <f aca="false">(datos_base!$G$12+datos_base!$G$43)*parametros_carros!K$15</f>
        <v>3.222</v>
      </c>
      <c r="N64" s="41" t="n">
        <f aca="false">(datos_base!$G$12+datos_base!$G$43)*parametros_carros!L$15</f>
        <v>3.0072</v>
      </c>
      <c r="O64" s="41" t="n">
        <f aca="false">(datos_base!$G$12+datos_base!$G$43)*parametros_carros!M$15</f>
        <v>3.4368</v>
      </c>
      <c r="P64" s="42" t="n">
        <f aca="false">SUM(D64:O64)</f>
        <v>42.96</v>
      </c>
    </row>
    <row r="65" customFormat="false" ht="14.25" hidden="false" customHeight="true" outlineLevel="0" collapsed="false">
      <c r="A65" s="43"/>
      <c r="B65" s="16" t="s">
        <v>245</v>
      </c>
      <c r="C65" s="43"/>
      <c r="D65" s="44" t="n">
        <f aca="false">SUM(D57:D64)</f>
        <v>118.92332412395</v>
      </c>
      <c r="E65" s="44" t="n">
        <f aca="false">SUM(E57:E64)</f>
        <v>104.93234481525</v>
      </c>
      <c r="F65" s="44" t="n">
        <f aca="false">SUM(F57:F64)</f>
        <v>125.9188137783</v>
      </c>
      <c r="G65" s="44" t="n">
        <f aca="false">SUM(G57:G64)</f>
        <v>125.9188137783</v>
      </c>
      <c r="H65" s="44" t="n">
        <f aca="false">SUM(H57:H64)</f>
        <v>125.9188137783</v>
      </c>
      <c r="I65" s="44" t="n">
        <f aca="false">SUM(I57:I64)</f>
        <v>111.9278344696</v>
      </c>
      <c r="J65" s="44" t="n">
        <f aca="false">SUM(J57:J64)</f>
        <v>125.9188137783</v>
      </c>
      <c r="K65" s="44" t="n">
        <f aca="false">SUM(K57:K64)</f>
        <v>125.9188137783</v>
      </c>
      <c r="L65" s="44" t="n">
        <f aca="false">SUM(L57:L64)</f>
        <v>118.92332412395</v>
      </c>
      <c r="M65" s="44" t="n">
        <f aca="false">SUM(M57:M64)</f>
        <v>104.93234481525</v>
      </c>
      <c r="N65" s="44" t="n">
        <f aca="false">SUM(N57:N64)</f>
        <v>97.9368551609</v>
      </c>
      <c r="O65" s="44" t="n">
        <f aca="false">SUM(O57:O64)</f>
        <v>111.9278344696</v>
      </c>
      <c r="P65" s="44" t="n">
        <f aca="false">SUM(P57:P64)</f>
        <v>1399.09793087</v>
      </c>
    </row>
    <row r="66" customFormat="false" ht="14.25" hidden="false" customHeight="true" outlineLevel="0" collapsed="false"/>
    <row r="67" customFormat="false" ht="14.25" hidden="false" customHeight="true" outlineLevel="0" collapsed="false">
      <c r="A67" s="11" t="n">
        <v>2032</v>
      </c>
      <c r="B67" s="11" t="s">
        <v>240</v>
      </c>
      <c r="C67" s="11" t="s">
        <v>241</v>
      </c>
      <c r="D67" s="11" t="s">
        <v>17</v>
      </c>
      <c r="E67" s="11" t="s">
        <v>18</v>
      </c>
      <c r="F67" s="11" t="s">
        <v>19</v>
      </c>
      <c r="G67" s="11" t="s">
        <v>20</v>
      </c>
      <c r="H67" s="11" t="s">
        <v>21</v>
      </c>
      <c r="I67" s="11" t="s">
        <v>22</v>
      </c>
      <c r="J67" s="11" t="s">
        <v>23</v>
      </c>
      <c r="K67" s="11" t="s">
        <v>24</v>
      </c>
      <c r="L67" s="11" t="s">
        <v>25</v>
      </c>
      <c r="M67" s="11" t="s">
        <v>26</v>
      </c>
      <c r="N67" s="11" t="s">
        <v>27</v>
      </c>
      <c r="O67" s="11" t="s">
        <v>28</v>
      </c>
      <c r="P67" s="11" t="s">
        <v>242</v>
      </c>
    </row>
    <row r="68" customFormat="false" ht="14.25" hidden="false" customHeight="true" outlineLevel="0" collapsed="false">
      <c r="A68" s="22" t="n">
        <v>2032</v>
      </c>
      <c r="B68" s="12" t="s">
        <v>41</v>
      </c>
      <c r="C68" s="12" t="s">
        <v>243</v>
      </c>
      <c r="D68" s="41" t="n">
        <f aca="false">(datos_base!$H$2+datos_base!$H$35)*parametros_carros!B$12</f>
        <v>23.203999822</v>
      </c>
      <c r="E68" s="41" t="n">
        <f aca="false">(datos_base!$H$2+datos_base!$H$35)*parametros_carros!C$12</f>
        <v>20.47411749</v>
      </c>
      <c r="F68" s="41" t="n">
        <f aca="false">(datos_base!$H$2+datos_base!$H$35)*parametros_carros!D$12</f>
        <v>24.568940988</v>
      </c>
      <c r="G68" s="41" t="n">
        <f aca="false">(datos_base!$H$2+datos_base!$H$35)*parametros_carros!E$12</f>
        <v>24.568940988</v>
      </c>
      <c r="H68" s="41" t="n">
        <f aca="false">(datos_base!$H$2+datos_base!$H$35)*parametros_carros!F$12</f>
        <v>24.568940988</v>
      </c>
      <c r="I68" s="41" t="n">
        <f aca="false">(datos_base!$H$2+datos_base!$H$35)*parametros_carros!G$12</f>
        <v>21.839058656</v>
      </c>
      <c r="J68" s="41" t="n">
        <f aca="false">(datos_base!$H$2+datos_base!$H$35)*parametros_carros!H$12</f>
        <v>24.568940988</v>
      </c>
      <c r="K68" s="41" t="n">
        <f aca="false">(datos_base!$H$2+datos_base!$H$35)*parametros_carros!I$12</f>
        <v>24.568940988</v>
      </c>
      <c r="L68" s="41" t="n">
        <f aca="false">(datos_base!$H$2+datos_base!$H$35)*parametros_carros!J$12</f>
        <v>23.203999822</v>
      </c>
      <c r="M68" s="41" t="n">
        <f aca="false">(datos_base!$H$2+datos_base!$H$35)*parametros_carros!K$12</f>
        <v>20.47411749</v>
      </c>
      <c r="N68" s="41" t="n">
        <f aca="false">(datos_base!$H$2+datos_base!$H$35)*parametros_carros!L$12</f>
        <v>19.109176324</v>
      </c>
      <c r="O68" s="41" t="n">
        <f aca="false">(datos_base!$H$2+datos_base!$H$35)*parametros_carros!M$12</f>
        <v>21.839058656</v>
      </c>
      <c r="P68" s="42" t="n">
        <f aca="false">SUM(D68:O68)</f>
        <v>272.9882332</v>
      </c>
    </row>
    <row r="69" customFormat="false" ht="14.25" hidden="false" customHeight="true" outlineLevel="0" collapsed="false">
      <c r="A69" s="22" t="n">
        <v>2032</v>
      </c>
      <c r="B69" s="12" t="s">
        <v>42</v>
      </c>
      <c r="C69" s="12" t="s">
        <v>243</v>
      </c>
      <c r="D69" s="41" t="n">
        <f aca="false">(datos_base!$H$3+datos_base!$H$36)*parametros_carros!B$13</f>
        <v>51.0433595965</v>
      </c>
      <c r="E69" s="41" t="n">
        <f aca="false">(datos_base!$H$3+datos_base!$H$36)*parametros_carros!C$13</f>
        <v>45.0382584675</v>
      </c>
      <c r="F69" s="41" t="n">
        <f aca="false">(datos_base!$H$3+datos_base!$H$36)*parametros_carros!D$13</f>
        <v>54.045910161</v>
      </c>
      <c r="G69" s="41" t="n">
        <f aca="false">(datos_base!$H$3+datos_base!$H$36)*parametros_carros!E$13</f>
        <v>54.045910161</v>
      </c>
      <c r="H69" s="41" t="n">
        <f aca="false">(datos_base!$H$3+datos_base!$H$36)*parametros_carros!F$13</f>
        <v>54.045910161</v>
      </c>
      <c r="I69" s="41" t="n">
        <f aca="false">(datos_base!$H$3+datos_base!$H$36)*parametros_carros!G$13</f>
        <v>48.040809032</v>
      </c>
      <c r="J69" s="41" t="n">
        <f aca="false">(datos_base!$H$3+datos_base!$H$36)*parametros_carros!H$13</f>
        <v>54.045910161</v>
      </c>
      <c r="K69" s="41" t="n">
        <f aca="false">(datos_base!$H$3+datos_base!$H$36)*parametros_carros!I$13</f>
        <v>54.045910161</v>
      </c>
      <c r="L69" s="41" t="n">
        <f aca="false">(datos_base!$H$3+datos_base!$H$36)*parametros_carros!J$13</f>
        <v>51.0433595965</v>
      </c>
      <c r="M69" s="41" t="n">
        <f aca="false">(datos_base!$H$3+datos_base!$H$36)*parametros_carros!K$13</f>
        <v>45.0382584675</v>
      </c>
      <c r="N69" s="41" t="n">
        <f aca="false">(datos_base!$H$3+datos_base!$H$36)*parametros_carros!L$13</f>
        <v>42.035707903</v>
      </c>
      <c r="O69" s="41" t="n">
        <f aca="false">(datos_base!$H$3+datos_base!$H$36)*parametros_carros!M$13</f>
        <v>48.040809032</v>
      </c>
      <c r="P69" s="42" t="n">
        <f aca="false">SUM(D69:O69)</f>
        <v>600.5101129</v>
      </c>
    </row>
    <row r="70" customFormat="false" ht="14.25" hidden="false" customHeight="true" outlineLevel="0" collapsed="false">
      <c r="A70" s="22" t="n">
        <v>2032</v>
      </c>
      <c r="B70" s="12" t="s">
        <v>43</v>
      </c>
      <c r="C70" s="12" t="s">
        <v>243</v>
      </c>
      <c r="D70" s="41" t="n">
        <f aca="false">(datos_base!$H$4+datos_base!$H$37)*parametros_carros!B$14</f>
        <v>11.1384639115</v>
      </c>
      <c r="E70" s="41" t="n">
        <f aca="false">(datos_base!$H$4+datos_base!$H$37)*parametros_carros!C$14</f>
        <v>9.8280563925</v>
      </c>
      <c r="F70" s="41" t="n">
        <f aca="false">(datos_base!$H$4+datos_base!$H$37)*parametros_carros!D$14</f>
        <v>11.793667671</v>
      </c>
      <c r="G70" s="41" t="n">
        <f aca="false">(datos_base!$H$4+datos_base!$H$37)*parametros_carros!E$14</f>
        <v>11.793667671</v>
      </c>
      <c r="H70" s="41" t="n">
        <f aca="false">(datos_base!$H$4+datos_base!$H$37)*parametros_carros!F$14</f>
        <v>11.793667671</v>
      </c>
      <c r="I70" s="41" t="n">
        <f aca="false">(datos_base!$H$4+datos_base!$H$37)*parametros_carros!G$14</f>
        <v>10.483260152</v>
      </c>
      <c r="J70" s="41" t="n">
        <f aca="false">(datos_base!$H$4+datos_base!$H$37)*parametros_carros!H$14</f>
        <v>11.793667671</v>
      </c>
      <c r="K70" s="41" t="n">
        <f aca="false">(datos_base!$H$4+datos_base!$H$37)*parametros_carros!I$14</f>
        <v>11.793667671</v>
      </c>
      <c r="L70" s="41" t="n">
        <f aca="false">(datos_base!$H$4+datos_base!$H$37)*parametros_carros!J$14</f>
        <v>11.1384639115</v>
      </c>
      <c r="M70" s="41" t="n">
        <f aca="false">(datos_base!$H$4+datos_base!$H$37)*parametros_carros!K$14</f>
        <v>9.8280563925</v>
      </c>
      <c r="N70" s="41" t="n">
        <f aca="false">(datos_base!$H$4+datos_base!$H$37)*parametros_carros!L$14</f>
        <v>9.172852633</v>
      </c>
      <c r="O70" s="41" t="n">
        <f aca="false">(datos_base!$H$4+datos_base!$H$37)*parametros_carros!M$14</f>
        <v>10.483260152</v>
      </c>
      <c r="P70" s="42" t="n">
        <f aca="false">SUM(D70:O70)</f>
        <v>131.0407519</v>
      </c>
    </row>
    <row r="71" customFormat="false" ht="14.25" hidden="false" customHeight="true" outlineLevel="0" collapsed="false">
      <c r="A71" s="22" t="n">
        <v>2032</v>
      </c>
      <c r="B71" s="12" t="s">
        <v>44</v>
      </c>
      <c r="C71" s="12" t="s">
        <v>243</v>
      </c>
      <c r="D71" s="41" t="n">
        <f aca="false">(datos_base!$H$5+datos_base!$H$38)*parametros_carros!B$15</f>
        <v>7.43017594185</v>
      </c>
      <c r="E71" s="41" t="n">
        <f aca="false">(datos_base!$H$5+datos_base!$H$38)*parametros_carros!C$15</f>
        <v>6.55603759575</v>
      </c>
      <c r="F71" s="41" t="n">
        <f aca="false">(datos_base!$H$5+datos_base!$H$38)*parametros_carros!D$15</f>
        <v>7.8672451149</v>
      </c>
      <c r="G71" s="41" t="n">
        <f aca="false">(datos_base!$H$5+datos_base!$H$38)*parametros_carros!E$15</f>
        <v>7.8672451149</v>
      </c>
      <c r="H71" s="41" t="n">
        <f aca="false">(datos_base!$H$5+datos_base!$H$38)*parametros_carros!F$15</f>
        <v>7.8672451149</v>
      </c>
      <c r="I71" s="41" t="n">
        <f aca="false">(datos_base!$H$5+datos_base!$H$38)*parametros_carros!G$15</f>
        <v>6.9931067688</v>
      </c>
      <c r="J71" s="41" t="n">
        <f aca="false">(datos_base!$H$5+datos_base!$H$38)*parametros_carros!H$15</f>
        <v>7.8672451149</v>
      </c>
      <c r="K71" s="41" t="n">
        <f aca="false">(datos_base!$H$5+datos_base!$H$38)*parametros_carros!I$15</f>
        <v>7.8672451149</v>
      </c>
      <c r="L71" s="41" t="n">
        <f aca="false">(datos_base!$H$5+datos_base!$H$38)*parametros_carros!J$15</f>
        <v>7.43017594185</v>
      </c>
      <c r="M71" s="41" t="n">
        <f aca="false">(datos_base!$H$5+datos_base!$H$38)*parametros_carros!K$15</f>
        <v>6.55603759575</v>
      </c>
      <c r="N71" s="41" t="n">
        <f aca="false">(datos_base!$H$5+datos_base!$H$38)*parametros_carros!L$15</f>
        <v>6.1189684227</v>
      </c>
      <c r="O71" s="41" t="n">
        <f aca="false">(datos_base!$H$5+datos_base!$H$38)*parametros_carros!M$15</f>
        <v>6.9931067688</v>
      </c>
      <c r="P71" s="42" t="n">
        <f aca="false">SUM(D71:O71)</f>
        <v>87.41383461</v>
      </c>
    </row>
    <row r="72" customFormat="false" ht="14.25" hidden="false" customHeight="true" outlineLevel="0" collapsed="false">
      <c r="A72" s="22" t="n">
        <v>2032</v>
      </c>
      <c r="B72" s="12" t="s">
        <v>51</v>
      </c>
      <c r="C72" s="12" t="s">
        <v>244</v>
      </c>
      <c r="D72" s="41" t="n">
        <f aca="false">(datos_base!$H$9+datos_base!$H$40)*parametros_carros!B$12</f>
        <v>16.3608</v>
      </c>
      <c r="E72" s="41" t="n">
        <f aca="false">(datos_base!$H$9+datos_base!$H$40)*parametros_carros!C$12</f>
        <v>14.436</v>
      </c>
      <c r="F72" s="41" t="n">
        <f aca="false">(datos_base!$H$9+datos_base!$H$40)*parametros_carros!D$12</f>
        <v>17.3232</v>
      </c>
      <c r="G72" s="41" t="n">
        <f aca="false">(datos_base!$H$9+datos_base!$H$40)*parametros_carros!E$12</f>
        <v>17.3232</v>
      </c>
      <c r="H72" s="41" t="n">
        <f aca="false">(datos_base!$H$9+datos_base!$H$40)*parametros_carros!F$12</f>
        <v>17.3232</v>
      </c>
      <c r="I72" s="41" t="n">
        <f aca="false">(datos_base!$H$9+datos_base!$H$40)*parametros_carros!G$12</f>
        <v>15.3984</v>
      </c>
      <c r="J72" s="41" t="n">
        <f aca="false">(datos_base!$H$9+datos_base!$H$40)*parametros_carros!H$12</f>
        <v>17.3232</v>
      </c>
      <c r="K72" s="41" t="n">
        <f aca="false">(datos_base!$H$9+datos_base!$H$40)*parametros_carros!I$12</f>
        <v>17.3232</v>
      </c>
      <c r="L72" s="41" t="n">
        <f aca="false">(datos_base!$H$9+datos_base!$H$40)*parametros_carros!J$12</f>
        <v>16.3608</v>
      </c>
      <c r="M72" s="41" t="n">
        <f aca="false">(datos_base!$H$9+datos_base!$H$40)*parametros_carros!K$12</f>
        <v>14.436</v>
      </c>
      <c r="N72" s="41" t="n">
        <f aca="false">(datos_base!$H$9+datos_base!$H$40)*parametros_carros!L$12</f>
        <v>13.4736</v>
      </c>
      <c r="O72" s="41" t="n">
        <f aca="false">(datos_base!$H$9+datos_base!$H$40)*parametros_carros!M$12</f>
        <v>15.3984</v>
      </c>
      <c r="P72" s="42" t="n">
        <f aca="false">SUM(D72:O72)</f>
        <v>192.48</v>
      </c>
    </row>
    <row r="73" customFormat="false" ht="14.25" hidden="false" customHeight="true" outlineLevel="0" collapsed="false">
      <c r="A73" s="22" t="n">
        <v>2032</v>
      </c>
      <c r="B73" s="12" t="s">
        <v>52</v>
      </c>
      <c r="C73" s="12" t="s">
        <v>244</v>
      </c>
      <c r="D73" s="41" t="n">
        <f aca="false">(datos_base!$H$10+datos_base!$H$41)*parametros_carros!B$13</f>
        <v>36.0264</v>
      </c>
      <c r="E73" s="41" t="n">
        <f aca="false">(datos_base!$H$10+datos_base!$H$41)*parametros_carros!C$13</f>
        <v>31.788</v>
      </c>
      <c r="F73" s="41" t="n">
        <f aca="false">(datos_base!$H$10+datos_base!$H$41)*parametros_carros!D$13</f>
        <v>38.1456</v>
      </c>
      <c r="G73" s="41" t="n">
        <f aca="false">(datos_base!$H$10+datos_base!$H$41)*parametros_carros!E$13</f>
        <v>38.1456</v>
      </c>
      <c r="H73" s="41" t="n">
        <f aca="false">(datos_base!$H$10+datos_base!$H$41)*parametros_carros!F$13</f>
        <v>38.1456</v>
      </c>
      <c r="I73" s="41" t="n">
        <f aca="false">(datos_base!$H$10+datos_base!$H$41)*parametros_carros!G$13</f>
        <v>33.9072</v>
      </c>
      <c r="J73" s="41" t="n">
        <f aca="false">(datos_base!$H$10+datos_base!$H$41)*parametros_carros!H$13</f>
        <v>38.1456</v>
      </c>
      <c r="K73" s="41" t="n">
        <f aca="false">(datos_base!$H$10+datos_base!$H$41)*parametros_carros!I$13</f>
        <v>38.1456</v>
      </c>
      <c r="L73" s="41" t="n">
        <f aca="false">(datos_base!$H$10+datos_base!$H$41)*parametros_carros!J$13</f>
        <v>36.0264</v>
      </c>
      <c r="M73" s="41" t="n">
        <f aca="false">(datos_base!$H$10+datos_base!$H$41)*parametros_carros!K$13</f>
        <v>31.788</v>
      </c>
      <c r="N73" s="41" t="n">
        <f aca="false">(datos_base!$H$10+datos_base!$H$41)*parametros_carros!L$13</f>
        <v>29.6688</v>
      </c>
      <c r="O73" s="41" t="n">
        <f aca="false">(datos_base!$H$10+datos_base!$H$41)*parametros_carros!M$13</f>
        <v>33.9072</v>
      </c>
      <c r="P73" s="42" t="n">
        <f aca="false">SUM(D73:O73)</f>
        <v>423.84</v>
      </c>
    </row>
    <row r="74" customFormat="false" ht="14.25" hidden="false" customHeight="true" outlineLevel="0" collapsed="false">
      <c r="A74" s="22" t="n">
        <v>2032</v>
      </c>
      <c r="B74" s="12" t="s">
        <v>53</v>
      </c>
      <c r="C74" s="12" t="s">
        <v>244</v>
      </c>
      <c r="D74" s="41" t="n">
        <f aca="false">(datos_base!$H$11+datos_base!$H$42)*parametros_carros!B$14</f>
        <v>7.9424</v>
      </c>
      <c r="E74" s="41" t="n">
        <f aca="false">(datos_base!$H$11+datos_base!$H$42)*parametros_carros!C$14</f>
        <v>7.008</v>
      </c>
      <c r="F74" s="41" t="n">
        <f aca="false">(datos_base!$H$11+datos_base!$H$42)*parametros_carros!D$14</f>
        <v>8.4096</v>
      </c>
      <c r="G74" s="41" t="n">
        <f aca="false">(datos_base!$H$11+datos_base!$H$42)*parametros_carros!E$14</f>
        <v>8.4096</v>
      </c>
      <c r="H74" s="41" t="n">
        <f aca="false">(datos_base!$H$11+datos_base!$H$42)*parametros_carros!F$14</f>
        <v>8.4096</v>
      </c>
      <c r="I74" s="41" t="n">
        <f aca="false">(datos_base!$H$11+datos_base!$H$42)*parametros_carros!G$14</f>
        <v>7.4752</v>
      </c>
      <c r="J74" s="41" t="n">
        <f aca="false">(datos_base!$H$11+datos_base!$H$42)*parametros_carros!H$14</f>
        <v>8.4096</v>
      </c>
      <c r="K74" s="41" t="n">
        <f aca="false">(datos_base!$H$11+datos_base!$H$42)*parametros_carros!I$14</f>
        <v>8.4096</v>
      </c>
      <c r="L74" s="41" t="n">
        <f aca="false">(datos_base!$H$11+datos_base!$H$42)*parametros_carros!J$14</f>
        <v>7.9424</v>
      </c>
      <c r="M74" s="41" t="n">
        <f aca="false">(datos_base!$H$11+datos_base!$H$42)*parametros_carros!K$14</f>
        <v>7.008</v>
      </c>
      <c r="N74" s="41" t="n">
        <f aca="false">(datos_base!$H$11+datos_base!$H$42)*parametros_carros!L$14</f>
        <v>6.5408</v>
      </c>
      <c r="O74" s="41" t="n">
        <f aca="false">(datos_base!$H$11+datos_base!$H$42)*parametros_carros!M$14</f>
        <v>7.4752</v>
      </c>
      <c r="P74" s="42" t="n">
        <f aca="false">SUM(D74:O74)</f>
        <v>93.44</v>
      </c>
    </row>
    <row r="75" customFormat="false" ht="14.25" hidden="false" customHeight="true" outlineLevel="0" collapsed="false">
      <c r="A75" s="22" t="n">
        <v>2032</v>
      </c>
      <c r="B75" s="12" t="s">
        <v>54</v>
      </c>
      <c r="C75" s="12" t="s">
        <v>244</v>
      </c>
      <c r="D75" s="41" t="n">
        <f aca="false">(datos_base!$H$12+datos_base!$H$43)*parametros_carros!B$15</f>
        <v>5.2326</v>
      </c>
      <c r="E75" s="41" t="n">
        <f aca="false">(datos_base!$H$12+datos_base!$H$43)*parametros_carros!C$15</f>
        <v>4.617</v>
      </c>
      <c r="F75" s="41" t="n">
        <f aca="false">(datos_base!$H$12+datos_base!$H$43)*parametros_carros!D$15</f>
        <v>5.5404</v>
      </c>
      <c r="G75" s="41" t="n">
        <f aca="false">(datos_base!$H$12+datos_base!$H$43)*parametros_carros!E$15</f>
        <v>5.5404</v>
      </c>
      <c r="H75" s="41" t="n">
        <f aca="false">(datos_base!$H$12+datos_base!$H$43)*parametros_carros!F$15</f>
        <v>5.5404</v>
      </c>
      <c r="I75" s="41" t="n">
        <f aca="false">(datos_base!$H$12+datos_base!$H$43)*parametros_carros!G$15</f>
        <v>4.9248</v>
      </c>
      <c r="J75" s="41" t="n">
        <f aca="false">(datos_base!$H$12+datos_base!$H$43)*parametros_carros!H$15</f>
        <v>5.5404</v>
      </c>
      <c r="K75" s="41" t="n">
        <f aca="false">(datos_base!$H$12+datos_base!$H$43)*parametros_carros!I$15</f>
        <v>5.5404</v>
      </c>
      <c r="L75" s="41" t="n">
        <f aca="false">(datos_base!$H$12+datos_base!$H$43)*parametros_carros!J$15</f>
        <v>5.2326</v>
      </c>
      <c r="M75" s="41" t="n">
        <f aca="false">(datos_base!$H$12+datos_base!$H$43)*parametros_carros!K$15</f>
        <v>4.617</v>
      </c>
      <c r="N75" s="41" t="n">
        <f aca="false">(datos_base!$H$12+datos_base!$H$43)*parametros_carros!L$15</f>
        <v>4.3092</v>
      </c>
      <c r="O75" s="41" t="n">
        <f aca="false">(datos_base!$H$12+datos_base!$H$43)*parametros_carros!M$15</f>
        <v>4.9248</v>
      </c>
      <c r="P75" s="42" t="n">
        <f aca="false">SUM(D75:O75)</f>
        <v>61.56</v>
      </c>
    </row>
    <row r="76" customFormat="false" ht="14.25" hidden="false" customHeight="true" outlineLevel="0" collapsed="false">
      <c r="A76" s="43"/>
      <c r="B76" s="16" t="s">
        <v>245</v>
      </c>
      <c r="C76" s="43"/>
      <c r="D76" s="44" t="n">
        <f aca="false">SUM(D68:D75)</f>
        <v>158.37819927185</v>
      </c>
      <c r="E76" s="44" t="n">
        <f aca="false">SUM(E68:E75)</f>
        <v>139.74546994575</v>
      </c>
      <c r="F76" s="44" t="n">
        <f aca="false">SUM(F68:F75)</f>
        <v>167.6945639349</v>
      </c>
      <c r="G76" s="44" t="n">
        <f aca="false">SUM(G68:G75)</f>
        <v>167.6945639349</v>
      </c>
      <c r="H76" s="44" t="n">
        <f aca="false">SUM(H68:H75)</f>
        <v>167.6945639349</v>
      </c>
      <c r="I76" s="44" t="n">
        <f aca="false">SUM(I68:I75)</f>
        <v>149.0618346088</v>
      </c>
      <c r="J76" s="44" t="n">
        <f aca="false">SUM(J68:J75)</f>
        <v>167.6945639349</v>
      </c>
      <c r="K76" s="44" t="n">
        <f aca="false">SUM(K68:K75)</f>
        <v>167.6945639349</v>
      </c>
      <c r="L76" s="44" t="n">
        <f aca="false">SUM(L68:L75)</f>
        <v>158.37819927185</v>
      </c>
      <c r="M76" s="44" t="n">
        <f aca="false">SUM(M68:M75)</f>
        <v>139.74546994575</v>
      </c>
      <c r="N76" s="44" t="n">
        <f aca="false">SUM(N68:N75)</f>
        <v>130.4291052827</v>
      </c>
      <c r="O76" s="44" t="n">
        <f aca="false">SUM(O68:O75)</f>
        <v>149.0618346088</v>
      </c>
      <c r="P76" s="44" t="n">
        <f aca="false">SUM(P68:P75)</f>
        <v>1863.27293261</v>
      </c>
    </row>
    <row r="77" customFormat="false" ht="14.25" hidden="false" customHeight="true" outlineLevel="0" collapsed="false"/>
    <row r="78" customFormat="false" ht="14.25" hidden="false" customHeight="true" outlineLevel="0" collapsed="false">
      <c r="A78" s="11" t="n">
        <v>2033</v>
      </c>
      <c r="B78" s="11" t="s">
        <v>240</v>
      </c>
      <c r="C78" s="11" t="s">
        <v>241</v>
      </c>
      <c r="D78" s="11" t="s">
        <v>17</v>
      </c>
      <c r="E78" s="11" t="s">
        <v>18</v>
      </c>
      <c r="F78" s="11" t="s">
        <v>19</v>
      </c>
      <c r="G78" s="11" t="s">
        <v>20</v>
      </c>
      <c r="H78" s="11" t="s">
        <v>21</v>
      </c>
      <c r="I78" s="11" t="s">
        <v>22</v>
      </c>
      <c r="J78" s="11" t="s">
        <v>23</v>
      </c>
      <c r="K78" s="11" t="s">
        <v>24</v>
      </c>
      <c r="L78" s="11" t="s">
        <v>25</v>
      </c>
      <c r="M78" s="11" t="s">
        <v>26</v>
      </c>
      <c r="N78" s="11" t="s">
        <v>27</v>
      </c>
      <c r="O78" s="11" t="s">
        <v>28</v>
      </c>
      <c r="P78" s="11" t="s">
        <v>242</v>
      </c>
    </row>
    <row r="79" customFormat="false" ht="14.25" hidden="false" customHeight="true" outlineLevel="0" collapsed="false">
      <c r="A79" s="22" t="n">
        <v>2033</v>
      </c>
      <c r="B79" s="12" t="s">
        <v>41</v>
      </c>
      <c r="C79" s="12" t="s">
        <v>243</v>
      </c>
      <c r="D79" s="41" t="n">
        <f aca="false">(datos_base!$I$2+datos_base!$I$35)*parametros_carros!B$12</f>
        <v>28.8293370095</v>
      </c>
      <c r="E79" s="41" t="n">
        <f aca="false">(datos_base!$I$2+datos_base!$I$35)*parametros_carros!C$12</f>
        <v>25.4376503025</v>
      </c>
      <c r="F79" s="41" t="n">
        <f aca="false">(datos_base!$I$2+datos_base!$I$35)*parametros_carros!D$12</f>
        <v>30.525180363</v>
      </c>
      <c r="G79" s="41" t="n">
        <f aca="false">(datos_base!$I$2+datos_base!$I$35)*parametros_carros!E$12</f>
        <v>30.525180363</v>
      </c>
      <c r="H79" s="41" t="n">
        <f aca="false">(datos_base!$I$2+datos_base!$I$35)*parametros_carros!F$12</f>
        <v>30.525180363</v>
      </c>
      <c r="I79" s="41" t="n">
        <f aca="false">(datos_base!$I$2+datos_base!$I$35)*parametros_carros!G$12</f>
        <v>27.133493656</v>
      </c>
      <c r="J79" s="41" t="n">
        <f aca="false">(datos_base!$I$2+datos_base!$I$35)*parametros_carros!H$12</f>
        <v>30.525180363</v>
      </c>
      <c r="K79" s="41" t="n">
        <f aca="false">(datos_base!$I$2+datos_base!$I$35)*parametros_carros!I$12</f>
        <v>30.525180363</v>
      </c>
      <c r="L79" s="41" t="n">
        <f aca="false">(datos_base!$I$2+datos_base!$I$35)*parametros_carros!J$12</f>
        <v>28.8293370095</v>
      </c>
      <c r="M79" s="41" t="n">
        <f aca="false">(datos_base!$I$2+datos_base!$I$35)*parametros_carros!K$12</f>
        <v>25.4376503025</v>
      </c>
      <c r="N79" s="41" t="n">
        <f aca="false">(datos_base!$I$2+datos_base!$I$35)*parametros_carros!L$12</f>
        <v>23.741806949</v>
      </c>
      <c r="O79" s="41" t="n">
        <f aca="false">(datos_base!$I$2+datos_base!$I$35)*parametros_carros!M$12</f>
        <v>27.133493656</v>
      </c>
      <c r="P79" s="42" t="n">
        <f aca="false">SUM(D79:O79)</f>
        <v>339.1686707</v>
      </c>
    </row>
    <row r="80" customFormat="false" ht="14.25" hidden="false" customHeight="true" outlineLevel="0" collapsed="false">
      <c r="A80" s="22" t="n">
        <v>2033</v>
      </c>
      <c r="B80" s="12" t="s">
        <v>42</v>
      </c>
      <c r="C80" s="12" t="s">
        <v>243</v>
      </c>
      <c r="D80" s="41" t="n">
        <f aca="false">(datos_base!$I$3+datos_base!$I$36)*parametros_carros!B$13</f>
        <v>63.317101426</v>
      </c>
      <c r="E80" s="41" t="n">
        <f aca="false">(datos_base!$I$3+datos_base!$I$36)*parametros_carros!C$13</f>
        <v>55.86803067</v>
      </c>
      <c r="F80" s="41" t="n">
        <f aca="false">(datos_base!$I$3+datos_base!$I$36)*parametros_carros!D$13</f>
        <v>67.041636804</v>
      </c>
      <c r="G80" s="41" t="n">
        <f aca="false">(datos_base!$I$3+datos_base!$I$36)*parametros_carros!E$13</f>
        <v>67.041636804</v>
      </c>
      <c r="H80" s="41" t="n">
        <f aca="false">(datos_base!$I$3+datos_base!$I$36)*parametros_carros!F$13</f>
        <v>67.041636804</v>
      </c>
      <c r="I80" s="41" t="n">
        <f aca="false">(datos_base!$I$3+datos_base!$I$36)*parametros_carros!G$13</f>
        <v>59.592566048</v>
      </c>
      <c r="J80" s="41" t="n">
        <f aca="false">(datos_base!$I$3+datos_base!$I$36)*parametros_carros!H$13</f>
        <v>67.041636804</v>
      </c>
      <c r="K80" s="41" t="n">
        <f aca="false">(datos_base!$I$3+datos_base!$I$36)*parametros_carros!I$13</f>
        <v>67.041636804</v>
      </c>
      <c r="L80" s="41" t="n">
        <f aca="false">(datos_base!$I$3+datos_base!$I$36)*parametros_carros!J$13</f>
        <v>63.317101426</v>
      </c>
      <c r="M80" s="41" t="n">
        <f aca="false">(datos_base!$I$3+datos_base!$I$36)*parametros_carros!K$13</f>
        <v>55.86803067</v>
      </c>
      <c r="N80" s="41" t="n">
        <f aca="false">(datos_base!$I$3+datos_base!$I$36)*parametros_carros!L$13</f>
        <v>52.143495292</v>
      </c>
      <c r="O80" s="41" t="n">
        <f aca="false">(datos_base!$I$3+datos_base!$I$36)*parametros_carros!M$13</f>
        <v>59.592566048</v>
      </c>
      <c r="P80" s="42" t="n">
        <f aca="false">SUM(D80:O80)</f>
        <v>744.9070756</v>
      </c>
    </row>
    <row r="81" customFormat="false" ht="14.25" hidden="false" customHeight="true" outlineLevel="0" collapsed="false">
      <c r="A81" s="22" t="n">
        <v>2033</v>
      </c>
      <c r="B81" s="12" t="s">
        <v>43</v>
      </c>
      <c r="C81" s="12" t="s">
        <v>243</v>
      </c>
      <c r="D81" s="41" t="n">
        <f aca="false">(datos_base!$I$4+datos_base!$I$37)*parametros_carros!B$14</f>
        <v>13.7978257615</v>
      </c>
      <c r="E81" s="41" t="n">
        <f aca="false">(datos_base!$I$4+datos_base!$I$37)*parametros_carros!C$14</f>
        <v>12.1745521425</v>
      </c>
      <c r="F81" s="41" t="n">
        <f aca="false">(datos_base!$I$4+datos_base!$I$37)*parametros_carros!D$14</f>
        <v>14.609462571</v>
      </c>
      <c r="G81" s="41" t="n">
        <f aca="false">(datos_base!$I$4+datos_base!$I$37)*parametros_carros!E$14</f>
        <v>14.609462571</v>
      </c>
      <c r="H81" s="41" t="n">
        <f aca="false">(datos_base!$I$4+datos_base!$I$37)*parametros_carros!F$14</f>
        <v>14.609462571</v>
      </c>
      <c r="I81" s="41" t="n">
        <f aca="false">(datos_base!$I$4+datos_base!$I$37)*parametros_carros!G$14</f>
        <v>12.986188952</v>
      </c>
      <c r="J81" s="41" t="n">
        <f aca="false">(datos_base!$I$4+datos_base!$I$37)*parametros_carros!H$14</f>
        <v>14.609462571</v>
      </c>
      <c r="K81" s="41" t="n">
        <f aca="false">(datos_base!$I$4+datos_base!$I$37)*parametros_carros!I$14</f>
        <v>14.609462571</v>
      </c>
      <c r="L81" s="41" t="n">
        <f aca="false">(datos_base!$I$4+datos_base!$I$37)*parametros_carros!J$14</f>
        <v>13.7978257615</v>
      </c>
      <c r="M81" s="41" t="n">
        <f aca="false">(datos_base!$I$4+datos_base!$I$37)*parametros_carros!K$14</f>
        <v>12.1745521425</v>
      </c>
      <c r="N81" s="41" t="n">
        <f aca="false">(datos_base!$I$4+datos_base!$I$37)*parametros_carros!L$14</f>
        <v>11.362915333</v>
      </c>
      <c r="O81" s="41" t="n">
        <f aca="false">(datos_base!$I$4+datos_base!$I$37)*parametros_carros!M$14</f>
        <v>12.986188952</v>
      </c>
      <c r="P81" s="42" t="n">
        <f aca="false">SUM(D81:O81)</f>
        <v>162.3273619</v>
      </c>
    </row>
    <row r="82" customFormat="false" ht="14.25" hidden="false" customHeight="true" outlineLevel="0" collapsed="false">
      <c r="A82" s="22" t="n">
        <v>2033</v>
      </c>
      <c r="B82" s="12" t="s">
        <v>44</v>
      </c>
      <c r="C82" s="12" t="s">
        <v>243</v>
      </c>
      <c r="D82" s="41" t="n">
        <f aca="false">(datos_base!$I$5+datos_base!$I$38)*parametros_carros!B$15</f>
        <v>9.203083841</v>
      </c>
      <c r="E82" s="41" t="n">
        <f aca="false">(datos_base!$I$5+datos_base!$I$38)*parametros_carros!C$15</f>
        <v>8.120368095</v>
      </c>
      <c r="F82" s="41" t="n">
        <f aca="false">(datos_base!$I$5+datos_base!$I$38)*parametros_carros!D$15</f>
        <v>9.744441714</v>
      </c>
      <c r="G82" s="41" t="n">
        <f aca="false">(datos_base!$I$5+datos_base!$I$38)*parametros_carros!E$15</f>
        <v>9.744441714</v>
      </c>
      <c r="H82" s="41" t="n">
        <f aca="false">(datos_base!$I$5+datos_base!$I$38)*parametros_carros!F$15</f>
        <v>9.744441714</v>
      </c>
      <c r="I82" s="41" t="n">
        <f aca="false">(datos_base!$I$5+datos_base!$I$38)*parametros_carros!G$15</f>
        <v>8.661725968</v>
      </c>
      <c r="J82" s="41" t="n">
        <f aca="false">(datos_base!$I$5+datos_base!$I$38)*parametros_carros!H$15</f>
        <v>9.744441714</v>
      </c>
      <c r="K82" s="41" t="n">
        <f aca="false">(datos_base!$I$5+datos_base!$I$38)*parametros_carros!I$15</f>
        <v>9.744441714</v>
      </c>
      <c r="L82" s="41" t="n">
        <f aca="false">(datos_base!$I$5+datos_base!$I$38)*parametros_carros!J$15</f>
        <v>9.203083841</v>
      </c>
      <c r="M82" s="41" t="n">
        <f aca="false">(datos_base!$I$5+datos_base!$I$38)*parametros_carros!K$15</f>
        <v>8.120368095</v>
      </c>
      <c r="N82" s="41" t="n">
        <f aca="false">(datos_base!$I$5+datos_base!$I$38)*parametros_carros!L$15</f>
        <v>7.579010222</v>
      </c>
      <c r="O82" s="41" t="n">
        <f aca="false">(datos_base!$I$5+datos_base!$I$38)*parametros_carros!M$15</f>
        <v>8.661725968</v>
      </c>
      <c r="P82" s="42" t="n">
        <f aca="false">SUM(D82:O82)</f>
        <v>108.2715746</v>
      </c>
    </row>
    <row r="83" customFormat="false" ht="14.25" hidden="false" customHeight="true" outlineLevel="0" collapsed="false">
      <c r="A83" s="22" t="n">
        <v>2033</v>
      </c>
      <c r="B83" s="12" t="s">
        <v>51</v>
      </c>
      <c r="C83" s="12" t="s">
        <v>244</v>
      </c>
      <c r="D83" s="41" t="n">
        <f aca="false">(datos_base!$I$9+datos_base!$I$40)*parametros_carros!B$12</f>
        <v>21.1276</v>
      </c>
      <c r="E83" s="41" t="n">
        <f aca="false">(datos_base!$I$9+datos_base!$I$40)*parametros_carros!C$12</f>
        <v>18.642</v>
      </c>
      <c r="F83" s="41" t="n">
        <f aca="false">(datos_base!$I$9+datos_base!$I$40)*parametros_carros!D$12</f>
        <v>22.3704</v>
      </c>
      <c r="G83" s="41" t="n">
        <f aca="false">(datos_base!$I$9+datos_base!$I$40)*parametros_carros!E$12</f>
        <v>22.3704</v>
      </c>
      <c r="H83" s="41" t="n">
        <f aca="false">(datos_base!$I$9+datos_base!$I$40)*parametros_carros!F$12</f>
        <v>22.3704</v>
      </c>
      <c r="I83" s="41" t="n">
        <f aca="false">(datos_base!$I$9+datos_base!$I$40)*parametros_carros!G$12</f>
        <v>19.8848</v>
      </c>
      <c r="J83" s="41" t="n">
        <f aca="false">(datos_base!$I$9+datos_base!$I$40)*parametros_carros!H$12</f>
        <v>22.3704</v>
      </c>
      <c r="K83" s="41" t="n">
        <f aca="false">(datos_base!$I$9+datos_base!$I$40)*parametros_carros!I$12</f>
        <v>22.3704</v>
      </c>
      <c r="L83" s="41" t="n">
        <f aca="false">(datos_base!$I$9+datos_base!$I$40)*parametros_carros!J$12</f>
        <v>21.1276</v>
      </c>
      <c r="M83" s="41" t="n">
        <f aca="false">(datos_base!$I$9+datos_base!$I$40)*parametros_carros!K$12</f>
        <v>18.642</v>
      </c>
      <c r="N83" s="41" t="n">
        <f aca="false">(datos_base!$I$9+datos_base!$I$40)*parametros_carros!L$12</f>
        <v>17.3992</v>
      </c>
      <c r="O83" s="41" t="n">
        <f aca="false">(datos_base!$I$9+datos_base!$I$40)*parametros_carros!M$12</f>
        <v>19.8848</v>
      </c>
      <c r="P83" s="42" t="n">
        <f aca="false">SUM(D83:O83)</f>
        <v>248.56</v>
      </c>
    </row>
    <row r="84" customFormat="false" ht="14.25" hidden="false" customHeight="true" outlineLevel="0" collapsed="false">
      <c r="A84" s="22" t="n">
        <v>2033</v>
      </c>
      <c r="B84" s="12" t="s">
        <v>52</v>
      </c>
      <c r="C84" s="12" t="s">
        <v>244</v>
      </c>
      <c r="D84" s="41" t="n">
        <f aca="false">(datos_base!$I$10+datos_base!$I$41)*parametros_carros!B$13</f>
        <v>46.512</v>
      </c>
      <c r="E84" s="41" t="n">
        <f aca="false">(datos_base!$I$10+datos_base!$I$41)*parametros_carros!C$13</f>
        <v>41.04</v>
      </c>
      <c r="F84" s="41" t="n">
        <f aca="false">(datos_base!$I$10+datos_base!$I$41)*parametros_carros!D$13</f>
        <v>49.248</v>
      </c>
      <c r="G84" s="41" t="n">
        <f aca="false">(datos_base!$I$10+datos_base!$I$41)*parametros_carros!E$13</f>
        <v>49.248</v>
      </c>
      <c r="H84" s="41" t="n">
        <f aca="false">(datos_base!$I$10+datos_base!$I$41)*parametros_carros!F$13</f>
        <v>49.248</v>
      </c>
      <c r="I84" s="41" t="n">
        <f aca="false">(datos_base!$I$10+datos_base!$I$41)*parametros_carros!G$13</f>
        <v>43.776</v>
      </c>
      <c r="J84" s="41" t="n">
        <f aca="false">(datos_base!$I$10+datos_base!$I$41)*parametros_carros!H$13</f>
        <v>49.248</v>
      </c>
      <c r="K84" s="41" t="n">
        <f aca="false">(datos_base!$I$10+datos_base!$I$41)*parametros_carros!I$13</f>
        <v>49.248</v>
      </c>
      <c r="L84" s="41" t="n">
        <f aca="false">(datos_base!$I$10+datos_base!$I$41)*parametros_carros!J$13</f>
        <v>46.512</v>
      </c>
      <c r="M84" s="41" t="n">
        <f aca="false">(datos_base!$I$10+datos_base!$I$41)*parametros_carros!K$13</f>
        <v>41.04</v>
      </c>
      <c r="N84" s="41" t="n">
        <f aca="false">(datos_base!$I$10+datos_base!$I$41)*parametros_carros!L$13</f>
        <v>38.304</v>
      </c>
      <c r="O84" s="41" t="n">
        <f aca="false">(datos_base!$I$10+datos_base!$I$41)*parametros_carros!M$13</f>
        <v>43.776</v>
      </c>
      <c r="P84" s="42" t="n">
        <f aca="false">SUM(D84:O84)</f>
        <v>547.2</v>
      </c>
    </row>
    <row r="85" customFormat="false" ht="14.25" hidden="false" customHeight="true" outlineLevel="0" collapsed="false">
      <c r="A85" s="22" t="n">
        <v>2033</v>
      </c>
      <c r="B85" s="12" t="s">
        <v>53</v>
      </c>
      <c r="C85" s="12" t="s">
        <v>244</v>
      </c>
      <c r="D85" s="41" t="n">
        <f aca="false">(datos_base!$I$11+datos_base!$I$42)*parametros_carros!B$14</f>
        <v>10.1422</v>
      </c>
      <c r="E85" s="41" t="n">
        <f aca="false">(datos_base!$I$11+datos_base!$I$42)*parametros_carros!C$14</f>
        <v>8.949</v>
      </c>
      <c r="F85" s="41" t="n">
        <f aca="false">(datos_base!$I$11+datos_base!$I$42)*parametros_carros!D$14</f>
        <v>10.7388</v>
      </c>
      <c r="G85" s="41" t="n">
        <f aca="false">(datos_base!$I$11+datos_base!$I$42)*parametros_carros!E$14</f>
        <v>10.7388</v>
      </c>
      <c r="H85" s="41" t="n">
        <f aca="false">(datos_base!$I$11+datos_base!$I$42)*parametros_carros!F$14</f>
        <v>10.7388</v>
      </c>
      <c r="I85" s="41" t="n">
        <f aca="false">(datos_base!$I$11+datos_base!$I$42)*parametros_carros!G$14</f>
        <v>9.5456</v>
      </c>
      <c r="J85" s="41" t="n">
        <f aca="false">(datos_base!$I$11+datos_base!$I$42)*parametros_carros!H$14</f>
        <v>10.7388</v>
      </c>
      <c r="K85" s="41" t="n">
        <f aca="false">(datos_base!$I$11+datos_base!$I$42)*parametros_carros!I$14</f>
        <v>10.7388</v>
      </c>
      <c r="L85" s="41" t="n">
        <f aca="false">(datos_base!$I$11+datos_base!$I$42)*parametros_carros!J$14</f>
        <v>10.1422</v>
      </c>
      <c r="M85" s="41" t="n">
        <f aca="false">(datos_base!$I$11+datos_base!$I$42)*parametros_carros!K$14</f>
        <v>8.949</v>
      </c>
      <c r="N85" s="41" t="n">
        <f aca="false">(datos_base!$I$11+datos_base!$I$42)*parametros_carros!L$14</f>
        <v>8.3524</v>
      </c>
      <c r="O85" s="41" t="n">
        <f aca="false">(datos_base!$I$11+datos_base!$I$42)*parametros_carros!M$14</f>
        <v>9.5456</v>
      </c>
      <c r="P85" s="42" t="n">
        <f aca="false">SUM(D85:O85)</f>
        <v>119.32</v>
      </c>
    </row>
    <row r="86" customFormat="false" ht="14.25" hidden="false" customHeight="true" outlineLevel="0" collapsed="false">
      <c r="A86" s="22" t="n">
        <v>2033</v>
      </c>
      <c r="B86" s="12" t="s">
        <v>54</v>
      </c>
      <c r="C86" s="12" t="s">
        <v>244</v>
      </c>
      <c r="D86" s="41" t="n">
        <f aca="false">(datos_base!$I$12+datos_base!$I$43)*parametros_carros!B$15</f>
        <v>6.6504</v>
      </c>
      <c r="E86" s="41" t="n">
        <f aca="false">(datos_base!$I$12+datos_base!$I$43)*parametros_carros!C$15</f>
        <v>5.868</v>
      </c>
      <c r="F86" s="41" t="n">
        <f aca="false">(datos_base!$I$12+datos_base!$I$43)*parametros_carros!D$15</f>
        <v>7.0416</v>
      </c>
      <c r="G86" s="41" t="n">
        <f aca="false">(datos_base!$I$12+datos_base!$I$43)*parametros_carros!E$15</f>
        <v>7.0416</v>
      </c>
      <c r="H86" s="41" t="n">
        <f aca="false">(datos_base!$I$12+datos_base!$I$43)*parametros_carros!F$15</f>
        <v>7.0416</v>
      </c>
      <c r="I86" s="41" t="n">
        <f aca="false">(datos_base!$I$12+datos_base!$I$43)*parametros_carros!G$15</f>
        <v>6.2592</v>
      </c>
      <c r="J86" s="41" t="n">
        <f aca="false">(datos_base!$I$12+datos_base!$I$43)*parametros_carros!H$15</f>
        <v>7.0416</v>
      </c>
      <c r="K86" s="41" t="n">
        <f aca="false">(datos_base!$I$12+datos_base!$I$43)*parametros_carros!I$15</f>
        <v>7.0416</v>
      </c>
      <c r="L86" s="41" t="n">
        <f aca="false">(datos_base!$I$12+datos_base!$I$43)*parametros_carros!J$15</f>
        <v>6.6504</v>
      </c>
      <c r="M86" s="41" t="n">
        <f aca="false">(datos_base!$I$12+datos_base!$I$43)*parametros_carros!K$15</f>
        <v>5.868</v>
      </c>
      <c r="N86" s="41" t="n">
        <f aca="false">(datos_base!$I$12+datos_base!$I$43)*parametros_carros!L$15</f>
        <v>5.4768</v>
      </c>
      <c r="O86" s="41" t="n">
        <f aca="false">(datos_base!$I$12+datos_base!$I$43)*parametros_carros!M$15</f>
        <v>6.2592</v>
      </c>
      <c r="P86" s="42" t="n">
        <f aca="false">SUM(D86:O86)</f>
        <v>78.24</v>
      </c>
    </row>
    <row r="87" customFormat="false" ht="14.25" hidden="false" customHeight="true" outlineLevel="0" collapsed="false">
      <c r="A87" s="43"/>
      <c r="B87" s="16" t="s">
        <v>245</v>
      </c>
      <c r="C87" s="43"/>
      <c r="D87" s="44" t="n">
        <f aca="false">SUM(D79:D86)</f>
        <v>199.579548038</v>
      </c>
      <c r="E87" s="44" t="n">
        <f aca="false">SUM(E79:E86)</f>
        <v>176.09960121</v>
      </c>
      <c r="F87" s="44" t="n">
        <f aca="false">SUM(F79:F86)</f>
        <v>211.319521452</v>
      </c>
      <c r="G87" s="44" t="n">
        <f aca="false">SUM(G79:G86)</f>
        <v>211.319521452</v>
      </c>
      <c r="H87" s="44" t="n">
        <f aca="false">SUM(H79:H86)</f>
        <v>211.319521452</v>
      </c>
      <c r="I87" s="44" t="n">
        <f aca="false">SUM(I79:I86)</f>
        <v>187.839574624</v>
      </c>
      <c r="J87" s="44" t="n">
        <f aca="false">SUM(J79:J86)</f>
        <v>211.319521452</v>
      </c>
      <c r="K87" s="44" t="n">
        <f aca="false">SUM(K79:K86)</f>
        <v>211.319521452</v>
      </c>
      <c r="L87" s="44" t="n">
        <f aca="false">SUM(L79:L86)</f>
        <v>199.579548038</v>
      </c>
      <c r="M87" s="44" t="n">
        <f aca="false">SUM(M79:M86)</f>
        <v>176.09960121</v>
      </c>
      <c r="N87" s="44" t="n">
        <f aca="false">SUM(N79:N86)</f>
        <v>164.359627796</v>
      </c>
      <c r="O87" s="44" t="n">
        <f aca="false">SUM(O79:O86)</f>
        <v>187.839574624</v>
      </c>
      <c r="P87" s="44" t="n">
        <f aca="false">SUM(P79:P86)</f>
        <v>2347.9946828</v>
      </c>
    </row>
    <row r="88" customFormat="false" ht="14.25" hidden="false" customHeight="true" outlineLevel="0" collapsed="false"/>
    <row r="89" customFormat="false" ht="14.25" hidden="false" customHeight="true" outlineLevel="0" collapsed="false">
      <c r="A89" s="11" t="n">
        <v>2034</v>
      </c>
      <c r="B89" s="11" t="s">
        <v>240</v>
      </c>
      <c r="C89" s="11" t="s">
        <v>241</v>
      </c>
      <c r="D89" s="11" t="s">
        <v>17</v>
      </c>
      <c r="E89" s="11" t="s">
        <v>18</v>
      </c>
      <c r="F89" s="11" t="s">
        <v>19</v>
      </c>
      <c r="G89" s="11" t="s">
        <v>20</v>
      </c>
      <c r="H89" s="11" t="s">
        <v>21</v>
      </c>
      <c r="I89" s="11" t="s">
        <v>22</v>
      </c>
      <c r="J89" s="11" t="s">
        <v>23</v>
      </c>
      <c r="K89" s="11" t="s">
        <v>24</v>
      </c>
      <c r="L89" s="11" t="s">
        <v>25</v>
      </c>
      <c r="M89" s="11" t="s">
        <v>26</v>
      </c>
      <c r="N89" s="11" t="s">
        <v>27</v>
      </c>
      <c r="O89" s="11" t="s">
        <v>28</v>
      </c>
      <c r="P89" s="11" t="s">
        <v>242</v>
      </c>
    </row>
    <row r="90" customFormat="false" ht="14.25" hidden="false" customHeight="true" outlineLevel="0" collapsed="false">
      <c r="A90" s="22" t="n">
        <v>2034</v>
      </c>
      <c r="B90" s="12" t="s">
        <v>41</v>
      </c>
      <c r="C90" s="12" t="s">
        <v>243</v>
      </c>
      <c r="D90" s="41" t="n">
        <f aca="false">(datos_base!$J$2+datos_base!$J$35)*parametros_carros!B$12</f>
        <v>33.492330326</v>
      </c>
      <c r="E90" s="41" t="n">
        <f aca="false">(datos_base!$J$2+datos_base!$J$35)*parametros_carros!C$12</f>
        <v>29.55205617</v>
      </c>
      <c r="F90" s="41" t="n">
        <f aca="false">(datos_base!$J$2+datos_base!$J$35)*parametros_carros!D$12</f>
        <v>35.462467404</v>
      </c>
      <c r="G90" s="41" t="n">
        <f aca="false">(datos_base!$J$2+datos_base!$J$35)*parametros_carros!E$12</f>
        <v>35.462467404</v>
      </c>
      <c r="H90" s="41" t="n">
        <f aca="false">(datos_base!$J$2+datos_base!$J$35)*parametros_carros!F$12</f>
        <v>35.462467404</v>
      </c>
      <c r="I90" s="41" t="n">
        <f aca="false">(datos_base!$J$2+datos_base!$J$35)*parametros_carros!G$12</f>
        <v>31.522193248</v>
      </c>
      <c r="J90" s="41" t="n">
        <f aca="false">(datos_base!$J$2+datos_base!$J$35)*parametros_carros!H$12</f>
        <v>35.462467404</v>
      </c>
      <c r="K90" s="41" t="n">
        <f aca="false">(datos_base!$J$2+datos_base!$J$35)*parametros_carros!I$12</f>
        <v>35.462467404</v>
      </c>
      <c r="L90" s="41" t="n">
        <f aca="false">(datos_base!$J$2+datos_base!$J$35)*parametros_carros!J$12</f>
        <v>33.492330326</v>
      </c>
      <c r="M90" s="41" t="n">
        <f aca="false">(datos_base!$J$2+datos_base!$J$35)*parametros_carros!K$12</f>
        <v>29.55205617</v>
      </c>
      <c r="N90" s="41" t="n">
        <f aca="false">(datos_base!$J$2+datos_base!$J$35)*parametros_carros!L$12</f>
        <v>27.581919092</v>
      </c>
      <c r="O90" s="41" t="n">
        <f aca="false">(datos_base!$J$2+datos_base!$J$35)*parametros_carros!M$12</f>
        <v>31.522193248</v>
      </c>
      <c r="P90" s="42" t="n">
        <f aca="false">SUM(D90:O90)</f>
        <v>394.0274156</v>
      </c>
    </row>
    <row r="91" customFormat="false" ht="14.25" hidden="false" customHeight="true" outlineLevel="0" collapsed="false">
      <c r="A91" s="22" t="n">
        <v>2034</v>
      </c>
      <c r="B91" s="12" t="s">
        <v>42</v>
      </c>
      <c r="C91" s="12" t="s">
        <v>243</v>
      </c>
      <c r="D91" s="41" t="n">
        <f aca="false">(datos_base!$J$3+datos_base!$J$36)*parametros_carros!B$13</f>
        <v>73.7545267155</v>
      </c>
      <c r="E91" s="41" t="n">
        <f aca="false">(datos_base!$J$3+datos_base!$J$36)*parametros_carros!C$13</f>
        <v>65.0775235725</v>
      </c>
      <c r="F91" s="41" t="n">
        <f aca="false">(datos_base!$J$3+datos_base!$J$36)*parametros_carros!D$13</f>
        <v>78.093028287</v>
      </c>
      <c r="G91" s="41" t="n">
        <f aca="false">(datos_base!$J$3+datos_base!$J$36)*parametros_carros!E$13</f>
        <v>78.093028287</v>
      </c>
      <c r="H91" s="41" t="n">
        <f aca="false">(datos_base!$J$3+datos_base!$J$36)*parametros_carros!F$13</f>
        <v>78.093028287</v>
      </c>
      <c r="I91" s="41" t="n">
        <f aca="false">(datos_base!$J$3+datos_base!$J$36)*parametros_carros!G$13</f>
        <v>69.416025144</v>
      </c>
      <c r="J91" s="41" t="n">
        <f aca="false">(datos_base!$J$3+datos_base!$J$36)*parametros_carros!H$13</f>
        <v>78.093028287</v>
      </c>
      <c r="K91" s="41" t="n">
        <f aca="false">(datos_base!$J$3+datos_base!$J$36)*parametros_carros!I$13</f>
        <v>78.093028287</v>
      </c>
      <c r="L91" s="41" t="n">
        <f aca="false">(datos_base!$J$3+datos_base!$J$36)*parametros_carros!J$13</f>
        <v>73.7545267155</v>
      </c>
      <c r="M91" s="41" t="n">
        <f aca="false">(datos_base!$J$3+datos_base!$J$36)*parametros_carros!K$13</f>
        <v>65.0775235725</v>
      </c>
      <c r="N91" s="41" t="n">
        <f aca="false">(datos_base!$J$3+datos_base!$J$36)*parametros_carros!L$13</f>
        <v>60.739022001</v>
      </c>
      <c r="O91" s="41" t="n">
        <f aca="false">(datos_base!$J$3+datos_base!$J$36)*parametros_carros!M$13</f>
        <v>69.416025144</v>
      </c>
      <c r="P91" s="42" t="n">
        <f aca="false">SUM(D91:O91)</f>
        <v>867.7003143</v>
      </c>
    </row>
    <row r="92" customFormat="false" ht="14.25" hidden="false" customHeight="true" outlineLevel="0" collapsed="false">
      <c r="A92" s="22" t="n">
        <v>2034</v>
      </c>
      <c r="B92" s="12" t="s">
        <v>43</v>
      </c>
      <c r="C92" s="12" t="s">
        <v>243</v>
      </c>
      <c r="D92" s="41" t="n">
        <f aca="false">(datos_base!$J$4+datos_base!$J$37)*parametros_carros!B$14</f>
        <v>16.1585985575</v>
      </c>
      <c r="E92" s="41" t="n">
        <f aca="false">(datos_base!$J$4+datos_base!$J$37)*parametros_carros!C$14</f>
        <v>14.2575869625</v>
      </c>
      <c r="F92" s="41" t="n">
        <f aca="false">(datos_base!$J$4+datos_base!$J$37)*parametros_carros!D$14</f>
        <v>17.109104355</v>
      </c>
      <c r="G92" s="41" t="n">
        <f aca="false">(datos_base!$J$4+datos_base!$J$37)*parametros_carros!E$14</f>
        <v>17.109104355</v>
      </c>
      <c r="H92" s="41" t="n">
        <f aca="false">(datos_base!$J$4+datos_base!$J$37)*parametros_carros!F$14</f>
        <v>17.109104355</v>
      </c>
      <c r="I92" s="41" t="n">
        <f aca="false">(datos_base!$J$4+datos_base!$J$37)*parametros_carros!G$14</f>
        <v>15.20809276</v>
      </c>
      <c r="J92" s="41" t="n">
        <f aca="false">(datos_base!$J$4+datos_base!$J$37)*parametros_carros!H$14</f>
        <v>17.109104355</v>
      </c>
      <c r="K92" s="41" t="n">
        <f aca="false">(datos_base!$J$4+datos_base!$J$37)*parametros_carros!I$14</f>
        <v>17.109104355</v>
      </c>
      <c r="L92" s="41" t="n">
        <f aca="false">(datos_base!$J$4+datos_base!$J$37)*parametros_carros!J$14</f>
        <v>16.1585985575</v>
      </c>
      <c r="M92" s="41" t="n">
        <f aca="false">(datos_base!$J$4+datos_base!$J$37)*parametros_carros!K$14</f>
        <v>14.2575869625</v>
      </c>
      <c r="N92" s="41" t="n">
        <f aca="false">(datos_base!$J$4+datos_base!$J$37)*parametros_carros!L$14</f>
        <v>13.307081165</v>
      </c>
      <c r="O92" s="41" t="n">
        <f aca="false">(datos_base!$J$4+datos_base!$J$37)*parametros_carros!M$14</f>
        <v>15.20809276</v>
      </c>
      <c r="P92" s="42" t="n">
        <f aca="false">SUM(D92:O92)</f>
        <v>190.1011595</v>
      </c>
    </row>
    <row r="93" customFormat="false" ht="14.25" hidden="false" customHeight="true" outlineLevel="0" collapsed="false">
      <c r="A93" s="22" t="n">
        <v>2034</v>
      </c>
      <c r="B93" s="12" t="s">
        <v>44</v>
      </c>
      <c r="C93" s="12" t="s">
        <v>243</v>
      </c>
      <c r="D93" s="41" t="n">
        <f aca="false">(datos_base!$J$5+datos_base!$J$38)*parametros_carros!B$15</f>
        <v>10.720265705</v>
      </c>
      <c r="E93" s="41" t="n">
        <f aca="false">(datos_base!$J$5+datos_base!$J$38)*parametros_carros!C$15</f>
        <v>9.459057975</v>
      </c>
      <c r="F93" s="41" t="n">
        <f aca="false">(datos_base!$J$5+datos_base!$J$38)*parametros_carros!D$15</f>
        <v>11.35086957</v>
      </c>
      <c r="G93" s="41" t="n">
        <f aca="false">(datos_base!$J$5+datos_base!$J$38)*parametros_carros!E$15</f>
        <v>11.35086957</v>
      </c>
      <c r="H93" s="41" t="n">
        <f aca="false">(datos_base!$J$5+datos_base!$J$38)*parametros_carros!F$15</f>
        <v>11.35086957</v>
      </c>
      <c r="I93" s="41" t="n">
        <f aca="false">(datos_base!$J$5+datos_base!$J$38)*parametros_carros!G$15</f>
        <v>10.08966184</v>
      </c>
      <c r="J93" s="41" t="n">
        <f aca="false">(datos_base!$J$5+datos_base!$J$38)*parametros_carros!H$15</f>
        <v>11.35086957</v>
      </c>
      <c r="K93" s="41" t="n">
        <f aca="false">(datos_base!$J$5+datos_base!$J$38)*parametros_carros!I$15</f>
        <v>11.35086957</v>
      </c>
      <c r="L93" s="41" t="n">
        <f aca="false">(datos_base!$J$5+datos_base!$J$38)*parametros_carros!J$15</f>
        <v>10.720265705</v>
      </c>
      <c r="M93" s="41" t="n">
        <f aca="false">(datos_base!$J$5+datos_base!$J$38)*parametros_carros!K$15</f>
        <v>9.459057975</v>
      </c>
      <c r="N93" s="41" t="n">
        <f aca="false">(datos_base!$J$5+datos_base!$J$38)*parametros_carros!L$15</f>
        <v>8.82845411</v>
      </c>
      <c r="O93" s="41" t="n">
        <f aca="false">(datos_base!$J$5+datos_base!$J$38)*parametros_carros!M$15</f>
        <v>10.08966184</v>
      </c>
      <c r="P93" s="42" t="n">
        <f aca="false">SUM(D93:O93)</f>
        <v>126.120773</v>
      </c>
    </row>
    <row r="94" customFormat="false" ht="14.25" hidden="false" customHeight="true" outlineLevel="0" collapsed="false">
      <c r="A94" s="22" t="n">
        <v>2034</v>
      </c>
      <c r="B94" s="12" t="s">
        <v>51</v>
      </c>
      <c r="C94" s="12" t="s">
        <v>244</v>
      </c>
      <c r="D94" s="41" t="n">
        <f aca="false">(datos_base!$J$9+datos_base!$J$40)*parametros_carros!B$12</f>
        <v>23.5994</v>
      </c>
      <c r="E94" s="41" t="n">
        <f aca="false">(datos_base!$J$9+datos_base!$J$40)*parametros_carros!C$12</f>
        <v>20.823</v>
      </c>
      <c r="F94" s="41" t="n">
        <f aca="false">(datos_base!$J$9+datos_base!$J$40)*parametros_carros!D$12</f>
        <v>24.9876</v>
      </c>
      <c r="G94" s="41" t="n">
        <f aca="false">(datos_base!$J$9+datos_base!$J$40)*parametros_carros!E$12</f>
        <v>24.9876</v>
      </c>
      <c r="H94" s="41" t="n">
        <f aca="false">(datos_base!$J$9+datos_base!$J$40)*parametros_carros!F$12</f>
        <v>24.9876</v>
      </c>
      <c r="I94" s="41" t="n">
        <f aca="false">(datos_base!$J$9+datos_base!$J$40)*parametros_carros!G$12</f>
        <v>22.2112</v>
      </c>
      <c r="J94" s="41" t="n">
        <f aca="false">(datos_base!$J$9+datos_base!$J$40)*parametros_carros!H$12</f>
        <v>24.9876</v>
      </c>
      <c r="K94" s="41" t="n">
        <f aca="false">(datos_base!$J$9+datos_base!$J$40)*parametros_carros!I$12</f>
        <v>24.9876</v>
      </c>
      <c r="L94" s="41" t="n">
        <f aca="false">(datos_base!$J$9+datos_base!$J$40)*parametros_carros!J$12</f>
        <v>23.5994</v>
      </c>
      <c r="M94" s="41" t="n">
        <f aca="false">(datos_base!$J$9+datos_base!$J$40)*parametros_carros!K$12</f>
        <v>20.823</v>
      </c>
      <c r="N94" s="41" t="n">
        <f aca="false">(datos_base!$J$9+datos_base!$J$40)*parametros_carros!L$12</f>
        <v>19.4348</v>
      </c>
      <c r="O94" s="41" t="n">
        <f aca="false">(datos_base!$J$9+datos_base!$J$40)*parametros_carros!M$12</f>
        <v>22.2112</v>
      </c>
      <c r="P94" s="42" t="n">
        <f aca="false">SUM(D94:O94)</f>
        <v>277.64</v>
      </c>
    </row>
    <row r="95" customFormat="false" ht="14.25" hidden="false" customHeight="true" outlineLevel="0" collapsed="false">
      <c r="A95" s="22" t="n">
        <v>2034</v>
      </c>
      <c r="B95" s="12" t="s">
        <v>52</v>
      </c>
      <c r="C95" s="12" t="s">
        <v>244</v>
      </c>
      <c r="D95" s="41" t="n">
        <f aca="false">(datos_base!$J$10+datos_base!$J$41)*parametros_carros!B$13</f>
        <v>52.0166</v>
      </c>
      <c r="E95" s="41" t="n">
        <f aca="false">(datos_base!$J$10+datos_base!$J$41)*parametros_carros!C$13</f>
        <v>45.897</v>
      </c>
      <c r="F95" s="41" t="n">
        <f aca="false">(datos_base!$J$10+datos_base!$J$41)*parametros_carros!D$13</f>
        <v>55.0764</v>
      </c>
      <c r="G95" s="41" t="n">
        <f aca="false">(datos_base!$J$10+datos_base!$J$41)*parametros_carros!E$13</f>
        <v>55.0764</v>
      </c>
      <c r="H95" s="41" t="n">
        <f aca="false">(datos_base!$J$10+datos_base!$J$41)*parametros_carros!F$13</f>
        <v>55.0764</v>
      </c>
      <c r="I95" s="41" t="n">
        <f aca="false">(datos_base!$J$10+datos_base!$J$41)*parametros_carros!G$13</f>
        <v>48.9568</v>
      </c>
      <c r="J95" s="41" t="n">
        <f aca="false">(datos_base!$J$10+datos_base!$J$41)*parametros_carros!H$13</f>
        <v>55.0764</v>
      </c>
      <c r="K95" s="41" t="n">
        <f aca="false">(datos_base!$J$10+datos_base!$J$41)*parametros_carros!I$13</f>
        <v>55.0764</v>
      </c>
      <c r="L95" s="41" t="n">
        <f aca="false">(datos_base!$J$10+datos_base!$J$41)*parametros_carros!J$13</f>
        <v>52.0166</v>
      </c>
      <c r="M95" s="41" t="n">
        <f aca="false">(datos_base!$J$10+datos_base!$J$41)*parametros_carros!K$13</f>
        <v>45.897</v>
      </c>
      <c r="N95" s="41" t="n">
        <f aca="false">(datos_base!$J$10+datos_base!$J$41)*parametros_carros!L$13</f>
        <v>42.8372</v>
      </c>
      <c r="O95" s="41" t="n">
        <f aca="false">(datos_base!$J$10+datos_base!$J$41)*parametros_carros!M$13</f>
        <v>48.9568</v>
      </c>
      <c r="P95" s="42" t="n">
        <f aca="false">SUM(D95:O95)</f>
        <v>611.96</v>
      </c>
    </row>
    <row r="96" customFormat="false" ht="14.25" hidden="false" customHeight="true" outlineLevel="0" collapsed="false">
      <c r="A96" s="22" t="n">
        <v>2034</v>
      </c>
      <c r="B96" s="12" t="s">
        <v>53</v>
      </c>
      <c r="C96" s="12" t="s">
        <v>244</v>
      </c>
      <c r="D96" s="41" t="n">
        <f aca="false">(datos_base!$J$11+datos_base!$J$42)*parametros_carros!B$14</f>
        <v>11.3662</v>
      </c>
      <c r="E96" s="41" t="n">
        <f aca="false">(datos_base!$J$11+datos_base!$J$42)*parametros_carros!C$14</f>
        <v>10.029</v>
      </c>
      <c r="F96" s="41" t="n">
        <f aca="false">(datos_base!$J$11+datos_base!$J$42)*parametros_carros!D$14</f>
        <v>12.0348</v>
      </c>
      <c r="G96" s="41" t="n">
        <f aca="false">(datos_base!$J$11+datos_base!$J$42)*parametros_carros!E$14</f>
        <v>12.0348</v>
      </c>
      <c r="H96" s="41" t="n">
        <f aca="false">(datos_base!$J$11+datos_base!$J$42)*parametros_carros!F$14</f>
        <v>12.0348</v>
      </c>
      <c r="I96" s="41" t="n">
        <f aca="false">(datos_base!$J$11+datos_base!$J$42)*parametros_carros!G$14</f>
        <v>10.6976</v>
      </c>
      <c r="J96" s="41" t="n">
        <f aca="false">(datos_base!$J$11+datos_base!$J$42)*parametros_carros!H$14</f>
        <v>12.0348</v>
      </c>
      <c r="K96" s="41" t="n">
        <f aca="false">(datos_base!$J$11+datos_base!$J$42)*parametros_carros!I$14</f>
        <v>12.0348</v>
      </c>
      <c r="L96" s="41" t="n">
        <f aca="false">(datos_base!$J$11+datos_base!$J$42)*parametros_carros!J$14</f>
        <v>11.3662</v>
      </c>
      <c r="M96" s="41" t="n">
        <f aca="false">(datos_base!$J$11+datos_base!$J$42)*parametros_carros!K$14</f>
        <v>10.029</v>
      </c>
      <c r="N96" s="41" t="n">
        <f aca="false">(datos_base!$J$11+datos_base!$J$42)*parametros_carros!L$14</f>
        <v>9.3604</v>
      </c>
      <c r="O96" s="41" t="n">
        <f aca="false">(datos_base!$J$11+datos_base!$J$42)*parametros_carros!M$14</f>
        <v>10.6976</v>
      </c>
      <c r="P96" s="42" t="n">
        <f aca="false">SUM(D96:O96)</f>
        <v>133.72</v>
      </c>
    </row>
    <row r="97" customFormat="false" ht="14.25" hidden="false" customHeight="true" outlineLevel="0" collapsed="false">
      <c r="A97" s="22" t="n">
        <v>2034</v>
      </c>
      <c r="B97" s="12" t="s">
        <v>54</v>
      </c>
      <c r="C97" s="12" t="s">
        <v>244</v>
      </c>
      <c r="D97" s="41" t="n">
        <f aca="false">(datos_base!$J$12+datos_base!$J$43)*parametros_carros!B$15</f>
        <v>7.4664</v>
      </c>
      <c r="E97" s="41" t="n">
        <f aca="false">(datos_base!$J$12+datos_base!$J$43)*parametros_carros!C$15</f>
        <v>6.588</v>
      </c>
      <c r="F97" s="41" t="n">
        <f aca="false">(datos_base!$J$12+datos_base!$J$43)*parametros_carros!D$15</f>
        <v>7.9056</v>
      </c>
      <c r="G97" s="41" t="n">
        <f aca="false">(datos_base!$J$12+datos_base!$J$43)*parametros_carros!E$15</f>
        <v>7.9056</v>
      </c>
      <c r="H97" s="41" t="n">
        <f aca="false">(datos_base!$J$12+datos_base!$J$43)*parametros_carros!F$15</f>
        <v>7.9056</v>
      </c>
      <c r="I97" s="41" t="n">
        <f aca="false">(datos_base!$J$12+datos_base!$J$43)*parametros_carros!G$15</f>
        <v>7.0272</v>
      </c>
      <c r="J97" s="41" t="n">
        <f aca="false">(datos_base!$J$12+datos_base!$J$43)*parametros_carros!H$15</f>
        <v>7.9056</v>
      </c>
      <c r="K97" s="41" t="n">
        <f aca="false">(datos_base!$J$12+datos_base!$J$43)*parametros_carros!I$15</f>
        <v>7.9056</v>
      </c>
      <c r="L97" s="41" t="n">
        <f aca="false">(datos_base!$J$12+datos_base!$J$43)*parametros_carros!J$15</f>
        <v>7.4664</v>
      </c>
      <c r="M97" s="41" t="n">
        <f aca="false">(datos_base!$J$12+datos_base!$J$43)*parametros_carros!K$15</f>
        <v>6.588</v>
      </c>
      <c r="N97" s="41" t="n">
        <f aca="false">(datos_base!$J$12+datos_base!$J$43)*parametros_carros!L$15</f>
        <v>6.1488</v>
      </c>
      <c r="O97" s="41" t="n">
        <f aca="false">(datos_base!$J$12+datos_base!$J$43)*parametros_carros!M$15</f>
        <v>7.0272</v>
      </c>
      <c r="P97" s="42" t="n">
        <f aca="false">SUM(D97:O97)</f>
        <v>87.84</v>
      </c>
    </row>
    <row r="98" customFormat="false" ht="14.25" hidden="false" customHeight="true" outlineLevel="0" collapsed="false">
      <c r="A98" s="43"/>
      <c r="B98" s="16" t="s">
        <v>245</v>
      </c>
      <c r="C98" s="43"/>
      <c r="D98" s="44" t="n">
        <f aca="false">SUM(D90:D97)</f>
        <v>228.574321304</v>
      </c>
      <c r="E98" s="44" t="n">
        <f aca="false">SUM(E90:E97)</f>
        <v>201.68322468</v>
      </c>
      <c r="F98" s="44" t="n">
        <f aca="false">SUM(F90:F97)</f>
        <v>242.019869616</v>
      </c>
      <c r="G98" s="44" t="n">
        <f aca="false">SUM(G90:G97)</f>
        <v>242.019869616</v>
      </c>
      <c r="H98" s="44" t="n">
        <f aca="false">SUM(H90:H97)</f>
        <v>242.019869616</v>
      </c>
      <c r="I98" s="44" t="n">
        <f aca="false">SUM(I90:I97)</f>
        <v>215.128772992</v>
      </c>
      <c r="J98" s="44" t="n">
        <f aca="false">SUM(J90:J97)</f>
        <v>242.019869616</v>
      </c>
      <c r="K98" s="44" t="n">
        <f aca="false">SUM(K90:K97)</f>
        <v>242.019869616</v>
      </c>
      <c r="L98" s="44" t="n">
        <f aca="false">SUM(L90:L97)</f>
        <v>228.574321304</v>
      </c>
      <c r="M98" s="44" t="n">
        <f aca="false">SUM(M90:M97)</f>
        <v>201.68322468</v>
      </c>
      <c r="N98" s="44" t="n">
        <f aca="false">SUM(N90:N97)</f>
        <v>188.237676368</v>
      </c>
      <c r="O98" s="44" t="n">
        <f aca="false">SUM(O90:O97)</f>
        <v>215.128772992</v>
      </c>
      <c r="P98" s="44" t="n">
        <f aca="false">SUM(P90:P97)</f>
        <v>2689.1096624</v>
      </c>
    </row>
    <row r="99" customFormat="false" ht="14.25" hidden="false" customHeight="true" outlineLevel="0" collapsed="false"/>
    <row r="100" customFormat="false" ht="14.25" hidden="false" customHeight="true" outlineLevel="0" collapsed="false">
      <c r="A100" s="11" t="n">
        <v>2035</v>
      </c>
      <c r="B100" s="11" t="s">
        <v>240</v>
      </c>
      <c r="C100" s="11" t="s">
        <v>241</v>
      </c>
      <c r="D100" s="11" t="s">
        <v>17</v>
      </c>
      <c r="E100" s="11" t="s">
        <v>18</v>
      </c>
      <c r="F100" s="11" t="s">
        <v>19</v>
      </c>
      <c r="G100" s="11" t="s">
        <v>20</v>
      </c>
      <c r="H100" s="11" t="s">
        <v>21</v>
      </c>
      <c r="I100" s="11" t="s">
        <v>22</v>
      </c>
      <c r="J100" s="11" t="s">
        <v>23</v>
      </c>
      <c r="K100" s="11" t="s">
        <v>24</v>
      </c>
      <c r="L100" s="11" t="s">
        <v>25</v>
      </c>
      <c r="M100" s="11" t="s">
        <v>26</v>
      </c>
      <c r="N100" s="11" t="s">
        <v>27</v>
      </c>
      <c r="O100" s="11" t="s">
        <v>28</v>
      </c>
      <c r="P100" s="11" t="s">
        <v>242</v>
      </c>
    </row>
    <row r="101" customFormat="false" ht="14.25" hidden="false" customHeight="true" outlineLevel="0" collapsed="false">
      <c r="A101" s="22" t="n">
        <v>2035</v>
      </c>
      <c r="B101" s="12" t="s">
        <v>41</v>
      </c>
      <c r="C101" s="12" t="s">
        <v>243</v>
      </c>
      <c r="D101" s="41" t="n">
        <f aca="false">(datos_base!$K$2+datos_base!$K$35)*parametros_carros!B$12</f>
        <v>38.561995322</v>
      </c>
      <c r="E101" s="41" t="n">
        <f aca="false">(datos_base!$K$2+datos_base!$K$35)*parametros_carros!C$12</f>
        <v>34.02528999</v>
      </c>
      <c r="F101" s="41" t="n">
        <f aca="false">(datos_base!$K$2+datos_base!$K$35)*parametros_carros!D$12</f>
        <v>40.830347988</v>
      </c>
      <c r="G101" s="41" t="n">
        <f aca="false">(datos_base!$K$2+datos_base!$K$35)*parametros_carros!E$12</f>
        <v>40.830347988</v>
      </c>
      <c r="H101" s="41" t="n">
        <f aca="false">(datos_base!$K$2+datos_base!$K$35)*parametros_carros!F$12</f>
        <v>40.830347988</v>
      </c>
      <c r="I101" s="41" t="n">
        <f aca="false">(datos_base!$K$2+datos_base!$K$35)*parametros_carros!G$12</f>
        <v>36.293642656</v>
      </c>
      <c r="J101" s="41" t="n">
        <f aca="false">(datos_base!$K$2+datos_base!$K$35)*parametros_carros!H$12</f>
        <v>40.830347988</v>
      </c>
      <c r="K101" s="41" t="n">
        <f aca="false">(datos_base!$K$2+datos_base!$K$35)*parametros_carros!I$12</f>
        <v>40.830347988</v>
      </c>
      <c r="L101" s="41" t="n">
        <f aca="false">(datos_base!$K$2+datos_base!$K$35)*parametros_carros!J$12</f>
        <v>38.561995322</v>
      </c>
      <c r="M101" s="41" t="n">
        <f aca="false">(datos_base!$K$2+datos_base!$K$35)*parametros_carros!K$12</f>
        <v>34.02528999</v>
      </c>
      <c r="N101" s="41" t="n">
        <f aca="false">(datos_base!$K$2+datos_base!$K$35)*parametros_carros!L$12</f>
        <v>31.756937324</v>
      </c>
      <c r="O101" s="41" t="n">
        <f aca="false">(datos_base!$K$2+datos_base!$K$35)*parametros_carros!M$12</f>
        <v>36.293642656</v>
      </c>
      <c r="P101" s="42" t="n">
        <f aca="false">SUM(D101:O101)</f>
        <v>453.6705332</v>
      </c>
    </row>
    <row r="102" customFormat="false" ht="14.25" hidden="false" customHeight="true" outlineLevel="0" collapsed="false">
      <c r="A102" s="22" t="n">
        <v>2035</v>
      </c>
      <c r="B102" s="12" t="s">
        <v>42</v>
      </c>
      <c r="C102" s="12" t="s">
        <v>243</v>
      </c>
      <c r="D102" s="41" t="n">
        <f aca="false">(datos_base!$K$3+datos_base!$K$36)*parametros_carros!B$13</f>
        <v>84.9145897135</v>
      </c>
      <c r="E102" s="41" t="n">
        <f aca="false">(datos_base!$K$3+datos_base!$K$36)*parametros_carros!C$13</f>
        <v>74.9246379825</v>
      </c>
      <c r="F102" s="41" t="n">
        <f aca="false">(datos_base!$K$3+datos_base!$K$36)*parametros_carros!D$13</f>
        <v>89.909565579</v>
      </c>
      <c r="G102" s="41" t="n">
        <f aca="false">(datos_base!$K$3+datos_base!$K$36)*parametros_carros!E$13</f>
        <v>89.909565579</v>
      </c>
      <c r="H102" s="41" t="n">
        <f aca="false">(datos_base!$K$3+datos_base!$K$36)*parametros_carros!F$13</f>
        <v>89.909565579</v>
      </c>
      <c r="I102" s="41" t="n">
        <f aca="false">(datos_base!$K$3+datos_base!$K$36)*parametros_carros!G$13</f>
        <v>79.919613848</v>
      </c>
      <c r="J102" s="41" t="n">
        <f aca="false">(datos_base!$K$3+datos_base!$K$36)*parametros_carros!H$13</f>
        <v>89.909565579</v>
      </c>
      <c r="K102" s="41" t="n">
        <f aca="false">(datos_base!$K$3+datos_base!$K$36)*parametros_carros!I$13</f>
        <v>89.909565579</v>
      </c>
      <c r="L102" s="41" t="n">
        <f aca="false">(datos_base!$K$3+datos_base!$K$36)*parametros_carros!J$13</f>
        <v>84.9145897135</v>
      </c>
      <c r="M102" s="41" t="n">
        <f aca="false">(datos_base!$K$3+datos_base!$K$36)*parametros_carros!K$13</f>
        <v>74.9246379825</v>
      </c>
      <c r="N102" s="41" t="n">
        <f aca="false">(datos_base!$K$3+datos_base!$K$36)*parametros_carros!L$13</f>
        <v>69.929662117</v>
      </c>
      <c r="O102" s="41" t="n">
        <f aca="false">(datos_base!$K$3+datos_base!$K$36)*parametros_carros!M$13</f>
        <v>79.919613848</v>
      </c>
      <c r="P102" s="42" t="n">
        <f aca="false">SUM(D102:O102)</f>
        <v>998.9951731</v>
      </c>
    </row>
    <row r="103" customFormat="false" ht="14.25" hidden="false" customHeight="true" outlineLevel="0" collapsed="false">
      <c r="A103" s="22" t="n">
        <v>2035</v>
      </c>
      <c r="B103" s="12" t="s">
        <v>43</v>
      </c>
      <c r="C103" s="12" t="s">
        <v>243</v>
      </c>
      <c r="D103" s="41" t="n">
        <f aca="false">(datos_base!$K$4+datos_base!$K$37)*parametros_carros!B$14</f>
        <v>18.51383776</v>
      </c>
      <c r="E103" s="41" t="n">
        <f aca="false">(datos_base!$K$4+datos_base!$K$37)*parametros_carros!C$14</f>
        <v>16.3357392</v>
      </c>
      <c r="F103" s="41" t="n">
        <f aca="false">(datos_base!$K$4+datos_base!$K$37)*parametros_carros!D$14</f>
        <v>19.60288704</v>
      </c>
      <c r="G103" s="41" t="n">
        <f aca="false">(datos_base!$K$4+datos_base!$K$37)*parametros_carros!E$14</f>
        <v>19.60288704</v>
      </c>
      <c r="H103" s="41" t="n">
        <f aca="false">(datos_base!$K$4+datos_base!$K$37)*parametros_carros!F$14</f>
        <v>19.60288704</v>
      </c>
      <c r="I103" s="41" t="n">
        <f aca="false">(datos_base!$K$4+datos_base!$K$37)*parametros_carros!G$14</f>
        <v>17.42478848</v>
      </c>
      <c r="J103" s="41" t="n">
        <f aca="false">(datos_base!$K$4+datos_base!$K$37)*parametros_carros!H$14</f>
        <v>19.60288704</v>
      </c>
      <c r="K103" s="41" t="n">
        <f aca="false">(datos_base!$K$4+datos_base!$K$37)*parametros_carros!I$14</f>
        <v>19.60288704</v>
      </c>
      <c r="L103" s="41" t="n">
        <f aca="false">(datos_base!$K$4+datos_base!$K$37)*parametros_carros!J$14</f>
        <v>18.51383776</v>
      </c>
      <c r="M103" s="41" t="n">
        <f aca="false">(datos_base!$K$4+datos_base!$K$37)*parametros_carros!K$14</f>
        <v>16.3357392</v>
      </c>
      <c r="N103" s="41" t="n">
        <f aca="false">(datos_base!$K$4+datos_base!$K$37)*parametros_carros!L$14</f>
        <v>15.24668992</v>
      </c>
      <c r="O103" s="41" t="n">
        <f aca="false">(datos_base!$K$4+datos_base!$K$37)*parametros_carros!M$14</f>
        <v>17.42478848</v>
      </c>
      <c r="P103" s="42" t="n">
        <f aca="false">SUM(D103:O103)</f>
        <v>217.809856</v>
      </c>
    </row>
    <row r="104" customFormat="false" ht="14.25" hidden="false" customHeight="true" outlineLevel="0" collapsed="false">
      <c r="A104" s="22" t="n">
        <v>2035</v>
      </c>
      <c r="B104" s="12" t="s">
        <v>44</v>
      </c>
      <c r="C104" s="12" t="s">
        <v>243</v>
      </c>
      <c r="D104" s="41" t="n">
        <f aca="false">(datos_base!$K$5+datos_base!$K$38)*parametros_carros!B$15</f>
        <v>12.342558501</v>
      </c>
      <c r="E104" s="41" t="n">
        <f aca="false">(datos_base!$K$5+datos_base!$K$38)*parametros_carros!C$15</f>
        <v>10.890492795</v>
      </c>
      <c r="F104" s="41" t="n">
        <f aca="false">(datos_base!$K$5+datos_base!$K$38)*parametros_carros!D$15</f>
        <v>13.068591354</v>
      </c>
      <c r="G104" s="41" t="n">
        <f aca="false">(datos_base!$K$5+datos_base!$K$38)*parametros_carros!E$15</f>
        <v>13.068591354</v>
      </c>
      <c r="H104" s="41" t="n">
        <f aca="false">(datos_base!$K$5+datos_base!$K$38)*parametros_carros!F$15</f>
        <v>13.068591354</v>
      </c>
      <c r="I104" s="41" t="n">
        <f aca="false">(datos_base!$K$5+datos_base!$K$38)*parametros_carros!G$15</f>
        <v>11.616525648</v>
      </c>
      <c r="J104" s="41" t="n">
        <f aca="false">(datos_base!$K$5+datos_base!$K$38)*parametros_carros!H$15</f>
        <v>13.068591354</v>
      </c>
      <c r="K104" s="41" t="n">
        <f aca="false">(datos_base!$K$5+datos_base!$K$38)*parametros_carros!I$15</f>
        <v>13.068591354</v>
      </c>
      <c r="L104" s="41" t="n">
        <f aca="false">(datos_base!$K$5+datos_base!$K$38)*parametros_carros!J$15</f>
        <v>12.342558501</v>
      </c>
      <c r="M104" s="41" t="n">
        <f aca="false">(datos_base!$K$5+datos_base!$K$38)*parametros_carros!K$15</f>
        <v>10.890492795</v>
      </c>
      <c r="N104" s="41" t="n">
        <f aca="false">(datos_base!$K$5+datos_base!$K$38)*parametros_carros!L$15</f>
        <v>10.164459942</v>
      </c>
      <c r="O104" s="41" t="n">
        <f aca="false">(datos_base!$K$5+datos_base!$K$38)*parametros_carros!M$15</f>
        <v>11.616525648</v>
      </c>
      <c r="P104" s="42" t="n">
        <f aca="false">SUM(D104:O104)</f>
        <v>145.2065706</v>
      </c>
    </row>
    <row r="105" customFormat="false" ht="14.25" hidden="false" customHeight="true" outlineLevel="0" collapsed="false">
      <c r="A105" s="22" t="n">
        <v>2035</v>
      </c>
      <c r="B105" s="12" t="s">
        <v>51</v>
      </c>
      <c r="C105" s="12" t="s">
        <v>244</v>
      </c>
      <c r="D105" s="41" t="n">
        <f aca="false">(datos_base!$K$9+datos_base!$K$40)*parametros_carros!B$12</f>
        <v>27.5094</v>
      </c>
      <c r="E105" s="41" t="n">
        <f aca="false">(datos_base!$K$9+datos_base!$K$40)*parametros_carros!C$12</f>
        <v>24.273</v>
      </c>
      <c r="F105" s="41" t="n">
        <f aca="false">(datos_base!$K$9+datos_base!$K$40)*parametros_carros!D$12</f>
        <v>29.1276</v>
      </c>
      <c r="G105" s="41" t="n">
        <f aca="false">(datos_base!$K$9+datos_base!$K$40)*parametros_carros!E$12</f>
        <v>29.1276</v>
      </c>
      <c r="H105" s="41" t="n">
        <f aca="false">(datos_base!$K$9+datos_base!$K$40)*parametros_carros!F$12</f>
        <v>29.1276</v>
      </c>
      <c r="I105" s="41" t="n">
        <f aca="false">(datos_base!$K$9+datos_base!$K$40)*parametros_carros!G$12</f>
        <v>25.8912</v>
      </c>
      <c r="J105" s="41" t="n">
        <f aca="false">(datos_base!$K$9+datos_base!$K$40)*parametros_carros!H$12</f>
        <v>29.1276</v>
      </c>
      <c r="K105" s="41" t="n">
        <f aca="false">(datos_base!$K$9+datos_base!$K$40)*parametros_carros!I$12</f>
        <v>29.1276</v>
      </c>
      <c r="L105" s="41" t="n">
        <f aca="false">(datos_base!$K$9+datos_base!$K$40)*parametros_carros!J$12</f>
        <v>27.5094</v>
      </c>
      <c r="M105" s="41" t="n">
        <f aca="false">(datos_base!$K$9+datos_base!$K$40)*parametros_carros!K$12</f>
        <v>24.273</v>
      </c>
      <c r="N105" s="41" t="n">
        <f aca="false">(datos_base!$K$9+datos_base!$K$40)*parametros_carros!L$12</f>
        <v>22.6548</v>
      </c>
      <c r="O105" s="41" t="n">
        <f aca="false">(datos_base!$K$9+datos_base!$K$40)*parametros_carros!M$12</f>
        <v>25.8912</v>
      </c>
      <c r="P105" s="42" t="n">
        <f aca="false">SUM(D105:O105)</f>
        <v>323.64</v>
      </c>
    </row>
    <row r="106" customFormat="false" ht="14.25" hidden="false" customHeight="true" outlineLevel="0" collapsed="false">
      <c r="A106" s="22" t="n">
        <v>2035</v>
      </c>
      <c r="B106" s="12" t="s">
        <v>52</v>
      </c>
      <c r="C106" s="12" t="s">
        <v>244</v>
      </c>
      <c r="D106" s="41" t="n">
        <f aca="false">(datos_base!$K$10+datos_base!$K$41)*parametros_carros!B$13</f>
        <v>60.3874</v>
      </c>
      <c r="E106" s="41" t="n">
        <f aca="false">(datos_base!$K$10+datos_base!$K$41)*parametros_carros!C$13</f>
        <v>53.283</v>
      </c>
      <c r="F106" s="41" t="n">
        <f aca="false">(datos_base!$K$10+datos_base!$K$41)*parametros_carros!D$13</f>
        <v>63.9396</v>
      </c>
      <c r="G106" s="41" t="n">
        <f aca="false">(datos_base!$K$10+datos_base!$K$41)*parametros_carros!E$13</f>
        <v>63.9396</v>
      </c>
      <c r="H106" s="41" t="n">
        <f aca="false">(datos_base!$K$10+datos_base!$K$41)*parametros_carros!F$13</f>
        <v>63.9396</v>
      </c>
      <c r="I106" s="41" t="n">
        <f aca="false">(datos_base!$K$10+datos_base!$K$41)*parametros_carros!G$13</f>
        <v>56.8352</v>
      </c>
      <c r="J106" s="41" t="n">
        <f aca="false">(datos_base!$K$10+datos_base!$K$41)*parametros_carros!H$13</f>
        <v>63.9396</v>
      </c>
      <c r="K106" s="41" t="n">
        <f aca="false">(datos_base!$K$10+datos_base!$K$41)*parametros_carros!I$13</f>
        <v>63.9396</v>
      </c>
      <c r="L106" s="41" t="n">
        <f aca="false">(datos_base!$K$10+datos_base!$K$41)*parametros_carros!J$13</f>
        <v>60.3874</v>
      </c>
      <c r="M106" s="41" t="n">
        <f aca="false">(datos_base!$K$10+datos_base!$K$41)*parametros_carros!K$13</f>
        <v>53.283</v>
      </c>
      <c r="N106" s="41" t="n">
        <f aca="false">(datos_base!$K$10+datos_base!$K$41)*parametros_carros!L$13</f>
        <v>49.7308</v>
      </c>
      <c r="O106" s="41" t="n">
        <f aca="false">(datos_base!$K$10+datos_base!$K$41)*parametros_carros!M$13</f>
        <v>56.8352</v>
      </c>
      <c r="P106" s="42" t="n">
        <f aca="false">SUM(D106:O106)</f>
        <v>710.44</v>
      </c>
    </row>
    <row r="107" customFormat="false" ht="14.25" hidden="false" customHeight="true" outlineLevel="0" collapsed="false">
      <c r="A107" s="22" t="n">
        <v>2035</v>
      </c>
      <c r="B107" s="12" t="s">
        <v>53</v>
      </c>
      <c r="C107" s="12" t="s">
        <v>244</v>
      </c>
      <c r="D107" s="41" t="n">
        <f aca="false">(datos_base!$K$11+datos_base!$K$42)*parametros_carros!B$14</f>
        <v>13.2872</v>
      </c>
      <c r="E107" s="41" t="n">
        <f aca="false">(datos_base!$K$11+datos_base!$K$42)*parametros_carros!C$14</f>
        <v>11.724</v>
      </c>
      <c r="F107" s="41" t="n">
        <f aca="false">(datos_base!$K$11+datos_base!$K$42)*parametros_carros!D$14</f>
        <v>14.0688</v>
      </c>
      <c r="G107" s="41" t="n">
        <f aca="false">(datos_base!$K$11+datos_base!$K$42)*parametros_carros!E$14</f>
        <v>14.0688</v>
      </c>
      <c r="H107" s="41" t="n">
        <f aca="false">(datos_base!$K$11+datos_base!$K$42)*parametros_carros!F$14</f>
        <v>14.0688</v>
      </c>
      <c r="I107" s="41" t="n">
        <f aca="false">(datos_base!$K$11+datos_base!$K$42)*parametros_carros!G$14</f>
        <v>12.5056</v>
      </c>
      <c r="J107" s="41" t="n">
        <f aca="false">(datos_base!$K$11+datos_base!$K$42)*parametros_carros!H$14</f>
        <v>14.0688</v>
      </c>
      <c r="K107" s="41" t="n">
        <f aca="false">(datos_base!$K$11+datos_base!$K$42)*parametros_carros!I$14</f>
        <v>14.0688</v>
      </c>
      <c r="L107" s="41" t="n">
        <f aca="false">(datos_base!$K$11+datos_base!$K$42)*parametros_carros!J$14</f>
        <v>13.2872</v>
      </c>
      <c r="M107" s="41" t="n">
        <f aca="false">(datos_base!$K$11+datos_base!$K$42)*parametros_carros!K$14</f>
        <v>11.724</v>
      </c>
      <c r="N107" s="41" t="n">
        <f aca="false">(datos_base!$K$11+datos_base!$K$42)*parametros_carros!L$14</f>
        <v>10.9424</v>
      </c>
      <c r="O107" s="41" t="n">
        <f aca="false">(datos_base!$K$11+datos_base!$K$42)*parametros_carros!M$14</f>
        <v>12.5056</v>
      </c>
      <c r="P107" s="42" t="n">
        <f aca="false">SUM(D107:O107)</f>
        <v>156.32</v>
      </c>
    </row>
    <row r="108" customFormat="false" ht="14.25" hidden="false" customHeight="true" outlineLevel="0" collapsed="false">
      <c r="A108" s="22" t="n">
        <v>2035</v>
      </c>
      <c r="B108" s="12" t="s">
        <v>54</v>
      </c>
      <c r="C108" s="12" t="s">
        <v>244</v>
      </c>
      <c r="D108" s="41" t="n">
        <f aca="false">(datos_base!$K$12+datos_base!$K$43)*parametros_carros!B$15</f>
        <v>8.6904</v>
      </c>
      <c r="E108" s="41" t="n">
        <f aca="false">(datos_base!$K$12+datos_base!$K$43)*parametros_carros!C$15</f>
        <v>7.668</v>
      </c>
      <c r="F108" s="41" t="n">
        <f aca="false">(datos_base!$K$12+datos_base!$K$43)*parametros_carros!D$15</f>
        <v>9.2016</v>
      </c>
      <c r="G108" s="41" t="n">
        <f aca="false">(datos_base!$K$12+datos_base!$K$43)*parametros_carros!E$15</f>
        <v>9.2016</v>
      </c>
      <c r="H108" s="41" t="n">
        <f aca="false">(datos_base!$K$12+datos_base!$K$43)*parametros_carros!F$15</f>
        <v>9.2016</v>
      </c>
      <c r="I108" s="41" t="n">
        <f aca="false">(datos_base!$K$12+datos_base!$K$43)*parametros_carros!G$15</f>
        <v>8.1792</v>
      </c>
      <c r="J108" s="41" t="n">
        <f aca="false">(datos_base!$K$12+datos_base!$K$43)*parametros_carros!H$15</f>
        <v>9.2016</v>
      </c>
      <c r="K108" s="41" t="n">
        <f aca="false">(datos_base!$K$12+datos_base!$K$43)*parametros_carros!I$15</f>
        <v>9.2016</v>
      </c>
      <c r="L108" s="41" t="n">
        <f aca="false">(datos_base!$K$12+datos_base!$K$43)*parametros_carros!J$15</f>
        <v>8.6904</v>
      </c>
      <c r="M108" s="41" t="n">
        <f aca="false">(datos_base!$K$12+datos_base!$K$43)*parametros_carros!K$15</f>
        <v>7.668</v>
      </c>
      <c r="N108" s="41" t="n">
        <f aca="false">(datos_base!$K$12+datos_base!$K$43)*parametros_carros!L$15</f>
        <v>7.1568</v>
      </c>
      <c r="O108" s="41" t="n">
        <f aca="false">(datos_base!$K$12+datos_base!$K$43)*parametros_carros!M$15</f>
        <v>8.1792</v>
      </c>
      <c r="P108" s="42" t="n">
        <f aca="false">SUM(D108:O108)</f>
        <v>102.24</v>
      </c>
    </row>
    <row r="109" customFormat="false" ht="14.25" hidden="false" customHeight="true" outlineLevel="0" collapsed="false">
      <c r="A109" s="43"/>
      <c r="B109" s="16" t="s">
        <v>245</v>
      </c>
      <c r="C109" s="43"/>
      <c r="D109" s="44" t="n">
        <f aca="false">SUM(D101:D108)</f>
        <v>264.2073812965</v>
      </c>
      <c r="E109" s="44" t="n">
        <f aca="false">SUM(E101:E108)</f>
        <v>233.1241599675</v>
      </c>
      <c r="F109" s="44" t="n">
        <f aca="false">SUM(F101:F108)</f>
        <v>279.748991961</v>
      </c>
      <c r="G109" s="44" t="n">
        <f aca="false">SUM(G101:G108)</f>
        <v>279.748991961</v>
      </c>
      <c r="H109" s="44" t="n">
        <f aca="false">SUM(H101:H108)</f>
        <v>279.748991961</v>
      </c>
      <c r="I109" s="44" t="n">
        <f aca="false">SUM(I101:I108)</f>
        <v>248.665770632</v>
      </c>
      <c r="J109" s="44" t="n">
        <f aca="false">SUM(J101:J108)</f>
        <v>279.748991961</v>
      </c>
      <c r="K109" s="44" t="n">
        <f aca="false">SUM(K101:K108)</f>
        <v>279.748991961</v>
      </c>
      <c r="L109" s="44" t="n">
        <f aca="false">SUM(L101:L108)</f>
        <v>264.2073812965</v>
      </c>
      <c r="M109" s="44" t="n">
        <f aca="false">SUM(M101:M108)</f>
        <v>233.1241599675</v>
      </c>
      <c r="N109" s="44" t="n">
        <f aca="false">SUM(N101:N108)</f>
        <v>217.582549303</v>
      </c>
      <c r="O109" s="44" t="n">
        <f aca="false">SUM(O101:O108)</f>
        <v>248.665770632</v>
      </c>
      <c r="P109" s="44" t="n">
        <f aca="false">SUM(P101:P108)</f>
        <v>3108.3221329</v>
      </c>
    </row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3" min="2" style="1" width="9"/>
    <col collapsed="false" customWidth="true" hidden="false" outlineLevel="0" max="15" min="14" style="1" width="12"/>
    <col collapsed="false" customWidth="true" hidden="false" outlineLevel="0" max="16" min="16" style="1" width="16"/>
    <col collapsed="false" customWidth="true" hidden="false" outlineLevel="0" max="17" min="17" style="1" width="9"/>
    <col collapsed="false" customWidth="true" hidden="false" outlineLevel="0" max="26" min="18" style="1" width="8.86"/>
  </cols>
  <sheetData>
    <row r="1" customFormat="false" ht="45" hidden="false" customHeight="true" outlineLevel="0" collapsed="false">
      <c r="A1" s="11" t="s">
        <v>246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K1" s="11" t="s">
        <v>26</v>
      </c>
      <c r="L1" s="11" t="s">
        <v>27</v>
      </c>
      <c r="M1" s="11" t="s">
        <v>28</v>
      </c>
      <c r="N1" s="11" t="s">
        <v>247</v>
      </c>
      <c r="O1" s="11" t="s">
        <v>248</v>
      </c>
      <c r="P1" s="11" t="s">
        <v>249</v>
      </c>
      <c r="Q1" s="11" t="s">
        <v>250</v>
      </c>
    </row>
    <row r="2" customFormat="false" ht="14.25" hidden="false" customHeight="true" outlineLevel="0" collapsed="false">
      <c r="A2" s="12" t="str">
        <f aca="false">parametros_carros!$B$19</f>
        <v>Recepción de materia prima</v>
      </c>
      <c r="B2" s="41" t="n">
        <f aca="false">(parametros_carros!$D$19*('Plan mensual'!D2+IF(parametros_carros!$H$19="Todos",'Plan mensual'!D6,0))+parametros_carros!$E$19*('Plan mensual'!D3+IF(parametros_carros!$H$19="Todos",'Plan mensual'!D7,0))+parametros_carros!$F$19*('Plan mensual'!D4+IF(parametros_carros!$H$19="Todos",'Plan mensual'!D8,0))+parametros_carros!$G$19*('Plan mensual'!D5+IF(parametros_carros!$H$19="Todos",'Plan mensual'!D9,0)))/60</f>
        <v>0.364153135920719</v>
      </c>
      <c r="C2" s="41" t="n">
        <f aca="false">(parametros_carros!$D$19*('Plan mensual'!E2+IF(parametros_carros!$H$19="Todos",'Plan mensual'!E6,0))+parametros_carros!$E$19*('Plan mensual'!E3+IF(parametros_carros!$H$19="Todos",'Plan mensual'!E7,0))+parametros_carros!$F$19*('Plan mensual'!E4+IF(parametros_carros!$H$19="Todos",'Plan mensual'!E8,0))+parametros_carros!$G$19*('Plan mensual'!E5+IF(parametros_carros!$H$19="Todos",'Plan mensual'!E9,0)))/60</f>
        <v>0.321311590518281</v>
      </c>
      <c r="D2" s="41" t="n">
        <f aca="false">(parametros_carros!$D$19*('Plan mensual'!F2+IF(parametros_carros!$H$19="Todos",'Plan mensual'!F6,0))+parametros_carros!$E$19*('Plan mensual'!F3+IF(parametros_carros!$H$19="Todos",'Plan mensual'!F7,0))+parametros_carros!$F$19*('Plan mensual'!F4+IF(parametros_carros!$H$19="Todos",'Plan mensual'!F8,0))+parametros_carros!$G$19*('Plan mensual'!F5+IF(parametros_carros!$H$19="Todos",'Plan mensual'!F9,0)))/60</f>
        <v>0.385573908621937</v>
      </c>
      <c r="E2" s="41" t="n">
        <f aca="false">(parametros_carros!$D$19*('Plan mensual'!G2+IF(parametros_carros!$H$19="Todos",'Plan mensual'!G6,0))+parametros_carros!$E$19*('Plan mensual'!G3+IF(parametros_carros!$H$19="Todos",'Plan mensual'!G7,0))+parametros_carros!$F$19*('Plan mensual'!G4+IF(parametros_carros!$H$19="Todos",'Plan mensual'!G8,0))+parametros_carros!$G$19*('Plan mensual'!G5+IF(parametros_carros!$H$19="Todos",'Plan mensual'!G9,0)))/60</f>
        <v>0.385573908621937</v>
      </c>
      <c r="F2" s="41" t="n">
        <f aca="false">(parametros_carros!$D$19*('Plan mensual'!H2+IF(parametros_carros!$H$19="Todos",'Plan mensual'!H6,0))+parametros_carros!$E$19*('Plan mensual'!H3+IF(parametros_carros!$H$19="Todos",'Plan mensual'!H7,0))+parametros_carros!$F$19*('Plan mensual'!H4+IF(parametros_carros!$H$19="Todos",'Plan mensual'!H8,0))+parametros_carros!$G$19*('Plan mensual'!H5+IF(parametros_carros!$H$19="Todos",'Plan mensual'!H9,0)))/60</f>
        <v>0.385573908621937</v>
      </c>
      <c r="G2" s="41" t="n">
        <f aca="false">(parametros_carros!$D$19*('Plan mensual'!I2+IF(parametros_carros!$H$19="Todos",'Plan mensual'!I6,0))+parametros_carros!$E$19*('Plan mensual'!I3+IF(parametros_carros!$H$19="Todos",'Plan mensual'!I7,0))+parametros_carros!$F$19*('Plan mensual'!I4+IF(parametros_carros!$H$19="Todos",'Plan mensual'!I8,0))+parametros_carros!$G$19*('Plan mensual'!I5+IF(parametros_carros!$H$19="Todos",'Plan mensual'!I9,0)))/60</f>
        <v>0.3427323632195</v>
      </c>
      <c r="H2" s="41" t="n">
        <f aca="false">(parametros_carros!$D$19*('Plan mensual'!J2+IF(parametros_carros!$H$19="Todos",'Plan mensual'!J6,0))+parametros_carros!$E$19*('Plan mensual'!J3+IF(parametros_carros!$H$19="Todos",'Plan mensual'!J7,0))+parametros_carros!$F$19*('Plan mensual'!J4+IF(parametros_carros!$H$19="Todos",'Plan mensual'!J8,0))+parametros_carros!$G$19*('Plan mensual'!J5+IF(parametros_carros!$H$19="Todos",'Plan mensual'!J9,0)))/60</f>
        <v>0.385573908621937</v>
      </c>
      <c r="I2" s="41" t="n">
        <f aca="false">(parametros_carros!$D$19*('Plan mensual'!K2+IF(parametros_carros!$H$19="Todos",'Plan mensual'!K6,0))+parametros_carros!$E$19*('Plan mensual'!K3+IF(parametros_carros!$H$19="Todos",'Plan mensual'!K7,0))+parametros_carros!$F$19*('Plan mensual'!K4+IF(parametros_carros!$H$19="Todos",'Plan mensual'!K8,0))+parametros_carros!$G$19*('Plan mensual'!K5+IF(parametros_carros!$H$19="Todos",'Plan mensual'!K9,0)))/60</f>
        <v>0.385573908621937</v>
      </c>
      <c r="J2" s="41" t="n">
        <f aca="false">(parametros_carros!$D$19*('Plan mensual'!L2+IF(parametros_carros!$H$19="Todos",'Plan mensual'!L6,0))+parametros_carros!$E$19*('Plan mensual'!L3+IF(parametros_carros!$H$19="Todos",'Plan mensual'!L7,0))+parametros_carros!$F$19*('Plan mensual'!L4+IF(parametros_carros!$H$19="Todos",'Plan mensual'!L8,0))+parametros_carros!$G$19*('Plan mensual'!L5+IF(parametros_carros!$H$19="Todos",'Plan mensual'!L9,0)))/60</f>
        <v>0.364153135920719</v>
      </c>
      <c r="K2" s="41" t="n">
        <f aca="false">(parametros_carros!$D$19*('Plan mensual'!M2+IF(parametros_carros!$H$19="Todos",'Plan mensual'!M6,0))+parametros_carros!$E$19*('Plan mensual'!M3+IF(parametros_carros!$H$19="Todos",'Plan mensual'!M7,0))+parametros_carros!$F$19*('Plan mensual'!M4+IF(parametros_carros!$H$19="Todos",'Plan mensual'!M8,0))+parametros_carros!$G$19*('Plan mensual'!M5+IF(parametros_carros!$H$19="Todos",'Plan mensual'!M9,0)))/60</f>
        <v>0.321311590518281</v>
      </c>
      <c r="L2" s="41" t="n">
        <f aca="false">(parametros_carros!$D$19*('Plan mensual'!N2+IF(parametros_carros!$H$19="Todos",'Plan mensual'!N6,0))+parametros_carros!$E$19*('Plan mensual'!N3+IF(parametros_carros!$H$19="Todos",'Plan mensual'!N7,0))+parametros_carros!$F$19*('Plan mensual'!N4+IF(parametros_carros!$H$19="Todos",'Plan mensual'!N8,0))+parametros_carros!$G$19*('Plan mensual'!N5+IF(parametros_carros!$H$19="Todos",'Plan mensual'!N9,0)))/60</f>
        <v>0.299890817817063</v>
      </c>
      <c r="M2" s="41" t="n">
        <f aca="false">(parametros_carros!$D$19*('Plan mensual'!O2+IF(parametros_carros!$H$19="Todos",'Plan mensual'!O6,0))+parametros_carros!$E$19*('Plan mensual'!O3+IF(parametros_carros!$H$19="Todos",'Plan mensual'!O7,0))+parametros_carros!$F$19*('Plan mensual'!O4+IF(parametros_carros!$H$19="Todos",'Plan mensual'!O8,0))+parametros_carros!$G$19*('Plan mensual'!O5+IF(parametros_carros!$H$19="Todos",'Plan mensual'!O9,0)))/60</f>
        <v>0.3427323632195</v>
      </c>
      <c r="N2" s="41" t="n">
        <f aca="false">SUM(B2:M2)</f>
        <v>4.28415454024375</v>
      </c>
      <c r="O2" s="41" t="n">
        <f aca="false">MAX(B2:M2)</f>
        <v>0.385573908621937</v>
      </c>
      <c r="P2" s="45" t="n">
        <f aca="false">IF(parametros_carros!$B$7=0,0,(O2+parametros_carros!$G$45)/parametros_carros!$B$7)</f>
        <v>0.0506816038352574</v>
      </c>
      <c r="Q2" s="29" t="str">
        <f aca="false">IF(O2=0,"-",INDEX($B$1:$M$1,MATCH(O2,B2:M2,0)))</f>
        <v>Mar</v>
      </c>
    </row>
    <row r="3" customFormat="false" ht="14.25" hidden="false" customHeight="true" outlineLevel="0" collapsed="false">
      <c r="A3" s="12" t="str">
        <f aca="false">parametros_carros!$B$20</f>
        <v>Corte de chapa (guillotina)</v>
      </c>
      <c r="B3" s="41" t="n">
        <f aca="false">(parametros_carros!$D$20*('Plan mensual'!D2+IF(parametros_carros!$H$20="Todos",'Plan mensual'!D6,0))+parametros_carros!$E$20*('Plan mensual'!D3+IF(parametros_carros!$H$20="Todos",'Plan mensual'!D7,0))+parametros_carros!$F$20*('Plan mensual'!D4+IF(parametros_carros!$H$20="Todos",'Plan mensual'!D8,0))+parametros_carros!$G$20*('Plan mensual'!D5+IF(parametros_carros!$H$20="Todos",'Plan mensual'!D9,0)))/60</f>
        <v>0.812935534796543</v>
      </c>
      <c r="C3" s="41" t="n">
        <f aca="false">(parametros_carros!$D$20*('Plan mensual'!E2+IF(parametros_carros!$H$20="Todos",'Plan mensual'!E6,0))+parametros_carros!$E$20*('Plan mensual'!E3+IF(parametros_carros!$H$20="Todos",'Plan mensual'!E7,0))+parametros_carros!$F$20*('Plan mensual'!E4+IF(parametros_carros!$H$20="Todos",'Plan mensual'!E8,0))+parametros_carros!$G$20*('Plan mensual'!E5+IF(parametros_carros!$H$20="Todos",'Plan mensual'!E9,0)))/60</f>
        <v>0.717296060114597</v>
      </c>
      <c r="D3" s="41" t="n">
        <f aca="false">(parametros_carros!$D$20*('Plan mensual'!F2+IF(parametros_carros!$H$20="Todos",'Plan mensual'!F6,0))+parametros_carros!$E$20*('Plan mensual'!F3+IF(parametros_carros!$H$20="Todos",'Plan mensual'!F7,0))+parametros_carros!$F$20*('Plan mensual'!F4+IF(parametros_carros!$H$20="Todos",'Plan mensual'!F8,0))+parametros_carros!$G$20*('Plan mensual'!F5+IF(parametros_carros!$H$20="Todos",'Plan mensual'!F9,0)))/60</f>
        <v>0.860755272137516</v>
      </c>
      <c r="E3" s="41" t="n">
        <f aca="false">(parametros_carros!$D$20*('Plan mensual'!G2+IF(parametros_carros!$H$20="Todos",'Plan mensual'!G6,0))+parametros_carros!$E$20*('Plan mensual'!G3+IF(parametros_carros!$H$20="Todos",'Plan mensual'!G7,0))+parametros_carros!$F$20*('Plan mensual'!G4+IF(parametros_carros!$H$20="Todos",'Plan mensual'!G8,0))+parametros_carros!$G$20*('Plan mensual'!G5+IF(parametros_carros!$H$20="Todos",'Plan mensual'!G9,0)))/60</f>
        <v>0.860755272137516</v>
      </c>
      <c r="F3" s="41" t="n">
        <f aca="false">(parametros_carros!$D$20*('Plan mensual'!H2+IF(parametros_carros!$H$20="Todos",'Plan mensual'!H6,0))+parametros_carros!$E$20*('Plan mensual'!H3+IF(parametros_carros!$H$20="Todos",'Plan mensual'!H7,0))+parametros_carros!$F$20*('Plan mensual'!H4+IF(parametros_carros!$H$20="Todos",'Plan mensual'!H8,0))+parametros_carros!$G$20*('Plan mensual'!H5+IF(parametros_carros!$H$20="Todos",'Plan mensual'!H9,0)))/60</f>
        <v>0.860755272137516</v>
      </c>
      <c r="G3" s="41" t="n">
        <f aca="false">(parametros_carros!$D$20*('Plan mensual'!I2+IF(parametros_carros!$H$20="Todos",'Plan mensual'!I6,0))+parametros_carros!$E$20*('Plan mensual'!I3+IF(parametros_carros!$H$20="Todos",'Plan mensual'!I7,0))+parametros_carros!$F$20*('Plan mensual'!I4+IF(parametros_carros!$H$20="Todos",'Plan mensual'!I8,0))+parametros_carros!$G$20*('Plan mensual'!I5+IF(parametros_carros!$H$20="Todos",'Plan mensual'!I9,0)))/60</f>
        <v>0.76511579745557</v>
      </c>
      <c r="H3" s="41" t="n">
        <f aca="false">(parametros_carros!$D$20*('Plan mensual'!J2+IF(parametros_carros!$H$20="Todos",'Plan mensual'!J6,0))+parametros_carros!$E$20*('Plan mensual'!J3+IF(parametros_carros!$H$20="Todos",'Plan mensual'!J7,0))+parametros_carros!$F$20*('Plan mensual'!J4+IF(parametros_carros!$H$20="Todos",'Plan mensual'!J8,0))+parametros_carros!$G$20*('Plan mensual'!J5+IF(parametros_carros!$H$20="Todos",'Plan mensual'!J9,0)))/60</f>
        <v>0.860755272137516</v>
      </c>
      <c r="I3" s="41" t="n">
        <f aca="false">(parametros_carros!$D$20*('Plan mensual'!K2+IF(parametros_carros!$H$20="Todos",'Plan mensual'!K6,0))+parametros_carros!$E$20*('Plan mensual'!K3+IF(parametros_carros!$H$20="Todos",'Plan mensual'!K7,0))+parametros_carros!$F$20*('Plan mensual'!K4+IF(parametros_carros!$H$20="Todos",'Plan mensual'!K8,0))+parametros_carros!$G$20*('Plan mensual'!K5+IF(parametros_carros!$H$20="Todos",'Plan mensual'!K9,0)))/60</f>
        <v>0.860755272137516</v>
      </c>
      <c r="J3" s="41" t="n">
        <f aca="false">(parametros_carros!$D$20*('Plan mensual'!L2+IF(parametros_carros!$H$20="Todos",'Plan mensual'!L6,0))+parametros_carros!$E$20*('Plan mensual'!L3+IF(parametros_carros!$H$20="Todos",'Plan mensual'!L7,0))+parametros_carros!$F$20*('Plan mensual'!L4+IF(parametros_carros!$H$20="Todos",'Plan mensual'!L8,0))+parametros_carros!$G$20*('Plan mensual'!L5+IF(parametros_carros!$H$20="Todos",'Plan mensual'!L9,0)))/60</f>
        <v>0.812935534796543</v>
      </c>
      <c r="K3" s="41" t="n">
        <f aca="false">(parametros_carros!$D$20*('Plan mensual'!M2+IF(parametros_carros!$H$20="Todos",'Plan mensual'!M6,0))+parametros_carros!$E$20*('Plan mensual'!M3+IF(parametros_carros!$H$20="Todos",'Plan mensual'!M7,0))+parametros_carros!$F$20*('Plan mensual'!M4+IF(parametros_carros!$H$20="Todos",'Plan mensual'!M8,0))+parametros_carros!$G$20*('Plan mensual'!M5+IF(parametros_carros!$H$20="Todos",'Plan mensual'!M9,0)))/60</f>
        <v>0.717296060114597</v>
      </c>
      <c r="L3" s="41" t="n">
        <f aca="false">(parametros_carros!$D$20*('Plan mensual'!N2+IF(parametros_carros!$H$20="Todos",'Plan mensual'!N6,0))+parametros_carros!$E$20*('Plan mensual'!N3+IF(parametros_carros!$H$20="Todos",'Plan mensual'!N7,0))+parametros_carros!$F$20*('Plan mensual'!N4+IF(parametros_carros!$H$20="Todos",'Plan mensual'!N8,0))+parametros_carros!$G$20*('Plan mensual'!N5+IF(parametros_carros!$H$20="Todos",'Plan mensual'!N9,0)))/60</f>
        <v>0.669476322773624</v>
      </c>
      <c r="M3" s="41" t="n">
        <f aca="false">(parametros_carros!$D$20*('Plan mensual'!O2+IF(parametros_carros!$H$20="Todos",'Plan mensual'!O6,0))+parametros_carros!$E$20*('Plan mensual'!O3+IF(parametros_carros!$H$20="Todos",'Plan mensual'!O7,0))+parametros_carros!$F$20*('Plan mensual'!O4+IF(parametros_carros!$H$20="Todos",'Plan mensual'!O8,0))+parametros_carros!$G$20*('Plan mensual'!O5+IF(parametros_carros!$H$20="Todos",'Plan mensual'!O9,0)))/60</f>
        <v>0.76511579745557</v>
      </c>
      <c r="N3" s="41" t="n">
        <f aca="false">SUM(B3:M3)</f>
        <v>9.56394746819463</v>
      </c>
      <c r="O3" s="41" t="n">
        <f aca="false">MAX(B3:M3)</f>
        <v>0.860755272137516</v>
      </c>
      <c r="P3" s="45" t="n">
        <f aca="false">IF(parametros_carros!$B$7=0,0,(O3+parametros_carros!$G$46)/parametros_carros!$B$7)</f>
        <v>0.067960590703139</v>
      </c>
      <c r="Q3" s="29" t="str">
        <f aca="false">IF(O3=0,"-",INDEX($B$1:$M$1,MATCH(O3,B3:M3,0)))</f>
        <v>Mar</v>
      </c>
    </row>
    <row r="4" customFormat="false" ht="14.25" hidden="false" customHeight="true" outlineLevel="0" collapsed="false">
      <c r="A4" s="12" t="str">
        <f aca="false">parametros_carros!$B$21</f>
        <v>Marcado del cuerpo</v>
      </c>
      <c r="B4" s="41" t="n">
        <f aca="false">(parametros_carros!$D$21*('Plan mensual'!D2+IF(parametros_carros!$H$21="Todos",'Plan mensual'!D6,0))+parametros_carros!$E$21*('Plan mensual'!D3+IF(parametros_carros!$H$21="Todos",'Plan mensual'!D7,0))+parametros_carros!$F$21*('Plan mensual'!D4+IF(parametros_carros!$H$21="Todos",'Plan mensual'!D8,0))+parametros_carros!$G$21*('Plan mensual'!D5+IF(parametros_carros!$H$21="Todos",'Plan mensual'!D9,0)))/60</f>
        <v>0.3197178356445</v>
      </c>
      <c r="C4" s="41" t="n">
        <f aca="false">(parametros_carros!$D$21*('Plan mensual'!E2+IF(parametros_carros!$H$21="Todos",'Plan mensual'!E6,0))+parametros_carros!$E$21*('Plan mensual'!E3+IF(parametros_carros!$H$21="Todos",'Plan mensual'!E7,0))+parametros_carros!$F$21*('Plan mensual'!E4+IF(parametros_carros!$H$21="Todos",'Plan mensual'!E8,0))+parametros_carros!$G$21*('Plan mensual'!E5+IF(parametros_carros!$H$21="Todos",'Plan mensual'!E9,0)))/60</f>
        <v>0.2821039726275</v>
      </c>
      <c r="D4" s="41" t="n">
        <f aca="false">(parametros_carros!$D$21*('Plan mensual'!F2+IF(parametros_carros!$H$21="Todos",'Plan mensual'!F6,0))+parametros_carros!$E$21*('Plan mensual'!F3+IF(parametros_carros!$H$21="Todos",'Plan mensual'!F7,0))+parametros_carros!$F$21*('Plan mensual'!F4+IF(parametros_carros!$H$21="Todos",'Plan mensual'!F8,0))+parametros_carros!$G$21*('Plan mensual'!F5+IF(parametros_carros!$H$21="Todos",'Plan mensual'!F9,0)))/60</f>
        <v>0.338524767153</v>
      </c>
      <c r="E4" s="41" t="n">
        <f aca="false">(parametros_carros!$D$21*('Plan mensual'!G2+IF(parametros_carros!$H$21="Todos",'Plan mensual'!G6,0))+parametros_carros!$E$21*('Plan mensual'!G3+IF(parametros_carros!$H$21="Todos",'Plan mensual'!G7,0))+parametros_carros!$F$21*('Plan mensual'!G4+IF(parametros_carros!$H$21="Todos",'Plan mensual'!G8,0))+parametros_carros!$G$21*('Plan mensual'!G5+IF(parametros_carros!$H$21="Todos",'Plan mensual'!G9,0)))/60</f>
        <v>0.338524767153</v>
      </c>
      <c r="F4" s="41" t="n">
        <f aca="false">(parametros_carros!$D$21*('Plan mensual'!H2+IF(parametros_carros!$H$21="Todos",'Plan mensual'!H6,0))+parametros_carros!$E$21*('Plan mensual'!H3+IF(parametros_carros!$H$21="Todos",'Plan mensual'!H7,0))+parametros_carros!$F$21*('Plan mensual'!H4+IF(parametros_carros!$H$21="Todos",'Plan mensual'!H8,0))+parametros_carros!$G$21*('Plan mensual'!H5+IF(parametros_carros!$H$21="Todos",'Plan mensual'!H9,0)))/60</f>
        <v>0.338524767153</v>
      </c>
      <c r="G4" s="41" t="n">
        <f aca="false">(parametros_carros!$D$21*('Plan mensual'!I2+IF(parametros_carros!$H$21="Todos",'Plan mensual'!I6,0))+parametros_carros!$E$21*('Plan mensual'!I3+IF(parametros_carros!$H$21="Todos",'Plan mensual'!I7,0))+parametros_carros!$F$21*('Plan mensual'!I4+IF(parametros_carros!$H$21="Todos",'Plan mensual'!I8,0))+parametros_carros!$G$21*('Plan mensual'!I5+IF(parametros_carros!$H$21="Todos",'Plan mensual'!I9,0)))/60</f>
        <v>0.300910904136</v>
      </c>
      <c r="H4" s="41" t="n">
        <f aca="false">(parametros_carros!$D$21*('Plan mensual'!J2+IF(parametros_carros!$H$21="Todos",'Plan mensual'!J6,0))+parametros_carros!$E$21*('Plan mensual'!J3+IF(parametros_carros!$H$21="Todos",'Plan mensual'!J7,0))+parametros_carros!$F$21*('Plan mensual'!J4+IF(parametros_carros!$H$21="Todos",'Plan mensual'!J8,0))+parametros_carros!$G$21*('Plan mensual'!J5+IF(parametros_carros!$H$21="Todos",'Plan mensual'!J9,0)))/60</f>
        <v>0.338524767153</v>
      </c>
      <c r="I4" s="41" t="n">
        <f aca="false">(parametros_carros!$D$21*('Plan mensual'!K2+IF(parametros_carros!$H$21="Todos",'Plan mensual'!K6,0))+parametros_carros!$E$21*('Plan mensual'!K3+IF(parametros_carros!$H$21="Todos",'Plan mensual'!K7,0))+parametros_carros!$F$21*('Plan mensual'!K4+IF(parametros_carros!$H$21="Todos",'Plan mensual'!K8,0))+parametros_carros!$G$21*('Plan mensual'!K5+IF(parametros_carros!$H$21="Todos",'Plan mensual'!K9,0)))/60</f>
        <v>0.338524767153</v>
      </c>
      <c r="J4" s="41" t="n">
        <f aca="false">(parametros_carros!$D$21*('Plan mensual'!L2+IF(parametros_carros!$H$21="Todos",'Plan mensual'!L6,0))+parametros_carros!$E$21*('Plan mensual'!L3+IF(parametros_carros!$H$21="Todos",'Plan mensual'!L7,0))+parametros_carros!$F$21*('Plan mensual'!L4+IF(parametros_carros!$H$21="Todos",'Plan mensual'!L8,0))+parametros_carros!$G$21*('Plan mensual'!L5+IF(parametros_carros!$H$21="Todos",'Plan mensual'!L9,0)))/60</f>
        <v>0.3197178356445</v>
      </c>
      <c r="K4" s="41" t="n">
        <f aca="false">(parametros_carros!$D$21*('Plan mensual'!M2+IF(parametros_carros!$H$21="Todos",'Plan mensual'!M6,0))+parametros_carros!$E$21*('Plan mensual'!M3+IF(parametros_carros!$H$21="Todos",'Plan mensual'!M7,0))+parametros_carros!$F$21*('Plan mensual'!M4+IF(parametros_carros!$H$21="Todos",'Plan mensual'!M8,0))+parametros_carros!$G$21*('Plan mensual'!M5+IF(parametros_carros!$H$21="Todos",'Plan mensual'!M9,0)))/60</f>
        <v>0.2821039726275</v>
      </c>
      <c r="L4" s="41" t="n">
        <f aca="false">(parametros_carros!$D$21*('Plan mensual'!N2+IF(parametros_carros!$H$21="Todos",'Plan mensual'!N6,0))+parametros_carros!$E$21*('Plan mensual'!N3+IF(parametros_carros!$H$21="Todos",'Plan mensual'!N7,0))+parametros_carros!$F$21*('Plan mensual'!N4+IF(parametros_carros!$H$21="Todos",'Plan mensual'!N8,0))+parametros_carros!$G$21*('Plan mensual'!N5+IF(parametros_carros!$H$21="Todos",'Plan mensual'!N9,0)))/60</f>
        <v>0.263297041119</v>
      </c>
      <c r="M4" s="41" t="n">
        <f aca="false">(parametros_carros!$D$21*('Plan mensual'!O2+IF(parametros_carros!$H$21="Todos",'Plan mensual'!O6,0))+parametros_carros!$E$21*('Plan mensual'!O3+IF(parametros_carros!$H$21="Todos",'Plan mensual'!O7,0))+parametros_carros!$F$21*('Plan mensual'!O4+IF(parametros_carros!$H$21="Todos",'Plan mensual'!O8,0))+parametros_carros!$G$21*('Plan mensual'!O5+IF(parametros_carros!$H$21="Todos",'Plan mensual'!O9,0)))/60</f>
        <v>0.300910904136</v>
      </c>
      <c r="N4" s="41" t="n">
        <f aca="false">SUM(B4:M4)</f>
        <v>3.7613863017</v>
      </c>
      <c r="O4" s="41" t="n">
        <f aca="false">MAX(B4:M4)</f>
        <v>0.338524767153</v>
      </c>
      <c r="P4" s="45" t="n">
        <f aca="false">IF(parametros_carros!$B$7=0,0,(O4+parametros_carros!$G$47)/parametros_carros!$B$7)</f>
        <v>0.0144790540032422</v>
      </c>
      <c r="Q4" s="29" t="str">
        <f aca="false">IF(O4=0,"-",INDEX($B$1:$M$1,MATCH(O4,B4:M4,0)))</f>
        <v>Mar</v>
      </c>
    </row>
    <row r="5" customFormat="false" ht="14.25" hidden="false" customHeight="true" outlineLevel="0" collapsed="false">
      <c r="A5" s="12" t="str">
        <f aca="false">parametros_carros!$B$22</f>
        <v>Cilindrado</v>
      </c>
      <c r="B5" s="41" t="n">
        <f aca="false">(parametros_carros!$D$22*('Plan mensual'!D2+IF(parametros_carros!$H$22="Todos",'Plan mensual'!D6,0))+parametros_carros!$E$22*('Plan mensual'!D3+IF(parametros_carros!$H$22="Todos",'Plan mensual'!D7,0))+parametros_carros!$F$22*('Plan mensual'!D4+IF(parametros_carros!$H$22="Todos",'Plan mensual'!D8,0))+parametros_carros!$G$22*('Plan mensual'!D5+IF(parametros_carros!$H$22="Todos",'Plan mensual'!D9,0)))/60</f>
        <v>0.692364927515837</v>
      </c>
      <c r="C5" s="41" t="n">
        <f aca="false">(parametros_carros!$D$22*('Plan mensual'!E2+IF(parametros_carros!$H$22="Todos",'Plan mensual'!E6,0))+parametros_carros!$E$22*('Plan mensual'!E3+IF(parametros_carros!$H$22="Todos",'Plan mensual'!E7,0))+parametros_carros!$F$22*('Plan mensual'!E4+IF(parametros_carros!$H$22="Todos",'Plan mensual'!E8,0))+parametros_carros!$G$22*('Plan mensual'!E5+IF(parametros_carros!$H$22="Todos",'Plan mensual'!E9,0)))/60</f>
        <v>0.610910230161033</v>
      </c>
      <c r="D5" s="41" t="n">
        <f aca="false">(parametros_carros!$D$22*('Plan mensual'!F2+IF(parametros_carros!$H$22="Todos",'Plan mensual'!F6,0))+parametros_carros!$E$22*('Plan mensual'!F3+IF(parametros_carros!$H$22="Todos",'Plan mensual'!F7,0))+parametros_carros!$F$22*('Plan mensual'!F4+IF(parametros_carros!$H$22="Todos",'Plan mensual'!F8,0))+parametros_carros!$G$22*('Plan mensual'!F5+IF(parametros_carros!$H$22="Todos",'Plan mensual'!F9,0)))/60</f>
        <v>0.733092276193239</v>
      </c>
      <c r="E5" s="41" t="n">
        <f aca="false">(parametros_carros!$D$22*('Plan mensual'!G2+IF(parametros_carros!$H$22="Todos",'Plan mensual'!G6,0))+parametros_carros!$E$22*('Plan mensual'!G3+IF(parametros_carros!$H$22="Todos",'Plan mensual'!G7,0))+parametros_carros!$F$22*('Plan mensual'!G4+IF(parametros_carros!$H$22="Todos",'Plan mensual'!G8,0))+parametros_carros!$G$22*('Plan mensual'!G5+IF(parametros_carros!$H$22="Todos",'Plan mensual'!G9,0)))/60</f>
        <v>0.733092276193239</v>
      </c>
      <c r="F5" s="41" t="n">
        <f aca="false">(parametros_carros!$D$22*('Plan mensual'!H2+IF(parametros_carros!$H$22="Todos",'Plan mensual'!H6,0))+parametros_carros!$E$22*('Plan mensual'!H3+IF(parametros_carros!$H$22="Todos",'Plan mensual'!H7,0))+parametros_carros!$F$22*('Plan mensual'!H4+IF(parametros_carros!$H$22="Todos",'Plan mensual'!H8,0))+parametros_carros!$G$22*('Plan mensual'!H5+IF(parametros_carros!$H$22="Todos",'Plan mensual'!H9,0)))/60</f>
        <v>0.733092276193239</v>
      </c>
      <c r="G5" s="41" t="n">
        <f aca="false">(parametros_carros!$D$22*('Plan mensual'!I2+IF(parametros_carros!$H$22="Todos",'Plan mensual'!I6,0))+parametros_carros!$E$22*('Plan mensual'!I3+IF(parametros_carros!$H$22="Todos",'Plan mensual'!I7,0))+parametros_carros!$F$22*('Plan mensual'!I4+IF(parametros_carros!$H$22="Todos",'Plan mensual'!I8,0))+parametros_carros!$G$22*('Plan mensual'!I5+IF(parametros_carros!$H$22="Todos",'Plan mensual'!I9,0)))/60</f>
        <v>0.651637578838435</v>
      </c>
      <c r="H5" s="41" t="n">
        <f aca="false">(parametros_carros!$D$22*('Plan mensual'!J2+IF(parametros_carros!$H$22="Todos",'Plan mensual'!J6,0))+parametros_carros!$E$22*('Plan mensual'!J3+IF(parametros_carros!$H$22="Todos",'Plan mensual'!J7,0))+parametros_carros!$F$22*('Plan mensual'!J4+IF(parametros_carros!$H$22="Todos",'Plan mensual'!J8,0))+parametros_carros!$G$22*('Plan mensual'!J5+IF(parametros_carros!$H$22="Todos",'Plan mensual'!J9,0)))/60</f>
        <v>0.733092276193239</v>
      </c>
      <c r="I5" s="41" t="n">
        <f aca="false">(parametros_carros!$D$22*('Plan mensual'!K2+IF(parametros_carros!$H$22="Todos",'Plan mensual'!K6,0))+parametros_carros!$E$22*('Plan mensual'!K3+IF(parametros_carros!$H$22="Todos",'Plan mensual'!K7,0))+parametros_carros!$F$22*('Plan mensual'!K4+IF(parametros_carros!$H$22="Todos",'Plan mensual'!K8,0))+parametros_carros!$G$22*('Plan mensual'!K5+IF(parametros_carros!$H$22="Todos",'Plan mensual'!K9,0)))/60</f>
        <v>0.733092276193239</v>
      </c>
      <c r="J5" s="41" t="n">
        <f aca="false">(parametros_carros!$D$22*('Plan mensual'!L2+IF(parametros_carros!$H$22="Todos",'Plan mensual'!L6,0))+parametros_carros!$E$22*('Plan mensual'!L3+IF(parametros_carros!$H$22="Todos",'Plan mensual'!L7,0))+parametros_carros!$F$22*('Plan mensual'!L4+IF(parametros_carros!$H$22="Todos",'Plan mensual'!L8,0))+parametros_carros!$G$22*('Plan mensual'!L5+IF(parametros_carros!$H$22="Todos",'Plan mensual'!L9,0)))/60</f>
        <v>0.692364927515837</v>
      </c>
      <c r="K5" s="41" t="n">
        <f aca="false">(parametros_carros!$D$22*('Plan mensual'!M2+IF(parametros_carros!$H$22="Todos",'Plan mensual'!M6,0))+parametros_carros!$E$22*('Plan mensual'!M3+IF(parametros_carros!$H$22="Todos",'Plan mensual'!M7,0))+parametros_carros!$F$22*('Plan mensual'!M4+IF(parametros_carros!$H$22="Todos",'Plan mensual'!M8,0))+parametros_carros!$G$22*('Plan mensual'!M5+IF(parametros_carros!$H$22="Todos",'Plan mensual'!M9,0)))/60</f>
        <v>0.610910230161033</v>
      </c>
      <c r="L5" s="41" t="n">
        <f aca="false">(parametros_carros!$D$22*('Plan mensual'!N2+IF(parametros_carros!$H$22="Todos",'Plan mensual'!N6,0))+parametros_carros!$E$22*('Plan mensual'!N3+IF(parametros_carros!$H$22="Todos",'Plan mensual'!N7,0))+parametros_carros!$F$22*('Plan mensual'!N4+IF(parametros_carros!$H$22="Todos",'Plan mensual'!N8,0))+parametros_carros!$G$22*('Plan mensual'!N5+IF(parametros_carros!$H$22="Todos",'Plan mensual'!N9,0)))/60</f>
        <v>0.570182881483631</v>
      </c>
      <c r="M5" s="41" t="n">
        <f aca="false">(parametros_carros!$D$22*('Plan mensual'!O2+IF(parametros_carros!$H$22="Todos",'Plan mensual'!O6,0))+parametros_carros!$E$22*('Plan mensual'!O3+IF(parametros_carros!$H$22="Todos",'Plan mensual'!O7,0))+parametros_carros!$F$22*('Plan mensual'!O4+IF(parametros_carros!$H$22="Todos",'Plan mensual'!O8,0))+parametros_carros!$G$22*('Plan mensual'!O5+IF(parametros_carros!$H$22="Todos",'Plan mensual'!O9,0)))/60</f>
        <v>0.651637578838435</v>
      </c>
      <c r="N5" s="41" t="n">
        <f aca="false">SUM(B5:M5)</f>
        <v>8.14546973548043</v>
      </c>
      <c r="O5" s="41" t="n">
        <f aca="false">MAX(B5:M5)</f>
        <v>0.733092276193239</v>
      </c>
      <c r="P5" s="45" t="n">
        <f aca="false">IF(parametros_carros!$B$7=0,0,(O5+parametros_carros!$G$48)/parametros_carros!$B$7)</f>
        <v>0.0448872818412883</v>
      </c>
      <c r="Q5" s="29" t="str">
        <f aca="false">IF(O5=0,"-",INDEX($B$1:$M$1,MATCH(O5,B5:M5,0)))</f>
        <v>Mar</v>
      </c>
    </row>
    <row r="6" customFormat="false" ht="14.25" hidden="false" customHeight="true" outlineLevel="0" collapsed="false">
      <c r="A6" s="12" t="str">
        <f aca="false">parametros_carros!$B$23</f>
        <v>Punteo del cuerpo</v>
      </c>
      <c r="B6" s="41" t="n">
        <f aca="false">(parametros_carros!$D$23*('Plan mensual'!D2+IF(parametros_carros!$H$23="Todos",'Plan mensual'!D6,0))+parametros_carros!$E$23*('Plan mensual'!D3+IF(parametros_carros!$H$23="Todos",'Plan mensual'!D7,0))+parametros_carros!$F$23*('Plan mensual'!D4+IF(parametros_carros!$H$23="Todos",'Plan mensual'!D8,0))+parametros_carros!$G$23*('Plan mensual'!D5+IF(parametros_carros!$H$23="Todos",'Plan mensual'!D9,0)))/60</f>
        <v>1.04062373086275</v>
      </c>
      <c r="C6" s="41" t="n">
        <f aca="false">(parametros_carros!$D$23*('Plan mensual'!E2+IF(parametros_carros!$H$23="Todos",'Plan mensual'!E6,0))+parametros_carros!$E$23*('Plan mensual'!E3+IF(parametros_carros!$H$23="Todos",'Plan mensual'!E7,0))+parametros_carros!$F$23*('Plan mensual'!E4+IF(parametros_carros!$H$23="Todos",'Plan mensual'!E8,0))+parametros_carros!$G$23*('Plan mensual'!E5+IF(parametros_carros!$H$23="Todos",'Plan mensual'!E9,0)))/60</f>
        <v>0.918197409584783</v>
      </c>
      <c r="D6" s="41" t="n">
        <f aca="false">(parametros_carros!$D$23*('Plan mensual'!F2+IF(parametros_carros!$H$23="Todos",'Plan mensual'!F6,0))+parametros_carros!$E$23*('Plan mensual'!F3+IF(parametros_carros!$H$23="Todos",'Plan mensual'!F7,0))+parametros_carros!$F$23*('Plan mensual'!F4+IF(parametros_carros!$H$23="Todos",'Plan mensual'!F8,0))+parametros_carros!$G$23*('Plan mensual'!F5+IF(parametros_carros!$H$23="Todos",'Plan mensual'!F9,0)))/60</f>
        <v>1.10183689150174</v>
      </c>
      <c r="E6" s="41" t="n">
        <f aca="false">(parametros_carros!$D$23*('Plan mensual'!G2+IF(parametros_carros!$H$23="Todos",'Plan mensual'!G6,0))+parametros_carros!$E$23*('Plan mensual'!G3+IF(parametros_carros!$H$23="Todos",'Plan mensual'!G7,0))+parametros_carros!$F$23*('Plan mensual'!G4+IF(parametros_carros!$H$23="Todos",'Plan mensual'!G8,0))+parametros_carros!$G$23*('Plan mensual'!G5+IF(parametros_carros!$H$23="Todos",'Plan mensual'!G9,0)))/60</f>
        <v>1.10183689150174</v>
      </c>
      <c r="F6" s="41" t="n">
        <f aca="false">(parametros_carros!$D$23*('Plan mensual'!H2+IF(parametros_carros!$H$23="Todos",'Plan mensual'!H6,0))+parametros_carros!$E$23*('Plan mensual'!H3+IF(parametros_carros!$H$23="Todos",'Plan mensual'!H7,0))+parametros_carros!$F$23*('Plan mensual'!H4+IF(parametros_carros!$H$23="Todos",'Plan mensual'!H8,0))+parametros_carros!$G$23*('Plan mensual'!H5+IF(parametros_carros!$H$23="Todos",'Plan mensual'!H9,0)))/60</f>
        <v>1.10183689150174</v>
      </c>
      <c r="G6" s="41" t="n">
        <f aca="false">(parametros_carros!$D$23*('Plan mensual'!I2+IF(parametros_carros!$H$23="Todos",'Plan mensual'!I6,0))+parametros_carros!$E$23*('Plan mensual'!I3+IF(parametros_carros!$H$23="Todos",'Plan mensual'!I7,0))+parametros_carros!$F$23*('Plan mensual'!I4+IF(parametros_carros!$H$23="Todos",'Plan mensual'!I8,0))+parametros_carros!$G$23*('Plan mensual'!I5+IF(parametros_carros!$H$23="Todos",'Plan mensual'!I9,0)))/60</f>
        <v>0.979410570223768</v>
      </c>
      <c r="H6" s="41" t="n">
        <f aca="false">(parametros_carros!$D$23*('Plan mensual'!J2+IF(parametros_carros!$H$23="Todos",'Plan mensual'!J6,0))+parametros_carros!$E$23*('Plan mensual'!J3+IF(parametros_carros!$H$23="Todos",'Plan mensual'!J7,0))+parametros_carros!$F$23*('Plan mensual'!J4+IF(parametros_carros!$H$23="Todos",'Plan mensual'!J8,0))+parametros_carros!$G$23*('Plan mensual'!J5+IF(parametros_carros!$H$23="Todos",'Plan mensual'!J9,0)))/60</f>
        <v>1.10183689150174</v>
      </c>
      <c r="I6" s="41" t="n">
        <f aca="false">(parametros_carros!$D$23*('Plan mensual'!K2+IF(parametros_carros!$H$23="Todos",'Plan mensual'!K6,0))+parametros_carros!$E$23*('Plan mensual'!K3+IF(parametros_carros!$H$23="Todos",'Plan mensual'!K7,0))+parametros_carros!$F$23*('Plan mensual'!K4+IF(parametros_carros!$H$23="Todos",'Plan mensual'!K8,0))+parametros_carros!$G$23*('Plan mensual'!K5+IF(parametros_carros!$H$23="Todos",'Plan mensual'!K9,0)))/60</f>
        <v>1.10183689150174</v>
      </c>
      <c r="J6" s="41" t="n">
        <f aca="false">(parametros_carros!$D$23*('Plan mensual'!L2+IF(parametros_carros!$H$23="Todos",'Plan mensual'!L6,0))+parametros_carros!$E$23*('Plan mensual'!L3+IF(parametros_carros!$H$23="Todos",'Plan mensual'!L7,0))+parametros_carros!$F$23*('Plan mensual'!L4+IF(parametros_carros!$H$23="Todos",'Plan mensual'!L8,0))+parametros_carros!$G$23*('Plan mensual'!L5+IF(parametros_carros!$H$23="Todos",'Plan mensual'!L9,0)))/60</f>
        <v>1.04062373086275</v>
      </c>
      <c r="K6" s="41" t="n">
        <f aca="false">(parametros_carros!$D$23*('Plan mensual'!M2+IF(parametros_carros!$H$23="Todos",'Plan mensual'!M6,0))+parametros_carros!$E$23*('Plan mensual'!M3+IF(parametros_carros!$H$23="Todos",'Plan mensual'!M7,0))+parametros_carros!$F$23*('Plan mensual'!M4+IF(parametros_carros!$H$23="Todos",'Plan mensual'!M8,0))+parametros_carros!$G$23*('Plan mensual'!M5+IF(parametros_carros!$H$23="Todos",'Plan mensual'!M9,0)))/60</f>
        <v>0.918197409584783</v>
      </c>
      <c r="L6" s="41" t="n">
        <f aca="false">(parametros_carros!$D$23*('Plan mensual'!N2+IF(parametros_carros!$H$23="Todos",'Plan mensual'!N6,0))+parametros_carros!$E$23*('Plan mensual'!N3+IF(parametros_carros!$H$23="Todos",'Plan mensual'!N7,0))+parametros_carros!$F$23*('Plan mensual'!N4+IF(parametros_carros!$H$23="Todos",'Plan mensual'!N8,0))+parametros_carros!$G$23*('Plan mensual'!N5+IF(parametros_carros!$H$23="Todos",'Plan mensual'!N9,0)))/60</f>
        <v>0.856984248945797</v>
      </c>
      <c r="M6" s="41" t="n">
        <f aca="false">(parametros_carros!$D$23*('Plan mensual'!O2+IF(parametros_carros!$H$23="Todos",'Plan mensual'!O6,0))+parametros_carros!$E$23*('Plan mensual'!O3+IF(parametros_carros!$H$23="Todos",'Plan mensual'!O7,0))+parametros_carros!$F$23*('Plan mensual'!O4+IF(parametros_carros!$H$23="Todos",'Plan mensual'!O8,0))+parametros_carros!$G$23*('Plan mensual'!O5+IF(parametros_carros!$H$23="Todos",'Plan mensual'!O9,0)))/60</f>
        <v>0.979410570223768</v>
      </c>
      <c r="N6" s="41" t="n">
        <f aca="false">SUM(B6:M6)</f>
        <v>12.2426321277971</v>
      </c>
      <c r="O6" s="41" t="n">
        <f aca="false">MAX(B6:M6)</f>
        <v>1.10183689150174</v>
      </c>
      <c r="P6" s="45" t="n">
        <f aca="false">IF(parametros_carros!$B$7=0,0,(O6+parametros_carros!$G$49)/parametros_carros!$B$7)</f>
        <v>0.0184566903877894</v>
      </c>
      <c r="Q6" s="29" t="str">
        <f aca="false">IF(O6=0,"-",INDEX($B$1:$M$1,MATCH(O6,B6:M6,0)))</f>
        <v>Mar</v>
      </c>
    </row>
    <row r="7" customFormat="false" ht="14.25" hidden="false" customHeight="true" outlineLevel="0" collapsed="false">
      <c r="A7" s="12" t="str">
        <f aca="false">parametros_carros!$B$24</f>
        <v>Soldadura longitudinal</v>
      </c>
      <c r="B7" s="41" t="n">
        <f aca="false">(parametros_carros!$D$24*('Plan mensual'!D2+IF(parametros_carros!$H$24="Todos",'Plan mensual'!D6,0))+parametros_carros!$E$24*('Plan mensual'!D3+IF(parametros_carros!$H$24="Todos",'Plan mensual'!D7,0))+parametros_carros!$F$24*('Plan mensual'!D4+IF(parametros_carros!$H$24="Todos",'Plan mensual'!D8,0))+parametros_carros!$G$24*('Plan mensual'!D5+IF(parametros_carros!$H$24="Todos",'Plan mensual'!D9,0)))/60</f>
        <v>0.698190807073583</v>
      </c>
      <c r="C7" s="41" t="n">
        <f aca="false">(parametros_carros!$D$24*('Plan mensual'!E2+IF(parametros_carros!$H$24="Todos",'Plan mensual'!E6,0))+parametros_carros!$E$24*('Plan mensual'!E3+IF(parametros_carros!$H$24="Todos",'Plan mensual'!E7,0))+parametros_carros!$F$24*('Plan mensual'!E4+IF(parametros_carros!$H$24="Todos",'Plan mensual'!E8,0))+parametros_carros!$G$24*('Plan mensual'!E5+IF(parametros_carros!$H$24="Todos",'Plan mensual'!E9,0)))/60</f>
        <v>0.61605071212375</v>
      </c>
      <c r="D7" s="41" t="n">
        <f aca="false">(parametros_carros!$D$24*('Plan mensual'!F2+IF(parametros_carros!$H$24="Todos",'Plan mensual'!F6,0))+parametros_carros!$E$24*('Plan mensual'!F3+IF(parametros_carros!$H$24="Todos",'Plan mensual'!F7,0))+parametros_carros!$F$24*('Plan mensual'!F4+IF(parametros_carros!$H$24="Todos",'Plan mensual'!F8,0))+parametros_carros!$G$24*('Plan mensual'!F5+IF(parametros_carros!$H$24="Todos",'Plan mensual'!F9,0)))/60</f>
        <v>0.7392608545485</v>
      </c>
      <c r="E7" s="41" t="n">
        <f aca="false">(parametros_carros!$D$24*('Plan mensual'!G2+IF(parametros_carros!$H$24="Todos",'Plan mensual'!G6,0))+parametros_carros!$E$24*('Plan mensual'!G3+IF(parametros_carros!$H$24="Todos",'Plan mensual'!G7,0))+parametros_carros!$F$24*('Plan mensual'!G4+IF(parametros_carros!$H$24="Todos",'Plan mensual'!G8,0))+parametros_carros!$G$24*('Plan mensual'!G5+IF(parametros_carros!$H$24="Todos",'Plan mensual'!G9,0)))/60</f>
        <v>0.7392608545485</v>
      </c>
      <c r="F7" s="41" t="n">
        <f aca="false">(parametros_carros!$D$24*('Plan mensual'!H2+IF(parametros_carros!$H$24="Todos",'Plan mensual'!H6,0))+parametros_carros!$E$24*('Plan mensual'!H3+IF(parametros_carros!$H$24="Todos",'Plan mensual'!H7,0))+parametros_carros!$F$24*('Plan mensual'!H4+IF(parametros_carros!$H$24="Todos",'Plan mensual'!H8,0))+parametros_carros!$G$24*('Plan mensual'!H5+IF(parametros_carros!$H$24="Todos",'Plan mensual'!H9,0)))/60</f>
        <v>0.7392608545485</v>
      </c>
      <c r="G7" s="41" t="n">
        <f aca="false">(parametros_carros!$D$24*('Plan mensual'!I2+IF(parametros_carros!$H$24="Todos",'Plan mensual'!I6,0))+parametros_carros!$E$24*('Plan mensual'!I3+IF(parametros_carros!$H$24="Todos",'Plan mensual'!I7,0))+parametros_carros!$F$24*('Plan mensual'!I4+IF(parametros_carros!$H$24="Todos",'Plan mensual'!I8,0))+parametros_carros!$G$24*('Plan mensual'!I5+IF(parametros_carros!$H$24="Todos",'Plan mensual'!I9,0)))/60</f>
        <v>0.657120759598667</v>
      </c>
      <c r="H7" s="41" t="n">
        <f aca="false">(parametros_carros!$D$24*('Plan mensual'!J2+IF(parametros_carros!$H$24="Todos",'Plan mensual'!J6,0))+parametros_carros!$E$24*('Plan mensual'!J3+IF(parametros_carros!$H$24="Todos",'Plan mensual'!J7,0))+parametros_carros!$F$24*('Plan mensual'!J4+IF(parametros_carros!$H$24="Todos",'Plan mensual'!J8,0))+parametros_carros!$G$24*('Plan mensual'!J5+IF(parametros_carros!$H$24="Todos",'Plan mensual'!J9,0)))/60</f>
        <v>0.7392608545485</v>
      </c>
      <c r="I7" s="41" t="n">
        <f aca="false">(parametros_carros!$D$24*('Plan mensual'!K2+IF(parametros_carros!$H$24="Todos",'Plan mensual'!K6,0))+parametros_carros!$E$24*('Plan mensual'!K3+IF(parametros_carros!$H$24="Todos",'Plan mensual'!K7,0))+parametros_carros!$F$24*('Plan mensual'!K4+IF(parametros_carros!$H$24="Todos",'Plan mensual'!K8,0))+parametros_carros!$G$24*('Plan mensual'!K5+IF(parametros_carros!$H$24="Todos",'Plan mensual'!K9,0)))/60</f>
        <v>0.7392608545485</v>
      </c>
      <c r="J7" s="41" t="n">
        <f aca="false">(parametros_carros!$D$24*('Plan mensual'!L2+IF(parametros_carros!$H$24="Todos",'Plan mensual'!L6,0))+parametros_carros!$E$24*('Plan mensual'!L3+IF(parametros_carros!$H$24="Todos",'Plan mensual'!L7,0))+parametros_carros!$F$24*('Plan mensual'!L4+IF(parametros_carros!$H$24="Todos",'Plan mensual'!L8,0))+parametros_carros!$G$24*('Plan mensual'!L5+IF(parametros_carros!$H$24="Todos",'Plan mensual'!L9,0)))/60</f>
        <v>0.698190807073583</v>
      </c>
      <c r="K7" s="41" t="n">
        <f aca="false">(parametros_carros!$D$24*('Plan mensual'!M2+IF(parametros_carros!$H$24="Todos",'Plan mensual'!M6,0))+parametros_carros!$E$24*('Plan mensual'!M3+IF(parametros_carros!$H$24="Todos",'Plan mensual'!M7,0))+parametros_carros!$F$24*('Plan mensual'!M4+IF(parametros_carros!$H$24="Todos",'Plan mensual'!M8,0))+parametros_carros!$G$24*('Plan mensual'!M5+IF(parametros_carros!$H$24="Todos",'Plan mensual'!M9,0)))/60</f>
        <v>0.61605071212375</v>
      </c>
      <c r="L7" s="41" t="n">
        <f aca="false">(parametros_carros!$D$24*('Plan mensual'!N2+IF(parametros_carros!$H$24="Todos",'Plan mensual'!N6,0))+parametros_carros!$E$24*('Plan mensual'!N3+IF(parametros_carros!$H$24="Todos",'Plan mensual'!N7,0))+parametros_carros!$F$24*('Plan mensual'!N4+IF(parametros_carros!$H$24="Todos",'Plan mensual'!N8,0))+parametros_carros!$G$24*('Plan mensual'!N5+IF(parametros_carros!$H$24="Todos",'Plan mensual'!N9,0)))/60</f>
        <v>0.574980664648834</v>
      </c>
      <c r="M7" s="41" t="n">
        <f aca="false">(parametros_carros!$D$24*('Plan mensual'!O2+IF(parametros_carros!$H$24="Todos",'Plan mensual'!O6,0))+parametros_carros!$E$24*('Plan mensual'!O3+IF(parametros_carros!$H$24="Todos",'Plan mensual'!O7,0))+parametros_carros!$F$24*('Plan mensual'!O4+IF(parametros_carros!$H$24="Todos",'Plan mensual'!O8,0))+parametros_carros!$G$24*('Plan mensual'!O5+IF(parametros_carros!$H$24="Todos",'Plan mensual'!O9,0)))/60</f>
        <v>0.657120759598667</v>
      </c>
      <c r="N7" s="41" t="n">
        <f aca="false">SUM(B7:M7)</f>
        <v>8.21400949498333</v>
      </c>
      <c r="O7" s="41" t="n">
        <f aca="false">MAX(B7:M7)</f>
        <v>0.7392608545485</v>
      </c>
      <c r="P7" s="45" t="n">
        <f aca="false">IF(parametros_carros!$B$7=0,0,(O7+parametros_carros!$G$50)/parametros_carros!$B$7)</f>
        <v>0.0227061834747678</v>
      </c>
      <c r="Q7" s="29" t="str">
        <f aca="false">IF(O7=0,"-",INDEX($B$1:$M$1,MATCH(O7,B7:M7,0)))</f>
        <v>Mar</v>
      </c>
    </row>
    <row r="8" customFormat="false" ht="14.25" hidden="false" customHeight="true" outlineLevel="0" collapsed="false">
      <c r="A8" s="12" t="str">
        <f aca="false">parametros_carros!$B$25</f>
        <v>Soldadura de cupla en la cúpula</v>
      </c>
      <c r="B8" s="41" t="n">
        <f aca="false">(parametros_carros!$D$25*('Plan mensual'!D2+IF(parametros_carros!$H$25="Todos",'Plan mensual'!D6,0))+parametros_carros!$E$25*('Plan mensual'!D3+IF(parametros_carros!$H$25="Todos",'Plan mensual'!D7,0))+parametros_carros!$F$25*('Plan mensual'!D4+IF(parametros_carros!$H$25="Todos",'Plan mensual'!D8,0))+parametros_carros!$G$25*('Plan mensual'!D5+IF(parametros_carros!$H$25="Todos",'Plan mensual'!D9,0)))/60</f>
        <v>0.689146107542</v>
      </c>
      <c r="C8" s="41" t="n">
        <f aca="false">(parametros_carros!$D$25*('Plan mensual'!E2+IF(parametros_carros!$H$25="Todos",'Plan mensual'!E6,0))+parametros_carros!$E$25*('Plan mensual'!E3+IF(parametros_carros!$H$25="Todos",'Plan mensual'!E7,0))+parametros_carros!$F$25*('Plan mensual'!E4+IF(parametros_carros!$H$25="Todos",'Plan mensual'!E8,0))+parametros_carros!$G$25*('Plan mensual'!E5+IF(parametros_carros!$H$25="Todos",'Plan mensual'!E9,0)))/60</f>
        <v>0.60807009489</v>
      </c>
      <c r="D8" s="41" t="n">
        <f aca="false">(parametros_carros!$D$25*('Plan mensual'!F2+IF(parametros_carros!$H$25="Todos",'Plan mensual'!F6,0))+parametros_carros!$E$25*('Plan mensual'!F3+IF(parametros_carros!$H$25="Todos",'Plan mensual'!F7,0))+parametros_carros!$F$25*('Plan mensual'!F4+IF(parametros_carros!$H$25="Todos",'Plan mensual'!F8,0))+parametros_carros!$G$25*('Plan mensual'!F5+IF(parametros_carros!$H$25="Todos",'Plan mensual'!F9,0)))/60</f>
        <v>0.729684113868</v>
      </c>
      <c r="E8" s="41" t="n">
        <f aca="false">(parametros_carros!$D$25*('Plan mensual'!G2+IF(parametros_carros!$H$25="Todos",'Plan mensual'!G6,0))+parametros_carros!$E$25*('Plan mensual'!G3+IF(parametros_carros!$H$25="Todos",'Plan mensual'!G7,0))+parametros_carros!$F$25*('Plan mensual'!G4+IF(parametros_carros!$H$25="Todos",'Plan mensual'!G8,0))+parametros_carros!$G$25*('Plan mensual'!G5+IF(parametros_carros!$H$25="Todos",'Plan mensual'!G9,0)))/60</f>
        <v>0.729684113868</v>
      </c>
      <c r="F8" s="41" t="n">
        <f aca="false">(parametros_carros!$D$25*('Plan mensual'!H2+IF(parametros_carros!$H$25="Todos",'Plan mensual'!H6,0))+parametros_carros!$E$25*('Plan mensual'!H3+IF(parametros_carros!$H$25="Todos",'Plan mensual'!H7,0))+parametros_carros!$F$25*('Plan mensual'!H4+IF(parametros_carros!$H$25="Todos",'Plan mensual'!H8,0))+parametros_carros!$G$25*('Plan mensual'!H5+IF(parametros_carros!$H$25="Todos",'Plan mensual'!H9,0)))/60</f>
        <v>0.729684113868</v>
      </c>
      <c r="G8" s="41" t="n">
        <f aca="false">(parametros_carros!$D$25*('Plan mensual'!I2+IF(parametros_carros!$H$25="Todos",'Plan mensual'!I6,0))+parametros_carros!$E$25*('Plan mensual'!I3+IF(parametros_carros!$H$25="Todos",'Plan mensual'!I7,0))+parametros_carros!$F$25*('Plan mensual'!I4+IF(parametros_carros!$H$25="Todos",'Plan mensual'!I8,0))+parametros_carros!$G$25*('Plan mensual'!I5+IF(parametros_carros!$H$25="Todos",'Plan mensual'!I9,0)))/60</f>
        <v>0.648608101216</v>
      </c>
      <c r="H8" s="41" t="n">
        <f aca="false">(parametros_carros!$D$25*('Plan mensual'!J2+IF(parametros_carros!$H$25="Todos",'Plan mensual'!J6,0))+parametros_carros!$E$25*('Plan mensual'!J3+IF(parametros_carros!$H$25="Todos",'Plan mensual'!J7,0))+parametros_carros!$F$25*('Plan mensual'!J4+IF(parametros_carros!$H$25="Todos",'Plan mensual'!J8,0))+parametros_carros!$G$25*('Plan mensual'!J5+IF(parametros_carros!$H$25="Todos",'Plan mensual'!J9,0)))/60</f>
        <v>0.729684113868</v>
      </c>
      <c r="I8" s="41" t="n">
        <f aca="false">(parametros_carros!$D$25*('Plan mensual'!K2+IF(parametros_carros!$H$25="Todos",'Plan mensual'!K6,0))+parametros_carros!$E$25*('Plan mensual'!K3+IF(parametros_carros!$H$25="Todos",'Plan mensual'!K7,0))+parametros_carros!$F$25*('Plan mensual'!K4+IF(parametros_carros!$H$25="Todos",'Plan mensual'!K8,0))+parametros_carros!$G$25*('Plan mensual'!K5+IF(parametros_carros!$H$25="Todos",'Plan mensual'!K9,0)))/60</f>
        <v>0.729684113868</v>
      </c>
      <c r="J8" s="41" t="n">
        <f aca="false">(parametros_carros!$D$25*('Plan mensual'!L2+IF(parametros_carros!$H$25="Todos",'Plan mensual'!L6,0))+parametros_carros!$E$25*('Plan mensual'!L3+IF(parametros_carros!$H$25="Todos",'Plan mensual'!L7,0))+parametros_carros!$F$25*('Plan mensual'!L4+IF(parametros_carros!$H$25="Todos",'Plan mensual'!L8,0))+parametros_carros!$G$25*('Plan mensual'!L5+IF(parametros_carros!$H$25="Todos",'Plan mensual'!L9,0)))/60</f>
        <v>0.689146107542</v>
      </c>
      <c r="K8" s="41" t="n">
        <f aca="false">(parametros_carros!$D$25*('Plan mensual'!M2+IF(parametros_carros!$H$25="Todos",'Plan mensual'!M6,0))+parametros_carros!$E$25*('Plan mensual'!M3+IF(parametros_carros!$H$25="Todos",'Plan mensual'!M7,0))+parametros_carros!$F$25*('Plan mensual'!M4+IF(parametros_carros!$H$25="Todos",'Plan mensual'!M8,0))+parametros_carros!$G$25*('Plan mensual'!M5+IF(parametros_carros!$H$25="Todos",'Plan mensual'!M9,0)))/60</f>
        <v>0.60807009489</v>
      </c>
      <c r="L8" s="41" t="n">
        <f aca="false">(parametros_carros!$D$25*('Plan mensual'!N2+IF(parametros_carros!$H$25="Todos",'Plan mensual'!N6,0))+parametros_carros!$E$25*('Plan mensual'!N3+IF(parametros_carros!$H$25="Todos",'Plan mensual'!N7,0))+parametros_carros!$F$25*('Plan mensual'!N4+IF(parametros_carros!$H$25="Todos",'Plan mensual'!N8,0))+parametros_carros!$G$25*('Plan mensual'!N5+IF(parametros_carros!$H$25="Todos",'Plan mensual'!N9,0)))/60</f>
        <v>0.567532088564</v>
      </c>
      <c r="M8" s="41" t="n">
        <f aca="false">(parametros_carros!$D$25*('Plan mensual'!O2+IF(parametros_carros!$H$25="Todos",'Plan mensual'!O6,0))+parametros_carros!$E$25*('Plan mensual'!O3+IF(parametros_carros!$H$25="Todos",'Plan mensual'!O7,0))+parametros_carros!$F$25*('Plan mensual'!O4+IF(parametros_carros!$H$25="Todos",'Plan mensual'!O8,0))+parametros_carros!$G$25*('Plan mensual'!O5+IF(parametros_carros!$H$25="Todos",'Plan mensual'!O9,0)))/60</f>
        <v>0.648608101216</v>
      </c>
      <c r="N8" s="41" t="n">
        <f aca="false">SUM(B8:M8)</f>
        <v>8.1076012652</v>
      </c>
      <c r="O8" s="41" t="n">
        <f aca="false">MAX(B8:M8)</f>
        <v>0.729684113868</v>
      </c>
      <c r="P8" s="45" t="n">
        <f aca="false">IF(parametros_carros!$B$7=0,0,(O8+parametros_carros!$G$51)/parametros_carros!$B$7)</f>
        <v>0.02486456075912</v>
      </c>
      <c r="Q8" s="29" t="str">
        <f aca="false">IF(O8=0,"-",INDEX($B$1:$M$1,MATCH(O8,B8:M8,0)))</f>
        <v>Mar</v>
      </c>
    </row>
    <row r="9" customFormat="false" ht="14.25" hidden="false" customHeight="true" outlineLevel="0" collapsed="false">
      <c r="A9" s="12" t="str">
        <f aca="false">parametros_carros!$B$26</f>
        <v>Armado y soldadura circunferencial</v>
      </c>
      <c r="B9" s="41" t="n">
        <f aca="false">(parametros_carros!$D$26*('Plan mensual'!D2+IF(parametros_carros!$H$26="Todos",'Plan mensual'!D6,0))+parametros_carros!$E$26*('Plan mensual'!D3+IF(parametros_carros!$H$26="Todos",'Plan mensual'!D7,0))+parametros_carros!$F$26*('Plan mensual'!D4+IF(parametros_carros!$H$26="Todos",'Plan mensual'!D8,0))+parametros_carros!$G$26*('Plan mensual'!D5+IF(parametros_carros!$H$26="Todos",'Plan mensual'!D9,0)))/60</f>
        <v>3.2605034669195</v>
      </c>
      <c r="C9" s="41" t="n">
        <f aca="false">(parametros_carros!$D$26*('Plan mensual'!E2+IF(parametros_carros!$H$26="Todos",'Plan mensual'!E6,0))+parametros_carros!$E$26*('Plan mensual'!E3+IF(parametros_carros!$H$26="Todos",'Plan mensual'!E7,0))+parametros_carros!$F$26*('Plan mensual'!E4+IF(parametros_carros!$H$26="Todos",'Plan mensual'!E8,0))+parametros_carros!$G$26*('Plan mensual'!E5+IF(parametros_carros!$H$26="Todos",'Plan mensual'!E9,0)))/60</f>
        <v>2.8769148237525</v>
      </c>
      <c r="D9" s="41" t="n">
        <f aca="false">(parametros_carros!$D$26*('Plan mensual'!F2+IF(parametros_carros!$H$26="Todos",'Plan mensual'!F6,0))+parametros_carros!$E$26*('Plan mensual'!F3+IF(parametros_carros!$H$26="Todos",'Plan mensual'!F7,0))+parametros_carros!$F$26*('Plan mensual'!F4+IF(parametros_carros!$H$26="Todos",'Plan mensual'!F8,0))+parametros_carros!$G$26*('Plan mensual'!F5+IF(parametros_carros!$H$26="Todos",'Plan mensual'!F9,0)))/60</f>
        <v>3.452297788503</v>
      </c>
      <c r="E9" s="41" t="n">
        <f aca="false">(parametros_carros!$D$26*('Plan mensual'!G2+IF(parametros_carros!$H$26="Todos",'Plan mensual'!G6,0))+parametros_carros!$E$26*('Plan mensual'!G3+IF(parametros_carros!$H$26="Todos",'Plan mensual'!G7,0))+parametros_carros!$F$26*('Plan mensual'!G4+IF(parametros_carros!$H$26="Todos",'Plan mensual'!G8,0))+parametros_carros!$G$26*('Plan mensual'!G5+IF(parametros_carros!$H$26="Todos",'Plan mensual'!G9,0)))/60</f>
        <v>3.452297788503</v>
      </c>
      <c r="F9" s="41" t="n">
        <f aca="false">(parametros_carros!$D$26*('Plan mensual'!H2+IF(parametros_carros!$H$26="Todos",'Plan mensual'!H6,0))+parametros_carros!$E$26*('Plan mensual'!H3+IF(parametros_carros!$H$26="Todos",'Plan mensual'!H7,0))+parametros_carros!$F$26*('Plan mensual'!H4+IF(parametros_carros!$H$26="Todos",'Plan mensual'!H8,0))+parametros_carros!$G$26*('Plan mensual'!H5+IF(parametros_carros!$H$26="Todos",'Plan mensual'!H9,0)))/60</f>
        <v>3.452297788503</v>
      </c>
      <c r="G9" s="41" t="n">
        <f aca="false">(parametros_carros!$D$26*('Plan mensual'!I2+IF(parametros_carros!$H$26="Todos",'Plan mensual'!I6,0))+parametros_carros!$E$26*('Plan mensual'!I3+IF(parametros_carros!$H$26="Todos",'Plan mensual'!I7,0))+parametros_carros!$F$26*('Plan mensual'!I4+IF(parametros_carros!$H$26="Todos",'Plan mensual'!I8,0))+parametros_carros!$G$26*('Plan mensual'!I5+IF(parametros_carros!$H$26="Todos",'Plan mensual'!I9,0)))/60</f>
        <v>3.068709145336</v>
      </c>
      <c r="H9" s="41" t="n">
        <f aca="false">(parametros_carros!$D$26*('Plan mensual'!J2+IF(parametros_carros!$H$26="Todos",'Plan mensual'!J6,0))+parametros_carros!$E$26*('Plan mensual'!J3+IF(parametros_carros!$H$26="Todos",'Plan mensual'!J7,0))+parametros_carros!$F$26*('Plan mensual'!J4+IF(parametros_carros!$H$26="Todos",'Plan mensual'!J8,0))+parametros_carros!$G$26*('Plan mensual'!J5+IF(parametros_carros!$H$26="Todos",'Plan mensual'!J9,0)))/60</f>
        <v>3.452297788503</v>
      </c>
      <c r="I9" s="41" t="n">
        <f aca="false">(parametros_carros!$D$26*('Plan mensual'!K2+IF(parametros_carros!$H$26="Todos",'Plan mensual'!K6,0))+parametros_carros!$E$26*('Plan mensual'!K3+IF(parametros_carros!$H$26="Todos",'Plan mensual'!K7,0))+parametros_carros!$F$26*('Plan mensual'!K4+IF(parametros_carros!$H$26="Todos",'Plan mensual'!K8,0))+parametros_carros!$G$26*('Plan mensual'!K5+IF(parametros_carros!$H$26="Todos",'Plan mensual'!K9,0)))/60</f>
        <v>3.452297788503</v>
      </c>
      <c r="J9" s="41" t="n">
        <f aca="false">(parametros_carros!$D$26*('Plan mensual'!L2+IF(parametros_carros!$H$26="Todos",'Plan mensual'!L6,0))+parametros_carros!$E$26*('Plan mensual'!L3+IF(parametros_carros!$H$26="Todos",'Plan mensual'!L7,0))+parametros_carros!$F$26*('Plan mensual'!L4+IF(parametros_carros!$H$26="Todos",'Plan mensual'!L8,0))+parametros_carros!$G$26*('Plan mensual'!L5+IF(parametros_carros!$H$26="Todos",'Plan mensual'!L9,0)))/60</f>
        <v>3.2605034669195</v>
      </c>
      <c r="K9" s="41" t="n">
        <f aca="false">(parametros_carros!$D$26*('Plan mensual'!M2+IF(parametros_carros!$H$26="Todos",'Plan mensual'!M6,0))+parametros_carros!$E$26*('Plan mensual'!M3+IF(parametros_carros!$H$26="Todos",'Plan mensual'!M7,0))+parametros_carros!$F$26*('Plan mensual'!M4+IF(parametros_carros!$H$26="Todos",'Plan mensual'!M8,0))+parametros_carros!$G$26*('Plan mensual'!M5+IF(parametros_carros!$H$26="Todos",'Plan mensual'!M9,0)))/60</f>
        <v>2.8769148237525</v>
      </c>
      <c r="L9" s="41" t="n">
        <f aca="false">(parametros_carros!$D$26*('Plan mensual'!N2+IF(parametros_carros!$H$26="Todos",'Plan mensual'!N6,0))+parametros_carros!$E$26*('Plan mensual'!N3+IF(parametros_carros!$H$26="Todos",'Plan mensual'!N7,0))+parametros_carros!$F$26*('Plan mensual'!N4+IF(parametros_carros!$H$26="Todos",'Plan mensual'!N8,0))+parametros_carros!$G$26*('Plan mensual'!N5+IF(parametros_carros!$H$26="Todos",'Plan mensual'!N9,0)))/60</f>
        <v>2.685120502169</v>
      </c>
      <c r="M9" s="41" t="n">
        <f aca="false">(parametros_carros!$D$26*('Plan mensual'!O2+IF(parametros_carros!$H$26="Todos",'Plan mensual'!O6,0))+parametros_carros!$E$26*('Plan mensual'!O3+IF(parametros_carros!$H$26="Todos",'Plan mensual'!O7,0))+parametros_carros!$F$26*('Plan mensual'!O4+IF(parametros_carros!$H$26="Todos",'Plan mensual'!O8,0))+parametros_carros!$G$26*('Plan mensual'!O5+IF(parametros_carros!$H$26="Todos",'Plan mensual'!O9,0)))/60</f>
        <v>3.068709145336</v>
      </c>
      <c r="N9" s="41" t="n">
        <f aca="false">SUM(B9:M9)</f>
        <v>38.3588643167</v>
      </c>
      <c r="O9" s="41" t="n">
        <f aca="false">MAX(B9:M9)</f>
        <v>3.452297788503</v>
      </c>
      <c r="P9" s="45" t="n">
        <f aca="false">IF(parametros_carros!$B$7=0,0,(O9+parametros_carros!$G$52)/parametros_carros!$B$7)</f>
        <v>0.04301531859002</v>
      </c>
      <c r="Q9" s="29" t="str">
        <f aca="false">IF(O9=0,"-",INDEX($B$1:$M$1,MATCH(O9,B9:M9,0)))</f>
        <v>Mar</v>
      </c>
    </row>
    <row r="10" customFormat="false" ht="14.25" hidden="false" customHeight="true" outlineLevel="0" collapsed="false">
      <c r="A10" s="12" t="str">
        <f aca="false">parametros_carros!$B$27</f>
        <v>Soldadura de accesorios</v>
      </c>
      <c r="B10" s="41" t="n">
        <f aca="false">(parametros_carros!$D$27*('Plan mensual'!D2+IF(parametros_carros!$H$27="Todos",'Plan mensual'!D6,0))+parametros_carros!$E$27*('Plan mensual'!D3+IF(parametros_carros!$H$27="Todos",'Plan mensual'!D7,0))+parametros_carros!$F$27*('Plan mensual'!D4+IF(parametros_carros!$H$27="Todos",'Plan mensual'!D8,0))+parametros_carros!$G$27*('Plan mensual'!D5+IF(parametros_carros!$H$27="Todos",'Plan mensual'!D9,0)))/60</f>
        <v>3.31329151223433</v>
      </c>
      <c r="C10" s="41" t="n">
        <f aca="false">(parametros_carros!$D$27*('Plan mensual'!E2+IF(parametros_carros!$H$27="Todos",'Plan mensual'!E6,0))+parametros_carros!$E$27*('Plan mensual'!E3+IF(parametros_carros!$H$27="Todos",'Plan mensual'!E7,0))+parametros_carros!$F$27*('Plan mensual'!E4+IF(parametros_carros!$H$27="Todos",'Plan mensual'!E8,0))+parametros_carros!$G$27*('Plan mensual'!E5+IF(parametros_carros!$H$27="Todos",'Plan mensual'!E9,0)))/60</f>
        <v>2.923492510795</v>
      </c>
      <c r="D10" s="41" t="n">
        <f aca="false">(parametros_carros!$D$27*('Plan mensual'!F2+IF(parametros_carros!$H$27="Todos",'Plan mensual'!F6,0))+parametros_carros!$E$27*('Plan mensual'!F3+IF(parametros_carros!$H$27="Todos",'Plan mensual'!F7,0))+parametros_carros!$F$27*('Plan mensual'!F4+IF(parametros_carros!$H$27="Todos",'Plan mensual'!F8,0))+parametros_carros!$G$27*('Plan mensual'!F5+IF(parametros_carros!$H$27="Todos",'Plan mensual'!F9,0)))/60</f>
        <v>3.508191012954</v>
      </c>
      <c r="E10" s="41" t="n">
        <f aca="false">(parametros_carros!$D$27*('Plan mensual'!G2+IF(parametros_carros!$H$27="Todos",'Plan mensual'!G6,0))+parametros_carros!$E$27*('Plan mensual'!G3+IF(parametros_carros!$H$27="Todos",'Plan mensual'!G7,0))+parametros_carros!$F$27*('Plan mensual'!G4+IF(parametros_carros!$H$27="Todos",'Plan mensual'!G8,0))+parametros_carros!$G$27*('Plan mensual'!G5+IF(parametros_carros!$H$27="Todos",'Plan mensual'!G9,0)))/60</f>
        <v>3.508191012954</v>
      </c>
      <c r="F10" s="41" t="n">
        <f aca="false">(parametros_carros!$D$27*('Plan mensual'!H2+IF(parametros_carros!$H$27="Todos",'Plan mensual'!H6,0))+parametros_carros!$E$27*('Plan mensual'!H3+IF(parametros_carros!$H$27="Todos",'Plan mensual'!H7,0))+parametros_carros!$F$27*('Plan mensual'!H4+IF(parametros_carros!$H$27="Todos",'Plan mensual'!H8,0))+parametros_carros!$G$27*('Plan mensual'!H5+IF(parametros_carros!$H$27="Todos",'Plan mensual'!H9,0)))/60</f>
        <v>3.508191012954</v>
      </c>
      <c r="G10" s="41" t="n">
        <f aca="false">(parametros_carros!$D$27*('Plan mensual'!I2+IF(parametros_carros!$H$27="Todos",'Plan mensual'!I6,0))+parametros_carros!$E$27*('Plan mensual'!I3+IF(parametros_carros!$H$27="Todos",'Plan mensual'!I7,0))+parametros_carros!$F$27*('Plan mensual'!I4+IF(parametros_carros!$H$27="Todos",'Plan mensual'!I8,0))+parametros_carros!$G$27*('Plan mensual'!I5+IF(parametros_carros!$H$27="Todos",'Plan mensual'!I9,0)))/60</f>
        <v>3.11839201151467</v>
      </c>
      <c r="H10" s="41" t="n">
        <f aca="false">(parametros_carros!$D$27*('Plan mensual'!J2+IF(parametros_carros!$H$27="Todos",'Plan mensual'!J6,0))+parametros_carros!$E$27*('Plan mensual'!J3+IF(parametros_carros!$H$27="Todos",'Plan mensual'!J7,0))+parametros_carros!$F$27*('Plan mensual'!J4+IF(parametros_carros!$H$27="Todos",'Plan mensual'!J8,0))+parametros_carros!$G$27*('Plan mensual'!J5+IF(parametros_carros!$H$27="Todos",'Plan mensual'!J9,0)))/60</f>
        <v>3.508191012954</v>
      </c>
      <c r="I10" s="41" t="n">
        <f aca="false">(parametros_carros!$D$27*('Plan mensual'!K2+IF(parametros_carros!$H$27="Todos",'Plan mensual'!K6,0))+parametros_carros!$E$27*('Plan mensual'!K3+IF(parametros_carros!$H$27="Todos",'Plan mensual'!K7,0))+parametros_carros!$F$27*('Plan mensual'!K4+IF(parametros_carros!$H$27="Todos",'Plan mensual'!K8,0))+parametros_carros!$G$27*('Plan mensual'!K5+IF(parametros_carros!$H$27="Todos",'Plan mensual'!K9,0)))/60</f>
        <v>3.508191012954</v>
      </c>
      <c r="J10" s="41" t="n">
        <f aca="false">(parametros_carros!$D$27*('Plan mensual'!L2+IF(parametros_carros!$H$27="Todos",'Plan mensual'!L6,0))+parametros_carros!$E$27*('Plan mensual'!L3+IF(parametros_carros!$H$27="Todos",'Plan mensual'!L7,0))+parametros_carros!$F$27*('Plan mensual'!L4+IF(parametros_carros!$H$27="Todos",'Plan mensual'!L8,0))+parametros_carros!$G$27*('Plan mensual'!L5+IF(parametros_carros!$H$27="Todos",'Plan mensual'!L9,0)))/60</f>
        <v>3.31329151223433</v>
      </c>
      <c r="K10" s="41" t="n">
        <f aca="false">(parametros_carros!$D$27*('Plan mensual'!M2+IF(parametros_carros!$H$27="Todos",'Plan mensual'!M6,0))+parametros_carros!$E$27*('Plan mensual'!M3+IF(parametros_carros!$H$27="Todos",'Plan mensual'!M7,0))+parametros_carros!$F$27*('Plan mensual'!M4+IF(parametros_carros!$H$27="Todos",'Plan mensual'!M8,0))+parametros_carros!$G$27*('Plan mensual'!M5+IF(parametros_carros!$H$27="Todos",'Plan mensual'!M9,0)))/60</f>
        <v>2.923492510795</v>
      </c>
      <c r="L10" s="41" t="n">
        <f aca="false">(parametros_carros!$D$27*('Plan mensual'!N2+IF(parametros_carros!$H$27="Todos",'Plan mensual'!N6,0))+parametros_carros!$E$27*('Plan mensual'!N3+IF(parametros_carros!$H$27="Todos",'Plan mensual'!N7,0))+parametros_carros!$F$27*('Plan mensual'!N4+IF(parametros_carros!$H$27="Todos",'Plan mensual'!N8,0))+parametros_carros!$G$27*('Plan mensual'!N5+IF(parametros_carros!$H$27="Todos",'Plan mensual'!N9,0)))/60</f>
        <v>2.72859301007533</v>
      </c>
      <c r="M10" s="41" t="n">
        <f aca="false">(parametros_carros!$D$27*('Plan mensual'!O2+IF(parametros_carros!$H$27="Todos",'Plan mensual'!O6,0))+parametros_carros!$E$27*('Plan mensual'!O3+IF(parametros_carros!$H$27="Todos",'Plan mensual'!O7,0))+parametros_carros!$F$27*('Plan mensual'!O4+IF(parametros_carros!$H$27="Todos",'Plan mensual'!O8,0))+parametros_carros!$G$27*('Plan mensual'!O5+IF(parametros_carros!$H$27="Todos",'Plan mensual'!O9,0)))/60</f>
        <v>3.11839201151467</v>
      </c>
      <c r="N10" s="41" t="n">
        <f aca="false">SUM(B10:M10)</f>
        <v>38.9799001439333</v>
      </c>
      <c r="O10" s="41" t="n">
        <f aca="false">MAX(B10:M10)</f>
        <v>3.508191012954</v>
      </c>
      <c r="P10" s="45" t="n">
        <f aca="false">IF(parametros_carros!$B$7=0,0,(O10+parametros_carros!$G$53)/parametros_carros!$B$7)</f>
        <v>0.04338794008636</v>
      </c>
      <c r="Q10" s="29" t="str">
        <f aca="false">IF(O10=0,"-",INDEX($B$1:$M$1,MATCH(O10,B10:M10,0)))</f>
        <v>Mar</v>
      </c>
    </row>
    <row r="11" customFormat="false" ht="14.25" hidden="false" customHeight="true" outlineLevel="0" collapsed="false">
      <c r="A11" s="12" t="str">
        <f aca="false">parametros_carros!$B$28</f>
        <v>Fabricación de accesorios</v>
      </c>
      <c r="B11" s="41" t="n">
        <f aca="false">(parametros_carros!$D$28*('Plan mensual'!D2+IF(parametros_carros!$H$28="Todos",'Plan mensual'!D6,0))+parametros_carros!$E$28*('Plan mensual'!D3+IF(parametros_carros!$H$28="Todos",'Plan mensual'!D7,0))+parametros_carros!$F$28*('Plan mensual'!D4+IF(parametros_carros!$H$28="Todos",'Plan mensual'!D8,0))+parametros_carros!$G$28*('Plan mensual'!D5+IF(parametros_carros!$H$28="Todos",'Plan mensual'!D9,0)))/60</f>
        <v>2.2472283282625</v>
      </c>
      <c r="C11" s="41" t="n">
        <f aca="false">(parametros_carros!$D$28*('Plan mensual'!E2+IF(parametros_carros!$H$28="Todos",'Plan mensual'!E6,0))+parametros_carros!$E$28*('Plan mensual'!E3+IF(parametros_carros!$H$28="Todos",'Plan mensual'!E7,0))+parametros_carros!$F$28*('Plan mensual'!E4+IF(parametros_carros!$H$28="Todos",'Plan mensual'!E8,0))+parametros_carros!$G$28*('Plan mensual'!E5+IF(parametros_carros!$H$28="Todos",'Plan mensual'!E9,0)))/60</f>
        <v>1.9828485249375</v>
      </c>
      <c r="D11" s="41" t="n">
        <f aca="false">(parametros_carros!$D$28*('Plan mensual'!F2+IF(parametros_carros!$H$28="Todos",'Plan mensual'!F6,0))+parametros_carros!$E$28*('Plan mensual'!F3+IF(parametros_carros!$H$28="Todos",'Plan mensual'!F7,0))+parametros_carros!$F$28*('Plan mensual'!F4+IF(parametros_carros!$H$28="Todos",'Plan mensual'!F8,0))+parametros_carros!$G$28*('Plan mensual'!F5+IF(parametros_carros!$H$28="Todos",'Plan mensual'!F9,0)))/60</f>
        <v>2.379418229925</v>
      </c>
      <c r="E11" s="41" t="n">
        <f aca="false">(parametros_carros!$D$28*('Plan mensual'!G2+IF(parametros_carros!$H$28="Todos",'Plan mensual'!G6,0))+parametros_carros!$E$28*('Plan mensual'!G3+IF(parametros_carros!$H$28="Todos",'Plan mensual'!G7,0))+parametros_carros!$F$28*('Plan mensual'!G4+IF(parametros_carros!$H$28="Todos",'Plan mensual'!G8,0))+parametros_carros!$G$28*('Plan mensual'!G5+IF(parametros_carros!$H$28="Todos",'Plan mensual'!G9,0)))/60</f>
        <v>2.379418229925</v>
      </c>
      <c r="F11" s="41" t="n">
        <f aca="false">(parametros_carros!$D$28*('Plan mensual'!H2+IF(parametros_carros!$H$28="Todos",'Plan mensual'!H6,0))+parametros_carros!$E$28*('Plan mensual'!H3+IF(parametros_carros!$H$28="Todos",'Plan mensual'!H7,0))+parametros_carros!$F$28*('Plan mensual'!H4+IF(parametros_carros!$H$28="Todos",'Plan mensual'!H8,0))+parametros_carros!$G$28*('Plan mensual'!H5+IF(parametros_carros!$H$28="Todos",'Plan mensual'!H9,0)))/60</f>
        <v>2.379418229925</v>
      </c>
      <c r="G11" s="41" t="n">
        <f aca="false">(parametros_carros!$D$28*('Plan mensual'!I2+IF(parametros_carros!$H$28="Todos",'Plan mensual'!I6,0))+parametros_carros!$E$28*('Plan mensual'!I3+IF(parametros_carros!$H$28="Todos",'Plan mensual'!I7,0))+parametros_carros!$F$28*('Plan mensual'!I4+IF(parametros_carros!$H$28="Todos",'Plan mensual'!I8,0))+parametros_carros!$G$28*('Plan mensual'!I5+IF(parametros_carros!$H$28="Todos",'Plan mensual'!I9,0)))/60</f>
        <v>2.1150384266</v>
      </c>
      <c r="H11" s="41" t="n">
        <f aca="false">(parametros_carros!$D$28*('Plan mensual'!J2+IF(parametros_carros!$H$28="Todos",'Plan mensual'!J6,0))+parametros_carros!$E$28*('Plan mensual'!J3+IF(parametros_carros!$H$28="Todos",'Plan mensual'!J7,0))+parametros_carros!$F$28*('Plan mensual'!J4+IF(parametros_carros!$H$28="Todos",'Plan mensual'!J8,0))+parametros_carros!$G$28*('Plan mensual'!J5+IF(parametros_carros!$H$28="Todos",'Plan mensual'!J9,0)))/60</f>
        <v>2.379418229925</v>
      </c>
      <c r="I11" s="41" t="n">
        <f aca="false">(parametros_carros!$D$28*('Plan mensual'!K2+IF(parametros_carros!$H$28="Todos",'Plan mensual'!K6,0))+parametros_carros!$E$28*('Plan mensual'!K3+IF(parametros_carros!$H$28="Todos",'Plan mensual'!K7,0))+parametros_carros!$F$28*('Plan mensual'!K4+IF(parametros_carros!$H$28="Todos",'Plan mensual'!K8,0))+parametros_carros!$G$28*('Plan mensual'!K5+IF(parametros_carros!$H$28="Todos",'Plan mensual'!K9,0)))/60</f>
        <v>2.379418229925</v>
      </c>
      <c r="J11" s="41" t="n">
        <f aca="false">(parametros_carros!$D$28*('Plan mensual'!L2+IF(parametros_carros!$H$28="Todos",'Plan mensual'!L6,0))+parametros_carros!$E$28*('Plan mensual'!L3+IF(parametros_carros!$H$28="Todos",'Plan mensual'!L7,0))+parametros_carros!$F$28*('Plan mensual'!L4+IF(parametros_carros!$H$28="Todos",'Plan mensual'!L8,0))+parametros_carros!$G$28*('Plan mensual'!L5+IF(parametros_carros!$H$28="Todos",'Plan mensual'!L9,0)))/60</f>
        <v>2.2472283282625</v>
      </c>
      <c r="K11" s="41" t="n">
        <f aca="false">(parametros_carros!$D$28*('Plan mensual'!M2+IF(parametros_carros!$H$28="Todos",'Plan mensual'!M6,0))+parametros_carros!$E$28*('Plan mensual'!M3+IF(parametros_carros!$H$28="Todos",'Plan mensual'!M7,0))+parametros_carros!$F$28*('Plan mensual'!M4+IF(parametros_carros!$H$28="Todos",'Plan mensual'!M8,0))+parametros_carros!$G$28*('Plan mensual'!M5+IF(parametros_carros!$H$28="Todos",'Plan mensual'!M9,0)))/60</f>
        <v>1.9828485249375</v>
      </c>
      <c r="L11" s="41" t="n">
        <f aca="false">(parametros_carros!$D$28*('Plan mensual'!N2+IF(parametros_carros!$H$28="Todos",'Plan mensual'!N6,0))+parametros_carros!$E$28*('Plan mensual'!N3+IF(parametros_carros!$H$28="Todos",'Plan mensual'!N7,0))+parametros_carros!$F$28*('Plan mensual'!N4+IF(parametros_carros!$H$28="Todos",'Plan mensual'!N8,0))+parametros_carros!$G$28*('Plan mensual'!N5+IF(parametros_carros!$H$28="Todos",'Plan mensual'!N9,0)))/60</f>
        <v>1.850658623275</v>
      </c>
      <c r="M11" s="41" t="n">
        <f aca="false">(parametros_carros!$D$28*('Plan mensual'!O2+IF(parametros_carros!$H$28="Todos",'Plan mensual'!O6,0))+parametros_carros!$E$28*('Plan mensual'!O3+IF(parametros_carros!$H$28="Todos",'Plan mensual'!O7,0))+parametros_carros!$F$28*('Plan mensual'!O4+IF(parametros_carros!$H$28="Todos",'Plan mensual'!O8,0))+parametros_carros!$G$28*('Plan mensual'!O5+IF(parametros_carros!$H$28="Todos",'Plan mensual'!O9,0)))/60</f>
        <v>2.1150384266</v>
      </c>
      <c r="N11" s="41" t="n">
        <f aca="false">SUM(B11:M11)</f>
        <v>26.4379803325</v>
      </c>
      <c r="O11" s="41" t="n">
        <f aca="false">MAX(B11:M11)</f>
        <v>2.379418229925</v>
      </c>
      <c r="P11" s="45" t="n">
        <f aca="false">IF(parametros_carros!$B$7=0,0,(O11+parametros_carros!$G$54)/parametros_carros!$B$7)</f>
        <v>0.0491961215328333</v>
      </c>
      <c r="Q11" s="29" t="str">
        <f aca="false">IF(O11=0,"-",INDEX($B$1:$M$1,MATCH(O11,B11:M11,0)))</f>
        <v>Mar</v>
      </c>
    </row>
    <row r="12" customFormat="false" ht="14.25" hidden="false" customHeight="true" outlineLevel="0" collapsed="false">
      <c r="A12" s="12" t="str">
        <f aca="false">parametros_carros!$B$29</f>
        <v>Prueba hidráulica</v>
      </c>
      <c r="B12" s="41" t="n">
        <f aca="false">(parametros_carros!$D$29*('Plan mensual'!D2+IF(parametros_carros!$H$29="Todos",'Plan mensual'!D6,0))+parametros_carros!$E$29*('Plan mensual'!D3+IF(parametros_carros!$H$29="Todos",'Plan mensual'!D7,0))+parametros_carros!$F$29*('Plan mensual'!D4+IF(parametros_carros!$H$29="Todos",'Plan mensual'!D8,0))+parametros_carros!$G$29*('Plan mensual'!D5+IF(parametros_carros!$H$29="Todos",'Plan mensual'!D9,0)))/60</f>
        <v>1.83455548980258</v>
      </c>
      <c r="C12" s="41" t="n">
        <f aca="false">(parametros_carros!$D$29*('Plan mensual'!E2+IF(parametros_carros!$H$29="Todos",'Plan mensual'!E6,0))+parametros_carros!$E$29*('Plan mensual'!E3+IF(parametros_carros!$H$29="Todos",'Plan mensual'!E7,0))+parametros_carros!$F$29*('Plan mensual'!E4+IF(parametros_carros!$H$29="Todos",'Plan mensual'!E8,0))+parametros_carros!$G$29*('Plan mensual'!E5+IF(parametros_carros!$H$29="Todos",'Plan mensual'!E9,0)))/60</f>
        <v>1.61872543217875</v>
      </c>
      <c r="D12" s="41" t="n">
        <f aca="false">(parametros_carros!$D$29*('Plan mensual'!F2+IF(parametros_carros!$H$29="Todos",'Plan mensual'!F6,0))+parametros_carros!$E$29*('Plan mensual'!F3+IF(parametros_carros!$H$29="Todos",'Plan mensual'!F7,0))+parametros_carros!$F$29*('Plan mensual'!F4+IF(parametros_carros!$H$29="Todos",'Plan mensual'!F8,0))+parametros_carros!$G$29*('Plan mensual'!F5+IF(parametros_carros!$H$29="Todos",'Plan mensual'!F9,0)))/60</f>
        <v>1.9424705186145</v>
      </c>
      <c r="E12" s="41" t="n">
        <f aca="false">(parametros_carros!$D$29*('Plan mensual'!G2+IF(parametros_carros!$H$29="Todos",'Plan mensual'!G6,0))+parametros_carros!$E$29*('Plan mensual'!G3+IF(parametros_carros!$H$29="Todos",'Plan mensual'!G7,0))+parametros_carros!$F$29*('Plan mensual'!G4+IF(parametros_carros!$H$29="Todos",'Plan mensual'!G8,0))+parametros_carros!$G$29*('Plan mensual'!G5+IF(parametros_carros!$H$29="Todos",'Plan mensual'!G9,0)))/60</f>
        <v>1.9424705186145</v>
      </c>
      <c r="F12" s="41" t="n">
        <f aca="false">(parametros_carros!$D$29*('Plan mensual'!H2+IF(parametros_carros!$H$29="Todos",'Plan mensual'!H6,0))+parametros_carros!$E$29*('Plan mensual'!H3+IF(parametros_carros!$H$29="Todos",'Plan mensual'!H7,0))+parametros_carros!$F$29*('Plan mensual'!H4+IF(parametros_carros!$H$29="Todos",'Plan mensual'!H8,0))+parametros_carros!$G$29*('Plan mensual'!H5+IF(parametros_carros!$H$29="Todos",'Plan mensual'!H9,0)))/60</f>
        <v>1.9424705186145</v>
      </c>
      <c r="G12" s="41" t="n">
        <f aca="false">(parametros_carros!$D$29*('Plan mensual'!I2+IF(parametros_carros!$H$29="Todos",'Plan mensual'!I6,0))+parametros_carros!$E$29*('Plan mensual'!I3+IF(parametros_carros!$H$29="Todos",'Plan mensual'!I7,0))+parametros_carros!$F$29*('Plan mensual'!I4+IF(parametros_carros!$H$29="Todos",'Plan mensual'!I8,0))+parametros_carros!$G$29*('Plan mensual'!I5+IF(parametros_carros!$H$29="Todos",'Plan mensual'!I9,0)))/60</f>
        <v>1.72664046099067</v>
      </c>
      <c r="H12" s="41" t="n">
        <f aca="false">(parametros_carros!$D$29*('Plan mensual'!J2+IF(parametros_carros!$H$29="Todos",'Plan mensual'!J6,0))+parametros_carros!$E$29*('Plan mensual'!J3+IF(parametros_carros!$H$29="Todos",'Plan mensual'!J7,0))+parametros_carros!$F$29*('Plan mensual'!J4+IF(parametros_carros!$H$29="Todos",'Plan mensual'!J8,0))+parametros_carros!$G$29*('Plan mensual'!J5+IF(parametros_carros!$H$29="Todos",'Plan mensual'!J9,0)))/60</f>
        <v>1.9424705186145</v>
      </c>
      <c r="I12" s="41" t="n">
        <f aca="false">(parametros_carros!$D$29*('Plan mensual'!K2+IF(parametros_carros!$H$29="Todos",'Plan mensual'!K6,0))+parametros_carros!$E$29*('Plan mensual'!K3+IF(parametros_carros!$H$29="Todos",'Plan mensual'!K7,0))+parametros_carros!$F$29*('Plan mensual'!K4+IF(parametros_carros!$H$29="Todos",'Plan mensual'!K8,0))+parametros_carros!$G$29*('Plan mensual'!K5+IF(parametros_carros!$H$29="Todos",'Plan mensual'!K9,0)))/60</f>
        <v>1.9424705186145</v>
      </c>
      <c r="J12" s="41" t="n">
        <f aca="false">(parametros_carros!$D$29*('Plan mensual'!L2+IF(parametros_carros!$H$29="Todos",'Plan mensual'!L6,0))+parametros_carros!$E$29*('Plan mensual'!L3+IF(parametros_carros!$H$29="Todos",'Plan mensual'!L7,0))+parametros_carros!$F$29*('Plan mensual'!L4+IF(parametros_carros!$H$29="Todos",'Plan mensual'!L8,0))+parametros_carros!$G$29*('Plan mensual'!L5+IF(parametros_carros!$H$29="Todos",'Plan mensual'!L9,0)))/60</f>
        <v>1.83455548980258</v>
      </c>
      <c r="K12" s="41" t="n">
        <f aca="false">(parametros_carros!$D$29*('Plan mensual'!M2+IF(parametros_carros!$H$29="Todos",'Plan mensual'!M6,0))+parametros_carros!$E$29*('Plan mensual'!M3+IF(parametros_carros!$H$29="Todos",'Plan mensual'!M7,0))+parametros_carros!$F$29*('Plan mensual'!M4+IF(parametros_carros!$H$29="Todos",'Plan mensual'!M8,0))+parametros_carros!$G$29*('Plan mensual'!M5+IF(parametros_carros!$H$29="Todos",'Plan mensual'!M9,0)))/60</f>
        <v>1.61872543217875</v>
      </c>
      <c r="L12" s="41" t="n">
        <f aca="false">(parametros_carros!$D$29*('Plan mensual'!N2+IF(parametros_carros!$H$29="Todos",'Plan mensual'!N6,0))+parametros_carros!$E$29*('Plan mensual'!N3+IF(parametros_carros!$H$29="Todos",'Plan mensual'!N7,0))+parametros_carros!$F$29*('Plan mensual'!N4+IF(parametros_carros!$H$29="Todos",'Plan mensual'!N8,0))+parametros_carros!$G$29*('Plan mensual'!N5+IF(parametros_carros!$H$29="Todos",'Plan mensual'!N9,0)))/60</f>
        <v>1.51081040336683</v>
      </c>
      <c r="M12" s="41" t="n">
        <f aca="false">(parametros_carros!$D$29*('Plan mensual'!O2+IF(parametros_carros!$H$29="Todos",'Plan mensual'!O6,0))+parametros_carros!$E$29*('Plan mensual'!O3+IF(parametros_carros!$H$29="Todos",'Plan mensual'!O7,0))+parametros_carros!$F$29*('Plan mensual'!O4+IF(parametros_carros!$H$29="Todos",'Plan mensual'!O8,0))+parametros_carros!$G$29*('Plan mensual'!O5+IF(parametros_carros!$H$29="Todos",'Plan mensual'!O9,0)))/60</f>
        <v>1.72664046099067</v>
      </c>
      <c r="N12" s="41" t="n">
        <f aca="false">SUM(B12:M12)</f>
        <v>21.5830057623833</v>
      </c>
      <c r="O12" s="41" t="n">
        <f aca="false">MAX(B12:M12)</f>
        <v>1.9424705186145</v>
      </c>
      <c r="P12" s="45" t="n">
        <f aca="false">IF(parametros_carros!$B$7=0,0,(O12+parametros_carros!$G$55)/parametros_carros!$B$7)</f>
        <v>0.0351720256796522</v>
      </c>
      <c r="Q12" s="29" t="str">
        <f aca="false">IF(O12=0,"-",INDEX($B$1:$M$1,MATCH(O12,B12:M12,0)))</f>
        <v>Mar</v>
      </c>
    </row>
    <row r="13" customFormat="false" ht="14.25" hidden="false" customHeight="true" outlineLevel="0" collapsed="false">
      <c r="A13" s="12" t="str">
        <f aca="false">parametros_carros!$B$30</f>
        <v>Secado</v>
      </c>
      <c r="B13" s="41" t="n">
        <f aca="false">(parametros_carros!$D$30*('Plan mensual'!D2+IF(parametros_carros!$H$30="Todos",'Plan mensual'!D6,0))+parametros_carros!$E$30*('Plan mensual'!D3+IF(parametros_carros!$H$30="Todos",'Plan mensual'!D7,0))+parametros_carros!$F$30*('Plan mensual'!D4+IF(parametros_carros!$H$30="Todos",'Plan mensual'!D8,0))+parametros_carros!$G$30*('Plan mensual'!D5+IF(parametros_carros!$H$30="Todos",'Plan mensual'!D9,0)))/60</f>
        <v>2.06584578629</v>
      </c>
      <c r="C13" s="41" t="n">
        <f aca="false">(parametros_carros!$D$30*('Plan mensual'!E2+IF(parametros_carros!$H$30="Todos",'Plan mensual'!E6,0))+parametros_carros!$E$30*('Plan mensual'!E3+IF(parametros_carros!$H$30="Todos",'Plan mensual'!E7,0))+parametros_carros!$F$30*('Plan mensual'!E4+IF(parametros_carros!$H$30="Todos",'Plan mensual'!E8,0))+parametros_carros!$G$30*('Plan mensual'!E5+IF(parametros_carros!$H$30="Todos",'Plan mensual'!E9,0)))/60</f>
        <v>1.82280510555</v>
      </c>
      <c r="D13" s="41" t="n">
        <f aca="false">(parametros_carros!$D$30*('Plan mensual'!F2+IF(parametros_carros!$H$30="Todos",'Plan mensual'!F6,0))+parametros_carros!$E$30*('Plan mensual'!F3+IF(parametros_carros!$H$30="Todos",'Plan mensual'!F7,0))+parametros_carros!$F$30*('Plan mensual'!F4+IF(parametros_carros!$H$30="Todos",'Plan mensual'!F8,0))+parametros_carros!$G$30*('Plan mensual'!F5+IF(parametros_carros!$H$30="Todos",'Plan mensual'!F9,0)))/60</f>
        <v>2.18736612666</v>
      </c>
      <c r="E13" s="41" t="n">
        <f aca="false">(parametros_carros!$D$30*('Plan mensual'!G2+IF(parametros_carros!$H$30="Todos",'Plan mensual'!G6,0))+parametros_carros!$E$30*('Plan mensual'!G3+IF(parametros_carros!$H$30="Todos",'Plan mensual'!G7,0))+parametros_carros!$F$30*('Plan mensual'!G4+IF(parametros_carros!$H$30="Todos",'Plan mensual'!G8,0))+parametros_carros!$G$30*('Plan mensual'!G5+IF(parametros_carros!$H$30="Todos",'Plan mensual'!G9,0)))/60</f>
        <v>2.18736612666</v>
      </c>
      <c r="F13" s="41" t="n">
        <f aca="false">(parametros_carros!$D$30*('Plan mensual'!H2+IF(parametros_carros!$H$30="Todos",'Plan mensual'!H6,0))+parametros_carros!$E$30*('Plan mensual'!H3+IF(parametros_carros!$H$30="Todos",'Plan mensual'!H7,0))+parametros_carros!$F$30*('Plan mensual'!H4+IF(parametros_carros!$H$30="Todos",'Plan mensual'!H8,0))+parametros_carros!$G$30*('Plan mensual'!H5+IF(parametros_carros!$H$30="Todos",'Plan mensual'!H9,0)))/60</f>
        <v>2.18736612666</v>
      </c>
      <c r="G13" s="41" t="n">
        <f aca="false">(parametros_carros!$D$30*('Plan mensual'!I2+IF(parametros_carros!$H$30="Todos",'Plan mensual'!I6,0))+parametros_carros!$E$30*('Plan mensual'!I3+IF(parametros_carros!$H$30="Todos",'Plan mensual'!I7,0))+parametros_carros!$F$30*('Plan mensual'!I4+IF(parametros_carros!$H$30="Todos",'Plan mensual'!I8,0))+parametros_carros!$G$30*('Plan mensual'!I5+IF(parametros_carros!$H$30="Todos",'Plan mensual'!I9,0)))/60</f>
        <v>1.94432544592</v>
      </c>
      <c r="H13" s="41" t="n">
        <f aca="false">(parametros_carros!$D$30*('Plan mensual'!J2+IF(parametros_carros!$H$30="Todos",'Plan mensual'!J6,0))+parametros_carros!$E$30*('Plan mensual'!J3+IF(parametros_carros!$H$30="Todos",'Plan mensual'!J7,0))+parametros_carros!$F$30*('Plan mensual'!J4+IF(parametros_carros!$H$30="Todos",'Plan mensual'!J8,0))+parametros_carros!$G$30*('Plan mensual'!J5+IF(parametros_carros!$H$30="Todos",'Plan mensual'!J9,0)))/60</f>
        <v>2.18736612666</v>
      </c>
      <c r="I13" s="41" t="n">
        <f aca="false">(parametros_carros!$D$30*('Plan mensual'!K2+IF(parametros_carros!$H$30="Todos",'Plan mensual'!K6,0))+parametros_carros!$E$30*('Plan mensual'!K3+IF(parametros_carros!$H$30="Todos",'Plan mensual'!K7,0))+parametros_carros!$F$30*('Plan mensual'!K4+IF(parametros_carros!$H$30="Todos",'Plan mensual'!K8,0))+parametros_carros!$G$30*('Plan mensual'!K5+IF(parametros_carros!$H$30="Todos",'Plan mensual'!K9,0)))/60</f>
        <v>2.18736612666</v>
      </c>
      <c r="J13" s="41" t="n">
        <f aca="false">(parametros_carros!$D$30*('Plan mensual'!L2+IF(parametros_carros!$H$30="Todos",'Plan mensual'!L6,0))+parametros_carros!$E$30*('Plan mensual'!L3+IF(parametros_carros!$H$30="Todos",'Plan mensual'!L7,0))+parametros_carros!$F$30*('Plan mensual'!L4+IF(parametros_carros!$H$30="Todos",'Plan mensual'!L8,0))+parametros_carros!$G$30*('Plan mensual'!L5+IF(parametros_carros!$H$30="Todos",'Plan mensual'!L9,0)))/60</f>
        <v>2.06584578629</v>
      </c>
      <c r="K13" s="41" t="n">
        <f aca="false">(parametros_carros!$D$30*('Plan mensual'!M2+IF(parametros_carros!$H$30="Todos",'Plan mensual'!M6,0))+parametros_carros!$E$30*('Plan mensual'!M3+IF(parametros_carros!$H$30="Todos",'Plan mensual'!M7,0))+parametros_carros!$F$30*('Plan mensual'!M4+IF(parametros_carros!$H$30="Todos",'Plan mensual'!M8,0))+parametros_carros!$G$30*('Plan mensual'!M5+IF(parametros_carros!$H$30="Todos",'Plan mensual'!M9,0)))/60</f>
        <v>1.82280510555</v>
      </c>
      <c r="L13" s="41" t="n">
        <f aca="false">(parametros_carros!$D$30*('Plan mensual'!N2+IF(parametros_carros!$H$30="Todos",'Plan mensual'!N6,0))+parametros_carros!$E$30*('Plan mensual'!N3+IF(parametros_carros!$H$30="Todos",'Plan mensual'!N7,0))+parametros_carros!$F$30*('Plan mensual'!N4+IF(parametros_carros!$H$30="Todos",'Plan mensual'!N8,0))+parametros_carros!$G$30*('Plan mensual'!N5+IF(parametros_carros!$H$30="Todos",'Plan mensual'!N9,0)))/60</f>
        <v>1.70128476518</v>
      </c>
      <c r="M13" s="41" t="n">
        <f aca="false">(parametros_carros!$D$30*('Plan mensual'!O2+IF(parametros_carros!$H$30="Todos",'Plan mensual'!O6,0))+parametros_carros!$E$30*('Plan mensual'!O3+IF(parametros_carros!$H$30="Todos",'Plan mensual'!O7,0))+parametros_carros!$F$30*('Plan mensual'!O4+IF(parametros_carros!$H$30="Todos",'Plan mensual'!O8,0))+parametros_carros!$G$30*('Plan mensual'!O5+IF(parametros_carros!$H$30="Todos",'Plan mensual'!O9,0)))/60</f>
        <v>1.94432544592</v>
      </c>
      <c r="N13" s="41" t="n">
        <f aca="false">SUM(B13:M13)</f>
        <v>24.304068074</v>
      </c>
      <c r="O13" s="41" t="n">
        <f aca="false">MAX(B13:M13)</f>
        <v>2.18736612666</v>
      </c>
      <c r="P13" s="45" t="n">
        <f aca="false">IF(parametros_carros!$B$7=0,0,(O13+parametros_carros!$G$56)/parametros_carros!$B$7)</f>
        <v>0.0145824408444</v>
      </c>
      <c r="Q13" s="29" t="str">
        <f aca="false">IF(O13=0,"-",INDEX($B$1:$M$1,MATCH(O13,B13:M13,0)))</f>
        <v>Mar</v>
      </c>
    </row>
    <row r="14" customFormat="false" ht="14.25" hidden="false" customHeight="true" outlineLevel="0" collapsed="false">
      <c r="A14" s="12" t="str">
        <f aca="false">parametros_carros!$B$31</f>
        <v>Pulmón de despacho y carga a pintura</v>
      </c>
      <c r="B14" s="41" t="n">
        <f aca="false">(parametros_carros!$D$31*('Plan mensual'!D2+IF(parametros_carros!$H$31="Todos",'Plan mensual'!D6,0))+parametros_carros!$E$31*('Plan mensual'!D3+IF(parametros_carros!$H$31="Todos",'Plan mensual'!D7,0))+parametros_carros!$F$31*('Plan mensual'!D4+IF(parametros_carros!$H$31="Todos",'Plan mensual'!D8,0))+parametros_carros!$G$31*('Plan mensual'!D5+IF(parametros_carros!$H$31="Todos",'Plan mensual'!D9,0)))/60</f>
        <v>0.32941957502</v>
      </c>
      <c r="C14" s="41" t="n">
        <f aca="false">(parametros_carros!$D$31*('Plan mensual'!E2+IF(parametros_carros!$H$31="Todos",'Plan mensual'!E6,0))+parametros_carros!$E$31*('Plan mensual'!E3+IF(parametros_carros!$H$31="Todos",'Plan mensual'!E7,0))+parametros_carros!$F$31*('Plan mensual'!E4+IF(parametros_carros!$H$31="Todos",'Plan mensual'!E8,0))+parametros_carros!$G$31*('Plan mensual'!E5+IF(parametros_carros!$H$31="Todos",'Plan mensual'!E9,0)))/60</f>
        <v>0.2906643309</v>
      </c>
      <c r="D14" s="41" t="n">
        <f aca="false">(parametros_carros!$D$31*('Plan mensual'!F2+IF(parametros_carros!$H$31="Todos",'Plan mensual'!F6,0))+parametros_carros!$E$31*('Plan mensual'!F3+IF(parametros_carros!$H$31="Todos",'Plan mensual'!F7,0))+parametros_carros!$F$31*('Plan mensual'!F4+IF(parametros_carros!$H$31="Todos",'Plan mensual'!F8,0))+parametros_carros!$G$31*('Plan mensual'!F5+IF(parametros_carros!$H$31="Todos",'Plan mensual'!F9,0)))/60</f>
        <v>0.34879719708</v>
      </c>
      <c r="E14" s="41" t="n">
        <f aca="false">(parametros_carros!$D$31*('Plan mensual'!G2+IF(parametros_carros!$H$31="Todos",'Plan mensual'!G6,0))+parametros_carros!$E$31*('Plan mensual'!G3+IF(parametros_carros!$H$31="Todos",'Plan mensual'!G7,0))+parametros_carros!$F$31*('Plan mensual'!G4+IF(parametros_carros!$H$31="Todos",'Plan mensual'!G8,0))+parametros_carros!$G$31*('Plan mensual'!G5+IF(parametros_carros!$H$31="Todos",'Plan mensual'!G9,0)))/60</f>
        <v>0.34879719708</v>
      </c>
      <c r="F14" s="41" t="n">
        <f aca="false">(parametros_carros!$D$31*('Plan mensual'!H2+IF(parametros_carros!$H$31="Todos",'Plan mensual'!H6,0))+parametros_carros!$E$31*('Plan mensual'!H3+IF(parametros_carros!$H$31="Todos",'Plan mensual'!H7,0))+parametros_carros!$F$31*('Plan mensual'!H4+IF(parametros_carros!$H$31="Todos",'Plan mensual'!H8,0))+parametros_carros!$G$31*('Plan mensual'!H5+IF(parametros_carros!$H$31="Todos",'Plan mensual'!H9,0)))/60</f>
        <v>0.34879719708</v>
      </c>
      <c r="G14" s="41" t="n">
        <f aca="false">(parametros_carros!$D$31*('Plan mensual'!I2+IF(parametros_carros!$H$31="Todos",'Plan mensual'!I6,0))+parametros_carros!$E$31*('Plan mensual'!I3+IF(parametros_carros!$H$31="Todos",'Plan mensual'!I7,0))+parametros_carros!$F$31*('Plan mensual'!I4+IF(parametros_carros!$H$31="Todos",'Plan mensual'!I8,0))+parametros_carros!$G$31*('Plan mensual'!I5+IF(parametros_carros!$H$31="Todos",'Plan mensual'!I9,0)))/60</f>
        <v>0.31004195296</v>
      </c>
      <c r="H14" s="41" t="n">
        <f aca="false">(parametros_carros!$D$31*('Plan mensual'!J2+IF(parametros_carros!$H$31="Todos",'Plan mensual'!J6,0))+parametros_carros!$E$31*('Plan mensual'!J3+IF(parametros_carros!$H$31="Todos",'Plan mensual'!J7,0))+parametros_carros!$F$31*('Plan mensual'!J4+IF(parametros_carros!$H$31="Todos",'Plan mensual'!J8,0))+parametros_carros!$G$31*('Plan mensual'!J5+IF(parametros_carros!$H$31="Todos",'Plan mensual'!J9,0)))/60</f>
        <v>0.34879719708</v>
      </c>
      <c r="I14" s="41" t="n">
        <f aca="false">(parametros_carros!$D$31*('Plan mensual'!K2+IF(parametros_carros!$H$31="Todos",'Plan mensual'!K6,0))+parametros_carros!$E$31*('Plan mensual'!K3+IF(parametros_carros!$H$31="Todos",'Plan mensual'!K7,0))+parametros_carros!$F$31*('Plan mensual'!K4+IF(parametros_carros!$H$31="Todos",'Plan mensual'!K8,0))+parametros_carros!$G$31*('Plan mensual'!K5+IF(parametros_carros!$H$31="Todos",'Plan mensual'!K9,0)))/60</f>
        <v>0.34879719708</v>
      </c>
      <c r="J14" s="41" t="n">
        <f aca="false">(parametros_carros!$D$31*('Plan mensual'!L2+IF(parametros_carros!$H$31="Todos",'Plan mensual'!L6,0))+parametros_carros!$E$31*('Plan mensual'!L3+IF(parametros_carros!$H$31="Todos",'Plan mensual'!L7,0))+parametros_carros!$F$31*('Plan mensual'!L4+IF(parametros_carros!$H$31="Todos",'Plan mensual'!L8,0))+parametros_carros!$G$31*('Plan mensual'!L5+IF(parametros_carros!$H$31="Todos",'Plan mensual'!L9,0)))/60</f>
        <v>0.32941957502</v>
      </c>
      <c r="K14" s="41" t="n">
        <f aca="false">(parametros_carros!$D$31*('Plan mensual'!M2+IF(parametros_carros!$H$31="Todos",'Plan mensual'!M6,0))+parametros_carros!$E$31*('Plan mensual'!M3+IF(parametros_carros!$H$31="Todos",'Plan mensual'!M7,0))+parametros_carros!$F$31*('Plan mensual'!M4+IF(parametros_carros!$H$31="Todos",'Plan mensual'!M8,0))+parametros_carros!$G$31*('Plan mensual'!M5+IF(parametros_carros!$H$31="Todos",'Plan mensual'!M9,0)))/60</f>
        <v>0.2906643309</v>
      </c>
      <c r="L14" s="41" t="n">
        <f aca="false">(parametros_carros!$D$31*('Plan mensual'!N2+IF(parametros_carros!$H$31="Todos",'Plan mensual'!N6,0))+parametros_carros!$E$31*('Plan mensual'!N3+IF(parametros_carros!$H$31="Todos",'Plan mensual'!N7,0))+parametros_carros!$F$31*('Plan mensual'!N4+IF(parametros_carros!$H$31="Todos",'Plan mensual'!N8,0))+parametros_carros!$G$31*('Plan mensual'!N5+IF(parametros_carros!$H$31="Todos",'Plan mensual'!N9,0)))/60</f>
        <v>0.27128670884</v>
      </c>
      <c r="M14" s="41" t="n">
        <f aca="false">(parametros_carros!$D$31*('Plan mensual'!O2+IF(parametros_carros!$H$31="Todos",'Plan mensual'!O6,0))+parametros_carros!$E$31*('Plan mensual'!O3+IF(parametros_carros!$H$31="Todos",'Plan mensual'!O7,0))+parametros_carros!$F$31*('Plan mensual'!O4+IF(parametros_carros!$H$31="Todos",'Plan mensual'!O8,0))+parametros_carros!$G$31*('Plan mensual'!O5+IF(parametros_carros!$H$31="Todos",'Plan mensual'!O9,0)))/60</f>
        <v>0.31004195296</v>
      </c>
      <c r="N14" s="41" t="n">
        <f aca="false">SUM(B14:M14)</f>
        <v>3.875524412</v>
      </c>
      <c r="O14" s="41" t="n">
        <f aca="false">MAX(B14:M14)</f>
        <v>0.34879719708</v>
      </c>
      <c r="P14" s="45" t="n">
        <f aca="false">IF(parametros_carros!$B$7=0,0,(O14+parametros_carros!$G$57)/parametros_carros!$B$7)</f>
        <v>0.0112142035360889</v>
      </c>
      <c r="Q14" s="29" t="str">
        <f aca="false">IF(O14=0,"-",INDEX($B$1:$M$1,MATCH(O14,B14:M14,0)))</f>
        <v>Mar</v>
      </c>
    </row>
    <row r="15" customFormat="false" ht="14.25" hidden="false" customHeight="true" outlineLevel="0" collapsed="false">
      <c r="A15" s="12" t="str">
        <f aca="false">parametros_carros!$B$32</f>
        <v>Recepción de pintados y cambio de juego</v>
      </c>
      <c r="B15" s="41" t="n">
        <f aca="false">(parametros_carros!$D$32*('Plan mensual'!D2+IF(parametros_carros!$H$32="Todos",'Plan mensual'!D6,0))+parametros_carros!$E$32*('Plan mensual'!D3+IF(parametros_carros!$H$32="Todos",'Plan mensual'!D7,0))+parametros_carros!$F$32*('Plan mensual'!D4+IF(parametros_carros!$H$32="Todos",'Plan mensual'!D8,0))+parametros_carros!$G$32*('Plan mensual'!D5+IF(parametros_carros!$H$32="Todos",'Plan mensual'!D9,0)))/60</f>
        <v>0.642498606132875</v>
      </c>
      <c r="C15" s="41" t="n">
        <f aca="false">(parametros_carros!$D$32*('Plan mensual'!E2+IF(parametros_carros!$H$32="Todos",'Plan mensual'!E6,0))+parametros_carros!$E$32*('Plan mensual'!E3+IF(parametros_carros!$H$32="Todos",'Plan mensual'!E7,0))+parametros_carros!$F$32*('Plan mensual'!E4+IF(parametros_carros!$H$32="Todos",'Plan mensual'!E8,0))+parametros_carros!$G$32*('Plan mensual'!E5+IF(parametros_carros!$H$32="Todos",'Plan mensual'!E9,0)))/60</f>
        <v>0.566910534823125</v>
      </c>
      <c r="D15" s="41" t="n">
        <f aca="false">(parametros_carros!$D$32*('Plan mensual'!F2+IF(parametros_carros!$H$32="Todos",'Plan mensual'!F6,0))+parametros_carros!$E$32*('Plan mensual'!F3+IF(parametros_carros!$H$32="Todos",'Plan mensual'!F7,0))+parametros_carros!$F$32*('Plan mensual'!F4+IF(parametros_carros!$H$32="Todos",'Plan mensual'!F8,0))+parametros_carros!$G$32*('Plan mensual'!F5+IF(parametros_carros!$H$32="Todos",'Plan mensual'!F9,0)))/60</f>
        <v>0.68029264178775</v>
      </c>
      <c r="E15" s="41" t="n">
        <f aca="false">(parametros_carros!$D$32*('Plan mensual'!G2+IF(parametros_carros!$H$32="Todos",'Plan mensual'!G6,0))+parametros_carros!$E$32*('Plan mensual'!G3+IF(parametros_carros!$H$32="Todos",'Plan mensual'!G7,0))+parametros_carros!$F$32*('Plan mensual'!G4+IF(parametros_carros!$H$32="Todos",'Plan mensual'!G8,0))+parametros_carros!$G$32*('Plan mensual'!G5+IF(parametros_carros!$H$32="Todos",'Plan mensual'!G9,0)))/60</f>
        <v>0.68029264178775</v>
      </c>
      <c r="F15" s="41" t="n">
        <f aca="false">(parametros_carros!$D$32*('Plan mensual'!H2+IF(parametros_carros!$H$32="Todos",'Plan mensual'!H6,0))+parametros_carros!$E$32*('Plan mensual'!H3+IF(parametros_carros!$H$32="Todos",'Plan mensual'!H7,0))+parametros_carros!$F$32*('Plan mensual'!H4+IF(parametros_carros!$H$32="Todos",'Plan mensual'!H8,0))+parametros_carros!$G$32*('Plan mensual'!H5+IF(parametros_carros!$H$32="Todos",'Plan mensual'!H9,0)))/60</f>
        <v>0.68029264178775</v>
      </c>
      <c r="G15" s="41" t="n">
        <f aca="false">(parametros_carros!$D$32*('Plan mensual'!I2+IF(parametros_carros!$H$32="Todos",'Plan mensual'!I6,0))+parametros_carros!$E$32*('Plan mensual'!I3+IF(parametros_carros!$H$32="Todos",'Plan mensual'!I7,0))+parametros_carros!$F$32*('Plan mensual'!I4+IF(parametros_carros!$H$32="Todos",'Plan mensual'!I8,0))+parametros_carros!$G$32*('Plan mensual'!I5+IF(parametros_carros!$H$32="Todos",'Plan mensual'!I9,0)))/60</f>
        <v>0.604704570478</v>
      </c>
      <c r="H15" s="41" t="n">
        <f aca="false">(parametros_carros!$D$32*('Plan mensual'!J2+IF(parametros_carros!$H$32="Todos",'Plan mensual'!J6,0))+parametros_carros!$E$32*('Plan mensual'!J3+IF(parametros_carros!$H$32="Todos",'Plan mensual'!J7,0))+parametros_carros!$F$32*('Plan mensual'!J4+IF(parametros_carros!$H$32="Todos",'Plan mensual'!J8,0))+parametros_carros!$G$32*('Plan mensual'!J5+IF(parametros_carros!$H$32="Todos",'Plan mensual'!J9,0)))/60</f>
        <v>0.68029264178775</v>
      </c>
      <c r="I15" s="41" t="n">
        <f aca="false">(parametros_carros!$D$32*('Plan mensual'!K2+IF(parametros_carros!$H$32="Todos",'Plan mensual'!K6,0))+parametros_carros!$E$32*('Plan mensual'!K3+IF(parametros_carros!$H$32="Todos",'Plan mensual'!K7,0))+parametros_carros!$F$32*('Plan mensual'!K4+IF(parametros_carros!$H$32="Todos",'Plan mensual'!K8,0))+parametros_carros!$G$32*('Plan mensual'!K5+IF(parametros_carros!$H$32="Todos",'Plan mensual'!K9,0)))/60</f>
        <v>0.68029264178775</v>
      </c>
      <c r="J15" s="41" t="n">
        <f aca="false">(parametros_carros!$D$32*('Plan mensual'!L2+IF(parametros_carros!$H$32="Todos",'Plan mensual'!L6,0))+parametros_carros!$E$32*('Plan mensual'!L3+IF(parametros_carros!$H$32="Todos",'Plan mensual'!L7,0))+parametros_carros!$F$32*('Plan mensual'!L4+IF(parametros_carros!$H$32="Todos",'Plan mensual'!L8,0))+parametros_carros!$G$32*('Plan mensual'!L5+IF(parametros_carros!$H$32="Todos",'Plan mensual'!L9,0)))/60</f>
        <v>0.642498606132875</v>
      </c>
      <c r="K15" s="41" t="n">
        <f aca="false">(parametros_carros!$D$32*('Plan mensual'!M2+IF(parametros_carros!$H$32="Todos",'Plan mensual'!M6,0))+parametros_carros!$E$32*('Plan mensual'!M3+IF(parametros_carros!$H$32="Todos",'Plan mensual'!M7,0))+parametros_carros!$F$32*('Plan mensual'!M4+IF(parametros_carros!$H$32="Todos",'Plan mensual'!M8,0))+parametros_carros!$G$32*('Plan mensual'!M5+IF(parametros_carros!$H$32="Todos",'Plan mensual'!M9,0)))/60</f>
        <v>0.566910534823125</v>
      </c>
      <c r="L15" s="41" t="n">
        <f aca="false">(parametros_carros!$D$32*('Plan mensual'!N2+IF(parametros_carros!$H$32="Todos",'Plan mensual'!N6,0))+parametros_carros!$E$32*('Plan mensual'!N3+IF(parametros_carros!$H$32="Todos",'Plan mensual'!N7,0))+parametros_carros!$F$32*('Plan mensual'!N4+IF(parametros_carros!$H$32="Todos",'Plan mensual'!N8,0))+parametros_carros!$G$32*('Plan mensual'!N5+IF(parametros_carros!$H$32="Todos",'Plan mensual'!N9,0)))/60</f>
        <v>0.52911649916825</v>
      </c>
      <c r="M15" s="41" t="n">
        <f aca="false">(parametros_carros!$D$32*('Plan mensual'!O2+IF(parametros_carros!$H$32="Todos",'Plan mensual'!O6,0))+parametros_carros!$E$32*('Plan mensual'!O3+IF(parametros_carros!$H$32="Todos",'Plan mensual'!O7,0))+parametros_carros!$F$32*('Plan mensual'!O4+IF(parametros_carros!$H$32="Todos",'Plan mensual'!O8,0))+parametros_carros!$G$32*('Plan mensual'!O5+IF(parametros_carros!$H$32="Todos",'Plan mensual'!O9,0)))/60</f>
        <v>0.604704570478</v>
      </c>
      <c r="N15" s="41" t="n">
        <f aca="false">SUM(B15:M15)</f>
        <v>7.558807130975</v>
      </c>
      <c r="O15" s="41" t="n">
        <f aca="false">MAX(B15:M15)</f>
        <v>0.68029264178775</v>
      </c>
      <c r="P15" s="45" t="n">
        <f aca="false">IF(parametros_carros!$B$7=0,0,(O15+parametros_carros!$G$58)/parametros_carros!$B$7)</f>
        <v>0.0134241731674739</v>
      </c>
      <c r="Q15" s="29" t="str">
        <f aca="false">IF(O15=0,"-",INDEX($B$1:$M$1,MATCH(O15,B15:M15,0)))</f>
        <v>Mar</v>
      </c>
    </row>
    <row r="16" customFormat="false" ht="14.25" hidden="false" customHeight="true" outlineLevel="0" collapsed="false">
      <c r="A16" s="12" t="str">
        <f aca="false">parametros_carros!$B$33</f>
        <v>Carga de polvo y presurización</v>
      </c>
      <c r="B16" s="41" t="n">
        <f aca="false">(parametros_carros!$D$33*('Plan mensual'!D2+IF(parametros_carros!$H$33="Todos",'Plan mensual'!D6,0))+parametros_carros!$E$33*('Plan mensual'!D3+IF(parametros_carros!$H$33="Todos",'Plan mensual'!D7,0))+parametros_carros!$F$33*('Plan mensual'!D4+IF(parametros_carros!$H$33="Todos",'Plan mensual'!D8,0))+parametros_carros!$G$33*('Plan mensual'!D5+IF(parametros_carros!$H$33="Todos",'Plan mensual'!D9,0)))/60</f>
        <v>2.25806351147417</v>
      </c>
      <c r="C16" s="41" t="n">
        <f aca="false">(parametros_carros!$D$33*('Plan mensual'!E2+IF(parametros_carros!$H$33="Todos",'Plan mensual'!E6,0))+parametros_carros!$E$33*('Plan mensual'!E3+IF(parametros_carros!$H$33="Todos",'Plan mensual'!E7,0))+parametros_carros!$F$33*('Plan mensual'!E4+IF(parametros_carros!$H$33="Todos",'Plan mensual'!E8,0))+parametros_carros!$G$33*('Plan mensual'!E5+IF(parametros_carros!$H$33="Todos",'Plan mensual'!E9,0)))/60</f>
        <v>1.9924089807125</v>
      </c>
      <c r="D16" s="41" t="n">
        <f aca="false">(parametros_carros!$D$33*('Plan mensual'!F2+IF(parametros_carros!$H$33="Todos",'Plan mensual'!F6,0))+parametros_carros!$E$33*('Plan mensual'!F3+IF(parametros_carros!$H$33="Todos",'Plan mensual'!F7,0))+parametros_carros!$F$33*('Plan mensual'!F4+IF(parametros_carros!$H$33="Todos",'Plan mensual'!F8,0))+parametros_carros!$G$33*('Plan mensual'!F5+IF(parametros_carros!$H$33="Todos",'Plan mensual'!F9,0)))/60</f>
        <v>2.390890776855</v>
      </c>
      <c r="E16" s="41" t="n">
        <f aca="false">(parametros_carros!$D$33*('Plan mensual'!G2+IF(parametros_carros!$H$33="Todos",'Plan mensual'!G6,0))+parametros_carros!$E$33*('Plan mensual'!G3+IF(parametros_carros!$H$33="Todos",'Plan mensual'!G7,0))+parametros_carros!$F$33*('Plan mensual'!G4+IF(parametros_carros!$H$33="Todos",'Plan mensual'!G8,0))+parametros_carros!$G$33*('Plan mensual'!G5+IF(parametros_carros!$H$33="Todos",'Plan mensual'!G9,0)))/60</f>
        <v>2.390890776855</v>
      </c>
      <c r="F16" s="41" t="n">
        <f aca="false">(parametros_carros!$D$33*('Plan mensual'!H2+IF(parametros_carros!$H$33="Todos",'Plan mensual'!H6,0))+parametros_carros!$E$33*('Plan mensual'!H3+IF(parametros_carros!$H$33="Todos",'Plan mensual'!H7,0))+parametros_carros!$F$33*('Plan mensual'!H4+IF(parametros_carros!$H$33="Todos",'Plan mensual'!H8,0))+parametros_carros!$G$33*('Plan mensual'!H5+IF(parametros_carros!$H$33="Todos",'Plan mensual'!H9,0)))/60</f>
        <v>2.390890776855</v>
      </c>
      <c r="G16" s="41" t="n">
        <f aca="false">(parametros_carros!$D$33*('Plan mensual'!I2+IF(parametros_carros!$H$33="Todos",'Plan mensual'!I6,0))+parametros_carros!$E$33*('Plan mensual'!I3+IF(parametros_carros!$H$33="Todos",'Plan mensual'!I7,0))+parametros_carros!$F$33*('Plan mensual'!I4+IF(parametros_carros!$H$33="Todos",'Plan mensual'!I8,0))+parametros_carros!$G$33*('Plan mensual'!I5+IF(parametros_carros!$H$33="Todos",'Plan mensual'!I9,0)))/60</f>
        <v>2.12523624609333</v>
      </c>
      <c r="H16" s="41" t="n">
        <f aca="false">(parametros_carros!$D$33*('Plan mensual'!J2+IF(parametros_carros!$H$33="Todos",'Plan mensual'!J6,0))+parametros_carros!$E$33*('Plan mensual'!J3+IF(parametros_carros!$H$33="Todos",'Plan mensual'!J7,0))+parametros_carros!$F$33*('Plan mensual'!J4+IF(parametros_carros!$H$33="Todos",'Plan mensual'!J8,0))+parametros_carros!$G$33*('Plan mensual'!J5+IF(parametros_carros!$H$33="Todos",'Plan mensual'!J9,0)))/60</f>
        <v>2.390890776855</v>
      </c>
      <c r="I16" s="41" t="n">
        <f aca="false">(parametros_carros!$D$33*('Plan mensual'!K2+IF(parametros_carros!$H$33="Todos",'Plan mensual'!K6,0))+parametros_carros!$E$33*('Plan mensual'!K3+IF(parametros_carros!$H$33="Todos",'Plan mensual'!K7,0))+parametros_carros!$F$33*('Plan mensual'!K4+IF(parametros_carros!$H$33="Todos",'Plan mensual'!K8,0))+parametros_carros!$G$33*('Plan mensual'!K5+IF(parametros_carros!$H$33="Todos",'Plan mensual'!K9,0)))/60</f>
        <v>2.390890776855</v>
      </c>
      <c r="J16" s="41" t="n">
        <f aca="false">(parametros_carros!$D$33*('Plan mensual'!L2+IF(parametros_carros!$H$33="Todos",'Plan mensual'!L6,0))+parametros_carros!$E$33*('Plan mensual'!L3+IF(parametros_carros!$H$33="Todos",'Plan mensual'!L7,0))+parametros_carros!$F$33*('Plan mensual'!L4+IF(parametros_carros!$H$33="Todos",'Plan mensual'!L8,0))+parametros_carros!$G$33*('Plan mensual'!L5+IF(parametros_carros!$H$33="Todos",'Plan mensual'!L9,0)))/60</f>
        <v>2.25806351147417</v>
      </c>
      <c r="K16" s="41" t="n">
        <f aca="false">(parametros_carros!$D$33*('Plan mensual'!M2+IF(parametros_carros!$H$33="Todos",'Plan mensual'!M6,0))+parametros_carros!$E$33*('Plan mensual'!M3+IF(parametros_carros!$H$33="Todos",'Plan mensual'!M7,0))+parametros_carros!$F$33*('Plan mensual'!M4+IF(parametros_carros!$H$33="Todos",'Plan mensual'!M8,0))+parametros_carros!$G$33*('Plan mensual'!M5+IF(parametros_carros!$H$33="Todos",'Plan mensual'!M9,0)))/60</f>
        <v>1.9924089807125</v>
      </c>
      <c r="L16" s="41" t="n">
        <f aca="false">(parametros_carros!$D$33*('Plan mensual'!N2+IF(parametros_carros!$H$33="Todos",'Plan mensual'!N6,0))+parametros_carros!$E$33*('Plan mensual'!N3+IF(parametros_carros!$H$33="Todos",'Plan mensual'!N7,0))+parametros_carros!$F$33*('Plan mensual'!N4+IF(parametros_carros!$H$33="Todos",'Plan mensual'!N8,0))+parametros_carros!$G$33*('Plan mensual'!N5+IF(parametros_carros!$H$33="Todos",'Plan mensual'!N9,0)))/60</f>
        <v>1.85958171533167</v>
      </c>
      <c r="M16" s="41" t="n">
        <f aca="false">(parametros_carros!$D$33*('Plan mensual'!O2+IF(parametros_carros!$H$33="Todos",'Plan mensual'!O6,0))+parametros_carros!$E$33*('Plan mensual'!O3+IF(parametros_carros!$H$33="Todos",'Plan mensual'!O7,0))+parametros_carros!$F$33*('Plan mensual'!O4+IF(parametros_carros!$H$33="Todos",'Plan mensual'!O8,0))+parametros_carros!$G$33*('Plan mensual'!O5+IF(parametros_carros!$H$33="Todos",'Plan mensual'!O9,0)))/60</f>
        <v>2.12523624609333</v>
      </c>
      <c r="N16" s="41" t="n">
        <f aca="false">SUM(B16:M16)</f>
        <v>26.5654530761667</v>
      </c>
      <c r="O16" s="41" t="n">
        <f aca="false">MAX(B16:M16)</f>
        <v>2.390890776855</v>
      </c>
      <c r="P16" s="45" t="n">
        <f aca="false">IF(parametros_carros!$B$7=0,0,(O16+parametros_carros!$G$59)/parametros_carros!$B$7)</f>
        <v>0.122605938512367</v>
      </c>
      <c r="Q16" s="29" t="str">
        <f aca="false">IF(O16=0,"-",INDEX($B$1:$M$1,MATCH(O16,B16:M16,0)))</f>
        <v>Mar</v>
      </c>
    </row>
    <row r="17" customFormat="false" ht="14.25" hidden="false" customHeight="true" outlineLevel="0" collapsed="false">
      <c r="A17" s="12" t="str">
        <f aca="false">parametros_carros!$B$34</f>
        <v>Montaje, manga, precinto y etiquetado</v>
      </c>
      <c r="B17" s="41" t="n">
        <f aca="false">(parametros_carros!$D$34*('Plan mensual'!D2+IF(parametros_carros!$H$34="Todos",'Plan mensual'!D6,0))+parametros_carros!$E$34*('Plan mensual'!D3+IF(parametros_carros!$H$34="Todos",'Plan mensual'!D7,0))+parametros_carros!$F$34*('Plan mensual'!D4+IF(parametros_carros!$H$34="Todos",'Plan mensual'!D8,0))+parametros_carros!$G$34*('Plan mensual'!D5+IF(parametros_carros!$H$34="Todos",'Plan mensual'!D9,0)))/60</f>
        <v>1.25747482133467</v>
      </c>
      <c r="C17" s="41" t="n">
        <f aca="false">(parametros_carros!$D$34*('Plan mensual'!E2+IF(parametros_carros!$H$34="Todos",'Plan mensual'!E6,0))+parametros_carros!$E$34*('Plan mensual'!E3+IF(parametros_carros!$H$34="Todos",'Plan mensual'!E7,0))+parametros_carros!$F$34*('Plan mensual'!E4+IF(parametros_carros!$H$34="Todos",'Plan mensual'!E8,0))+parametros_carros!$G$34*('Plan mensual'!E5+IF(parametros_carros!$H$34="Todos",'Plan mensual'!E9,0)))/60</f>
        <v>1.10953660706</v>
      </c>
      <c r="D17" s="41" t="n">
        <f aca="false">(parametros_carros!$D$34*('Plan mensual'!F2+IF(parametros_carros!$H$34="Todos",'Plan mensual'!F6,0))+parametros_carros!$E$34*('Plan mensual'!F3+IF(parametros_carros!$H$34="Todos",'Plan mensual'!F7,0))+parametros_carros!$F$34*('Plan mensual'!F4+IF(parametros_carros!$H$34="Todos",'Plan mensual'!F8,0))+parametros_carros!$G$34*('Plan mensual'!F5+IF(parametros_carros!$H$34="Todos",'Plan mensual'!F9,0)))/60</f>
        <v>1.331443928472</v>
      </c>
      <c r="E17" s="41" t="n">
        <f aca="false">(parametros_carros!$D$34*('Plan mensual'!G2+IF(parametros_carros!$H$34="Todos",'Plan mensual'!G6,0))+parametros_carros!$E$34*('Plan mensual'!G3+IF(parametros_carros!$H$34="Todos",'Plan mensual'!G7,0))+parametros_carros!$F$34*('Plan mensual'!G4+IF(parametros_carros!$H$34="Todos",'Plan mensual'!G8,0))+parametros_carros!$G$34*('Plan mensual'!G5+IF(parametros_carros!$H$34="Todos",'Plan mensual'!G9,0)))/60</f>
        <v>1.331443928472</v>
      </c>
      <c r="F17" s="41" t="n">
        <f aca="false">(parametros_carros!$D$34*('Plan mensual'!H2+IF(parametros_carros!$H$34="Todos",'Plan mensual'!H6,0))+parametros_carros!$E$34*('Plan mensual'!H3+IF(parametros_carros!$H$34="Todos",'Plan mensual'!H7,0))+parametros_carros!$F$34*('Plan mensual'!H4+IF(parametros_carros!$H$34="Todos",'Plan mensual'!H8,0))+parametros_carros!$G$34*('Plan mensual'!H5+IF(parametros_carros!$H$34="Todos",'Plan mensual'!H9,0)))/60</f>
        <v>1.331443928472</v>
      </c>
      <c r="G17" s="41" t="n">
        <f aca="false">(parametros_carros!$D$34*('Plan mensual'!I2+IF(parametros_carros!$H$34="Todos",'Plan mensual'!I6,0))+parametros_carros!$E$34*('Plan mensual'!I3+IF(parametros_carros!$H$34="Todos",'Plan mensual'!I7,0))+parametros_carros!$F$34*('Plan mensual'!I4+IF(parametros_carros!$H$34="Todos",'Plan mensual'!I8,0))+parametros_carros!$G$34*('Plan mensual'!I5+IF(parametros_carros!$H$34="Todos",'Plan mensual'!I9,0)))/60</f>
        <v>1.18350571419733</v>
      </c>
      <c r="H17" s="41" t="n">
        <f aca="false">(parametros_carros!$D$34*('Plan mensual'!J2+IF(parametros_carros!$H$34="Todos",'Plan mensual'!J6,0))+parametros_carros!$E$34*('Plan mensual'!J3+IF(parametros_carros!$H$34="Todos",'Plan mensual'!J7,0))+parametros_carros!$F$34*('Plan mensual'!J4+IF(parametros_carros!$H$34="Todos",'Plan mensual'!J8,0))+parametros_carros!$G$34*('Plan mensual'!J5+IF(parametros_carros!$H$34="Todos",'Plan mensual'!J9,0)))/60</f>
        <v>1.331443928472</v>
      </c>
      <c r="I17" s="41" t="n">
        <f aca="false">(parametros_carros!$D$34*('Plan mensual'!K2+IF(parametros_carros!$H$34="Todos",'Plan mensual'!K6,0))+parametros_carros!$E$34*('Plan mensual'!K3+IF(parametros_carros!$H$34="Todos",'Plan mensual'!K7,0))+parametros_carros!$F$34*('Plan mensual'!K4+IF(parametros_carros!$H$34="Todos",'Plan mensual'!K8,0))+parametros_carros!$G$34*('Plan mensual'!K5+IF(parametros_carros!$H$34="Todos",'Plan mensual'!K9,0)))/60</f>
        <v>1.331443928472</v>
      </c>
      <c r="J17" s="41" t="n">
        <f aca="false">(parametros_carros!$D$34*('Plan mensual'!L2+IF(parametros_carros!$H$34="Todos",'Plan mensual'!L6,0))+parametros_carros!$E$34*('Plan mensual'!L3+IF(parametros_carros!$H$34="Todos",'Plan mensual'!L7,0))+parametros_carros!$F$34*('Plan mensual'!L4+IF(parametros_carros!$H$34="Todos",'Plan mensual'!L8,0))+parametros_carros!$G$34*('Plan mensual'!L5+IF(parametros_carros!$H$34="Todos",'Plan mensual'!L9,0)))/60</f>
        <v>1.25747482133467</v>
      </c>
      <c r="K17" s="41" t="n">
        <f aca="false">(parametros_carros!$D$34*('Plan mensual'!M2+IF(parametros_carros!$H$34="Todos",'Plan mensual'!M6,0))+parametros_carros!$E$34*('Plan mensual'!M3+IF(parametros_carros!$H$34="Todos",'Plan mensual'!M7,0))+parametros_carros!$F$34*('Plan mensual'!M4+IF(parametros_carros!$H$34="Todos",'Plan mensual'!M8,0))+parametros_carros!$G$34*('Plan mensual'!M5+IF(parametros_carros!$H$34="Todos",'Plan mensual'!M9,0)))/60</f>
        <v>1.10953660706</v>
      </c>
      <c r="L17" s="41" t="n">
        <f aca="false">(parametros_carros!$D$34*('Plan mensual'!N2+IF(parametros_carros!$H$34="Todos",'Plan mensual'!N6,0))+parametros_carros!$E$34*('Plan mensual'!N3+IF(parametros_carros!$H$34="Todos",'Plan mensual'!N7,0))+parametros_carros!$F$34*('Plan mensual'!N4+IF(parametros_carros!$H$34="Todos",'Plan mensual'!N8,0))+parametros_carros!$G$34*('Plan mensual'!N5+IF(parametros_carros!$H$34="Todos",'Plan mensual'!N9,0)))/60</f>
        <v>1.03556749992267</v>
      </c>
      <c r="M17" s="41" t="n">
        <f aca="false">(parametros_carros!$D$34*('Plan mensual'!O2+IF(parametros_carros!$H$34="Todos",'Plan mensual'!O6,0))+parametros_carros!$E$34*('Plan mensual'!O3+IF(parametros_carros!$H$34="Todos",'Plan mensual'!O7,0))+parametros_carros!$F$34*('Plan mensual'!O4+IF(parametros_carros!$H$34="Todos",'Plan mensual'!O8,0))+parametros_carros!$G$34*('Plan mensual'!O5+IF(parametros_carros!$H$34="Todos",'Plan mensual'!O9,0)))/60</f>
        <v>1.18350571419733</v>
      </c>
      <c r="N17" s="41" t="n">
        <f aca="false">SUM(B17:M17)</f>
        <v>14.7938214274667</v>
      </c>
      <c r="O17" s="41" t="n">
        <f aca="false">MAX(B17:M17)</f>
        <v>1.331443928472</v>
      </c>
      <c r="P17" s="45" t="n">
        <f aca="false">IF(parametros_carros!$B$7=0,0,(O17+parametros_carros!$G$60)/parametros_carros!$B$7)</f>
        <v>0.0555429595231467</v>
      </c>
      <c r="Q17" s="29" t="str">
        <f aca="false">IF(O17=0,"-",INDEX($B$1:$M$1,MATCH(O17,B17:M17,0)))</f>
        <v>Mar</v>
      </c>
    </row>
    <row r="18" customFormat="false" ht="14.25" hidden="false" customHeight="true" outlineLevel="0" collapsed="false">
      <c r="A18" s="12" t="str">
        <f aca="false">parametros_carros!$B$35</f>
        <v>Calidad: pérdidas, inspección final, liberación y ensayos de lote</v>
      </c>
      <c r="B18" s="41" t="n">
        <f aca="false">(parametros_carros!$D$35*('Plan mensual'!D2+IF(parametros_carros!$H$35="Todos",'Plan mensual'!D6,0))+parametros_carros!$E$35*('Plan mensual'!D3+IF(parametros_carros!$H$35="Todos",'Plan mensual'!D7,0))+parametros_carros!$F$35*('Plan mensual'!D4+IF(parametros_carros!$H$35="Todos",'Plan mensual'!D8,0))+parametros_carros!$G$35*('Plan mensual'!D5+IF(parametros_carros!$H$35="Todos",'Plan mensual'!D9,0)))/60</f>
        <v>0.951422456882792</v>
      </c>
      <c r="C18" s="41" t="n">
        <f aca="false">(parametros_carros!$D$35*('Plan mensual'!E2+IF(parametros_carros!$H$35="Todos",'Plan mensual'!E6,0))+parametros_carros!$E$35*('Plan mensual'!E3+IF(parametros_carros!$H$35="Todos",'Plan mensual'!E7,0))+parametros_carros!$F$35*('Plan mensual'!E4+IF(parametros_carros!$H$35="Todos",'Plan mensual'!E8,0))+parametros_carros!$G$35*('Plan mensual'!E5+IF(parametros_carros!$H$35="Todos",'Plan mensual'!E9,0)))/60</f>
        <v>0.839490403131875</v>
      </c>
      <c r="D18" s="41" t="n">
        <f aca="false">(parametros_carros!$D$35*('Plan mensual'!F2+IF(parametros_carros!$H$35="Todos",'Plan mensual'!F6,0))+parametros_carros!$E$35*('Plan mensual'!F3+IF(parametros_carros!$H$35="Todos",'Plan mensual'!F7,0))+parametros_carros!$F$35*('Plan mensual'!F4+IF(parametros_carros!$H$35="Todos",'Plan mensual'!F8,0))+parametros_carros!$G$35*('Plan mensual'!F5+IF(parametros_carros!$H$35="Todos",'Plan mensual'!F9,0)))/60</f>
        <v>1.00738848375825</v>
      </c>
      <c r="E18" s="41" t="n">
        <f aca="false">(parametros_carros!$D$35*('Plan mensual'!G2+IF(parametros_carros!$H$35="Todos",'Plan mensual'!G6,0))+parametros_carros!$E$35*('Plan mensual'!G3+IF(parametros_carros!$H$35="Todos",'Plan mensual'!G7,0))+parametros_carros!$F$35*('Plan mensual'!G4+IF(parametros_carros!$H$35="Todos",'Plan mensual'!G8,0))+parametros_carros!$G$35*('Plan mensual'!G5+IF(parametros_carros!$H$35="Todos",'Plan mensual'!G9,0)))/60</f>
        <v>1.00738848375825</v>
      </c>
      <c r="F18" s="41" t="n">
        <f aca="false">(parametros_carros!$D$35*('Plan mensual'!H2+IF(parametros_carros!$H$35="Todos",'Plan mensual'!H6,0))+parametros_carros!$E$35*('Plan mensual'!H3+IF(parametros_carros!$H$35="Todos",'Plan mensual'!H7,0))+parametros_carros!$F$35*('Plan mensual'!H4+IF(parametros_carros!$H$35="Todos",'Plan mensual'!H8,0))+parametros_carros!$G$35*('Plan mensual'!H5+IF(parametros_carros!$H$35="Todos",'Plan mensual'!H9,0)))/60</f>
        <v>1.00738848375825</v>
      </c>
      <c r="G18" s="41" t="n">
        <f aca="false">(parametros_carros!$D$35*('Plan mensual'!I2+IF(parametros_carros!$H$35="Todos",'Plan mensual'!I6,0))+parametros_carros!$E$35*('Plan mensual'!I3+IF(parametros_carros!$H$35="Todos",'Plan mensual'!I7,0))+parametros_carros!$F$35*('Plan mensual'!I4+IF(parametros_carros!$H$35="Todos",'Plan mensual'!I8,0))+parametros_carros!$G$35*('Plan mensual'!I5+IF(parametros_carros!$H$35="Todos",'Plan mensual'!I9,0)))/60</f>
        <v>0.895456430007333</v>
      </c>
      <c r="H18" s="41" t="n">
        <f aca="false">(parametros_carros!$D$35*('Plan mensual'!J2+IF(parametros_carros!$H$35="Todos",'Plan mensual'!J6,0))+parametros_carros!$E$35*('Plan mensual'!J3+IF(parametros_carros!$H$35="Todos",'Plan mensual'!J7,0))+parametros_carros!$F$35*('Plan mensual'!J4+IF(parametros_carros!$H$35="Todos",'Plan mensual'!J8,0))+parametros_carros!$G$35*('Plan mensual'!J5+IF(parametros_carros!$H$35="Todos",'Plan mensual'!J9,0)))/60</f>
        <v>1.00738848375825</v>
      </c>
      <c r="I18" s="41" t="n">
        <f aca="false">(parametros_carros!$D$35*('Plan mensual'!K2+IF(parametros_carros!$H$35="Todos",'Plan mensual'!K6,0))+parametros_carros!$E$35*('Plan mensual'!K3+IF(parametros_carros!$H$35="Todos",'Plan mensual'!K7,0))+parametros_carros!$F$35*('Plan mensual'!K4+IF(parametros_carros!$H$35="Todos",'Plan mensual'!K8,0))+parametros_carros!$G$35*('Plan mensual'!K5+IF(parametros_carros!$H$35="Todos",'Plan mensual'!K9,0)))/60</f>
        <v>1.00738848375825</v>
      </c>
      <c r="J18" s="41" t="n">
        <f aca="false">(parametros_carros!$D$35*('Plan mensual'!L2+IF(parametros_carros!$H$35="Todos",'Plan mensual'!L6,0))+parametros_carros!$E$35*('Plan mensual'!L3+IF(parametros_carros!$H$35="Todos",'Plan mensual'!L7,0))+parametros_carros!$F$35*('Plan mensual'!L4+IF(parametros_carros!$H$35="Todos",'Plan mensual'!L8,0))+parametros_carros!$G$35*('Plan mensual'!L5+IF(parametros_carros!$H$35="Todos",'Plan mensual'!L9,0)))/60</f>
        <v>0.951422456882792</v>
      </c>
      <c r="K18" s="41" t="n">
        <f aca="false">(parametros_carros!$D$35*('Plan mensual'!M2+IF(parametros_carros!$H$35="Todos",'Plan mensual'!M6,0))+parametros_carros!$E$35*('Plan mensual'!M3+IF(parametros_carros!$H$35="Todos",'Plan mensual'!M7,0))+parametros_carros!$F$35*('Plan mensual'!M4+IF(parametros_carros!$H$35="Todos",'Plan mensual'!M8,0))+parametros_carros!$G$35*('Plan mensual'!M5+IF(parametros_carros!$H$35="Todos",'Plan mensual'!M9,0)))/60</f>
        <v>0.839490403131875</v>
      </c>
      <c r="L18" s="41" t="n">
        <f aca="false">(parametros_carros!$D$35*('Plan mensual'!N2+IF(parametros_carros!$H$35="Todos",'Plan mensual'!N6,0))+parametros_carros!$E$35*('Plan mensual'!N3+IF(parametros_carros!$H$35="Todos",'Plan mensual'!N7,0))+parametros_carros!$F$35*('Plan mensual'!N4+IF(parametros_carros!$H$35="Todos",'Plan mensual'!N8,0))+parametros_carros!$G$35*('Plan mensual'!N5+IF(parametros_carros!$H$35="Todos",'Plan mensual'!N9,0)))/60</f>
        <v>0.783524376256417</v>
      </c>
      <c r="M18" s="41" t="n">
        <f aca="false">(parametros_carros!$D$35*('Plan mensual'!O2+IF(parametros_carros!$H$35="Todos",'Plan mensual'!O6,0))+parametros_carros!$E$35*('Plan mensual'!O3+IF(parametros_carros!$H$35="Todos",'Plan mensual'!O7,0))+parametros_carros!$F$35*('Plan mensual'!O4+IF(parametros_carros!$H$35="Todos",'Plan mensual'!O8,0))+parametros_carros!$G$35*('Plan mensual'!O5+IF(parametros_carros!$H$35="Todos",'Plan mensual'!O9,0)))/60</f>
        <v>0.895456430007333</v>
      </c>
      <c r="N18" s="41" t="n">
        <f aca="false">SUM(B18:M18)</f>
        <v>11.1932053750917</v>
      </c>
      <c r="O18" s="41" t="n">
        <f aca="false">MAX(B18:M18)</f>
        <v>1.00738848375825</v>
      </c>
      <c r="P18" s="45" t="n">
        <f aca="false">IF(parametros_carros!$B$7=0,0,(O18+parametros_carros!$G$61)/parametros_carros!$B$7)</f>
        <v>0.376938145447277</v>
      </c>
      <c r="Q18" s="29" t="str">
        <f aca="false">IF(O18=0,"-",INDEX($B$1:$M$1,MATCH(O18,B18:M18,0)))</f>
        <v>Mar</v>
      </c>
    </row>
    <row r="19" customFormat="false" ht="14.25" hidden="false" customHeight="true" outlineLevel="0" collapsed="false">
      <c r="A19" s="12" t="str">
        <f aca="false">parametros_carros!$B$36</f>
        <v>Depósito de producto terminado y despacho</v>
      </c>
      <c r="B19" s="41" t="n">
        <f aca="false">(parametros_carros!$D$36*('Plan mensual'!D2+IF(parametros_carros!$H$36="Todos",'Plan mensual'!D6,0))+parametros_carros!$E$36*('Plan mensual'!D3+IF(parametros_carros!$H$36="Todos",'Plan mensual'!D7,0))+parametros_carros!$F$36*('Plan mensual'!D4+IF(parametros_carros!$H$36="Todos",'Plan mensual'!D8,0))+parametros_carros!$G$36*('Plan mensual'!D5+IF(parametros_carros!$H$36="Todos",'Plan mensual'!D9,0)))/60</f>
        <v>0.280559138767</v>
      </c>
      <c r="C19" s="41" t="n">
        <f aca="false">(parametros_carros!$D$36*('Plan mensual'!E2+IF(parametros_carros!$H$36="Todos",'Plan mensual'!E6,0))+parametros_carros!$E$36*('Plan mensual'!E3+IF(parametros_carros!$H$36="Todos",'Plan mensual'!E7,0))+parametros_carros!$F$36*('Plan mensual'!E4+IF(parametros_carros!$H$36="Todos",'Plan mensual'!E8,0))+parametros_carros!$G$36*('Plan mensual'!E5+IF(parametros_carros!$H$36="Todos",'Plan mensual'!E9,0)))/60</f>
        <v>0.247552181265</v>
      </c>
      <c r="D19" s="41" t="n">
        <f aca="false">(parametros_carros!$D$36*('Plan mensual'!F2+IF(parametros_carros!$H$36="Todos",'Plan mensual'!F6,0))+parametros_carros!$E$36*('Plan mensual'!F3+IF(parametros_carros!$H$36="Todos",'Plan mensual'!F7,0))+parametros_carros!$F$36*('Plan mensual'!F4+IF(parametros_carros!$H$36="Todos",'Plan mensual'!F8,0))+parametros_carros!$G$36*('Plan mensual'!F5+IF(parametros_carros!$H$36="Todos",'Plan mensual'!F9,0)))/60</f>
        <v>0.297062617518</v>
      </c>
      <c r="E19" s="41" t="n">
        <f aca="false">(parametros_carros!$D$36*('Plan mensual'!G2+IF(parametros_carros!$H$36="Todos",'Plan mensual'!G6,0))+parametros_carros!$E$36*('Plan mensual'!G3+IF(parametros_carros!$H$36="Todos",'Plan mensual'!G7,0))+parametros_carros!$F$36*('Plan mensual'!G4+IF(parametros_carros!$H$36="Todos",'Plan mensual'!G8,0))+parametros_carros!$G$36*('Plan mensual'!G5+IF(parametros_carros!$H$36="Todos",'Plan mensual'!G9,0)))/60</f>
        <v>0.297062617518</v>
      </c>
      <c r="F19" s="41" t="n">
        <f aca="false">(parametros_carros!$D$36*('Plan mensual'!H2+IF(parametros_carros!$H$36="Todos",'Plan mensual'!H6,0))+parametros_carros!$E$36*('Plan mensual'!H3+IF(parametros_carros!$H$36="Todos",'Plan mensual'!H7,0))+parametros_carros!$F$36*('Plan mensual'!H4+IF(parametros_carros!$H$36="Todos",'Plan mensual'!H8,0))+parametros_carros!$G$36*('Plan mensual'!H5+IF(parametros_carros!$H$36="Todos",'Plan mensual'!H9,0)))/60</f>
        <v>0.297062617518</v>
      </c>
      <c r="G19" s="41" t="n">
        <f aca="false">(parametros_carros!$D$36*('Plan mensual'!I2+IF(parametros_carros!$H$36="Todos",'Plan mensual'!I6,0))+parametros_carros!$E$36*('Plan mensual'!I3+IF(parametros_carros!$H$36="Todos",'Plan mensual'!I7,0))+parametros_carros!$F$36*('Plan mensual'!I4+IF(parametros_carros!$H$36="Todos",'Plan mensual'!I8,0))+parametros_carros!$G$36*('Plan mensual'!I5+IF(parametros_carros!$H$36="Todos",'Plan mensual'!I9,0)))/60</f>
        <v>0.264055660016</v>
      </c>
      <c r="H19" s="41" t="n">
        <f aca="false">(parametros_carros!$D$36*('Plan mensual'!J2+IF(parametros_carros!$H$36="Todos",'Plan mensual'!J6,0))+parametros_carros!$E$36*('Plan mensual'!J3+IF(parametros_carros!$H$36="Todos",'Plan mensual'!J7,0))+parametros_carros!$F$36*('Plan mensual'!J4+IF(parametros_carros!$H$36="Todos",'Plan mensual'!J8,0))+parametros_carros!$G$36*('Plan mensual'!J5+IF(parametros_carros!$H$36="Todos",'Plan mensual'!J9,0)))/60</f>
        <v>0.297062617518</v>
      </c>
      <c r="I19" s="41" t="n">
        <f aca="false">(parametros_carros!$D$36*('Plan mensual'!K2+IF(parametros_carros!$H$36="Todos",'Plan mensual'!K6,0))+parametros_carros!$E$36*('Plan mensual'!K3+IF(parametros_carros!$H$36="Todos",'Plan mensual'!K7,0))+parametros_carros!$F$36*('Plan mensual'!K4+IF(parametros_carros!$H$36="Todos",'Plan mensual'!K8,0))+parametros_carros!$G$36*('Plan mensual'!K5+IF(parametros_carros!$H$36="Todos",'Plan mensual'!K9,0)))/60</f>
        <v>0.297062617518</v>
      </c>
      <c r="J19" s="41" t="n">
        <f aca="false">(parametros_carros!$D$36*('Plan mensual'!L2+IF(parametros_carros!$H$36="Todos",'Plan mensual'!L6,0))+parametros_carros!$E$36*('Plan mensual'!L3+IF(parametros_carros!$H$36="Todos",'Plan mensual'!L7,0))+parametros_carros!$F$36*('Plan mensual'!L4+IF(parametros_carros!$H$36="Todos",'Plan mensual'!L8,0))+parametros_carros!$G$36*('Plan mensual'!L5+IF(parametros_carros!$H$36="Todos",'Plan mensual'!L9,0)))/60</f>
        <v>0.280559138767</v>
      </c>
      <c r="K19" s="41" t="n">
        <f aca="false">(parametros_carros!$D$36*('Plan mensual'!M2+IF(parametros_carros!$H$36="Todos",'Plan mensual'!M6,0))+parametros_carros!$E$36*('Plan mensual'!M3+IF(parametros_carros!$H$36="Todos",'Plan mensual'!M7,0))+parametros_carros!$F$36*('Plan mensual'!M4+IF(parametros_carros!$H$36="Todos",'Plan mensual'!M8,0))+parametros_carros!$G$36*('Plan mensual'!M5+IF(parametros_carros!$H$36="Todos",'Plan mensual'!M9,0)))/60</f>
        <v>0.247552181265</v>
      </c>
      <c r="L19" s="41" t="n">
        <f aca="false">(parametros_carros!$D$36*('Plan mensual'!N2+IF(parametros_carros!$H$36="Todos",'Plan mensual'!N6,0))+parametros_carros!$E$36*('Plan mensual'!N3+IF(parametros_carros!$H$36="Todos",'Plan mensual'!N7,0))+parametros_carros!$F$36*('Plan mensual'!N4+IF(parametros_carros!$H$36="Todos",'Plan mensual'!N8,0))+parametros_carros!$G$36*('Plan mensual'!N5+IF(parametros_carros!$H$36="Todos",'Plan mensual'!N9,0)))/60</f>
        <v>0.231048702514</v>
      </c>
      <c r="M19" s="41" t="n">
        <f aca="false">(parametros_carros!$D$36*('Plan mensual'!O2+IF(parametros_carros!$H$36="Todos",'Plan mensual'!O6,0))+parametros_carros!$E$36*('Plan mensual'!O3+IF(parametros_carros!$H$36="Todos",'Plan mensual'!O7,0))+parametros_carros!$F$36*('Plan mensual'!O4+IF(parametros_carros!$H$36="Todos",'Plan mensual'!O8,0))+parametros_carros!$G$36*('Plan mensual'!O5+IF(parametros_carros!$H$36="Todos",'Plan mensual'!O9,0)))/60</f>
        <v>0.264055660016</v>
      </c>
      <c r="N19" s="41" t="n">
        <f aca="false">SUM(B19:M19)</f>
        <v>3.3006957502</v>
      </c>
      <c r="O19" s="41" t="n">
        <f aca="false">MAX(B19:M19)</f>
        <v>0.297062617518</v>
      </c>
      <c r="P19" s="45" t="n">
        <f aca="false">IF(parametros_carros!$B$7=0,0,(O19+parametros_carros!$G$62)/parametros_carros!$B$7)</f>
        <v>0.0242026396723422</v>
      </c>
      <c r="Q19" s="29" t="str">
        <f aca="false">IF(O19=0,"-",INDEX($B$1:$M$1,MATCH(O19,B19:M19,0)))</f>
        <v>Mar</v>
      </c>
    </row>
    <row r="20" customFormat="false" ht="14.25" hidden="false" customHeight="true" outlineLevel="0" collapsed="false"/>
    <row r="21" customFormat="false" ht="45" hidden="false" customHeight="true" outlineLevel="0" collapsed="false">
      <c r="A21" s="11" t="s">
        <v>251</v>
      </c>
      <c r="B21" s="11" t="s">
        <v>17</v>
      </c>
      <c r="C21" s="11" t="s">
        <v>18</v>
      </c>
      <c r="D21" s="11" t="s">
        <v>19</v>
      </c>
      <c r="E21" s="11" t="s">
        <v>20</v>
      </c>
      <c r="F21" s="11" t="s">
        <v>21</v>
      </c>
      <c r="G21" s="11" t="s">
        <v>22</v>
      </c>
      <c r="H21" s="11" t="s">
        <v>23</v>
      </c>
      <c r="I21" s="11" t="s">
        <v>24</v>
      </c>
      <c r="J21" s="11" t="s">
        <v>25</v>
      </c>
      <c r="K21" s="11" t="s">
        <v>26</v>
      </c>
      <c r="L21" s="11" t="s">
        <v>27</v>
      </c>
      <c r="M21" s="11" t="s">
        <v>28</v>
      </c>
      <c r="N21" s="11" t="s">
        <v>247</v>
      </c>
      <c r="O21" s="11" t="s">
        <v>248</v>
      </c>
      <c r="P21" s="11" t="s">
        <v>249</v>
      </c>
      <c r="Q21" s="11" t="s">
        <v>250</v>
      </c>
    </row>
    <row r="22" customFormat="false" ht="14.25" hidden="false" customHeight="true" outlineLevel="0" collapsed="false">
      <c r="A22" s="12" t="str">
        <f aca="false">parametros_carros!$B$19</f>
        <v>Recepción de materia prima</v>
      </c>
      <c r="B22" s="41" t="n">
        <f aca="false">(parametros_carros!$D$19*('Plan mensual'!D13+IF(parametros_carros!$H$19="Todos",'Plan mensual'!D17,0))+parametros_carros!$E$19*('Plan mensual'!D14+IF(parametros_carros!$H$19="Todos",'Plan mensual'!D18,0))+parametros_carros!$F$19*('Plan mensual'!D15+IF(parametros_carros!$H$19="Todos",'Plan mensual'!D19,0))+parametros_carros!$G$19*('Plan mensual'!D16+IF(parametros_carros!$H$19="Todos",'Plan mensual'!D20,0)))/60</f>
        <v>0.594657749418379</v>
      </c>
      <c r="C22" s="41" t="n">
        <f aca="false">(parametros_carros!$D$19*('Plan mensual'!E13+IF(parametros_carros!$H$19="Todos",'Plan mensual'!E17,0))+parametros_carros!$E$19*('Plan mensual'!E14+IF(parametros_carros!$H$19="Todos",'Plan mensual'!E18,0))+parametros_carros!$F$19*('Plan mensual'!E15+IF(parametros_carros!$H$19="Todos",'Plan mensual'!E19,0))+parametros_carros!$G$19*('Plan mensual'!E16+IF(parametros_carros!$H$19="Todos",'Plan mensual'!E20,0)))/60</f>
        <v>0.524698014192688</v>
      </c>
      <c r="D22" s="41" t="n">
        <f aca="false">(parametros_carros!$D$19*('Plan mensual'!F13+IF(parametros_carros!$H$19="Todos",'Plan mensual'!F17,0))+parametros_carros!$E$19*('Plan mensual'!F14+IF(parametros_carros!$H$19="Todos",'Plan mensual'!F18,0))+parametros_carros!$F$19*('Plan mensual'!F15+IF(parametros_carros!$H$19="Todos",'Plan mensual'!F19,0))+parametros_carros!$G$19*('Plan mensual'!F16+IF(parametros_carros!$H$19="Todos",'Plan mensual'!F20,0)))/60</f>
        <v>0.629637617031225</v>
      </c>
      <c r="E22" s="41" t="n">
        <f aca="false">(parametros_carros!$D$19*('Plan mensual'!G13+IF(parametros_carros!$H$19="Todos",'Plan mensual'!G17,0))+parametros_carros!$E$19*('Plan mensual'!G14+IF(parametros_carros!$H$19="Todos",'Plan mensual'!G18,0))+parametros_carros!$F$19*('Plan mensual'!G15+IF(parametros_carros!$H$19="Todos",'Plan mensual'!G19,0))+parametros_carros!$G$19*('Plan mensual'!G16+IF(parametros_carros!$H$19="Todos",'Plan mensual'!G20,0)))/60</f>
        <v>0.629637617031225</v>
      </c>
      <c r="F22" s="41" t="n">
        <f aca="false">(parametros_carros!$D$19*('Plan mensual'!H13+IF(parametros_carros!$H$19="Todos",'Plan mensual'!H17,0))+parametros_carros!$E$19*('Plan mensual'!H14+IF(parametros_carros!$H$19="Todos",'Plan mensual'!H18,0))+parametros_carros!$F$19*('Plan mensual'!H15+IF(parametros_carros!$H$19="Todos",'Plan mensual'!H19,0))+parametros_carros!$G$19*('Plan mensual'!H16+IF(parametros_carros!$H$19="Todos",'Plan mensual'!H20,0)))/60</f>
        <v>0.629637617031225</v>
      </c>
      <c r="G22" s="41" t="n">
        <f aca="false">(parametros_carros!$D$19*('Plan mensual'!I13+IF(parametros_carros!$H$19="Todos",'Plan mensual'!I17,0))+parametros_carros!$E$19*('Plan mensual'!I14+IF(parametros_carros!$H$19="Todos",'Plan mensual'!I18,0))+parametros_carros!$F$19*('Plan mensual'!I15+IF(parametros_carros!$H$19="Todos",'Plan mensual'!I19,0))+parametros_carros!$G$19*('Plan mensual'!I16+IF(parametros_carros!$H$19="Todos",'Plan mensual'!I20,0)))/60</f>
        <v>0.559677881805534</v>
      </c>
      <c r="H22" s="41" t="n">
        <f aca="false">(parametros_carros!$D$19*('Plan mensual'!J13+IF(parametros_carros!$H$19="Todos",'Plan mensual'!J17,0))+parametros_carros!$E$19*('Plan mensual'!J14+IF(parametros_carros!$H$19="Todos",'Plan mensual'!J18,0))+parametros_carros!$F$19*('Plan mensual'!J15+IF(parametros_carros!$H$19="Todos",'Plan mensual'!J19,0))+parametros_carros!$G$19*('Plan mensual'!J16+IF(parametros_carros!$H$19="Todos",'Plan mensual'!J20,0)))/60</f>
        <v>0.629637617031225</v>
      </c>
      <c r="I22" s="41" t="n">
        <f aca="false">(parametros_carros!$D$19*('Plan mensual'!K13+IF(parametros_carros!$H$19="Todos",'Plan mensual'!K17,0))+parametros_carros!$E$19*('Plan mensual'!K14+IF(parametros_carros!$H$19="Todos",'Plan mensual'!K18,0))+parametros_carros!$F$19*('Plan mensual'!K15+IF(parametros_carros!$H$19="Todos",'Plan mensual'!K19,0))+parametros_carros!$G$19*('Plan mensual'!K16+IF(parametros_carros!$H$19="Todos",'Plan mensual'!K20,0)))/60</f>
        <v>0.629637617031225</v>
      </c>
      <c r="J22" s="41" t="n">
        <f aca="false">(parametros_carros!$D$19*('Plan mensual'!L13+IF(parametros_carros!$H$19="Todos",'Plan mensual'!L17,0))+parametros_carros!$E$19*('Plan mensual'!L14+IF(parametros_carros!$H$19="Todos",'Plan mensual'!L18,0))+parametros_carros!$F$19*('Plan mensual'!L15+IF(parametros_carros!$H$19="Todos",'Plan mensual'!L19,0))+parametros_carros!$G$19*('Plan mensual'!L16+IF(parametros_carros!$H$19="Todos",'Plan mensual'!L20,0)))/60</f>
        <v>0.594657749418379</v>
      </c>
      <c r="K22" s="41" t="n">
        <f aca="false">(parametros_carros!$D$19*('Plan mensual'!M13+IF(parametros_carros!$H$19="Todos",'Plan mensual'!M17,0))+parametros_carros!$E$19*('Plan mensual'!M14+IF(parametros_carros!$H$19="Todos",'Plan mensual'!M18,0))+parametros_carros!$F$19*('Plan mensual'!M15+IF(parametros_carros!$H$19="Todos",'Plan mensual'!M19,0))+parametros_carros!$G$19*('Plan mensual'!M16+IF(parametros_carros!$H$19="Todos",'Plan mensual'!M20,0)))/60</f>
        <v>0.524698014192688</v>
      </c>
      <c r="L22" s="41" t="n">
        <f aca="false">(parametros_carros!$D$19*('Plan mensual'!N13+IF(parametros_carros!$H$19="Todos",'Plan mensual'!N17,0))+parametros_carros!$E$19*('Plan mensual'!N14+IF(parametros_carros!$H$19="Todos",'Plan mensual'!N18,0))+parametros_carros!$F$19*('Plan mensual'!N15+IF(parametros_carros!$H$19="Todos",'Plan mensual'!N19,0))+parametros_carros!$G$19*('Plan mensual'!N16+IF(parametros_carros!$H$19="Todos",'Plan mensual'!N20,0)))/60</f>
        <v>0.489718146579842</v>
      </c>
      <c r="M22" s="41" t="n">
        <f aca="false">(parametros_carros!$D$19*('Plan mensual'!O13+IF(parametros_carros!$H$19="Todos",'Plan mensual'!O17,0))+parametros_carros!$E$19*('Plan mensual'!O14+IF(parametros_carros!$H$19="Todos",'Plan mensual'!O18,0))+parametros_carros!$F$19*('Plan mensual'!O15+IF(parametros_carros!$H$19="Todos",'Plan mensual'!O19,0))+parametros_carros!$G$19*('Plan mensual'!O16+IF(parametros_carros!$H$19="Todos",'Plan mensual'!O20,0)))/60</f>
        <v>0.559677881805534</v>
      </c>
      <c r="N22" s="41" t="n">
        <f aca="false">SUM(B22:M22)</f>
        <v>6.99597352256917</v>
      </c>
      <c r="O22" s="41" t="n">
        <f aca="false">MAX(B22:M22)</f>
        <v>0.629637617031225</v>
      </c>
      <c r="P22" s="45" t="n">
        <f aca="false">IF(parametros_carros!$B$7=0,0,(O22+parametros_carros!$G$45)/parametros_carros!$B$7)</f>
        <v>0.0523086952246526</v>
      </c>
      <c r="Q22" s="29" t="str">
        <f aca="false">IF(O22=0,"-",INDEX($B$21:$M$21,MATCH(O22,B22:M22,0)))</f>
        <v>Mar</v>
      </c>
    </row>
    <row r="23" customFormat="false" ht="14.25" hidden="false" customHeight="true" outlineLevel="0" collapsed="false">
      <c r="A23" s="12" t="str">
        <f aca="false">parametros_carros!$B$20</f>
        <v>Corte de chapa (guillotina)</v>
      </c>
      <c r="B23" s="41" t="n">
        <f aca="false">(parametros_carros!$D$20*('Plan mensual'!D13+IF(parametros_carros!$H$20="Todos",'Plan mensual'!D17,0))+parametros_carros!$E$20*('Plan mensual'!D14+IF(parametros_carros!$H$20="Todos",'Plan mensual'!D18,0))+parametros_carros!$F$20*('Plan mensual'!D15+IF(parametros_carros!$H$20="Todos",'Plan mensual'!D19,0))+parametros_carros!$G$20*('Plan mensual'!D16+IF(parametros_carros!$H$20="Todos",'Plan mensual'!D20,0)))/60</f>
        <v>1.30725669242561</v>
      </c>
      <c r="C23" s="41" t="n">
        <f aca="false">(parametros_carros!$D$20*('Plan mensual'!E13+IF(parametros_carros!$H$20="Todos",'Plan mensual'!E17,0))+parametros_carros!$E$20*('Plan mensual'!E14+IF(parametros_carros!$H$20="Todos",'Plan mensual'!E18,0))+parametros_carros!$F$20*('Plan mensual'!E15+IF(parametros_carros!$H$20="Todos",'Plan mensual'!E19,0))+parametros_carros!$G$20*('Plan mensual'!E16+IF(parametros_carros!$H$20="Todos",'Plan mensual'!E20,0)))/60</f>
        <v>1.15346178743436</v>
      </c>
      <c r="D23" s="41" t="n">
        <f aca="false">(parametros_carros!$D$20*('Plan mensual'!F13+IF(parametros_carros!$H$20="Todos",'Plan mensual'!F17,0))+parametros_carros!$E$20*('Plan mensual'!F14+IF(parametros_carros!$H$20="Todos",'Plan mensual'!F18,0))+parametros_carros!$F$20*('Plan mensual'!F15+IF(parametros_carros!$H$20="Todos",'Plan mensual'!F19,0))+parametros_carros!$G$20*('Plan mensual'!F16+IF(parametros_carros!$H$20="Todos",'Plan mensual'!F20,0)))/60</f>
        <v>1.38415414492123</v>
      </c>
      <c r="E23" s="41" t="n">
        <f aca="false">(parametros_carros!$D$20*('Plan mensual'!G13+IF(parametros_carros!$H$20="Todos",'Plan mensual'!G17,0))+parametros_carros!$E$20*('Plan mensual'!G14+IF(parametros_carros!$H$20="Todos",'Plan mensual'!G18,0))+parametros_carros!$F$20*('Plan mensual'!G15+IF(parametros_carros!$H$20="Todos",'Plan mensual'!G19,0))+parametros_carros!$G$20*('Plan mensual'!G16+IF(parametros_carros!$H$20="Todos",'Plan mensual'!G20,0)))/60</f>
        <v>1.38415414492123</v>
      </c>
      <c r="F23" s="41" t="n">
        <f aca="false">(parametros_carros!$D$20*('Plan mensual'!H13+IF(parametros_carros!$H$20="Todos",'Plan mensual'!H17,0))+parametros_carros!$E$20*('Plan mensual'!H14+IF(parametros_carros!$H$20="Todos",'Plan mensual'!H18,0))+parametros_carros!$F$20*('Plan mensual'!H15+IF(parametros_carros!$H$20="Todos",'Plan mensual'!H19,0))+parametros_carros!$G$20*('Plan mensual'!H16+IF(parametros_carros!$H$20="Todos",'Plan mensual'!H20,0)))/60</f>
        <v>1.38415414492123</v>
      </c>
      <c r="G23" s="41" t="n">
        <f aca="false">(parametros_carros!$D$20*('Plan mensual'!I13+IF(parametros_carros!$H$20="Todos",'Plan mensual'!I17,0))+parametros_carros!$E$20*('Plan mensual'!I14+IF(parametros_carros!$H$20="Todos",'Plan mensual'!I18,0))+parametros_carros!$F$20*('Plan mensual'!I15+IF(parametros_carros!$H$20="Todos",'Plan mensual'!I19,0))+parametros_carros!$G$20*('Plan mensual'!I16+IF(parametros_carros!$H$20="Todos",'Plan mensual'!I20,0)))/60</f>
        <v>1.23035923992999</v>
      </c>
      <c r="H23" s="41" t="n">
        <f aca="false">(parametros_carros!$D$20*('Plan mensual'!J13+IF(parametros_carros!$H$20="Todos",'Plan mensual'!J17,0))+parametros_carros!$E$20*('Plan mensual'!J14+IF(parametros_carros!$H$20="Todos",'Plan mensual'!J18,0))+parametros_carros!$F$20*('Plan mensual'!J15+IF(parametros_carros!$H$20="Todos",'Plan mensual'!J19,0))+parametros_carros!$G$20*('Plan mensual'!J16+IF(parametros_carros!$H$20="Todos",'Plan mensual'!J20,0)))/60</f>
        <v>1.38415414492123</v>
      </c>
      <c r="I23" s="41" t="n">
        <f aca="false">(parametros_carros!$D$20*('Plan mensual'!K13+IF(parametros_carros!$H$20="Todos",'Plan mensual'!K17,0))+parametros_carros!$E$20*('Plan mensual'!K14+IF(parametros_carros!$H$20="Todos",'Plan mensual'!K18,0))+parametros_carros!$F$20*('Plan mensual'!K15+IF(parametros_carros!$H$20="Todos",'Plan mensual'!K19,0))+parametros_carros!$G$20*('Plan mensual'!K16+IF(parametros_carros!$H$20="Todos",'Plan mensual'!K20,0)))/60</f>
        <v>1.38415414492123</v>
      </c>
      <c r="J23" s="41" t="n">
        <f aca="false">(parametros_carros!$D$20*('Plan mensual'!L13+IF(parametros_carros!$H$20="Todos",'Plan mensual'!L17,0))+parametros_carros!$E$20*('Plan mensual'!L14+IF(parametros_carros!$H$20="Todos",'Plan mensual'!L18,0))+parametros_carros!$F$20*('Plan mensual'!L15+IF(parametros_carros!$H$20="Todos",'Plan mensual'!L19,0))+parametros_carros!$G$20*('Plan mensual'!L16+IF(parametros_carros!$H$20="Todos",'Plan mensual'!L20,0)))/60</f>
        <v>1.30725669242561</v>
      </c>
      <c r="K23" s="41" t="n">
        <f aca="false">(parametros_carros!$D$20*('Plan mensual'!M13+IF(parametros_carros!$H$20="Todos",'Plan mensual'!M17,0))+parametros_carros!$E$20*('Plan mensual'!M14+IF(parametros_carros!$H$20="Todos",'Plan mensual'!M18,0))+parametros_carros!$F$20*('Plan mensual'!M15+IF(parametros_carros!$H$20="Todos",'Plan mensual'!M19,0))+parametros_carros!$G$20*('Plan mensual'!M16+IF(parametros_carros!$H$20="Todos",'Plan mensual'!M20,0)))/60</f>
        <v>1.15346178743436</v>
      </c>
      <c r="L23" s="41" t="n">
        <f aca="false">(parametros_carros!$D$20*('Plan mensual'!N13+IF(parametros_carros!$H$20="Todos",'Plan mensual'!N17,0))+parametros_carros!$E$20*('Plan mensual'!N14+IF(parametros_carros!$H$20="Todos",'Plan mensual'!N18,0))+parametros_carros!$F$20*('Plan mensual'!N15+IF(parametros_carros!$H$20="Todos",'Plan mensual'!N19,0))+parametros_carros!$G$20*('Plan mensual'!N16+IF(parametros_carros!$H$20="Todos",'Plan mensual'!N20,0)))/60</f>
        <v>1.07656433493874</v>
      </c>
      <c r="M23" s="41" t="n">
        <f aca="false">(parametros_carros!$D$20*('Plan mensual'!O13+IF(parametros_carros!$H$20="Todos",'Plan mensual'!O17,0))+parametros_carros!$E$20*('Plan mensual'!O14+IF(parametros_carros!$H$20="Todos",'Plan mensual'!O18,0))+parametros_carros!$F$20*('Plan mensual'!O15+IF(parametros_carros!$H$20="Todos",'Plan mensual'!O19,0))+parametros_carros!$G$20*('Plan mensual'!O16+IF(parametros_carros!$H$20="Todos",'Plan mensual'!O20,0)))/60</f>
        <v>1.23035923992999</v>
      </c>
      <c r="N23" s="41" t="n">
        <f aca="false">SUM(B23:M23)</f>
        <v>15.3794904991248</v>
      </c>
      <c r="O23" s="41" t="n">
        <f aca="false">MAX(B23:M23)</f>
        <v>1.38415414492123</v>
      </c>
      <c r="P23" s="45" t="n">
        <f aca="false">IF(parametros_carros!$B$7=0,0,(O23+parametros_carros!$G$46)/parametros_carros!$B$7)</f>
        <v>0.0714499165216971</v>
      </c>
      <c r="Q23" s="29" t="str">
        <f aca="false">IF(O23=0,"-",INDEX($B$21:$M$21,MATCH(O23,B23:M23,0)))</f>
        <v>Mar</v>
      </c>
    </row>
    <row r="24" customFormat="false" ht="14.25" hidden="false" customHeight="true" outlineLevel="0" collapsed="false">
      <c r="A24" s="12" t="str">
        <f aca="false">parametros_carros!$B$21</f>
        <v>Marcado del cuerpo</v>
      </c>
      <c r="B24" s="41" t="n">
        <f aca="false">(parametros_carros!$D$21*('Plan mensual'!D13+IF(parametros_carros!$H$21="Todos",'Plan mensual'!D17,0))+parametros_carros!$E$21*('Plan mensual'!D14+IF(parametros_carros!$H$21="Todos",'Plan mensual'!D18,0))+parametros_carros!$F$21*('Plan mensual'!D15+IF(parametros_carros!$H$21="Todos",'Plan mensual'!D19,0))+parametros_carros!$G$21*('Plan mensual'!D16+IF(parametros_carros!$H$21="Todos",'Plan mensual'!D20,0)))/60</f>
        <v>0.52042638350475</v>
      </c>
      <c r="C24" s="41" t="n">
        <f aca="false">(parametros_carros!$D$21*('Plan mensual'!E13+IF(parametros_carros!$H$21="Todos",'Plan mensual'!E17,0))+parametros_carros!$E$21*('Plan mensual'!E14+IF(parametros_carros!$H$21="Todos",'Plan mensual'!E18,0))+parametros_carros!$F$21*('Plan mensual'!E15+IF(parametros_carros!$H$21="Todos",'Plan mensual'!E19,0))+parametros_carros!$G$21*('Plan mensual'!E16+IF(parametros_carros!$H$21="Todos",'Plan mensual'!E20,0)))/60</f>
        <v>0.45919975015125</v>
      </c>
      <c r="D24" s="41" t="n">
        <f aca="false">(parametros_carros!$D$21*('Plan mensual'!F13+IF(parametros_carros!$H$21="Todos",'Plan mensual'!F17,0))+parametros_carros!$E$21*('Plan mensual'!F14+IF(parametros_carros!$H$21="Todos",'Plan mensual'!F18,0))+parametros_carros!$F$21*('Plan mensual'!F15+IF(parametros_carros!$H$21="Todos",'Plan mensual'!F19,0))+parametros_carros!$G$21*('Plan mensual'!F16+IF(parametros_carros!$H$21="Todos",'Plan mensual'!F20,0)))/60</f>
        <v>0.5510397001815</v>
      </c>
      <c r="E24" s="41" t="n">
        <f aca="false">(parametros_carros!$D$21*('Plan mensual'!G13+IF(parametros_carros!$H$21="Todos",'Plan mensual'!G17,0))+parametros_carros!$E$21*('Plan mensual'!G14+IF(parametros_carros!$H$21="Todos",'Plan mensual'!G18,0))+parametros_carros!$F$21*('Plan mensual'!G15+IF(parametros_carros!$H$21="Todos",'Plan mensual'!G19,0))+parametros_carros!$G$21*('Plan mensual'!G16+IF(parametros_carros!$H$21="Todos",'Plan mensual'!G20,0)))/60</f>
        <v>0.5510397001815</v>
      </c>
      <c r="F24" s="41" t="n">
        <f aca="false">(parametros_carros!$D$21*('Plan mensual'!H13+IF(parametros_carros!$H$21="Todos",'Plan mensual'!H17,0))+parametros_carros!$E$21*('Plan mensual'!H14+IF(parametros_carros!$H$21="Todos",'Plan mensual'!H18,0))+parametros_carros!$F$21*('Plan mensual'!H15+IF(parametros_carros!$H$21="Todos",'Plan mensual'!H19,0))+parametros_carros!$G$21*('Plan mensual'!H16+IF(parametros_carros!$H$21="Todos",'Plan mensual'!H20,0)))/60</f>
        <v>0.5510397001815</v>
      </c>
      <c r="G24" s="41" t="n">
        <f aca="false">(parametros_carros!$D$21*('Plan mensual'!I13+IF(parametros_carros!$H$21="Todos",'Plan mensual'!I17,0))+parametros_carros!$E$21*('Plan mensual'!I14+IF(parametros_carros!$H$21="Todos",'Plan mensual'!I18,0))+parametros_carros!$F$21*('Plan mensual'!I15+IF(parametros_carros!$H$21="Todos",'Plan mensual'!I19,0))+parametros_carros!$G$21*('Plan mensual'!I16+IF(parametros_carros!$H$21="Todos",'Plan mensual'!I20,0)))/60</f>
        <v>0.489813066828</v>
      </c>
      <c r="H24" s="41" t="n">
        <f aca="false">(parametros_carros!$D$21*('Plan mensual'!J13+IF(parametros_carros!$H$21="Todos",'Plan mensual'!J17,0))+parametros_carros!$E$21*('Plan mensual'!J14+IF(parametros_carros!$H$21="Todos",'Plan mensual'!J18,0))+parametros_carros!$F$21*('Plan mensual'!J15+IF(parametros_carros!$H$21="Todos",'Plan mensual'!J19,0))+parametros_carros!$G$21*('Plan mensual'!J16+IF(parametros_carros!$H$21="Todos",'Plan mensual'!J20,0)))/60</f>
        <v>0.5510397001815</v>
      </c>
      <c r="I24" s="41" t="n">
        <f aca="false">(parametros_carros!$D$21*('Plan mensual'!K13+IF(parametros_carros!$H$21="Todos",'Plan mensual'!K17,0))+parametros_carros!$E$21*('Plan mensual'!K14+IF(parametros_carros!$H$21="Todos",'Plan mensual'!K18,0))+parametros_carros!$F$21*('Plan mensual'!K15+IF(parametros_carros!$H$21="Todos",'Plan mensual'!K19,0))+parametros_carros!$G$21*('Plan mensual'!K16+IF(parametros_carros!$H$21="Todos",'Plan mensual'!K20,0)))/60</f>
        <v>0.5510397001815</v>
      </c>
      <c r="J24" s="41" t="n">
        <f aca="false">(parametros_carros!$D$21*('Plan mensual'!L13+IF(parametros_carros!$H$21="Todos",'Plan mensual'!L17,0))+parametros_carros!$E$21*('Plan mensual'!L14+IF(parametros_carros!$H$21="Todos",'Plan mensual'!L18,0))+parametros_carros!$F$21*('Plan mensual'!L15+IF(parametros_carros!$H$21="Todos",'Plan mensual'!L19,0))+parametros_carros!$G$21*('Plan mensual'!L16+IF(parametros_carros!$H$21="Todos",'Plan mensual'!L20,0)))/60</f>
        <v>0.52042638350475</v>
      </c>
      <c r="K24" s="41" t="n">
        <f aca="false">(parametros_carros!$D$21*('Plan mensual'!M13+IF(parametros_carros!$H$21="Todos",'Plan mensual'!M17,0))+parametros_carros!$E$21*('Plan mensual'!M14+IF(parametros_carros!$H$21="Todos",'Plan mensual'!M18,0))+parametros_carros!$F$21*('Plan mensual'!M15+IF(parametros_carros!$H$21="Todos",'Plan mensual'!M19,0))+parametros_carros!$G$21*('Plan mensual'!M16+IF(parametros_carros!$H$21="Todos",'Plan mensual'!M20,0)))/60</f>
        <v>0.45919975015125</v>
      </c>
      <c r="L24" s="41" t="n">
        <f aca="false">(parametros_carros!$D$21*('Plan mensual'!N13+IF(parametros_carros!$H$21="Todos",'Plan mensual'!N17,0))+parametros_carros!$E$21*('Plan mensual'!N14+IF(parametros_carros!$H$21="Todos",'Plan mensual'!N18,0))+parametros_carros!$F$21*('Plan mensual'!N15+IF(parametros_carros!$H$21="Todos",'Plan mensual'!N19,0))+parametros_carros!$G$21*('Plan mensual'!N16+IF(parametros_carros!$H$21="Todos",'Plan mensual'!N20,0)))/60</f>
        <v>0.4285864334745</v>
      </c>
      <c r="M24" s="41" t="n">
        <f aca="false">(parametros_carros!$D$21*('Plan mensual'!O13+IF(parametros_carros!$H$21="Todos",'Plan mensual'!O17,0))+parametros_carros!$E$21*('Plan mensual'!O14+IF(parametros_carros!$H$21="Todos",'Plan mensual'!O18,0))+parametros_carros!$F$21*('Plan mensual'!O15+IF(parametros_carros!$H$21="Todos",'Plan mensual'!O19,0))+parametros_carros!$G$21*('Plan mensual'!O16+IF(parametros_carros!$H$21="Todos",'Plan mensual'!O20,0)))/60</f>
        <v>0.489813066828</v>
      </c>
      <c r="N24" s="41" t="n">
        <f aca="false">SUM(B24:M24)</f>
        <v>6.12266333535</v>
      </c>
      <c r="O24" s="41" t="n">
        <f aca="false">MAX(B24:M24)</f>
        <v>0.5510397001815</v>
      </c>
      <c r="P24" s="45" t="n">
        <f aca="false">IF(parametros_carros!$B$7=0,0,(O24+parametros_carros!$G$47)/parametros_carros!$B$7)</f>
        <v>0.0158958202234322</v>
      </c>
      <c r="Q24" s="29" t="str">
        <f aca="false">IF(O24=0,"-",INDEX($B$21:$M$21,MATCH(O24,B24:M24,0)))</f>
        <v>Mar</v>
      </c>
    </row>
    <row r="25" customFormat="false" ht="14.25" hidden="false" customHeight="true" outlineLevel="0" collapsed="false">
      <c r="A25" s="12" t="str">
        <f aca="false">parametros_carros!$B$22</f>
        <v>Cilindrado</v>
      </c>
      <c r="B25" s="41" t="n">
        <f aca="false">(parametros_carros!$D$22*('Plan mensual'!D13+IF(parametros_carros!$H$22="Todos",'Plan mensual'!D17,0))+parametros_carros!$E$22*('Plan mensual'!D14+IF(parametros_carros!$H$22="Todos",'Plan mensual'!D18,0))+parametros_carros!$F$22*('Plan mensual'!D15+IF(parametros_carros!$H$22="Todos",'Plan mensual'!D19,0))+parametros_carros!$G$22*('Plan mensual'!D16+IF(parametros_carros!$H$22="Todos",'Plan mensual'!D20,0)))/60</f>
        <v>1.11387850947975</v>
      </c>
      <c r="C25" s="41" t="n">
        <f aca="false">(parametros_carros!$D$22*('Plan mensual'!E13+IF(parametros_carros!$H$22="Todos",'Plan mensual'!E17,0))+parametros_carros!$E$22*('Plan mensual'!E14+IF(parametros_carros!$H$22="Todos",'Plan mensual'!E18,0))+parametros_carros!$F$22*('Plan mensual'!E15+IF(parametros_carros!$H$22="Todos",'Plan mensual'!E19,0))+parametros_carros!$G$22*('Plan mensual'!E16+IF(parametros_carros!$H$22="Todos",'Plan mensual'!E20,0)))/60</f>
        <v>0.982833978952717</v>
      </c>
      <c r="D25" s="41" t="n">
        <f aca="false">(parametros_carros!$D$22*('Plan mensual'!F13+IF(parametros_carros!$H$22="Todos",'Plan mensual'!F17,0))+parametros_carros!$E$22*('Plan mensual'!F14+IF(parametros_carros!$H$22="Todos",'Plan mensual'!F18,0))+parametros_carros!$F$22*('Plan mensual'!F15+IF(parametros_carros!$H$22="Todos",'Plan mensual'!F19,0))+parametros_carros!$G$22*('Plan mensual'!F16+IF(parametros_carros!$H$22="Todos",'Plan mensual'!F20,0)))/60</f>
        <v>1.17940077474326</v>
      </c>
      <c r="E25" s="41" t="n">
        <f aca="false">(parametros_carros!$D$22*('Plan mensual'!G13+IF(parametros_carros!$H$22="Todos",'Plan mensual'!G17,0))+parametros_carros!$E$22*('Plan mensual'!G14+IF(parametros_carros!$H$22="Todos",'Plan mensual'!G18,0))+parametros_carros!$F$22*('Plan mensual'!G15+IF(parametros_carros!$H$22="Todos",'Plan mensual'!G19,0))+parametros_carros!$G$22*('Plan mensual'!G16+IF(parametros_carros!$H$22="Todos",'Plan mensual'!G20,0)))/60</f>
        <v>1.17940077474326</v>
      </c>
      <c r="F25" s="41" t="n">
        <f aca="false">(parametros_carros!$D$22*('Plan mensual'!H13+IF(parametros_carros!$H$22="Todos",'Plan mensual'!H17,0))+parametros_carros!$E$22*('Plan mensual'!H14+IF(parametros_carros!$H$22="Todos",'Plan mensual'!H18,0))+parametros_carros!$F$22*('Plan mensual'!H15+IF(parametros_carros!$H$22="Todos",'Plan mensual'!H19,0))+parametros_carros!$G$22*('Plan mensual'!H16+IF(parametros_carros!$H$22="Todos",'Plan mensual'!H20,0)))/60</f>
        <v>1.17940077474326</v>
      </c>
      <c r="G25" s="41" t="n">
        <f aca="false">(parametros_carros!$D$22*('Plan mensual'!I13+IF(parametros_carros!$H$22="Todos",'Plan mensual'!I17,0))+parametros_carros!$E$22*('Plan mensual'!I14+IF(parametros_carros!$H$22="Todos",'Plan mensual'!I18,0))+parametros_carros!$F$22*('Plan mensual'!I15+IF(parametros_carros!$H$22="Todos",'Plan mensual'!I19,0))+parametros_carros!$G$22*('Plan mensual'!I16+IF(parametros_carros!$H$22="Todos",'Plan mensual'!I20,0)))/60</f>
        <v>1.04835624421623</v>
      </c>
      <c r="H25" s="41" t="n">
        <f aca="false">(parametros_carros!$D$22*('Plan mensual'!J13+IF(parametros_carros!$H$22="Todos",'Plan mensual'!J17,0))+parametros_carros!$E$22*('Plan mensual'!J14+IF(parametros_carros!$H$22="Todos",'Plan mensual'!J18,0))+parametros_carros!$F$22*('Plan mensual'!J15+IF(parametros_carros!$H$22="Todos",'Plan mensual'!J19,0))+parametros_carros!$G$22*('Plan mensual'!J16+IF(parametros_carros!$H$22="Todos",'Plan mensual'!J20,0)))/60</f>
        <v>1.17940077474326</v>
      </c>
      <c r="I25" s="41" t="n">
        <f aca="false">(parametros_carros!$D$22*('Plan mensual'!K13+IF(parametros_carros!$H$22="Todos",'Plan mensual'!K17,0))+parametros_carros!$E$22*('Plan mensual'!K14+IF(parametros_carros!$H$22="Todos",'Plan mensual'!K18,0))+parametros_carros!$F$22*('Plan mensual'!K15+IF(parametros_carros!$H$22="Todos",'Plan mensual'!K19,0))+parametros_carros!$G$22*('Plan mensual'!K16+IF(parametros_carros!$H$22="Todos",'Plan mensual'!K20,0)))/60</f>
        <v>1.17940077474326</v>
      </c>
      <c r="J25" s="41" t="n">
        <f aca="false">(parametros_carros!$D$22*('Plan mensual'!L13+IF(parametros_carros!$H$22="Todos",'Plan mensual'!L17,0))+parametros_carros!$E$22*('Plan mensual'!L14+IF(parametros_carros!$H$22="Todos",'Plan mensual'!L18,0))+parametros_carros!$F$22*('Plan mensual'!L15+IF(parametros_carros!$H$22="Todos",'Plan mensual'!L19,0))+parametros_carros!$G$22*('Plan mensual'!L16+IF(parametros_carros!$H$22="Todos",'Plan mensual'!L20,0)))/60</f>
        <v>1.11387850947975</v>
      </c>
      <c r="K25" s="41" t="n">
        <f aca="false">(parametros_carros!$D$22*('Plan mensual'!M13+IF(parametros_carros!$H$22="Todos",'Plan mensual'!M17,0))+parametros_carros!$E$22*('Plan mensual'!M14+IF(parametros_carros!$H$22="Todos",'Plan mensual'!M18,0))+parametros_carros!$F$22*('Plan mensual'!M15+IF(parametros_carros!$H$22="Todos",'Plan mensual'!M19,0))+parametros_carros!$G$22*('Plan mensual'!M16+IF(parametros_carros!$H$22="Todos",'Plan mensual'!M20,0)))/60</f>
        <v>0.982833978952717</v>
      </c>
      <c r="L25" s="41" t="n">
        <f aca="false">(parametros_carros!$D$22*('Plan mensual'!N13+IF(parametros_carros!$H$22="Todos",'Plan mensual'!N17,0))+parametros_carros!$E$22*('Plan mensual'!N14+IF(parametros_carros!$H$22="Todos",'Plan mensual'!N18,0))+parametros_carros!$F$22*('Plan mensual'!N15+IF(parametros_carros!$H$22="Todos",'Plan mensual'!N19,0))+parametros_carros!$G$22*('Plan mensual'!N16+IF(parametros_carros!$H$22="Todos",'Plan mensual'!N20,0)))/60</f>
        <v>0.917311713689203</v>
      </c>
      <c r="M25" s="41" t="n">
        <f aca="false">(parametros_carros!$D$22*('Plan mensual'!O13+IF(parametros_carros!$H$22="Todos",'Plan mensual'!O17,0))+parametros_carros!$E$22*('Plan mensual'!O14+IF(parametros_carros!$H$22="Todos",'Plan mensual'!O18,0))+parametros_carros!$F$22*('Plan mensual'!O15+IF(parametros_carros!$H$22="Todos",'Plan mensual'!O19,0))+parametros_carros!$G$22*('Plan mensual'!O16+IF(parametros_carros!$H$22="Todos",'Plan mensual'!O20,0)))/60</f>
        <v>1.04835624421623</v>
      </c>
      <c r="N25" s="41" t="n">
        <f aca="false">SUM(B25:M25)</f>
        <v>13.1044530527029</v>
      </c>
      <c r="O25" s="41" t="n">
        <f aca="false">MAX(B25:M25)</f>
        <v>1.17940077474326</v>
      </c>
      <c r="P25" s="45" t="n">
        <f aca="false">IF(parametros_carros!$B$7=0,0,(O25+parametros_carros!$G$48)/parametros_carros!$B$7)</f>
        <v>0.0478626718316217</v>
      </c>
      <c r="Q25" s="29" t="str">
        <f aca="false">IF(O25=0,"-",INDEX($B$21:$M$21,MATCH(O25,B25:M25,0)))</f>
        <v>Mar</v>
      </c>
    </row>
    <row r="26" customFormat="false" ht="14.25" hidden="false" customHeight="true" outlineLevel="0" collapsed="false">
      <c r="A26" s="12" t="str">
        <f aca="false">parametros_carros!$B$23</f>
        <v>Punteo del cuerpo</v>
      </c>
      <c r="B26" s="41" t="n">
        <f aca="false">(parametros_carros!$D$23*('Plan mensual'!D13+IF(parametros_carros!$H$23="Todos",'Plan mensual'!D17,0))+parametros_carros!$E$23*('Plan mensual'!D14+IF(parametros_carros!$H$23="Todos",'Plan mensual'!D18,0))+parametros_carros!$F$23*('Plan mensual'!D15+IF(parametros_carros!$H$23="Todos",'Plan mensual'!D19,0))+parametros_carros!$G$23*('Plan mensual'!D16+IF(parametros_carros!$H$23="Todos",'Plan mensual'!D20,0)))/60</f>
        <v>1.65127978697791</v>
      </c>
      <c r="C26" s="41" t="n">
        <f aca="false">(parametros_carros!$D$23*('Plan mensual'!E13+IF(parametros_carros!$H$23="Todos",'Plan mensual'!E17,0))+parametros_carros!$E$23*('Plan mensual'!E14+IF(parametros_carros!$H$23="Todos",'Plan mensual'!E18,0))+parametros_carros!$F$23*('Plan mensual'!E15+IF(parametros_carros!$H$23="Todos",'Plan mensual'!E19,0))+parametros_carros!$G$23*('Plan mensual'!E16+IF(parametros_carros!$H$23="Todos",'Plan mensual'!E20,0)))/60</f>
        <v>1.45701157674522</v>
      </c>
      <c r="D26" s="41" t="n">
        <f aca="false">(parametros_carros!$D$23*('Plan mensual'!F13+IF(parametros_carros!$H$23="Todos",'Plan mensual'!F17,0))+parametros_carros!$E$23*('Plan mensual'!F14+IF(parametros_carros!$H$23="Todos",'Plan mensual'!F18,0))+parametros_carros!$F$23*('Plan mensual'!F15+IF(parametros_carros!$H$23="Todos",'Plan mensual'!F19,0))+parametros_carros!$G$23*('Plan mensual'!F16+IF(parametros_carros!$H$23="Todos",'Plan mensual'!F20,0)))/60</f>
        <v>1.74841389209426</v>
      </c>
      <c r="E26" s="41" t="n">
        <f aca="false">(parametros_carros!$D$23*('Plan mensual'!G13+IF(parametros_carros!$H$23="Todos",'Plan mensual'!G17,0))+parametros_carros!$E$23*('Plan mensual'!G14+IF(parametros_carros!$H$23="Todos",'Plan mensual'!G18,0))+parametros_carros!$F$23*('Plan mensual'!G15+IF(parametros_carros!$H$23="Todos",'Plan mensual'!G19,0))+parametros_carros!$G$23*('Plan mensual'!G16+IF(parametros_carros!$H$23="Todos",'Plan mensual'!G20,0)))/60</f>
        <v>1.74841389209426</v>
      </c>
      <c r="F26" s="41" t="n">
        <f aca="false">(parametros_carros!$D$23*('Plan mensual'!H13+IF(parametros_carros!$H$23="Todos",'Plan mensual'!H17,0))+parametros_carros!$E$23*('Plan mensual'!H14+IF(parametros_carros!$H$23="Todos",'Plan mensual'!H18,0))+parametros_carros!$F$23*('Plan mensual'!H15+IF(parametros_carros!$H$23="Todos",'Plan mensual'!H19,0))+parametros_carros!$G$23*('Plan mensual'!H16+IF(parametros_carros!$H$23="Todos",'Plan mensual'!H20,0)))/60</f>
        <v>1.74841389209426</v>
      </c>
      <c r="G26" s="41" t="n">
        <f aca="false">(parametros_carros!$D$23*('Plan mensual'!I13+IF(parametros_carros!$H$23="Todos",'Plan mensual'!I17,0))+parametros_carros!$E$23*('Plan mensual'!I14+IF(parametros_carros!$H$23="Todos",'Plan mensual'!I18,0))+parametros_carros!$F$23*('Plan mensual'!I15+IF(parametros_carros!$H$23="Todos",'Plan mensual'!I19,0))+parametros_carros!$G$23*('Plan mensual'!I16+IF(parametros_carros!$H$23="Todos",'Plan mensual'!I20,0)))/60</f>
        <v>1.55414568186157</v>
      </c>
      <c r="H26" s="41" t="n">
        <f aca="false">(parametros_carros!$D$23*('Plan mensual'!J13+IF(parametros_carros!$H$23="Todos",'Plan mensual'!J17,0))+parametros_carros!$E$23*('Plan mensual'!J14+IF(parametros_carros!$H$23="Todos",'Plan mensual'!J18,0))+parametros_carros!$F$23*('Plan mensual'!J15+IF(parametros_carros!$H$23="Todos",'Plan mensual'!J19,0))+parametros_carros!$G$23*('Plan mensual'!J16+IF(parametros_carros!$H$23="Todos",'Plan mensual'!J20,0)))/60</f>
        <v>1.74841389209426</v>
      </c>
      <c r="I26" s="41" t="n">
        <f aca="false">(parametros_carros!$D$23*('Plan mensual'!K13+IF(parametros_carros!$H$23="Todos",'Plan mensual'!K17,0))+parametros_carros!$E$23*('Plan mensual'!K14+IF(parametros_carros!$H$23="Todos",'Plan mensual'!K18,0))+parametros_carros!$F$23*('Plan mensual'!K15+IF(parametros_carros!$H$23="Todos",'Plan mensual'!K19,0))+parametros_carros!$G$23*('Plan mensual'!K16+IF(parametros_carros!$H$23="Todos",'Plan mensual'!K20,0)))/60</f>
        <v>1.74841389209426</v>
      </c>
      <c r="J26" s="41" t="n">
        <f aca="false">(parametros_carros!$D$23*('Plan mensual'!L13+IF(parametros_carros!$H$23="Todos",'Plan mensual'!L17,0))+parametros_carros!$E$23*('Plan mensual'!L14+IF(parametros_carros!$H$23="Todos",'Plan mensual'!L18,0))+parametros_carros!$F$23*('Plan mensual'!L15+IF(parametros_carros!$H$23="Todos",'Plan mensual'!L19,0))+parametros_carros!$G$23*('Plan mensual'!L16+IF(parametros_carros!$H$23="Todos",'Plan mensual'!L20,0)))/60</f>
        <v>1.65127978697791</v>
      </c>
      <c r="K26" s="41" t="n">
        <f aca="false">(parametros_carros!$D$23*('Plan mensual'!M13+IF(parametros_carros!$H$23="Todos",'Plan mensual'!M17,0))+parametros_carros!$E$23*('Plan mensual'!M14+IF(parametros_carros!$H$23="Todos",'Plan mensual'!M18,0))+parametros_carros!$F$23*('Plan mensual'!M15+IF(parametros_carros!$H$23="Todos",'Plan mensual'!M19,0))+parametros_carros!$G$23*('Plan mensual'!M16+IF(parametros_carros!$H$23="Todos",'Plan mensual'!M20,0)))/60</f>
        <v>1.45701157674522</v>
      </c>
      <c r="L26" s="41" t="n">
        <f aca="false">(parametros_carros!$D$23*('Plan mensual'!N13+IF(parametros_carros!$H$23="Todos",'Plan mensual'!N17,0))+parametros_carros!$E$23*('Plan mensual'!N14+IF(parametros_carros!$H$23="Todos",'Plan mensual'!N18,0))+parametros_carros!$F$23*('Plan mensual'!N15+IF(parametros_carros!$H$23="Todos",'Plan mensual'!N19,0))+parametros_carros!$G$23*('Plan mensual'!N16+IF(parametros_carros!$H$23="Todos",'Plan mensual'!N20,0)))/60</f>
        <v>1.35987747162887</v>
      </c>
      <c r="M26" s="41" t="n">
        <f aca="false">(parametros_carros!$D$23*('Plan mensual'!O13+IF(parametros_carros!$H$23="Todos",'Plan mensual'!O17,0))+parametros_carros!$E$23*('Plan mensual'!O14+IF(parametros_carros!$H$23="Todos",'Plan mensual'!O18,0))+parametros_carros!$F$23*('Plan mensual'!O15+IF(parametros_carros!$H$23="Todos",'Plan mensual'!O19,0))+parametros_carros!$G$23*('Plan mensual'!O16+IF(parametros_carros!$H$23="Todos",'Plan mensual'!O20,0)))/60</f>
        <v>1.55414568186157</v>
      </c>
      <c r="N26" s="41" t="n">
        <f aca="false">SUM(B26:M26)</f>
        <v>19.4268210232696</v>
      </c>
      <c r="O26" s="41" t="n">
        <f aca="false">MAX(B26:M26)</f>
        <v>1.74841389209426</v>
      </c>
      <c r="P26" s="45" t="n">
        <f aca="false">IF(parametros_carros!$B$7=0,0,(O26+parametros_carros!$G$49)/parametros_carros!$B$7)</f>
        <v>0.0227672037250729</v>
      </c>
      <c r="Q26" s="29" t="str">
        <f aca="false">IF(O26=0,"-",INDEX($B$21:$M$21,MATCH(O26,B26:M26,0)))</f>
        <v>Mar</v>
      </c>
    </row>
    <row r="27" customFormat="false" ht="14.25" hidden="false" customHeight="true" outlineLevel="0" collapsed="false">
      <c r="A27" s="12" t="str">
        <f aca="false">parametros_carros!$B$24</f>
        <v>Soldadura longitudinal</v>
      </c>
      <c r="B27" s="41" t="n">
        <f aca="false">(parametros_carros!$D$24*('Plan mensual'!D13+IF(parametros_carros!$H$24="Todos",'Plan mensual'!D17,0))+parametros_carros!$E$24*('Plan mensual'!D14+IF(parametros_carros!$H$24="Todos",'Plan mensual'!D18,0))+parametros_carros!$F$24*('Plan mensual'!D15+IF(parametros_carros!$H$24="Todos",'Plan mensual'!D19,0))+parametros_carros!$G$24*('Plan mensual'!D16+IF(parametros_carros!$H$24="Todos",'Plan mensual'!D20,0)))/60</f>
        <v>1.1347316598135</v>
      </c>
      <c r="C27" s="41" t="n">
        <f aca="false">(parametros_carros!$D$24*('Plan mensual'!E13+IF(parametros_carros!$H$24="Todos",'Plan mensual'!E17,0))+parametros_carros!$E$24*('Plan mensual'!E14+IF(parametros_carros!$H$24="Todos",'Plan mensual'!E18,0))+parametros_carros!$F$24*('Plan mensual'!E15+IF(parametros_carros!$H$24="Todos",'Plan mensual'!E19,0))+parametros_carros!$G$24*('Plan mensual'!E16+IF(parametros_carros!$H$24="Todos",'Plan mensual'!E20,0)))/60</f>
        <v>1.0012338174825</v>
      </c>
      <c r="D27" s="41" t="n">
        <f aca="false">(parametros_carros!$D$24*('Plan mensual'!F13+IF(parametros_carros!$H$24="Todos",'Plan mensual'!F17,0))+parametros_carros!$E$24*('Plan mensual'!F14+IF(parametros_carros!$H$24="Todos",'Plan mensual'!F18,0))+parametros_carros!$F$24*('Plan mensual'!F15+IF(parametros_carros!$H$24="Todos",'Plan mensual'!F19,0))+parametros_carros!$G$24*('Plan mensual'!F16+IF(parametros_carros!$H$24="Todos",'Plan mensual'!F20,0)))/60</f>
        <v>1.201480580979</v>
      </c>
      <c r="E27" s="41" t="n">
        <f aca="false">(parametros_carros!$D$24*('Plan mensual'!G13+IF(parametros_carros!$H$24="Todos",'Plan mensual'!G17,0))+parametros_carros!$E$24*('Plan mensual'!G14+IF(parametros_carros!$H$24="Todos",'Plan mensual'!G18,0))+parametros_carros!$F$24*('Plan mensual'!G15+IF(parametros_carros!$H$24="Todos",'Plan mensual'!G19,0))+parametros_carros!$G$24*('Plan mensual'!G16+IF(parametros_carros!$H$24="Todos",'Plan mensual'!G20,0)))/60</f>
        <v>1.201480580979</v>
      </c>
      <c r="F27" s="41" t="n">
        <f aca="false">(parametros_carros!$D$24*('Plan mensual'!H13+IF(parametros_carros!$H$24="Todos",'Plan mensual'!H17,0))+parametros_carros!$E$24*('Plan mensual'!H14+IF(parametros_carros!$H$24="Todos",'Plan mensual'!H18,0))+parametros_carros!$F$24*('Plan mensual'!H15+IF(parametros_carros!$H$24="Todos",'Plan mensual'!H19,0))+parametros_carros!$G$24*('Plan mensual'!H16+IF(parametros_carros!$H$24="Todos",'Plan mensual'!H20,0)))/60</f>
        <v>1.201480580979</v>
      </c>
      <c r="G27" s="41" t="n">
        <f aca="false">(parametros_carros!$D$24*('Plan mensual'!I13+IF(parametros_carros!$H$24="Todos",'Plan mensual'!I17,0))+parametros_carros!$E$24*('Plan mensual'!I14+IF(parametros_carros!$H$24="Todos",'Plan mensual'!I18,0))+parametros_carros!$F$24*('Plan mensual'!I15+IF(parametros_carros!$H$24="Todos",'Plan mensual'!I19,0))+parametros_carros!$G$24*('Plan mensual'!I16+IF(parametros_carros!$H$24="Todos",'Plan mensual'!I20,0)))/60</f>
        <v>1.067982738648</v>
      </c>
      <c r="H27" s="41" t="n">
        <f aca="false">(parametros_carros!$D$24*('Plan mensual'!J13+IF(parametros_carros!$H$24="Todos",'Plan mensual'!J17,0))+parametros_carros!$E$24*('Plan mensual'!J14+IF(parametros_carros!$H$24="Todos",'Plan mensual'!J18,0))+parametros_carros!$F$24*('Plan mensual'!J15+IF(parametros_carros!$H$24="Todos",'Plan mensual'!J19,0))+parametros_carros!$G$24*('Plan mensual'!J16+IF(parametros_carros!$H$24="Todos",'Plan mensual'!J20,0)))/60</f>
        <v>1.201480580979</v>
      </c>
      <c r="I27" s="41" t="n">
        <f aca="false">(parametros_carros!$D$24*('Plan mensual'!K13+IF(parametros_carros!$H$24="Todos",'Plan mensual'!K17,0))+parametros_carros!$E$24*('Plan mensual'!K14+IF(parametros_carros!$H$24="Todos",'Plan mensual'!K18,0))+parametros_carros!$F$24*('Plan mensual'!K15+IF(parametros_carros!$H$24="Todos",'Plan mensual'!K19,0))+parametros_carros!$G$24*('Plan mensual'!K16+IF(parametros_carros!$H$24="Todos",'Plan mensual'!K20,0)))/60</f>
        <v>1.201480580979</v>
      </c>
      <c r="J27" s="41" t="n">
        <f aca="false">(parametros_carros!$D$24*('Plan mensual'!L13+IF(parametros_carros!$H$24="Todos",'Plan mensual'!L17,0))+parametros_carros!$E$24*('Plan mensual'!L14+IF(parametros_carros!$H$24="Todos",'Plan mensual'!L18,0))+parametros_carros!$F$24*('Plan mensual'!L15+IF(parametros_carros!$H$24="Todos",'Plan mensual'!L19,0))+parametros_carros!$G$24*('Plan mensual'!L16+IF(parametros_carros!$H$24="Todos",'Plan mensual'!L20,0)))/60</f>
        <v>1.1347316598135</v>
      </c>
      <c r="K27" s="41" t="n">
        <f aca="false">(parametros_carros!$D$24*('Plan mensual'!M13+IF(parametros_carros!$H$24="Todos",'Plan mensual'!M17,0))+parametros_carros!$E$24*('Plan mensual'!M14+IF(parametros_carros!$H$24="Todos",'Plan mensual'!M18,0))+parametros_carros!$F$24*('Plan mensual'!M15+IF(parametros_carros!$H$24="Todos",'Plan mensual'!M19,0))+parametros_carros!$G$24*('Plan mensual'!M16+IF(parametros_carros!$H$24="Todos",'Plan mensual'!M20,0)))/60</f>
        <v>1.0012338174825</v>
      </c>
      <c r="L27" s="41" t="n">
        <f aca="false">(parametros_carros!$D$24*('Plan mensual'!N13+IF(parametros_carros!$H$24="Todos",'Plan mensual'!N17,0))+parametros_carros!$E$24*('Plan mensual'!N14+IF(parametros_carros!$H$24="Todos",'Plan mensual'!N18,0))+parametros_carros!$F$24*('Plan mensual'!N15+IF(parametros_carros!$H$24="Todos",'Plan mensual'!N19,0))+parametros_carros!$G$24*('Plan mensual'!N16+IF(parametros_carros!$H$24="Todos",'Plan mensual'!N20,0)))/60</f>
        <v>0.934484896317</v>
      </c>
      <c r="M27" s="41" t="n">
        <f aca="false">(parametros_carros!$D$24*('Plan mensual'!O13+IF(parametros_carros!$H$24="Todos",'Plan mensual'!O17,0))+parametros_carros!$E$24*('Plan mensual'!O14+IF(parametros_carros!$H$24="Todos",'Plan mensual'!O18,0))+parametros_carros!$F$24*('Plan mensual'!O15+IF(parametros_carros!$H$24="Todos",'Plan mensual'!O19,0))+parametros_carros!$G$24*('Plan mensual'!O16+IF(parametros_carros!$H$24="Todos",'Plan mensual'!O20,0)))/60</f>
        <v>1.067982738648</v>
      </c>
      <c r="N27" s="41" t="n">
        <f aca="false">SUM(B27:M27)</f>
        <v>13.3497842331</v>
      </c>
      <c r="O27" s="41" t="n">
        <f aca="false">MAX(B27:M27)</f>
        <v>1.201480580979</v>
      </c>
      <c r="P27" s="45" t="n">
        <f aca="false">IF(parametros_carros!$B$7=0,0,(O27+parametros_carros!$G$50)/parametros_carros!$B$7)</f>
        <v>0.0257876483176378</v>
      </c>
      <c r="Q27" s="29" t="str">
        <f aca="false">IF(O27=0,"-",INDEX($B$21:$M$21,MATCH(O27,B27:M27,0)))</f>
        <v>Mar</v>
      </c>
    </row>
    <row r="28" customFormat="false" ht="14.25" hidden="false" customHeight="true" outlineLevel="0" collapsed="false">
      <c r="A28" s="12" t="str">
        <f aca="false">parametros_carros!$B$25</f>
        <v>Soldadura de cupla en la cúpula</v>
      </c>
      <c r="B28" s="41" t="n">
        <f aca="false">(parametros_carros!$D$25*('Plan mensual'!D13+IF(parametros_carros!$H$25="Todos",'Plan mensual'!D17,0))+parametros_carros!$E$25*('Plan mensual'!D14+IF(parametros_carros!$H$25="Todos",'Plan mensual'!D18,0))+parametros_carros!$F$25*('Plan mensual'!D15+IF(parametros_carros!$H$25="Todos",'Plan mensual'!D19,0))+parametros_carros!$G$25*('Plan mensual'!D16+IF(parametros_carros!$H$25="Todos",'Plan mensual'!D20,0)))/60</f>
        <v>1.12091662088333</v>
      </c>
      <c r="C28" s="41" t="n">
        <f aca="false">(parametros_carros!$D$25*('Plan mensual'!E13+IF(parametros_carros!$H$25="Todos",'Plan mensual'!E17,0))+parametros_carros!$E$25*('Plan mensual'!E14+IF(parametros_carros!$H$25="Todos",'Plan mensual'!E18,0))+parametros_carros!$F$25*('Plan mensual'!E15+IF(parametros_carros!$H$25="Todos",'Plan mensual'!E19,0))+parametros_carros!$G$25*('Plan mensual'!E16+IF(parametros_carros!$H$25="Todos",'Plan mensual'!E20,0)))/60</f>
        <v>0.98904407725</v>
      </c>
      <c r="D28" s="41" t="n">
        <f aca="false">(parametros_carros!$D$25*('Plan mensual'!F13+IF(parametros_carros!$H$25="Todos",'Plan mensual'!F17,0))+parametros_carros!$E$25*('Plan mensual'!F14+IF(parametros_carros!$H$25="Todos",'Plan mensual'!F18,0))+parametros_carros!$F$25*('Plan mensual'!F15+IF(parametros_carros!$H$25="Todos",'Plan mensual'!F19,0))+parametros_carros!$G$25*('Plan mensual'!F16+IF(parametros_carros!$H$25="Todos",'Plan mensual'!F20,0)))/60</f>
        <v>1.1868528927</v>
      </c>
      <c r="E28" s="41" t="n">
        <f aca="false">(parametros_carros!$D$25*('Plan mensual'!G13+IF(parametros_carros!$H$25="Todos",'Plan mensual'!G17,0))+parametros_carros!$E$25*('Plan mensual'!G14+IF(parametros_carros!$H$25="Todos",'Plan mensual'!G18,0))+parametros_carros!$F$25*('Plan mensual'!G15+IF(parametros_carros!$H$25="Todos",'Plan mensual'!G19,0))+parametros_carros!$G$25*('Plan mensual'!G16+IF(parametros_carros!$H$25="Todos",'Plan mensual'!G20,0)))/60</f>
        <v>1.1868528927</v>
      </c>
      <c r="F28" s="41" t="n">
        <f aca="false">(parametros_carros!$D$25*('Plan mensual'!H13+IF(parametros_carros!$H$25="Todos",'Plan mensual'!H17,0))+parametros_carros!$E$25*('Plan mensual'!H14+IF(parametros_carros!$H$25="Todos",'Plan mensual'!H18,0))+parametros_carros!$F$25*('Plan mensual'!H15+IF(parametros_carros!$H$25="Todos",'Plan mensual'!H19,0))+parametros_carros!$G$25*('Plan mensual'!H16+IF(parametros_carros!$H$25="Todos",'Plan mensual'!H20,0)))/60</f>
        <v>1.1868528927</v>
      </c>
      <c r="G28" s="41" t="n">
        <f aca="false">(parametros_carros!$D$25*('Plan mensual'!I13+IF(parametros_carros!$H$25="Todos",'Plan mensual'!I17,0))+parametros_carros!$E$25*('Plan mensual'!I14+IF(parametros_carros!$H$25="Todos",'Plan mensual'!I18,0))+parametros_carros!$F$25*('Plan mensual'!I15+IF(parametros_carros!$H$25="Todos",'Plan mensual'!I19,0))+parametros_carros!$G$25*('Plan mensual'!I16+IF(parametros_carros!$H$25="Todos",'Plan mensual'!I20,0)))/60</f>
        <v>1.05498034906667</v>
      </c>
      <c r="H28" s="41" t="n">
        <f aca="false">(parametros_carros!$D$25*('Plan mensual'!J13+IF(parametros_carros!$H$25="Todos",'Plan mensual'!J17,0))+parametros_carros!$E$25*('Plan mensual'!J14+IF(parametros_carros!$H$25="Todos",'Plan mensual'!J18,0))+parametros_carros!$F$25*('Plan mensual'!J15+IF(parametros_carros!$H$25="Todos",'Plan mensual'!J19,0))+parametros_carros!$G$25*('Plan mensual'!J16+IF(parametros_carros!$H$25="Todos",'Plan mensual'!J20,0)))/60</f>
        <v>1.1868528927</v>
      </c>
      <c r="I28" s="41" t="n">
        <f aca="false">(parametros_carros!$D$25*('Plan mensual'!K13+IF(parametros_carros!$H$25="Todos",'Plan mensual'!K17,0))+parametros_carros!$E$25*('Plan mensual'!K14+IF(parametros_carros!$H$25="Todos",'Plan mensual'!K18,0))+parametros_carros!$F$25*('Plan mensual'!K15+IF(parametros_carros!$H$25="Todos",'Plan mensual'!K19,0))+parametros_carros!$G$25*('Plan mensual'!K16+IF(parametros_carros!$H$25="Todos",'Plan mensual'!K20,0)))/60</f>
        <v>1.1868528927</v>
      </c>
      <c r="J28" s="41" t="n">
        <f aca="false">(parametros_carros!$D$25*('Plan mensual'!L13+IF(parametros_carros!$H$25="Todos",'Plan mensual'!L17,0))+parametros_carros!$E$25*('Plan mensual'!L14+IF(parametros_carros!$H$25="Todos",'Plan mensual'!L18,0))+parametros_carros!$F$25*('Plan mensual'!L15+IF(parametros_carros!$H$25="Todos",'Plan mensual'!L19,0))+parametros_carros!$G$25*('Plan mensual'!L16+IF(parametros_carros!$H$25="Todos",'Plan mensual'!L20,0)))/60</f>
        <v>1.12091662088333</v>
      </c>
      <c r="K28" s="41" t="n">
        <f aca="false">(parametros_carros!$D$25*('Plan mensual'!M13+IF(parametros_carros!$H$25="Todos",'Plan mensual'!M17,0))+parametros_carros!$E$25*('Plan mensual'!M14+IF(parametros_carros!$H$25="Todos",'Plan mensual'!M18,0))+parametros_carros!$F$25*('Plan mensual'!M15+IF(parametros_carros!$H$25="Todos",'Plan mensual'!M19,0))+parametros_carros!$G$25*('Plan mensual'!M16+IF(parametros_carros!$H$25="Todos",'Plan mensual'!M20,0)))/60</f>
        <v>0.98904407725</v>
      </c>
      <c r="L28" s="41" t="n">
        <f aca="false">(parametros_carros!$D$25*('Plan mensual'!N13+IF(parametros_carros!$H$25="Todos",'Plan mensual'!N17,0))+parametros_carros!$E$25*('Plan mensual'!N14+IF(parametros_carros!$H$25="Todos",'Plan mensual'!N18,0))+parametros_carros!$F$25*('Plan mensual'!N15+IF(parametros_carros!$H$25="Todos",'Plan mensual'!N19,0))+parametros_carros!$G$25*('Plan mensual'!N16+IF(parametros_carros!$H$25="Todos",'Plan mensual'!N20,0)))/60</f>
        <v>0.923107805433334</v>
      </c>
      <c r="M28" s="41" t="n">
        <f aca="false">(parametros_carros!$D$25*('Plan mensual'!O13+IF(parametros_carros!$H$25="Todos",'Plan mensual'!O17,0))+parametros_carros!$E$25*('Plan mensual'!O14+IF(parametros_carros!$H$25="Todos",'Plan mensual'!O18,0))+parametros_carros!$F$25*('Plan mensual'!O15+IF(parametros_carros!$H$25="Todos",'Plan mensual'!O19,0))+parametros_carros!$G$25*('Plan mensual'!O16+IF(parametros_carros!$H$25="Todos",'Plan mensual'!O20,0)))/60</f>
        <v>1.05498034906667</v>
      </c>
      <c r="N28" s="41" t="n">
        <f aca="false">SUM(B28:M28)</f>
        <v>13.1872543633333</v>
      </c>
      <c r="O28" s="41" t="n">
        <f aca="false">MAX(B28:M28)</f>
        <v>1.1868528927</v>
      </c>
      <c r="P28" s="45" t="n">
        <f aca="false">IF(parametros_carros!$B$7=0,0,(O28+parametros_carros!$G$51)/parametros_carros!$B$7)</f>
        <v>0.027912352618</v>
      </c>
      <c r="Q28" s="29" t="str">
        <f aca="false">IF(O28=0,"-",INDEX($B$21:$M$21,MATCH(O28,B28:M28,0)))</f>
        <v>Mar</v>
      </c>
    </row>
    <row r="29" customFormat="false" ht="14.25" hidden="false" customHeight="true" outlineLevel="0" collapsed="false">
      <c r="A29" s="12" t="str">
        <f aca="false">parametros_carros!$B$26</f>
        <v>Armado y soldadura circunferencial</v>
      </c>
      <c r="B29" s="41" t="n">
        <f aca="false">(parametros_carros!$D$26*('Plan mensual'!D13+IF(parametros_carros!$H$26="Todos",'Plan mensual'!D17,0))+parametros_carros!$E$26*('Plan mensual'!D14+IF(parametros_carros!$H$26="Todos",'Plan mensual'!D18,0))+parametros_carros!$F$26*('Plan mensual'!D15+IF(parametros_carros!$H$26="Todos",'Plan mensual'!D19,0))+parametros_carros!$G$26*('Plan mensual'!D16+IF(parametros_carros!$H$26="Todos",'Plan mensual'!D20,0)))/60</f>
        <v>5.30120929737967</v>
      </c>
      <c r="C29" s="41" t="n">
        <f aca="false">(parametros_carros!$D$26*('Plan mensual'!E13+IF(parametros_carros!$H$26="Todos",'Plan mensual'!E17,0))+parametros_carros!$E$26*('Plan mensual'!E14+IF(parametros_carros!$H$26="Todos",'Plan mensual'!E18,0))+parametros_carros!$F$26*('Plan mensual'!E15+IF(parametros_carros!$H$26="Todos",'Plan mensual'!E19,0))+parametros_carros!$G$26*('Plan mensual'!E16+IF(parametros_carros!$H$26="Todos",'Plan mensual'!E20,0)))/60</f>
        <v>4.677537615335</v>
      </c>
      <c r="D29" s="41" t="n">
        <f aca="false">(parametros_carros!$D$26*('Plan mensual'!F13+IF(parametros_carros!$H$26="Todos",'Plan mensual'!F17,0))+parametros_carros!$E$26*('Plan mensual'!F14+IF(parametros_carros!$H$26="Todos",'Plan mensual'!F18,0))+parametros_carros!$F$26*('Plan mensual'!F15+IF(parametros_carros!$H$26="Todos",'Plan mensual'!F19,0))+parametros_carros!$G$26*('Plan mensual'!F16+IF(parametros_carros!$H$26="Todos",'Plan mensual'!F20,0)))/60</f>
        <v>5.613045138402</v>
      </c>
      <c r="E29" s="41" t="n">
        <f aca="false">(parametros_carros!$D$26*('Plan mensual'!G13+IF(parametros_carros!$H$26="Todos",'Plan mensual'!G17,0))+parametros_carros!$E$26*('Plan mensual'!G14+IF(parametros_carros!$H$26="Todos",'Plan mensual'!G18,0))+parametros_carros!$F$26*('Plan mensual'!G15+IF(parametros_carros!$H$26="Todos",'Plan mensual'!G19,0))+parametros_carros!$G$26*('Plan mensual'!G16+IF(parametros_carros!$H$26="Todos",'Plan mensual'!G20,0)))/60</f>
        <v>5.613045138402</v>
      </c>
      <c r="F29" s="41" t="n">
        <f aca="false">(parametros_carros!$D$26*('Plan mensual'!H13+IF(parametros_carros!$H$26="Todos",'Plan mensual'!H17,0))+parametros_carros!$E$26*('Plan mensual'!H14+IF(parametros_carros!$H$26="Todos",'Plan mensual'!H18,0))+parametros_carros!$F$26*('Plan mensual'!H15+IF(parametros_carros!$H$26="Todos",'Plan mensual'!H19,0))+parametros_carros!$G$26*('Plan mensual'!H16+IF(parametros_carros!$H$26="Todos",'Plan mensual'!H20,0)))/60</f>
        <v>5.613045138402</v>
      </c>
      <c r="G29" s="41" t="n">
        <f aca="false">(parametros_carros!$D$26*('Plan mensual'!I13+IF(parametros_carros!$H$26="Todos",'Plan mensual'!I17,0))+parametros_carros!$E$26*('Plan mensual'!I14+IF(parametros_carros!$H$26="Todos",'Plan mensual'!I18,0))+parametros_carros!$F$26*('Plan mensual'!I15+IF(parametros_carros!$H$26="Todos",'Plan mensual'!I19,0))+parametros_carros!$G$26*('Plan mensual'!I16+IF(parametros_carros!$H$26="Todos",'Plan mensual'!I20,0)))/60</f>
        <v>4.98937345635733</v>
      </c>
      <c r="H29" s="41" t="n">
        <f aca="false">(parametros_carros!$D$26*('Plan mensual'!J13+IF(parametros_carros!$H$26="Todos",'Plan mensual'!J17,0))+parametros_carros!$E$26*('Plan mensual'!J14+IF(parametros_carros!$H$26="Todos",'Plan mensual'!J18,0))+parametros_carros!$F$26*('Plan mensual'!J15+IF(parametros_carros!$H$26="Todos",'Plan mensual'!J19,0))+parametros_carros!$G$26*('Plan mensual'!J16+IF(parametros_carros!$H$26="Todos",'Plan mensual'!J20,0)))/60</f>
        <v>5.613045138402</v>
      </c>
      <c r="I29" s="41" t="n">
        <f aca="false">(parametros_carros!$D$26*('Plan mensual'!K13+IF(parametros_carros!$H$26="Todos",'Plan mensual'!K17,0))+parametros_carros!$E$26*('Plan mensual'!K14+IF(parametros_carros!$H$26="Todos",'Plan mensual'!K18,0))+parametros_carros!$F$26*('Plan mensual'!K15+IF(parametros_carros!$H$26="Todos",'Plan mensual'!K19,0))+parametros_carros!$G$26*('Plan mensual'!K16+IF(parametros_carros!$H$26="Todos",'Plan mensual'!K20,0)))/60</f>
        <v>5.613045138402</v>
      </c>
      <c r="J29" s="41" t="n">
        <f aca="false">(parametros_carros!$D$26*('Plan mensual'!L13+IF(parametros_carros!$H$26="Todos",'Plan mensual'!L17,0))+parametros_carros!$E$26*('Plan mensual'!L14+IF(parametros_carros!$H$26="Todos",'Plan mensual'!L18,0))+parametros_carros!$F$26*('Plan mensual'!L15+IF(parametros_carros!$H$26="Todos",'Plan mensual'!L19,0))+parametros_carros!$G$26*('Plan mensual'!L16+IF(parametros_carros!$H$26="Todos",'Plan mensual'!L20,0)))/60</f>
        <v>5.30120929737967</v>
      </c>
      <c r="K29" s="41" t="n">
        <f aca="false">(parametros_carros!$D$26*('Plan mensual'!M13+IF(parametros_carros!$H$26="Todos",'Plan mensual'!M17,0))+parametros_carros!$E$26*('Plan mensual'!M14+IF(parametros_carros!$H$26="Todos",'Plan mensual'!M18,0))+parametros_carros!$F$26*('Plan mensual'!M15+IF(parametros_carros!$H$26="Todos",'Plan mensual'!M19,0))+parametros_carros!$G$26*('Plan mensual'!M16+IF(parametros_carros!$H$26="Todos",'Plan mensual'!M20,0)))/60</f>
        <v>4.677537615335</v>
      </c>
      <c r="L29" s="41" t="n">
        <f aca="false">(parametros_carros!$D$26*('Plan mensual'!N13+IF(parametros_carros!$H$26="Todos",'Plan mensual'!N17,0))+parametros_carros!$E$26*('Plan mensual'!N14+IF(parametros_carros!$H$26="Todos",'Plan mensual'!N18,0))+parametros_carros!$F$26*('Plan mensual'!N15+IF(parametros_carros!$H$26="Todos",'Plan mensual'!N19,0))+parametros_carros!$G$26*('Plan mensual'!N16+IF(parametros_carros!$H$26="Todos",'Plan mensual'!N20,0)))/60</f>
        <v>4.36570177431267</v>
      </c>
      <c r="M29" s="41" t="n">
        <f aca="false">(parametros_carros!$D$26*('Plan mensual'!O13+IF(parametros_carros!$H$26="Todos",'Plan mensual'!O17,0))+parametros_carros!$E$26*('Plan mensual'!O14+IF(parametros_carros!$H$26="Todos",'Plan mensual'!O18,0))+parametros_carros!$F$26*('Plan mensual'!O15+IF(parametros_carros!$H$26="Todos",'Plan mensual'!O19,0))+parametros_carros!$G$26*('Plan mensual'!O16+IF(parametros_carros!$H$26="Todos",'Plan mensual'!O20,0)))/60</f>
        <v>4.98937345635733</v>
      </c>
      <c r="N29" s="41" t="n">
        <f aca="false">SUM(B29:M29)</f>
        <v>62.3671682044667</v>
      </c>
      <c r="O29" s="41" t="n">
        <f aca="false">MAX(B29:M29)</f>
        <v>5.613045138402</v>
      </c>
      <c r="P29" s="45" t="n">
        <f aca="false">IF(parametros_carros!$B$7=0,0,(O29+parametros_carros!$G$52)/parametros_carros!$B$7)</f>
        <v>0.05742030092268</v>
      </c>
      <c r="Q29" s="29" t="str">
        <f aca="false">IF(O29=0,"-",INDEX($B$21:$M$21,MATCH(O29,B29:M29,0)))</f>
        <v>Mar</v>
      </c>
    </row>
    <row r="30" customFormat="false" ht="14.25" hidden="false" customHeight="true" outlineLevel="0" collapsed="false">
      <c r="A30" s="12" t="str">
        <f aca="false">parametros_carros!$B$27</f>
        <v>Soldadura de accesorios</v>
      </c>
      <c r="B30" s="41" t="n">
        <f aca="false">(parametros_carros!$D$27*('Plan mensual'!D13+IF(parametros_carros!$H$27="Todos",'Plan mensual'!D17,0))+parametros_carros!$E$27*('Plan mensual'!D14+IF(parametros_carros!$H$27="Todos",'Plan mensual'!D18,0))+parametros_carros!$F$27*('Plan mensual'!D15+IF(parametros_carros!$H$27="Todos",'Plan mensual'!D19,0))+parametros_carros!$G$27*('Plan mensual'!D16+IF(parametros_carros!$H$27="Todos",'Plan mensual'!D20,0)))/60</f>
        <v>5.40117861469575</v>
      </c>
      <c r="C30" s="41" t="n">
        <f aca="false">(parametros_carros!$D$27*('Plan mensual'!E13+IF(parametros_carros!$H$27="Todos",'Plan mensual'!E17,0))+parametros_carros!$E$27*('Plan mensual'!E14+IF(parametros_carros!$H$27="Todos",'Plan mensual'!E18,0))+parametros_carros!$F$27*('Plan mensual'!E15+IF(parametros_carros!$H$27="Todos",'Plan mensual'!E19,0))+parametros_carros!$G$27*('Plan mensual'!E16+IF(parametros_carros!$H$27="Todos",'Plan mensual'!E20,0)))/60</f>
        <v>4.76574583649625</v>
      </c>
      <c r="D30" s="41" t="n">
        <f aca="false">(parametros_carros!$D$27*('Plan mensual'!F13+IF(parametros_carros!$H$27="Todos",'Plan mensual'!F17,0))+parametros_carros!$E$27*('Plan mensual'!F14+IF(parametros_carros!$H$27="Todos",'Plan mensual'!F18,0))+parametros_carros!$F$27*('Plan mensual'!F15+IF(parametros_carros!$H$27="Todos",'Plan mensual'!F19,0))+parametros_carros!$G$27*('Plan mensual'!F16+IF(parametros_carros!$H$27="Todos",'Plan mensual'!F20,0)))/60</f>
        <v>5.7188950037955</v>
      </c>
      <c r="E30" s="41" t="n">
        <f aca="false">(parametros_carros!$D$27*('Plan mensual'!G13+IF(parametros_carros!$H$27="Todos",'Plan mensual'!G17,0))+parametros_carros!$E$27*('Plan mensual'!G14+IF(parametros_carros!$H$27="Todos",'Plan mensual'!G18,0))+parametros_carros!$F$27*('Plan mensual'!G15+IF(parametros_carros!$H$27="Todos",'Plan mensual'!G19,0))+parametros_carros!$G$27*('Plan mensual'!G16+IF(parametros_carros!$H$27="Todos",'Plan mensual'!G20,0)))/60</f>
        <v>5.7188950037955</v>
      </c>
      <c r="F30" s="41" t="n">
        <f aca="false">(parametros_carros!$D$27*('Plan mensual'!H13+IF(parametros_carros!$H$27="Todos",'Plan mensual'!H17,0))+parametros_carros!$E$27*('Plan mensual'!H14+IF(parametros_carros!$H$27="Todos",'Plan mensual'!H18,0))+parametros_carros!$F$27*('Plan mensual'!H15+IF(parametros_carros!$H$27="Todos",'Plan mensual'!H19,0))+parametros_carros!$G$27*('Plan mensual'!H16+IF(parametros_carros!$H$27="Todos",'Plan mensual'!H20,0)))/60</f>
        <v>5.7188950037955</v>
      </c>
      <c r="G30" s="41" t="n">
        <f aca="false">(parametros_carros!$D$27*('Plan mensual'!I13+IF(parametros_carros!$H$27="Todos",'Plan mensual'!I17,0))+parametros_carros!$E$27*('Plan mensual'!I14+IF(parametros_carros!$H$27="Todos",'Plan mensual'!I18,0))+parametros_carros!$F$27*('Plan mensual'!I15+IF(parametros_carros!$H$27="Todos",'Plan mensual'!I19,0))+parametros_carros!$G$27*('Plan mensual'!I16+IF(parametros_carros!$H$27="Todos",'Plan mensual'!I20,0)))/60</f>
        <v>5.083462225596</v>
      </c>
      <c r="H30" s="41" t="n">
        <f aca="false">(parametros_carros!$D$27*('Plan mensual'!J13+IF(parametros_carros!$H$27="Todos",'Plan mensual'!J17,0))+parametros_carros!$E$27*('Plan mensual'!J14+IF(parametros_carros!$H$27="Todos",'Plan mensual'!J18,0))+parametros_carros!$F$27*('Plan mensual'!J15+IF(parametros_carros!$H$27="Todos",'Plan mensual'!J19,0))+parametros_carros!$G$27*('Plan mensual'!J16+IF(parametros_carros!$H$27="Todos",'Plan mensual'!J20,0)))/60</f>
        <v>5.7188950037955</v>
      </c>
      <c r="I30" s="41" t="n">
        <f aca="false">(parametros_carros!$D$27*('Plan mensual'!K13+IF(parametros_carros!$H$27="Todos",'Plan mensual'!K17,0))+parametros_carros!$E$27*('Plan mensual'!K14+IF(parametros_carros!$H$27="Todos",'Plan mensual'!K18,0))+parametros_carros!$F$27*('Plan mensual'!K15+IF(parametros_carros!$H$27="Todos",'Plan mensual'!K19,0))+parametros_carros!$G$27*('Plan mensual'!K16+IF(parametros_carros!$H$27="Todos",'Plan mensual'!K20,0)))/60</f>
        <v>5.7188950037955</v>
      </c>
      <c r="J30" s="41" t="n">
        <f aca="false">(parametros_carros!$D$27*('Plan mensual'!L13+IF(parametros_carros!$H$27="Todos",'Plan mensual'!L17,0))+parametros_carros!$E$27*('Plan mensual'!L14+IF(parametros_carros!$H$27="Todos",'Plan mensual'!L18,0))+parametros_carros!$F$27*('Plan mensual'!L15+IF(parametros_carros!$H$27="Todos",'Plan mensual'!L19,0))+parametros_carros!$G$27*('Plan mensual'!L16+IF(parametros_carros!$H$27="Todos",'Plan mensual'!L20,0)))/60</f>
        <v>5.40117861469575</v>
      </c>
      <c r="K30" s="41" t="n">
        <f aca="false">(parametros_carros!$D$27*('Plan mensual'!M13+IF(parametros_carros!$H$27="Todos",'Plan mensual'!M17,0))+parametros_carros!$E$27*('Plan mensual'!M14+IF(parametros_carros!$H$27="Todos",'Plan mensual'!M18,0))+parametros_carros!$F$27*('Plan mensual'!M15+IF(parametros_carros!$H$27="Todos",'Plan mensual'!M19,0))+parametros_carros!$G$27*('Plan mensual'!M16+IF(parametros_carros!$H$27="Todos",'Plan mensual'!M20,0)))/60</f>
        <v>4.76574583649625</v>
      </c>
      <c r="L30" s="41" t="n">
        <f aca="false">(parametros_carros!$D$27*('Plan mensual'!N13+IF(parametros_carros!$H$27="Todos",'Plan mensual'!N17,0))+parametros_carros!$E$27*('Plan mensual'!N14+IF(parametros_carros!$H$27="Todos",'Plan mensual'!N18,0))+parametros_carros!$F$27*('Plan mensual'!N15+IF(parametros_carros!$H$27="Todos",'Plan mensual'!N19,0))+parametros_carros!$G$27*('Plan mensual'!N16+IF(parametros_carros!$H$27="Todos",'Plan mensual'!N20,0)))/60</f>
        <v>4.4480294473965</v>
      </c>
      <c r="M30" s="41" t="n">
        <f aca="false">(parametros_carros!$D$27*('Plan mensual'!O13+IF(parametros_carros!$H$27="Todos",'Plan mensual'!O17,0))+parametros_carros!$E$27*('Plan mensual'!O14+IF(parametros_carros!$H$27="Todos",'Plan mensual'!O18,0))+parametros_carros!$F$27*('Plan mensual'!O15+IF(parametros_carros!$H$27="Todos",'Plan mensual'!O19,0))+parametros_carros!$G$27*('Plan mensual'!O16+IF(parametros_carros!$H$27="Todos",'Plan mensual'!O20,0)))/60</f>
        <v>5.083462225596</v>
      </c>
      <c r="N30" s="41" t="n">
        <f aca="false">SUM(B30:M30)</f>
        <v>63.54327781995</v>
      </c>
      <c r="O30" s="41" t="n">
        <f aca="false">MAX(B30:M30)</f>
        <v>5.7188950037955</v>
      </c>
      <c r="P30" s="45" t="n">
        <f aca="false">IF(parametros_carros!$B$7=0,0,(O30+parametros_carros!$G$53)/parametros_carros!$B$7)</f>
        <v>0.05812596669197</v>
      </c>
      <c r="Q30" s="29" t="str">
        <f aca="false">IF(O30=0,"-",INDEX($B$21:$M$21,MATCH(O30,B30:M30,0)))</f>
        <v>Mar</v>
      </c>
    </row>
    <row r="31" customFormat="false" ht="14.25" hidden="false" customHeight="true" outlineLevel="0" collapsed="false">
      <c r="A31" s="12" t="str">
        <f aca="false">parametros_carros!$B$28</f>
        <v>Fabricación de accesorios</v>
      </c>
      <c r="B31" s="41" t="n">
        <f aca="false">(parametros_carros!$D$28*('Plan mensual'!D13+IF(parametros_carros!$H$28="Todos",'Plan mensual'!D17,0))+parametros_carros!$E$28*('Plan mensual'!D14+IF(parametros_carros!$H$28="Todos",'Plan mensual'!D18,0))+parametros_carros!$F$28*('Plan mensual'!D15+IF(parametros_carros!$H$28="Todos",'Plan mensual'!D19,0))+parametros_carros!$G$28*('Plan mensual'!D16+IF(parametros_carros!$H$28="Todos",'Plan mensual'!D20,0)))/60</f>
        <v>3.66969719136167</v>
      </c>
      <c r="C31" s="41" t="n">
        <f aca="false">(parametros_carros!$D$28*('Plan mensual'!E13+IF(parametros_carros!$H$28="Todos",'Plan mensual'!E17,0))+parametros_carros!$E$28*('Plan mensual'!E14+IF(parametros_carros!$H$28="Todos",'Plan mensual'!E18,0))+parametros_carros!$F$28*('Plan mensual'!E15+IF(parametros_carros!$H$28="Todos",'Plan mensual'!E19,0))+parametros_carros!$G$28*('Plan mensual'!E16+IF(parametros_carros!$H$28="Todos",'Plan mensual'!E20,0)))/60</f>
        <v>3.237968110025</v>
      </c>
      <c r="D31" s="41" t="n">
        <f aca="false">(parametros_carros!$D$28*('Plan mensual'!F13+IF(parametros_carros!$H$28="Todos",'Plan mensual'!F17,0))+parametros_carros!$E$28*('Plan mensual'!F14+IF(parametros_carros!$H$28="Todos",'Plan mensual'!F18,0))+parametros_carros!$F$28*('Plan mensual'!F15+IF(parametros_carros!$H$28="Todos",'Plan mensual'!F19,0))+parametros_carros!$G$28*('Plan mensual'!F16+IF(parametros_carros!$H$28="Todos",'Plan mensual'!F20,0)))/60</f>
        <v>3.88556173203</v>
      </c>
      <c r="E31" s="41" t="n">
        <f aca="false">(parametros_carros!$D$28*('Plan mensual'!G13+IF(parametros_carros!$H$28="Todos",'Plan mensual'!G17,0))+parametros_carros!$E$28*('Plan mensual'!G14+IF(parametros_carros!$H$28="Todos",'Plan mensual'!G18,0))+parametros_carros!$F$28*('Plan mensual'!G15+IF(parametros_carros!$H$28="Todos",'Plan mensual'!G19,0))+parametros_carros!$G$28*('Plan mensual'!G16+IF(parametros_carros!$H$28="Todos",'Plan mensual'!G20,0)))/60</f>
        <v>3.88556173203</v>
      </c>
      <c r="F31" s="41" t="n">
        <f aca="false">(parametros_carros!$D$28*('Plan mensual'!H13+IF(parametros_carros!$H$28="Todos",'Plan mensual'!H17,0))+parametros_carros!$E$28*('Plan mensual'!H14+IF(parametros_carros!$H$28="Todos",'Plan mensual'!H18,0))+parametros_carros!$F$28*('Plan mensual'!H15+IF(parametros_carros!$H$28="Todos",'Plan mensual'!H19,0))+parametros_carros!$G$28*('Plan mensual'!H16+IF(parametros_carros!$H$28="Todos",'Plan mensual'!H20,0)))/60</f>
        <v>3.88556173203</v>
      </c>
      <c r="G31" s="41" t="n">
        <f aca="false">(parametros_carros!$D$28*('Plan mensual'!I13+IF(parametros_carros!$H$28="Todos",'Plan mensual'!I17,0))+parametros_carros!$E$28*('Plan mensual'!I14+IF(parametros_carros!$H$28="Todos",'Plan mensual'!I18,0))+parametros_carros!$F$28*('Plan mensual'!I15+IF(parametros_carros!$H$28="Todos",'Plan mensual'!I19,0))+parametros_carros!$G$28*('Plan mensual'!I16+IF(parametros_carros!$H$28="Todos",'Plan mensual'!I20,0)))/60</f>
        <v>3.45383265069333</v>
      </c>
      <c r="H31" s="41" t="n">
        <f aca="false">(parametros_carros!$D$28*('Plan mensual'!J13+IF(parametros_carros!$H$28="Todos",'Plan mensual'!J17,0))+parametros_carros!$E$28*('Plan mensual'!J14+IF(parametros_carros!$H$28="Todos",'Plan mensual'!J18,0))+parametros_carros!$F$28*('Plan mensual'!J15+IF(parametros_carros!$H$28="Todos",'Plan mensual'!J19,0))+parametros_carros!$G$28*('Plan mensual'!J16+IF(parametros_carros!$H$28="Todos",'Plan mensual'!J20,0)))/60</f>
        <v>3.88556173203</v>
      </c>
      <c r="I31" s="41" t="n">
        <f aca="false">(parametros_carros!$D$28*('Plan mensual'!K13+IF(parametros_carros!$H$28="Todos",'Plan mensual'!K17,0))+parametros_carros!$E$28*('Plan mensual'!K14+IF(parametros_carros!$H$28="Todos",'Plan mensual'!K18,0))+parametros_carros!$F$28*('Plan mensual'!K15+IF(parametros_carros!$H$28="Todos",'Plan mensual'!K19,0))+parametros_carros!$G$28*('Plan mensual'!K16+IF(parametros_carros!$H$28="Todos",'Plan mensual'!K20,0)))/60</f>
        <v>3.88556173203</v>
      </c>
      <c r="J31" s="41" t="n">
        <f aca="false">(parametros_carros!$D$28*('Plan mensual'!L13+IF(parametros_carros!$H$28="Todos",'Plan mensual'!L17,0))+parametros_carros!$E$28*('Plan mensual'!L14+IF(parametros_carros!$H$28="Todos",'Plan mensual'!L18,0))+parametros_carros!$F$28*('Plan mensual'!L15+IF(parametros_carros!$H$28="Todos",'Plan mensual'!L19,0))+parametros_carros!$G$28*('Plan mensual'!L16+IF(parametros_carros!$H$28="Todos",'Plan mensual'!L20,0)))/60</f>
        <v>3.66969719136167</v>
      </c>
      <c r="K31" s="41" t="n">
        <f aca="false">(parametros_carros!$D$28*('Plan mensual'!M13+IF(parametros_carros!$H$28="Todos",'Plan mensual'!M17,0))+parametros_carros!$E$28*('Plan mensual'!M14+IF(parametros_carros!$H$28="Todos",'Plan mensual'!M18,0))+parametros_carros!$F$28*('Plan mensual'!M15+IF(parametros_carros!$H$28="Todos",'Plan mensual'!M19,0))+parametros_carros!$G$28*('Plan mensual'!M16+IF(parametros_carros!$H$28="Todos",'Plan mensual'!M20,0)))/60</f>
        <v>3.237968110025</v>
      </c>
      <c r="L31" s="41" t="n">
        <f aca="false">(parametros_carros!$D$28*('Plan mensual'!N13+IF(parametros_carros!$H$28="Todos",'Plan mensual'!N17,0))+parametros_carros!$E$28*('Plan mensual'!N14+IF(parametros_carros!$H$28="Todos",'Plan mensual'!N18,0))+parametros_carros!$F$28*('Plan mensual'!N15+IF(parametros_carros!$H$28="Todos",'Plan mensual'!N19,0))+parametros_carros!$G$28*('Plan mensual'!N16+IF(parametros_carros!$H$28="Todos",'Plan mensual'!N20,0)))/60</f>
        <v>3.02210356935667</v>
      </c>
      <c r="M31" s="41" t="n">
        <f aca="false">(parametros_carros!$D$28*('Plan mensual'!O13+IF(parametros_carros!$H$28="Todos",'Plan mensual'!O17,0))+parametros_carros!$E$28*('Plan mensual'!O14+IF(parametros_carros!$H$28="Todos",'Plan mensual'!O18,0))+parametros_carros!$F$28*('Plan mensual'!O15+IF(parametros_carros!$H$28="Todos",'Plan mensual'!O19,0))+parametros_carros!$G$28*('Plan mensual'!O16+IF(parametros_carros!$H$28="Todos",'Plan mensual'!O20,0)))/60</f>
        <v>3.45383265069333</v>
      </c>
      <c r="N31" s="41" t="n">
        <f aca="false">SUM(B31:M31)</f>
        <v>43.1729081336667</v>
      </c>
      <c r="O31" s="41" t="n">
        <f aca="false">MAX(B31:M31)</f>
        <v>3.88556173203</v>
      </c>
      <c r="P31" s="45" t="n">
        <f aca="false">IF(parametros_carros!$B$7=0,0,(O31+parametros_carros!$G$54)/parametros_carros!$B$7)</f>
        <v>0.0592370782135333</v>
      </c>
      <c r="Q31" s="29" t="str">
        <f aca="false">IF(O31=0,"-",INDEX($B$21:$M$21,MATCH(O31,B31:M31,0)))</f>
        <v>Mar</v>
      </c>
    </row>
    <row r="32" customFormat="false" ht="14.25" hidden="false" customHeight="true" outlineLevel="0" collapsed="false">
      <c r="A32" s="12" t="str">
        <f aca="false">parametros_carros!$B$29</f>
        <v>Prueba hidráulica</v>
      </c>
      <c r="B32" s="41" t="n">
        <f aca="false">(parametros_carros!$D$29*('Plan mensual'!D13+IF(parametros_carros!$H$29="Todos",'Plan mensual'!D17,0))+parametros_carros!$E$29*('Plan mensual'!D14+IF(parametros_carros!$H$29="Todos",'Plan mensual'!D18,0))+parametros_carros!$F$29*('Plan mensual'!D15+IF(parametros_carros!$H$29="Todos",'Plan mensual'!D19,0))+parametros_carros!$G$29*('Plan mensual'!D16+IF(parametros_carros!$H$29="Todos",'Plan mensual'!D20,0)))/60</f>
        <v>2.99609067683243</v>
      </c>
      <c r="C32" s="41" t="n">
        <f aca="false">(parametros_carros!$D$29*('Plan mensual'!E13+IF(parametros_carros!$H$29="Todos",'Plan mensual'!E17,0))+parametros_carros!$E$29*('Plan mensual'!E14+IF(parametros_carros!$H$29="Todos",'Plan mensual'!E18,0))+parametros_carros!$F$29*('Plan mensual'!E15+IF(parametros_carros!$H$29="Todos",'Plan mensual'!E19,0))+parametros_carros!$G$29*('Plan mensual'!E16+IF(parametros_carros!$H$29="Todos",'Plan mensual'!E20,0)))/60</f>
        <v>2.6436094207345</v>
      </c>
      <c r="D32" s="41" t="n">
        <f aca="false">(parametros_carros!$D$29*('Plan mensual'!F13+IF(parametros_carros!$H$29="Todos",'Plan mensual'!F17,0))+parametros_carros!$E$29*('Plan mensual'!F14+IF(parametros_carros!$H$29="Todos",'Plan mensual'!F18,0))+parametros_carros!$F$29*('Plan mensual'!F15+IF(parametros_carros!$H$29="Todos",'Plan mensual'!F19,0))+parametros_carros!$G$29*('Plan mensual'!F16+IF(parametros_carros!$H$29="Todos",'Plan mensual'!F20,0)))/60</f>
        <v>3.1723313048814</v>
      </c>
      <c r="E32" s="41" t="n">
        <f aca="false">(parametros_carros!$D$29*('Plan mensual'!G13+IF(parametros_carros!$H$29="Todos",'Plan mensual'!G17,0))+parametros_carros!$E$29*('Plan mensual'!G14+IF(parametros_carros!$H$29="Todos",'Plan mensual'!G18,0))+parametros_carros!$F$29*('Plan mensual'!G15+IF(parametros_carros!$H$29="Todos",'Plan mensual'!G19,0))+parametros_carros!$G$29*('Plan mensual'!G16+IF(parametros_carros!$H$29="Todos",'Plan mensual'!G20,0)))/60</f>
        <v>3.1723313048814</v>
      </c>
      <c r="F32" s="41" t="n">
        <f aca="false">(parametros_carros!$D$29*('Plan mensual'!H13+IF(parametros_carros!$H$29="Todos",'Plan mensual'!H17,0))+parametros_carros!$E$29*('Plan mensual'!H14+IF(parametros_carros!$H$29="Todos",'Plan mensual'!H18,0))+parametros_carros!$F$29*('Plan mensual'!H15+IF(parametros_carros!$H$29="Todos",'Plan mensual'!H19,0))+parametros_carros!$G$29*('Plan mensual'!H16+IF(parametros_carros!$H$29="Todos",'Plan mensual'!H20,0)))/60</f>
        <v>3.1723313048814</v>
      </c>
      <c r="G32" s="41" t="n">
        <f aca="false">(parametros_carros!$D$29*('Plan mensual'!I13+IF(parametros_carros!$H$29="Todos",'Plan mensual'!I17,0))+parametros_carros!$E$29*('Plan mensual'!I14+IF(parametros_carros!$H$29="Todos",'Plan mensual'!I18,0))+parametros_carros!$F$29*('Plan mensual'!I15+IF(parametros_carros!$H$29="Todos",'Plan mensual'!I19,0))+parametros_carros!$G$29*('Plan mensual'!I16+IF(parametros_carros!$H$29="Todos",'Plan mensual'!I20,0)))/60</f>
        <v>2.81985004878347</v>
      </c>
      <c r="H32" s="41" t="n">
        <f aca="false">(parametros_carros!$D$29*('Plan mensual'!J13+IF(parametros_carros!$H$29="Todos",'Plan mensual'!J17,0))+parametros_carros!$E$29*('Plan mensual'!J14+IF(parametros_carros!$H$29="Todos",'Plan mensual'!J18,0))+parametros_carros!$F$29*('Plan mensual'!J15+IF(parametros_carros!$H$29="Todos",'Plan mensual'!J19,0))+parametros_carros!$G$29*('Plan mensual'!J16+IF(parametros_carros!$H$29="Todos",'Plan mensual'!J20,0)))/60</f>
        <v>3.1723313048814</v>
      </c>
      <c r="I32" s="41" t="n">
        <f aca="false">(parametros_carros!$D$29*('Plan mensual'!K13+IF(parametros_carros!$H$29="Todos",'Plan mensual'!K17,0))+parametros_carros!$E$29*('Plan mensual'!K14+IF(parametros_carros!$H$29="Todos",'Plan mensual'!K18,0))+parametros_carros!$F$29*('Plan mensual'!K15+IF(parametros_carros!$H$29="Todos",'Plan mensual'!K19,0))+parametros_carros!$G$29*('Plan mensual'!K16+IF(parametros_carros!$H$29="Todos",'Plan mensual'!K20,0)))/60</f>
        <v>3.1723313048814</v>
      </c>
      <c r="J32" s="41" t="n">
        <f aca="false">(parametros_carros!$D$29*('Plan mensual'!L13+IF(parametros_carros!$H$29="Todos",'Plan mensual'!L17,0))+parametros_carros!$E$29*('Plan mensual'!L14+IF(parametros_carros!$H$29="Todos",'Plan mensual'!L18,0))+parametros_carros!$F$29*('Plan mensual'!L15+IF(parametros_carros!$H$29="Todos",'Plan mensual'!L19,0))+parametros_carros!$G$29*('Plan mensual'!L16+IF(parametros_carros!$H$29="Todos",'Plan mensual'!L20,0)))/60</f>
        <v>2.99609067683243</v>
      </c>
      <c r="K32" s="41" t="n">
        <f aca="false">(parametros_carros!$D$29*('Plan mensual'!M13+IF(parametros_carros!$H$29="Todos",'Plan mensual'!M17,0))+parametros_carros!$E$29*('Plan mensual'!M14+IF(parametros_carros!$H$29="Todos",'Plan mensual'!M18,0))+parametros_carros!$F$29*('Plan mensual'!M15+IF(parametros_carros!$H$29="Todos",'Plan mensual'!M19,0))+parametros_carros!$G$29*('Plan mensual'!M16+IF(parametros_carros!$H$29="Todos",'Plan mensual'!M20,0)))/60</f>
        <v>2.6436094207345</v>
      </c>
      <c r="L32" s="41" t="n">
        <f aca="false">(parametros_carros!$D$29*('Plan mensual'!N13+IF(parametros_carros!$H$29="Todos",'Plan mensual'!N17,0))+parametros_carros!$E$29*('Plan mensual'!N14+IF(parametros_carros!$H$29="Todos",'Plan mensual'!N18,0))+parametros_carros!$F$29*('Plan mensual'!N15+IF(parametros_carros!$H$29="Todos",'Plan mensual'!N19,0))+parametros_carros!$G$29*('Plan mensual'!N16+IF(parametros_carros!$H$29="Todos",'Plan mensual'!N20,0)))/60</f>
        <v>2.46736879268553</v>
      </c>
      <c r="M32" s="41" t="n">
        <f aca="false">(parametros_carros!$D$29*('Plan mensual'!O13+IF(parametros_carros!$H$29="Todos",'Plan mensual'!O17,0))+parametros_carros!$E$29*('Plan mensual'!O14+IF(parametros_carros!$H$29="Todos",'Plan mensual'!O18,0))+parametros_carros!$F$29*('Plan mensual'!O15+IF(parametros_carros!$H$29="Todos",'Plan mensual'!O19,0))+parametros_carros!$G$29*('Plan mensual'!O16+IF(parametros_carros!$H$29="Todos",'Plan mensual'!O20,0)))/60</f>
        <v>2.81985004878347</v>
      </c>
      <c r="N32" s="41" t="n">
        <f aca="false">SUM(B32:M32)</f>
        <v>35.2481256097933</v>
      </c>
      <c r="O32" s="41" t="n">
        <f aca="false">MAX(B32:M32)</f>
        <v>3.1723313048814</v>
      </c>
      <c r="P32" s="45" t="n">
        <f aca="false">IF(parametros_carros!$B$7=0,0,(O32+parametros_carros!$G$55)/parametros_carros!$B$7)</f>
        <v>0.0433710975880982</v>
      </c>
      <c r="Q32" s="29" t="str">
        <f aca="false">IF(O32=0,"-",INDEX($B$21:$M$21,MATCH(O32,B32:M32,0)))</f>
        <v>Mar</v>
      </c>
    </row>
    <row r="33" customFormat="false" ht="14.25" hidden="false" customHeight="true" outlineLevel="0" collapsed="false">
      <c r="A33" s="12" t="str">
        <f aca="false">parametros_carros!$B$30</f>
        <v>Secado</v>
      </c>
      <c r="B33" s="41" t="n">
        <f aca="false">(parametros_carros!$D$30*('Plan mensual'!D13+IF(parametros_carros!$H$30="Todos",'Plan mensual'!D17,0))+parametros_carros!$E$30*('Plan mensual'!D14+IF(parametros_carros!$H$30="Todos",'Plan mensual'!D18,0))+parametros_carros!$F$30*('Plan mensual'!D15+IF(parametros_carros!$H$30="Todos",'Plan mensual'!D19,0))+parametros_carros!$G$30*('Plan mensual'!D16+IF(parametros_carros!$H$30="Todos",'Plan mensual'!D20,0)))/60</f>
        <v>3.35687215262833</v>
      </c>
      <c r="C33" s="41" t="n">
        <f aca="false">(parametros_carros!$D$30*('Plan mensual'!E13+IF(parametros_carros!$H$30="Todos",'Plan mensual'!E17,0))+parametros_carros!$E$30*('Plan mensual'!E14+IF(parametros_carros!$H$30="Todos",'Plan mensual'!E18,0))+parametros_carros!$F$30*('Plan mensual'!E15+IF(parametros_carros!$H$30="Todos",'Plan mensual'!E19,0))+parametros_carros!$G$30*('Plan mensual'!E16+IF(parametros_carros!$H$30="Todos",'Plan mensual'!E20,0)))/60</f>
        <v>2.961946017025</v>
      </c>
      <c r="D33" s="41" t="n">
        <f aca="false">(parametros_carros!$D$30*('Plan mensual'!F13+IF(parametros_carros!$H$30="Todos",'Plan mensual'!F17,0))+parametros_carros!$E$30*('Plan mensual'!F14+IF(parametros_carros!$H$30="Todos",'Plan mensual'!F18,0))+parametros_carros!$F$30*('Plan mensual'!F15+IF(parametros_carros!$H$30="Todos",'Plan mensual'!F19,0))+parametros_carros!$G$30*('Plan mensual'!F16+IF(parametros_carros!$H$30="Todos",'Plan mensual'!F20,0)))/60</f>
        <v>3.55433522043</v>
      </c>
      <c r="E33" s="41" t="n">
        <f aca="false">(parametros_carros!$D$30*('Plan mensual'!G13+IF(parametros_carros!$H$30="Todos",'Plan mensual'!G17,0))+parametros_carros!$E$30*('Plan mensual'!G14+IF(parametros_carros!$H$30="Todos",'Plan mensual'!G18,0))+parametros_carros!$F$30*('Plan mensual'!G15+IF(parametros_carros!$H$30="Todos",'Plan mensual'!G19,0))+parametros_carros!$G$30*('Plan mensual'!G16+IF(parametros_carros!$H$30="Todos",'Plan mensual'!G20,0)))/60</f>
        <v>3.55433522043</v>
      </c>
      <c r="F33" s="41" t="n">
        <f aca="false">(parametros_carros!$D$30*('Plan mensual'!H13+IF(parametros_carros!$H$30="Todos",'Plan mensual'!H17,0))+parametros_carros!$E$30*('Plan mensual'!H14+IF(parametros_carros!$H$30="Todos",'Plan mensual'!H18,0))+parametros_carros!$F$30*('Plan mensual'!H15+IF(parametros_carros!$H$30="Todos",'Plan mensual'!H19,0))+parametros_carros!$G$30*('Plan mensual'!H16+IF(parametros_carros!$H$30="Todos",'Plan mensual'!H20,0)))/60</f>
        <v>3.55433522043</v>
      </c>
      <c r="G33" s="41" t="n">
        <f aca="false">(parametros_carros!$D$30*('Plan mensual'!I13+IF(parametros_carros!$H$30="Todos",'Plan mensual'!I17,0))+parametros_carros!$E$30*('Plan mensual'!I14+IF(parametros_carros!$H$30="Todos",'Plan mensual'!I18,0))+parametros_carros!$F$30*('Plan mensual'!I15+IF(parametros_carros!$H$30="Todos",'Plan mensual'!I19,0))+parametros_carros!$G$30*('Plan mensual'!I16+IF(parametros_carros!$H$30="Todos",'Plan mensual'!I20,0)))/60</f>
        <v>3.15940908482667</v>
      </c>
      <c r="H33" s="41" t="n">
        <f aca="false">(parametros_carros!$D$30*('Plan mensual'!J13+IF(parametros_carros!$H$30="Todos",'Plan mensual'!J17,0))+parametros_carros!$E$30*('Plan mensual'!J14+IF(parametros_carros!$H$30="Todos",'Plan mensual'!J18,0))+parametros_carros!$F$30*('Plan mensual'!J15+IF(parametros_carros!$H$30="Todos",'Plan mensual'!J19,0))+parametros_carros!$G$30*('Plan mensual'!J16+IF(parametros_carros!$H$30="Todos",'Plan mensual'!J20,0)))/60</f>
        <v>3.55433522043</v>
      </c>
      <c r="I33" s="41" t="n">
        <f aca="false">(parametros_carros!$D$30*('Plan mensual'!K13+IF(parametros_carros!$H$30="Todos",'Plan mensual'!K17,0))+parametros_carros!$E$30*('Plan mensual'!K14+IF(parametros_carros!$H$30="Todos",'Plan mensual'!K18,0))+parametros_carros!$F$30*('Plan mensual'!K15+IF(parametros_carros!$H$30="Todos",'Plan mensual'!K19,0))+parametros_carros!$G$30*('Plan mensual'!K16+IF(parametros_carros!$H$30="Todos",'Plan mensual'!K20,0)))/60</f>
        <v>3.55433522043</v>
      </c>
      <c r="J33" s="41" t="n">
        <f aca="false">(parametros_carros!$D$30*('Plan mensual'!L13+IF(parametros_carros!$H$30="Todos",'Plan mensual'!L17,0))+parametros_carros!$E$30*('Plan mensual'!L14+IF(parametros_carros!$H$30="Todos",'Plan mensual'!L18,0))+parametros_carros!$F$30*('Plan mensual'!L15+IF(parametros_carros!$H$30="Todos",'Plan mensual'!L19,0))+parametros_carros!$G$30*('Plan mensual'!L16+IF(parametros_carros!$H$30="Todos",'Plan mensual'!L20,0)))/60</f>
        <v>3.35687215262833</v>
      </c>
      <c r="K33" s="41" t="n">
        <f aca="false">(parametros_carros!$D$30*('Plan mensual'!M13+IF(parametros_carros!$H$30="Todos",'Plan mensual'!M17,0))+parametros_carros!$E$30*('Plan mensual'!M14+IF(parametros_carros!$H$30="Todos",'Plan mensual'!M18,0))+parametros_carros!$F$30*('Plan mensual'!M15+IF(parametros_carros!$H$30="Todos",'Plan mensual'!M19,0))+parametros_carros!$G$30*('Plan mensual'!M16+IF(parametros_carros!$H$30="Todos",'Plan mensual'!M20,0)))/60</f>
        <v>2.961946017025</v>
      </c>
      <c r="L33" s="41" t="n">
        <f aca="false">(parametros_carros!$D$30*('Plan mensual'!N13+IF(parametros_carros!$H$30="Todos",'Plan mensual'!N17,0))+parametros_carros!$E$30*('Plan mensual'!N14+IF(parametros_carros!$H$30="Todos",'Plan mensual'!N18,0))+parametros_carros!$F$30*('Plan mensual'!N15+IF(parametros_carros!$H$30="Todos",'Plan mensual'!N19,0))+parametros_carros!$G$30*('Plan mensual'!N16+IF(parametros_carros!$H$30="Todos",'Plan mensual'!N20,0)))/60</f>
        <v>2.76448294922333</v>
      </c>
      <c r="M33" s="41" t="n">
        <f aca="false">(parametros_carros!$D$30*('Plan mensual'!O13+IF(parametros_carros!$H$30="Todos",'Plan mensual'!O17,0))+parametros_carros!$E$30*('Plan mensual'!O14+IF(parametros_carros!$H$30="Todos",'Plan mensual'!O18,0))+parametros_carros!$F$30*('Plan mensual'!O15+IF(parametros_carros!$H$30="Todos",'Plan mensual'!O19,0))+parametros_carros!$G$30*('Plan mensual'!O16+IF(parametros_carros!$H$30="Todos",'Plan mensual'!O20,0)))/60</f>
        <v>3.15940908482667</v>
      </c>
      <c r="N33" s="41" t="n">
        <f aca="false">SUM(B33:M33)</f>
        <v>39.4926135603333</v>
      </c>
      <c r="O33" s="41" t="n">
        <f aca="false">MAX(B33:M33)</f>
        <v>3.55433522043</v>
      </c>
      <c r="P33" s="45" t="n">
        <f aca="false">IF(parametros_carros!$B$7=0,0,(O33+parametros_carros!$G$56)/parametros_carros!$B$7)</f>
        <v>0.0236955681362</v>
      </c>
      <c r="Q33" s="29" t="str">
        <f aca="false">IF(O33=0,"-",INDEX($B$21:$M$21,MATCH(O33,B33:M33,0)))</f>
        <v>Mar</v>
      </c>
    </row>
    <row r="34" customFormat="false" ht="14.25" hidden="false" customHeight="true" outlineLevel="0" collapsed="false">
      <c r="A34" s="12" t="str">
        <f aca="false">parametros_carros!$B$31</f>
        <v>Pulmón de despacho y carga a pintura</v>
      </c>
      <c r="B34" s="41" t="n">
        <f aca="false">(parametros_carros!$D$31*('Plan mensual'!D13+IF(parametros_carros!$H$31="Todos",'Plan mensual'!D17,0))+parametros_carros!$E$31*('Plan mensual'!D14+IF(parametros_carros!$H$31="Todos",'Plan mensual'!D18,0))+parametros_carros!$F$31*('Plan mensual'!D15+IF(parametros_carros!$H$31="Todos",'Plan mensual'!D19,0))+parametros_carros!$G$31*('Plan mensual'!D16+IF(parametros_carros!$H$31="Todos",'Plan mensual'!D20,0)))/60</f>
        <v>0.533765636931708</v>
      </c>
      <c r="C34" s="41" t="n">
        <f aca="false">(parametros_carros!$D$31*('Plan mensual'!E13+IF(parametros_carros!$H$31="Todos",'Plan mensual'!E17,0))+parametros_carros!$E$31*('Plan mensual'!E14+IF(parametros_carros!$H$31="Todos",'Plan mensual'!E18,0))+parametros_carros!$F$31*('Plan mensual'!E15+IF(parametros_carros!$H$31="Todos",'Plan mensual'!E19,0))+parametros_carros!$G$31*('Plan mensual'!E16+IF(parametros_carros!$H$31="Todos",'Plan mensual'!E20,0)))/60</f>
        <v>0.470969679645625</v>
      </c>
      <c r="D34" s="41" t="n">
        <f aca="false">(parametros_carros!$D$31*('Plan mensual'!F13+IF(parametros_carros!$H$31="Todos",'Plan mensual'!F17,0))+parametros_carros!$E$31*('Plan mensual'!F14+IF(parametros_carros!$H$31="Todos",'Plan mensual'!F18,0))+parametros_carros!$F$31*('Plan mensual'!F15+IF(parametros_carros!$H$31="Todos",'Plan mensual'!F19,0))+parametros_carros!$G$31*('Plan mensual'!F16+IF(parametros_carros!$H$31="Todos",'Plan mensual'!F20,0)))/60</f>
        <v>0.56516361557475</v>
      </c>
      <c r="E34" s="41" t="n">
        <f aca="false">(parametros_carros!$D$31*('Plan mensual'!G13+IF(parametros_carros!$H$31="Todos",'Plan mensual'!G17,0))+parametros_carros!$E$31*('Plan mensual'!G14+IF(parametros_carros!$H$31="Todos",'Plan mensual'!G18,0))+parametros_carros!$F$31*('Plan mensual'!G15+IF(parametros_carros!$H$31="Todos",'Plan mensual'!G19,0))+parametros_carros!$G$31*('Plan mensual'!G16+IF(parametros_carros!$H$31="Todos",'Plan mensual'!G20,0)))/60</f>
        <v>0.56516361557475</v>
      </c>
      <c r="F34" s="41" t="n">
        <f aca="false">(parametros_carros!$D$31*('Plan mensual'!H13+IF(parametros_carros!$H$31="Todos",'Plan mensual'!H17,0))+parametros_carros!$E$31*('Plan mensual'!H14+IF(parametros_carros!$H$31="Todos",'Plan mensual'!H18,0))+parametros_carros!$F$31*('Plan mensual'!H15+IF(parametros_carros!$H$31="Todos",'Plan mensual'!H19,0))+parametros_carros!$G$31*('Plan mensual'!H16+IF(parametros_carros!$H$31="Todos",'Plan mensual'!H20,0)))/60</f>
        <v>0.56516361557475</v>
      </c>
      <c r="G34" s="41" t="n">
        <f aca="false">(parametros_carros!$D$31*('Plan mensual'!I13+IF(parametros_carros!$H$31="Todos",'Plan mensual'!I17,0))+parametros_carros!$E$31*('Plan mensual'!I14+IF(parametros_carros!$H$31="Todos",'Plan mensual'!I18,0))+parametros_carros!$F$31*('Plan mensual'!I15+IF(parametros_carros!$H$31="Todos",'Plan mensual'!I19,0))+parametros_carros!$G$31*('Plan mensual'!I16+IF(parametros_carros!$H$31="Todos",'Plan mensual'!I20,0)))/60</f>
        <v>0.502367658288667</v>
      </c>
      <c r="H34" s="41" t="n">
        <f aca="false">(parametros_carros!$D$31*('Plan mensual'!J13+IF(parametros_carros!$H$31="Todos",'Plan mensual'!J17,0))+parametros_carros!$E$31*('Plan mensual'!J14+IF(parametros_carros!$H$31="Todos",'Plan mensual'!J18,0))+parametros_carros!$F$31*('Plan mensual'!J15+IF(parametros_carros!$H$31="Todos",'Plan mensual'!J19,0))+parametros_carros!$G$31*('Plan mensual'!J16+IF(parametros_carros!$H$31="Todos",'Plan mensual'!J20,0)))/60</f>
        <v>0.56516361557475</v>
      </c>
      <c r="I34" s="41" t="n">
        <f aca="false">(parametros_carros!$D$31*('Plan mensual'!K13+IF(parametros_carros!$H$31="Todos",'Plan mensual'!K17,0))+parametros_carros!$E$31*('Plan mensual'!K14+IF(parametros_carros!$H$31="Todos",'Plan mensual'!K18,0))+parametros_carros!$F$31*('Plan mensual'!K15+IF(parametros_carros!$H$31="Todos",'Plan mensual'!K19,0))+parametros_carros!$G$31*('Plan mensual'!K16+IF(parametros_carros!$H$31="Todos",'Plan mensual'!K20,0)))/60</f>
        <v>0.56516361557475</v>
      </c>
      <c r="J34" s="41" t="n">
        <f aca="false">(parametros_carros!$D$31*('Plan mensual'!L13+IF(parametros_carros!$H$31="Todos",'Plan mensual'!L17,0))+parametros_carros!$E$31*('Plan mensual'!L14+IF(parametros_carros!$H$31="Todos",'Plan mensual'!L18,0))+parametros_carros!$F$31*('Plan mensual'!L15+IF(parametros_carros!$H$31="Todos",'Plan mensual'!L19,0))+parametros_carros!$G$31*('Plan mensual'!L16+IF(parametros_carros!$H$31="Todos",'Plan mensual'!L20,0)))/60</f>
        <v>0.533765636931708</v>
      </c>
      <c r="K34" s="41" t="n">
        <f aca="false">(parametros_carros!$D$31*('Plan mensual'!M13+IF(parametros_carros!$H$31="Todos",'Plan mensual'!M17,0))+parametros_carros!$E$31*('Plan mensual'!M14+IF(parametros_carros!$H$31="Todos",'Plan mensual'!M18,0))+parametros_carros!$F$31*('Plan mensual'!M15+IF(parametros_carros!$H$31="Todos",'Plan mensual'!M19,0))+parametros_carros!$G$31*('Plan mensual'!M16+IF(parametros_carros!$H$31="Todos",'Plan mensual'!M20,0)))/60</f>
        <v>0.470969679645625</v>
      </c>
      <c r="L34" s="41" t="n">
        <f aca="false">(parametros_carros!$D$31*('Plan mensual'!N13+IF(parametros_carros!$H$31="Todos",'Plan mensual'!N17,0))+parametros_carros!$E$31*('Plan mensual'!N14+IF(parametros_carros!$H$31="Todos",'Plan mensual'!N18,0))+parametros_carros!$F$31*('Plan mensual'!N15+IF(parametros_carros!$H$31="Todos",'Plan mensual'!N19,0))+parametros_carros!$G$31*('Plan mensual'!N16+IF(parametros_carros!$H$31="Todos",'Plan mensual'!N20,0)))/60</f>
        <v>0.439571701002583</v>
      </c>
      <c r="M34" s="41" t="n">
        <f aca="false">(parametros_carros!$D$31*('Plan mensual'!O13+IF(parametros_carros!$H$31="Todos",'Plan mensual'!O17,0))+parametros_carros!$E$31*('Plan mensual'!O14+IF(parametros_carros!$H$31="Todos",'Plan mensual'!O18,0))+parametros_carros!$F$31*('Plan mensual'!O15+IF(parametros_carros!$H$31="Todos",'Plan mensual'!O19,0))+parametros_carros!$G$31*('Plan mensual'!O16+IF(parametros_carros!$H$31="Todos",'Plan mensual'!O20,0)))/60</f>
        <v>0.502367658288667</v>
      </c>
      <c r="N34" s="41" t="n">
        <f aca="false">SUM(B34:M34)</f>
        <v>6.27959572860833</v>
      </c>
      <c r="O34" s="41" t="n">
        <f aca="false">MAX(B34:M34)</f>
        <v>0.56516361557475</v>
      </c>
      <c r="P34" s="45" t="n">
        <f aca="false">IF(parametros_carros!$B$7=0,0,(O34+parametros_carros!$G$57)/parametros_carros!$B$7)</f>
        <v>0.0126566463260539</v>
      </c>
      <c r="Q34" s="29" t="str">
        <f aca="false">IF(O34=0,"-",INDEX($B$21:$M$21,MATCH(O34,B34:M34,0)))</f>
        <v>Mar</v>
      </c>
    </row>
    <row r="35" customFormat="false" ht="14.25" hidden="false" customHeight="true" outlineLevel="0" collapsed="false">
      <c r="A35" s="12" t="str">
        <f aca="false">parametros_carros!$B$32</f>
        <v>Recepción de pintados y cambio de juego</v>
      </c>
      <c r="B35" s="41" t="n">
        <f aca="false">(parametros_carros!$D$32*('Plan mensual'!D13+IF(parametros_carros!$H$32="Todos",'Plan mensual'!D17,0))+parametros_carros!$E$32*('Plan mensual'!D14+IF(parametros_carros!$H$32="Todos",'Plan mensual'!D18,0))+parametros_carros!$F$32*('Plan mensual'!D15+IF(parametros_carros!$H$32="Todos",'Plan mensual'!D19,0))+parametros_carros!$G$32*('Plan mensual'!D16+IF(parametros_carros!$H$32="Todos",'Plan mensual'!D20,0)))/60</f>
        <v>1.04418545536783</v>
      </c>
      <c r="C35" s="41" t="n">
        <f aca="false">(parametros_carros!$D$32*('Plan mensual'!E13+IF(parametros_carros!$H$32="Todos",'Plan mensual'!E17,0))+parametros_carros!$E$32*('Plan mensual'!E14+IF(parametros_carros!$H$32="Todos",'Plan mensual'!E18,0))+parametros_carros!$F$32*('Plan mensual'!E15+IF(parametros_carros!$H$32="Todos",'Plan mensual'!E19,0))+parametros_carros!$G$32*('Plan mensual'!E16+IF(parametros_carros!$H$32="Todos",'Plan mensual'!E20,0)))/60</f>
        <v>0.9213401076775</v>
      </c>
      <c r="D35" s="41" t="n">
        <f aca="false">(parametros_carros!$D$32*('Plan mensual'!F13+IF(parametros_carros!$H$32="Todos",'Plan mensual'!F17,0))+parametros_carros!$E$32*('Plan mensual'!F14+IF(parametros_carros!$H$32="Todos",'Plan mensual'!F18,0))+parametros_carros!$F$32*('Plan mensual'!F15+IF(parametros_carros!$H$32="Todos",'Plan mensual'!F19,0))+parametros_carros!$G$32*('Plan mensual'!F16+IF(parametros_carros!$H$32="Todos",'Plan mensual'!F20,0)))/60</f>
        <v>1.105608129213</v>
      </c>
      <c r="E35" s="41" t="n">
        <f aca="false">(parametros_carros!$D$32*('Plan mensual'!G13+IF(parametros_carros!$H$32="Todos",'Plan mensual'!G17,0))+parametros_carros!$E$32*('Plan mensual'!G14+IF(parametros_carros!$H$32="Todos",'Plan mensual'!G18,0))+parametros_carros!$F$32*('Plan mensual'!G15+IF(parametros_carros!$H$32="Todos",'Plan mensual'!G19,0))+parametros_carros!$G$32*('Plan mensual'!G16+IF(parametros_carros!$H$32="Todos",'Plan mensual'!G20,0)))/60</f>
        <v>1.105608129213</v>
      </c>
      <c r="F35" s="41" t="n">
        <f aca="false">(parametros_carros!$D$32*('Plan mensual'!H13+IF(parametros_carros!$H$32="Todos",'Plan mensual'!H17,0))+parametros_carros!$E$32*('Plan mensual'!H14+IF(parametros_carros!$H$32="Todos",'Plan mensual'!H18,0))+parametros_carros!$F$32*('Plan mensual'!H15+IF(parametros_carros!$H$32="Todos",'Plan mensual'!H19,0))+parametros_carros!$G$32*('Plan mensual'!H16+IF(parametros_carros!$H$32="Todos",'Plan mensual'!H20,0)))/60</f>
        <v>1.105608129213</v>
      </c>
      <c r="G35" s="41" t="n">
        <f aca="false">(parametros_carros!$D$32*('Plan mensual'!I13+IF(parametros_carros!$H$32="Todos",'Plan mensual'!I17,0))+parametros_carros!$E$32*('Plan mensual'!I14+IF(parametros_carros!$H$32="Todos",'Plan mensual'!I18,0))+parametros_carros!$F$32*('Plan mensual'!I15+IF(parametros_carros!$H$32="Todos",'Plan mensual'!I19,0))+parametros_carros!$G$32*('Plan mensual'!I16+IF(parametros_carros!$H$32="Todos",'Plan mensual'!I20,0)))/60</f>
        <v>0.982762781522667</v>
      </c>
      <c r="H35" s="41" t="n">
        <f aca="false">(parametros_carros!$D$32*('Plan mensual'!J13+IF(parametros_carros!$H$32="Todos",'Plan mensual'!J17,0))+parametros_carros!$E$32*('Plan mensual'!J14+IF(parametros_carros!$H$32="Todos",'Plan mensual'!J18,0))+parametros_carros!$F$32*('Plan mensual'!J15+IF(parametros_carros!$H$32="Todos",'Plan mensual'!J19,0))+parametros_carros!$G$32*('Plan mensual'!J16+IF(parametros_carros!$H$32="Todos",'Plan mensual'!J20,0)))/60</f>
        <v>1.105608129213</v>
      </c>
      <c r="I35" s="41" t="n">
        <f aca="false">(parametros_carros!$D$32*('Plan mensual'!K13+IF(parametros_carros!$H$32="Todos",'Plan mensual'!K17,0))+parametros_carros!$E$32*('Plan mensual'!K14+IF(parametros_carros!$H$32="Todos",'Plan mensual'!K18,0))+parametros_carros!$F$32*('Plan mensual'!K15+IF(parametros_carros!$H$32="Todos",'Plan mensual'!K19,0))+parametros_carros!$G$32*('Plan mensual'!K16+IF(parametros_carros!$H$32="Todos",'Plan mensual'!K20,0)))/60</f>
        <v>1.105608129213</v>
      </c>
      <c r="J35" s="41" t="n">
        <f aca="false">(parametros_carros!$D$32*('Plan mensual'!L13+IF(parametros_carros!$H$32="Todos",'Plan mensual'!L17,0))+parametros_carros!$E$32*('Plan mensual'!L14+IF(parametros_carros!$H$32="Todos",'Plan mensual'!L18,0))+parametros_carros!$F$32*('Plan mensual'!L15+IF(parametros_carros!$H$32="Todos",'Plan mensual'!L19,0))+parametros_carros!$G$32*('Plan mensual'!L16+IF(parametros_carros!$H$32="Todos",'Plan mensual'!L20,0)))/60</f>
        <v>1.04418545536783</v>
      </c>
      <c r="K35" s="41" t="n">
        <f aca="false">(parametros_carros!$D$32*('Plan mensual'!M13+IF(parametros_carros!$H$32="Todos",'Plan mensual'!M17,0))+parametros_carros!$E$32*('Plan mensual'!M14+IF(parametros_carros!$H$32="Todos",'Plan mensual'!M18,0))+parametros_carros!$F$32*('Plan mensual'!M15+IF(parametros_carros!$H$32="Todos",'Plan mensual'!M19,0))+parametros_carros!$G$32*('Plan mensual'!M16+IF(parametros_carros!$H$32="Todos",'Plan mensual'!M20,0)))/60</f>
        <v>0.9213401076775</v>
      </c>
      <c r="L35" s="41" t="n">
        <f aca="false">(parametros_carros!$D$32*('Plan mensual'!N13+IF(parametros_carros!$H$32="Todos",'Plan mensual'!N17,0))+parametros_carros!$E$32*('Plan mensual'!N14+IF(parametros_carros!$H$32="Todos",'Plan mensual'!N18,0))+parametros_carros!$F$32*('Plan mensual'!N15+IF(parametros_carros!$H$32="Todos",'Plan mensual'!N19,0))+parametros_carros!$G$32*('Plan mensual'!N16+IF(parametros_carros!$H$32="Todos",'Plan mensual'!N20,0)))/60</f>
        <v>0.859917433832333</v>
      </c>
      <c r="M35" s="41" t="n">
        <f aca="false">(parametros_carros!$D$32*('Plan mensual'!O13+IF(parametros_carros!$H$32="Todos",'Plan mensual'!O17,0))+parametros_carros!$E$32*('Plan mensual'!O14+IF(parametros_carros!$H$32="Todos",'Plan mensual'!O18,0))+parametros_carros!$F$32*('Plan mensual'!O15+IF(parametros_carros!$H$32="Todos",'Plan mensual'!O19,0))+parametros_carros!$G$32*('Plan mensual'!O16+IF(parametros_carros!$H$32="Todos",'Plan mensual'!O20,0)))/60</f>
        <v>0.982762781522667</v>
      </c>
      <c r="N35" s="41" t="n">
        <f aca="false">SUM(B35:M35)</f>
        <v>12.2845347690333</v>
      </c>
      <c r="O35" s="41" t="n">
        <f aca="false">MAX(B35:M35)</f>
        <v>1.105608129213</v>
      </c>
      <c r="P35" s="45" t="n">
        <f aca="false">IF(parametros_carros!$B$7=0,0,(O35+parametros_carros!$G$58)/parametros_carros!$B$7)</f>
        <v>0.0162596097503089</v>
      </c>
      <c r="Q35" s="29" t="str">
        <f aca="false">IF(O35=0,"-",INDEX($B$21:$M$21,MATCH(O35,B35:M35,0)))</f>
        <v>Mar</v>
      </c>
    </row>
    <row r="36" customFormat="false" ht="14.25" hidden="false" customHeight="true" outlineLevel="0" collapsed="false">
      <c r="A36" s="12" t="str">
        <f aca="false">parametros_carros!$B$33</f>
        <v>Carga de polvo y presurización</v>
      </c>
      <c r="B36" s="41" t="n">
        <f aca="false">(parametros_carros!$D$33*('Plan mensual'!D13+IF(parametros_carros!$H$33="Todos",'Plan mensual'!D17,0))+parametros_carros!$E$33*('Plan mensual'!D14+IF(parametros_carros!$H$33="Todos",'Plan mensual'!D18,0))+parametros_carros!$F$33*('Plan mensual'!D15+IF(parametros_carros!$H$33="Todos",'Plan mensual'!D19,0))+parametros_carros!$G$33*('Plan mensual'!D16+IF(parametros_carros!$H$33="Todos",'Plan mensual'!D20,0)))/60</f>
        <v>3.75921074050017</v>
      </c>
      <c r="C36" s="41" t="n">
        <f aca="false">(parametros_carros!$D$33*('Plan mensual'!E13+IF(parametros_carros!$H$33="Todos",'Plan mensual'!E17,0))+parametros_carros!$E$33*('Plan mensual'!E14+IF(parametros_carros!$H$33="Todos",'Plan mensual'!E18,0))+parametros_carros!$F$33*('Plan mensual'!E15+IF(parametros_carros!$H$33="Todos",'Plan mensual'!E19,0))+parametros_carros!$G$33*('Plan mensual'!E16+IF(parametros_carros!$H$33="Todos",'Plan mensual'!E20,0)))/60</f>
        <v>3.3169506533825</v>
      </c>
      <c r="D36" s="41" t="n">
        <f aca="false">(parametros_carros!$D$33*('Plan mensual'!F13+IF(parametros_carros!$H$33="Todos",'Plan mensual'!F17,0))+parametros_carros!$E$33*('Plan mensual'!F14+IF(parametros_carros!$H$33="Todos",'Plan mensual'!F18,0))+parametros_carros!$F$33*('Plan mensual'!F15+IF(parametros_carros!$H$33="Todos",'Plan mensual'!F19,0))+parametros_carros!$G$33*('Plan mensual'!F16+IF(parametros_carros!$H$33="Todos",'Plan mensual'!F20,0)))/60</f>
        <v>3.980340784059</v>
      </c>
      <c r="E36" s="41" t="n">
        <f aca="false">(parametros_carros!$D$33*('Plan mensual'!G13+IF(parametros_carros!$H$33="Todos",'Plan mensual'!G17,0))+parametros_carros!$E$33*('Plan mensual'!G14+IF(parametros_carros!$H$33="Todos",'Plan mensual'!G18,0))+parametros_carros!$F$33*('Plan mensual'!G15+IF(parametros_carros!$H$33="Todos",'Plan mensual'!G19,0))+parametros_carros!$G$33*('Plan mensual'!G16+IF(parametros_carros!$H$33="Todos",'Plan mensual'!G20,0)))/60</f>
        <v>3.980340784059</v>
      </c>
      <c r="F36" s="41" t="n">
        <f aca="false">(parametros_carros!$D$33*('Plan mensual'!H13+IF(parametros_carros!$H$33="Todos",'Plan mensual'!H17,0))+parametros_carros!$E$33*('Plan mensual'!H14+IF(parametros_carros!$H$33="Todos",'Plan mensual'!H18,0))+parametros_carros!$F$33*('Plan mensual'!H15+IF(parametros_carros!$H$33="Todos",'Plan mensual'!H19,0))+parametros_carros!$G$33*('Plan mensual'!H16+IF(parametros_carros!$H$33="Todos",'Plan mensual'!H20,0)))/60</f>
        <v>3.980340784059</v>
      </c>
      <c r="G36" s="41" t="n">
        <f aca="false">(parametros_carros!$D$33*('Plan mensual'!I13+IF(parametros_carros!$H$33="Todos",'Plan mensual'!I17,0))+parametros_carros!$E$33*('Plan mensual'!I14+IF(parametros_carros!$H$33="Todos",'Plan mensual'!I18,0))+parametros_carros!$F$33*('Plan mensual'!I15+IF(parametros_carros!$H$33="Todos",'Plan mensual'!I19,0))+parametros_carros!$G$33*('Plan mensual'!I16+IF(parametros_carros!$H$33="Todos",'Plan mensual'!I20,0)))/60</f>
        <v>3.53808069694133</v>
      </c>
      <c r="H36" s="41" t="n">
        <f aca="false">(parametros_carros!$D$33*('Plan mensual'!J13+IF(parametros_carros!$H$33="Todos",'Plan mensual'!J17,0))+parametros_carros!$E$33*('Plan mensual'!J14+IF(parametros_carros!$H$33="Todos",'Plan mensual'!J18,0))+parametros_carros!$F$33*('Plan mensual'!J15+IF(parametros_carros!$H$33="Todos",'Plan mensual'!J19,0))+parametros_carros!$G$33*('Plan mensual'!J16+IF(parametros_carros!$H$33="Todos",'Plan mensual'!J20,0)))/60</f>
        <v>3.980340784059</v>
      </c>
      <c r="I36" s="41" t="n">
        <f aca="false">(parametros_carros!$D$33*('Plan mensual'!K13+IF(parametros_carros!$H$33="Todos",'Plan mensual'!K17,0))+parametros_carros!$E$33*('Plan mensual'!K14+IF(parametros_carros!$H$33="Todos",'Plan mensual'!K18,0))+parametros_carros!$F$33*('Plan mensual'!K15+IF(parametros_carros!$H$33="Todos",'Plan mensual'!K19,0))+parametros_carros!$G$33*('Plan mensual'!K16+IF(parametros_carros!$H$33="Todos",'Plan mensual'!K20,0)))/60</f>
        <v>3.980340784059</v>
      </c>
      <c r="J36" s="41" t="n">
        <f aca="false">(parametros_carros!$D$33*('Plan mensual'!L13+IF(parametros_carros!$H$33="Todos",'Plan mensual'!L17,0))+parametros_carros!$E$33*('Plan mensual'!L14+IF(parametros_carros!$H$33="Todos",'Plan mensual'!L18,0))+parametros_carros!$F$33*('Plan mensual'!L15+IF(parametros_carros!$H$33="Todos",'Plan mensual'!L19,0))+parametros_carros!$G$33*('Plan mensual'!L16+IF(parametros_carros!$H$33="Todos",'Plan mensual'!L20,0)))/60</f>
        <v>3.75921074050017</v>
      </c>
      <c r="K36" s="41" t="n">
        <f aca="false">(parametros_carros!$D$33*('Plan mensual'!M13+IF(parametros_carros!$H$33="Todos",'Plan mensual'!M17,0))+parametros_carros!$E$33*('Plan mensual'!M14+IF(parametros_carros!$H$33="Todos",'Plan mensual'!M18,0))+parametros_carros!$F$33*('Plan mensual'!M15+IF(parametros_carros!$H$33="Todos",'Plan mensual'!M19,0))+parametros_carros!$G$33*('Plan mensual'!M16+IF(parametros_carros!$H$33="Todos",'Plan mensual'!M20,0)))/60</f>
        <v>3.3169506533825</v>
      </c>
      <c r="L36" s="41" t="n">
        <f aca="false">(parametros_carros!$D$33*('Plan mensual'!N13+IF(parametros_carros!$H$33="Todos",'Plan mensual'!N17,0))+parametros_carros!$E$33*('Plan mensual'!N14+IF(parametros_carros!$H$33="Todos",'Plan mensual'!N18,0))+parametros_carros!$F$33*('Plan mensual'!N15+IF(parametros_carros!$H$33="Todos",'Plan mensual'!N19,0))+parametros_carros!$G$33*('Plan mensual'!N16+IF(parametros_carros!$H$33="Todos",'Plan mensual'!N20,0)))/60</f>
        <v>3.09582060982367</v>
      </c>
      <c r="M36" s="41" t="n">
        <f aca="false">(parametros_carros!$D$33*('Plan mensual'!O13+IF(parametros_carros!$H$33="Todos",'Plan mensual'!O17,0))+parametros_carros!$E$33*('Plan mensual'!O14+IF(parametros_carros!$H$33="Todos",'Plan mensual'!O18,0))+parametros_carros!$F$33*('Plan mensual'!O15+IF(parametros_carros!$H$33="Todos",'Plan mensual'!O19,0))+parametros_carros!$G$33*('Plan mensual'!O16+IF(parametros_carros!$H$33="Todos",'Plan mensual'!O20,0)))/60</f>
        <v>3.53808069694133</v>
      </c>
      <c r="N36" s="41" t="n">
        <f aca="false">SUM(B36:M36)</f>
        <v>44.2260087117667</v>
      </c>
      <c r="O36" s="41" t="n">
        <f aca="false">MAX(B36:M36)</f>
        <v>3.980340784059</v>
      </c>
      <c r="P36" s="45" t="n">
        <f aca="false">IF(parametros_carros!$B$7=0,0,(O36+parametros_carros!$G$59)/parametros_carros!$B$7)</f>
        <v>0.133202271893727</v>
      </c>
      <c r="Q36" s="29" t="str">
        <f aca="false">IF(O36=0,"-",INDEX($B$21:$M$21,MATCH(O36,B36:M36,0)))</f>
        <v>Mar</v>
      </c>
    </row>
    <row r="37" customFormat="false" ht="14.25" hidden="false" customHeight="true" outlineLevel="0" collapsed="false">
      <c r="A37" s="12" t="str">
        <f aca="false">parametros_carros!$B$34</f>
        <v>Montaje, manga, precinto y etiquetado</v>
      </c>
      <c r="B37" s="41" t="n">
        <f aca="false">(parametros_carros!$D$34*('Plan mensual'!D13+IF(parametros_carros!$H$34="Todos",'Plan mensual'!D17,0))+parametros_carros!$E$34*('Plan mensual'!D14+IF(parametros_carros!$H$34="Todos",'Plan mensual'!D18,0))+parametros_carros!$F$34*('Plan mensual'!D15+IF(parametros_carros!$H$34="Todos",'Plan mensual'!D19,0))+parametros_carros!$G$34*('Plan mensual'!D16+IF(parametros_carros!$H$34="Todos",'Plan mensual'!D20,0)))/60</f>
        <v>2.09676170753392</v>
      </c>
      <c r="C37" s="41" t="n">
        <f aca="false">(parametros_carros!$D$34*('Plan mensual'!E13+IF(parametros_carros!$H$34="Todos",'Plan mensual'!E17,0))+parametros_carros!$E$34*('Plan mensual'!E14+IF(parametros_carros!$H$34="Todos",'Plan mensual'!E18,0))+parametros_carros!$F$34*('Plan mensual'!E15+IF(parametros_carros!$H$34="Todos",'Plan mensual'!E19,0))+parametros_carros!$G$34*('Plan mensual'!E16+IF(parametros_carros!$H$34="Todos",'Plan mensual'!E20,0)))/60</f>
        <v>1.85008385958875</v>
      </c>
      <c r="D37" s="41" t="n">
        <f aca="false">(parametros_carros!$D$34*('Plan mensual'!F13+IF(parametros_carros!$H$34="Todos",'Plan mensual'!F17,0))+parametros_carros!$E$34*('Plan mensual'!F14+IF(parametros_carros!$H$34="Todos",'Plan mensual'!F18,0))+parametros_carros!$F$34*('Plan mensual'!F15+IF(parametros_carros!$H$34="Todos",'Plan mensual'!F19,0))+parametros_carros!$G$34*('Plan mensual'!F16+IF(parametros_carros!$H$34="Todos",'Plan mensual'!F20,0)))/60</f>
        <v>2.2201006315065</v>
      </c>
      <c r="E37" s="41" t="n">
        <f aca="false">(parametros_carros!$D$34*('Plan mensual'!G13+IF(parametros_carros!$H$34="Todos",'Plan mensual'!G17,0))+parametros_carros!$E$34*('Plan mensual'!G14+IF(parametros_carros!$H$34="Todos",'Plan mensual'!G18,0))+parametros_carros!$F$34*('Plan mensual'!G15+IF(parametros_carros!$H$34="Todos",'Plan mensual'!G19,0))+parametros_carros!$G$34*('Plan mensual'!G16+IF(parametros_carros!$H$34="Todos",'Plan mensual'!G20,0)))/60</f>
        <v>2.2201006315065</v>
      </c>
      <c r="F37" s="41" t="n">
        <f aca="false">(parametros_carros!$D$34*('Plan mensual'!H13+IF(parametros_carros!$H$34="Todos",'Plan mensual'!H17,0))+parametros_carros!$E$34*('Plan mensual'!H14+IF(parametros_carros!$H$34="Todos",'Plan mensual'!H18,0))+parametros_carros!$F$34*('Plan mensual'!H15+IF(parametros_carros!$H$34="Todos",'Plan mensual'!H19,0))+parametros_carros!$G$34*('Plan mensual'!H16+IF(parametros_carros!$H$34="Todos",'Plan mensual'!H20,0)))/60</f>
        <v>2.2201006315065</v>
      </c>
      <c r="G37" s="41" t="n">
        <f aca="false">(parametros_carros!$D$34*('Plan mensual'!I13+IF(parametros_carros!$H$34="Todos",'Plan mensual'!I17,0))+parametros_carros!$E$34*('Plan mensual'!I14+IF(parametros_carros!$H$34="Todos",'Plan mensual'!I18,0))+parametros_carros!$F$34*('Plan mensual'!I15+IF(parametros_carros!$H$34="Todos",'Plan mensual'!I19,0))+parametros_carros!$G$34*('Plan mensual'!I16+IF(parametros_carros!$H$34="Todos",'Plan mensual'!I20,0)))/60</f>
        <v>1.97342278356133</v>
      </c>
      <c r="H37" s="41" t="n">
        <f aca="false">(parametros_carros!$D$34*('Plan mensual'!J13+IF(parametros_carros!$H$34="Todos",'Plan mensual'!J17,0))+parametros_carros!$E$34*('Plan mensual'!J14+IF(parametros_carros!$H$34="Todos",'Plan mensual'!J18,0))+parametros_carros!$F$34*('Plan mensual'!J15+IF(parametros_carros!$H$34="Todos",'Plan mensual'!J19,0))+parametros_carros!$G$34*('Plan mensual'!J16+IF(parametros_carros!$H$34="Todos",'Plan mensual'!J20,0)))/60</f>
        <v>2.2201006315065</v>
      </c>
      <c r="I37" s="41" t="n">
        <f aca="false">(parametros_carros!$D$34*('Plan mensual'!K13+IF(parametros_carros!$H$34="Todos",'Plan mensual'!K17,0))+parametros_carros!$E$34*('Plan mensual'!K14+IF(parametros_carros!$H$34="Todos",'Plan mensual'!K18,0))+parametros_carros!$F$34*('Plan mensual'!K15+IF(parametros_carros!$H$34="Todos",'Plan mensual'!K19,0))+parametros_carros!$G$34*('Plan mensual'!K16+IF(parametros_carros!$H$34="Todos",'Plan mensual'!K20,0)))/60</f>
        <v>2.2201006315065</v>
      </c>
      <c r="J37" s="41" t="n">
        <f aca="false">(parametros_carros!$D$34*('Plan mensual'!L13+IF(parametros_carros!$H$34="Todos",'Plan mensual'!L17,0))+parametros_carros!$E$34*('Plan mensual'!L14+IF(parametros_carros!$H$34="Todos",'Plan mensual'!L18,0))+parametros_carros!$F$34*('Plan mensual'!L15+IF(parametros_carros!$H$34="Todos",'Plan mensual'!L19,0))+parametros_carros!$G$34*('Plan mensual'!L16+IF(parametros_carros!$H$34="Todos",'Plan mensual'!L20,0)))/60</f>
        <v>2.09676170753392</v>
      </c>
      <c r="K37" s="41" t="n">
        <f aca="false">(parametros_carros!$D$34*('Plan mensual'!M13+IF(parametros_carros!$H$34="Todos",'Plan mensual'!M17,0))+parametros_carros!$E$34*('Plan mensual'!M14+IF(parametros_carros!$H$34="Todos",'Plan mensual'!M18,0))+parametros_carros!$F$34*('Plan mensual'!M15+IF(parametros_carros!$H$34="Todos",'Plan mensual'!M19,0))+parametros_carros!$G$34*('Plan mensual'!M16+IF(parametros_carros!$H$34="Todos",'Plan mensual'!M20,0)))/60</f>
        <v>1.85008385958875</v>
      </c>
      <c r="L37" s="41" t="n">
        <f aca="false">(parametros_carros!$D$34*('Plan mensual'!N13+IF(parametros_carros!$H$34="Todos",'Plan mensual'!N17,0))+parametros_carros!$E$34*('Plan mensual'!N14+IF(parametros_carros!$H$34="Todos",'Plan mensual'!N18,0))+parametros_carros!$F$34*('Plan mensual'!N15+IF(parametros_carros!$H$34="Todos",'Plan mensual'!N19,0))+parametros_carros!$G$34*('Plan mensual'!N16+IF(parametros_carros!$H$34="Todos",'Plan mensual'!N20,0)))/60</f>
        <v>1.72674493561617</v>
      </c>
      <c r="M37" s="41" t="n">
        <f aca="false">(parametros_carros!$D$34*('Plan mensual'!O13+IF(parametros_carros!$H$34="Todos",'Plan mensual'!O17,0))+parametros_carros!$E$34*('Plan mensual'!O14+IF(parametros_carros!$H$34="Todos",'Plan mensual'!O18,0))+parametros_carros!$F$34*('Plan mensual'!O15+IF(parametros_carros!$H$34="Todos",'Plan mensual'!O19,0))+parametros_carros!$G$34*('Plan mensual'!O16+IF(parametros_carros!$H$34="Todos",'Plan mensual'!O20,0)))/60</f>
        <v>1.97342278356133</v>
      </c>
      <c r="N37" s="41" t="n">
        <f aca="false">SUM(B37:M37)</f>
        <v>24.6677847945167</v>
      </c>
      <c r="O37" s="41" t="n">
        <f aca="false">MAX(B37:M37)</f>
        <v>2.2201006315065</v>
      </c>
      <c r="P37" s="45" t="n">
        <f aca="false">IF(parametros_carros!$B$7=0,0,(O37+parametros_carros!$G$60)/parametros_carros!$B$7)</f>
        <v>0.0614673375433767</v>
      </c>
      <c r="Q37" s="29" t="str">
        <f aca="false">IF(O37=0,"-",INDEX($B$21:$M$21,MATCH(O37,B37:M37,0)))</f>
        <v>Mar</v>
      </c>
    </row>
    <row r="38" customFormat="false" ht="14.25" hidden="false" customHeight="true" outlineLevel="0" collapsed="false">
      <c r="A38" s="12" t="str">
        <f aca="false">parametros_carros!$B$35</f>
        <v>Calidad: pérdidas, inspección final, liberación y ensayos de lote</v>
      </c>
      <c r="B38" s="41" t="n">
        <f aca="false">(parametros_carros!$D$35*('Plan mensual'!D13+IF(parametros_carros!$H$35="Todos",'Plan mensual'!D17,0))+parametros_carros!$E$35*('Plan mensual'!D14+IF(parametros_carros!$H$35="Todos",'Plan mensual'!D18,0))+parametros_carros!$F$35*('Plan mensual'!D15+IF(parametros_carros!$H$35="Todos",'Plan mensual'!D19,0))+parametros_carros!$G$35*('Plan mensual'!D16+IF(parametros_carros!$H$35="Todos",'Plan mensual'!D20,0)))/60</f>
        <v>1.58902902242022</v>
      </c>
      <c r="C38" s="41" t="n">
        <f aca="false">(parametros_carros!$D$35*('Plan mensual'!E13+IF(parametros_carros!$H$35="Todos",'Plan mensual'!E17,0))+parametros_carros!$E$35*('Plan mensual'!E14+IF(parametros_carros!$H$35="Todos",'Plan mensual'!E18,0))+parametros_carros!$F$35*('Plan mensual'!E15+IF(parametros_carros!$H$35="Todos",'Plan mensual'!E19,0))+parametros_carros!$G$35*('Plan mensual'!E16+IF(parametros_carros!$H$35="Todos",'Plan mensual'!E20,0)))/60</f>
        <v>1.40208443154725</v>
      </c>
      <c r="D38" s="41" t="n">
        <f aca="false">(parametros_carros!$D$35*('Plan mensual'!F13+IF(parametros_carros!$H$35="Todos",'Plan mensual'!F17,0))+parametros_carros!$E$35*('Plan mensual'!F14+IF(parametros_carros!$H$35="Todos",'Plan mensual'!F18,0))+parametros_carros!$F$35*('Plan mensual'!F15+IF(parametros_carros!$H$35="Todos",'Plan mensual'!F19,0))+parametros_carros!$G$35*('Plan mensual'!F16+IF(parametros_carros!$H$35="Todos",'Plan mensual'!F20,0)))/60</f>
        <v>1.6825013178567</v>
      </c>
      <c r="E38" s="41" t="n">
        <f aca="false">(parametros_carros!$D$35*('Plan mensual'!G13+IF(parametros_carros!$H$35="Todos",'Plan mensual'!G17,0))+parametros_carros!$E$35*('Plan mensual'!G14+IF(parametros_carros!$H$35="Todos",'Plan mensual'!G18,0))+parametros_carros!$F$35*('Plan mensual'!G15+IF(parametros_carros!$H$35="Todos",'Plan mensual'!G19,0))+parametros_carros!$G$35*('Plan mensual'!G16+IF(parametros_carros!$H$35="Todos",'Plan mensual'!G20,0)))/60</f>
        <v>1.6825013178567</v>
      </c>
      <c r="F38" s="41" t="n">
        <f aca="false">(parametros_carros!$D$35*('Plan mensual'!H13+IF(parametros_carros!$H$35="Todos",'Plan mensual'!H17,0))+parametros_carros!$E$35*('Plan mensual'!H14+IF(parametros_carros!$H$35="Todos",'Plan mensual'!H18,0))+parametros_carros!$F$35*('Plan mensual'!H15+IF(parametros_carros!$H$35="Todos",'Plan mensual'!H19,0))+parametros_carros!$G$35*('Plan mensual'!H16+IF(parametros_carros!$H$35="Todos",'Plan mensual'!H20,0)))/60</f>
        <v>1.6825013178567</v>
      </c>
      <c r="G38" s="41" t="n">
        <f aca="false">(parametros_carros!$D$35*('Plan mensual'!I13+IF(parametros_carros!$H$35="Todos",'Plan mensual'!I17,0))+parametros_carros!$E$35*('Plan mensual'!I14+IF(parametros_carros!$H$35="Todos",'Plan mensual'!I18,0))+parametros_carros!$F$35*('Plan mensual'!I15+IF(parametros_carros!$H$35="Todos",'Plan mensual'!I19,0))+parametros_carros!$G$35*('Plan mensual'!I16+IF(parametros_carros!$H$35="Todos",'Plan mensual'!I20,0)))/60</f>
        <v>1.49555672698373</v>
      </c>
      <c r="H38" s="41" t="n">
        <f aca="false">(parametros_carros!$D$35*('Plan mensual'!J13+IF(parametros_carros!$H$35="Todos",'Plan mensual'!J17,0))+parametros_carros!$E$35*('Plan mensual'!J14+IF(parametros_carros!$H$35="Todos",'Plan mensual'!J18,0))+parametros_carros!$F$35*('Plan mensual'!J15+IF(parametros_carros!$H$35="Todos",'Plan mensual'!J19,0))+parametros_carros!$G$35*('Plan mensual'!J16+IF(parametros_carros!$H$35="Todos",'Plan mensual'!J20,0)))/60</f>
        <v>1.6825013178567</v>
      </c>
      <c r="I38" s="41" t="n">
        <f aca="false">(parametros_carros!$D$35*('Plan mensual'!K13+IF(parametros_carros!$H$35="Todos",'Plan mensual'!K17,0))+parametros_carros!$E$35*('Plan mensual'!K14+IF(parametros_carros!$H$35="Todos",'Plan mensual'!K18,0))+parametros_carros!$F$35*('Plan mensual'!K15+IF(parametros_carros!$H$35="Todos",'Plan mensual'!K19,0))+parametros_carros!$G$35*('Plan mensual'!K16+IF(parametros_carros!$H$35="Todos",'Plan mensual'!K20,0)))/60</f>
        <v>1.6825013178567</v>
      </c>
      <c r="J38" s="41" t="n">
        <f aca="false">(parametros_carros!$D$35*('Plan mensual'!L13+IF(parametros_carros!$H$35="Todos",'Plan mensual'!L17,0))+parametros_carros!$E$35*('Plan mensual'!L14+IF(parametros_carros!$H$35="Todos",'Plan mensual'!L18,0))+parametros_carros!$F$35*('Plan mensual'!L15+IF(parametros_carros!$H$35="Todos",'Plan mensual'!L19,0))+parametros_carros!$G$35*('Plan mensual'!L16+IF(parametros_carros!$H$35="Todos",'Plan mensual'!L20,0)))/60</f>
        <v>1.58902902242022</v>
      </c>
      <c r="K38" s="41" t="n">
        <f aca="false">(parametros_carros!$D$35*('Plan mensual'!M13+IF(parametros_carros!$H$35="Todos",'Plan mensual'!M17,0))+parametros_carros!$E$35*('Plan mensual'!M14+IF(parametros_carros!$H$35="Todos",'Plan mensual'!M18,0))+parametros_carros!$F$35*('Plan mensual'!M15+IF(parametros_carros!$H$35="Todos",'Plan mensual'!M19,0))+parametros_carros!$G$35*('Plan mensual'!M16+IF(parametros_carros!$H$35="Todos",'Plan mensual'!M20,0)))/60</f>
        <v>1.40208443154725</v>
      </c>
      <c r="L38" s="41" t="n">
        <f aca="false">(parametros_carros!$D$35*('Plan mensual'!N13+IF(parametros_carros!$H$35="Todos",'Plan mensual'!N17,0))+parametros_carros!$E$35*('Plan mensual'!N14+IF(parametros_carros!$H$35="Todos",'Plan mensual'!N18,0))+parametros_carros!$F$35*('Plan mensual'!N15+IF(parametros_carros!$H$35="Todos",'Plan mensual'!N19,0))+parametros_carros!$G$35*('Plan mensual'!N16+IF(parametros_carros!$H$35="Todos",'Plan mensual'!N20,0)))/60</f>
        <v>1.30861213611077</v>
      </c>
      <c r="M38" s="41" t="n">
        <f aca="false">(parametros_carros!$D$35*('Plan mensual'!O13+IF(parametros_carros!$H$35="Todos",'Plan mensual'!O17,0))+parametros_carros!$E$35*('Plan mensual'!O14+IF(parametros_carros!$H$35="Todos",'Plan mensual'!O18,0))+parametros_carros!$F$35*('Plan mensual'!O15+IF(parametros_carros!$H$35="Todos",'Plan mensual'!O19,0))+parametros_carros!$G$35*('Plan mensual'!O16+IF(parametros_carros!$H$35="Todos",'Plan mensual'!O20,0)))/60</f>
        <v>1.49555672698373</v>
      </c>
      <c r="N38" s="41" t="n">
        <f aca="false">SUM(B38:M38)</f>
        <v>18.6944590872967</v>
      </c>
      <c r="O38" s="41" t="n">
        <f aca="false">MAX(B38:M38)</f>
        <v>1.6825013178567</v>
      </c>
      <c r="P38" s="45" t="n">
        <f aca="false">IF(parametros_carros!$B$7=0,0,(O38+parametros_carros!$G$61)/parametros_carros!$B$7)</f>
        <v>0.3814388976746</v>
      </c>
      <c r="Q38" s="29" t="str">
        <f aca="false">IF(O38=0,"-",INDEX($B$21:$M$21,MATCH(O38,B38:M38,0)))</f>
        <v>Mar</v>
      </c>
    </row>
    <row r="39" customFormat="false" ht="14.25" hidden="false" customHeight="true" outlineLevel="0" collapsed="false">
      <c r="A39" s="12" t="str">
        <f aca="false">parametros_carros!$B$36</f>
        <v>Depósito de producto terminado y despacho</v>
      </c>
      <c r="B39" s="41" t="n">
        <f aca="false">(parametros_carros!$D$36*('Plan mensual'!D13+IF(parametros_carros!$H$36="Todos",'Plan mensual'!D17,0))+parametros_carros!$E$36*('Plan mensual'!D14+IF(parametros_carros!$H$36="Todos",'Plan mensual'!D18,0))+parametros_carros!$F$36*('Plan mensual'!D15+IF(parametros_carros!$H$36="Todos",'Plan mensual'!D19,0))+parametros_carros!$G$36*('Plan mensual'!D16+IF(parametros_carros!$H$36="Todos",'Plan mensual'!D20,0)))/60</f>
        <v>0.453698949726667</v>
      </c>
      <c r="C39" s="41" t="n">
        <f aca="false">(parametros_carros!$D$36*('Plan mensual'!E13+IF(parametros_carros!$H$36="Todos",'Plan mensual'!E17,0))+parametros_carros!$E$36*('Plan mensual'!E14+IF(parametros_carros!$H$36="Todos",'Plan mensual'!E18,0))+parametros_carros!$F$36*('Plan mensual'!E15+IF(parametros_carros!$H$36="Todos",'Plan mensual'!E19,0))+parametros_carros!$G$36*('Plan mensual'!E16+IF(parametros_carros!$H$36="Todos",'Plan mensual'!E20,0)))/60</f>
        <v>0.4003226027</v>
      </c>
      <c r="D39" s="41" t="n">
        <f aca="false">(parametros_carros!$D$36*('Plan mensual'!F13+IF(parametros_carros!$H$36="Todos",'Plan mensual'!F17,0))+parametros_carros!$E$36*('Plan mensual'!F14+IF(parametros_carros!$H$36="Todos",'Plan mensual'!F18,0))+parametros_carros!$F$36*('Plan mensual'!F15+IF(parametros_carros!$H$36="Todos",'Plan mensual'!F19,0))+parametros_carros!$G$36*('Plan mensual'!F16+IF(parametros_carros!$H$36="Todos",'Plan mensual'!F20,0)))/60</f>
        <v>0.48038712324</v>
      </c>
      <c r="E39" s="41" t="n">
        <f aca="false">(parametros_carros!$D$36*('Plan mensual'!G13+IF(parametros_carros!$H$36="Todos",'Plan mensual'!G17,0))+parametros_carros!$E$36*('Plan mensual'!G14+IF(parametros_carros!$H$36="Todos",'Plan mensual'!G18,0))+parametros_carros!$F$36*('Plan mensual'!G15+IF(parametros_carros!$H$36="Todos",'Plan mensual'!G19,0))+parametros_carros!$G$36*('Plan mensual'!G16+IF(parametros_carros!$H$36="Todos",'Plan mensual'!G20,0)))/60</f>
        <v>0.48038712324</v>
      </c>
      <c r="F39" s="41" t="n">
        <f aca="false">(parametros_carros!$D$36*('Plan mensual'!H13+IF(parametros_carros!$H$36="Todos",'Plan mensual'!H17,0))+parametros_carros!$E$36*('Plan mensual'!H14+IF(parametros_carros!$H$36="Todos",'Plan mensual'!H18,0))+parametros_carros!$F$36*('Plan mensual'!H15+IF(parametros_carros!$H$36="Todos",'Plan mensual'!H19,0))+parametros_carros!$G$36*('Plan mensual'!H16+IF(parametros_carros!$H$36="Todos",'Plan mensual'!H20,0)))/60</f>
        <v>0.48038712324</v>
      </c>
      <c r="G39" s="41" t="n">
        <f aca="false">(parametros_carros!$D$36*('Plan mensual'!I13+IF(parametros_carros!$H$36="Todos",'Plan mensual'!I17,0))+parametros_carros!$E$36*('Plan mensual'!I14+IF(parametros_carros!$H$36="Todos",'Plan mensual'!I18,0))+parametros_carros!$F$36*('Plan mensual'!I15+IF(parametros_carros!$H$36="Todos",'Plan mensual'!I19,0))+parametros_carros!$G$36*('Plan mensual'!I16+IF(parametros_carros!$H$36="Todos",'Plan mensual'!I20,0)))/60</f>
        <v>0.427010776213333</v>
      </c>
      <c r="H39" s="41" t="n">
        <f aca="false">(parametros_carros!$D$36*('Plan mensual'!J13+IF(parametros_carros!$H$36="Todos",'Plan mensual'!J17,0))+parametros_carros!$E$36*('Plan mensual'!J14+IF(parametros_carros!$H$36="Todos",'Plan mensual'!J18,0))+parametros_carros!$F$36*('Plan mensual'!J15+IF(parametros_carros!$H$36="Todos",'Plan mensual'!J19,0))+parametros_carros!$G$36*('Plan mensual'!J16+IF(parametros_carros!$H$36="Todos",'Plan mensual'!J20,0)))/60</f>
        <v>0.48038712324</v>
      </c>
      <c r="I39" s="41" t="n">
        <f aca="false">(parametros_carros!$D$36*('Plan mensual'!K13+IF(parametros_carros!$H$36="Todos",'Plan mensual'!K17,0))+parametros_carros!$E$36*('Plan mensual'!K14+IF(parametros_carros!$H$36="Todos",'Plan mensual'!K18,0))+parametros_carros!$F$36*('Plan mensual'!K15+IF(parametros_carros!$H$36="Todos",'Plan mensual'!K19,0))+parametros_carros!$G$36*('Plan mensual'!K16+IF(parametros_carros!$H$36="Todos",'Plan mensual'!K20,0)))/60</f>
        <v>0.48038712324</v>
      </c>
      <c r="J39" s="41" t="n">
        <f aca="false">(parametros_carros!$D$36*('Plan mensual'!L13+IF(parametros_carros!$H$36="Todos",'Plan mensual'!L17,0))+parametros_carros!$E$36*('Plan mensual'!L14+IF(parametros_carros!$H$36="Todos",'Plan mensual'!L18,0))+parametros_carros!$F$36*('Plan mensual'!L15+IF(parametros_carros!$H$36="Todos",'Plan mensual'!L19,0))+parametros_carros!$G$36*('Plan mensual'!L16+IF(parametros_carros!$H$36="Todos",'Plan mensual'!L20,0)))/60</f>
        <v>0.453698949726667</v>
      </c>
      <c r="K39" s="41" t="n">
        <f aca="false">(parametros_carros!$D$36*('Plan mensual'!M13+IF(parametros_carros!$H$36="Todos",'Plan mensual'!M17,0))+parametros_carros!$E$36*('Plan mensual'!M14+IF(parametros_carros!$H$36="Todos",'Plan mensual'!M18,0))+parametros_carros!$F$36*('Plan mensual'!M15+IF(parametros_carros!$H$36="Todos",'Plan mensual'!M19,0))+parametros_carros!$G$36*('Plan mensual'!M16+IF(parametros_carros!$H$36="Todos",'Plan mensual'!M20,0)))/60</f>
        <v>0.4003226027</v>
      </c>
      <c r="L39" s="41" t="n">
        <f aca="false">(parametros_carros!$D$36*('Plan mensual'!N13+IF(parametros_carros!$H$36="Todos",'Plan mensual'!N17,0))+parametros_carros!$E$36*('Plan mensual'!N14+IF(parametros_carros!$H$36="Todos",'Plan mensual'!N18,0))+parametros_carros!$F$36*('Plan mensual'!N15+IF(parametros_carros!$H$36="Todos",'Plan mensual'!N19,0))+parametros_carros!$G$36*('Plan mensual'!N16+IF(parametros_carros!$H$36="Todos",'Plan mensual'!N20,0)))/60</f>
        <v>0.373634429186667</v>
      </c>
      <c r="M39" s="41" t="n">
        <f aca="false">(parametros_carros!$D$36*('Plan mensual'!O13+IF(parametros_carros!$H$36="Todos",'Plan mensual'!O17,0))+parametros_carros!$E$36*('Plan mensual'!O14+IF(parametros_carros!$H$36="Todos",'Plan mensual'!O18,0))+parametros_carros!$F$36*('Plan mensual'!O15+IF(parametros_carros!$H$36="Todos",'Plan mensual'!O19,0))+parametros_carros!$G$36*('Plan mensual'!O16+IF(parametros_carros!$H$36="Todos",'Plan mensual'!O20,0)))/60</f>
        <v>0.427010776213333</v>
      </c>
      <c r="N39" s="41" t="n">
        <f aca="false">SUM(B39:M39)</f>
        <v>5.33763470266667</v>
      </c>
      <c r="O39" s="41" t="n">
        <f aca="false">MAX(B39:M39)</f>
        <v>0.48038712324</v>
      </c>
      <c r="P39" s="45" t="n">
        <f aca="false">IF(parametros_carros!$B$7=0,0,(O39+parametros_carros!$G$62)/parametros_carros!$B$7)</f>
        <v>0.0254248030438222</v>
      </c>
      <c r="Q39" s="29" t="str">
        <f aca="false">IF(O39=0,"-",INDEX($B$21:$M$21,MATCH(O39,B39:M39,0)))</f>
        <v>Mar</v>
      </c>
    </row>
    <row r="40" customFormat="false" ht="14.25" hidden="false" customHeight="true" outlineLevel="0" collapsed="false"/>
    <row r="41" customFormat="false" ht="45" hidden="false" customHeight="true" outlineLevel="0" collapsed="false">
      <c r="A41" s="11" t="s">
        <v>252</v>
      </c>
      <c r="B41" s="11" t="s">
        <v>17</v>
      </c>
      <c r="C41" s="11" t="s">
        <v>18</v>
      </c>
      <c r="D41" s="11" t="s">
        <v>19</v>
      </c>
      <c r="E41" s="11" t="s">
        <v>20</v>
      </c>
      <c r="F41" s="11" t="s">
        <v>21</v>
      </c>
      <c r="G41" s="11" t="s">
        <v>22</v>
      </c>
      <c r="H41" s="11" t="s">
        <v>23</v>
      </c>
      <c r="I41" s="11" t="s">
        <v>24</v>
      </c>
      <c r="J41" s="11" t="s">
        <v>25</v>
      </c>
      <c r="K41" s="11" t="s">
        <v>26</v>
      </c>
      <c r="L41" s="11" t="s">
        <v>27</v>
      </c>
      <c r="M41" s="11" t="s">
        <v>28</v>
      </c>
      <c r="N41" s="11" t="s">
        <v>247</v>
      </c>
      <c r="O41" s="11" t="s">
        <v>248</v>
      </c>
      <c r="P41" s="11" t="s">
        <v>249</v>
      </c>
      <c r="Q41" s="11" t="s">
        <v>250</v>
      </c>
    </row>
    <row r="42" customFormat="false" ht="14.25" hidden="false" customHeight="true" outlineLevel="0" collapsed="false">
      <c r="A42" s="12" t="str">
        <f aca="false">parametros_carros!$B$19</f>
        <v>Recepción de materia prima</v>
      </c>
      <c r="B42" s="41" t="n">
        <f aca="false">(parametros_carros!$D$19*('Plan mensual'!D24+IF(parametros_carros!$H$19="Todos",'Plan mensual'!D28,0))+parametros_carros!$E$19*('Plan mensual'!D25+IF(parametros_carros!$H$19="Todos",'Plan mensual'!D29,0))+parametros_carros!$F$19*('Plan mensual'!D26+IF(parametros_carros!$H$19="Todos",'Plan mensual'!D30,0))+parametros_carros!$G$19*('Plan mensual'!D27+IF(parametros_carros!$H$19="Todos",'Plan mensual'!D31,0)))/60</f>
        <v>0.920070161015658</v>
      </c>
      <c r="C42" s="41" t="n">
        <f aca="false">(parametros_carros!$D$19*('Plan mensual'!E24+IF(parametros_carros!$H$19="Todos",'Plan mensual'!E28,0))+parametros_carros!$E$19*('Plan mensual'!E25+IF(parametros_carros!$H$19="Todos",'Plan mensual'!E29,0))+parametros_carros!$F$19*('Plan mensual'!E26+IF(parametros_carros!$H$19="Todos",'Plan mensual'!E30,0))+parametros_carros!$G$19*('Plan mensual'!E27+IF(parametros_carros!$H$19="Todos",'Plan mensual'!E31,0)))/60</f>
        <v>0.811826612660875</v>
      </c>
      <c r="D42" s="41" t="n">
        <f aca="false">(parametros_carros!$D$19*('Plan mensual'!F24+IF(parametros_carros!$H$19="Todos",'Plan mensual'!F28,0))+parametros_carros!$E$19*('Plan mensual'!F25+IF(parametros_carros!$H$19="Todos",'Plan mensual'!F29,0))+parametros_carros!$F$19*('Plan mensual'!F26+IF(parametros_carros!$H$19="Todos",'Plan mensual'!F30,0))+parametros_carros!$G$19*('Plan mensual'!F27+IF(parametros_carros!$H$19="Todos",'Plan mensual'!F31,0)))/60</f>
        <v>0.97419193519305</v>
      </c>
      <c r="E42" s="41" t="n">
        <f aca="false">(parametros_carros!$D$19*('Plan mensual'!G24+IF(parametros_carros!$H$19="Todos",'Plan mensual'!G28,0))+parametros_carros!$E$19*('Plan mensual'!G25+IF(parametros_carros!$H$19="Todos",'Plan mensual'!G29,0))+parametros_carros!$F$19*('Plan mensual'!G26+IF(parametros_carros!$H$19="Todos",'Plan mensual'!G30,0))+parametros_carros!$G$19*('Plan mensual'!G27+IF(parametros_carros!$H$19="Todos",'Plan mensual'!G31,0)))/60</f>
        <v>0.97419193519305</v>
      </c>
      <c r="F42" s="41" t="n">
        <f aca="false">(parametros_carros!$D$19*('Plan mensual'!H24+IF(parametros_carros!$H$19="Todos",'Plan mensual'!H28,0))+parametros_carros!$E$19*('Plan mensual'!H25+IF(parametros_carros!$H$19="Todos",'Plan mensual'!H29,0))+parametros_carros!$F$19*('Plan mensual'!H26+IF(parametros_carros!$H$19="Todos",'Plan mensual'!H30,0))+parametros_carros!$G$19*('Plan mensual'!H27+IF(parametros_carros!$H$19="Todos",'Plan mensual'!H31,0)))/60</f>
        <v>0.97419193519305</v>
      </c>
      <c r="G42" s="41" t="n">
        <f aca="false">(parametros_carros!$D$19*('Plan mensual'!I24+IF(parametros_carros!$H$19="Todos",'Plan mensual'!I28,0))+parametros_carros!$E$19*('Plan mensual'!I25+IF(parametros_carros!$H$19="Todos",'Plan mensual'!I29,0))+parametros_carros!$F$19*('Plan mensual'!I26+IF(parametros_carros!$H$19="Todos",'Plan mensual'!I30,0))+parametros_carros!$G$19*('Plan mensual'!I27+IF(parametros_carros!$H$19="Todos",'Plan mensual'!I31,0)))/60</f>
        <v>0.865948386838267</v>
      </c>
      <c r="H42" s="41" t="n">
        <f aca="false">(parametros_carros!$D$19*('Plan mensual'!J24+IF(parametros_carros!$H$19="Todos",'Plan mensual'!J28,0))+parametros_carros!$E$19*('Plan mensual'!J25+IF(parametros_carros!$H$19="Todos",'Plan mensual'!J29,0))+parametros_carros!$F$19*('Plan mensual'!J26+IF(parametros_carros!$H$19="Todos",'Plan mensual'!J30,0))+parametros_carros!$G$19*('Plan mensual'!J27+IF(parametros_carros!$H$19="Todos",'Plan mensual'!J31,0)))/60</f>
        <v>0.97419193519305</v>
      </c>
      <c r="I42" s="41" t="n">
        <f aca="false">(parametros_carros!$D$19*('Plan mensual'!K24+IF(parametros_carros!$H$19="Todos",'Plan mensual'!K28,0))+parametros_carros!$E$19*('Plan mensual'!K25+IF(parametros_carros!$H$19="Todos",'Plan mensual'!K29,0))+parametros_carros!$F$19*('Plan mensual'!K26+IF(parametros_carros!$H$19="Todos",'Plan mensual'!K30,0))+parametros_carros!$G$19*('Plan mensual'!K27+IF(parametros_carros!$H$19="Todos",'Plan mensual'!K31,0)))/60</f>
        <v>0.97419193519305</v>
      </c>
      <c r="J42" s="41" t="n">
        <f aca="false">(parametros_carros!$D$19*('Plan mensual'!L24+IF(parametros_carros!$H$19="Todos",'Plan mensual'!L28,0))+parametros_carros!$E$19*('Plan mensual'!L25+IF(parametros_carros!$H$19="Todos",'Plan mensual'!L29,0))+parametros_carros!$F$19*('Plan mensual'!L26+IF(parametros_carros!$H$19="Todos",'Plan mensual'!L30,0))+parametros_carros!$G$19*('Plan mensual'!L27+IF(parametros_carros!$H$19="Todos",'Plan mensual'!L31,0)))/60</f>
        <v>0.920070161015658</v>
      </c>
      <c r="K42" s="41" t="n">
        <f aca="false">(parametros_carros!$D$19*('Plan mensual'!M24+IF(parametros_carros!$H$19="Todos",'Plan mensual'!M28,0))+parametros_carros!$E$19*('Plan mensual'!M25+IF(parametros_carros!$H$19="Todos",'Plan mensual'!M29,0))+parametros_carros!$F$19*('Plan mensual'!M26+IF(parametros_carros!$H$19="Todos",'Plan mensual'!M30,0))+parametros_carros!$G$19*('Plan mensual'!M27+IF(parametros_carros!$H$19="Todos",'Plan mensual'!M31,0)))/60</f>
        <v>0.811826612660875</v>
      </c>
      <c r="L42" s="41" t="n">
        <f aca="false">(parametros_carros!$D$19*('Plan mensual'!N24+IF(parametros_carros!$H$19="Todos",'Plan mensual'!N28,0))+parametros_carros!$E$19*('Plan mensual'!N25+IF(parametros_carros!$H$19="Todos",'Plan mensual'!N29,0))+parametros_carros!$F$19*('Plan mensual'!N26+IF(parametros_carros!$H$19="Todos",'Plan mensual'!N30,0))+parametros_carros!$G$19*('Plan mensual'!N27+IF(parametros_carros!$H$19="Todos",'Plan mensual'!N31,0)))/60</f>
        <v>0.757704838483483</v>
      </c>
      <c r="M42" s="41" t="n">
        <f aca="false">(parametros_carros!$D$19*('Plan mensual'!O24+IF(parametros_carros!$H$19="Todos",'Plan mensual'!O28,0))+parametros_carros!$E$19*('Plan mensual'!O25+IF(parametros_carros!$H$19="Todos",'Plan mensual'!O29,0))+parametros_carros!$F$19*('Plan mensual'!O26+IF(parametros_carros!$H$19="Todos",'Plan mensual'!O30,0))+parametros_carros!$G$19*('Plan mensual'!O27+IF(parametros_carros!$H$19="Todos",'Plan mensual'!O31,0)))/60</f>
        <v>0.865948386838267</v>
      </c>
      <c r="N42" s="41" t="n">
        <f aca="false">SUM(B42:M42)</f>
        <v>10.8243548354783</v>
      </c>
      <c r="O42" s="41" t="n">
        <f aca="false">MAX(B42:M42)</f>
        <v>0.97419193519305</v>
      </c>
      <c r="P42" s="45" t="n">
        <f aca="false">IF(parametros_carros!$B$7=0,0,(O42+parametros_carros!$G$45)/parametros_carros!$B$7)</f>
        <v>0.0546057240123981</v>
      </c>
      <c r="Q42" s="29" t="str">
        <f aca="false">IF(O42=0,"-",INDEX($B$41:$M$41,MATCH(O42,B42:M42,0)))</f>
        <v>Mar</v>
      </c>
    </row>
    <row r="43" customFormat="false" ht="14.25" hidden="false" customHeight="true" outlineLevel="0" collapsed="false">
      <c r="A43" s="12" t="str">
        <f aca="false">parametros_carros!$B$20</f>
        <v>Corte de chapa (guillotina)</v>
      </c>
      <c r="B43" s="41" t="n">
        <f aca="false">(parametros_carros!$D$20*('Plan mensual'!D24+IF(parametros_carros!$H$20="Todos",'Plan mensual'!D28,0))+parametros_carros!$E$20*('Plan mensual'!D25+IF(parametros_carros!$H$20="Todos",'Plan mensual'!D29,0))+parametros_carros!$F$20*('Plan mensual'!D26+IF(parametros_carros!$H$20="Todos",'Plan mensual'!D30,0))+parametros_carros!$G$20*('Plan mensual'!D27+IF(parametros_carros!$H$20="Todos",'Plan mensual'!D31,0)))/60</f>
        <v>2.01850769608644</v>
      </c>
      <c r="C43" s="41" t="n">
        <f aca="false">(parametros_carros!$D$20*('Plan mensual'!E24+IF(parametros_carros!$H$20="Todos",'Plan mensual'!E28,0))+parametros_carros!$E$20*('Plan mensual'!E25+IF(parametros_carros!$H$20="Todos",'Plan mensual'!E29,0))+parametros_carros!$F$20*('Plan mensual'!E26+IF(parametros_carros!$H$20="Todos",'Plan mensual'!E30,0))+parametros_carros!$G$20*('Plan mensual'!E27+IF(parametros_carros!$H$20="Todos",'Plan mensual'!E31,0)))/60</f>
        <v>1.78103620242921</v>
      </c>
      <c r="D43" s="41" t="n">
        <f aca="false">(parametros_carros!$D$20*('Plan mensual'!F24+IF(parametros_carros!$H$20="Todos",'Plan mensual'!F28,0))+parametros_carros!$E$20*('Plan mensual'!F25+IF(parametros_carros!$H$20="Todos",'Plan mensual'!F29,0))+parametros_carros!$F$20*('Plan mensual'!F26+IF(parametros_carros!$H$20="Todos",'Plan mensual'!F30,0))+parametros_carros!$G$20*('Plan mensual'!F27+IF(parametros_carros!$H$20="Todos",'Plan mensual'!F31,0)))/60</f>
        <v>2.13724344291505</v>
      </c>
      <c r="E43" s="41" t="n">
        <f aca="false">(parametros_carros!$D$20*('Plan mensual'!G24+IF(parametros_carros!$H$20="Todos",'Plan mensual'!G28,0))+parametros_carros!$E$20*('Plan mensual'!G25+IF(parametros_carros!$H$20="Todos",'Plan mensual'!G29,0))+parametros_carros!$F$20*('Plan mensual'!G26+IF(parametros_carros!$H$20="Todos",'Plan mensual'!G30,0))+parametros_carros!$G$20*('Plan mensual'!G27+IF(parametros_carros!$H$20="Todos",'Plan mensual'!G31,0)))/60</f>
        <v>2.13724344291505</v>
      </c>
      <c r="F43" s="41" t="n">
        <f aca="false">(parametros_carros!$D$20*('Plan mensual'!H24+IF(parametros_carros!$H$20="Todos",'Plan mensual'!H28,0))+parametros_carros!$E$20*('Plan mensual'!H25+IF(parametros_carros!$H$20="Todos",'Plan mensual'!H29,0))+parametros_carros!$F$20*('Plan mensual'!H26+IF(parametros_carros!$H$20="Todos",'Plan mensual'!H30,0))+parametros_carros!$G$20*('Plan mensual'!H27+IF(parametros_carros!$H$20="Todos",'Plan mensual'!H31,0)))/60</f>
        <v>2.13724344291505</v>
      </c>
      <c r="G43" s="41" t="n">
        <f aca="false">(parametros_carros!$D$20*('Plan mensual'!I24+IF(parametros_carros!$H$20="Todos",'Plan mensual'!I28,0))+parametros_carros!$E$20*('Plan mensual'!I25+IF(parametros_carros!$H$20="Todos",'Plan mensual'!I29,0))+parametros_carros!$F$20*('Plan mensual'!I26+IF(parametros_carros!$H$20="Todos",'Plan mensual'!I30,0))+parametros_carros!$G$20*('Plan mensual'!I27+IF(parametros_carros!$H$20="Todos",'Plan mensual'!I31,0)))/60</f>
        <v>1.89977194925783</v>
      </c>
      <c r="H43" s="41" t="n">
        <f aca="false">(parametros_carros!$D$20*('Plan mensual'!J24+IF(parametros_carros!$H$20="Todos",'Plan mensual'!J28,0))+parametros_carros!$E$20*('Plan mensual'!J25+IF(parametros_carros!$H$20="Todos",'Plan mensual'!J29,0))+parametros_carros!$F$20*('Plan mensual'!J26+IF(parametros_carros!$H$20="Todos",'Plan mensual'!J30,0))+parametros_carros!$G$20*('Plan mensual'!J27+IF(parametros_carros!$H$20="Todos",'Plan mensual'!J31,0)))/60</f>
        <v>2.13724344291505</v>
      </c>
      <c r="I43" s="41" t="n">
        <f aca="false">(parametros_carros!$D$20*('Plan mensual'!K24+IF(parametros_carros!$H$20="Todos",'Plan mensual'!K28,0))+parametros_carros!$E$20*('Plan mensual'!K25+IF(parametros_carros!$H$20="Todos",'Plan mensual'!K29,0))+parametros_carros!$F$20*('Plan mensual'!K26+IF(parametros_carros!$H$20="Todos",'Plan mensual'!K30,0))+parametros_carros!$G$20*('Plan mensual'!K27+IF(parametros_carros!$H$20="Todos",'Plan mensual'!K31,0)))/60</f>
        <v>2.13724344291505</v>
      </c>
      <c r="J43" s="41" t="n">
        <f aca="false">(parametros_carros!$D$20*('Plan mensual'!L24+IF(parametros_carros!$H$20="Todos",'Plan mensual'!L28,0))+parametros_carros!$E$20*('Plan mensual'!L25+IF(parametros_carros!$H$20="Todos",'Plan mensual'!L29,0))+parametros_carros!$F$20*('Plan mensual'!L26+IF(parametros_carros!$H$20="Todos",'Plan mensual'!L30,0))+parametros_carros!$G$20*('Plan mensual'!L27+IF(parametros_carros!$H$20="Todos",'Plan mensual'!L31,0)))/60</f>
        <v>2.01850769608644</v>
      </c>
      <c r="K43" s="41" t="n">
        <f aca="false">(parametros_carros!$D$20*('Plan mensual'!M24+IF(parametros_carros!$H$20="Todos",'Plan mensual'!M28,0))+parametros_carros!$E$20*('Plan mensual'!M25+IF(parametros_carros!$H$20="Todos",'Plan mensual'!M29,0))+parametros_carros!$F$20*('Plan mensual'!M26+IF(parametros_carros!$H$20="Todos",'Plan mensual'!M30,0))+parametros_carros!$G$20*('Plan mensual'!M27+IF(parametros_carros!$H$20="Todos",'Plan mensual'!M31,0)))/60</f>
        <v>1.78103620242921</v>
      </c>
      <c r="L43" s="41" t="n">
        <f aca="false">(parametros_carros!$D$20*('Plan mensual'!N24+IF(parametros_carros!$H$20="Todos",'Plan mensual'!N28,0))+parametros_carros!$E$20*('Plan mensual'!N25+IF(parametros_carros!$H$20="Todos",'Plan mensual'!N29,0))+parametros_carros!$F$20*('Plan mensual'!N26+IF(parametros_carros!$H$20="Todos",'Plan mensual'!N30,0))+parametros_carros!$G$20*('Plan mensual'!N27+IF(parametros_carros!$H$20="Todos",'Plan mensual'!N31,0)))/60</f>
        <v>1.6623004556006</v>
      </c>
      <c r="M43" s="41" t="n">
        <f aca="false">(parametros_carros!$D$20*('Plan mensual'!O24+IF(parametros_carros!$H$20="Todos",'Plan mensual'!O28,0))+parametros_carros!$E$20*('Plan mensual'!O25+IF(parametros_carros!$H$20="Todos",'Plan mensual'!O29,0))+parametros_carros!$F$20*('Plan mensual'!O26+IF(parametros_carros!$H$20="Todos",'Plan mensual'!O30,0))+parametros_carros!$G$20*('Plan mensual'!O27+IF(parametros_carros!$H$20="Todos",'Plan mensual'!O31,0)))/60</f>
        <v>1.89977194925783</v>
      </c>
      <c r="N43" s="41" t="n">
        <f aca="false">SUM(B43:M43)</f>
        <v>23.7471493657228</v>
      </c>
      <c r="O43" s="41" t="n">
        <f aca="false">MAX(B43:M43)</f>
        <v>2.13724344291505</v>
      </c>
      <c r="P43" s="45" t="n">
        <f aca="false">IF(parametros_carros!$B$7=0,0,(O43+parametros_carros!$G$46)/parametros_carros!$B$7)</f>
        <v>0.0764705118416559</v>
      </c>
      <c r="Q43" s="29" t="str">
        <f aca="false">IF(O43=0,"-",INDEX($B$41:$M$41,MATCH(O43,B43:M43,0)))</f>
        <v>Mar</v>
      </c>
    </row>
    <row r="44" customFormat="false" ht="14.25" hidden="false" customHeight="true" outlineLevel="0" collapsed="false">
      <c r="A44" s="12" t="str">
        <f aca="false">parametros_carros!$B$21</f>
        <v>Marcado del cuerpo</v>
      </c>
      <c r="B44" s="41" t="n">
        <f aca="false">(parametros_carros!$D$21*('Plan mensual'!D24+IF(parametros_carros!$H$21="Todos",'Plan mensual'!D28,0))+parametros_carros!$E$21*('Plan mensual'!D25+IF(parametros_carros!$H$21="Todos",'Plan mensual'!D29,0))+parametros_carros!$F$21*('Plan mensual'!D26+IF(parametros_carros!$H$21="Todos",'Plan mensual'!D30,0))+parametros_carros!$G$21*('Plan mensual'!D27+IF(parametros_carros!$H$21="Todos",'Plan mensual'!D31,0)))/60</f>
        <v>0.8048894935065</v>
      </c>
      <c r="C44" s="41" t="n">
        <f aca="false">(parametros_carros!$D$21*('Plan mensual'!E24+IF(parametros_carros!$H$21="Todos",'Plan mensual'!E28,0))+parametros_carros!$E$21*('Plan mensual'!E25+IF(parametros_carros!$H$21="Todos",'Plan mensual'!E29,0))+parametros_carros!$F$21*('Plan mensual'!E26+IF(parametros_carros!$H$21="Todos",'Plan mensual'!E30,0))+parametros_carros!$G$21*('Plan mensual'!E27+IF(parametros_carros!$H$21="Todos",'Plan mensual'!E31,0)))/60</f>
        <v>0.7101966119175</v>
      </c>
      <c r="D44" s="41" t="n">
        <f aca="false">(parametros_carros!$D$21*('Plan mensual'!F24+IF(parametros_carros!$H$21="Todos",'Plan mensual'!F28,0))+parametros_carros!$E$21*('Plan mensual'!F25+IF(parametros_carros!$H$21="Todos",'Plan mensual'!F29,0))+parametros_carros!$F$21*('Plan mensual'!F26+IF(parametros_carros!$H$21="Todos",'Plan mensual'!F30,0))+parametros_carros!$G$21*('Plan mensual'!F27+IF(parametros_carros!$H$21="Todos",'Plan mensual'!F31,0)))/60</f>
        <v>0.852235934301</v>
      </c>
      <c r="E44" s="41" t="n">
        <f aca="false">(parametros_carros!$D$21*('Plan mensual'!G24+IF(parametros_carros!$H$21="Todos",'Plan mensual'!G28,0))+parametros_carros!$E$21*('Plan mensual'!G25+IF(parametros_carros!$H$21="Todos",'Plan mensual'!G29,0))+parametros_carros!$F$21*('Plan mensual'!G26+IF(parametros_carros!$H$21="Todos",'Plan mensual'!G30,0))+parametros_carros!$G$21*('Plan mensual'!G27+IF(parametros_carros!$H$21="Todos",'Plan mensual'!G31,0)))/60</f>
        <v>0.852235934301</v>
      </c>
      <c r="F44" s="41" t="n">
        <f aca="false">(parametros_carros!$D$21*('Plan mensual'!H24+IF(parametros_carros!$H$21="Todos",'Plan mensual'!H28,0))+parametros_carros!$E$21*('Plan mensual'!H25+IF(parametros_carros!$H$21="Todos",'Plan mensual'!H29,0))+parametros_carros!$F$21*('Plan mensual'!H26+IF(parametros_carros!$H$21="Todos",'Plan mensual'!H30,0))+parametros_carros!$G$21*('Plan mensual'!H27+IF(parametros_carros!$H$21="Todos",'Plan mensual'!H31,0)))/60</f>
        <v>0.852235934301</v>
      </c>
      <c r="G44" s="41" t="n">
        <f aca="false">(parametros_carros!$D$21*('Plan mensual'!I24+IF(parametros_carros!$H$21="Todos",'Plan mensual'!I28,0))+parametros_carros!$E$21*('Plan mensual'!I25+IF(parametros_carros!$H$21="Todos",'Plan mensual'!I29,0))+parametros_carros!$F$21*('Plan mensual'!I26+IF(parametros_carros!$H$21="Todos",'Plan mensual'!I30,0))+parametros_carros!$G$21*('Plan mensual'!I27+IF(parametros_carros!$H$21="Todos",'Plan mensual'!I31,0)))/60</f>
        <v>0.757543052712</v>
      </c>
      <c r="H44" s="41" t="n">
        <f aca="false">(parametros_carros!$D$21*('Plan mensual'!J24+IF(parametros_carros!$H$21="Todos",'Plan mensual'!J28,0))+parametros_carros!$E$21*('Plan mensual'!J25+IF(parametros_carros!$H$21="Todos",'Plan mensual'!J29,0))+parametros_carros!$F$21*('Plan mensual'!J26+IF(parametros_carros!$H$21="Todos",'Plan mensual'!J30,0))+parametros_carros!$G$21*('Plan mensual'!J27+IF(parametros_carros!$H$21="Todos",'Plan mensual'!J31,0)))/60</f>
        <v>0.852235934301</v>
      </c>
      <c r="I44" s="41" t="n">
        <f aca="false">(parametros_carros!$D$21*('Plan mensual'!K24+IF(parametros_carros!$H$21="Todos",'Plan mensual'!K28,0))+parametros_carros!$E$21*('Plan mensual'!K25+IF(parametros_carros!$H$21="Todos",'Plan mensual'!K29,0))+parametros_carros!$F$21*('Plan mensual'!K26+IF(parametros_carros!$H$21="Todos",'Plan mensual'!K30,0))+parametros_carros!$G$21*('Plan mensual'!K27+IF(parametros_carros!$H$21="Todos",'Plan mensual'!K31,0)))/60</f>
        <v>0.852235934301</v>
      </c>
      <c r="J44" s="41" t="n">
        <f aca="false">(parametros_carros!$D$21*('Plan mensual'!L24+IF(parametros_carros!$H$21="Todos",'Plan mensual'!L28,0))+parametros_carros!$E$21*('Plan mensual'!L25+IF(parametros_carros!$H$21="Todos",'Plan mensual'!L29,0))+parametros_carros!$F$21*('Plan mensual'!L26+IF(parametros_carros!$H$21="Todos",'Plan mensual'!L30,0))+parametros_carros!$G$21*('Plan mensual'!L27+IF(parametros_carros!$H$21="Todos",'Plan mensual'!L31,0)))/60</f>
        <v>0.8048894935065</v>
      </c>
      <c r="K44" s="41" t="n">
        <f aca="false">(parametros_carros!$D$21*('Plan mensual'!M24+IF(parametros_carros!$H$21="Todos",'Plan mensual'!M28,0))+parametros_carros!$E$21*('Plan mensual'!M25+IF(parametros_carros!$H$21="Todos",'Plan mensual'!M29,0))+parametros_carros!$F$21*('Plan mensual'!M26+IF(parametros_carros!$H$21="Todos",'Plan mensual'!M30,0))+parametros_carros!$G$21*('Plan mensual'!M27+IF(parametros_carros!$H$21="Todos",'Plan mensual'!M31,0)))/60</f>
        <v>0.7101966119175</v>
      </c>
      <c r="L44" s="41" t="n">
        <f aca="false">(parametros_carros!$D$21*('Plan mensual'!N24+IF(parametros_carros!$H$21="Todos",'Plan mensual'!N28,0))+parametros_carros!$E$21*('Plan mensual'!N25+IF(parametros_carros!$H$21="Todos",'Plan mensual'!N29,0))+parametros_carros!$F$21*('Plan mensual'!N26+IF(parametros_carros!$H$21="Todos",'Plan mensual'!N30,0))+parametros_carros!$G$21*('Plan mensual'!N27+IF(parametros_carros!$H$21="Todos",'Plan mensual'!N31,0)))/60</f>
        <v>0.662850171123</v>
      </c>
      <c r="M44" s="41" t="n">
        <f aca="false">(parametros_carros!$D$21*('Plan mensual'!O24+IF(parametros_carros!$H$21="Todos",'Plan mensual'!O28,0))+parametros_carros!$E$21*('Plan mensual'!O25+IF(parametros_carros!$H$21="Todos",'Plan mensual'!O29,0))+parametros_carros!$F$21*('Plan mensual'!O26+IF(parametros_carros!$H$21="Todos",'Plan mensual'!O30,0))+parametros_carros!$G$21*('Plan mensual'!O27+IF(parametros_carros!$H$21="Todos",'Plan mensual'!O31,0)))/60</f>
        <v>0.757543052712</v>
      </c>
      <c r="N44" s="41" t="n">
        <f aca="false">SUM(B44:M44)</f>
        <v>9.4692881589</v>
      </c>
      <c r="O44" s="41" t="n">
        <f aca="false">MAX(B44:M44)</f>
        <v>0.852235934301</v>
      </c>
      <c r="P44" s="45" t="n">
        <f aca="false">IF(parametros_carros!$B$7=0,0,(O44+parametros_carros!$G$47)/parametros_carros!$B$7)</f>
        <v>0.0179037951175622</v>
      </c>
      <c r="Q44" s="29" t="str">
        <f aca="false">IF(O44=0,"-",INDEX($B$41:$M$41,MATCH(O44,B44:M44,0)))</f>
        <v>Mar</v>
      </c>
    </row>
    <row r="45" customFormat="false" ht="14.25" hidden="false" customHeight="true" outlineLevel="0" collapsed="false">
      <c r="A45" s="12" t="str">
        <f aca="false">parametros_carros!$B$22</f>
        <v>Cilindrado</v>
      </c>
      <c r="B45" s="41" t="n">
        <f aca="false">(parametros_carros!$D$22*('Plan mensual'!D24+IF(parametros_carros!$H$22="Todos",'Plan mensual'!D28,0))+parametros_carros!$E$22*('Plan mensual'!D25+IF(parametros_carros!$H$22="Todos",'Plan mensual'!D29,0))+parametros_carros!$F$22*('Plan mensual'!D26+IF(parametros_carros!$H$22="Todos",'Plan mensual'!D30,0))+parametros_carros!$G$22*('Plan mensual'!D27+IF(parametros_carros!$H$22="Todos",'Plan mensual'!D31,0)))/60</f>
        <v>1.72014494718537</v>
      </c>
      <c r="C45" s="41" t="n">
        <f aca="false">(parametros_carros!$D$22*('Plan mensual'!E24+IF(parametros_carros!$H$22="Todos",'Plan mensual'!E28,0))+parametros_carros!$E$22*('Plan mensual'!E25+IF(parametros_carros!$H$22="Todos",'Plan mensual'!E29,0))+parametros_carros!$F$22*('Plan mensual'!E26+IF(parametros_carros!$H$22="Todos",'Plan mensual'!E30,0))+parametros_carros!$G$22*('Plan mensual'!E27+IF(parametros_carros!$H$22="Todos",'Plan mensual'!E31,0)))/60</f>
        <v>1.51777495339886</v>
      </c>
      <c r="D45" s="41" t="n">
        <f aca="false">(parametros_carros!$D$22*('Plan mensual'!F24+IF(parametros_carros!$H$22="Todos",'Plan mensual'!F28,0))+parametros_carros!$E$22*('Plan mensual'!F25+IF(parametros_carros!$H$22="Todos",'Plan mensual'!F29,0))+parametros_carros!$F$22*('Plan mensual'!F26+IF(parametros_carros!$H$22="Todos",'Plan mensual'!F30,0))+parametros_carros!$G$22*('Plan mensual'!F27+IF(parametros_carros!$H$22="Todos",'Plan mensual'!F31,0)))/60</f>
        <v>1.82132994407863</v>
      </c>
      <c r="E45" s="41" t="n">
        <f aca="false">(parametros_carros!$D$22*('Plan mensual'!G24+IF(parametros_carros!$H$22="Todos",'Plan mensual'!G28,0))+parametros_carros!$E$22*('Plan mensual'!G25+IF(parametros_carros!$H$22="Todos",'Plan mensual'!G29,0))+parametros_carros!$F$22*('Plan mensual'!G26+IF(parametros_carros!$H$22="Todos",'Plan mensual'!G30,0))+parametros_carros!$G$22*('Plan mensual'!G27+IF(parametros_carros!$H$22="Todos",'Plan mensual'!G31,0)))/60</f>
        <v>1.82132994407863</v>
      </c>
      <c r="F45" s="41" t="n">
        <f aca="false">(parametros_carros!$D$22*('Plan mensual'!H24+IF(parametros_carros!$H$22="Todos",'Plan mensual'!H28,0))+parametros_carros!$E$22*('Plan mensual'!H25+IF(parametros_carros!$H$22="Todos",'Plan mensual'!H29,0))+parametros_carros!$F$22*('Plan mensual'!H26+IF(parametros_carros!$H$22="Todos",'Plan mensual'!H30,0))+parametros_carros!$G$22*('Plan mensual'!H27+IF(parametros_carros!$H$22="Todos",'Plan mensual'!H31,0)))/60</f>
        <v>1.82132994407863</v>
      </c>
      <c r="G45" s="41" t="n">
        <f aca="false">(parametros_carros!$D$22*('Plan mensual'!I24+IF(parametros_carros!$H$22="Todos",'Plan mensual'!I28,0))+parametros_carros!$E$22*('Plan mensual'!I25+IF(parametros_carros!$H$22="Todos",'Plan mensual'!I29,0))+parametros_carros!$F$22*('Plan mensual'!I26+IF(parametros_carros!$H$22="Todos",'Plan mensual'!I30,0))+parametros_carros!$G$22*('Plan mensual'!I27+IF(parametros_carros!$H$22="Todos",'Plan mensual'!I31,0)))/60</f>
        <v>1.61895995029212</v>
      </c>
      <c r="H45" s="41" t="n">
        <f aca="false">(parametros_carros!$D$22*('Plan mensual'!J24+IF(parametros_carros!$H$22="Todos",'Plan mensual'!J28,0))+parametros_carros!$E$22*('Plan mensual'!J25+IF(parametros_carros!$H$22="Todos",'Plan mensual'!J29,0))+parametros_carros!$F$22*('Plan mensual'!J26+IF(parametros_carros!$H$22="Todos",'Plan mensual'!J30,0))+parametros_carros!$G$22*('Plan mensual'!J27+IF(parametros_carros!$H$22="Todos",'Plan mensual'!J31,0)))/60</f>
        <v>1.82132994407863</v>
      </c>
      <c r="I45" s="41" t="n">
        <f aca="false">(parametros_carros!$D$22*('Plan mensual'!K24+IF(parametros_carros!$H$22="Todos",'Plan mensual'!K28,0))+parametros_carros!$E$22*('Plan mensual'!K25+IF(parametros_carros!$H$22="Todos",'Plan mensual'!K29,0))+parametros_carros!$F$22*('Plan mensual'!K26+IF(parametros_carros!$H$22="Todos",'Plan mensual'!K30,0))+parametros_carros!$G$22*('Plan mensual'!K27+IF(parametros_carros!$H$22="Todos",'Plan mensual'!K31,0)))/60</f>
        <v>1.82132994407863</v>
      </c>
      <c r="J45" s="41" t="n">
        <f aca="false">(parametros_carros!$D$22*('Plan mensual'!L24+IF(parametros_carros!$H$22="Todos",'Plan mensual'!L28,0))+parametros_carros!$E$22*('Plan mensual'!L25+IF(parametros_carros!$H$22="Todos",'Plan mensual'!L29,0))+parametros_carros!$F$22*('Plan mensual'!L26+IF(parametros_carros!$H$22="Todos",'Plan mensual'!L30,0))+parametros_carros!$G$22*('Plan mensual'!L27+IF(parametros_carros!$H$22="Todos",'Plan mensual'!L31,0)))/60</f>
        <v>1.72014494718537</v>
      </c>
      <c r="K45" s="41" t="n">
        <f aca="false">(parametros_carros!$D$22*('Plan mensual'!M24+IF(parametros_carros!$H$22="Todos",'Plan mensual'!M28,0))+parametros_carros!$E$22*('Plan mensual'!M25+IF(parametros_carros!$H$22="Todos",'Plan mensual'!M29,0))+parametros_carros!$F$22*('Plan mensual'!M26+IF(parametros_carros!$H$22="Todos",'Plan mensual'!M30,0))+parametros_carros!$G$22*('Plan mensual'!M27+IF(parametros_carros!$H$22="Todos",'Plan mensual'!M31,0)))/60</f>
        <v>1.51777495339886</v>
      </c>
      <c r="L45" s="41" t="n">
        <f aca="false">(parametros_carros!$D$22*('Plan mensual'!N24+IF(parametros_carros!$H$22="Todos",'Plan mensual'!N28,0))+parametros_carros!$E$22*('Plan mensual'!N25+IF(parametros_carros!$H$22="Todos",'Plan mensual'!N29,0))+parametros_carros!$F$22*('Plan mensual'!N26+IF(parametros_carros!$H$22="Todos",'Plan mensual'!N30,0))+parametros_carros!$G$22*('Plan mensual'!N27+IF(parametros_carros!$H$22="Todos",'Plan mensual'!N31,0)))/60</f>
        <v>1.4165899565056</v>
      </c>
      <c r="M45" s="41" t="n">
        <f aca="false">(parametros_carros!$D$22*('Plan mensual'!O24+IF(parametros_carros!$H$22="Todos",'Plan mensual'!O28,0))+parametros_carros!$E$22*('Plan mensual'!O25+IF(parametros_carros!$H$22="Todos",'Plan mensual'!O29,0))+parametros_carros!$F$22*('Plan mensual'!O26+IF(parametros_carros!$H$22="Todos",'Plan mensual'!O30,0))+parametros_carros!$G$22*('Plan mensual'!O27+IF(parametros_carros!$H$22="Todos",'Plan mensual'!O31,0)))/60</f>
        <v>1.61895995029212</v>
      </c>
      <c r="N45" s="41" t="n">
        <f aca="false">SUM(B45:M45)</f>
        <v>20.2369993786515</v>
      </c>
      <c r="O45" s="41" t="n">
        <f aca="false">MAX(B45:M45)</f>
        <v>1.82132994407863</v>
      </c>
      <c r="P45" s="45" t="n">
        <f aca="false">IF(parametros_carros!$B$7=0,0,(O45+parametros_carros!$G$48)/parametros_carros!$B$7)</f>
        <v>0.0521421996271909</v>
      </c>
      <c r="Q45" s="29" t="str">
        <f aca="false">IF(O45=0,"-",INDEX($B$41:$M$41,MATCH(O45,B45:M45,0)))</f>
        <v>Mar</v>
      </c>
    </row>
    <row r="46" customFormat="false" ht="14.25" hidden="false" customHeight="true" outlineLevel="0" collapsed="false">
      <c r="A46" s="12" t="str">
        <f aca="false">parametros_carros!$B$23</f>
        <v>Punteo del cuerpo</v>
      </c>
      <c r="B46" s="41" t="n">
        <f aca="false">(parametros_carros!$D$23*('Plan mensual'!D24+IF(parametros_carros!$H$23="Todos",'Plan mensual'!D28,0))+parametros_carros!$E$23*('Plan mensual'!D25+IF(parametros_carros!$H$23="Todos",'Plan mensual'!D29,0))+parametros_carros!$F$23*('Plan mensual'!D26+IF(parametros_carros!$H$23="Todos",'Plan mensual'!D30,0))+parametros_carros!$G$23*('Plan mensual'!D27+IF(parametros_carros!$H$23="Todos",'Plan mensual'!D31,0)))/60</f>
        <v>2.54543237532646</v>
      </c>
      <c r="C46" s="41" t="n">
        <f aca="false">(parametros_carros!$D$23*('Plan mensual'!E24+IF(parametros_carros!$H$23="Todos",'Plan mensual'!E28,0))+parametros_carros!$E$23*('Plan mensual'!E25+IF(parametros_carros!$H$23="Todos",'Plan mensual'!E29,0))+parametros_carros!$F$23*('Plan mensual'!E26+IF(parametros_carros!$H$23="Todos",'Plan mensual'!E30,0))+parametros_carros!$G$23*('Plan mensual'!E27+IF(parametros_carros!$H$23="Todos",'Plan mensual'!E31,0)))/60</f>
        <v>2.24596974293511</v>
      </c>
      <c r="D46" s="41" t="n">
        <f aca="false">(parametros_carros!$D$23*('Plan mensual'!F24+IF(parametros_carros!$H$23="Todos",'Plan mensual'!F28,0))+parametros_carros!$E$23*('Plan mensual'!F25+IF(parametros_carros!$H$23="Todos",'Plan mensual'!F29,0))+parametros_carros!$F$23*('Plan mensual'!F26+IF(parametros_carros!$H$23="Todos",'Plan mensual'!F30,0))+parametros_carros!$G$23*('Plan mensual'!F27+IF(parametros_carros!$H$23="Todos",'Plan mensual'!F31,0)))/60</f>
        <v>2.69516369152213</v>
      </c>
      <c r="E46" s="41" t="n">
        <f aca="false">(parametros_carros!$D$23*('Plan mensual'!G24+IF(parametros_carros!$H$23="Todos",'Plan mensual'!G28,0))+parametros_carros!$E$23*('Plan mensual'!G25+IF(parametros_carros!$H$23="Todos",'Plan mensual'!G29,0))+parametros_carros!$F$23*('Plan mensual'!G26+IF(parametros_carros!$H$23="Todos",'Plan mensual'!G30,0))+parametros_carros!$G$23*('Plan mensual'!G27+IF(parametros_carros!$H$23="Todos",'Plan mensual'!G31,0)))/60</f>
        <v>2.69516369152213</v>
      </c>
      <c r="F46" s="41" t="n">
        <f aca="false">(parametros_carros!$D$23*('Plan mensual'!H24+IF(parametros_carros!$H$23="Todos",'Plan mensual'!H28,0))+parametros_carros!$E$23*('Plan mensual'!H25+IF(parametros_carros!$H$23="Todos",'Plan mensual'!H29,0))+parametros_carros!$F$23*('Plan mensual'!H26+IF(parametros_carros!$H$23="Todos",'Plan mensual'!H30,0))+parametros_carros!$G$23*('Plan mensual'!H27+IF(parametros_carros!$H$23="Todos",'Plan mensual'!H31,0)))/60</f>
        <v>2.69516369152213</v>
      </c>
      <c r="G46" s="41" t="n">
        <f aca="false">(parametros_carros!$D$23*('Plan mensual'!I24+IF(parametros_carros!$H$23="Todos",'Plan mensual'!I28,0))+parametros_carros!$E$23*('Plan mensual'!I25+IF(parametros_carros!$H$23="Todos",'Plan mensual'!I29,0))+parametros_carros!$F$23*('Plan mensual'!I26+IF(parametros_carros!$H$23="Todos",'Plan mensual'!I30,0))+parametros_carros!$G$23*('Plan mensual'!I27+IF(parametros_carros!$H$23="Todos",'Plan mensual'!I31,0)))/60</f>
        <v>2.39570105913078</v>
      </c>
      <c r="H46" s="41" t="n">
        <f aca="false">(parametros_carros!$D$23*('Plan mensual'!J24+IF(parametros_carros!$H$23="Todos",'Plan mensual'!J28,0))+parametros_carros!$E$23*('Plan mensual'!J25+IF(parametros_carros!$H$23="Todos",'Plan mensual'!J29,0))+parametros_carros!$F$23*('Plan mensual'!J26+IF(parametros_carros!$H$23="Todos",'Plan mensual'!J30,0))+parametros_carros!$G$23*('Plan mensual'!J27+IF(parametros_carros!$H$23="Todos",'Plan mensual'!J31,0)))/60</f>
        <v>2.69516369152213</v>
      </c>
      <c r="I46" s="41" t="n">
        <f aca="false">(parametros_carros!$D$23*('Plan mensual'!K24+IF(parametros_carros!$H$23="Todos",'Plan mensual'!K28,0))+parametros_carros!$E$23*('Plan mensual'!K25+IF(parametros_carros!$H$23="Todos",'Plan mensual'!K29,0))+parametros_carros!$F$23*('Plan mensual'!K26+IF(parametros_carros!$H$23="Todos",'Plan mensual'!K30,0))+parametros_carros!$G$23*('Plan mensual'!K27+IF(parametros_carros!$H$23="Todos",'Plan mensual'!K31,0)))/60</f>
        <v>2.69516369152213</v>
      </c>
      <c r="J46" s="41" t="n">
        <f aca="false">(parametros_carros!$D$23*('Plan mensual'!L24+IF(parametros_carros!$H$23="Todos",'Plan mensual'!L28,0))+parametros_carros!$E$23*('Plan mensual'!L25+IF(parametros_carros!$H$23="Todos",'Plan mensual'!L29,0))+parametros_carros!$F$23*('Plan mensual'!L26+IF(parametros_carros!$H$23="Todos",'Plan mensual'!L30,0))+parametros_carros!$G$23*('Plan mensual'!L27+IF(parametros_carros!$H$23="Todos",'Plan mensual'!L31,0)))/60</f>
        <v>2.54543237532646</v>
      </c>
      <c r="K46" s="41" t="n">
        <f aca="false">(parametros_carros!$D$23*('Plan mensual'!M24+IF(parametros_carros!$H$23="Todos",'Plan mensual'!M28,0))+parametros_carros!$E$23*('Plan mensual'!M25+IF(parametros_carros!$H$23="Todos",'Plan mensual'!M29,0))+parametros_carros!$F$23*('Plan mensual'!M26+IF(parametros_carros!$H$23="Todos",'Plan mensual'!M30,0))+parametros_carros!$G$23*('Plan mensual'!M27+IF(parametros_carros!$H$23="Todos",'Plan mensual'!M31,0)))/60</f>
        <v>2.24596974293511</v>
      </c>
      <c r="L46" s="41" t="n">
        <f aca="false">(parametros_carros!$D$23*('Plan mensual'!N24+IF(parametros_carros!$H$23="Todos",'Plan mensual'!N28,0))+parametros_carros!$E$23*('Plan mensual'!N25+IF(parametros_carros!$H$23="Todos",'Plan mensual'!N29,0))+parametros_carros!$F$23*('Plan mensual'!N26+IF(parametros_carros!$H$23="Todos",'Plan mensual'!N30,0))+parametros_carros!$G$23*('Plan mensual'!N27+IF(parametros_carros!$H$23="Todos",'Plan mensual'!N31,0)))/60</f>
        <v>2.09623842673944</v>
      </c>
      <c r="M46" s="41" t="n">
        <f aca="false">(parametros_carros!$D$23*('Plan mensual'!O24+IF(parametros_carros!$H$23="Todos",'Plan mensual'!O28,0))+parametros_carros!$E$23*('Plan mensual'!O25+IF(parametros_carros!$H$23="Todos",'Plan mensual'!O29,0))+parametros_carros!$F$23*('Plan mensual'!O26+IF(parametros_carros!$H$23="Todos",'Plan mensual'!O30,0))+parametros_carros!$G$23*('Plan mensual'!O27+IF(parametros_carros!$H$23="Todos",'Plan mensual'!O31,0)))/60</f>
        <v>2.39570105913078</v>
      </c>
      <c r="N46" s="41" t="n">
        <f aca="false">SUM(B46:M46)</f>
        <v>29.9462632391348</v>
      </c>
      <c r="O46" s="41" t="n">
        <f aca="false">MAX(B46:M46)</f>
        <v>2.69516369152213</v>
      </c>
      <c r="P46" s="45" t="n">
        <f aca="false">IF(parametros_carros!$B$7=0,0,(O46+parametros_carros!$G$49)/parametros_carros!$B$7)</f>
        <v>0.029078869054592</v>
      </c>
      <c r="Q46" s="29" t="str">
        <f aca="false">IF(O46=0,"-",INDEX($B$41:$M$41,MATCH(O46,B46:M46,0)))</f>
        <v>Mar</v>
      </c>
    </row>
    <row r="47" customFormat="false" ht="14.25" hidden="false" customHeight="true" outlineLevel="0" collapsed="false">
      <c r="A47" s="12" t="str">
        <f aca="false">parametros_carros!$B$24</f>
        <v>Soldadura longitudinal</v>
      </c>
      <c r="B47" s="41" t="n">
        <f aca="false">(parametros_carros!$D$24*('Plan mensual'!D24+IF(parametros_carros!$H$24="Todos",'Plan mensual'!D28,0))+parametros_carros!$E$24*('Plan mensual'!D25+IF(parametros_carros!$H$24="Todos",'Plan mensual'!D29,0))+parametros_carros!$F$24*('Plan mensual'!D26+IF(parametros_carros!$H$24="Todos",'Plan mensual'!D30,0))+parametros_carros!$G$24*('Plan mensual'!D27+IF(parametros_carros!$H$24="Todos",'Plan mensual'!D31,0)))/60</f>
        <v>1.75463938552125</v>
      </c>
      <c r="C47" s="41" t="n">
        <f aca="false">(parametros_carros!$D$24*('Plan mensual'!E24+IF(parametros_carros!$H$24="Todos",'Plan mensual'!E28,0))+parametros_carros!$E$24*('Plan mensual'!E25+IF(parametros_carros!$H$24="Todos",'Plan mensual'!E29,0))+parametros_carros!$F$24*('Plan mensual'!E26+IF(parametros_carros!$H$24="Todos",'Plan mensual'!E30,0))+parametros_carros!$G$24*('Plan mensual'!E27+IF(parametros_carros!$H$24="Todos",'Plan mensual'!E31,0)))/60</f>
        <v>1.54821122251875</v>
      </c>
      <c r="D47" s="41" t="n">
        <f aca="false">(parametros_carros!$D$24*('Plan mensual'!F24+IF(parametros_carros!$H$24="Todos",'Plan mensual'!F28,0))+parametros_carros!$E$24*('Plan mensual'!F25+IF(parametros_carros!$H$24="Todos",'Plan mensual'!F29,0))+parametros_carros!$F$24*('Plan mensual'!F26+IF(parametros_carros!$H$24="Todos",'Plan mensual'!F30,0))+parametros_carros!$G$24*('Plan mensual'!F27+IF(parametros_carros!$H$24="Todos",'Plan mensual'!F31,0)))/60</f>
        <v>1.8578534670225</v>
      </c>
      <c r="E47" s="41" t="n">
        <f aca="false">(parametros_carros!$D$24*('Plan mensual'!G24+IF(parametros_carros!$H$24="Todos",'Plan mensual'!G28,0))+parametros_carros!$E$24*('Plan mensual'!G25+IF(parametros_carros!$H$24="Todos",'Plan mensual'!G29,0))+parametros_carros!$F$24*('Plan mensual'!G26+IF(parametros_carros!$H$24="Todos",'Plan mensual'!G30,0))+parametros_carros!$G$24*('Plan mensual'!G27+IF(parametros_carros!$H$24="Todos",'Plan mensual'!G31,0)))/60</f>
        <v>1.8578534670225</v>
      </c>
      <c r="F47" s="41" t="n">
        <f aca="false">(parametros_carros!$D$24*('Plan mensual'!H24+IF(parametros_carros!$H$24="Todos",'Plan mensual'!H28,0))+parametros_carros!$E$24*('Plan mensual'!H25+IF(parametros_carros!$H$24="Todos",'Plan mensual'!H29,0))+parametros_carros!$F$24*('Plan mensual'!H26+IF(parametros_carros!$H$24="Todos",'Plan mensual'!H30,0))+parametros_carros!$G$24*('Plan mensual'!H27+IF(parametros_carros!$H$24="Todos",'Plan mensual'!H31,0)))/60</f>
        <v>1.8578534670225</v>
      </c>
      <c r="G47" s="41" t="n">
        <f aca="false">(parametros_carros!$D$24*('Plan mensual'!I24+IF(parametros_carros!$H$24="Todos",'Plan mensual'!I28,0))+parametros_carros!$E$24*('Plan mensual'!I25+IF(parametros_carros!$H$24="Todos",'Plan mensual'!I29,0))+parametros_carros!$F$24*('Plan mensual'!I26+IF(parametros_carros!$H$24="Todos",'Plan mensual'!I30,0))+parametros_carros!$G$24*('Plan mensual'!I27+IF(parametros_carros!$H$24="Todos",'Plan mensual'!I31,0)))/60</f>
        <v>1.65142530402</v>
      </c>
      <c r="H47" s="41" t="n">
        <f aca="false">(parametros_carros!$D$24*('Plan mensual'!J24+IF(parametros_carros!$H$24="Todos",'Plan mensual'!J28,0))+parametros_carros!$E$24*('Plan mensual'!J25+IF(parametros_carros!$H$24="Todos",'Plan mensual'!J29,0))+parametros_carros!$F$24*('Plan mensual'!J26+IF(parametros_carros!$H$24="Todos",'Plan mensual'!J30,0))+parametros_carros!$G$24*('Plan mensual'!J27+IF(parametros_carros!$H$24="Todos",'Plan mensual'!J31,0)))/60</f>
        <v>1.8578534670225</v>
      </c>
      <c r="I47" s="41" t="n">
        <f aca="false">(parametros_carros!$D$24*('Plan mensual'!K24+IF(parametros_carros!$H$24="Todos",'Plan mensual'!K28,0))+parametros_carros!$E$24*('Plan mensual'!K25+IF(parametros_carros!$H$24="Todos",'Plan mensual'!K29,0))+parametros_carros!$F$24*('Plan mensual'!K26+IF(parametros_carros!$H$24="Todos",'Plan mensual'!K30,0))+parametros_carros!$G$24*('Plan mensual'!K27+IF(parametros_carros!$H$24="Todos",'Plan mensual'!K31,0)))/60</f>
        <v>1.8578534670225</v>
      </c>
      <c r="J47" s="41" t="n">
        <f aca="false">(parametros_carros!$D$24*('Plan mensual'!L24+IF(parametros_carros!$H$24="Todos",'Plan mensual'!L28,0))+parametros_carros!$E$24*('Plan mensual'!L25+IF(parametros_carros!$H$24="Todos",'Plan mensual'!L29,0))+parametros_carros!$F$24*('Plan mensual'!L26+IF(parametros_carros!$H$24="Todos",'Plan mensual'!L30,0))+parametros_carros!$G$24*('Plan mensual'!L27+IF(parametros_carros!$H$24="Todos",'Plan mensual'!L31,0)))/60</f>
        <v>1.75463938552125</v>
      </c>
      <c r="K47" s="41" t="n">
        <f aca="false">(parametros_carros!$D$24*('Plan mensual'!M24+IF(parametros_carros!$H$24="Todos",'Plan mensual'!M28,0))+parametros_carros!$E$24*('Plan mensual'!M25+IF(parametros_carros!$H$24="Todos",'Plan mensual'!M29,0))+parametros_carros!$F$24*('Plan mensual'!M26+IF(parametros_carros!$H$24="Todos",'Plan mensual'!M30,0))+parametros_carros!$G$24*('Plan mensual'!M27+IF(parametros_carros!$H$24="Todos",'Plan mensual'!M31,0)))/60</f>
        <v>1.54821122251875</v>
      </c>
      <c r="L47" s="41" t="n">
        <f aca="false">(parametros_carros!$D$24*('Plan mensual'!N24+IF(parametros_carros!$H$24="Todos",'Plan mensual'!N28,0))+parametros_carros!$E$24*('Plan mensual'!N25+IF(parametros_carros!$H$24="Todos",'Plan mensual'!N29,0))+parametros_carros!$F$24*('Plan mensual'!N26+IF(parametros_carros!$H$24="Todos",'Plan mensual'!N30,0))+parametros_carros!$G$24*('Plan mensual'!N27+IF(parametros_carros!$H$24="Todos",'Plan mensual'!N31,0)))/60</f>
        <v>1.4449971410175</v>
      </c>
      <c r="M47" s="41" t="n">
        <f aca="false">(parametros_carros!$D$24*('Plan mensual'!O24+IF(parametros_carros!$H$24="Todos",'Plan mensual'!O28,0))+parametros_carros!$E$24*('Plan mensual'!O25+IF(parametros_carros!$H$24="Todos",'Plan mensual'!O29,0))+parametros_carros!$F$24*('Plan mensual'!O26+IF(parametros_carros!$H$24="Todos",'Plan mensual'!O30,0))+parametros_carros!$G$24*('Plan mensual'!O27+IF(parametros_carros!$H$24="Todos",'Plan mensual'!O31,0)))/60</f>
        <v>1.65142530402</v>
      </c>
      <c r="N47" s="41" t="n">
        <f aca="false">SUM(B47:M47)</f>
        <v>20.64281630025</v>
      </c>
      <c r="O47" s="41" t="n">
        <f aca="false">MAX(B47:M47)</f>
        <v>1.8578534670225</v>
      </c>
      <c r="P47" s="45" t="n">
        <f aca="false">IF(parametros_carros!$B$7=0,0,(O47+parametros_carros!$G$50)/parametros_carros!$B$7)</f>
        <v>0.0301634675579278</v>
      </c>
      <c r="Q47" s="29" t="str">
        <f aca="false">IF(O47=0,"-",INDEX($B$41:$M$41,MATCH(O47,B47:M47,0)))</f>
        <v>Mar</v>
      </c>
    </row>
    <row r="48" customFormat="false" ht="14.25" hidden="false" customHeight="true" outlineLevel="0" collapsed="false">
      <c r="A48" s="12" t="str">
        <f aca="false">parametros_carros!$B$25</f>
        <v>Soldadura de cupla en la cúpula</v>
      </c>
      <c r="B48" s="41" t="n">
        <f aca="false">(parametros_carros!$D$25*('Plan mensual'!D24+IF(parametros_carros!$H$25="Todos",'Plan mensual'!D28,0))+parametros_carros!$E$25*('Plan mensual'!D25+IF(parametros_carros!$H$25="Todos",'Plan mensual'!D29,0))+parametros_carros!$F$25*('Plan mensual'!D26+IF(parametros_carros!$H$25="Todos",'Plan mensual'!D30,0))+parametros_carros!$G$25*('Plan mensual'!D27+IF(parametros_carros!$H$25="Todos",'Plan mensual'!D31,0)))/60</f>
        <v>1.73343726806267</v>
      </c>
      <c r="C48" s="41" t="n">
        <f aca="false">(parametros_carros!$D$25*('Plan mensual'!E24+IF(parametros_carros!$H$25="Todos",'Plan mensual'!E28,0))+parametros_carros!$E$25*('Plan mensual'!E25+IF(parametros_carros!$H$25="Todos",'Plan mensual'!E29,0))+parametros_carros!$F$25*('Plan mensual'!E26+IF(parametros_carros!$H$25="Todos",'Plan mensual'!E30,0))+parametros_carros!$G$25*('Plan mensual'!E27+IF(parametros_carros!$H$25="Todos",'Plan mensual'!E31,0)))/60</f>
        <v>1.52950347182</v>
      </c>
      <c r="D48" s="41" t="n">
        <f aca="false">(parametros_carros!$D$25*('Plan mensual'!F24+IF(parametros_carros!$H$25="Todos",'Plan mensual'!F28,0))+parametros_carros!$E$25*('Plan mensual'!F25+IF(parametros_carros!$H$25="Todos",'Plan mensual'!F29,0))+parametros_carros!$F$25*('Plan mensual'!F26+IF(parametros_carros!$H$25="Todos",'Plan mensual'!F30,0))+parametros_carros!$G$25*('Plan mensual'!F27+IF(parametros_carros!$H$25="Todos",'Plan mensual'!F31,0)))/60</f>
        <v>1.835404166184</v>
      </c>
      <c r="E48" s="41" t="n">
        <f aca="false">(parametros_carros!$D$25*('Plan mensual'!G24+IF(parametros_carros!$H$25="Todos",'Plan mensual'!G28,0))+parametros_carros!$E$25*('Plan mensual'!G25+IF(parametros_carros!$H$25="Todos",'Plan mensual'!G29,0))+parametros_carros!$F$25*('Plan mensual'!G26+IF(parametros_carros!$H$25="Todos",'Plan mensual'!G30,0))+parametros_carros!$G$25*('Plan mensual'!G27+IF(parametros_carros!$H$25="Todos",'Plan mensual'!G31,0)))/60</f>
        <v>1.835404166184</v>
      </c>
      <c r="F48" s="41" t="n">
        <f aca="false">(parametros_carros!$D$25*('Plan mensual'!H24+IF(parametros_carros!$H$25="Todos",'Plan mensual'!H28,0))+parametros_carros!$E$25*('Plan mensual'!H25+IF(parametros_carros!$H$25="Todos",'Plan mensual'!H29,0))+parametros_carros!$F$25*('Plan mensual'!H26+IF(parametros_carros!$H$25="Todos",'Plan mensual'!H30,0))+parametros_carros!$G$25*('Plan mensual'!H27+IF(parametros_carros!$H$25="Todos",'Plan mensual'!H31,0)))/60</f>
        <v>1.835404166184</v>
      </c>
      <c r="G48" s="41" t="n">
        <f aca="false">(parametros_carros!$D$25*('Plan mensual'!I24+IF(parametros_carros!$H$25="Todos",'Plan mensual'!I28,0))+parametros_carros!$E$25*('Plan mensual'!I25+IF(parametros_carros!$H$25="Todos",'Plan mensual'!I29,0))+parametros_carros!$F$25*('Plan mensual'!I26+IF(parametros_carros!$H$25="Todos",'Plan mensual'!I30,0))+parametros_carros!$G$25*('Plan mensual'!I27+IF(parametros_carros!$H$25="Todos",'Plan mensual'!I31,0)))/60</f>
        <v>1.63147036994133</v>
      </c>
      <c r="H48" s="41" t="n">
        <f aca="false">(parametros_carros!$D$25*('Plan mensual'!J24+IF(parametros_carros!$H$25="Todos",'Plan mensual'!J28,0))+parametros_carros!$E$25*('Plan mensual'!J25+IF(parametros_carros!$H$25="Todos",'Plan mensual'!J29,0))+parametros_carros!$F$25*('Plan mensual'!J26+IF(parametros_carros!$H$25="Todos",'Plan mensual'!J30,0))+parametros_carros!$G$25*('Plan mensual'!J27+IF(parametros_carros!$H$25="Todos",'Plan mensual'!J31,0)))/60</f>
        <v>1.835404166184</v>
      </c>
      <c r="I48" s="41" t="n">
        <f aca="false">(parametros_carros!$D$25*('Plan mensual'!K24+IF(parametros_carros!$H$25="Todos",'Plan mensual'!K28,0))+parametros_carros!$E$25*('Plan mensual'!K25+IF(parametros_carros!$H$25="Todos",'Plan mensual'!K29,0))+parametros_carros!$F$25*('Plan mensual'!K26+IF(parametros_carros!$H$25="Todos",'Plan mensual'!K30,0))+parametros_carros!$G$25*('Plan mensual'!K27+IF(parametros_carros!$H$25="Todos",'Plan mensual'!K31,0)))/60</f>
        <v>1.835404166184</v>
      </c>
      <c r="J48" s="41" t="n">
        <f aca="false">(parametros_carros!$D$25*('Plan mensual'!L24+IF(parametros_carros!$H$25="Todos",'Plan mensual'!L28,0))+parametros_carros!$E$25*('Plan mensual'!L25+IF(parametros_carros!$H$25="Todos",'Plan mensual'!L29,0))+parametros_carros!$F$25*('Plan mensual'!L26+IF(parametros_carros!$H$25="Todos",'Plan mensual'!L30,0))+parametros_carros!$G$25*('Plan mensual'!L27+IF(parametros_carros!$H$25="Todos",'Plan mensual'!L31,0)))/60</f>
        <v>1.73343726806267</v>
      </c>
      <c r="K48" s="41" t="n">
        <f aca="false">(parametros_carros!$D$25*('Plan mensual'!M24+IF(parametros_carros!$H$25="Todos",'Plan mensual'!M28,0))+parametros_carros!$E$25*('Plan mensual'!M25+IF(parametros_carros!$H$25="Todos",'Plan mensual'!M29,0))+parametros_carros!$F$25*('Plan mensual'!M26+IF(parametros_carros!$H$25="Todos",'Plan mensual'!M30,0))+parametros_carros!$G$25*('Plan mensual'!M27+IF(parametros_carros!$H$25="Todos",'Plan mensual'!M31,0)))/60</f>
        <v>1.52950347182</v>
      </c>
      <c r="L48" s="41" t="n">
        <f aca="false">(parametros_carros!$D$25*('Plan mensual'!N24+IF(parametros_carros!$H$25="Todos",'Plan mensual'!N28,0))+parametros_carros!$E$25*('Plan mensual'!N25+IF(parametros_carros!$H$25="Todos",'Plan mensual'!N29,0))+parametros_carros!$F$25*('Plan mensual'!N26+IF(parametros_carros!$H$25="Todos",'Plan mensual'!N30,0))+parametros_carros!$G$25*('Plan mensual'!N27+IF(parametros_carros!$H$25="Todos",'Plan mensual'!N31,0)))/60</f>
        <v>1.42753657369867</v>
      </c>
      <c r="M48" s="41" t="n">
        <f aca="false">(parametros_carros!$D$25*('Plan mensual'!O24+IF(parametros_carros!$H$25="Todos",'Plan mensual'!O28,0))+parametros_carros!$E$25*('Plan mensual'!O25+IF(parametros_carros!$H$25="Todos",'Plan mensual'!O29,0))+parametros_carros!$F$25*('Plan mensual'!O26+IF(parametros_carros!$H$25="Todos",'Plan mensual'!O30,0))+parametros_carros!$G$25*('Plan mensual'!O27+IF(parametros_carros!$H$25="Todos",'Plan mensual'!O31,0)))/60</f>
        <v>1.63147036994133</v>
      </c>
      <c r="N48" s="41" t="n">
        <f aca="false">SUM(B48:M48)</f>
        <v>20.3933796242667</v>
      </c>
      <c r="O48" s="41" t="n">
        <f aca="false">MAX(B48:M48)</f>
        <v>1.835404166184</v>
      </c>
      <c r="P48" s="45" t="n">
        <f aca="false">IF(parametros_carros!$B$7=0,0,(O48+parametros_carros!$G$51)/parametros_carros!$B$7)</f>
        <v>0.03223602777456</v>
      </c>
      <c r="Q48" s="29" t="str">
        <f aca="false">IF(O48=0,"-",INDEX($B$41:$M$41,MATCH(O48,B48:M48,0)))</f>
        <v>Mar</v>
      </c>
    </row>
    <row r="49" customFormat="false" ht="14.25" hidden="false" customHeight="true" outlineLevel="0" collapsed="false">
      <c r="A49" s="12" t="str">
        <f aca="false">parametros_carros!$B$26</f>
        <v>Armado y soldadura circunferencial</v>
      </c>
      <c r="B49" s="41" t="n">
        <f aca="false">(parametros_carros!$D$26*('Plan mensual'!D24+IF(parametros_carros!$H$26="Todos",'Plan mensual'!D28,0))+parametros_carros!$E$26*('Plan mensual'!D25+IF(parametros_carros!$H$26="Todos",'Plan mensual'!D29,0))+parametros_carros!$F$26*('Plan mensual'!D26+IF(parametros_carros!$H$26="Todos",'Plan mensual'!D30,0))+parametros_carros!$G$26*('Plan mensual'!D27+IF(parametros_carros!$H$26="Todos",'Plan mensual'!D31,0)))/60</f>
        <v>8.19752296910333</v>
      </c>
      <c r="C49" s="41" t="n">
        <f aca="false">(parametros_carros!$D$26*('Plan mensual'!E24+IF(parametros_carros!$H$26="Todos",'Plan mensual'!E28,0))+parametros_carros!$E$26*('Plan mensual'!E25+IF(parametros_carros!$H$26="Todos",'Plan mensual'!E29,0))+parametros_carros!$F$26*('Plan mensual'!E26+IF(parametros_carros!$H$26="Todos",'Plan mensual'!E30,0))+parametros_carros!$G$26*('Plan mensual'!E27+IF(parametros_carros!$H$26="Todos",'Plan mensual'!E31,0)))/60</f>
        <v>7.23310850215</v>
      </c>
      <c r="D49" s="41" t="n">
        <f aca="false">(parametros_carros!$D$26*('Plan mensual'!F24+IF(parametros_carros!$H$26="Todos",'Plan mensual'!F28,0))+parametros_carros!$E$26*('Plan mensual'!F25+IF(parametros_carros!$H$26="Todos",'Plan mensual'!F29,0))+parametros_carros!$F$26*('Plan mensual'!F26+IF(parametros_carros!$H$26="Todos",'Plan mensual'!F30,0))+parametros_carros!$G$26*('Plan mensual'!F27+IF(parametros_carros!$H$26="Todos",'Plan mensual'!F31,0)))/60</f>
        <v>8.67973020258</v>
      </c>
      <c r="E49" s="41" t="n">
        <f aca="false">(parametros_carros!$D$26*('Plan mensual'!G24+IF(parametros_carros!$H$26="Todos",'Plan mensual'!G28,0))+parametros_carros!$E$26*('Plan mensual'!G25+IF(parametros_carros!$H$26="Todos",'Plan mensual'!G29,0))+parametros_carros!$F$26*('Plan mensual'!G26+IF(parametros_carros!$H$26="Todos",'Plan mensual'!G30,0))+parametros_carros!$G$26*('Plan mensual'!G27+IF(parametros_carros!$H$26="Todos",'Plan mensual'!G31,0)))/60</f>
        <v>8.67973020258</v>
      </c>
      <c r="F49" s="41" t="n">
        <f aca="false">(parametros_carros!$D$26*('Plan mensual'!H24+IF(parametros_carros!$H$26="Todos",'Plan mensual'!H28,0))+parametros_carros!$E$26*('Plan mensual'!H25+IF(parametros_carros!$H$26="Todos",'Plan mensual'!H29,0))+parametros_carros!$F$26*('Plan mensual'!H26+IF(parametros_carros!$H$26="Todos",'Plan mensual'!H30,0))+parametros_carros!$G$26*('Plan mensual'!H27+IF(parametros_carros!$H$26="Todos",'Plan mensual'!H31,0)))/60</f>
        <v>8.67973020258</v>
      </c>
      <c r="G49" s="41" t="n">
        <f aca="false">(parametros_carros!$D$26*('Plan mensual'!I24+IF(parametros_carros!$H$26="Todos",'Plan mensual'!I28,0))+parametros_carros!$E$26*('Plan mensual'!I25+IF(parametros_carros!$H$26="Todos",'Plan mensual'!I29,0))+parametros_carros!$F$26*('Plan mensual'!I26+IF(parametros_carros!$H$26="Todos",'Plan mensual'!I30,0))+parametros_carros!$G$26*('Plan mensual'!I27+IF(parametros_carros!$H$26="Todos",'Plan mensual'!I31,0)))/60</f>
        <v>7.71531573562667</v>
      </c>
      <c r="H49" s="41" t="n">
        <f aca="false">(parametros_carros!$D$26*('Plan mensual'!J24+IF(parametros_carros!$H$26="Todos",'Plan mensual'!J28,0))+parametros_carros!$E$26*('Plan mensual'!J25+IF(parametros_carros!$H$26="Todos",'Plan mensual'!J29,0))+parametros_carros!$F$26*('Plan mensual'!J26+IF(parametros_carros!$H$26="Todos",'Plan mensual'!J30,0))+parametros_carros!$G$26*('Plan mensual'!J27+IF(parametros_carros!$H$26="Todos",'Plan mensual'!J31,0)))/60</f>
        <v>8.67973020258</v>
      </c>
      <c r="I49" s="41" t="n">
        <f aca="false">(parametros_carros!$D$26*('Plan mensual'!K24+IF(parametros_carros!$H$26="Todos",'Plan mensual'!K28,0))+parametros_carros!$E$26*('Plan mensual'!K25+IF(parametros_carros!$H$26="Todos",'Plan mensual'!K29,0))+parametros_carros!$F$26*('Plan mensual'!K26+IF(parametros_carros!$H$26="Todos",'Plan mensual'!K30,0))+parametros_carros!$G$26*('Plan mensual'!K27+IF(parametros_carros!$H$26="Todos",'Plan mensual'!K31,0)))/60</f>
        <v>8.67973020258</v>
      </c>
      <c r="J49" s="41" t="n">
        <f aca="false">(parametros_carros!$D$26*('Plan mensual'!L24+IF(parametros_carros!$H$26="Todos",'Plan mensual'!L28,0))+parametros_carros!$E$26*('Plan mensual'!L25+IF(parametros_carros!$H$26="Todos",'Plan mensual'!L29,0))+parametros_carros!$F$26*('Plan mensual'!L26+IF(parametros_carros!$H$26="Todos",'Plan mensual'!L30,0))+parametros_carros!$G$26*('Plan mensual'!L27+IF(parametros_carros!$H$26="Todos",'Plan mensual'!L31,0)))/60</f>
        <v>8.19752296910333</v>
      </c>
      <c r="K49" s="41" t="n">
        <f aca="false">(parametros_carros!$D$26*('Plan mensual'!M24+IF(parametros_carros!$H$26="Todos",'Plan mensual'!M28,0))+parametros_carros!$E$26*('Plan mensual'!M25+IF(parametros_carros!$H$26="Todos",'Plan mensual'!M29,0))+parametros_carros!$F$26*('Plan mensual'!M26+IF(parametros_carros!$H$26="Todos",'Plan mensual'!M30,0))+parametros_carros!$G$26*('Plan mensual'!M27+IF(parametros_carros!$H$26="Todos",'Plan mensual'!M31,0)))/60</f>
        <v>7.23310850215</v>
      </c>
      <c r="L49" s="41" t="n">
        <f aca="false">(parametros_carros!$D$26*('Plan mensual'!N24+IF(parametros_carros!$H$26="Todos",'Plan mensual'!N28,0))+parametros_carros!$E$26*('Plan mensual'!N25+IF(parametros_carros!$H$26="Todos",'Plan mensual'!N29,0))+parametros_carros!$F$26*('Plan mensual'!N26+IF(parametros_carros!$H$26="Todos",'Plan mensual'!N30,0))+parametros_carros!$G$26*('Plan mensual'!N27+IF(parametros_carros!$H$26="Todos",'Plan mensual'!N31,0)))/60</f>
        <v>6.75090126867333</v>
      </c>
      <c r="M49" s="41" t="n">
        <f aca="false">(parametros_carros!$D$26*('Plan mensual'!O24+IF(parametros_carros!$H$26="Todos",'Plan mensual'!O28,0))+parametros_carros!$E$26*('Plan mensual'!O25+IF(parametros_carros!$H$26="Todos",'Plan mensual'!O29,0))+parametros_carros!$F$26*('Plan mensual'!O26+IF(parametros_carros!$H$26="Todos",'Plan mensual'!O30,0))+parametros_carros!$G$26*('Plan mensual'!O27+IF(parametros_carros!$H$26="Todos",'Plan mensual'!O31,0)))/60</f>
        <v>7.71531573562667</v>
      </c>
      <c r="N49" s="41" t="n">
        <f aca="false">SUM(B49:M49)</f>
        <v>96.4414466953333</v>
      </c>
      <c r="O49" s="41" t="n">
        <f aca="false">MAX(B49:M49)</f>
        <v>8.67973020258</v>
      </c>
      <c r="P49" s="45" t="n">
        <f aca="false">IF(parametros_carros!$B$7=0,0,(O49+parametros_carros!$G$52)/parametros_carros!$B$7)</f>
        <v>0.0778648680172</v>
      </c>
      <c r="Q49" s="29" t="str">
        <f aca="false">IF(O49=0,"-",INDEX($B$41:$M$41,MATCH(O49,B49:M49,0)))</f>
        <v>Mar</v>
      </c>
    </row>
    <row r="50" customFormat="false" ht="14.25" hidden="false" customHeight="true" outlineLevel="0" collapsed="false">
      <c r="A50" s="12" t="str">
        <f aca="false">parametros_carros!$B$27</f>
        <v>Soldadura de accesorios</v>
      </c>
      <c r="B50" s="41" t="n">
        <f aca="false">(parametros_carros!$D$27*('Plan mensual'!D24+IF(parametros_carros!$H$27="Todos",'Plan mensual'!D28,0))+parametros_carros!$E$27*('Plan mensual'!D25+IF(parametros_carros!$H$27="Todos",'Plan mensual'!D29,0))+parametros_carros!$F$27*('Plan mensual'!D26+IF(parametros_carros!$H$27="Todos",'Plan mensual'!D30,0))+parametros_carros!$G$27*('Plan mensual'!D27+IF(parametros_carros!$H$27="Todos",'Plan mensual'!D31,0)))/60</f>
        <v>8.3549688204565</v>
      </c>
      <c r="C50" s="41" t="n">
        <f aca="false">(parametros_carros!$D$27*('Plan mensual'!E24+IF(parametros_carros!$H$27="Todos",'Plan mensual'!E28,0))+parametros_carros!$E$27*('Plan mensual'!E25+IF(parametros_carros!$H$27="Todos",'Plan mensual'!E29,0))+parametros_carros!$F$27*('Plan mensual'!E26+IF(parametros_carros!$H$27="Todos",'Plan mensual'!E30,0))+parametros_carros!$G$27*('Plan mensual'!E27+IF(parametros_carros!$H$27="Todos",'Plan mensual'!E31,0)))/60</f>
        <v>7.3720313121675</v>
      </c>
      <c r="D50" s="41" t="n">
        <f aca="false">(parametros_carros!$D$27*('Plan mensual'!F24+IF(parametros_carros!$H$27="Todos",'Plan mensual'!F28,0))+parametros_carros!$E$27*('Plan mensual'!F25+IF(parametros_carros!$H$27="Todos",'Plan mensual'!F29,0))+parametros_carros!$F$27*('Plan mensual'!F26+IF(parametros_carros!$H$27="Todos",'Plan mensual'!F30,0))+parametros_carros!$G$27*('Plan mensual'!F27+IF(parametros_carros!$H$27="Todos",'Plan mensual'!F31,0)))/60</f>
        <v>8.846437574601</v>
      </c>
      <c r="E50" s="41" t="n">
        <f aca="false">(parametros_carros!$D$27*('Plan mensual'!G24+IF(parametros_carros!$H$27="Todos",'Plan mensual'!G28,0))+parametros_carros!$E$27*('Plan mensual'!G25+IF(parametros_carros!$H$27="Todos",'Plan mensual'!G29,0))+parametros_carros!$F$27*('Plan mensual'!G26+IF(parametros_carros!$H$27="Todos",'Plan mensual'!G30,0))+parametros_carros!$G$27*('Plan mensual'!G27+IF(parametros_carros!$H$27="Todos",'Plan mensual'!G31,0)))/60</f>
        <v>8.846437574601</v>
      </c>
      <c r="F50" s="41" t="n">
        <f aca="false">(parametros_carros!$D$27*('Plan mensual'!H24+IF(parametros_carros!$H$27="Todos",'Plan mensual'!H28,0))+parametros_carros!$E$27*('Plan mensual'!H25+IF(parametros_carros!$H$27="Todos",'Plan mensual'!H29,0))+parametros_carros!$F$27*('Plan mensual'!H26+IF(parametros_carros!$H$27="Todos",'Plan mensual'!H30,0))+parametros_carros!$G$27*('Plan mensual'!H27+IF(parametros_carros!$H$27="Todos",'Plan mensual'!H31,0)))/60</f>
        <v>8.846437574601</v>
      </c>
      <c r="G50" s="41" t="n">
        <f aca="false">(parametros_carros!$D$27*('Plan mensual'!I24+IF(parametros_carros!$H$27="Todos",'Plan mensual'!I28,0))+parametros_carros!$E$27*('Plan mensual'!I25+IF(parametros_carros!$H$27="Todos",'Plan mensual'!I29,0))+parametros_carros!$F$27*('Plan mensual'!I26+IF(parametros_carros!$H$27="Todos",'Plan mensual'!I30,0))+parametros_carros!$G$27*('Plan mensual'!I27+IF(parametros_carros!$H$27="Todos",'Plan mensual'!I31,0)))/60</f>
        <v>7.863500066312</v>
      </c>
      <c r="H50" s="41" t="n">
        <f aca="false">(parametros_carros!$D$27*('Plan mensual'!J24+IF(parametros_carros!$H$27="Todos",'Plan mensual'!J28,0))+parametros_carros!$E$27*('Plan mensual'!J25+IF(parametros_carros!$H$27="Todos",'Plan mensual'!J29,0))+parametros_carros!$F$27*('Plan mensual'!J26+IF(parametros_carros!$H$27="Todos",'Plan mensual'!J30,0))+parametros_carros!$G$27*('Plan mensual'!J27+IF(parametros_carros!$H$27="Todos",'Plan mensual'!J31,0)))/60</f>
        <v>8.846437574601</v>
      </c>
      <c r="I50" s="41" t="n">
        <f aca="false">(parametros_carros!$D$27*('Plan mensual'!K24+IF(parametros_carros!$H$27="Todos",'Plan mensual'!K28,0))+parametros_carros!$E$27*('Plan mensual'!K25+IF(parametros_carros!$H$27="Todos",'Plan mensual'!K29,0))+parametros_carros!$F$27*('Plan mensual'!K26+IF(parametros_carros!$H$27="Todos",'Plan mensual'!K30,0))+parametros_carros!$G$27*('Plan mensual'!K27+IF(parametros_carros!$H$27="Todos",'Plan mensual'!K31,0)))/60</f>
        <v>8.846437574601</v>
      </c>
      <c r="J50" s="41" t="n">
        <f aca="false">(parametros_carros!$D$27*('Plan mensual'!L24+IF(parametros_carros!$H$27="Todos",'Plan mensual'!L28,0))+parametros_carros!$E$27*('Plan mensual'!L25+IF(parametros_carros!$H$27="Todos",'Plan mensual'!L29,0))+parametros_carros!$F$27*('Plan mensual'!L26+IF(parametros_carros!$H$27="Todos",'Plan mensual'!L30,0))+parametros_carros!$G$27*('Plan mensual'!L27+IF(parametros_carros!$H$27="Todos",'Plan mensual'!L31,0)))/60</f>
        <v>8.3549688204565</v>
      </c>
      <c r="K50" s="41" t="n">
        <f aca="false">(parametros_carros!$D$27*('Plan mensual'!M24+IF(parametros_carros!$H$27="Todos",'Plan mensual'!M28,0))+parametros_carros!$E$27*('Plan mensual'!M25+IF(parametros_carros!$H$27="Todos",'Plan mensual'!M29,0))+parametros_carros!$F$27*('Plan mensual'!M26+IF(parametros_carros!$H$27="Todos",'Plan mensual'!M30,0))+parametros_carros!$G$27*('Plan mensual'!M27+IF(parametros_carros!$H$27="Todos",'Plan mensual'!M31,0)))/60</f>
        <v>7.3720313121675</v>
      </c>
      <c r="L50" s="41" t="n">
        <f aca="false">(parametros_carros!$D$27*('Plan mensual'!N24+IF(parametros_carros!$H$27="Todos",'Plan mensual'!N28,0))+parametros_carros!$E$27*('Plan mensual'!N25+IF(parametros_carros!$H$27="Todos",'Plan mensual'!N29,0))+parametros_carros!$F$27*('Plan mensual'!N26+IF(parametros_carros!$H$27="Todos",'Plan mensual'!N30,0))+parametros_carros!$G$27*('Plan mensual'!N27+IF(parametros_carros!$H$27="Todos",'Plan mensual'!N31,0)))/60</f>
        <v>6.880562558023</v>
      </c>
      <c r="M50" s="41" t="n">
        <f aca="false">(parametros_carros!$D$27*('Plan mensual'!O24+IF(parametros_carros!$H$27="Todos",'Plan mensual'!O28,0))+parametros_carros!$E$27*('Plan mensual'!O25+IF(parametros_carros!$H$27="Todos",'Plan mensual'!O29,0))+parametros_carros!$F$27*('Plan mensual'!O26+IF(parametros_carros!$H$27="Todos",'Plan mensual'!O30,0))+parametros_carros!$G$27*('Plan mensual'!O27+IF(parametros_carros!$H$27="Todos",'Plan mensual'!O31,0)))/60</f>
        <v>7.863500066312</v>
      </c>
      <c r="N50" s="41" t="n">
        <f aca="false">SUM(B50:M50)</f>
        <v>98.2937508289</v>
      </c>
      <c r="O50" s="41" t="n">
        <f aca="false">MAX(B50:M50)</f>
        <v>8.846437574601</v>
      </c>
      <c r="P50" s="45" t="n">
        <f aca="false">IF(parametros_carros!$B$7=0,0,(O50+parametros_carros!$G$53)/parametros_carros!$B$7)</f>
        <v>0.07897625049734</v>
      </c>
      <c r="Q50" s="29" t="str">
        <f aca="false">IF(O50=0,"-",INDEX($B$41:$M$41,MATCH(O50,B50:M50,0)))</f>
        <v>Mar</v>
      </c>
    </row>
    <row r="51" customFormat="false" ht="14.25" hidden="false" customHeight="true" outlineLevel="0" collapsed="false">
      <c r="A51" s="12" t="str">
        <f aca="false">parametros_carros!$B$28</f>
        <v>Fabricación de accesorios</v>
      </c>
      <c r="B51" s="41" t="n">
        <f aca="false">(parametros_carros!$D$28*('Plan mensual'!D24+IF(parametros_carros!$H$28="Todos",'Plan mensual'!D28,0))+parametros_carros!$E$28*('Plan mensual'!D25+IF(parametros_carros!$H$28="Todos",'Plan mensual'!D29,0))+parametros_carros!$F$28*('Plan mensual'!D26+IF(parametros_carros!$H$28="Todos",'Plan mensual'!D30,0))+parametros_carros!$G$28*('Plan mensual'!D27+IF(parametros_carros!$H$28="Todos",'Plan mensual'!D31,0)))/60</f>
        <v>5.67785232604334</v>
      </c>
      <c r="C51" s="41" t="n">
        <f aca="false">(parametros_carros!$D$28*('Plan mensual'!E24+IF(parametros_carros!$H$28="Todos",'Plan mensual'!E28,0))+parametros_carros!$E$28*('Plan mensual'!E25+IF(parametros_carros!$H$28="Todos",'Plan mensual'!E29,0))+parametros_carros!$F$28*('Plan mensual'!E26+IF(parametros_carros!$H$28="Todos",'Plan mensual'!E30,0))+parametros_carros!$G$28*('Plan mensual'!E27+IF(parametros_carros!$H$28="Todos",'Plan mensual'!E31,0)))/60</f>
        <v>5.00986969945</v>
      </c>
      <c r="D51" s="41" t="n">
        <f aca="false">(parametros_carros!$D$28*('Plan mensual'!F24+IF(parametros_carros!$H$28="Todos",'Plan mensual'!F28,0))+parametros_carros!$E$28*('Plan mensual'!F25+IF(parametros_carros!$H$28="Todos",'Plan mensual'!F29,0))+parametros_carros!$F$28*('Plan mensual'!F26+IF(parametros_carros!$H$28="Todos",'Plan mensual'!F30,0))+parametros_carros!$G$28*('Plan mensual'!F27+IF(parametros_carros!$H$28="Todos",'Plan mensual'!F31,0)))/60</f>
        <v>6.01184363934</v>
      </c>
      <c r="E51" s="41" t="n">
        <f aca="false">(parametros_carros!$D$28*('Plan mensual'!G24+IF(parametros_carros!$H$28="Todos",'Plan mensual'!G28,0))+parametros_carros!$E$28*('Plan mensual'!G25+IF(parametros_carros!$H$28="Todos",'Plan mensual'!G29,0))+parametros_carros!$F$28*('Plan mensual'!G26+IF(parametros_carros!$H$28="Todos",'Plan mensual'!G30,0))+parametros_carros!$G$28*('Plan mensual'!G27+IF(parametros_carros!$H$28="Todos",'Plan mensual'!G31,0)))/60</f>
        <v>6.01184363934</v>
      </c>
      <c r="F51" s="41" t="n">
        <f aca="false">(parametros_carros!$D$28*('Plan mensual'!H24+IF(parametros_carros!$H$28="Todos",'Plan mensual'!H28,0))+parametros_carros!$E$28*('Plan mensual'!H25+IF(parametros_carros!$H$28="Todos",'Plan mensual'!H29,0))+parametros_carros!$F$28*('Plan mensual'!H26+IF(parametros_carros!$H$28="Todos",'Plan mensual'!H30,0))+parametros_carros!$G$28*('Plan mensual'!H27+IF(parametros_carros!$H$28="Todos",'Plan mensual'!H31,0)))/60</f>
        <v>6.01184363934</v>
      </c>
      <c r="G51" s="41" t="n">
        <f aca="false">(parametros_carros!$D$28*('Plan mensual'!I24+IF(parametros_carros!$H$28="Todos",'Plan mensual'!I28,0))+parametros_carros!$E$28*('Plan mensual'!I25+IF(parametros_carros!$H$28="Todos",'Plan mensual'!I29,0))+parametros_carros!$F$28*('Plan mensual'!I26+IF(parametros_carros!$H$28="Todos",'Plan mensual'!I30,0))+parametros_carros!$G$28*('Plan mensual'!I27+IF(parametros_carros!$H$28="Todos",'Plan mensual'!I31,0)))/60</f>
        <v>5.34386101274667</v>
      </c>
      <c r="H51" s="41" t="n">
        <f aca="false">(parametros_carros!$D$28*('Plan mensual'!J24+IF(parametros_carros!$H$28="Todos",'Plan mensual'!J28,0))+parametros_carros!$E$28*('Plan mensual'!J25+IF(parametros_carros!$H$28="Todos",'Plan mensual'!J29,0))+parametros_carros!$F$28*('Plan mensual'!J26+IF(parametros_carros!$H$28="Todos",'Plan mensual'!J30,0))+parametros_carros!$G$28*('Plan mensual'!J27+IF(parametros_carros!$H$28="Todos",'Plan mensual'!J31,0)))/60</f>
        <v>6.01184363934</v>
      </c>
      <c r="I51" s="41" t="n">
        <f aca="false">(parametros_carros!$D$28*('Plan mensual'!K24+IF(parametros_carros!$H$28="Todos",'Plan mensual'!K28,0))+parametros_carros!$E$28*('Plan mensual'!K25+IF(parametros_carros!$H$28="Todos",'Plan mensual'!K29,0))+parametros_carros!$F$28*('Plan mensual'!K26+IF(parametros_carros!$H$28="Todos",'Plan mensual'!K30,0))+parametros_carros!$G$28*('Plan mensual'!K27+IF(parametros_carros!$H$28="Todos",'Plan mensual'!K31,0)))/60</f>
        <v>6.01184363934</v>
      </c>
      <c r="J51" s="41" t="n">
        <f aca="false">(parametros_carros!$D$28*('Plan mensual'!L24+IF(parametros_carros!$H$28="Todos",'Plan mensual'!L28,0))+parametros_carros!$E$28*('Plan mensual'!L25+IF(parametros_carros!$H$28="Todos",'Plan mensual'!L29,0))+parametros_carros!$F$28*('Plan mensual'!L26+IF(parametros_carros!$H$28="Todos",'Plan mensual'!L30,0))+parametros_carros!$G$28*('Plan mensual'!L27+IF(parametros_carros!$H$28="Todos",'Plan mensual'!L31,0)))/60</f>
        <v>5.67785232604334</v>
      </c>
      <c r="K51" s="41" t="n">
        <f aca="false">(parametros_carros!$D$28*('Plan mensual'!M24+IF(parametros_carros!$H$28="Todos",'Plan mensual'!M28,0))+parametros_carros!$E$28*('Plan mensual'!M25+IF(parametros_carros!$H$28="Todos",'Plan mensual'!M29,0))+parametros_carros!$F$28*('Plan mensual'!M26+IF(parametros_carros!$H$28="Todos",'Plan mensual'!M30,0))+parametros_carros!$G$28*('Plan mensual'!M27+IF(parametros_carros!$H$28="Todos",'Plan mensual'!M31,0)))/60</f>
        <v>5.00986969945</v>
      </c>
      <c r="L51" s="41" t="n">
        <f aca="false">(parametros_carros!$D$28*('Plan mensual'!N24+IF(parametros_carros!$H$28="Todos",'Plan mensual'!N28,0))+parametros_carros!$E$28*('Plan mensual'!N25+IF(parametros_carros!$H$28="Todos",'Plan mensual'!N29,0))+parametros_carros!$F$28*('Plan mensual'!N26+IF(parametros_carros!$H$28="Todos",'Plan mensual'!N30,0))+parametros_carros!$G$28*('Plan mensual'!N27+IF(parametros_carros!$H$28="Todos",'Plan mensual'!N31,0)))/60</f>
        <v>4.67587838615333</v>
      </c>
      <c r="M51" s="41" t="n">
        <f aca="false">(parametros_carros!$D$28*('Plan mensual'!O24+IF(parametros_carros!$H$28="Todos",'Plan mensual'!O28,0))+parametros_carros!$E$28*('Plan mensual'!O25+IF(parametros_carros!$H$28="Todos",'Plan mensual'!O29,0))+parametros_carros!$F$28*('Plan mensual'!O26+IF(parametros_carros!$H$28="Todos",'Plan mensual'!O30,0))+parametros_carros!$G$28*('Plan mensual'!O27+IF(parametros_carros!$H$28="Todos",'Plan mensual'!O31,0)))/60</f>
        <v>5.34386101274667</v>
      </c>
      <c r="N51" s="41" t="n">
        <f aca="false">SUM(B51:M51)</f>
        <v>66.7982626593333</v>
      </c>
      <c r="O51" s="41" t="n">
        <f aca="false">MAX(B51:M51)</f>
        <v>6.01184363934</v>
      </c>
      <c r="P51" s="45" t="n">
        <f aca="false">IF(parametros_carros!$B$7=0,0,(O51+parametros_carros!$G$54)/parametros_carros!$B$7)</f>
        <v>0.0734122909289333</v>
      </c>
      <c r="Q51" s="29" t="str">
        <f aca="false">IF(O51=0,"-",INDEX($B$41:$M$41,MATCH(O51,B51:M51,0)))</f>
        <v>Mar</v>
      </c>
    </row>
    <row r="52" customFormat="false" ht="14.25" hidden="false" customHeight="true" outlineLevel="0" collapsed="false">
      <c r="A52" s="12" t="str">
        <f aca="false">parametros_carros!$B$29</f>
        <v>Prueba hidráulica</v>
      </c>
      <c r="B52" s="41" t="n">
        <f aca="false">(parametros_carros!$D$29*('Plan mensual'!D24+IF(parametros_carros!$H$29="Todos",'Plan mensual'!D28,0))+parametros_carros!$E$29*('Plan mensual'!D25+IF(parametros_carros!$H$29="Todos",'Plan mensual'!D29,0))+parametros_carros!$F$29*('Plan mensual'!D26+IF(parametros_carros!$H$29="Todos",'Plan mensual'!D30,0))+parametros_carros!$G$29*('Plan mensual'!D27+IF(parametros_carros!$H$29="Todos",'Plan mensual'!D31,0)))/60</f>
        <v>4.63555483830247</v>
      </c>
      <c r="C52" s="41" t="n">
        <f aca="false">(parametros_carros!$D$29*('Plan mensual'!E24+IF(parametros_carros!$H$29="Todos",'Plan mensual'!E28,0))+parametros_carros!$E$29*('Plan mensual'!E25+IF(parametros_carros!$H$29="Todos",'Plan mensual'!E29,0))+parametros_carros!$F$29*('Plan mensual'!E26+IF(parametros_carros!$H$29="Todos",'Plan mensual'!E30,0))+parametros_carros!$G$29*('Plan mensual'!E27+IF(parametros_carros!$H$29="Todos",'Plan mensual'!E31,0)))/60</f>
        <v>4.090195445561</v>
      </c>
      <c r="D52" s="41" t="n">
        <f aca="false">(parametros_carros!$D$29*('Plan mensual'!F24+IF(parametros_carros!$H$29="Todos",'Plan mensual'!F28,0))+parametros_carros!$E$29*('Plan mensual'!F25+IF(parametros_carros!$H$29="Todos",'Plan mensual'!F29,0))+parametros_carros!$F$29*('Plan mensual'!F26+IF(parametros_carros!$H$29="Todos",'Plan mensual'!F30,0))+parametros_carros!$G$29*('Plan mensual'!F27+IF(parametros_carros!$H$29="Todos",'Plan mensual'!F31,0)))/60</f>
        <v>4.9082345346732</v>
      </c>
      <c r="E52" s="41" t="n">
        <f aca="false">(parametros_carros!$D$29*('Plan mensual'!G24+IF(parametros_carros!$H$29="Todos",'Plan mensual'!G28,0))+parametros_carros!$E$29*('Plan mensual'!G25+IF(parametros_carros!$H$29="Todos",'Plan mensual'!G29,0))+parametros_carros!$F$29*('Plan mensual'!G26+IF(parametros_carros!$H$29="Todos",'Plan mensual'!G30,0))+parametros_carros!$G$29*('Plan mensual'!G27+IF(parametros_carros!$H$29="Todos",'Plan mensual'!G31,0)))/60</f>
        <v>4.9082345346732</v>
      </c>
      <c r="F52" s="41" t="n">
        <f aca="false">(parametros_carros!$D$29*('Plan mensual'!H24+IF(parametros_carros!$H$29="Todos",'Plan mensual'!H28,0))+parametros_carros!$E$29*('Plan mensual'!H25+IF(parametros_carros!$H$29="Todos",'Plan mensual'!H29,0))+parametros_carros!$F$29*('Plan mensual'!H26+IF(parametros_carros!$H$29="Todos",'Plan mensual'!H30,0))+parametros_carros!$G$29*('Plan mensual'!H27+IF(parametros_carros!$H$29="Todos",'Plan mensual'!H31,0)))/60</f>
        <v>4.9082345346732</v>
      </c>
      <c r="G52" s="41" t="n">
        <f aca="false">(parametros_carros!$D$29*('Plan mensual'!I24+IF(parametros_carros!$H$29="Todos",'Plan mensual'!I28,0))+parametros_carros!$E$29*('Plan mensual'!I25+IF(parametros_carros!$H$29="Todos",'Plan mensual'!I29,0))+parametros_carros!$F$29*('Plan mensual'!I26+IF(parametros_carros!$H$29="Todos",'Plan mensual'!I30,0))+parametros_carros!$G$29*('Plan mensual'!I27+IF(parametros_carros!$H$29="Todos",'Plan mensual'!I31,0)))/60</f>
        <v>4.36287514193173</v>
      </c>
      <c r="H52" s="41" t="n">
        <f aca="false">(parametros_carros!$D$29*('Plan mensual'!J24+IF(parametros_carros!$H$29="Todos",'Plan mensual'!J28,0))+parametros_carros!$E$29*('Plan mensual'!J25+IF(parametros_carros!$H$29="Todos",'Plan mensual'!J29,0))+parametros_carros!$F$29*('Plan mensual'!J26+IF(parametros_carros!$H$29="Todos",'Plan mensual'!J30,0))+parametros_carros!$G$29*('Plan mensual'!J27+IF(parametros_carros!$H$29="Todos",'Plan mensual'!J31,0)))/60</f>
        <v>4.9082345346732</v>
      </c>
      <c r="I52" s="41" t="n">
        <f aca="false">(parametros_carros!$D$29*('Plan mensual'!K24+IF(parametros_carros!$H$29="Todos",'Plan mensual'!K28,0))+parametros_carros!$E$29*('Plan mensual'!K25+IF(parametros_carros!$H$29="Todos",'Plan mensual'!K29,0))+parametros_carros!$F$29*('Plan mensual'!K26+IF(parametros_carros!$H$29="Todos",'Plan mensual'!K30,0))+parametros_carros!$G$29*('Plan mensual'!K27+IF(parametros_carros!$H$29="Todos",'Plan mensual'!K31,0)))/60</f>
        <v>4.9082345346732</v>
      </c>
      <c r="J52" s="41" t="n">
        <f aca="false">(parametros_carros!$D$29*('Plan mensual'!L24+IF(parametros_carros!$H$29="Todos",'Plan mensual'!L28,0))+parametros_carros!$E$29*('Plan mensual'!L25+IF(parametros_carros!$H$29="Todos",'Plan mensual'!L29,0))+parametros_carros!$F$29*('Plan mensual'!L26+IF(parametros_carros!$H$29="Todos",'Plan mensual'!L30,0))+parametros_carros!$G$29*('Plan mensual'!L27+IF(parametros_carros!$H$29="Todos",'Plan mensual'!L31,0)))/60</f>
        <v>4.63555483830247</v>
      </c>
      <c r="K52" s="41" t="n">
        <f aca="false">(parametros_carros!$D$29*('Plan mensual'!M24+IF(parametros_carros!$H$29="Todos",'Plan mensual'!M28,0))+parametros_carros!$E$29*('Plan mensual'!M25+IF(parametros_carros!$H$29="Todos",'Plan mensual'!M29,0))+parametros_carros!$F$29*('Plan mensual'!M26+IF(parametros_carros!$H$29="Todos",'Plan mensual'!M30,0))+parametros_carros!$G$29*('Plan mensual'!M27+IF(parametros_carros!$H$29="Todos",'Plan mensual'!M31,0)))/60</f>
        <v>4.090195445561</v>
      </c>
      <c r="L52" s="41" t="n">
        <f aca="false">(parametros_carros!$D$29*('Plan mensual'!N24+IF(parametros_carros!$H$29="Todos",'Plan mensual'!N28,0))+parametros_carros!$E$29*('Plan mensual'!N25+IF(parametros_carros!$H$29="Todos",'Plan mensual'!N29,0))+parametros_carros!$F$29*('Plan mensual'!N26+IF(parametros_carros!$H$29="Todos",'Plan mensual'!N30,0))+parametros_carros!$G$29*('Plan mensual'!N27+IF(parametros_carros!$H$29="Todos",'Plan mensual'!N31,0)))/60</f>
        <v>3.81751574919027</v>
      </c>
      <c r="M52" s="41" t="n">
        <f aca="false">(parametros_carros!$D$29*('Plan mensual'!O24+IF(parametros_carros!$H$29="Todos",'Plan mensual'!O28,0))+parametros_carros!$E$29*('Plan mensual'!O25+IF(parametros_carros!$H$29="Todos",'Plan mensual'!O29,0))+parametros_carros!$F$29*('Plan mensual'!O26+IF(parametros_carros!$H$29="Todos",'Plan mensual'!O30,0))+parametros_carros!$G$29*('Plan mensual'!O27+IF(parametros_carros!$H$29="Todos",'Plan mensual'!O31,0)))/60</f>
        <v>4.36287514193173</v>
      </c>
      <c r="N52" s="41" t="n">
        <f aca="false">SUM(B52:M52)</f>
        <v>54.5359392741467</v>
      </c>
      <c r="O52" s="41" t="n">
        <f aca="false">MAX(B52:M52)</f>
        <v>4.9082345346732</v>
      </c>
      <c r="P52" s="45" t="n">
        <f aca="false">IF(parametros_carros!$B$7=0,0,(O52+parametros_carros!$G$55)/parametros_carros!$B$7)</f>
        <v>0.0549437857867102</v>
      </c>
      <c r="Q52" s="29" t="str">
        <f aca="false">IF(O52=0,"-",INDEX($B$41:$M$41,MATCH(O52,B52:M52,0)))</f>
        <v>Mar</v>
      </c>
    </row>
    <row r="53" customFormat="false" ht="14.25" hidden="false" customHeight="true" outlineLevel="0" collapsed="false">
      <c r="A53" s="12" t="str">
        <f aca="false">parametros_carros!$B$30</f>
        <v>Secado</v>
      </c>
      <c r="B53" s="41" t="n">
        <f aca="false">(parametros_carros!$D$30*('Plan mensual'!D24+IF(parametros_carros!$H$30="Todos",'Plan mensual'!D28,0))+parametros_carros!$E$30*('Plan mensual'!D25+IF(parametros_carros!$H$30="Todos",'Plan mensual'!D29,0))+parametros_carros!$F$30*('Plan mensual'!D26+IF(parametros_carros!$H$30="Todos",'Plan mensual'!D30,0))+parametros_carros!$G$30*('Plan mensual'!D27+IF(parametros_carros!$H$30="Todos",'Plan mensual'!D31,0)))/60</f>
        <v>5.19042816967167</v>
      </c>
      <c r="C53" s="41" t="n">
        <f aca="false">(parametros_carros!$D$30*('Plan mensual'!E24+IF(parametros_carros!$H$30="Todos",'Plan mensual'!E28,0))+parametros_carros!$E$30*('Plan mensual'!E25+IF(parametros_carros!$H$30="Todos",'Plan mensual'!E29,0))+parametros_carros!$F$30*('Plan mensual'!E26+IF(parametros_carros!$H$30="Todos",'Plan mensual'!E30,0))+parametros_carros!$G$30*('Plan mensual'!E27+IF(parametros_carros!$H$30="Todos",'Plan mensual'!E31,0)))/60</f>
        <v>4.579789561475</v>
      </c>
      <c r="D53" s="41" t="n">
        <f aca="false">(parametros_carros!$D$30*('Plan mensual'!F24+IF(parametros_carros!$H$30="Todos",'Plan mensual'!F28,0))+parametros_carros!$E$30*('Plan mensual'!F25+IF(parametros_carros!$H$30="Todos",'Plan mensual'!F29,0))+parametros_carros!$F$30*('Plan mensual'!F26+IF(parametros_carros!$H$30="Todos",'Plan mensual'!F30,0))+parametros_carros!$G$30*('Plan mensual'!F27+IF(parametros_carros!$H$30="Todos",'Plan mensual'!F31,0)))/60</f>
        <v>5.49574747377</v>
      </c>
      <c r="E53" s="41" t="n">
        <f aca="false">(parametros_carros!$D$30*('Plan mensual'!G24+IF(parametros_carros!$H$30="Todos",'Plan mensual'!G28,0))+parametros_carros!$E$30*('Plan mensual'!G25+IF(parametros_carros!$H$30="Todos",'Plan mensual'!G29,0))+parametros_carros!$F$30*('Plan mensual'!G26+IF(parametros_carros!$H$30="Todos",'Plan mensual'!G30,0))+parametros_carros!$G$30*('Plan mensual'!G27+IF(parametros_carros!$H$30="Todos",'Plan mensual'!G31,0)))/60</f>
        <v>5.49574747377</v>
      </c>
      <c r="F53" s="41" t="n">
        <f aca="false">(parametros_carros!$D$30*('Plan mensual'!H24+IF(parametros_carros!$H$30="Todos",'Plan mensual'!H28,0))+parametros_carros!$E$30*('Plan mensual'!H25+IF(parametros_carros!$H$30="Todos",'Plan mensual'!H29,0))+parametros_carros!$F$30*('Plan mensual'!H26+IF(parametros_carros!$H$30="Todos",'Plan mensual'!H30,0))+parametros_carros!$G$30*('Plan mensual'!H27+IF(parametros_carros!$H$30="Todos",'Plan mensual'!H31,0)))/60</f>
        <v>5.49574747377</v>
      </c>
      <c r="G53" s="41" t="n">
        <f aca="false">(parametros_carros!$D$30*('Plan mensual'!I24+IF(parametros_carros!$H$30="Todos",'Plan mensual'!I28,0))+parametros_carros!$E$30*('Plan mensual'!I25+IF(parametros_carros!$H$30="Todos",'Plan mensual'!I29,0))+parametros_carros!$F$30*('Plan mensual'!I26+IF(parametros_carros!$H$30="Todos",'Plan mensual'!I30,0))+parametros_carros!$G$30*('Plan mensual'!I27+IF(parametros_carros!$H$30="Todos",'Plan mensual'!I31,0)))/60</f>
        <v>4.88510886557333</v>
      </c>
      <c r="H53" s="41" t="n">
        <f aca="false">(parametros_carros!$D$30*('Plan mensual'!J24+IF(parametros_carros!$H$30="Todos",'Plan mensual'!J28,0))+parametros_carros!$E$30*('Plan mensual'!J25+IF(parametros_carros!$H$30="Todos",'Plan mensual'!J29,0))+parametros_carros!$F$30*('Plan mensual'!J26+IF(parametros_carros!$H$30="Todos",'Plan mensual'!J30,0))+parametros_carros!$G$30*('Plan mensual'!J27+IF(parametros_carros!$H$30="Todos",'Plan mensual'!J31,0)))/60</f>
        <v>5.49574747377</v>
      </c>
      <c r="I53" s="41" t="n">
        <f aca="false">(parametros_carros!$D$30*('Plan mensual'!K24+IF(parametros_carros!$H$30="Todos",'Plan mensual'!K28,0))+parametros_carros!$E$30*('Plan mensual'!K25+IF(parametros_carros!$H$30="Todos",'Plan mensual'!K29,0))+parametros_carros!$F$30*('Plan mensual'!K26+IF(parametros_carros!$H$30="Todos",'Plan mensual'!K30,0))+parametros_carros!$G$30*('Plan mensual'!K27+IF(parametros_carros!$H$30="Todos",'Plan mensual'!K31,0)))/60</f>
        <v>5.49574747377</v>
      </c>
      <c r="J53" s="41" t="n">
        <f aca="false">(parametros_carros!$D$30*('Plan mensual'!L24+IF(parametros_carros!$H$30="Todos",'Plan mensual'!L28,0))+parametros_carros!$E$30*('Plan mensual'!L25+IF(parametros_carros!$H$30="Todos",'Plan mensual'!L29,0))+parametros_carros!$F$30*('Plan mensual'!L26+IF(parametros_carros!$H$30="Todos",'Plan mensual'!L30,0))+parametros_carros!$G$30*('Plan mensual'!L27+IF(parametros_carros!$H$30="Todos",'Plan mensual'!L31,0)))/60</f>
        <v>5.19042816967167</v>
      </c>
      <c r="K53" s="41" t="n">
        <f aca="false">(parametros_carros!$D$30*('Plan mensual'!M24+IF(parametros_carros!$H$30="Todos",'Plan mensual'!M28,0))+parametros_carros!$E$30*('Plan mensual'!M25+IF(parametros_carros!$H$30="Todos",'Plan mensual'!M29,0))+parametros_carros!$F$30*('Plan mensual'!M26+IF(parametros_carros!$H$30="Todos",'Plan mensual'!M30,0))+parametros_carros!$G$30*('Plan mensual'!M27+IF(parametros_carros!$H$30="Todos",'Plan mensual'!M31,0)))/60</f>
        <v>4.579789561475</v>
      </c>
      <c r="L53" s="41" t="n">
        <f aca="false">(parametros_carros!$D$30*('Plan mensual'!N24+IF(parametros_carros!$H$30="Todos",'Plan mensual'!N28,0))+parametros_carros!$E$30*('Plan mensual'!N25+IF(parametros_carros!$H$30="Todos",'Plan mensual'!N29,0))+parametros_carros!$F$30*('Plan mensual'!N26+IF(parametros_carros!$H$30="Todos",'Plan mensual'!N30,0))+parametros_carros!$G$30*('Plan mensual'!N27+IF(parametros_carros!$H$30="Todos",'Plan mensual'!N31,0)))/60</f>
        <v>4.27447025737667</v>
      </c>
      <c r="M53" s="41" t="n">
        <f aca="false">(parametros_carros!$D$30*('Plan mensual'!O24+IF(parametros_carros!$H$30="Todos",'Plan mensual'!O28,0))+parametros_carros!$E$30*('Plan mensual'!O25+IF(parametros_carros!$H$30="Todos",'Plan mensual'!O29,0))+parametros_carros!$F$30*('Plan mensual'!O26+IF(parametros_carros!$H$30="Todos",'Plan mensual'!O30,0))+parametros_carros!$G$30*('Plan mensual'!O27+IF(parametros_carros!$H$30="Todos",'Plan mensual'!O31,0)))/60</f>
        <v>4.88510886557333</v>
      </c>
      <c r="N53" s="41" t="n">
        <f aca="false">SUM(B53:M53)</f>
        <v>61.0638608196667</v>
      </c>
      <c r="O53" s="41" t="n">
        <f aca="false">MAX(B53:M53)</f>
        <v>5.49574747377</v>
      </c>
      <c r="P53" s="45" t="n">
        <f aca="false">IF(parametros_carros!$B$7=0,0,(O53+parametros_carros!$G$56)/parametros_carros!$B$7)</f>
        <v>0.0366383164918</v>
      </c>
      <c r="Q53" s="29" t="str">
        <f aca="false">IF(O53=0,"-",INDEX($B$41:$M$41,MATCH(O53,B53:M53,0)))</f>
        <v>Mar</v>
      </c>
    </row>
    <row r="54" customFormat="false" ht="14.25" hidden="false" customHeight="true" outlineLevel="0" collapsed="false">
      <c r="A54" s="12" t="str">
        <f aca="false">parametros_carros!$B$31</f>
        <v>Pulmón de despacho y carga a pintura</v>
      </c>
      <c r="B54" s="41" t="n">
        <f aca="false">(parametros_carros!$D$31*('Plan mensual'!D24+IF(parametros_carros!$H$31="Todos",'Plan mensual'!D28,0))+parametros_carros!$E$31*('Plan mensual'!D25+IF(parametros_carros!$H$31="Todos",'Plan mensual'!D29,0))+parametros_carros!$F$31*('Plan mensual'!D26+IF(parametros_carros!$H$31="Todos",'Plan mensual'!D30,0))+parametros_carros!$G$31*('Plan mensual'!D27+IF(parametros_carros!$H$31="Todos",'Plan mensual'!D31,0)))/60</f>
        <v>0.825036429229917</v>
      </c>
      <c r="C54" s="41" t="n">
        <f aca="false">(parametros_carros!$D$31*('Plan mensual'!E24+IF(parametros_carros!$H$31="Todos",'Plan mensual'!E28,0))+parametros_carros!$E$31*('Plan mensual'!E25+IF(parametros_carros!$H$31="Todos",'Plan mensual'!E29,0))+parametros_carros!$F$31*('Plan mensual'!E26+IF(parametros_carros!$H$31="Todos",'Plan mensual'!E30,0))+parametros_carros!$G$31*('Plan mensual'!E27+IF(parametros_carros!$H$31="Todos",'Plan mensual'!E31,0)))/60</f>
        <v>0.72797331990875</v>
      </c>
      <c r="D54" s="41" t="n">
        <f aca="false">(parametros_carros!$D$31*('Plan mensual'!F24+IF(parametros_carros!$H$31="Todos",'Plan mensual'!F28,0))+parametros_carros!$E$31*('Plan mensual'!F25+IF(parametros_carros!$H$31="Todos",'Plan mensual'!F29,0))+parametros_carros!$F$31*('Plan mensual'!F26+IF(parametros_carros!$H$31="Todos",'Plan mensual'!F30,0))+parametros_carros!$G$31*('Plan mensual'!F27+IF(parametros_carros!$H$31="Todos",'Plan mensual'!F31,0)))/60</f>
        <v>0.8735679838905</v>
      </c>
      <c r="E54" s="41" t="n">
        <f aca="false">(parametros_carros!$D$31*('Plan mensual'!G24+IF(parametros_carros!$H$31="Todos",'Plan mensual'!G28,0))+parametros_carros!$E$31*('Plan mensual'!G25+IF(parametros_carros!$H$31="Todos",'Plan mensual'!G29,0))+parametros_carros!$F$31*('Plan mensual'!G26+IF(parametros_carros!$H$31="Todos",'Plan mensual'!G30,0))+parametros_carros!$G$31*('Plan mensual'!G27+IF(parametros_carros!$H$31="Todos",'Plan mensual'!G31,0)))/60</f>
        <v>0.8735679838905</v>
      </c>
      <c r="F54" s="41" t="n">
        <f aca="false">(parametros_carros!$D$31*('Plan mensual'!H24+IF(parametros_carros!$H$31="Todos",'Plan mensual'!H28,0))+parametros_carros!$E$31*('Plan mensual'!H25+IF(parametros_carros!$H$31="Todos",'Plan mensual'!H29,0))+parametros_carros!$F$31*('Plan mensual'!H26+IF(parametros_carros!$H$31="Todos",'Plan mensual'!H30,0))+parametros_carros!$G$31*('Plan mensual'!H27+IF(parametros_carros!$H$31="Todos",'Plan mensual'!H31,0)))/60</f>
        <v>0.8735679838905</v>
      </c>
      <c r="G54" s="41" t="n">
        <f aca="false">(parametros_carros!$D$31*('Plan mensual'!I24+IF(parametros_carros!$H$31="Todos",'Plan mensual'!I28,0))+parametros_carros!$E$31*('Plan mensual'!I25+IF(parametros_carros!$H$31="Todos",'Plan mensual'!I29,0))+parametros_carros!$F$31*('Plan mensual'!I26+IF(parametros_carros!$H$31="Todos",'Plan mensual'!I30,0))+parametros_carros!$G$31*('Plan mensual'!I27+IF(parametros_carros!$H$31="Todos",'Plan mensual'!I31,0)))/60</f>
        <v>0.776504874569334</v>
      </c>
      <c r="H54" s="41" t="n">
        <f aca="false">(parametros_carros!$D$31*('Plan mensual'!J24+IF(parametros_carros!$H$31="Todos",'Plan mensual'!J28,0))+parametros_carros!$E$31*('Plan mensual'!J25+IF(parametros_carros!$H$31="Todos",'Plan mensual'!J29,0))+parametros_carros!$F$31*('Plan mensual'!J26+IF(parametros_carros!$H$31="Todos",'Plan mensual'!J30,0))+parametros_carros!$G$31*('Plan mensual'!J27+IF(parametros_carros!$H$31="Todos",'Plan mensual'!J31,0)))/60</f>
        <v>0.8735679838905</v>
      </c>
      <c r="I54" s="41" t="n">
        <f aca="false">(parametros_carros!$D$31*('Plan mensual'!K24+IF(parametros_carros!$H$31="Todos",'Plan mensual'!K28,0))+parametros_carros!$E$31*('Plan mensual'!K25+IF(parametros_carros!$H$31="Todos",'Plan mensual'!K29,0))+parametros_carros!$F$31*('Plan mensual'!K26+IF(parametros_carros!$H$31="Todos",'Plan mensual'!K30,0))+parametros_carros!$G$31*('Plan mensual'!K27+IF(parametros_carros!$H$31="Todos",'Plan mensual'!K31,0)))/60</f>
        <v>0.8735679838905</v>
      </c>
      <c r="J54" s="41" t="n">
        <f aca="false">(parametros_carros!$D$31*('Plan mensual'!L24+IF(parametros_carros!$H$31="Todos",'Plan mensual'!L28,0))+parametros_carros!$E$31*('Plan mensual'!L25+IF(parametros_carros!$H$31="Todos",'Plan mensual'!L29,0))+parametros_carros!$F$31*('Plan mensual'!L26+IF(parametros_carros!$H$31="Todos",'Plan mensual'!L30,0))+parametros_carros!$G$31*('Plan mensual'!L27+IF(parametros_carros!$H$31="Todos",'Plan mensual'!L31,0)))/60</f>
        <v>0.825036429229917</v>
      </c>
      <c r="K54" s="41" t="n">
        <f aca="false">(parametros_carros!$D$31*('Plan mensual'!M24+IF(parametros_carros!$H$31="Todos",'Plan mensual'!M28,0))+parametros_carros!$E$31*('Plan mensual'!M25+IF(parametros_carros!$H$31="Todos",'Plan mensual'!M29,0))+parametros_carros!$F$31*('Plan mensual'!M26+IF(parametros_carros!$H$31="Todos",'Plan mensual'!M30,0))+parametros_carros!$G$31*('Plan mensual'!M27+IF(parametros_carros!$H$31="Todos",'Plan mensual'!M31,0)))/60</f>
        <v>0.72797331990875</v>
      </c>
      <c r="L54" s="41" t="n">
        <f aca="false">(parametros_carros!$D$31*('Plan mensual'!N24+IF(parametros_carros!$H$31="Todos",'Plan mensual'!N28,0))+parametros_carros!$E$31*('Plan mensual'!N25+IF(parametros_carros!$H$31="Todos",'Plan mensual'!N29,0))+parametros_carros!$F$31*('Plan mensual'!N26+IF(parametros_carros!$H$31="Todos",'Plan mensual'!N30,0))+parametros_carros!$G$31*('Plan mensual'!N27+IF(parametros_carros!$H$31="Todos",'Plan mensual'!N31,0)))/60</f>
        <v>0.679441765248167</v>
      </c>
      <c r="M54" s="41" t="n">
        <f aca="false">(parametros_carros!$D$31*('Plan mensual'!O24+IF(parametros_carros!$H$31="Todos",'Plan mensual'!O28,0))+parametros_carros!$E$31*('Plan mensual'!O25+IF(parametros_carros!$H$31="Todos",'Plan mensual'!O29,0))+parametros_carros!$F$31*('Plan mensual'!O26+IF(parametros_carros!$H$31="Todos",'Plan mensual'!O30,0))+parametros_carros!$G$31*('Plan mensual'!O27+IF(parametros_carros!$H$31="Todos",'Plan mensual'!O31,0)))/60</f>
        <v>0.776504874569334</v>
      </c>
      <c r="N54" s="41" t="n">
        <f aca="false">SUM(B54:M54)</f>
        <v>9.70631093211667</v>
      </c>
      <c r="O54" s="41" t="n">
        <f aca="false">MAX(B54:M54)</f>
        <v>0.8735679838905</v>
      </c>
      <c r="P54" s="45" t="n">
        <f aca="false">IF(parametros_carros!$B$7=0,0,(O54+parametros_carros!$G$57)/parametros_carros!$B$7)</f>
        <v>0.0147126754481589</v>
      </c>
      <c r="Q54" s="29" t="str">
        <f aca="false">IF(O54=0,"-",INDEX($B$41:$M$41,MATCH(O54,B54:M54,0)))</f>
        <v>Mar</v>
      </c>
    </row>
    <row r="55" customFormat="false" ht="14.25" hidden="false" customHeight="true" outlineLevel="0" collapsed="false">
      <c r="A55" s="12" t="str">
        <f aca="false">parametros_carros!$B$32</f>
        <v>Recepción de pintados y cambio de juego</v>
      </c>
      <c r="B55" s="41" t="n">
        <f aca="false">(parametros_carros!$D$32*('Plan mensual'!D24+IF(parametros_carros!$H$32="Todos",'Plan mensual'!D28,0))+parametros_carros!$E$32*('Plan mensual'!D25+IF(parametros_carros!$H$32="Todos",'Plan mensual'!D29,0))+parametros_carros!$F$32*('Plan mensual'!D26+IF(parametros_carros!$H$32="Todos",'Plan mensual'!D30,0))+parametros_carros!$G$32*('Plan mensual'!D27+IF(parametros_carros!$H$32="Todos",'Plan mensual'!D31,0)))/60</f>
        <v>1.61460747094067</v>
      </c>
      <c r="C55" s="41" t="n">
        <f aca="false">(parametros_carros!$D$32*('Plan mensual'!E24+IF(parametros_carros!$H$32="Todos",'Plan mensual'!E28,0))+parametros_carros!$E$32*('Plan mensual'!E25+IF(parametros_carros!$H$32="Todos",'Plan mensual'!E29,0))+parametros_carros!$F$32*('Plan mensual'!E26+IF(parametros_carros!$H$32="Todos",'Plan mensual'!E30,0))+parametros_carros!$G$32*('Plan mensual'!E27+IF(parametros_carros!$H$32="Todos",'Plan mensual'!E31,0)))/60</f>
        <v>1.42465365083</v>
      </c>
      <c r="D55" s="41" t="n">
        <f aca="false">(parametros_carros!$D$32*('Plan mensual'!F24+IF(parametros_carros!$H$32="Todos",'Plan mensual'!F28,0))+parametros_carros!$E$32*('Plan mensual'!F25+IF(parametros_carros!$H$32="Todos",'Plan mensual'!F29,0))+parametros_carros!$F$32*('Plan mensual'!F26+IF(parametros_carros!$H$32="Todos",'Plan mensual'!F30,0))+parametros_carros!$G$32*('Plan mensual'!F27+IF(parametros_carros!$H$32="Todos",'Plan mensual'!F31,0)))/60</f>
        <v>1.709584380996</v>
      </c>
      <c r="E55" s="41" t="n">
        <f aca="false">(parametros_carros!$D$32*('Plan mensual'!G24+IF(parametros_carros!$H$32="Todos",'Plan mensual'!G28,0))+parametros_carros!$E$32*('Plan mensual'!G25+IF(parametros_carros!$H$32="Todos",'Plan mensual'!G29,0))+parametros_carros!$F$32*('Plan mensual'!G26+IF(parametros_carros!$H$32="Todos",'Plan mensual'!G30,0))+parametros_carros!$G$32*('Plan mensual'!G27+IF(parametros_carros!$H$32="Todos",'Plan mensual'!G31,0)))/60</f>
        <v>1.709584380996</v>
      </c>
      <c r="F55" s="41" t="n">
        <f aca="false">(parametros_carros!$D$32*('Plan mensual'!H24+IF(parametros_carros!$H$32="Todos",'Plan mensual'!H28,0))+parametros_carros!$E$32*('Plan mensual'!H25+IF(parametros_carros!$H$32="Todos",'Plan mensual'!H29,0))+parametros_carros!$F$32*('Plan mensual'!H26+IF(parametros_carros!$H$32="Todos",'Plan mensual'!H30,0))+parametros_carros!$G$32*('Plan mensual'!H27+IF(parametros_carros!$H$32="Todos",'Plan mensual'!H31,0)))/60</f>
        <v>1.709584380996</v>
      </c>
      <c r="G55" s="41" t="n">
        <f aca="false">(parametros_carros!$D$32*('Plan mensual'!I24+IF(parametros_carros!$H$32="Todos",'Plan mensual'!I28,0))+parametros_carros!$E$32*('Plan mensual'!I25+IF(parametros_carros!$H$32="Todos",'Plan mensual'!I29,0))+parametros_carros!$F$32*('Plan mensual'!I26+IF(parametros_carros!$H$32="Todos",'Plan mensual'!I30,0))+parametros_carros!$G$32*('Plan mensual'!I27+IF(parametros_carros!$H$32="Todos",'Plan mensual'!I31,0)))/60</f>
        <v>1.51963056088533</v>
      </c>
      <c r="H55" s="41" t="n">
        <f aca="false">(parametros_carros!$D$32*('Plan mensual'!J24+IF(parametros_carros!$H$32="Todos",'Plan mensual'!J28,0))+parametros_carros!$E$32*('Plan mensual'!J25+IF(parametros_carros!$H$32="Todos",'Plan mensual'!J29,0))+parametros_carros!$F$32*('Plan mensual'!J26+IF(parametros_carros!$H$32="Todos",'Plan mensual'!J30,0))+parametros_carros!$G$32*('Plan mensual'!J27+IF(parametros_carros!$H$32="Todos",'Plan mensual'!J31,0)))/60</f>
        <v>1.709584380996</v>
      </c>
      <c r="I55" s="41" t="n">
        <f aca="false">(parametros_carros!$D$32*('Plan mensual'!K24+IF(parametros_carros!$H$32="Todos",'Plan mensual'!K28,0))+parametros_carros!$E$32*('Plan mensual'!K25+IF(parametros_carros!$H$32="Todos",'Plan mensual'!K29,0))+parametros_carros!$F$32*('Plan mensual'!K26+IF(parametros_carros!$H$32="Todos",'Plan mensual'!K30,0))+parametros_carros!$G$32*('Plan mensual'!K27+IF(parametros_carros!$H$32="Todos",'Plan mensual'!K31,0)))/60</f>
        <v>1.709584380996</v>
      </c>
      <c r="J55" s="41" t="n">
        <f aca="false">(parametros_carros!$D$32*('Plan mensual'!L24+IF(parametros_carros!$H$32="Todos",'Plan mensual'!L28,0))+parametros_carros!$E$32*('Plan mensual'!L25+IF(parametros_carros!$H$32="Todos",'Plan mensual'!L29,0))+parametros_carros!$F$32*('Plan mensual'!L26+IF(parametros_carros!$H$32="Todos",'Plan mensual'!L30,0))+parametros_carros!$G$32*('Plan mensual'!L27+IF(parametros_carros!$H$32="Todos",'Plan mensual'!L31,0)))/60</f>
        <v>1.61460747094067</v>
      </c>
      <c r="K55" s="41" t="n">
        <f aca="false">(parametros_carros!$D$32*('Plan mensual'!M24+IF(parametros_carros!$H$32="Todos",'Plan mensual'!M28,0))+parametros_carros!$E$32*('Plan mensual'!M25+IF(parametros_carros!$H$32="Todos",'Plan mensual'!M29,0))+parametros_carros!$F$32*('Plan mensual'!M26+IF(parametros_carros!$H$32="Todos",'Plan mensual'!M30,0))+parametros_carros!$G$32*('Plan mensual'!M27+IF(parametros_carros!$H$32="Todos",'Plan mensual'!M31,0)))/60</f>
        <v>1.42465365083</v>
      </c>
      <c r="L55" s="41" t="n">
        <f aca="false">(parametros_carros!$D$32*('Plan mensual'!N24+IF(parametros_carros!$H$32="Todos",'Plan mensual'!N28,0))+parametros_carros!$E$32*('Plan mensual'!N25+IF(parametros_carros!$H$32="Todos",'Plan mensual'!N29,0))+parametros_carros!$F$32*('Plan mensual'!N26+IF(parametros_carros!$H$32="Todos",'Plan mensual'!N30,0))+parametros_carros!$G$32*('Plan mensual'!N27+IF(parametros_carros!$H$32="Todos",'Plan mensual'!N31,0)))/60</f>
        <v>1.32967674077467</v>
      </c>
      <c r="M55" s="41" t="n">
        <f aca="false">(parametros_carros!$D$32*('Plan mensual'!O24+IF(parametros_carros!$H$32="Todos",'Plan mensual'!O28,0))+parametros_carros!$E$32*('Plan mensual'!O25+IF(parametros_carros!$H$32="Todos",'Plan mensual'!O29,0))+parametros_carros!$F$32*('Plan mensual'!O26+IF(parametros_carros!$H$32="Todos",'Plan mensual'!O30,0))+parametros_carros!$G$32*('Plan mensual'!O27+IF(parametros_carros!$H$32="Todos",'Plan mensual'!O31,0)))/60</f>
        <v>1.51963056088533</v>
      </c>
      <c r="N55" s="41" t="n">
        <f aca="false">SUM(B55:M55)</f>
        <v>18.9953820110667</v>
      </c>
      <c r="O55" s="41" t="n">
        <f aca="false">MAX(B55:M55)</f>
        <v>1.709584380996</v>
      </c>
      <c r="P55" s="45" t="n">
        <f aca="false">IF(parametros_carros!$B$7=0,0,(O55+parametros_carros!$G$58)/parametros_carros!$B$7)</f>
        <v>0.0202861180955289</v>
      </c>
      <c r="Q55" s="29" t="str">
        <f aca="false">IF(O55=0,"-",INDEX($B$41:$M$41,MATCH(O55,B55:M55,0)))</f>
        <v>Mar</v>
      </c>
    </row>
    <row r="56" customFormat="false" ht="14.25" hidden="false" customHeight="true" outlineLevel="0" collapsed="false">
      <c r="A56" s="12" t="str">
        <f aca="false">parametros_carros!$B$33</f>
        <v>Carga de polvo y presurización</v>
      </c>
      <c r="B56" s="41" t="n">
        <f aca="false">(parametros_carros!$D$33*('Plan mensual'!D24+IF(parametros_carros!$H$33="Todos",'Plan mensual'!D28,0))+parametros_carros!$E$33*('Plan mensual'!D25+IF(parametros_carros!$H$33="Todos",'Plan mensual'!D29,0))+parametros_carros!$F$33*('Plan mensual'!D26+IF(parametros_carros!$H$33="Todos",'Plan mensual'!D30,0))+parametros_carros!$G$33*('Plan mensual'!D27+IF(parametros_carros!$H$33="Todos",'Plan mensual'!D31,0)))/60</f>
        <v>4.86640162912425</v>
      </c>
      <c r="C56" s="41" t="n">
        <f aca="false">(parametros_carros!$D$33*('Plan mensual'!E24+IF(parametros_carros!$H$33="Todos",'Plan mensual'!E28,0))+parametros_carros!$E$33*('Plan mensual'!E25+IF(parametros_carros!$H$33="Todos",'Plan mensual'!E29,0))+parametros_carros!$F$33*('Plan mensual'!E26+IF(parametros_carros!$H$33="Todos",'Plan mensual'!E30,0))+parametros_carros!$G$33*('Plan mensual'!E27+IF(parametros_carros!$H$33="Todos",'Plan mensual'!E31,0)))/60</f>
        <v>4.29388379040375</v>
      </c>
      <c r="D56" s="41" t="n">
        <f aca="false">(parametros_carros!$D$33*('Plan mensual'!F24+IF(parametros_carros!$H$33="Todos",'Plan mensual'!F28,0))+parametros_carros!$E$33*('Plan mensual'!F25+IF(parametros_carros!$H$33="Todos",'Plan mensual'!F29,0))+parametros_carros!$F$33*('Plan mensual'!F26+IF(parametros_carros!$H$33="Todos",'Plan mensual'!F30,0))+parametros_carros!$G$33*('Plan mensual'!F27+IF(parametros_carros!$H$33="Todos",'Plan mensual'!F31,0)))/60</f>
        <v>5.1526605484845</v>
      </c>
      <c r="E56" s="41" t="n">
        <f aca="false">(parametros_carros!$D$33*('Plan mensual'!G24+IF(parametros_carros!$H$33="Todos",'Plan mensual'!G28,0))+parametros_carros!$E$33*('Plan mensual'!G25+IF(parametros_carros!$H$33="Todos",'Plan mensual'!G29,0))+parametros_carros!$F$33*('Plan mensual'!G26+IF(parametros_carros!$H$33="Todos",'Plan mensual'!G30,0))+parametros_carros!$G$33*('Plan mensual'!G27+IF(parametros_carros!$H$33="Todos",'Plan mensual'!G31,0)))/60</f>
        <v>5.1526605484845</v>
      </c>
      <c r="F56" s="41" t="n">
        <f aca="false">(parametros_carros!$D$33*('Plan mensual'!H24+IF(parametros_carros!$H$33="Todos",'Plan mensual'!H28,0))+parametros_carros!$E$33*('Plan mensual'!H25+IF(parametros_carros!$H$33="Todos",'Plan mensual'!H29,0))+parametros_carros!$F$33*('Plan mensual'!H26+IF(parametros_carros!$H$33="Todos",'Plan mensual'!H30,0))+parametros_carros!$G$33*('Plan mensual'!H27+IF(parametros_carros!$H$33="Todos",'Plan mensual'!H31,0)))/60</f>
        <v>5.1526605484845</v>
      </c>
      <c r="G56" s="41" t="n">
        <f aca="false">(parametros_carros!$D$33*('Plan mensual'!I24+IF(parametros_carros!$H$33="Todos",'Plan mensual'!I28,0))+parametros_carros!$E$33*('Plan mensual'!I25+IF(parametros_carros!$H$33="Todos",'Plan mensual'!I29,0))+parametros_carros!$F$33*('Plan mensual'!I26+IF(parametros_carros!$H$33="Todos",'Plan mensual'!I30,0))+parametros_carros!$G$33*('Plan mensual'!I27+IF(parametros_carros!$H$33="Todos",'Plan mensual'!I31,0)))/60</f>
        <v>4.580142709764</v>
      </c>
      <c r="H56" s="41" t="n">
        <f aca="false">(parametros_carros!$D$33*('Plan mensual'!J24+IF(parametros_carros!$H$33="Todos",'Plan mensual'!J28,0))+parametros_carros!$E$33*('Plan mensual'!J25+IF(parametros_carros!$H$33="Todos",'Plan mensual'!J29,0))+parametros_carros!$F$33*('Plan mensual'!J26+IF(parametros_carros!$H$33="Todos",'Plan mensual'!J30,0))+parametros_carros!$G$33*('Plan mensual'!J27+IF(parametros_carros!$H$33="Todos",'Plan mensual'!J31,0)))/60</f>
        <v>5.1526605484845</v>
      </c>
      <c r="I56" s="41" t="n">
        <f aca="false">(parametros_carros!$D$33*('Plan mensual'!K24+IF(parametros_carros!$H$33="Todos",'Plan mensual'!K28,0))+parametros_carros!$E$33*('Plan mensual'!K25+IF(parametros_carros!$H$33="Todos",'Plan mensual'!K29,0))+parametros_carros!$F$33*('Plan mensual'!K26+IF(parametros_carros!$H$33="Todos",'Plan mensual'!K30,0))+parametros_carros!$G$33*('Plan mensual'!K27+IF(parametros_carros!$H$33="Todos",'Plan mensual'!K31,0)))/60</f>
        <v>5.1526605484845</v>
      </c>
      <c r="J56" s="41" t="n">
        <f aca="false">(parametros_carros!$D$33*('Plan mensual'!L24+IF(parametros_carros!$H$33="Todos",'Plan mensual'!L28,0))+parametros_carros!$E$33*('Plan mensual'!L25+IF(parametros_carros!$H$33="Todos",'Plan mensual'!L29,0))+parametros_carros!$F$33*('Plan mensual'!L26+IF(parametros_carros!$H$33="Todos",'Plan mensual'!L30,0))+parametros_carros!$G$33*('Plan mensual'!L27+IF(parametros_carros!$H$33="Todos",'Plan mensual'!L31,0)))/60</f>
        <v>4.86640162912425</v>
      </c>
      <c r="K56" s="41" t="n">
        <f aca="false">(parametros_carros!$D$33*('Plan mensual'!M24+IF(parametros_carros!$H$33="Todos",'Plan mensual'!M28,0))+parametros_carros!$E$33*('Plan mensual'!M25+IF(parametros_carros!$H$33="Todos",'Plan mensual'!M29,0))+parametros_carros!$F$33*('Plan mensual'!M26+IF(parametros_carros!$H$33="Todos",'Plan mensual'!M30,0))+parametros_carros!$G$33*('Plan mensual'!M27+IF(parametros_carros!$H$33="Todos",'Plan mensual'!M31,0)))/60</f>
        <v>4.29388379040375</v>
      </c>
      <c r="L56" s="41" t="n">
        <f aca="false">(parametros_carros!$D$33*('Plan mensual'!N24+IF(parametros_carros!$H$33="Todos",'Plan mensual'!N28,0))+parametros_carros!$E$33*('Plan mensual'!N25+IF(parametros_carros!$H$33="Todos",'Plan mensual'!N29,0))+parametros_carros!$F$33*('Plan mensual'!N26+IF(parametros_carros!$H$33="Todos",'Plan mensual'!N30,0))+parametros_carros!$G$33*('Plan mensual'!N27+IF(parametros_carros!$H$33="Todos",'Plan mensual'!N31,0)))/60</f>
        <v>4.0076248710435</v>
      </c>
      <c r="M56" s="41" t="n">
        <f aca="false">(parametros_carros!$D$33*('Plan mensual'!O24+IF(parametros_carros!$H$33="Todos",'Plan mensual'!O28,0))+parametros_carros!$E$33*('Plan mensual'!O25+IF(parametros_carros!$H$33="Todos",'Plan mensual'!O29,0))+parametros_carros!$F$33*('Plan mensual'!O26+IF(parametros_carros!$H$33="Todos",'Plan mensual'!O30,0))+parametros_carros!$G$33*('Plan mensual'!O27+IF(parametros_carros!$H$33="Todos",'Plan mensual'!O31,0)))/60</f>
        <v>4.580142709764</v>
      </c>
      <c r="N56" s="41" t="n">
        <f aca="false">SUM(B56:M56)</f>
        <v>57.25178387205</v>
      </c>
      <c r="O56" s="41" t="n">
        <f aca="false">MAX(B56:M56)</f>
        <v>5.1526605484845</v>
      </c>
      <c r="P56" s="45" t="n">
        <f aca="false">IF(parametros_carros!$B$7=0,0,(O56+parametros_carros!$G$59)/parametros_carros!$B$7)</f>
        <v>0.141017736989897</v>
      </c>
      <c r="Q56" s="29" t="str">
        <f aca="false">IF(O56=0,"-",INDEX($B$41:$M$41,MATCH(O56,B56:M56,0)))</f>
        <v>Mar</v>
      </c>
    </row>
    <row r="57" customFormat="false" ht="14.25" hidden="false" customHeight="true" outlineLevel="0" collapsed="false">
      <c r="A57" s="12" t="str">
        <f aca="false">parametros_carros!$B$34</f>
        <v>Montaje, manga, precinto y etiquetado</v>
      </c>
      <c r="B57" s="41" t="n">
        <f aca="false">(parametros_carros!$D$34*('Plan mensual'!D24+IF(parametros_carros!$H$34="Todos",'Plan mensual'!D28,0))+parametros_carros!$E$34*('Plan mensual'!D25+IF(parametros_carros!$H$34="Todos",'Plan mensual'!D29,0))+parametros_carros!$F$34*('Plan mensual'!D26+IF(parametros_carros!$H$34="Todos",'Plan mensual'!D30,0))+parametros_carros!$G$34*('Plan mensual'!D27+IF(parametros_carros!$H$34="Todos",'Plan mensual'!D31,0)))/60</f>
        <v>2.71378917882033</v>
      </c>
      <c r="C57" s="41" t="n">
        <f aca="false">(parametros_carros!$D$34*('Plan mensual'!E24+IF(parametros_carros!$H$34="Todos",'Plan mensual'!E28,0))+parametros_carros!$E$34*('Plan mensual'!E25+IF(parametros_carros!$H$34="Todos",'Plan mensual'!E29,0))+parametros_carros!$F$34*('Plan mensual'!E26+IF(parametros_carros!$H$34="Todos",'Plan mensual'!E30,0))+parametros_carros!$G$34*('Plan mensual'!E27+IF(parametros_carros!$H$34="Todos",'Plan mensual'!E31,0)))/60</f>
        <v>2.394519863665</v>
      </c>
      <c r="D57" s="41" t="n">
        <f aca="false">(parametros_carros!$D$34*('Plan mensual'!F24+IF(parametros_carros!$H$34="Todos",'Plan mensual'!F28,0))+parametros_carros!$E$34*('Plan mensual'!F25+IF(parametros_carros!$H$34="Todos",'Plan mensual'!F29,0))+parametros_carros!$F$34*('Plan mensual'!F26+IF(parametros_carros!$H$34="Todos",'Plan mensual'!F30,0))+parametros_carros!$G$34*('Plan mensual'!F27+IF(parametros_carros!$H$34="Todos",'Plan mensual'!F31,0)))/60</f>
        <v>2.873423836398</v>
      </c>
      <c r="E57" s="41" t="n">
        <f aca="false">(parametros_carros!$D$34*('Plan mensual'!G24+IF(parametros_carros!$H$34="Todos",'Plan mensual'!G28,0))+parametros_carros!$E$34*('Plan mensual'!G25+IF(parametros_carros!$H$34="Todos",'Plan mensual'!G29,0))+parametros_carros!$F$34*('Plan mensual'!G26+IF(parametros_carros!$H$34="Todos",'Plan mensual'!G30,0))+parametros_carros!$G$34*('Plan mensual'!G27+IF(parametros_carros!$H$34="Todos",'Plan mensual'!G31,0)))/60</f>
        <v>2.873423836398</v>
      </c>
      <c r="F57" s="41" t="n">
        <f aca="false">(parametros_carros!$D$34*('Plan mensual'!H24+IF(parametros_carros!$H$34="Todos",'Plan mensual'!H28,0))+parametros_carros!$E$34*('Plan mensual'!H25+IF(parametros_carros!$H$34="Todos",'Plan mensual'!H29,0))+parametros_carros!$F$34*('Plan mensual'!H26+IF(parametros_carros!$H$34="Todos",'Plan mensual'!H30,0))+parametros_carros!$G$34*('Plan mensual'!H27+IF(parametros_carros!$H$34="Todos",'Plan mensual'!H31,0)))/60</f>
        <v>2.873423836398</v>
      </c>
      <c r="G57" s="41" t="n">
        <f aca="false">(parametros_carros!$D$34*('Plan mensual'!I24+IF(parametros_carros!$H$34="Todos",'Plan mensual'!I28,0))+parametros_carros!$E$34*('Plan mensual'!I25+IF(parametros_carros!$H$34="Todos",'Plan mensual'!I29,0))+parametros_carros!$F$34*('Plan mensual'!I26+IF(parametros_carros!$H$34="Todos",'Plan mensual'!I30,0))+parametros_carros!$G$34*('Plan mensual'!I27+IF(parametros_carros!$H$34="Todos",'Plan mensual'!I31,0)))/60</f>
        <v>2.55415452124267</v>
      </c>
      <c r="H57" s="41" t="n">
        <f aca="false">(parametros_carros!$D$34*('Plan mensual'!J24+IF(parametros_carros!$H$34="Todos",'Plan mensual'!J28,0))+parametros_carros!$E$34*('Plan mensual'!J25+IF(parametros_carros!$H$34="Todos",'Plan mensual'!J29,0))+parametros_carros!$F$34*('Plan mensual'!J26+IF(parametros_carros!$H$34="Todos",'Plan mensual'!J30,0))+parametros_carros!$G$34*('Plan mensual'!J27+IF(parametros_carros!$H$34="Todos",'Plan mensual'!J31,0)))/60</f>
        <v>2.873423836398</v>
      </c>
      <c r="I57" s="41" t="n">
        <f aca="false">(parametros_carros!$D$34*('Plan mensual'!K24+IF(parametros_carros!$H$34="Todos",'Plan mensual'!K28,0))+parametros_carros!$E$34*('Plan mensual'!K25+IF(parametros_carros!$H$34="Todos",'Plan mensual'!K29,0))+parametros_carros!$F$34*('Plan mensual'!K26+IF(parametros_carros!$H$34="Todos",'Plan mensual'!K30,0))+parametros_carros!$G$34*('Plan mensual'!K27+IF(parametros_carros!$H$34="Todos",'Plan mensual'!K31,0)))/60</f>
        <v>2.873423836398</v>
      </c>
      <c r="J57" s="41" t="n">
        <f aca="false">(parametros_carros!$D$34*('Plan mensual'!L24+IF(parametros_carros!$H$34="Todos",'Plan mensual'!L28,0))+parametros_carros!$E$34*('Plan mensual'!L25+IF(parametros_carros!$H$34="Todos",'Plan mensual'!L29,0))+parametros_carros!$F$34*('Plan mensual'!L26+IF(parametros_carros!$H$34="Todos",'Plan mensual'!L30,0))+parametros_carros!$G$34*('Plan mensual'!L27+IF(parametros_carros!$H$34="Todos",'Plan mensual'!L31,0)))/60</f>
        <v>2.71378917882033</v>
      </c>
      <c r="K57" s="41" t="n">
        <f aca="false">(parametros_carros!$D$34*('Plan mensual'!M24+IF(parametros_carros!$H$34="Todos",'Plan mensual'!M28,0))+parametros_carros!$E$34*('Plan mensual'!M25+IF(parametros_carros!$H$34="Todos",'Plan mensual'!M29,0))+parametros_carros!$F$34*('Plan mensual'!M26+IF(parametros_carros!$H$34="Todos",'Plan mensual'!M30,0))+parametros_carros!$G$34*('Plan mensual'!M27+IF(parametros_carros!$H$34="Todos",'Plan mensual'!M31,0)))/60</f>
        <v>2.394519863665</v>
      </c>
      <c r="L57" s="41" t="n">
        <f aca="false">(parametros_carros!$D$34*('Plan mensual'!N24+IF(parametros_carros!$H$34="Todos",'Plan mensual'!N28,0))+parametros_carros!$E$34*('Plan mensual'!N25+IF(parametros_carros!$H$34="Todos",'Plan mensual'!N29,0))+parametros_carros!$F$34*('Plan mensual'!N26+IF(parametros_carros!$H$34="Todos",'Plan mensual'!N30,0))+parametros_carros!$G$34*('Plan mensual'!N27+IF(parametros_carros!$H$34="Todos",'Plan mensual'!N31,0)))/60</f>
        <v>2.23488520608733</v>
      </c>
      <c r="M57" s="41" t="n">
        <f aca="false">(parametros_carros!$D$34*('Plan mensual'!O24+IF(parametros_carros!$H$34="Todos",'Plan mensual'!O28,0))+parametros_carros!$E$34*('Plan mensual'!O25+IF(parametros_carros!$H$34="Todos",'Plan mensual'!O29,0))+parametros_carros!$F$34*('Plan mensual'!O26+IF(parametros_carros!$H$34="Todos",'Plan mensual'!O30,0))+parametros_carros!$G$34*('Plan mensual'!O27+IF(parametros_carros!$H$34="Todos",'Plan mensual'!O31,0)))/60</f>
        <v>2.55415452124267</v>
      </c>
      <c r="N57" s="41" t="n">
        <f aca="false">SUM(B57:M57)</f>
        <v>31.9269315155333</v>
      </c>
      <c r="O57" s="41" t="n">
        <f aca="false">MAX(B57:M57)</f>
        <v>2.873423836398</v>
      </c>
      <c r="P57" s="45" t="n">
        <f aca="false">IF(parametros_carros!$B$7=0,0,(O57+parametros_carros!$G$60)/parametros_carros!$B$7)</f>
        <v>0.0658228255759867</v>
      </c>
      <c r="Q57" s="29" t="str">
        <f aca="false">IF(O57=0,"-",INDEX($B$41:$M$41,MATCH(O57,B57:M57,0)))</f>
        <v>Mar</v>
      </c>
    </row>
    <row r="58" customFormat="false" ht="14.25" hidden="false" customHeight="true" outlineLevel="0" collapsed="false">
      <c r="A58" s="12" t="str">
        <f aca="false">parametros_carros!$B$35</f>
        <v>Calidad: pérdidas, inspección final, liberación y ensayos de lote</v>
      </c>
      <c r="B58" s="41" t="n">
        <f aca="false">(parametros_carros!$D$35*('Plan mensual'!D24+IF(parametros_carros!$H$35="Todos",'Plan mensual'!D28,0))+parametros_carros!$E$35*('Plan mensual'!D25+IF(parametros_carros!$H$35="Todos",'Plan mensual'!D29,0))+parametros_carros!$F$35*('Plan mensual'!D26+IF(parametros_carros!$H$35="Todos",'Plan mensual'!D30,0))+parametros_carros!$G$35*('Plan mensual'!D27+IF(parametros_carros!$H$35="Todos",'Plan mensual'!D31,0)))/60</f>
        <v>2.05715360379523</v>
      </c>
      <c r="C58" s="41" t="n">
        <f aca="false">(parametros_carros!$D$35*('Plan mensual'!E24+IF(parametros_carros!$H$35="Todos",'Plan mensual'!E28,0))+parametros_carros!$E$35*('Plan mensual'!E25+IF(parametros_carros!$H$35="Todos",'Plan mensual'!E29,0))+parametros_carros!$F$35*('Plan mensual'!E26+IF(parametros_carros!$H$35="Todos",'Plan mensual'!E30,0))+parametros_carros!$G$35*('Plan mensual'!E27+IF(parametros_carros!$H$35="Todos",'Plan mensual'!E31,0)))/60</f>
        <v>1.8151355327605</v>
      </c>
      <c r="D58" s="41" t="n">
        <f aca="false">(parametros_carros!$D$35*('Plan mensual'!F24+IF(parametros_carros!$H$35="Todos",'Plan mensual'!F28,0))+parametros_carros!$E$35*('Plan mensual'!F25+IF(parametros_carros!$H$35="Todos",'Plan mensual'!F29,0))+parametros_carros!$F$35*('Plan mensual'!F26+IF(parametros_carros!$H$35="Todos",'Plan mensual'!F30,0))+parametros_carros!$G$35*('Plan mensual'!F27+IF(parametros_carros!$H$35="Todos",'Plan mensual'!F31,0)))/60</f>
        <v>2.1781626393126</v>
      </c>
      <c r="E58" s="41" t="n">
        <f aca="false">(parametros_carros!$D$35*('Plan mensual'!G24+IF(parametros_carros!$H$35="Todos",'Plan mensual'!G28,0))+parametros_carros!$E$35*('Plan mensual'!G25+IF(parametros_carros!$H$35="Todos",'Plan mensual'!G29,0))+parametros_carros!$F$35*('Plan mensual'!G26+IF(parametros_carros!$H$35="Todos",'Plan mensual'!G30,0))+parametros_carros!$G$35*('Plan mensual'!G27+IF(parametros_carros!$H$35="Todos",'Plan mensual'!G31,0)))/60</f>
        <v>2.1781626393126</v>
      </c>
      <c r="F58" s="41" t="n">
        <f aca="false">(parametros_carros!$D$35*('Plan mensual'!H24+IF(parametros_carros!$H$35="Todos",'Plan mensual'!H28,0))+parametros_carros!$E$35*('Plan mensual'!H25+IF(parametros_carros!$H$35="Todos",'Plan mensual'!H29,0))+parametros_carros!$F$35*('Plan mensual'!H26+IF(parametros_carros!$H$35="Todos",'Plan mensual'!H30,0))+parametros_carros!$G$35*('Plan mensual'!H27+IF(parametros_carros!$H$35="Todos",'Plan mensual'!H31,0)))/60</f>
        <v>2.1781626393126</v>
      </c>
      <c r="G58" s="41" t="n">
        <f aca="false">(parametros_carros!$D$35*('Plan mensual'!I24+IF(parametros_carros!$H$35="Todos",'Plan mensual'!I28,0))+parametros_carros!$E$35*('Plan mensual'!I25+IF(parametros_carros!$H$35="Todos",'Plan mensual'!I29,0))+parametros_carros!$F$35*('Plan mensual'!I26+IF(parametros_carros!$H$35="Todos",'Plan mensual'!I30,0))+parametros_carros!$G$35*('Plan mensual'!I27+IF(parametros_carros!$H$35="Todos",'Plan mensual'!I31,0)))/60</f>
        <v>1.93614456827787</v>
      </c>
      <c r="H58" s="41" t="n">
        <f aca="false">(parametros_carros!$D$35*('Plan mensual'!J24+IF(parametros_carros!$H$35="Todos",'Plan mensual'!J28,0))+parametros_carros!$E$35*('Plan mensual'!J25+IF(parametros_carros!$H$35="Todos",'Plan mensual'!J29,0))+parametros_carros!$F$35*('Plan mensual'!J26+IF(parametros_carros!$H$35="Todos",'Plan mensual'!J30,0))+parametros_carros!$G$35*('Plan mensual'!J27+IF(parametros_carros!$H$35="Todos",'Plan mensual'!J31,0)))/60</f>
        <v>2.1781626393126</v>
      </c>
      <c r="I58" s="41" t="n">
        <f aca="false">(parametros_carros!$D$35*('Plan mensual'!K24+IF(parametros_carros!$H$35="Todos",'Plan mensual'!K28,0))+parametros_carros!$E$35*('Plan mensual'!K25+IF(parametros_carros!$H$35="Todos",'Plan mensual'!K29,0))+parametros_carros!$F$35*('Plan mensual'!K26+IF(parametros_carros!$H$35="Todos",'Plan mensual'!K30,0))+parametros_carros!$G$35*('Plan mensual'!K27+IF(parametros_carros!$H$35="Todos",'Plan mensual'!K31,0)))/60</f>
        <v>2.1781626393126</v>
      </c>
      <c r="J58" s="41" t="n">
        <f aca="false">(parametros_carros!$D$35*('Plan mensual'!L24+IF(parametros_carros!$H$35="Todos",'Plan mensual'!L28,0))+parametros_carros!$E$35*('Plan mensual'!L25+IF(parametros_carros!$H$35="Todos",'Plan mensual'!L29,0))+parametros_carros!$F$35*('Plan mensual'!L26+IF(parametros_carros!$H$35="Todos",'Plan mensual'!L30,0))+parametros_carros!$G$35*('Plan mensual'!L27+IF(parametros_carros!$H$35="Todos",'Plan mensual'!L31,0)))/60</f>
        <v>2.05715360379523</v>
      </c>
      <c r="K58" s="41" t="n">
        <f aca="false">(parametros_carros!$D$35*('Plan mensual'!M24+IF(parametros_carros!$H$35="Todos",'Plan mensual'!M28,0))+parametros_carros!$E$35*('Plan mensual'!M25+IF(parametros_carros!$H$35="Todos",'Plan mensual'!M29,0))+parametros_carros!$F$35*('Plan mensual'!M26+IF(parametros_carros!$H$35="Todos",'Plan mensual'!M30,0))+parametros_carros!$G$35*('Plan mensual'!M27+IF(parametros_carros!$H$35="Todos",'Plan mensual'!M31,0)))/60</f>
        <v>1.8151355327605</v>
      </c>
      <c r="L58" s="41" t="n">
        <f aca="false">(parametros_carros!$D$35*('Plan mensual'!N24+IF(parametros_carros!$H$35="Todos",'Plan mensual'!N28,0))+parametros_carros!$E$35*('Plan mensual'!N25+IF(parametros_carros!$H$35="Todos",'Plan mensual'!N29,0))+parametros_carros!$F$35*('Plan mensual'!N26+IF(parametros_carros!$H$35="Todos",'Plan mensual'!N30,0))+parametros_carros!$G$35*('Plan mensual'!N27+IF(parametros_carros!$H$35="Todos",'Plan mensual'!N31,0)))/60</f>
        <v>1.69412649724313</v>
      </c>
      <c r="M58" s="41" t="n">
        <f aca="false">(parametros_carros!$D$35*('Plan mensual'!O24+IF(parametros_carros!$H$35="Todos",'Plan mensual'!O28,0))+parametros_carros!$E$35*('Plan mensual'!O25+IF(parametros_carros!$H$35="Todos",'Plan mensual'!O29,0))+parametros_carros!$F$35*('Plan mensual'!O26+IF(parametros_carros!$H$35="Todos",'Plan mensual'!O30,0))+parametros_carros!$G$35*('Plan mensual'!O27+IF(parametros_carros!$H$35="Todos",'Plan mensual'!O31,0)))/60</f>
        <v>1.93614456827787</v>
      </c>
      <c r="N58" s="41" t="n">
        <f aca="false">SUM(B58:M58)</f>
        <v>24.2018071034733</v>
      </c>
      <c r="O58" s="41" t="n">
        <f aca="false">MAX(B58:M58)</f>
        <v>2.1781626393126</v>
      </c>
      <c r="P58" s="45" t="n">
        <f aca="false">IF(parametros_carros!$B$7=0,0,(O58+parametros_carros!$G$61)/parametros_carros!$B$7)</f>
        <v>0.384743306484306</v>
      </c>
      <c r="Q58" s="29" t="str">
        <f aca="false">IF(O58=0,"-",INDEX($B$41:$M$41,MATCH(O58,B58:M58,0)))</f>
        <v>Mar</v>
      </c>
    </row>
    <row r="59" customFormat="false" ht="14.25" hidden="false" customHeight="true" outlineLevel="0" collapsed="false">
      <c r="A59" s="12" t="str">
        <f aca="false">parametros_carros!$B$36</f>
        <v>Depósito de producto terminado y despacho</v>
      </c>
      <c r="B59" s="41" t="n">
        <f aca="false">(parametros_carros!$D$36*('Plan mensual'!D24+IF(parametros_carros!$H$36="Todos",'Plan mensual'!D28,0))+parametros_carros!$E$36*('Plan mensual'!D25+IF(parametros_carros!$H$36="Todos",'Plan mensual'!D29,0))+parametros_carros!$F$36*('Plan mensual'!D26+IF(parametros_carros!$H$36="Todos",'Plan mensual'!D30,0))+parametros_carros!$G$36*('Plan mensual'!D27+IF(parametros_carros!$H$36="Todos",'Plan mensual'!D31,0)))/60</f>
        <v>0.701100481509334</v>
      </c>
      <c r="C59" s="41" t="n">
        <f aca="false">(parametros_carros!$D$36*('Plan mensual'!E24+IF(parametros_carros!$H$36="Todos",'Plan mensual'!E28,0))+parametros_carros!$E$36*('Plan mensual'!E25+IF(parametros_carros!$H$36="Todos",'Plan mensual'!E29,0))+parametros_carros!$F$36*('Plan mensual'!E26+IF(parametros_carros!$H$36="Todos",'Plan mensual'!E30,0))+parametros_carros!$G$36*('Plan mensual'!E27+IF(parametros_carros!$H$36="Todos",'Plan mensual'!E31,0)))/60</f>
        <v>0.61861807192</v>
      </c>
      <c r="D59" s="41" t="n">
        <f aca="false">(parametros_carros!$D$36*('Plan mensual'!F24+IF(parametros_carros!$H$36="Todos",'Plan mensual'!F28,0))+parametros_carros!$E$36*('Plan mensual'!F25+IF(parametros_carros!$H$36="Todos",'Plan mensual'!F29,0))+parametros_carros!$F$36*('Plan mensual'!F26+IF(parametros_carros!$H$36="Todos",'Plan mensual'!F30,0))+parametros_carros!$G$36*('Plan mensual'!F27+IF(parametros_carros!$H$36="Todos",'Plan mensual'!F31,0)))/60</f>
        <v>0.742341686304</v>
      </c>
      <c r="E59" s="41" t="n">
        <f aca="false">(parametros_carros!$D$36*('Plan mensual'!G24+IF(parametros_carros!$H$36="Todos",'Plan mensual'!G28,0))+parametros_carros!$E$36*('Plan mensual'!G25+IF(parametros_carros!$H$36="Todos",'Plan mensual'!G29,0))+parametros_carros!$F$36*('Plan mensual'!G26+IF(parametros_carros!$H$36="Todos",'Plan mensual'!G30,0))+parametros_carros!$G$36*('Plan mensual'!G27+IF(parametros_carros!$H$36="Todos",'Plan mensual'!G31,0)))/60</f>
        <v>0.742341686304</v>
      </c>
      <c r="F59" s="41" t="n">
        <f aca="false">(parametros_carros!$D$36*('Plan mensual'!H24+IF(parametros_carros!$H$36="Todos",'Plan mensual'!H28,0))+parametros_carros!$E$36*('Plan mensual'!H25+IF(parametros_carros!$H$36="Todos",'Plan mensual'!H29,0))+parametros_carros!$F$36*('Plan mensual'!H26+IF(parametros_carros!$H$36="Todos",'Plan mensual'!H30,0))+parametros_carros!$G$36*('Plan mensual'!H27+IF(parametros_carros!$H$36="Todos",'Plan mensual'!H31,0)))/60</f>
        <v>0.742341686304</v>
      </c>
      <c r="G59" s="41" t="n">
        <f aca="false">(parametros_carros!$D$36*('Plan mensual'!I24+IF(parametros_carros!$H$36="Todos",'Plan mensual'!I28,0))+parametros_carros!$E$36*('Plan mensual'!I25+IF(parametros_carros!$H$36="Todos",'Plan mensual'!I29,0))+parametros_carros!$F$36*('Plan mensual'!I26+IF(parametros_carros!$H$36="Todos",'Plan mensual'!I30,0))+parametros_carros!$G$36*('Plan mensual'!I27+IF(parametros_carros!$H$36="Todos",'Plan mensual'!I31,0)))/60</f>
        <v>0.659859276714667</v>
      </c>
      <c r="H59" s="41" t="n">
        <f aca="false">(parametros_carros!$D$36*('Plan mensual'!J24+IF(parametros_carros!$H$36="Todos",'Plan mensual'!J28,0))+parametros_carros!$E$36*('Plan mensual'!J25+IF(parametros_carros!$H$36="Todos",'Plan mensual'!J29,0))+parametros_carros!$F$36*('Plan mensual'!J26+IF(parametros_carros!$H$36="Todos",'Plan mensual'!J30,0))+parametros_carros!$G$36*('Plan mensual'!J27+IF(parametros_carros!$H$36="Todos",'Plan mensual'!J31,0)))/60</f>
        <v>0.742341686304</v>
      </c>
      <c r="I59" s="41" t="n">
        <f aca="false">(parametros_carros!$D$36*('Plan mensual'!K24+IF(parametros_carros!$H$36="Todos",'Plan mensual'!K28,0))+parametros_carros!$E$36*('Plan mensual'!K25+IF(parametros_carros!$H$36="Todos",'Plan mensual'!K29,0))+parametros_carros!$F$36*('Plan mensual'!K26+IF(parametros_carros!$H$36="Todos",'Plan mensual'!K30,0))+parametros_carros!$G$36*('Plan mensual'!K27+IF(parametros_carros!$H$36="Todos",'Plan mensual'!K31,0)))/60</f>
        <v>0.742341686304</v>
      </c>
      <c r="J59" s="41" t="n">
        <f aca="false">(parametros_carros!$D$36*('Plan mensual'!L24+IF(parametros_carros!$H$36="Todos",'Plan mensual'!L28,0))+parametros_carros!$E$36*('Plan mensual'!L25+IF(parametros_carros!$H$36="Todos",'Plan mensual'!L29,0))+parametros_carros!$F$36*('Plan mensual'!L26+IF(parametros_carros!$H$36="Todos",'Plan mensual'!L30,0))+parametros_carros!$G$36*('Plan mensual'!L27+IF(parametros_carros!$H$36="Todos",'Plan mensual'!L31,0)))/60</f>
        <v>0.701100481509334</v>
      </c>
      <c r="K59" s="41" t="n">
        <f aca="false">(parametros_carros!$D$36*('Plan mensual'!M24+IF(parametros_carros!$H$36="Todos",'Plan mensual'!M28,0))+parametros_carros!$E$36*('Plan mensual'!M25+IF(parametros_carros!$H$36="Todos",'Plan mensual'!M29,0))+parametros_carros!$F$36*('Plan mensual'!M26+IF(parametros_carros!$H$36="Todos",'Plan mensual'!M30,0))+parametros_carros!$G$36*('Plan mensual'!M27+IF(parametros_carros!$H$36="Todos",'Plan mensual'!M31,0)))/60</f>
        <v>0.61861807192</v>
      </c>
      <c r="L59" s="41" t="n">
        <f aca="false">(parametros_carros!$D$36*('Plan mensual'!N24+IF(parametros_carros!$H$36="Todos",'Plan mensual'!N28,0))+parametros_carros!$E$36*('Plan mensual'!N25+IF(parametros_carros!$H$36="Todos",'Plan mensual'!N29,0))+parametros_carros!$F$36*('Plan mensual'!N26+IF(parametros_carros!$H$36="Todos",'Plan mensual'!N30,0))+parametros_carros!$G$36*('Plan mensual'!N27+IF(parametros_carros!$H$36="Todos",'Plan mensual'!N31,0)))/60</f>
        <v>0.577376867125333</v>
      </c>
      <c r="M59" s="41" t="n">
        <f aca="false">(parametros_carros!$D$36*('Plan mensual'!O24+IF(parametros_carros!$H$36="Todos",'Plan mensual'!O28,0))+parametros_carros!$E$36*('Plan mensual'!O25+IF(parametros_carros!$H$36="Todos",'Plan mensual'!O29,0))+parametros_carros!$F$36*('Plan mensual'!O26+IF(parametros_carros!$H$36="Todos",'Plan mensual'!O30,0))+parametros_carros!$G$36*('Plan mensual'!O27+IF(parametros_carros!$H$36="Todos",'Plan mensual'!O31,0)))/60</f>
        <v>0.659859276714667</v>
      </c>
      <c r="N59" s="41" t="n">
        <f aca="false">SUM(B59:M59)</f>
        <v>8.24824095893333</v>
      </c>
      <c r="O59" s="41" t="n">
        <f aca="false">MAX(B59:M59)</f>
        <v>0.742341686304</v>
      </c>
      <c r="P59" s="45" t="n">
        <f aca="false">IF(parametros_carros!$B$7=0,0,(O59+parametros_carros!$G$62)/parametros_carros!$B$7)</f>
        <v>0.0271711667975822</v>
      </c>
      <c r="Q59" s="29" t="str">
        <f aca="false">IF(O59=0,"-",INDEX($B$41:$M$41,MATCH(O59,B59:M59,0)))</f>
        <v>Mar</v>
      </c>
    </row>
    <row r="60" customFormat="false" ht="14.25" hidden="false" customHeight="true" outlineLevel="0" collapsed="false"/>
    <row r="61" customFormat="false" ht="45" hidden="false" customHeight="true" outlineLevel="0" collapsed="false">
      <c r="A61" s="11" t="s">
        <v>253</v>
      </c>
      <c r="B61" s="11" t="s">
        <v>17</v>
      </c>
      <c r="C61" s="11" t="s">
        <v>18</v>
      </c>
      <c r="D61" s="11" t="s">
        <v>19</v>
      </c>
      <c r="E61" s="11" t="s">
        <v>20</v>
      </c>
      <c r="F61" s="11" t="s">
        <v>21</v>
      </c>
      <c r="G61" s="11" t="s">
        <v>22</v>
      </c>
      <c r="H61" s="11" t="s">
        <v>23</v>
      </c>
      <c r="I61" s="11" t="s">
        <v>24</v>
      </c>
      <c r="J61" s="11" t="s">
        <v>25</v>
      </c>
      <c r="K61" s="11" t="s">
        <v>26</v>
      </c>
      <c r="L61" s="11" t="s">
        <v>27</v>
      </c>
      <c r="M61" s="11" t="s">
        <v>28</v>
      </c>
      <c r="N61" s="11" t="s">
        <v>247</v>
      </c>
      <c r="O61" s="11" t="s">
        <v>248</v>
      </c>
      <c r="P61" s="11" t="s">
        <v>249</v>
      </c>
      <c r="Q61" s="11" t="s">
        <v>250</v>
      </c>
    </row>
    <row r="62" customFormat="false" ht="14.25" hidden="false" customHeight="true" outlineLevel="0" collapsed="false">
      <c r="A62" s="12" t="str">
        <f aca="false">parametros_carros!$B$19</f>
        <v>Recepción de materia prima</v>
      </c>
      <c r="B62" s="41" t="n">
        <f aca="false">(parametros_carros!$D$19*('Plan mensual'!D35+IF(parametros_carros!$H$19="Todos",'Plan mensual'!D39,0))+parametros_carros!$E$19*('Plan mensual'!D36+IF(parametros_carros!$H$19="Todos",'Plan mensual'!D40,0))+parametros_carros!$F$19*('Plan mensual'!D37+IF(parametros_carros!$H$19="Todos",'Plan mensual'!D41,0))+parametros_carros!$G$19*('Plan mensual'!D38+IF(parametros_carros!$H$19="Todos",'Plan mensual'!D42,0)))/60</f>
        <v>1.54704214787953</v>
      </c>
      <c r="C62" s="41" t="n">
        <f aca="false">(parametros_carros!$D$19*('Plan mensual'!E35+IF(parametros_carros!$H$19="Todos",'Plan mensual'!E39,0))+parametros_carros!$E$19*('Plan mensual'!E36+IF(parametros_carros!$H$19="Todos",'Plan mensual'!E40,0))+parametros_carros!$F$19*('Plan mensual'!E37+IF(parametros_carros!$H$19="Todos",'Plan mensual'!E41,0))+parametros_carros!$G$19*('Plan mensual'!E38+IF(parametros_carros!$H$19="Todos",'Plan mensual'!E42,0)))/60</f>
        <v>1.36503718930547</v>
      </c>
      <c r="D62" s="41" t="n">
        <f aca="false">(parametros_carros!$D$19*('Plan mensual'!F35+IF(parametros_carros!$H$19="Todos",'Plan mensual'!F39,0))+parametros_carros!$E$19*('Plan mensual'!F36+IF(parametros_carros!$H$19="Todos",'Plan mensual'!F40,0))+parametros_carros!$F$19*('Plan mensual'!F37+IF(parametros_carros!$H$19="Todos",'Plan mensual'!F41,0))+parametros_carros!$G$19*('Plan mensual'!F38+IF(parametros_carros!$H$19="Todos",'Plan mensual'!F42,0)))/60</f>
        <v>1.63804462716656</v>
      </c>
      <c r="E62" s="41" t="n">
        <f aca="false">(parametros_carros!$D$19*('Plan mensual'!G35+IF(parametros_carros!$H$19="Todos",'Plan mensual'!G39,0))+parametros_carros!$E$19*('Plan mensual'!G36+IF(parametros_carros!$H$19="Todos",'Plan mensual'!G40,0))+parametros_carros!$F$19*('Plan mensual'!G37+IF(parametros_carros!$H$19="Todos",'Plan mensual'!G41,0))+parametros_carros!$G$19*('Plan mensual'!G38+IF(parametros_carros!$H$19="Todos",'Plan mensual'!G42,0)))/60</f>
        <v>1.63804462716656</v>
      </c>
      <c r="F62" s="41" t="n">
        <f aca="false">(parametros_carros!$D$19*('Plan mensual'!H35+IF(parametros_carros!$H$19="Todos",'Plan mensual'!H39,0))+parametros_carros!$E$19*('Plan mensual'!H36+IF(parametros_carros!$H$19="Todos",'Plan mensual'!H40,0))+parametros_carros!$F$19*('Plan mensual'!H37+IF(parametros_carros!$H$19="Todos",'Plan mensual'!H41,0))+parametros_carros!$G$19*('Plan mensual'!H38+IF(parametros_carros!$H$19="Todos",'Plan mensual'!H42,0)))/60</f>
        <v>1.63804462716656</v>
      </c>
      <c r="G62" s="41" t="n">
        <f aca="false">(parametros_carros!$D$19*('Plan mensual'!I35+IF(parametros_carros!$H$19="Todos",'Plan mensual'!I39,0))+parametros_carros!$E$19*('Plan mensual'!I36+IF(parametros_carros!$H$19="Todos",'Plan mensual'!I40,0))+parametros_carros!$F$19*('Plan mensual'!I37+IF(parametros_carros!$H$19="Todos",'Plan mensual'!I41,0))+parametros_carros!$G$19*('Plan mensual'!I38+IF(parametros_carros!$H$19="Todos",'Plan mensual'!I42,0)))/60</f>
        <v>1.4560396685925</v>
      </c>
      <c r="H62" s="41" t="n">
        <f aca="false">(parametros_carros!$D$19*('Plan mensual'!J35+IF(parametros_carros!$H$19="Todos",'Plan mensual'!J39,0))+parametros_carros!$E$19*('Plan mensual'!J36+IF(parametros_carros!$H$19="Todos",'Plan mensual'!J40,0))+parametros_carros!$F$19*('Plan mensual'!J37+IF(parametros_carros!$H$19="Todos",'Plan mensual'!J41,0))+parametros_carros!$G$19*('Plan mensual'!J38+IF(parametros_carros!$H$19="Todos",'Plan mensual'!J42,0)))/60</f>
        <v>1.63804462716656</v>
      </c>
      <c r="I62" s="41" t="n">
        <f aca="false">(parametros_carros!$D$19*('Plan mensual'!K35+IF(parametros_carros!$H$19="Todos",'Plan mensual'!K39,0))+parametros_carros!$E$19*('Plan mensual'!K36+IF(parametros_carros!$H$19="Todos",'Plan mensual'!K40,0))+parametros_carros!$F$19*('Plan mensual'!K37+IF(parametros_carros!$H$19="Todos",'Plan mensual'!K41,0))+parametros_carros!$G$19*('Plan mensual'!K38+IF(parametros_carros!$H$19="Todos",'Plan mensual'!K42,0)))/60</f>
        <v>1.63804462716656</v>
      </c>
      <c r="J62" s="41" t="n">
        <f aca="false">(parametros_carros!$D$19*('Plan mensual'!L35+IF(parametros_carros!$H$19="Todos",'Plan mensual'!L39,0))+parametros_carros!$E$19*('Plan mensual'!L36+IF(parametros_carros!$H$19="Todos",'Plan mensual'!L40,0))+parametros_carros!$F$19*('Plan mensual'!L37+IF(parametros_carros!$H$19="Todos",'Plan mensual'!L41,0))+parametros_carros!$G$19*('Plan mensual'!L38+IF(parametros_carros!$H$19="Todos",'Plan mensual'!L42,0)))/60</f>
        <v>1.54704214787953</v>
      </c>
      <c r="K62" s="41" t="n">
        <f aca="false">(parametros_carros!$D$19*('Plan mensual'!M35+IF(parametros_carros!$H$19="Todos",'Plan mensual'!M39,0))+parametros_carros!$E$19*('Plan mensual'!M36+IF(parametros_carros!$H$19="Todos",'Plan mensual'!M40,0))+parametros_carros!$F$19*('Plan mensual'!M37+IF(parametros_carros!$H$19="Todos",'Plan mensual'!M41,0))+parametros_carros!$G$19*('Plan mensual'!M38+IF(parametros_carros!$H$19="Todos",'Plan mensual'!M42,0)))/60</f>
        <v>1.36503718930547</v>
      </c>
      <c r="L62" s="41" t="n">
        <f aca="false">(parametros_carros!$D$19*('Plan mensual'!N35+IF(parametros_carros!$H$19="Todos",'Plan mensual'!N39,0))+parametros_carros!$E$19*('Plan mensual'!N36+IF(parametros_carros!$H$19="Todos",'Plan mensual'!N40,0))+parametros_carros!$F$19*('Plan mensual'!N37+IF(parametros_carros!$H$19="Todos",'Plan mensual'!N41,0))+parametros_carros!$G$19*('Plan mensual'!N38+IF(parametros_carros!$H$19="Todos",'Plan mensual'!N42,0)))/60</f>
        <v>1.27403471001844</v>
      </c>
      <c r="M62" s="41" t="n">
        <f aca="false">(parametros_carros!$D$19*('Plan mensual'!O35+IF(parametros_carros!$H$19="Todos",'Plan mensual'!O39,0))+parametros_carros!$E$19*('Plan mensual'!O36+IF(parametros_carros!$H$19="Todos",'Plan mensual'!O40,0))+parametros_carros!$F$19*('Plan mensual'!O37+IF(parametros_carros!$H$19="Todos",'Plan mensual'!O41,0))+parametros_carros!$G$19*('Plan mensual'!O38+IF(parametros_carros!$H$19="Todos",'Plan mensual'!O42,0)))/60</f>
        <v>1.4560396685925</v>
      </c>
      <c r="N62" s="41" t="n">
        <f aca="false">SUM(B62:M62)</f>
        <v>18.2004958574062</v>
      </c>
      <c r="O62" s="41" t="n">
        <f aca="false">MAX(B62:M62)</f>
        <v>1.63804462716656</v>
      </c>
      <c r="P62" s="45" t="n">
        <f aca="false">IF(parametros_carros!$B$7=0,0,(O62+parametros_carros!$G$45)/parametros_carros!$B$7)</f>
        <v>0.0590314086255549</v>
      </c>
      <c r="Q62" s="29" t="str">
        <f aca="false">IF(O62=0,"-",INDEX($B$61:$M$61,MATCH(O62,B62:M62,0)))</f>
        <v>Mar</v>
      </c>
    </row>
    <row r="63" customFormat="false" ht="14.25" hidden="false" customHeight="true" outlineLevel="0" collapsed="false">
      <c r="A63" s="12" t="str">
        <f aca="false">parametros_carros!$B$20</f>
        <v>Corte de chapa (guillotina)</v>
      </c>
      <c r="B63" s="41" t="n">
        <f aca="false">(parametros_carros!$D$20*('Plan mensual'!D35+IF(parametros_carros!$H$20="Todos",'Plan mensual'!D39,0))+parametros_carros!$E$20*('Plan mensual'!D36+IF(parametros_carros!$H$20="Todos",'Plan mensual'!D40,0))+parametros_carros!$F$20*('Plan mensual'!D37+IF(parametros_carros!$H$20="Todos",'Plan mensual'!D41,0))+parametros_carros!$G$20*('Plan mensual'!D38+IF(parametros_carros!$H$20="Todos",'Plan mensual'!D42,0)))/60</f>
        <v>3.39732648888085</v>
      </c>
      <c r="C63" s="41" t="n">
        <f aca="false">(parametros_carros!$D$20*('Plan mensual'!E35+IF(parametros_carros!$H$20="Todos",'Plan mensual'!E39,0))+parametros_carros!$E$20*('Plan mensual'!E36+IF(parametros_carros!$H$20="Todos",'Plan mensual'!E40,0))+parametros_carros!$F$20*('Plan mensual'!E37+IF(parametros_carros!$H$20="Todos",'Plan mensual'!E41,0))+parametros_carros!$G$20*('Plan mensual'!E38+IF(parametros_carros!$H$20="Todos",'Plan mensual'!E42,0)))/60</f>
        <v>2.99764101960075</v>
      </c>
      <c r="D63" s="41" t="n">
        <f aca="false">(parametros_carros!$D$20*('Plan mensual'!F35+IF(parametros_carros!$H$20="Todos",'Plan mensual'!F39,0))+parametros_carros!$E$20*('Plan mensual'!F36+IF(parametros_carros!$H$20="Todos",'Plan mensual'!F40,0))+parametros_carros!$F$20*('Plan mensual'!F37+IF(parametros_carros!$H$20="Todos",'Plan mensual'!F41,0))+parametros_carros!$G$20*('Plan mensual'!F38+IF(parametros_carros!$H$20="Todos",'Plan mensual'!F42,0)))/60</f>
        <v>3.5971692235209</v>
      </c>
      <c r="E63" s="41" t="n">
        <f aca="false">(parametros_carros!$D$20*('Plan mensual'!G35+IF(parametros_carros!$H$20="Todos",'Plan mensual'!G39,0))+parametros_carros!$E$20*('Plan mensual'!G36+IF(parametros_carros!$H$20="Todos",'Plan mensual'!G40,0))+parametros_carros!$F$20*('Plan mensual'!G37+IF(parametros_carros!$H$20="Todos",'Plan mensual'!G41,0))+parametros_carros!$G$20*('Plan mensual'!G38+IF(parametros_carros!$H$20="Todos",'Plan mensual'!G42,0)))/60</f>
        <v>3.5971692235209</v>
      </c>
      <c r="F63" s="41" t="n">
        <f aca="false">(parametros_carros!$D$20*('Plan mensual'!H35+IF(parametros_carros!$H$20="Todos",'Plan mensual'!H39,0))+parametros_carros!$E$20*('Plan mensual'!H36+IF(parametros_carros!$H$20="Todos",'Plan mensual'!H40,0))+parametros_carros!$F$20*('Plan mensual'!H37+IF(parametros_carros!$H$20="Todos",'Plan mensual'!H41,0))+parametros_carros!$G$20*('Plan mensual'!H38+IF(parametros_carros!$H$20="Todos",'Plan mensual'!H42,0)))/60</f>
        <v>3.5971692235209</v>
      </c>
      <c r="G63" s="41" t="n">
        <f aca="false">(parametros_carros!$D$20*('Plan mensual'!I35+IF(parametros_carros!$H$20="Todos",'Plan mensual'!I39,0))+parametros_carros!$E$20*('Plan mensual'!I36+IF(parametros_carros!$H$20="Todos",'Plan mensual'!I40,0))+parametros_carros!$F$20*('Plan mensual'!I37+IF(parametros_carros!$H$20="Todos",'Plan mensual'!I41,0))+parametros_carros!$G$20*('Plan mensual'!I38+IF(parametros_carros!$H$20="Todos",'Plan mensual'!I42,0)))/60</f>
        <v>3.1974837542408</v>
      </c>
      <c r="H63" s="41" t="n">
        <f aca="false">(parametros_carros!$D$20*('Plan mensual'!J35+IF(parametros_carros!$H$20="Todos",'Plan mensual'!J39,0))+parametros_carros!$E$20*('Plan mensual'!J36+IF(parametros_carros!$H$20="Todos",'Plan mensual'!J40,0))+parametros_carros!$F$20*('Plan mensual'!J37+IF(parametros_carros!$H$20="Todos",'Plan mensual'!J41,0))+parametros_carros!$G$20*('Plan mensual'!J38+IF(parametros_carros!$H$20="Todos",'Plan mensual'!J42,0)))/60</f>
        <v>3.5971692235209</v>
      </c>
      <c r="I63" s="41" t="n">
        <f aca="false">(parametros_carros!$D$20*('Plan mensual'!K35+IF(parametros_carros!$H$20="Todos",'Plan mensual'!K39,0))+parametros_carros!$E$20*('Plan mensual'!K36+IF(parametros_carros!$H$20="Todos",'Plan mensual'!K40,0))+parametros_carros!$F$20*('Plan mensual'!K37+IF(parametros_carros!$H$20="Todos",'Plan mensual'!K41,0))+parametros_carros!$G$20*('Plan mensual'!K38+IF(parametros_carros!$H$20="Todos",'Plan mensual'!K42,0)))/60</f>
        <v>3.5971692235209</v>
      </c>
      <c r="J63" s="41" t="n">
        <f aca="false">(parametros_carros!$D$20*('Plan mensual'!L35+IF(parametros_carros!$H$20="Todos",'Plan mensual'!L39,0))+parametros_carros!$E$20*('Plan mensual'!L36+IF(parametros_carros!$H$20="Todos",'Plan mensual'!L40,0))+parametros_carros!$F$20*('Plan mensual'!L37+IF(parametros_carros!$H$20="Todos",'Plan mensual'!L41,0))+parametros_carros!$G$20*('Plan mensual'!L38+IF(parametros_carros!$H$20="Todos",'Plan mensual'!L42,0)))/60</f>
        <v>3.39732648888085</v>
      </c>
      <c r="K63" s="41" t="n">
        <f aca="false">(parametros_carros!$D$20*('Plan mensual'!M35+IF(parametros_carros!$H$20="Todos",'Plan mensual'!M39,0))+parametros_carros!$E$20*('Plan mensual'!M36+IF(parametros_carros!$H$20="Todos",'Plan mensual'!M40,0))+parametros_carros!$F$20*('Plan mensual'!M37+IF(parametros_carros!$H$20="Todos",'Plan mensual'!M41,0))+parametros_carros!$G$20*('Plan mensual'!M38+IF(parametros_carros!$H$20="Todos",'Plan mensual'!M42,0)))/60</f>
        <v>2.99764101960075</v>
      </c>
      <c r="L63" s="41" t="n">
        <f aca="false">(parametros_carros!$D$20*('Plan mensual'!N35+IF(parametros_carros!$H$20="Todos",'Plan mensual'!N39,0))+parametros_carros!$E$20*('Plan mensual'!N36+IF(parametros_carros!$H$20="Todos",'Plan mensual'!N40,0))+parametros_carros!$F$20*('Plan mensual'!N37+IF(parametros_carros!$H$20="Todos",'Plan mensual'!N41,0))+parametros_carros!$G$20*('Plan mensual'!N38+IF(parametros_carros!$H$20="Todos",'Plan mensual'!N42,0)))/60</f>
        <v>2.7977982849607</v>
      </c>
      <c r="M63" s="41" t="n">
        <f aca="false">(parametros_carros!$D$20*('Plan mensual'!O35+IF(parametros_carros!$H$20="Todos",'Plan mensual'!O39,0))+parametros_carros!$E$20*('Plan mensual'!O36+IF(parametros_carros!$H$20="Todos",'Plan mensual'!O40,0))+parametros_carros!$F$20*('Plan mensual'!O37+IF(parametros_carros!$H$20="Todos",'Plan mensual'!O41,0))+parametros_carros!$G$20*('Plan mensual'!O38+IF(parametros_carros!$H$20="Todos",'Plan mensual'!O42,0)))/60</f>
        <v>3.1974837542408</v>
      </c>
      <c r="N63" s="41" t="n">
        <f aca="false">SUM(B63:M63)</f>
        <v>39.96854692801</v>
      </c>
      <c r="O63" s="41" t="n">
        <f aca="false">MAX(B63:M63)</f>
        <v>3.5971692235209</v>
      </c>
      <c r="P63" s="45" t="n">
        <f aca="false">IF(parametros_carros!$B$7=0,0,(O63+parametros_carros!$G$46)/parametros_carros!$B$7)</f>
        <v>0.0862033503790282</v>
      </c>
      <c r="Q63" s="29" t="str">
        <f aca="false">IF(O63=0,"-",INDEX($B$61:$M$61,MATCH(O63,B63:M63,0)))</f>
        <v>Mar</v>
      </c>
    </row>
    <row r="64" customFormat="false" ht="14.25" hidden="false" customHeight="true" outlineLevel="0" collapsed="false">
      <c r="A64" s="12" t="str">
        <f aca="false">parametros_carros!$B$21</f>
        <v>Marcado del cuerpo</v>
      </c>
      <c r="B64" s="41" t="n">
        <f aca="false">(parametros_carros!$D$21*('Plan mensual'!D35+IF(parametros_carros!$H$21="Todos",'Plan mensual'!D39,0))+parametros_carros!$E$21*('Plan mensual'!D36+IF(parametros_carros!$H$21="Todos",'Plan mensual'!D40,0))+parametros_carros!$F$21*('Plan mensual'!D37+IF(parametros_carros!$H$21="Todos",'Plan mensual'!D41,0))+parametros_carros!$G$21*('Plan mensual'!D38+IF(parametros_carros!$H$21="Todos",'Plan mensual'!D42,0)))/60</f>
        <v>1.3537698999675</v>
      </c>
      <c r="C64" s="41" t="n">
        <f aca="false">(parametros_carros!$D$21*('Plan mensual'!E35+IF(parametros_carros!$H$21="Todos",'Plan mensual'!E39,0))+parametros_carros!$E$21*('Plan mensual'!E36+IF(parametros_carros!$H$21="Todos",'Plan mensual'!E40,0))+parametros_carros!$F$21*('Plan mensual'!E37+IF(parametros_carros!$H$21="Todos",'Plan mensual'!E41,0))+parametros_carros!$G$21*('Plan mensual'!E38+IF(parametros_carros!$H$21="Todos",'Plan mensual'!E42,0)))/60</f>
        <v>1.1945028529125</v>
      </c>
      <c r="D64" s="41" t="n">
        <f aca="false">(parametros_carros!$D$21*('Plan mensual'!F35+IF(parametros_carros!$H$21="Todos",'Plan mensual'!F39,0))+parametros_carros!$E$21*('Plan mensual'!F36+IF(parametros_carros!$H$21="Todos",'Plan mensual'!F40,0))+parametros_carros!$F$21*('Plan mensual'!F37+IF(parametros_carros!$H$21="Todos",'Plan mensual'!F41,0))+parametros_carros!$G$21*('Plan mensual'!F38+IF(parametros_carros!$H$21="Todos",'Plan mensual'!F42,0)))/60</f>
        <v>1.433403423495</v>
      </c>
      <c r="E64" s="41" t="n">
        <f aca="false">(parametros_carros!$D$21*('Plan mensual'!G35+IF(parametros_carros!$H$21="Todos",'Plan mensual'!G39,0))+parametros_carros!$E$21*('Plan mensual'!G36+IF(parametros_carros!$H$21="Todos",'Plan mensual'!G40,0))+parametros_carros!$F$21*('Plan mensual'!G37+IF(parametros_carros!$H$21="Todos",'Plan mensual'!G41,0))+parametros_carros!$G$21*('Plan mensual'!G38+IF(parametros_carros!$H$21="Todos",'Plan mensual'!G42,0)))/60</f>
        <v>1.433403423495</v>
      </c>
      <c r="F64" s="41" t="n">
        <f aca="false">(parametros_carros!$D$21*('Plan mensual'!H35+IF(parametros_carros!$H$21="Todos",'Plan mensual'!H39,0))+parametros_carros!$E$21*('Plan mensual'!H36+IF(parametros_carros!$H$21="Todos",'Plan mensual'!H40,0))+parametros_carros!$F$21*('Plan mensual'!H37+IF(parametros_carros!$H$21="Todos",'Plan mensual'!H41,0))+parametros_carros!$G$21*('Plan mensual'!H38+IF(parametros_carros!$H$21="Todos",'Plan mensual'!H42,0)))/60</f>
        <v>1.433403423495</v>
      </c>
      <c r="G64" s="41" t="n">
        <f aca="false">(parametros_carros!$D$21*('Plan mensual'!I35+IF(parametros_carros!$H$21="Todos",'Plan mensual'!I39,0))+parametros_carros!$E$21*('Plan mensual'!I36+IF(parametros_carros!$H$21="Todos",'Plan mensual'!I40,0))+parametros_carros!$F$21*('Plan mensual'!I37+IF(parametros_carros!$H$21="Todos",'Plan mensual'!I41,0))+parametros_carros!$G$21*('Plan mensual'!I38+IF(parametros_carros!$H$21="Todos",'Plan mensual'!I42,0)))/60</f>
        <v>1.27413637644</v>
      </c>
      <c r="H64" s="41" t="n">
        <f aca="false">(parametros_carros!$D$21*('Plan mensual'!J35+IF(parametros_carros!$H$21="Todos",'Plan mensual'!J39,0))+parametros_carros!$E$21*('Plan mensual'!J36+IF(parametros_carros!$H$21="Todos",'Plan mensual'!J40,0))+parametros_carros!$F$21*('Plan mensual'!J37+IF(parametros_carros!$H$21="Todos",'Plan mensual'!J41,0))+parametros_carros!$G$21*('Plan mensual'!J38+IF(parametros_carros!$H$21="Todos",'Plan mensual'!J42,0)))/60</f>
        <v>1.433403423495</v>
      </c>
      <c r="I64" s="41" t="n">
        <f aca="false">(parametros_carros!$D$21*('Plan mensual'!K35+IF(parametros_carros!$H$21="Todos",'Plan mensual'!K39,0))+parametros_carros!$E$21*('Plan mensual'!K36+IF(parametros_carros!$H$21="Todos",'Plan mensual'!K40,0))+parametros_carros!$F$21*('Plan mensual'!K37+IF(parametros_carros!$H$21="Todos",'Plan mensual'!K41,0))+parametros_carros!$G$21*('Plan mensual'!K38+IF(parametros_carros!$H$21="Todos",'Plan mensual'!K42,0)))/60</f>
        <v>1.433403423495</v>
      </c>
      <c r="J64" s="41" t="n">
        <f aca="false">(parametros_carros!$D$21*('Plan mensual'!L35+IF(parametros_carros!$H$21="Todos",'Plan mensual'!L39,0))+parametros_carros!$E$21*('Plan mensual'!L36+IF(parametros_carros!$H$21="Todos",'Plan mensual'!L40,0))+parametros_carros!$F$21*('Plan mensual'!L37+IF(parametros_carros!$H$21="Todos",'Plan mensual'!L41,0))+parametros_carros!$G$21*('Plan mensual'!L38+IF(parametros_carros!$H$21="Todos",'Plan mensual'!L42,0)))/60</f>
        <v>1.3537698999675</v>
      </c>
      <c r="K64" s="41" t="n">
        <f aca="false">(parametros_carros!$D$21*('Plan mensual'!M35+IF(parametros_carros!$H$21="Todos",'Plan mensual'!M39,0))+parametros_carros!$E$21*('Plan mensual'!M36+IF(parametros_carros!$H$21="Todos",'Plan mensual'!M40,0))+parametros_carros!$F$21*('Plan mensual'!M37+IF(parametros_carros!$H$21="Todos",'Plan mensual'!M41,0))+parametros_carros!$G$21*('Plan mensual'!M38+IF(parametros_carros!$H$21="Todos",'Plan mensual'!M42,0)))/60</f>
        <v>1.1945028529125</v>
      </c>
      <c r="L64" s="41" t="n">
        <f aca="false">(parametros_carros!$D$21*('Plan mensual'!N35+IF(parametros_carros!$H$21="Todos",'Plan mensual'!N39,0))+parametros_carros!$E$21*('Plan mensual'!N36+IF(parametros_carros!$H$21="Todos",'Plan mensual'!N40,0))+parametros_carros!$F$21*('Plan mensual'!N37+IF(parametros_carros!$H$21="Todos",'Plan mensual'!N41,0))+parametros_carros!$G$21*('Plan mensual'!N38+IF(parametros_carros!$H$21="Todos",'Plan mensual'!N42,0)))/60</f>
        <v>1.114869329385</v>
      </c>
      <c r="M64" s="41" t="n">
        <f aca="false">(parametros_carros!$D$21*('Plan mensual'!O35+IF(parametros_carros!$H$21="Todos",'Plan mensual'!O39,0))+parametros_carros!$E$21*('Plan mensual'!O36+IF(parametros_carros!$H$21="Todos",'Plan mensual'!O40,0))+parametros_carros!$F$21*('Plan mensual'!O37+IF(parametros_carros!$H$21="Todos",'Plan mensual'!O41,0))+parametros_carros!$G$21*('Plan mensual'!O38+IF(parametros_carros!$H$21="Todos",'Plan mensual'!O42,0)))/60</f>
        <v>1.27413637644</v>
      </c>
      <c r="N64" s="41" t="n">
        <f aca="false">SUM(B64:M64)</f>
        <v>15.9267047055</v>
      </c>
      <c r="O64" s="41" t="n">
        <f aca="false">MAX(B64:M64)</f>
        <v>1.433403423495</v>
      </c>
      <c r="P64" s="45" t="n">
        <f aca="false">IF(parametros_carros!$B$7=0,0,(O64+parametros_carros!$G$47)/parametros_carros!$B$7)</f>
        <v>0.0217782450455222</v>
      </c>
      <c r="Q64" s="29" t="str">
        <f aca="false">IF(O64=0,"-",INDEX($B$61:$M$61,MATCH(O64,B64:M64,0)))</f>
        <v>Mar</v>
      </c>
    </row>
    <row r="65" customFormat="false" ht="14.25" hidden="false" customHeight="true" outlineLevel="0" collapsed="false">
      <c r="A65" s="12" t="str">
        <f aca="false">parametros_carros!$B$22</f>
        <v>Cilindrado</v>
      </c>
      <c r="B65" s="41" t="n">
        <f aca="false">(parametros_carros!$D$22*('Plan mensual'!D35+IF(parametros_carros!$H$22="Todos",'Plan mensual'!D39,0))+parametros_carros!$E$22*('Plan mensual'!D36+IF(parametros_carros!$H$22="Todos",'Plan mensual'!D40,0))+parametros_carros!$F$22*('Plan mensual'!D37+IF(parametros_carros!$H$22="Todos",'Plan mensual'!D41,0))+parametros_carros!$G$22*('Plan mensual'!D38+IF(parametros_carros!$H$22="Todos",'Plan mensual'!D42,0)))/60</f>
        <v>2.89546868001353</v>
      </c>
      <c r="C65" s="41" t="n">
        <f aca="false">(parametros_carros!$D$22*('Plan mensual'!E35+IF(parametros_carros!$H$22="Todos",'Plan mensual'!E39,0))+parametros_carros!$E$22*('Plan mensual'!E36+IF(parametros_carros!$H$22="Todos",'Plan mensual'!E40,0))+parametros_carros!$F$22*('Plan mensual'!E37+IF(parametros_carros!$H$22="Todos",'Plan mensual'!E41,0))+parametros_carros!$G$22*('Plan mensual'!E38+IF(parametros_carros!$H$22="Todos",'Plan mensual'!E42,0)))/60</f>
        <v>2.55482530589429</v>
      </c>
      <c r="D65" s="41" t="n">
        <f aca="false">(parametros_carros!$D$22*('Plan mensual'!F35+IF(parametros_carros!$H$22="Todos",'Plan mensual'!F39,0))+parametros_carros!$E$22*('Plan mensual'!F36+IF(parametros_carros!$H$22="Todos",'Plan mensual'!F40,0))+parametros_carros!$F$22*('Plan mensual'!F37+IF(parametros_carros!$H$22="Todos",'Plan mensual'!F41,0))+parametros_carros!$G$22*('Plan mensual'!F38+IF(parametros_carros!$H$22="Todos",'Plan mensual'!F42,0)))/60</f>
        <v>3.06579036707315</v>
      </c>
      <c r="E65" s="41" t="n">
        <f aca="false">(parametros_carros!$D$22*('Plan mensual'!G35+IF(parametros_carros!$H$22="Todos",'Plan mensual'!G39,0))+parametros_carros!$E$22*('Plan mensual'!G36+IF(parametros_carros!$H$22="Todos",'Plan mensual'!G40,0))+parametros_carros!$F$22*('Plan mensual'!G37+IF(parametros_carros!$H$22="Todos",'Plan mensual'!G41,0))+parametros_carros!$G$22*('Plan mensual'!G38+IF(parametros_carros!$H$22="Todos",'Plan mensual'!G42,0)))/60</f>
        <v>3.06579036707315</v>
      </c>
      <c r="F65" s="41" t="n">
        <f aca="false">(parametros_carros!$D$22*('Plan mensual'!H35+IF(parametros_carros!$H$22="Todos",'Plan mensual'!H39,0))+parametros_carros!$E$22*('Plan mensual'!H36+IF(parametros_carros!$H$22="Todos",'Plan mensual'!H40,0))+parametros_carros!$F$22*('Plan mensual'!H37+IF(parametros_carros!$H$22="Todos",'Plan mensual'!H41,0))+parametros_carros!$G$22*('Plan mensual'!H38+IF(parametros_carros!$H$22="Todos",'Plan mensual'!H42,0)))/60</f>
        <v>3.06579036707315</v>
      </c>
      <c r="G65" s="41" t="n">
        <f aca="false">(parametros_carros!$D$22*('Plan mensual'!I35+IF(parametros_carros!$H$22="Todos",'Plan mensual'!I39,0))+parametros_carros!$E$22*('Plan mensual'!I36+IF(parametros_carros!$H$22="Todos",'Plan mensual'!I40,0))+parametros_carros!$F$22*('Plan mensual'!I37+IF(parametros_carros!$H$22="Todos",'Plan mensual'!I41,0))+parametros_carros!$G$22*('Plan mensual'!I38+IF(parametros_carros!$H$22="Todos",'Plan mensual'!I42,0)))/60</f>
        <v>2.72514699295391</v>
      </c>
      <c r="H65" s="41" t="n">
        <f aca="false">(parametros_carros!$D$22*('Plan mensual'!J35+IF(parametros_carros!$H$22="Todos",'Plan mensual'!J39,0))+parametros_carros!$E$22*('Plan mensual'!J36+IF(parametros_carros!$H$22="Todos",'Plan mensual'!J40,0))+parametros_carros!$F$22*('Plan mensual'!J37+IF(parametros_carros!$H$22="Todos",'Plan mensual'!J41,0))+parametros_carros!$G$22*('Plan mensual'!J38+IF(parametros_carros!$H$22="Todos",'Plan mensual'!J42,0)))/60</f>
        <v>3.06579036707315</v>
      </c>
      <c r="I65" s="41" t="n">
        <f aca="false">(parametros_carros!$D$22*('Plan mensual'!K35+IF(parametros_carros!$H$22="Todos",'Plan mensual'!K39,0))+parametros_carros!$E$22*('Plan mensual'!K36+IF(parametros_carros!$H$22="Todos",'Plan mensual'!K40,0))+parametros_carros!$F$22*('Plan mensual'!K37+IF(parametros_carros!$H$22="Todos",'Plan mensual'!K41,0))+parametros_carros!$G$22*('Plan mensual'!K38+IF(parametros_carros!$H$22="Todos",'Plan mensual'!K42,0)))/60</f>
        <v>3.06579036707315</v>
      </c>
      <c r="J65" s="41" t="n">
        <f aca="false">(parametros_carros!$D$22*('Plan mensual'!L35+IF(parametros_carros!$H$22="Todos",'Plan mensual'!L39,0))+parametros_carros!$E$22*('Plan mensual'!L36+IF(parametros_carros!$H$22="Todos",'Plan mensual'!L40,0))+parametros_carros!$F$22*('Plan mensual'!L37+IF(parametros_carros!$H$22="Todos",'Plan mensual'!L41,0))+parametros_carros!$G$22*('Plan mensual'!L38+IF(parametros_carros!$H$22="Todos",'Plan mensual'!L42,0)))/60</f>
        <v>2.89546868001353</v>
      </c>
      <c r="K65" s="41" t="n">
        <f aca="false">(parametros_carros!$D$22*('Plan mensual'!M35+IF(parametros_carros!$H$22="Todos",'Plan mensual'!M39,0))+parametros_carros!$E$22*('Plan mensual'!M36+IF(parametros_carros!$H$22="Todos",'Plan mensual'!M40,0))+parametros_carros!$F$22*('Plan mensual'!M37+IF(parametros_carros!$H$22="Todos",'Plan mensual'!M41,0))+parametros_carros!$G$22*('Plan mensual'!M38+IF(parametros_carros!$H$22="Todos",'Plan mensual'!M42,0)))/60</f>
        <v>2.55482530589429</v>
      </c>
      <c r="L65" s="41" t="n">
        <f aca="false">(parametros_carros!$D$22*('Plan mensual'!N35+IF(parametros_carros!$H$22="Todos",'Plan mensual'!N39,0))+parametros_carros!$E$22*('Plan mensual'!N36+IF(parametros_carros!$H$22="Todos",'Plan mensual'!N40,0))+parametros_carros!$F$22*('Plan mensual'!N37+IF(parametros_carros!$H$22="Todos",'Plan mensual'!N41,0))+parametros_carros!$G$22*('Plan mensual'!N38+IF(parametros_carros!$H$22="Todos",'Plan mensual'!N42,0)))/60</f>
        <v>2.38450361883467</v>
      </c>
      <c r="M65" s="41" t="n">
        <f aca="false">(parametros_carros!$D$22*('Plan mensual'!O35+IF(parametros_carros!$H$22="Todos",'Plan mensual'!O39,0))+parametros_carros!$E$22*('Plan mensual'!O36+IF(parametros_carros!$H$22="Todos",'Plan mensual'!O40,0))+parametros_carros!$F$22*('Plan mensual'!O37+IF(parametros_carros!$H$22="Todos",'Plan mensual'!O41,0))+parametros_carros!$G$22*('Plan mensual'!O38+IF(parametros_carros!$H$22="Todos",'Plan mensual'!O42,0)))/60</f>
        <v>2.72514699295391</v>
      </c>
      <c r="N65" s="41" t="n">
        <f aca="false">SUM(B65:M65)</f>
        <v>34.0643374119239</v>
      </c>
      <c r="O65" s="41" t="n">
        <f aca="false">MAX(B65:M65)</f>
        <v>3.06579036707315</v>
      </c>
      <c r="P65" s="45" t="n">
        <f aca="false">IF(parametros_carros!$B$7=0,0,(O65+parametros_carros!$G$48)/parametros_carros!$B$7)</f>
        <v>0.0604386024471544</v>
      </c>
      <c r="Q65" s="29" t="str">
        <f aca="false">IF(O65=0,"-",INDEX($B$61:$M$61,MATCH(O65,B65:M65,0)))</f>
        <v>Mar</v>
      </c>
    </row>
    <row r="66" customFormat="false" ht="14.25" hidden="false" customHeight="true" outlineLevel="0" collapsed="false">
      <c r="A66" s="12" t="str">
        <f aca="false">parametros_carros!$B$23</f>
        <v>Punteo del cuerpo</v>
      </c>
      <c r="B66" s="41" t="n">
        <f aca="false">(parametros_carros!$D$23*('Plan mensual'!D35+IF(parametros_carros!$H$23="Todos",'Plan mensual'!D39,0))+parametros_carros!$E$23*('Plan mensual'!D36+IF(parametros_carros!$H$23="Todos",'Plan mensual'!D40,0))+parametros_carros!$F$23*('Plan mensual'!D37+IF(parametros_carros!$H$23="Todos",'Plan mensual'!D41,0))+parametros_carros!$G$23*('Plan mensual'!D38+IF(parametros_carros!$H$23="Todos",'Plan mensual'!D42,0)))/60</f>
        <v>4.29068470748528</v>
      </c>
      <c r="C66" s="41" t="n">
        <f aca="false">(parametros_carros!$D$23*('Plan mensual'!E35+IF(parametros_carros!$H$23="Todos",'Plan mensual'!E39,0))+parametros_carros!$E$23*('Plan mensual'!E36+IF(parametros_carros!$H$23="Todos",'Plan mensual'!E40,0))+parametros_carros!$F$23*('Plan mensual'!E37+IF(parametros_carros!$H$23="Todos",'Plan mensual'!E41,0))+parametros_carros!$G$23*('Plan mensual'!E38+IF(parametros_carros!$H$23="Todos",'Plan mensual'!E42,0)))/60</f>
        <v>3.78589827131054</v>
      </c>
      <c r="D66" s="41" t="n">
        <f aca="false">(parametros_carros!$D$23*('Plan mensual'!F35+IF(parametros_carros!$H$23="Todos",'Plan mensual'!F39,0))+parametros_carros!$E$23*('Plan mensual'!F36+IF(parametros_carros!$H$23="Todos",'Plan mensual'!F40,0))+parametros_carros!$F$23*('Plan mensual'!F37+IF(parametros_carros!$H$23="Todos",'Plan mensual'!F41,0))+parametros_carros!$G$23*('Plan mensual'!F38+IF(parametros_carros!$H$23="Todos",'Plan mensual'!F42,0)))/60</f>
        <v>4.54307792557265</v>
      </c>
      <c r="E66" s="41" t="n">
        <f aca="false">(parametros_carros!$D$23*('Plan mensual'!G35+IF(parametros_carros!$H$23="Todos",'Plan mensual'!G39,0))+parametros_carros!$E$23*('Plan mensual'!G36+IF(parametros_carros!$H$23="Todos",'Plan mensual'!G40,0))+parametros_carros!$F$23*('Plan mensual'!G37+IF(parametros_carros!$H$23="Todos",'Plan mensual'!G41,0))+parametros_carros!$G$23*('Plan mensual'!G38+IF(parametros_carros!$H$23="Todos",'Plan mensual'!G42,0)))/60</f>
        <v>4.54307792557265</v>
      </c>
      <c r="F66" s="41" t="n">
        <f aca="false">(parametros_carros!$D$23*('Plan mensual'!H35+IF(parametros_carros!$H$23="Todos",'Plan mensual'!H39,0))+parametros_carros!$E$23*('Plan mensual'!H36+IF(parametros_carros!$H$23="Todos",'Plan mensual'!H40,0))+parametros_carros!$F$23*('Plan mensual'!H37+IF(parametros_carros!$H$23="Todos",'Plan mensual'!H41,0))+parametros_carros!$G$23*('Plan mensual'!H38+IF(parametros_carros!$H$23="Todos",'Plan mensual'!H42,0)))/60</f>
        <v>4.54307792557265</v>
      </c>
      <c r="G66" s="41" t="n">
        <f aca="false">(parametros_carros!$D$23*('Plan mensual'!I35+IF(parametros_carros!$H$23="Todos",'Plan mensual'!I39,0))+parametros_carros!$E$23*('Plan mensual'!I36+IF(parametros_carros!$H$23="Todos",'Plan mensual'!I40,0))+parametros_carros!$F$23*('Plan mensual'!I37+IF(parametros_carros!$H$23="Todos",'Plan mensual'!I41,0))+parametros_carros!$G$23*('Plan mensual'!I38+IF(parametros_carros!$H$23="Todos",'Plan mensual'!I42,0)))/60</f>
        <v>4.03829148939791</v>
      </c>
      <c r="H66" s="41" t="n">
        <f aca="false">(parametros_carros!$D$23*('Plan mensual'!J35+IF(parametros_carros!$H$23="Todos",'Plan mensual'!J39,0))+parametros_carros!$E$23*('Plan mensual'!J36+IF(parametros_carros!$H$23="Todos",'Plan mensual'!J40,0))+parametros_carros!$F$23*('Plan mensual'!J37+IF(parametros_carros!$H$23="Todos",'Plan mensual'!J41,0))+parametros_carros!$G$23*('Plan mensual'!J38+IF(parametros_carros!$H$23="Todos",'Plan mensual'!J42,0)))/60</f>
        <v>4.54307792557265</v>
      </c>
      <c r="I66" s="41" t="n">
        <f aca="false">(parametros_carros!$D$23*('Plan mensual'!K35+IF(parametros_carros!$H$23="Todos",'Plan mensual'!K39,0))+parametros_carros!$E$23*('Plan mensual'!K36+IF(parametros_carros!$H$23="Todos",'Plan mensual'!K40,0))+parametros_carros!$F$23*('Plan mensual'!K37+IF(parametros_carros!$H$23="Todos",'Plan mensual'!K41,0))+parametros_carros!$G$23*('Plan mensual'!K38+IF(parametros_carros!$H$23="Todos",'Plan mensual'!K42,0)))/60</f>
        <v>4.54307792557265</v>
      </c>
      <c r="J66" s="41" t="n">
        <f aca="false">(parametros_carros!$D$23*('Plan mensual'!L35+IF(parametros_carros!$H$23="Todos",'Plan mensual'!L39,0))+parametros_carros!$E$23*('Plan mensual'!L36+IF(parametros_carros!$H$23="Todos",'Plan mensual'!L40,0))+parametros_carros!$F$23*('Plan mensual'!L37+IF(parametros_carros!$H$23="Todos",'Plan mensual'!L41,0))+parametros_carros!$G$23*('Plan mensual'!L38+IF(parametros_carros!$H$23="Todos",'Plan mensual'!L42,0)))/60</f>
        <v>4.29068470748528</v>
      </c>
      <c r="K66" s="41" t="n">
        <f aca="false">(parametros_carros!$D$23*('Plan mensual'!M35+IF(parametros_carros!$H$23="Todos",'Plan mensual'!M39,0))+parametros_carros!$E$23*('Plan mensual'!M36+IF(parametros_carros!$H$23="Todos",'Plan mensual'!M40,0))+parametros_carros!$F$23*('Plan mensual'!M37+IF(parametros_carros!$H$23="Todos",'Plan mensual'!M41,0))+parametros_carros!$G$23*('Plan mensual'!M38+IF(parametros_carros!$H$23="Todos",'Plan mensual'!M42,0)))/60</f>
        <v>3.78589827131054</v>
      </c>
      <c r="L66" s="41" t="n">
        <f aca="false">(parametros_carros!$D$23*('Plan mensual'!N35+IF(parametros_carros!$H$23="Todos",'Plan mensual'!N39,0))+parametros_carros!$E$23*('Plan mensual'!N36+IF(parametros_carros!$H$23="Todos",'Plan mensual'!N40,0))+parametros_carros!$F$23*('Plan mensual'!N37+IF(parametros_carros!$H$23="Todos",'Plan mensual'!N41,0))+parametros_carros!$G$23*('Plan mensual'!N38+IF(parametros_carros!$H$23="Todos",'Plan mensual'!N42,0)))/60</f>
        <v>3.53350505322317</v>
      </c>
      <c r="M66" s="41" t="n">
        <f aca="false">(parametros_carros!$D$23*('Plan mensual'!O35+IF(parametros_carros!$H$23="Todos",'Plan mensual'!O39,0))+parametros_carros!$E$23*('Plan mensual'!O36+IF(parametros_carros!$H$23="Todos",'Plan mensual'!O40,0))+parametros_carros!$F$23*('Plan mensual'!O37+IF(parametros_carros!$H$23="Todos",'Plan mensual'!O41,0))+parametros_carros!$G$23*('Plan mensual'!O38+IF(parametros_carros!$H$23="Todos",'Plan mensual'!O42,0)))/60</f>
        <v>4.03829148939791</v>
      </c>
      <c r="N66" s="41" t="n">
        <f aca="false">SUM(B66:M66)</f>
        <v>50.4786436174739</v>
      </c>
      <c r="O66" s="41" t="n">
        <f aca="false">MAX(B66:M66)</f>
        <v>4.54307792557265</v>
      </c>
      <c r="P66" s="45" t="n">
        <f aca="false">IF(parametros_carros!$B$7=0,0,(O66+parametros_carros!$G$49)/parametros_carros!$B$7)</f>
        <v>0.0413982972815955</v>
      </c>
      <c r="Q66" s="29" t="str">
        <f aca="false">IF(O66=0,"-",INDEX($B$61:$M$61,MATCH(O66,B66:M66,0)))</f>
        <v>Mar</v>
      </c>
    </row>
    <row r="67" customFormat="false" ht="14.25" hidden="false" customHeight="true" outlineLevel="0" collapsed="false">
      <c r="A67" s="12" t="str">
        <f aca="false">parametros_carros!$B$24</f>
        <v>Soldadura longitudinal</v>
      </c>
      <c r="B67" s="41" t="n">
        <f aca="false">(parametros_carros!$D$24*('Plan mensual'!D35+IF(parametros_carros!$H$24="Todos",'Plan mensual'!D39,0))+parametros_carros!$E$24*('Plan mensual'!D36+IF(parametros_carros!$H$24="Todos",'Plan mensual'!D40,0))+parametros_carros!$F$24*('Plan mensual'!D37+IF(parametros_carros!$H$24="Todos",'Plan mensual'!D41,0))+parametros_carros!$G$24*('Plan mensual'!D38+IF(parametros_carros!$H$24="Todos",'Plan mensual'!D42,0)))/60</f>
        <v>2.95040116911175</v>
      </c>
      <c r="C67" s="41" t="n">
        <f aca="false">(parametros_carros!$D$24*('Plan mensual'!E35+IF(parametros_carros!$H$24="Todos",'Plan mensual'!E39,0))+parametros_carros!$E$24*('Plan mensual'!E36+IF(parametros_carros!$H$24="Todos",'Plan mensual'!E40,0))+parametros_carros!$F$24*('Plan mensual'!E37+IF(parametros_carros!$H$24="Todos",'Plan mensual'!E41,0))+parametros_carros!$G$24*('Plan mensual'!E38+IF(parametros_carros!$H$24="Todos",'Plan mensual'!E42,0)))/60</f>
        <v>2.60329514921625</v>
      </c>
      <c r="D67" s="41" t="n">
        <f aca="false">(parametros_carros!$D$24*('Plan mensual'!F35+IF(parametros_carros!$H$24="Todos",'Plan mensual'!F39,0))+parametros_carros!$E$24*('Plan mensual'!F36+IF(parametros_carros!$H$24="Todos",'Plan mensual'!F40,0))+parametros_carros!$F$24*('Plan mensual'!F37+IF(parametros_carros!$H$24="Todos",'Plan mensual'!F41,0))+parametros_carros!$G$24*('Plan mensual'!F38+IF(parametros_carros!$H$24="Todos",'Plan mensual'!F42,0)))/60</f>
        <v>3.1239541790595</v>
      </c>
      <c r="E67" s="41" t="n">
        <f aca="false">(parametros_carros!$D$24*('Plan mensual'!G35+IF(parametros_carros!$H$24="Todos",'Plan mensual'!G39,0))+parametros_carros!$E$24*('Plan mensual'!G36+IF(parametros_carros!$H$24="Todos",'Plan mensual'!G40,0))+parametros_carros!$F$24*('Plan mensual'!G37+IF(parametros_carros!$H$24="Todos",'Plan mensual'!G41,0))+parametros_carros!$G$24*('Plan mensual'!G38+IF(parametros_carros!$H$24="Todos",'Plan mensual'!G42,0)))/60</f>
        <v>3.1239541790595</v>
      </c>
      <c r="F67" s="41" t="n">
        <f aca="false">(parametros_carros!$D$24*('Plan mensual'!H35+IF(parametros_carros!$H$24="Todos",'Plan mensual'!H39,0))+parametros_carros!$E$24*('Plan mensual'!H36+IF(parametros_carros!$H$24="Todos",'Plan mensual'!H40,0))+parametros_carros!$F$24*('Plan mensual'!H37+IF(parametros_carros!$H$24="Todos",'Plan mensual'!H41,0))+parametros_carros!$G$24*('Plan mensual'!H38+IF(parametros_carros!$H$24="Todos",'Plan mensual'!H42,0)))/60</f>
        <v>3.1239541790595</v>
      </c>
      <c r="G67" s="41" t="n">
        <f aca="false">(parametros_carros!$D$24*('Plan mensual'!I35+IF(parametros_carros!$H$24="Todos",'Plan mensual'!I39,0))+parametros_carros!$E$24*('Plan mensual'!I36+IF(parametros_carros!$H$24="Todos",'Plan mensual'!I40,0))+parametros_carros!$F$24*('Plan mensual'!I37+IF(parametros_carros!$H$24="Todos",'Plan mensual'!I41,0))+parametros_carros!$G$24*('Plan mensual'!I38+IF(parametros_carros!$H$24="Todos",'Plan mensual'!I42,0)))/60</f>
        <v>2.776848159164</v>
      </c>
      <c r="H67" s="41" t="n">
        <f aca="false">(parametros_carros!$D$24*('Plan mensual'!J35+IF(parametros_carros!$H$24="Todos",'Plan mensual'!J39,0))+parametros_carros!$E$24*('Plan mensual'!J36+IF(parametros_carros!$H$24="Todos",'Plan mensual'!J40,0))+parametros_carros!$F$24*('Plan mensual'!J37+IF(parametros_carros!$H$24="Todos",'Plan mensual'!J41,0))+parametros_carros!$G$24*('Plan mensual'!J38+IF(parametros_carros!$H$24="Todos",'Plan mensual'!J42,0)))/60</f>
        <v>3.1239541790595</v>
      </c>
      <c r="I67" s="41" t="n">
        <f aca="false">(parametros_carros!$D$24*('Plan mensual'!K35+IF(parametros_carros!$H$24="Todos",'Plan mensual'!K39,0))+parametros_carros!$E$24*('Plan mensual'!K36+IF(parametros_carros!$H$24="Todos",'Plan mensual'!K40,0))+parametros_carros!$F$24*('Plan mensual'!K37+IF(parametros_carros!$H$24="Todos",'Plan mensual'!K41,0))+parametros_carros!$G$24*('Plan mensual'!K38+IF(parametros_carros!$H$24="Todos",'Plan mensual'!K42,0)))/60</f>
        <v>3.1239541790595</v>
      </c>
      <c r="J67" s="41" t="n">
        <f aca="false">(parametros_carros!$D$24*('Plan mensual'!L35+IF(parametros_carros!$H$24="Todos",'Plan mensual'!L39,0))+parametros_carros!$E$24*('Plan mensual'!L36+IF(parametros_carros!$H$24="Todos",'Plan mensual'!L40,0))+parametros_carros!$F$24*('Plan mensual'!L37+IF(parametros_carros!$H$24="Todos",'Plan mensual'!L41,0))+parametros_carros!$G$24*('Plan mensual'!L38+IF(parametros_carros!$H$24="Todos",'Plan mensual'!L42,0)))/60</f>
        <v>2.95040116911175</v>
      </c>
      <c r="K67" s="41" t="n">
        <f aca="false">(parametros_carros!$D$24*('Plan mensual'!M35+IF(parametros_carros!$H$24="Todos",'Plan mensual'!M39,0))+parametros_carros!$E$24*('Plan mensual'!M36+IF(parametros_carros!$H$24="Todos",'Plan mensual'!M40,0))+parametros_carros!$F$24*('Plan mensual'!M37+IF(parametros_carros!$H$24="Todos",'Plan mensual'!M41,0))+parametros_carros!$G$24*('Plan mensual'!M38+IF(parametros_carros!$H$24="Todos",'Plan mensual'!M42,0)))/60</f>
        <v>2.60329514921625</v>
      </c>
      <c r="L67" s="41" t="n">
        <f aca="false">(parametros_carros!$D$24*('Plan mensual'!N35+IF(parametros_carros!$H$24="Todos",'Plan mensual'!N39,0))+parametros_carros!$E$24*('Plan mensual'!N36+IF(parametros_carros!$H$24="Todos",'Plan mensual'!N40,0))+parametros_carros!$F$24*('Plan mensual'!N37+IF(parametros_carros!$H$24="Todos",'Plan mensual'!N41,0))+parametros_carros!$G$24*('Plan mensual'!N38+IF(parametros_carros!$H$24="Todos",'Plan mensual'!N42,0)))/60</f>
        <v>2.4297421392685</v>
      </c>
      <c r="M67" s="41" t="n">
        <f aca="false">(parametros_carros!$D$24*('Plan mensual'!O35+IF(parametros_carros!$H$24="Todos",'Plan mensual'!O39,0))+parametros_carros!$E$24*('Plan mensual'!O36+IF(parametros_carros!$H$24="Todos",'Plan mensual'!O40,0))+parametros_carros!$F$24*('Plan mensual'!O37+IF(parametros_carros!$H$24="Todos",'Plan mensual'!O41,0))+parametros_carros!$G$24*('Plan mensual'!O38+IF(parametros_carros!$H$24="Todos",'Plan mensual'!O42,0)))/60</f>
        <v>2.776848159164</v>
      </c>
      <c r="N67" s="41" t="n">
        <f aca="false">SUM(B67:M67)</f>
        <v>34.71060198955</v>
      </c>
      <c r="O67" s="41" t="n">
        <f aca="false">MAX(B67:M67)</f>
        <v>3.1239541790595</v>
      </c>
      <c r="P67" s="45" t="n">
        <f aca="false">IF(parametros_carros!$B$7=0,0,(O67+parametros_carros!$G$50)/parametros_carros!$B$7)</f>
        <v>0.0386041389715078</v>
      </c>
      <c r="Q67" s="29" t="str">
        <f aca="false">IF(O67=0,"-",INDEX($B$61:$M$61,MATCH(O67,B67:M67,0)))</f>
        <v>Mar</v>
      </c>
    </row>
    <row r="68" customFormat="false" ht="14.25" hidden="false" customHeight="true" outlineLevel="0" collapsed="false">
      <c r="A68" s="12" t="str">
        <f aca="false">parametros_carros!$B$25</f>
        <v>Soldadura de cupla en la cúpula</v>
      </c>
      <c r="B68" s="41" t="n">
        <f aca="false">(parametros_carros!$D$25*('Plan mensual'!D35+IF(parametros_carros!$H$25="Todos",'Plan mensual'!D39,0))+parametros_carros!$E$25*('Plan mensual'!D36+IF(parametros_carros!$H$25="Todos",'Plan mensual'!D40,0))+parametros_carros!$F$25*('Plan mensual'!D37+IF(parametros_carros!$H$25="Todos",'Plan mensual'!D41,0))+parametros_carros!$G$25*('Plan mensual'!D38+IF(parametros_carros!$H$25="Todos",'Plan mensual'!D42,0)))/60</f>
        <v>2.91572839993</v>
      </c>
      <c r="C68" s="41" t="n">
        <f aca="false">(parametros_carros!$D$25*('Plan mensual'!E35+IF(parametros_carros!$H$25="Todos",'Plan mensual'!E39,0))+parametros_carros!$E$25*('Plan mensual'!E36+IF(parametros_carros!$H$25="Todos",'Plan mensual'!E40,0))+parametros_carros!$F$25*('Plan mensual'!E37+IF(parametros_carros!$H$25="Todos",'Plan mensual'!E41,0))+parametros_carros!$G$25*('Plan mensual'!E38+IF(parametros_carros!$H$25="Todos",'Plan mensual'!E42,0)))/60</f>
        <v>2.57270152935</v>
      </c>
      <c r="D68" s="41" t="n">
        <f aca="false">(parametros_carros!$D$25*('Plan mensual'!F35+IF(parametros_carros!$H$25="Todos",'Plan mensual'!F39,0))+parametros_carros!$E$25*('Plan mensual'!F36+IF(parametros_carros!$H$25="Todos",'Plan mensual'!F40,0))+parametros_carros!$F$25*('Plan mensual'!F37+IF(parametros_carros!$H$25="Todos",'Plan mensual'!F41,0))+parametros_carros!$G$25*('Plan mensual'!F38+IF(parametros_carros!$H$25="Todos",'Plan mensual'!F42,0)))/60</f>
        <v>3.08724183522</v>
      </c>
      <c r="E68" s="41" t="n">
        <f aca="false">(parametros_carros!$D$25*('Plan mensual'!G35+IF(parametros_carros!$H$25="Todos",'Plan mensual'!G39,0))+parametros_carros!$E$25*('Plan mensual'!G36+IF(parametros_carros!$H$25="Todos",'Plan mensual'!G40,0))+parametros_carros!$F$25*('Plan mensual'!G37+IF(parametros_carros!$H$25="Todos",'Plan mensual'!G41,0))+parametros_carros!$G$25*('Plan mensual'!G38+IF(parametros_carros!$H$25="Todos",'Plan mensual'!G42,0)))/60</f>
        <v>3.08724183522</v>
      </c>
      <c r="F68" s="41" t="n">
        <f aca="false">(parametros_carros!$D$25*('Plan mensual'!H35+IF(parametros_carros!$H$25="Todos",'Plan mensual'!H39,0))+parametros_carros!$E$25*('Plan mensual'!H36+IF(parametros_carros!$H$25="Todos",'Plan mensual'!H40,0))+parametros_carros!$F$25*('Plan mensual'!H37+IF(parametros_carros!$H$25="Todos",'Plan mensual'!H41,0))+parametros_carros!$G$25*('Plan mensual'!H38+IF(parametros_carros!$H$25="Todos",'Plan mensual'!H42,0)))/60</f>
        <v>3.08724183522</v>
      </c>
      <c r="G68" s="41" t="n">
        <f aca="false">(parametros_carros!$D$25*('Plan mensual'!I35+IF(parametros_carros!$H$25="Todos",'Plan mensual'!I39,0))+parametros_carros!$E$25*('Plan mensual'!I36+IF(parametros_carros!$H$25="Todos",'Plan mensual'!I40,0))+parametros_carros!$F$25*('Plan mensual'!I37+IF(parametros_carros!$H$25="Todos",'Plan mensual'!I41,0))+parametros_carros!$G$25*('Plan mensual'!I38+IF(parametros_carros!$H$25="Todos",'Plan mensual'!I42,0)))/60</f>
        <v>2.74421496464</v>
      </c>
      <c r="H68" s="41" t="n">
        <f aca="false">(parametros_carros!$D$25*('Plan mensual'!J35+IF(parametros_carros!$H$25="Todos",'Plan mensual'!J39,0))+parametros_carros!$E$25*('Plan mensual'!J36+IF(parametros_carros!$H$25="Todos",'Plan mensual'!J40,0))+parametros_carros!$F$25*('Plan mensual'!J37+IF(parametros_carros!$H$25="Todos",'Plan mensual'!J41,0))+parametros_carros!$G$25*('Plan mensual'!J38+IF(parametros_carros!$H$25="Todos",'Plan mensual'!J42,0)))/60</f>
        <v>3.08724183522</v>
      </c>
      <c r="I68" s="41" t="n">
        <f aca="false">(parametros_carros!$D$25*('Plan mensual'!K35+IF(parametros_carros!$H$25="Todos",'Plan mensual'!K39,0))+parametros_carros!$E$25*('Plan mensual'!K36+IF(parametros_carros!$H$25="Todos",'Plan mensual'!K40,0))+parametros_carros!$F$25*('Plan mensual'!K37+IF(parametros_carros!$H$25="Todos",'Plan mensual'!K41,0))+parametros_carros!$G$25*('Plan mensual'!K38+IF(parametros_carros!$H$25="Todos",'Plan mensual'!K42,0)))/60</f>
        <v>3.08724183522</v>
      </c>
      <c r="J68" s="41" t="n">
        <f aca="false">(parametros_carros!$D$25*('Plan mensual'!L35+IF(parametros_carros!$H$25="Todos",'Plan mensual'!L39,0))+parametros_carros!$E$25*('Plan mensual'!L36+IF(parametros_carros!$H$25="Todos",'Plan mensual'!L40,0))+parametros_carros!$F$25*('Plan mensual'!L37+IF(parametros_carros!$H$25="Todos",'Plan mensual'!L41,0))+parametros_carros!$G$25*('Plan mensual'!L38+IF(parametros_carros!$H$25="Todos",'Plan mensual'!L42,0)))/60</f>
        <v>2.91572839993</v>
      </c>
      <c r="K68" s="41" t="n">
        <f aca="false">(parametros_carros!$D$25*('Plan mensual'!M35+IF(parametros_carros!$H$25="Todos",'Plan mensual'!M39,0))+parametros_carros!$E$25*('Plan mensual'!M36+IF(parametros_carros!$H$25="Todos",'Plan mensual'!M40,0))+parametros_carros!$F$25*('Plan mensual'!M37+IF(parametros_carros!$H$25="Todos",'Plan mensual'!M41,0))+parametros_carros!$G$25*('Plan mensual'!M38+IF(parametros_carros!$H$25="Todos",'Plan mensual'!M42,0)))/60</f>
        <v>2.57270152935</v>
      </c>
      <c r="L68" s="41" t="n">
        <f aca="false">(parametros_carros!$D$25*('Plan mensual'!N35+IF(parametros_carros!$H$25="Todos",'Plan mensual'!N39,0))+parametros_carros!$E$25*('Plan mensual'!N36+IF(parametros_carros!$H$25="Todos",'Plan mensual'!N40,0))+parametros_carros!$F$25*('Plan mensual'!N37+IF(parametros_carros!$H$25="Todos",'Plan mensual'!N41,0))+parametros_carros!$G$25*('Plan mensual'!N38+IF(parametros_carros!$H$25="Todos",'Plan mensual'!N42,0)))/60</f>
        <v>2.40118809406</v>
      </c>
      <c r="M68" s="41" t="n">
        <f aca="false">(parametros_carros!$D$25*('Plan mensual'!O35+IF(parametros_carros!$H$25="Todos",'Plan mensual'!O39,0))+parametros_carros!$E$25*('Plan mensual'!O36+IF(parametros_carros!$H$25="Todos",'Plan mensual'!O40,0))+parametros_carros!$F$25*('Plan mensual'!O37+IF(parametros_carros!$H$25="Todos",'Plan mensual'!O41,0))+parametros_carros!$G$25*('Plan mensual'!O38+IF(parametros_carros!$H$25="Todos",'Plan mensual'!O42,0)))/60</f>
        <v>2.74421496464</v>
      </c>
      <c r="N68" s="41" t="n">
        <f aca="false">SUM(B68:M68)</f>
        <v>34.302687058</v>
      </c>
      <c r="O68" s="41" t="n">
        <f aca="false">MAX(B68:M68)</f>
        <v>3.08724183522</v>
      </c>
      <c r="P68" s="45" t="n">
        <f aca="false">IF(parametros_carros!$B$7=0,0,(O68+parametros_carros!$G$51)/parametros_carros!$B$7)</f>
        <v>0.0405816122348</v>
      </c>
      <c r="Q68" s="29" t="str">
        <f aca="false">IF(O68=0,"-",INDEX($B$61:$M$61,MATCH(O68,B68:M68,0)))</f>
        <v>Mar</v>
      </c>
    </row>
    <row r="69" customFormat="false" ht="14.25" hidden="false" customHeight="true" outlineLevel="0" collapsed="false">
      <c r="A69" s="12" t="str">
        <f aca="false">parametros_carros!$B$26</f>
        <v>Armado y soldadura circunferencial</v>
      </c>
      <c r="B69" s="41" t="n">
        <f aca="false">(parametros_carros!$D$26*('Plan mensual'!D35+IF(parametros_carros!$H$26="Todos",'Plan mensual'!D39,0))+parametros_carros!$E$26*('Plan mensual'!D36+IF(parametros_carros!$H$26="Todos",'Plan mensual'!D40,0))+parametros_carros!$F$26*('Plan mensual'!D37+IF(parametros_carros!$H$26="Todos",'Plan mensual'!D41,0))+parametros_carros!$G$26*('Plan mensual'!D38+IF(parametros_carros!$H$26="Todos",'Plan mensual'!D42,0)))/60</f>
        <v>13.7880503913675</v>
      </c>
      <c r="C69" s="41" t="n">
        <f aca="false">(parametros_carros!$D$26*('Plan mensual'!E35+IF(parametros_carros!$H$26="Todos",'Plan mensual'!E39,0))+parametros_carros!$E$26*('Plan mensual'!E36+IF(parametros_carros!$H$26="Todos",'Plan mensual'!E40,0))+parametros_carros!$F$26*('Plan mensual'!E37+IF(parametros_carros!$H$26="Todos",'Plan mensual'!E41,0))+parametros_carros!$G$26*('Plan mensual'!E38+IF(parametros_carros!$H$26="Todos",'Plan mensual'!E42,0)))/60</f>
        <v>12.1659268159125</v>
      </c>
      <c r="D69" s="41" t="n">
        <f aca="false">(parametros_carros!$D$26*('Plan mensual'!F35+IF(parametros_carros!$H$26="Todos",'Plan mensual'!F39,0))+parametros_carros!$E$26*('Plan mensual'!F36+IF(parametros_carros!$H$26="Todos",'Plan mensual'!F40,0))+parametros_carros!$F$26*('Plan mensual'!F37+IF(parametros_carros!$H$26="Todos",'Plan mensual'!F41,0))+parametros_carros!$G$26*('Plan mensual'!F38+IF(parametros_carros!$H$26="Todos",'Plan mensual'!F42,0)))/60</f>
        <v>14.599112179095</v>
      </c>
      <c r="E69" s="41" t="n">
        <f aca="false">(parametros_carros!$D$26*('Plan mensual'!G35+IF(parametros_carros!$H$26="Todos",'Plan mensual'!G39,0))+parametros_carros!$E$26*('Plan mensual'!G36+IF(parametros_carros!$H$26="Todos",'Plan mensual'!G40,0))+parametros_carros!$F$26*('Plan mensual'!G37+IF(parametros_carros!$H$26="Todos",'Plan mensual'!G41,0))+parametros_carros!$G$26*('Plan mensual'!G38+IF(parametros_carros!$H$26="Todos",'Plan mensual'!G42,0)))/60</f>
        <v>14.599112179095</v>
      </c>
      <c r="F69" s="41" t="n">
        <f aca="false">(parametros_carros!$D$26*('Plan mensual'!H35+IF(parametros_carros!$H$26="Todos",'Plan mensual'!H39,0))+parametros_carros!$E$26*('Plan mensual'!H36+IF(parametros_carros!$H$26="Todos",'Plan mensual'!H40,0))+parametros_carros!$F$26*('Plan mensual'!H37+IF(parametros_carros!$H$26="Todos",'Plan mensual'!H41,0))+parametros_carros!$G$26*('Plan mensual'!H38+IF(parametros_carros!$H$26="Todos",'Plan mensual'!H42,0)))/60</f>
        <v>14.599112179095</v>
      </c>
      <c r="G69" s="41" t="n">
        <f aca="false">(parametros_carros!$D$26*('Plan mensual'!I35+IF(parametros_carros!$H$26="Todos",'Plan mensual'!I39,0))+parametros_carros!$E$26*('Plan mensual'!I36+IF(parametros_carros!$H$26="Todos",'Plan mensual'!I40,0))+parametros_carros!$F$26*('Plan mensual'!I37+IF(parametros_carros!$H$26="Todos",'Plan mensual'!I41,0))+parametros_carros!$G$26*('Plan mensual'!I38+IF(parametros_carros!$H$26="Todos",'Plan mensual'!I42,0)))/60</f>
        <v>12.97698860364</v>
      </c>
      <c r="H69" s="41" t="n">
        <f aca="false">(parametros_carros!$D$26*('Plan mensual'!J35+IF(parametros_carros!$H$26="Todos",'Plan mensual'!J39,0))+parametros_carros!$E$26*('Plan mensual'!J36+IF(parametros_carros!$H$26="Todos",'Plan mensual'!J40,0))+parametros_carros!$F$26*('Plan mensual'!J37+IF(parametros_carros!$H$26="Todos",'Plan mensual'!J41,0))+parametros_carros!$G$26*('Plan mensual'!J38+IF(parametros_carros!$H$26="Todos",'Plan mensual'!J42,0)))/60</f>
        <v>14.599112179095</v>
      </c>
      <c r="I69" s="41" t="n">
        <f aca="false">(parametros_carros!$D$26*('Plan mensual'!K35+IF(parametros_carros!$H$26="Todos",'Plan mensual'!K39,0))+parametros_carros!$E$26*('Plan mensual'!K36+IF(parametros_carros!$H$26="Todos",'Plan mensual'!K40,0))+parametros_carros!$F$26*('Plan mensual'!K37+IF(parametros_carros!$H$26="Todos",'Plan mensual'!K41,0))+parametros_carros!$G$26*('Plan mensual'!K38+IF(parametros_carros!$H$26="Todos",'Plan mensual'!K42,0)))/60</f>
        <v>14.599112179095</v>
      </c>
      <c r="J69" s="41" t="n">
        <f aca="false">(parametros_carros!$D$26*('Plan mensual'!L35+IF(parametros_carros!$H$26="Todos",'Plan mensual'!L39,0))+parametros_carros!$E$26*('Plan mensual'!L36+IF(parametros_carros!$H$26="Todos",'Plan mensual'!L40,0))+parametros_carros!$F$26*('Plan mensual'!L37+IF(parametros_carros!$H$26="Todos",'Plan mensual'!L41,0))+parametros_carros!$G$26*('Plan mensual'!L38+IF(parametros_carros!$H$26="Todos",'Plan mensual'!L42,0)))/60</f>
        <v>13.7880503913675</v>
      </c>
      <c r="K69" s="41" t="n">
        <f aca="false">(parametros_carros!$D$26*('Plan mensual'!M35+IF(parametros_carros!$H$26="Todos",'Plan mensual'!M39,0))+parametros_carros!$E$26*('Plan mensual'!M36+IF(parametros_carros!$H$26="Todos",'Plan mensual'!M40,0))+parametros_carros!$F$26*('Plan mensual'!M37+IF(parametros_carros!$H$26="Todos",'Plan mensual'!M41,0))+parametros_carros!$G$26*('Plan mensual'!M38+IF(parametros_carros!$H$26="Todos",'Plan mensual'!M42,0)))/60</f>
        <v>12.1659268159125</v>
      </c>
      <c r="L69" s="41" t="n">
        <f aca="false">(parametros_carros!$D$26*('Plan mensual'!N35+IF(parametros_carros!$H$26="Todos",'Plan mensual'!N39,0))+parametros_carros!$E$26*('Plan mensual'!N36+IF(parametros_carros!$H$26="Todos",'Plan mensual'!N40,0))+parametros_carros!$F$26*('Plan mensual'!N37+IF(parametros_carros!$H$26="Todos",'Plan mensual'!N41,0))+parametros_carros!$G$26*('Plan mensual'!N38+IF(parametros_carros!$H$26="Todos",'Plan mensual'!N42,0)))/60</f>
        <v>11.354865028185</v>
      </c>
      <c r="M69" s="41" t="n">
        <f aca="false">(parametros_carros!$D$26*('Plan mensual'!O35+IF(parametros_carros!$H$26="Todos",'Plan mensual'!O39,0))+parametros_carros!$E$26*('Plan mensual'!O36+IF(parametros_carros!$H$26="Todos",'Plan mensual'!O40,0))+parametros_carros!$F$26*('Plan mensual'!O37+IF(parametros_carros!$H$26="Todos",'Plan mensual'!O41,0))+parametros_carros!$G$26*('Plan mensual'!O38+IF(parametros_carros!$H$26="Todos",'Plan mensual'!O42,0)))/60</f>
        <v>12.97698860364</v>
      </c>
      <c r="N69" s="41" t="n">
        <f aca="false">SUM(B69:M69)</f>
        <v>162.2123575455</v>
      </c>
      <c r="O69" s="41" t="n">
        <f aca="false">MAX(B69:M69)</f>
        <v>14.599112179095</v>
      </c>
      <c r="P69" s="45" t="n">
        <f aca="false">IF(parametros_carros!$B$7=0,0,(O69+parametros_carros!$G$52)/parametros_carros!$B$7)</f>
        <v>0.1173274145273</v>
      </c>
      <c r="Q69" s="29" t="str">
        <f aca="false">IF(O69=0,"-",INDEX($B$61:$M$61,MATCH(O69,B69:M69,0)))</f>
        <v>Mar</v>
      </c>
    </row>
    <row r="70" customFormat="false" ht="14.25" hidden="false" customHeight="true" outlineLevel="0" collapsed="false">
      <c r="A70" s="12" t="str">
        <f aca="false">parametros_carros!$B$27</f>
        <v>Soldadura de accesorios</v>
      </c>
      <c r="B70" s="41" t="n">
        <f aca="false">(parametros_carros!$D$27*('Plan mensual'!D35+IF(parametros_carros!$H$27="Todos",'Plan mensual'!D39,0))+parametros_carros!$E$27*('Plan mensual'!D36+IF(parametros_carros!$H$27="Todos",'Plan mensual'!D40,0))+parametros_carros!$F$27*('Plan mensual'!D37+IF(parametros_carros!$H$27="Todos",'Plan mensual'!D41,0))+parametros_carros!$G$27*('Plan mensual'!D38+IF(parametros_carros!$H$27="Todos",'Plan mensual'!D42,0)))/60</f>
        <v>14.05024114134</v>
      </c>
      <c r="C70" s="41" t="n">
        <f aca="false">(parametros_carros!$D$27*('Plan mensual'!E35+IF(parametros_carros!$H$27="Todos",'Plan mensual'!E39,0))+parametros_carros!$E$27*('Plan mensual'!E36+IF(parametros_carros!$H$27="Todos",'Plan mensual'!E40,0))+parametros_carros!$F$27*('Plan mensual'!E37+IF(parametros_carros!$H$27="Todos",'Plan mensual'!E41,0))+parametros_carros!$G$27*('Plan mensual'!E38+IF(parametros_carros!$H$27="Todos",'Plan mensual'!E42,0)))/60</f>
        <v>12.3972715953</v>
      </c>
      <c r="D70" s="41" t="n">
        <f aca="false">(parametros_carros!$D$27*('Plan mensual'!F35+IF(parametros_carros!$H$27="Todos",'Plan mensual'!F39,0))+parametros_carros!$E$27*('Plan mensual'!F36+IF(parametros_carros!$H$27="Todos",'Plan mensual'!F40,0))+parametros_carros!$F$27*('Plan mensual'!F37+IF(parametros_carros!$H$27="Todos",'Plan mensual'!F41,0))+parametros_carros!$G$27*('Plan mensual'!F38+IF(parametros_carros!$H$27="Todos",'Plan mensual'!F42,0)))/60</f>
        <v>14.87672591436</v>
      </c>
      <c r="E70" s="41" t="n">
        <f aca="false">(parametros_carros!$D$27*('Plan mensual'!G35+IF(parametros_carros!$H$27="Todos",'Plan mensual'!G39,0))+parametros_carros!$E$27*('Plan mensual'!G36+IF(parametros_carros!$H$27="Todos",'Plan mensual'!G40,0))+parametros_carros!$F$27*('Plan mensual'!G37+IF(parametros_carros!$H$27="Todos",'Plan mensual'!G41,0))+parametros_carros!$G$27*('Plan mensual'!G38+IF(parametros_carros!$H$27="Todos",'Plan mensual'!G42,0)))/60</f>
        <v>14.87672591436</v>
      </c>
      <c r="F70" s="41" t="n">
        <f aca="false">(parametros_carros!$D$27*('Plan mensual'!H35+IF(parametros_carros!$H$27="Todos",'Plan mensual'!H39,0))+parametros_carros!$E$27*('Plan mensual'!H36+IF(parametros_carros!$H$27="Todos",'Plan mensual'!H40,0))+parametros_carros!$F$27*('Plan mensual'!H37+IF(parametros_carros!$H$27="Todos",'Plan mensual'!H41,0))+parametros_carros!$G$27*('Plan mensual'!H38+IF(parametros_carros!$H$27="Todos",'Plan mensual'!H42,0)))/60</f>
        <v>14.87672591436</v>
      </c>
      <c r="G70" s="41" t="n">
        <f aca="false">(parametros_carros!$D$27*('Plan mensual'!I35+IF(parametros_carros!$H$27="Todos",'Plan mensual'!I39,0))+parametros_carros!$E$27*('Plan mensual'!I36+IF(parametros_carros!$H$27="Todos",'Plan mensual'!I40,0))+parametros_carros!$F$27*('Plan mensual'!I37+IF(parametros_carros!$H$27="Todos",'Plan mensual'!I41,0))+parametros_carros!$G$27*('Plan mensual'!I38+IF(parametros_carros!$H$27="Todos",'Plan mensual'!I42,0)))/60</f>
        <v>13.22375636832</v>
      </c>
      <c r="H70" s="41" t="n">
        <f aca="false">(parametros_carros!$D$27*('Plan mensual'!J35+IF(parametros_carros!$H$27="Todos",'Plan mensual'!J39,0))+parametros_carros!$E$27*('Plan mensual'!J36+IF(parametros_carros!$H$27="Todos",'Plan mensual'!J40,0))+parametros_carros!$F$27*('Plan mensual'!J37+IF(parametros_carros!$H$27="Todos",'Plan mensual'!J41,0))+parametros_carros!$G$27*('Plan mensual'!J38+IF(parametros_carros!$H$27="Todos",'Plan mensual'!J42,0)))/60</f>
        <v>14.87672591436</v>
      </c>
      <c r="I70" s="41" t="n">
        <f aca="false">(parametros_carros!$D$27*('Plan mensual'!K35+IF(parametros_carros!$H$27="Todos",'Plan mensual'!K39,0))+parametros_carros!$E$27*('Plan mensual'!K36+IF(parametros_carros!$H$27="Todos",'Plan mensual'!K40,0))+parametros_carros!$F$27*('Plan mensual'!K37+IF(parametros_carros!$H$27="Todos",'Plan mensual'!K41,0))+parametros_carros!$G$27*('Plan mensual'!K38+IF(parametros_carros!$H$27="Todos",'Plan mensual'!K42,0)))/60</f>
        <v>14.87672591436</v>
      </c>
      <c r="J70" s="41" t="n">
        <f aca="false">(parametros_carros!$D$27*('Plan mensual'!L35+IF(parametros_carros!$H$27="Todos",'Plan mensual'!L39,0))+parametros_carros!$E$27*('Plan mensual'!L36+IF(parametros_carros!$H$27="Todos",'Plan mensual'!L40,0))+parametros_carros!$F$27*('Plan mensual'!L37+IF(parametros_carros!$H$27="Todos",'Plan mensual'!L41,0))+parametros_carros!$G$27*('Plan mensual'!L38+IF(parametros_carros!$H$27="Todos",'Plan mensual'!L42,0)))/60</f>
        <v>14.05024114134</v>
      </c>
      <c r="K70" s="41" t="n">
        <f aca="false">(parametros_carros!$D$27*('Plan mensual'!M35+IF(parametros_carros!$H$27="Todos",'Plan mensual'!M39,0))+parametros_carros!$E$27*('Plan mensual'!M36+IF(parametros_carros!$H$27="Todos",'Plan mensual'!M40,0))+parametros_carros!$F$27*('Plan mensual'!M37+IF(parametros_carros!$H$27="Todos",'Plan mensual'!M41,0))+parametros_carros!$G$27*('Plan mensual'!M38+IF(parametros_carros!$H$27="Todos",'Plan mensual'!M42,0)))/60</f>
        <v>12.3972715953</v>
      </c>
      <c r="L70" s="41" t="n">
        <f aca="false">(parametros_carros!$D$27*('Plan mensual'!N35+IF(parametros_carros!$H$27="Todos",'Plan mensual'!N39,0))+parametros_carros!$E$27*('Plan mensual'!N36+IF(parametros_carros!$H$27="Todos",'Plan mensual'!N40,0))+parametros_carros!$F$27*('Plan mensual'!N37+IF(parametros_carros!$H$27="Todos",'Plan mensual'!N41,0))+parametros_carros!$G$27*('Plan mensual'!N38+IF(parametros_carros!$H$27="Todos",'Plan mensual'!N42,0)))/60</f>
        <v>11.57078682228</v>
      </c>
      <c r="M70" s="41" t="n">
        <f aca="false">(parametros_carros!$D$27*('Plan mensual'!O35+IF(parametros_carros!$H$27="Todos",'Plan mensual'!O39,0))+parametros_carros!$E$27*('Plan mensual'!O36+IF(parametros_carros!$H$27="Todos",'Plan mensual'!O40,0))+parametros_carros!$F$27*('Plan mensual'!O37+IF(parametros_carros!$H$27="Todos",'Plan mensual'!O41,0))+parametros_carros!$G$27*('Plan mensual'!O38+IF(parametros_carros!$H$27="Todos",'Plan mensual'!O42,0)))/60</f>
        <v>13.22375636832</v>
      </c>
      <c r="N70" s="41" t="n">
        <f aca="false">SUM(B70:M70)</f>
        <v>165.296954604</v>
      </c>
      <c r="O70" s="41" t="n">
        <f aca="false">MAX(B70:M70)</f>
        <v>14.87672591436</v>
      </c>
      <c r="P70" s="45" t="n">
        <f aca="false">IF(parametros_carros!$B$7=0,0,(O70+parametros_carros!$G$53)/parametros_carros!$B$7)</f>
        <v>0.1191781727624</v>
      </c>
      <c r="Q70" s="29" t="str">
        <f aca="false">IF(O70=0,"-",INDEX($B$61:$M$61,MATCH(O70,B70:M70,0)))</f>
        <v>Mar</v>
      </c>
    </row>
    <row r="71" customFormat="false" ht="14.25" hidden="false" customHeight="true" outlineLevel="0" collapsed="false">
      <c r="A71" s="12" t="str">
        <f aca="false">parametros_carros!$B$28</f>
        <v>Fabricación de accesorios</v>
      </c>
      <c r="B71" s="41" t="n">
        <f aca="false">(parametros_carros!$D$28*('Plan mensual'!D35+IF(parametros_carros!$H$28="Todos",'Plan mensual'!D39,0))+parametros_carros!$E$28*('Plan mensual'!D36+IF(parametros_carros!$H$28="Todos",'Plan mensual'!D40,0))+parametros_carros!$F$28*('Plan mensual'!D37+IF(parametros_carros!$H$28="Todos",'Plan mensual'!D41,0))+parametros_carros!$G$28*('Plan mensual'!D38+IF(parametros_carros!$H$28="Todos",'Plan mensual'!D42,0)))/60</f>
        <v>9.5469641664375</v>
      </c>
      <c r="C71" s="41" t="n">
        <f aca="false">(parametros_carros!$D$28*('Plan mensual'!E35+IF(parametros_carros!$H$28="Todos",'Plan mensual'!E39,0))+parametros_carros!$E$28*('Plan mensual'!E36+IF(parametros_carros!$H$28="Todos",'Plan mensual'!E40,0))+parametros_carros!$F$28*('Plan mensual'!E37+IF(parametros_carros!$H$28="Todos",'Plan mensual'!E41,0))+parametros_carros!$G$28*('Plan mensual'!E38+IF(parametros_carros!$H$28="Todos",'Plan mensual'!E42,0)))/60</f>
        <v>8.4237919115625</v>
      </c>
      <c r="D71" s="41" t="n">
        <f aca="false">(parametros_carros!$D$28*('Plan mensual'!F35+IF(parametros_carros!$H$28="Todos",'Plan mensual'!F39,0))+parametros_carros!$E$28*('Plan mensual'!F36+IF(parametros_carros!$H$28="Todos",'Plan mensual'!F40,0))+parametros_carros!$F$28*('Plan mensual'!F37+IF(parametros_carros!$H$28="Todos",'Plan mensual'!F41,0))+parametros_carros!$G$28*('Plan mensual'!F38+IF(parametros_carros!$H$28="Todos",'Plan mensual'!F42,0)))/60</f>
        <v>10.108550293875</v>
      </c>
      <c r="E71" s="41" t="n">
        <f aca="false">(parametros_carros!$D$28*('Plan mensual'!G35+IF(parametros_carros!$H$28="Todos",'Plan mensual'!G39,0))+parametros_carros!$E$28*('Plan mensual'!G36+IF(parametros_carros!$H$28="Todos",'Plan mensual'!G40,0))+parametros_carros!$F$28*('Plan mensual'!G37+IF(parametros_carros!$H$28="Todos",'Plan mensual'!G41,0))+parametros_carros!$G$28*('Plan mensual'!G38+IF(parametros_carros!$H$28="Todos",'Plan mensual'!G42,0)))/60</f>
        <v>10.108550293875</v>
      </c>
      <c r="F71" s="41" t="n">
        <f aca="false">(parametros_carros!$D$28*('Plan mensual'!H35+IF(parametros_carros!$H$28="Todos",'Plan mensual'!H39,0))+parametros_carros!$E$28*('Plan mensual'!H36+IF(parametros_carros!$H$28="Todos",'Plan mensual'!H40,0))+parametros_carros!$F$28*('Plan mensual'!H37+IF(parametros_carros!$H$28="Todos",'Plan mensual'!H41,0))+parametros_carros!$G$28*('Plan mensual'!H38+IF(parametros_carros!$H$28="Todos",'Plan mensual'!H42,0)))/60</f>
        <v>10.108550293875</v>
      </c>
      <c r="G71" s="41" t="n">
        <f aca="false">(parametros_carros!$D$28*('Plan mensual'!I35+IF(parametros_carros!$H$28="Todos",'Plan mensual'!I39,0))+parametros_carros!$E$28*('Plan mensual'!I36+IF(parametros_carros!$H$28="Todos",'Plan mensual'!I40,0))+parametros_carros!$F$28*('Plan mensual'!I37+IF(parametros_carros!$H$28="Todos",'Plan mensual'!I41,0))+parametros_carros!$G$28*('Plan mensual'!I38+IF(parametros_carros!$H$28="Todos",'Plan mensual'!I42,0)))/60</f>
        <v>8.985378039</v>
      </c>
      <c r="H71" s="41" t="n">
        <f aca="false">(parametros_carros!$D$28*('Plan mensual'!J35+IF(parametros_carros!$H$28="Todos",'Plan mensual'!J39,0))+parametros_carros!$E$28*('Plan mensual'!J36+IF(parametros_carros!$H$28="Todos",'Plan mensual'!J40,0))+parametros_carros!$F$28*('Plan mensual'!J37+IF(parametros_carros!$H$28="Todos",'Plan mensual'!J41,0))+parametros_carros!$G$28*('Plan mensual'!J38+IF(parametros_carros!$H$28="Todos",'Plan mensual'!J42,0)))/60</f>
        <v>10.108550293875</v>
      </c>
      <c r="I71" s="41" t="n">
        <f aca="false">(parametros_carros!$D$28*('Plan mensual'!K35+IF(parametros_carros!$H$28="Todos",'Plan mensual'!K39,0))+parametros_carros!$E$28*('Plan mensual'!K36+IF(parametros_carros!$H$28="Todos",'Plan mensual'!K40,0))+parametros_carros!$F$28*('Plan mensual'!K37+IF(parametros_carros!$H$28="Todos",'Plan mensual'!K41,0))+parametros_carros!$G$28*('Plan mensual'!K38+IF(parametros_carros!$H$28="Todos",'Plan mensual'!K42,0)))/60</f>
        <v>10.108550293875</v>
      </c>
      <c r="J71" s="41" t="n">
        <f aca="false">(parametros_carros!$D$28*('Plan mensual'!L35+IF(parametros_carros!$H$28="Todos",'Plan mensual'!L39,0))+parametros_carros!$E$28*('Plan mensual'!L36+IF(parametros_carros!$H$28="Todos",'Plan mensual'!L40,0))+parametros_carros!$F$28*('Plan mensual'!L37+IF(parametros_carros!$H$28="Todos",'Plan mensual'!L41,0))+parametros_carros!$G$28*('Plan mensual'!L38+IF(parametros_carros!$H$28="Todos",'Plan mensual'!L42,0)))/60</f>
        <v>9.5469641664375</v>
      </c>
      <c r="K71" s="41" t="n">
        <f aca="false">(parametros_carros!$D$28*('Plan mensual'!M35+IF(parametros_carros!$H$28="Todos",'Plan mensual'!M39,0))+parametros_carros!$E$28*('Plan mensual'!M36+IF(parametros_carros!$H$28="Todos",'Plan mensual'!M40,0))+parametros_carros!$F$28*('Plan mensual'!M37+IF(parametros_carros!$H$28="Todos",'Plan mensual'!M41,0))+parametros_carros!$G$28*('Plan mensual'!M38+IF(parametros_carros!$H$28="Todos",'Plan mensual'!M42,0)))/60</f>
        <v>8.4237919115625</v>
      </c>
      <c r="L71" s="41" t="n">
        <f aca="false">(parametros_carros!$D$28*('Plan mensual'!N35+IF(parametros_carros!$H$28="Todos",'Plan mensual'!N39,0))+parametros_carros!$E$28*('Plan mensual'!N36+IF(parametros_carros!$H$28="Todos",'Plan mensual'!N40,0))+parametros_carros!$F$28*('Plan mensual'!N37+IF(parametros_carros!$H$28="Todos",'Plan mensual'!N41,0))+parametros_carros!$G$28*('Plan mensual'!N38+IF(parametros_carros!$H$28="Todos",'Plan mensual'!N42,0)))/60</f>
        <v>7.862205784125</v>
      </c>
      <c r="M71" s="41" t="n">
        <f aca="false">(parametros_carros!$D$28*('Plan mensual'!O35+IF(parametros_carros!$H$28="Todos",'Plan mensual'!O39,0))+parametros_carros!$E$28*('Plan mensual'!O36+IF(parametros_carros!$H$28="Todos",'Plan mensual'!O40,0))+parametros_carros!$F$28*('Plan mensual'!O37+IF(parametros_carros!$H$28="Todos",'Plan mensual'!O41,0))+parametros_carros!$G$28*('Plan mensual'!O38+IF(parametros_carros!$H$28="Todos",'Plan mensual'!O42,0)))/60</f>
        <v>8.985378039</v>
      </c>
      <c r="N71" s="41" t="n">
        <f aca="false">SUM(B71:M71)</f>
        <v>112.3172254875</v>
      </c>
      <c r="O71" s="41" t="n">
        <f aca="false">MAX(B71:M71)</f>
        <v>10.108550293875</v>
      </c>
      <c r="P71" s="45" t="n">
        <f aca="false">IF(parametros_carros!$B$7=0,0,(O71+parametros_carros!$G$54)/parametros_carros!$B$7)</f>
        <v>0.100723668625833</v>
      </c>
      <c r="Q71" s="29" t="str">
        <f aca="false">IF(O71=0,"-",INDEX($B$61:$M$61,MATCH(O71,B71:M71,0)))</f>
        <v>Mar</v>
      </c>
    </row>
    <row r="72" customFormat="false" ht="14.25" hidden="false" customHeight="true" outlineLevel="0" collapsed="false">
      <c r="A72" s="12" t="str">
        <f aca="false">parametros_carros!$B$29</f>
        <v>Prueba hidráulica</v>
      </c>
      <c r="B72" s="41" t="n">
        <f aca="false">(parametros_carros!$D$29*('Plan mensual'!D35+IF(parametros_carros!$H$29="Todos",'Plan mensual'!D39,0))+parametros_carros!$E$29*('Plan mensual'!D36+IF(parametros_carros!$H$29="Todos",'Plan mensual'!D40,0))+parametros_carros!$F$29*('Plan mensual'!D37+IF(parametros_carros!$H$29="Todos",'Plan mensual'!D41,0))+parametros_carros!$G$29*('Plan mensual'!D38+IF(parametros_carros!$H$29="Todos",'Plan mensual'!D42,0)))/60</f>
        <v>7.79287638318875</v>
      </c>
      <c r="C72" s="41" t="n">
        <f aca="false">(parametros_carros!$D$29*('Plan mensual'!E35+IF(parametros_carros!$H$29="Todos",'Plan mensual'!E39,0))+parametros_carros!$E$29*('Plan mensual'!E36+IF(parametros_carros!$H$29="Todos",'Plan mensual'!E40,0))+parametros_carros!$F$29*('Plan mensual'!E37+IF(parametros_carros!$H$29="Todos",'Plan mensual'!E41,0))+parametros_carros!$G$29*('Plan mensual'!E38+IF(parametros_carros!$H$29="Todos",'Plan mensual'!E42,0)))/60</f>
        <v>6.87606739693125</v>
      </c>
      <c r="D72" s="41" t="n">
        <f aca="false">(parametros_carros!$D$29*('Plan mensual'!F35+IF(parametros_carros!$H$29="Todos",'Plan mensual'!F39,0))+parametros_carros!$E$29*('Plan mensual'!F36+IF(parametros_carros!$H$29="Todos",'Plan mensual'!F40,0))+parametros_carros!$F$29*('Plan mensual'!F37+IF(parametros_carros!$H$29="Todos",'Plan mensual'!F41,0))+parametros_carros!$G$29*('Plan mensual'!F38+IF(parametros_carros!$H$29="Todos",'Plan mensual'!F42,0)))/60</f>
        <v>8.2512808763175</v>
      </c>
      <c r="E72" s="41" t="n">
        <f aca="false">(parametros_carros!$D$29*('Plan mensual'!G35+IF(parametros_carros!$H$29="Todos",'Plan mensual'!G39,0))+parametros_carros!$E$29*('Plan mensual'!G36+IF(parametros_carros!$H$29="Todos",'Plan mensual'!G40,0))+parametros_carros!$F$29*('Plan mensual'!G37+IF(parametros_carros!$H$29="Todos",'Plan mensual'!G41,0))+parametros_carros!$G$29*('Plan mensual'!G38+IF(parametros_carros!$H$29="Todos",'Plan mensual'!G42,0)))/60</f>
        <v>8.2512808763175</v>
      </c>
      <c r="F72" s="41" t="n">
        <f aca="false">(parametros_carros!$D$29*('Plan mensual'!H35+IF(parametros_carros!$H$29="Todos",'Plan mensual'!H39,0))+parametros_carros!$E$29*('Plan mensual'!H36+IF(parametros_carros!$H$29="Todos",'Plan mensual'!H40,0))+parametros_carros!$F$29*('Plan mensual'!H37+IF(parametros_carros!$H$29="Todos",'Plan mensual'!H41,0))+parametros_carros!$G$29*('Plan mensual'!H38+IF(parametros_carros!$H$29="Todos",'Plan mensual'!H42,0)))/60</f>
        <v>8.2512808763175</v>
      </c>
      <c r="G72" s="41" t="n">
        <f aca="false">(parametros_carros!$D$29*('Plan mensual'!I35+IF(parametros_carros!$H$29="Todos",'Plan mensual'!I39,0))+parametros_carros!$E$29*('Plan mensual'!I36+IF(parametros_carros!$H$29="Todos",'Plan mensual'!I40,0))+parametros_carros!$F$29*('Plan mensual'!I37+IF(parametros_carros!$H$29="Todos",'Plan mensual'!I41,0))+parametros_carros!$G$29*('Plan mensual'!I38+IF(parametros_carros!$H$29="Todos",'Plan mensual'!I42,0)))/60</f>
        <v>7.33447189006</v>
      </c>
      <c r="H72" s="41" t="n">
        <f aca="false">(parametros_carros!$D$29*('Plan mensual'!J35+IF(parametros_carros!$H$29="Todos",'Plan mensual'!J39,0))+parametros_carros!$E$29*('Plan mensual'!J36+IF(parametros_carros!$H$29="Todos",'Plan mensual'!J40,0))+parametros_carros!$F$29*('Plan mensual'!J37+IF(parametros_carros!$H$29="Todos",'Plan mensual'!J41,0))+parametros_carros!$G$29*('Plan mensual'!J38+IF(parametros_carros!$H$29="Todos",'Plan mensual'!J42,0)))/60</f>
        <v>8.2512808763175</v>
      </c>
      <c r="I72" s="41" t="n">
        <f aca="false">(parametros_carros!$D$29*('Plan mensual'!K35+IF(parametros_carros!$H$29="Todos",'Plan mensual'!K39,0))+parametros_carros!$E$29*('Plan mensual'!K36+IF(parametros_carros!$H$29="Todos",'Plan mensual'!K40,0))+parametros_carros!$F$29*('Plan mensual'!K37+IF(parametros_carros!$H$29="Todos",'Plan mensual'!K41,0))+parametros_carros!$G$29*('Plan mensual'!K38+IF(parametros_carros!$H$29="Todos",'Plan mensual'!K42,0)))/60</f>
        <v>8.2512808763175</v>
      </c>
      <c r="J72" s="41" t="n">
        <f aca="false">(parametros_carros!$D$29*('Plan mensual'!L35+IF(parametros_carros!$H$29="Todos",'Plan mensual'!L39,0))+parametros_carros!$E$29*('Plan mensual'!L36+IF(parametros_carros!$H$29="Todos",'Plan mensual'!L40,0))+parametros_carros!$F$29*('Plan mensual'!L37+IF(parametros_carros!$H$29="Todos",'Plan mensual'!L41,0))+parametros_carros!$G$29*('Plan mensual'!L38+IF(parametros_carros!$H$29="Todos",'Plan mensual'!L42,0)))/60</f>
        <v>7.79287638318875</v>
      </c>
      <c r="K72" s="41" t="n">
        <f aca="false">(parametros_carros!$D$29*('Plan mensual'!M35+IF(parametros_carros!$H$29="Todos",'Plan mensual'!M39,0))+parametros_carros!$E$29*('Plan mensual'!M36+IF(parametros_carros!$H$29="Todos",'Plan mensual'!M40,0))+parametros_carros!$F$29*('Plan mensual'!M37+IF(parametros_carros!$H$29="Todos",'Plan mensual'!M41,0))+parametros_carros!$G$29*('Plan mensual'!M38+IF(parametros_carros!$H$29="Todos",'Plan mensual'!M42,0)))/60</f>
        <v>6.87606739693125</v>
      </c>
      <c r="L72" s="41" t="n">
        <f aca="false">(parametros_carros!$D$29*('Plan mensual'!N35+IF(parametros_carros!$H$29="Todos",'Plan mensual'!N39,0))+parametros_carros!$E$29*('Plan mensual'!N36+IF(parametros_carros!$H$29="Todos",'Plan mensual'!N40,0))+parametros_carros!$F$29*('Plan mensual'!N37+IF(parametros_carros!$H$29="Todos",'Plan mensual'!N41,0))+parametros_carros!$G$29*('Plan mensual'!N38+IF(parametros_carros!$H$29="Todos",'Plan mensual'!N42,0)))/60</f>
        <v>6.4176629038025</v>
      </c>
      <c r="M72" s="41" t="n">
        <f aca="false">(parametros_carros!$D$29*('Plan mensual'!O35+IF(parametros_carros!$H$29="Todos",'Plan mensual'!O39,0))+parametros_carros!$E$29*('Plan mensual'!O36+IF(parametros_carros!$H$29="Todos",'Plan mensual'!O40,0))+parametros_carros!$F$29*('Plan mensual'!O37+IF(parametros_carros!$H$29="Todos",'Plan mensual'!O41,0))+parametros_carros!$G$29*('Plan mensual'!O38+IF(parametros_carros!$H$29="Todos",'Plan mensual'!O42,0)))/60</f>
        <v>7.33447189006</v>
      </c>
      <c r="N72" s="41" t="n">
        <f aca="false">SUM(B72:M72)</f>
        <v>91.68089862575</v>
      </c>
      <c r="O72" s="41" t="n">
        <f aca="false">MAX(B72:M72)</f>
        <v>8.2512808763175</v>
      </c>
      <c r="P72" s="45" t="n">
        <f aca="false">IF(parametros_carros!$B$7=0,0,(O72+parametros_carros!$G$55)/parametros_carros!$B$7)</f>
        <v>0.0772307613976722</v>
      </c>
      <c r="Q72" s="29" t="str">
        <f aca="false">IF(O72=0,"-",INDEX($B$61:$M$61,MATCH(O72,B72:M72,0)))</f>
        <v>Mar</v>
      </c>
    </row>
    <row r="73" customFormat="false" ht="14.25" hidden="false" customHeight="true" outlineLevel="0" collapsed="false">
      <c r="A73" s="12" t="str">
        <f aca="false">parametros_carros!$B$30</f>
        <v>Secado</v>
      </c>
      <c r="B73" s="41" t="n">
        <f aca="false">(parametros_carros!$D$30*('Plan mensual'!D35+IF(parametros_carros!$H$30="Todos",'Plan mensual'!D39,0))+parametros_carros!$E$30*('Plan mensual'!D36+IF(parametros_carros!$H$30="Todos",'Plan mensual'!D40,0))+parametros_carros!$F$30*('Plan mensual'!D37+IF(parametros_carros!$H$30="Todos",'Plan mensual'!D41,0))+parametros_carros!$G$30*('Plan mensual'!D38+IF(parametros_carros!$H$30="Todos",'Plan mensual'!D42,0)))/60</f>
        <v>8.72581848323</v>
      </c>
      <c r="C73" s="41" t="n">
        <f aca="false">(parametros_carros!$D$30*('Plan mensual'!E35+IF(parametros_carros!$H$30="Todos",'Plan mensual'!E39,0))+parametros_carros!$E$30*('Plan mensual'!E36+IF(parametros_carros!$H$30="Todos",'Plan mensual'!E40,0))+parametros_carros!$F$30*('Plan mensual'!E37+IF(parametros_carros!$H$30="Todos",'Plan mensual'!E41,0))+parametros_carros!$G$30*('Plan mensual'!E38+IF(parametros_carros!$H$30="Todos",'Plan mensual'!E42,0)))/60</f>
        <v>7.69925160285</v>
      </c>
      <c r="D73" s="41" t="n">
        <f aca="false">(parametros_carros!$D$30*('Plan mensual'!F35+IF(parametros_carros!$H$30="Todos",'Plan mensual'!F39,0))+parametros_carros!$E$30*('Plan mensual'!F36+IF(parametros_carros!$H$30="Todos",'Plan mensual'!F40,0))+parametros_carros!$F$30*('Plan mensual'!F37+IF(parametros_carros!$H$30="Todos",'Plan mensual'!F41,0))+parametros_carros!$G$30*('Plan mensual'!F38+IF(parametros_carros!$H$30="Todos",'Plan mensual'!F42,0)))/60</f>
        <v>9.23910192342</v>
      </c>
      <c r="E73" s="41" t="n">
        <f aca="false">(parametros_carros!$D$30*('Plan mensual'!G35+IF(parametros_carros!$H$30="Todos",'Plan mensual'!G39,0))+parametros_carros!$E$30*('Plan mensual'!G36+IF(parametros_carros!$H$30="Todos",'Plan mensual'!G40,0))+parametros_carros!$F$30*('Plan mensual'!G37+IF(parametros_carros!$H$30="Todos",'Plan mensual'!G41,0))+parametros_carros!$G$30*('Plan mensual'!G38+IF(parametros_carros!$H$30="Todos",'Plan mensual'!G42,0)))/60</f>
        <v>9.23910192342</v>
      </c>
      <c r="F73" s="41" t="n">
        <f aca="false">(parametros_carros!$D$30*('Plan mensual'!H35+IF(parametros_carros!$H$30="Todos",'Plan mensual'!H39,0))+parametros_carros!$E$30*('Plan mensual'!H36+IF(parametros_carros!$H$30="Todos",'Plan mensual'!H40,0))+parametros_carros!$F$30*('Plan mensual'!H37+IF(parametros_carros!$H$30="Todos",'Plan mensual'!H41,0))+parametros_carros!$G$30*('Plan mensual'!H38+IF(parametros_carros!$H$30="Todos",'Plan mensual'!H42,0)))/60</f>
        <v>9.23910192342</v>
      </c>
      <c r="G73" s="41" t="n">
        <f aca="false">(parametros_carros!$D$30*('Plan mensual'!I35+IF(parametros_carros!$H$30="Todos",'Plan mensual'!I39,0))+parametros_carros!$E$30*('Plan mensual'!I36+IF(parametros_carros!$H$30="Todos",'Plan mensual'!I40,0))+parametros_carros!$F$30*('Plan mensual'!I37+IF(parametros_carros!$H$30="Todos",'Plan mensual'!I41,0))+parametros_carros!$G$30*('Plan mensual'!I38+IF(parametros_carros!$H$30="Todos",'Plan mensual'!I42,0)))/60</f>
        <v>8.21253504304</v>
      </c>
      <c r="H73" s="41" t="n">
        <f aca="false">(parametros_carros!$D$30*('Plan mensual'!J35+IF(parametros_carros!$H$30="Todos",'Plan mensual'!J39,0))+parametros_carros!$E$30*('Plan mensual'!J36+IF(parametros_carros!$H$30="Todos",'Plan mensual'!J40,0))+parametros_carros!$F$30*('Plan mensual'!J37+IF(parametros_carros!$H$30="Todos",'Plan mensual'!J41,0))+parametros_carros!$G$30*('Plan mensual'!J38+IF(parametros_carros!$H$30="Todos",'Plan mensual'!J42,0)))/60</f>
        <v>9.23910192342</v>
      </c>
      <c r="I73" s="41" t="n">
        <f aca="false">(parametros_carros!$D$30*('Plan mensual'!K35+IF(parametros_carros!$H$30="Todos",'Plan mensual'!K39,0))+parametros_carros!$E$30*('Plan mensual'!K36+IF(parametros_carros!$H$30="Todos",'Plan mensual'!K40,0))+parametros_carros!$F$30*('Plan mensual'!K37+IF(parametros_carros!$H$30="Todos",'Plan mensual'!K41,0))+parametros_carros!$G$30*('Plan mensual'!K38+IF(parametros_carros!$H$30="Todos",'Plan mensual'!K42,0)))/60</f>
        <v>9.23910192342</v>
      </c>
      <c r="J73" s="41" t="n">
        <f aca="false">(parametros_carros!$D$30*('Plan mensual'!L35+IF(parametros_carros!$H$30="Todos",'Plan mensual'!L39,0))+parametros_carros!$E$30*('Plan mensual'!L36+IF(parametros_carros!$H$30="Todos",'Plan mensual'!L40,0))+parametros_carros!$F$30*('Plan mensual'!L37+IF(parametros_carros!$H$30="Todos",'Plan mensual'!L41,0))+parametros_carros!$G$30*('Plan mensual'!L38+IF(parametros_carros!$H$30="Todos",'Plan mensual'!L42,0)))/60</f>
        <v>8.72581848323</v>
      </c>
      <c r="K73" s="41" t="n">
        <f aca="false">(parametros_carros!$D$30*('Plan mensual'!M35+IF(parametros_carros!$H$30="Todos",'Plan mensual'!M39,0))+parametros_carros!$E$30*('Plan mensual'!M36+IF(parametros_carros!$H$30="Todos",'Plan mensual'!M40,0))+parametros_carros!$F$30*('Plan mensual'!M37+IF(parametros_carros!$H$30="Todos",'Plan mensual'!M41,0))+parametros_carros!$G$30*('Plan mensual'!M38+IF(parametros_carros!$H$30="Todos",'Plan mensual'!M42,0)))/60</f>
        <v>7.69925160285</v>
      </c>
      <c r="L73" s="41" t="n">
        <f aca="false">(parametros_carros!$D$30*('Plan mensual'!N35+IF(parametros_carros!$H$30="Todos",'Plan mensual'!N39,0))+parametros_carros!$E$30*('Plan mensual'!N36+IF(parametros_carros!$H$30="Todos",'Plan mensual'!N40,0))+parametros_carros!$F$30*('Plan mensual'!N37+IF(parametros_carros!$H$30="Todos",'Plan mensual'!N41,0))+parametros_carros!$G$30*('Plan mensual'!N38+IF(parametros_carros!$H$30="Todos",'Plan mensual'!N42,0)))/60</f>
        <v>7.18596816266</v>
      </c>
      <c r="M73" s="41" t="n">
        <f aca="false">(parametros_carros!$D$30*('Plan mensual'!O35+IF(parametros_carros!$H$30="Todos",'Plan mensual'!O39,0))+parametros_carros!$E$30*('Plan mensual'!O36+IF(parametros_carros!$H$30="Todos",'Plan mensual'!O40,0))+parametros_carros!$F$30*('Plan mensual'!O37+IF(parametros_carros!$H$30="Todos",'Plan mensual'!O41,0))+parametros_carros!$G$30*('Plan mensual'!O38+IF(parametros_carros!$H$30="Todos",'Plan mensual'!O42,0)))/60</f>
        <v>8.21253504304</v>
      </c>
      <c r="N73" s="41" t="n">
        <f aca="false">SUM(B73:M73)</f>
        <v>102.656688038</v>
      </c>
      <c r="O73" s="41" t="n">
        <f aca="false">MAX(B73:M73)</f>
        <v>9.23910192342</v>
      </c>
      <c r="P73" s="45" t="n">
        <f aca="false">IF(parametros_carros!$B$7=0,0,(O73+parametros_carros!$G$56)/parametros_carros!$B$7)</f>
        <v>0.0615940128228</v>
      </c>
      <c r="Q73" s="29" t="str">
        <f aca="false">IF(O73=0,"-",INDEX($B$61:$M$61,MATCH(O73,B73:M73,0)))</f>
        <v>Mar</v>
      </c>
    </row>
    <row r="74" customFormat="false" ht="14.25" hidden="false" customHeight="true" outlineLevel="0" collapsed="false">
      <c r="A74" s="12" t="str">
        <f aca="false">parametros_carros!$B$31</f>
        <v>Pulmón de despacho y carga a pintura</v>
      </c>
      <c r="B74" s="41" t="n">
        <f aca="false">(parametros_carros!$D$31*('Plan mensual'!D35+IF(parametros_carros!$H$31="Todos",'Plan mensual'!D39,0))+parametros_carros!$E$31*('Plan mensual'!D36+IF(parametros_carros!$H$31="Todos",'Plan mensual'!D40,0))+parametros_carros!$F$31*('Plan mensual'!D37+IF(parametros_carros!$H$31="Todos",'Plan mensual'!D41,0))+parametros_carros!$G$31*('Plan mensual'!D38+IF(parametros_carros!$H$31="Todos",'Plan mensual'!D42,0)))/60</f>
        <v>1.3882413333</v>
      </c>
      <c r="C74" s="41" t="n">
        <f aca="false">(parametros_carros!$D$31*('Plan mensual'!E35+IF(parametros_carros!$H$31="Todos",'Plan mensual'!E39,0))+parametros_carros!$E$31*('Plan mensual'!E36+IF(parametros_carros!$H$31="Todos",'Plan mensual'!E40,0))+parametros_carros!$F$31*('Plan mensual'!E37+IF(parametros_carros!$H$31="Todos",'Plan mensual'!E41,0))+parametros_carros!$G$31*('Plan mensual'!E38+IF(parametros_carros!$H$31="Todos",'Plan mensual'!E42,0)))/60</f>
        <v>1.2249188235</v>
      </c>
      <c r="D74" s="41" t="n">
        <f aca="false">(parametros_carros!$D$31*('Plan mensual'!F35+IF(parametros_carros!$H$31="Todos",'Plan mensual'!F39,0))+parametros_carros!$E$31*('Plan mensual'!F36+IF(parametros_carros!$H$31="Todos",'Plan mensual'!F40,0))+parametros_carros!$F$31*('Plan mensual'!F37+IF(parametros_carros!$H$31="Todos",'Plan mensual'!F41,0))+parametros_carros!$G$31*('Plan mensual'!F38+IF(parametros_carros!$H$31="Todos",'Plan mensual'!F42,0)))/60</f>
        <v>1.4699025882</v>
      </c>
      <c r="E74" s="41" t="n">
        <f aca="false">(parametros_carros!$D$31*('Plan mensual'!G35+IF(parametros_carros!$H$31="Todos",'Plan mensual'!G39,0))+parametros_carros!$E$31*('Plan mensual'!G36+IF(parametros_carros!$H$31="Todos",'Plan mensual'!G40,0))+parametros_carros!$F$31*('Plan mensual'!G37+IF(parametros_carros!$H$31="Todos",'Plan mensual'!G41,0))+parametros_carros!$G$31*('Plan mensual'!G38+IF(parametros_carros!$H$31="Todos",'Plan mensual'!G42,0)))/60</f>
        <v>1.4699025882</v>
      </c>
      <c r="F74" s="41" t="n">
        <f aca="false">(parametros_carros!$D$31*('Plan mensual'!H35+IF(parametros_carros!$H$31="Todos",'Plan mensual'!H39,0))+parametros_carros!$E$31*('Plan mensual'!H36+IF(parametros_carros!$H$31="Todos",'Plan mensual'!H40,0))+parametros_carros!$F$31*('Plan mensual'!H37+IF(parametros_carros!$H$31="Todos",'Plan mensual'!H41,0))+parametros_carros!$G$31*('Plan mensual'!H38+IF(parametros_carros!$H$31="Todos",'Plan mensual'!H42,0)))/60</f>
        <v>1.4699025882</v>
      </c>
      <c r="G74" s="41" t="n">
        <f aca="false">(parametros_carros!$D$31*('Plan mensual'!I35+IF(parametros_carros!$H$31="Todos",'Plan mensual'!I39,0))+parametros_carros!$E$31*('Plan mensual'!I36+IF(parametros_carros!$H$31="Todos",'Plan mensual'!I40,0))+parametros_carros!$F$31*('Plan mensual'!I37+IF(parametros_carros!$H$31="Todos",'Plan mensual'!I41,0))+parametros_carros!$G$31*('Plan mensual'!I38+IF(parametros_carros!$H$31="Todos",'Plan mensual'!I42,0)))/60</f>
        <v>1.3065800784</v>
      </c>
      <c r="H74" s="41" t="n">
        <f aca="false">(parametros_carros!$D$31*('Plan mensual'!J35+IF(parametros_carros!$H$31="Todos",'Plan mensual'!J39,0))+parametros_carros!$E$31*('Plan mensual'!J36+IF(parametros_carros!$H$31="Todos",'Plan mensual'!J40,0))+parametros_carros!$F$31*('Plan mensual'!J37+IF(parametros_carros!$H$31="Todos",'Plan mensual'!J41,0))+parametros_carros!$G$31*('Plan mensual'!J38+IF(parametros_carros!$H$31="Todos",'Plan mensual'!J42,0)))/60</f>
        <v>1.4699025882</v>
      </c>
      <c r="I74" s="41" t="n">
        <f aca="false">(parametros_carros!$D$31*('Plan mensual'!K35+IF(parametros_carros!$H$31="Todos",'Plan mensual'!K39,0))+parametros_carros!$E$31*('Plan mensual'!K36+IF(parametros_carros!$H$31="Todos",'Plan mensual'!K40,0))+parametros_carros!$F$31*('Plan mensual'!K37+IF(parametros_carros!$H$31="Todos",'Plan mensual'!K41,0))+parametros_carros!$G$31*('Plan mensual'!K38+IF(parametros_carros!$H$31="Todos",'Plan mensual'!K42,0)))/60</f>
        <v>1.4699025882</v>
      </c>
      <c r="J74" s="41" t="n">
        <f aca="false">(parametros_carros!$D$31*('Plan mensual'!L35+IF(parametros_carros!$H$31="Todos",'Plan mensual'!L39,0))+parametros_carros!$E$31*('Plan mensual'!L36+IF(parametros_carros!$H$31="Todos",'Plan mensual'!L40,0))+parametros_carros!$F$31*('Plan mensual'!L37+IF(parametros_carros!$H$31="Todos",'Plan mensual'!L41,0))+parametros_carros!$G$31*('Plan mensual'!L38+IF(parametros_carros!$H$31="Todos",'Plan mensual'!L42,0)))/60</f>
        <v>1.3882413333</v>
      </c>
      <c r="K74" s="41" t="n">
        <f aca="false">(parametros_carros!$D$31*('Plan mensual'!M35+IF(parametros_carros!$H$31="Todos",'Plan mensual'!M39,0))+parametros_carros!$E$31*('Plan mensual'!M36+IF(parametros_carros!$H$31="Todos",'Plan mensual'!M40,0))+parametros_carros!$F$31*('Plan mensual'!M37+IF(parametros_carros!$H$31="Todos",'Plan mensual'!M41,0))+parametros_carros!$G$31*('Plan mensual'!M38+IF(parametros_carros!$H$31="Todos",'Plan mensual'!M42,0)))/60</f>
        <v>1.2249188235</v>
      </c>
      <c r="L74" s="41" t="n">
        <f aca="false">(parametros_carros!$D$31*('Plan mensual'!N35+IF(parametros_carros!$H$31="Todos",'Plan mensual'!N39,0))+parametros_carros!$E$31*('Plan mensual'!N36+IF(parametros_carros!$H$31="Todos",'Plan mensual'!N40,0))+parametros_carros!$F$31*('Plan mensual'!N37+IF(parametros_carros!$H$31="Todos",'Plan mensual'!N41,0))+parametros_carros!$G$31*('Plan mensual'!N38+IF(parametros_carros!$H$31="Todos",'Plan mensual'!N42,0)))/60</f>
        <v>1.1432575686</v>
      </c>
      <c r="M74" s="41" t="n">
        <f aca="false">(parametros_carros!$D$31*('Plan mensual'!O35+IF(parametros_carros!$H$31="Todos",'Plan mensual'!O39,0))+parametros_carros!$E$31*('Plan mensual'!O36+IF(parametros_carros!$H$31="Todos",'Plan mensual'!O40,0))+parametros_carros!$F$31*('Plan mensual'!O37+IF(parametros_carros!$H$31="Todos",'Plan mensual'!O41,0))+parametros_carros!$G$31*('Plan mensual'!O38+IF(parametros_carros!$H$31="Todos",'Plan mensual'!O42,0)))/60</f>
        <v>1.3065800784</v>
      </c>
      <c r="N74" s="41" t="n">
        <f aca="false">SUM(B74:M74)</f>
        <v>16.33225098</v>
      </c>
      <c r="O74" s="41" t="n">
        <f aca="false">MAX(B74:M74)</f>
        <v>1.4699025882</v>
      </c>
      <c r="P74" s="45" t="n">
        <f aca="false">IF(parametros_carros!$B$7=0,0,(O74+parametros_carros!$G$57)/parametros_carros!$B$7)</f>
        <v>0.0186882394768889</v>
      </c>
      <c r="Q74" s="29" t="str">
        <f aca="false">IF(O74=0,"-",INDEX($B$61:$M$61,MATCH(O74,B74:M74,0)))</f>
        <v>Mar</v>
      </c>
    </row>
    <row r="75" customFormat="false" ht="14.25" hidden="false" customHeight="true" outlineLevel="0" collapsed="false">
      <c r="A75" s="12" t="str">
        <f aca="false">parametros_carros!$B$32</f>
        <v>Recepción de pintados y cambio de juego</v>
      </c>
      <c r="B75" s="41" t="n">
        <f aca="false">(parametros_carros!$D$32*('Plan mensual'!D35+IF(parametros_carros!$H$32="Todos",'Plan mensual'!D39,0))+parametros_carros!$E$32*('Plan mensual'!D36+IF(parametros_carros!$H$32="Todos",'Plan mensual'!D40,0))+parametros_carros!$F$32*('Plan mensual'!D37+IF(parametros_carros!$H$32="Todos",'Plan mensual'!D41,0))+parametros_carros!$G$32*('Plan mensual'!D38+IF(parametros_carros!$H$32="Todos",'Plan mensual'!D42,0)))/60</f>
        <v>2.71605565826813</v>
      </c>
      <c r="C75" s="41" t="n">
        <f aca="false">(parametros_carros!$D$32*('Plan mensual'!E35+IF(parametros_carros!$H$32="Todos",'Plan mensual'!E39,0))+parametros_carros!$E$32*('Plan mensual'!E36+IF(parametros_carros!$H$32="Todos",'Plan mensual'!E40,0))+parametros_carros!$F$32*('Plan mensual'!E37+IF(parametros_carros!$H$32="Todos",'Plan mensual'!E41,0))+parametros_carros!$G$32*('Plan mensual'!E38+IF(parametros_carros!$H$32="Todos",'Plan mensual'!E42,0)))/60</f>
        <v>2.39651969847188</v>
      </c>
      <c r="D75" s="41" t="n">
        <f aca="false">(parametros_carros!$D$32*('Plan mensual'!F35+IF(parametros_carros!$H$32="Todos",'Plan mensual'!F39,0))+parametros_carros!$E$32*('Plan mensual'!F36+IF(parametros_carros!$H$32="Todos",'Plan mensual'!F40,0))+parametros_carros!$F$32*('Plan mensual'!F37+IF(parametros_carros!$H$32="Todos",'Plan mensual'!F41,0))+parametros_carros!$G$32*('Plan mensual'!F38+IF(parametros_carros!$H$32="Todos",'Plan mensual'!F42,0)))/60</f>
        <v>2.87582363816625</v>
      </c>
      <c r="E75" s="41" t="n">
        <f aca="false">(parametros_carros!$D$32*('Plan mensual'!G35+IF(parametros_carros!$H$32="Todos",'Plan mensual'!G39,0))+parametros_carros!$E$32*('Plan mensual'!G36+IF(parametros_carros!$H$32="Todos",'Plan mensual'!G40,0))+parametros_carros!$F$32*('Plan mensual'!G37+IF(parametros_carros!$H$32="Todos",'Plan mensual'!G41,0))+parametros_carros!$G$32*('Plan mensual'!G38+IF(parametros_carros!$H$32="Todos",'Plan mensual'!G42,0)))/60</f>
        <v>2.87582363816625</v>
      </c>
      <c r="F75" s="41" t="n">
        <f aca="false">(parametros_carros!$D$32*('Plan mensual'!H35+IF(parametros_carros!$H$32="Todos",'Plan mensual'!H39,0))+parametros_carros!$E$32*('Plan mensual'!H36+IF(parametros_carros!$H$32="Todos",'Plan mensual'!H40,0))+parametros_carros!$F$32*('Plan mensual'!H37+IF(parametros_carros!$H$32="Todos",'Plan mensual'!H41,0))+parametros_carros!$G$32*('Plan mensual'!H38+IF(parametros_carros!$H$32="Todos",'Plan mensual'!H42,0)))/60</f>
        <v>2.87582363816625</v>
      </c>
      <c r="G75" s="41" t="n">
        <f aca="false">(parametros_carros!$D$32*('Plan mensual'!I35+IF(parametros_carros!$H$32="Todos",'Plan mensual'!I39,0))+parametros_carros!$E$32*('Plan mensual'!I36+IF(parametros_carros!$H$32="Todos",'Plan mensual'!I40,0))+parametros_carros!$F$32*('Plan mensual'!I37+IF(parametros_carros!$H$32="Todos",'Plan mensual'!I41,0))+parametros_carros!$G$32*('Plan mensual'!I38+IF(parametros_carros!$H$32="Todos",'Plan mensual'!I42,0)))/60</f>
        <v>2.55628767837</v>
      </c>
      <c r="H75" s="41" t="n">
        <f aca="false">(parametros_carros!$D$32*('Plan mensual'!J35+IF(parametros_carros!$H$32="Todos",'Plan mensual'!J39,0))+parametros_carros!$E$32*('Plan mensual'!J36+IF(parametros_carros!$H$32="Todos",'Plan mensual'!J40,0))+parametros_carros!$F$32*('Plan mensual'!J37+IF(parametros_carros!$H$32="Todos",'Plan mensual'!J41,0))+parametros_carros!$G$32*('Plan mensual'!J38+IF(parametros_carros!$H$32="Todos",'Plan mensual'!J42,0)))/60</f>
        <v>2.87582363816625</v>
      </c>
      <c r="I75" s="41" t="n">
        <f aca="false">(parametros_carros!$D$32*('Plan mensual'!K35+IF(parametros_carros!$H$32="Todos",'Plan mensual'!K39,0))+parametros_carros!$E$32*('Plan mensual'!K36+IF(parametros_carros!$H$32="Todos",'Plan mensual'!K40,0))+parametros_carros!$F$32*('Plan mensual'!K37+IF(parametros_carros!$H$32="Todos",'Plan mensual'!K41,0))+parametros_carros!$G$32*('Plan mensual'!K38+IF(parametros_carros!$H$32="Todos",'Plan mensual'!K42,0)))/60</f>
        <v>2.87582363816625</v>
      </c>
      <c r="J75" s="41" t="n">
        <f aca="false">(parametros_carros!$D$32*('Plan mensual'!L35+IF(parametros_carros!$H$32="Todos",'Plan mensual'!L39,0))+parametros_carros!$E$32*('Plan mensual'!L36+IF(parametros_carros!$H$32="Todos",'Plan mensual'!L40,0))+parametros_carros!$F$32*('Plan mensual'!L37+IF(parametros_carros!$H$32="Todos",'Plan mensual'!L41,0))+parametros_carros!$G$32*('Plan mensual'!L38+IF(parametros_carros!$H$32="Todos",'Plan mensual'!L42,0)))/60</f>
        <v>2.71605565826813</v>
      </c>
      <c r="K75" s="41" t="n">
        <f aca="false">(parametros_carros!$D$32*('Plan mensual'!M35+IF(parametros_carros!$H$32="Todos",'Plan mensual'!M39,0))+parametros_carros!$E$32*('Plan mensual'!M36+IF(parametros_carros!$H$32="Todos",'Plan mensual'!M40,0))+parametros_carros!$F$32*('Plan mensual'!M37+IF(parametros_carros!$H$32="Todos",'Plan mensual'!M41,0))+parametros_carros!$G$32*('Plan mensual'!M38+IF(parametros_carros!$H$32="Todos",'Plan mensual'!M42,0)))/60</f>
        <v>2.39651969847188</v>
      </c>
      <c r="L75" s="41" t="n">
        <f aca="false">(parametros_carros!$D$32*('Plan mensual'!N35+IF(parametros_carros!$H$32="Todos",'Plan mensual'!N39,0))+parametros_carros!$E$32*('Plan mensual'!N36+IF(parametros_carros!$H$32="Todos",'Plan mensual'!N40,0))+parametros_carros!$F$32*('Plan mensual'!N37+IF(parametros_carros!$H$32="Todos",'Plan mensual'!N41,0))+parametros_carros!$G$32*('Plan mensual'!N38+IF(parametros_carros!$H$32="Todos",'Plan mensual'!N42,0)))/60</f>
        <v>2.23675171857375</v>
      </c>
      <c r="M75" s="41" t="n">
        <f aca="false">(parametros_carros!$D$32*('Plan mensual'!O35+IF(parametros_carros!$H$32="Todos",'Plan mensual'!O39,0))+parametros_carros!$E$32*('Plan mensual'!O36+IF(parametros_carros!$H$32="Todos",'Plan mensual'!O40,0))+parametros_carros!$F$32*('Plan mensual'!O37+IF(parametros_carros!$H$32="Todos",'Plan mensual'!O41,0))+parametros_carros!$G$32*('Plan mensual'!O38+IF(parametros_carros!$H$32="Todos",'Plan mensual'!O42,0)))/60</f>
        <v>2.55628767837</v>
      </c>
      <c r="N75" s="41" t="n">
        <f aca="false">SUM(B75:M75)</f>
        <v>31.953595979625</v>
      </c>
      <c r="O75" s="41" t="n">
        <f aca="false">MAX(B75:M75)</f>
        <v>2.87582363816625</v>
      </c>
      <c r="P75" s="45" t="n">
        <f aca="false">IF(parametros_carros!$B$7=0,0,(O75+parametros_carros!$G$58)/parametros_carros!$B$7)</f>
        <v>0.0280610464766639</v>
      </c>
      <c r="Q75" s="29" t="str">
        <f aca="false">IF(O75=0,"-",INDEX($B$61:$M$61,MATCH(O75,B75:M75,0)))</f>
        <v>Mar</v>
      </c>
    </row>
    <row r="76" customFormat="false" ht="14.25" hidden="false" customHeight="true" outlineLevel="0" collapsed="false">
      <c r="A76" s="12" t="str">
        <f aca="false">parametros_carros!$B$33</f>
        <v>Carga de polvo y presurización</v>
      </c>
      <c r="B76" s="41" t="n">
        <f aca="false">(parametros_carros!$D$33*('Plan mensual'!D35+IF(parametros_carros!$H$33="Todos",'Plan mensual'!D39,0))+parametros_carros!$E$33*('Plan mensual'!D36+IF(parametros_carros!$H$33="Todos",'Plan mensual'!D40,0))+parametros_carros!$F$33*('Plan mensual'!D37+IF(parametros_carros!$H$33="Todos",'Plan mensual'!D41,0))+parametros_carros!$G$33*('Plan mensual'!D38+IF(parametros_carros!$H$33="Todos",'Plan mensual'!D42,0)))/60</f>
        <v>6.49042565825667</v>
      </c>
      <c r="C76" s="41" t="n">
        <f aca="false">(parametros_carros!$D$33*('Plan mensual'!E35+IF(parametros_carros!$H$33="Todos",'Plan mensual'!E39,0))+parametros_carros!$E$33*('Plan mensual'!E36+IF(parametros_carros!$H$33="Todos",'Plan mensual'!E40,0))+parametros_carros!$F$33*('Plan mensual'!E37+IF(parametros_carros!$H$33="Todos",'Plan mensual'!E41,0))+parametros_carros!$G$33*('Plan mensual'!E38+IF(parametros_carros!$H$33="Todos",'Plan mensual'!E42,0)))/60</f>
        <v>5.72684616905</v>
      </c>
      <c r="D76" s="41" t="n">
        <f aca="false">(parametros_carros!$D$33*('Plan mensual'!F35+IF(parametros_carros!$H$33="Todos",'Plan mensual'!F39,0))+parametros_carros!$E$33*('Plan mensual'!F36+IF(parametros_carros!$H$33="Todos",'Plan mensual'!F40,0))+parametros_carros!$F$33*('Plan mensual'!F37+IF(parametros_carros!$H$33="Todos",'Plan mensual'!F41,0))+parametros_carros!$G$33*('Plan mensual'!F38+IF(parametros_carros!$H$33="Todos",'Plan mensual'!F42,0)))/60</f>
        <v>6.87221540286</v>
      </c>
      <c r="E76" s="41" t="n">
        <f aca="false">(parametros_carros!$D$33*('Plan mensual'!G35+IF(parametros_carros!$H$33="Todos",'Plan mensual'!G39,0))+parametros_carros!$E$33*('Plan mensual'!G36+IF(parametros_carros!$H$33="Todos",'Plan mensual'!G40,0))+parametros_carros!$F$33*('Plan mensual'!G37+IF(parametros_carros!$H$33="Todos",'Plan mensual'!G41,0))+parametros_carros!$G$33*('Plan mensual'!G38+IF(parametros_carros!$H$33="Todos",'Plan mensual'!G42,0)))/60</f>
        <v>6.87221540286</v>
      </c>
      <c r="F76" s="41" t="n">
        <f aca="false">(parametros_carros!$D$33*('Plan mensual'!H35+IF(parametros_carros!$H$33="Todos",'Plan mensual'!H39,0))+parametros_carros!$E$33*('Plan mensual'!H36+IF(parametros_carros!$H$33="Todos",'Plan mensual'!H40,0))+parametros_carros!$F$33*('Plan mensual'!H37+IF(parametros_carros!$H$33="Todos",'Plan mensual'!H41,0))+parametros_carros!$G$33*('Plan mensual'!H38+IF(parametros_carros!$H$33="Todos",'Plan mensual'!H42,0)))/60</f>
        <v>6.87221540286</v>
      </c>
      <c r="G76" s="41" t="n">
        <f aca="false">(parametros_carros!$D$33*('Plan mensual'!I35+IF(parametros_carros!$H$33="Todos",'Plan mensual'!I39,0))+parametros_carros!$E$33*('Plan mensual'!I36+IF(parametros_carros!$H$33="Todos",'Plan mensual'!I40,0))+parametros_carros!$F$33*('Plan mensual'!I37+IF(parametros_carros!$H$33="Todos",'Plan mensual'!I41,0))+parametros_carros!$G$33*('Plan mensual'!I38+IF(parametros_carros!$H$33="Todos",'Plan mensual'!I42,0)))/60</f>
        <v>6.10863591365333</v>
      </c>
      <c r="H76" s="41" t="n">
        <f aca="false">(parametros_carros!$D$33*('Plan mensual'!J35+IF(parametros_carros!$H$33="Todos",'Plan mensual'!J39,0))+parametros_carros!$E$33*('Plan mensual'!J36+IF(parametros_carros!$H$33="Todos",'Plan mensual'!J40,0))+parametros_carros!$F$33*('Plan mensual'!J37+IF(parametros_carros!$H$33="Todos",'Plan mensual'!J41,0))+parametros_carros!$G$33*('Plan mensual'!J38+IF(parametros_carros!$H$33="Todos",'Plan mensual'!J42,0)))/60</f>
        <v>6.87221540286</v>
      </c>
      <c r="I76" s="41" t="n">
        <f aca="false">(parametros_carros!$D$33*('Plan mensual'!K35+IF(parametros_carros!$H$33="Todos",'Plan mensual'!K39,0))+parametros_carros!$E$33*('Plan mensual'!K36+IF(parametros_carros!$H$33="Todos",'Plan mensual'!K40,0))+parametros_carros!$F$33*('Plan mensual'!K37+IF(parametros_carros!$H$33="Todos",'Plan mensual'!K41,0))+parametros_carros!$G$33*('Plan mensual'!K38+IF(parametros_carros!$H$33="Todos",'Plan mensual'!K42,0)))/60</f>
        <v>6.87221540286</v>
      </c>
      <c r="J76" s="41" t="n">
        <f aca="false">(parametros_carros!$D$33*('Plan mensual'!L35+IF(parametros_carros!$H$33="Todos",'Plan mensual'!L39,0))+parametros_carros!$E$33*('Plan mensual'!L36+IF(parametros_carros!$H$33="Todos",'Plan mensual'!L40,0))+parametros_carros!$F$33*('Plan mensual'!L37+IF(parametros_carros!$H$33="Todos",'Plan mensual'!L41,0))+parametros_carros!$G$33*('Plan mensual'!L38+IF(parametros_carros!$H$33="Todos",'Plan mensual'!L42,0)))/60</f>
        <v>6.49042565825667</v>
      </c>
      <c r="K76" s="41" t="n">
        <f aca="false">(parametros_carros!$D$33*('Plan mensual'!M35+IF(parametros_carros!$H$33="Todos",'Plan mensual'!M39,0))+parametros_carros!$E$33*('Plan mensual'!M36+IF(parametros_carros!$H$33="Todos",'Plan mensual'!M40,0))+parametros_carros!$F$33*('Plan mensual'!M37+IF(parametros_carros!$H$33="Todos",'Plan mensual'!M41,0))+parametros_carros!$G$33*('Plan mensual'!M38+IF(parametros_carros!$H$33="Todos",'Plan mensual'!M42,0)))/60</f>
        <v>5.72684616905</v>
      </c>
      <c r="L76" s="41" t="n">
        <f aca="false">(parametros_carros!$D$33*('Plan mensual'!N35+IF(parametros_carros!$H$33="Todos",'Plan mensual'!N39,0))+parametros_carros!$E$33*('Plan mensual'!N36+IF(parametros_carros!$H$33="Todos",'Plan mensual'!N40,0))+parametros_carros!$F$33*('Plan mensual'!N37+IF(parametros_carros!$H$33="Todos",'Plan mensual'!N41,0))+parametros_carros!$G$33*('Plan mensual'!N38+IF(parametros_carros!$H$33="Todos",'Plan mensual'!N42,0)))/60</f>
        <v>5.34505642444667</v>
      </c>
      <c r="M76" s="41" t="n">
        <f aca="false">(parametros_carros!$D$33*('Plan mensual'!O35+IF(parametros_carros!$H$33="Todos",'Plan mensual'!O39,0))+parametros_carros!$E$33*('Plan mensual'!O36+IF(parametros_carros!$H$33="Todos",'Plan mensual'!O40,0))+parametros_carros!$F$33*('Plan mensual'!O37+IF(parametros_carros!$H$33="Todos",'Plan mensual'!O41,0))+parametros_carros!$G$33*('Plan mensual'!O38+IF(parametros_carros!$H$33="Todos",'Plan mensual'!O42,0)))/60</f>
        <v>6.10863591365333</v>
      </c>
      <c r="N76" s="41" t="n">
        <f aca="false">SUM(B76:M76)</f>
        <v>76.3579489206667</v>
      </c>
      <c r="O76" s="41" t="n">
        <f aca="false">MAX(B76:M76)</f>
        <v>6.87221540286</v>
      </c>
      <c r="P76" s="45" t="n">
        <f aca="false">IF(parametros_carros!$B$7=0,0,(O76+parametros_carros!$G$59)/parametros_carros!$B$7)</f>
        <v>0.152481436019067</v>
      </c>
      <c r="Q76" s="29" t="str">
        <f aca="false">IF(O76=0,"-",INDEX($B$61:$M$61,MATCH(O76,B76:M76,0)))</f>
        <v>Mar</v>
      </c>
    </row>
    <row r="77" customFormat="false" ht="14.25" hidden="false" customHeight="true" outlineLevel="0" collapsed="false">
      <c r="A77" s="12" t="str">
        <f aca="false">parametros_carros!$B$34</f>
        <v>Montaje, manga, precinto y etiquetado</v>
      </c>
      <c r="B77" s="41" t="n">
        <f aca="false">(parametros_carros!$D$34*('Plan mensual'!D35+IF(parametros_carros!$H$34="Todos",'Plan mensual'!D39,0))+parametros_carros!$E$34*('Plan mensual'!D36+IF(parametros_carros!$H$34="Todos",'Plan mensual'!D40,0))+parametros_carros!$F$34*('Plan mensual'!D37+IF(parametros_carros!$H$34="Todos",'Plan mensual'!D41,0))+parametros_carros!$G$34*('Plan mensual'!D38+IF(parametros_carros!$H$34="Todos",'Plan mensual'!D42,0)))/60</f>
        <v>3.622012466535</v>
      </c>
      <c r="C77" s="41" t="n">
        <f aca="false">(parametros_carros!$D$34*('Plan mensual'!E35+IF(parametros_carros!$H$34="Todos",'Plan mensual'!E39,0))+parametros_carros!$E$34*('Plan mensual'!E36+IF(parametros_carros!$H$34="Todos",'Plan mensual'!E40,0))+parametros_carros!$F$34*('Plan mensual'!E37+IF(parametros_carros!$H$34="Todos",'Plan mensual'!E41,0))+parametros_carros!$G$34*('Plan mensual'!E38+IF(parametros_carros!$H$34="Todos",'Plan mensual'!E42,0)))/60</f>
        <v>3.195893352825</v>
      </c>
      <c r="D77" s="41" t="n">
        <f aca="false">(parametros_carros!$D$34*('Plan mensual'!F35+IF(parametros_carros!$H$34="Todos",'Plan mensual'!F39,0))+parametros_carros!$E$34*('Plan mensual'!F36+IF(parametros_carros!$H$34="Todos",'Plan mensual'!F40,0))+parametros_carros!$F$34*('Plan mensual'!F37+IF(parametros_carros!$H$34="Todos",'Plan mensual'!F41,0))+parametros_carros!$G$34*('Plan mensual'!F38+IF(parametros_carros!$H$34="Todos",'Plan mensual'!F42,0)))/60</f>
        <v>3.83507202339</v>
      </c>
      <c r="E77" s="41" t="n">
        <f aca="false">(parametros_carros!$D$34*('Plan mensual'!G35+IF(parametros_carros!$H$34="Todos",'Plan mensual'!G39,0))+parametros_carros!$E$34*('Plan mensual'!G36+IF(parametros_carros!$H$34="Todos",'Plan mensual'!G40,0))+parametros_carros!$F$34*('Plan mensual'!G37+IF(parametros_carros!$H$34="Todos",'Plan mensual'!G41,0))+parametros_carros!$G$34*('Plan mensual'!G38+IF(parametros_carros!$H$34="Todos",'Plan mensual'!G42,0)))/60</f>
        <v>3.83507202339</v>
      </c>
      <c r="F77" s="41" t="n">
        <f aca="false">(parametros_carros!$D$34*('Plan mensual'!H35+IF(parametros_carros!$H$34="Todos",'Plan mensual'!H39,0))+parametros_carros!$E$34*('Plan mensual'!H36+IF(parametros_carros!$H$34="Todos",'Plan mensual'!H40,0))+parametros_carros!$F$34*('Plan mensual'!H37+IF(parametros_carros!$H$34="Todos",'Plan mensual'!H41,0))+parametros_carros!$G$34*('Plan mensual'!H38+IF(parametros_carros!$H$34="Todos",'Plan mensual'!H42,0)))/60</f>
        <v>3.83507202339</v>
      </c>
      <c r="G77" s="41" t="n">
        <f aca="false">(parametros_carros!$D$34*('Plan mensual'!I35+IF(parametros_carros!$H$34="Todos",'Plan mensual'!I39,0))+parametros_carros!$E$34*('Plan mensual'!I36+IF(parametros_carros!$H$34="Todos",'Plan mensual'!I40,0))+parametros_carros!$F$34*('Plan mensual'!I37+IF(parametros_carros!$H$34="Todos",'Plan mensual'!I41,0))+parametros_carros!$G$34*('Plan mensual'!I38+IF(parametros_carros!$H$34="Todos",'Plan mensual'!I42,0)))/60</f>
        <v>3.40895290968</v>
      </c>
      <c r="H77" s="41" t="n">
        <f aca="false">(parametros_carros!$D$34*('Plan mensual'!J35+IF(parametros_carros!$H$34="Todos",'Plan mensual'!J39,0))+parametros_carros!$E$34*('Plan mensual'!J36+IF(parametros_carros!$H$34="Todos",'Plan mensual'!J40,0))+parametros_carros!$F$34*('Plan mensual'!J37+IF(parametros_carros!$H$34="Todos",'Plan mensual'!J41,0))+parametros_carros!$G$34*('Plan mensual'!J38+IF(parametros_carros!$H$34="Todos",'Plan mensual'!J42,0)))/60</f>
        <v>3.83507202339</v>
      </c>
      <c r="I77" s="41" t="n">
        <f aca="false">(parametros_carros!$D$34*('Plan mensual'!K35+IF(parametros_carros!$H$34="Todos",'Plan mensual'!K39,0))+parametros_carros!$E$34*('Plan mensual'!K36+IF(parametros_carros!$H$34="Todos",'Plan mensual'!K40,0))+parametros_carros!$F$34*('Plan mensual'!K37+IF(parametros_carros!$H$34="Todos",'Plan mensual'!K41,0))+parametros_carros!$G$34*('Plan mensual'!K38+IF(parametros_carros!$H$34="Todos",'Plan mensual'!K42,0)))/60</f>
        <v>3.83507202339</v>
      </c>
      <c r="J77" s="41" t="n">
        <f aca="false">(parametros_carros!$D$34*('Plan mensual'!L35+IF(parametros_carros!$H$34="Todos",'Plan mensual'!L39,0))+parametros_carros!$E$34*('Plan mensual'!L36+IF(parametros_carros!$H$34="Todos",'Plan mensual'!L40,0))+parametros_carros!$F$34*('Plan mensual'!L37+IF(parametros_carros!$H$34="Todos",'Plan mensual'!L41,0))+parametros_carros!$G$34*('Plan mensual'!L38+IF(parametros_carros!$H$34="Todos",'Plan mensual'!L42,0)))/60</f>
        <v>3.622012466535</v>
      </c>
      <c r="K77" s="41" t="n">
        <f aca="false">(parametros_carros!$D$34*('Plan mensual'!M35+IF(parametros_carros!$H$34="Todos",'Plan mensual'!M39,0))+parametros_carros!$E$34*('Plan mensual'!M36+IF(parametros_carros!$H$34="Todos",'Plan mensual'!M40,0))+parametros_carros!$F$34*('Plan mensual'!M37+IF(parametros_carros!$H$34="Todos",'Plan mensual'!M41,0))+parametros_carros!$G$34*('Plan mensual'!M38+IF(parametros_carros!$H$34="Todos",'Plan mensual'!M42,0)))/60</f>
        <v>3.195893352825</v>
      </c>
      <c r="L77" s="41" t="n">
        <f aca="false">(parametros_carros!$D$34*('Plan mensual'!N35+IF(parametros_carros!$H$34="Todos",'Plan mensual'!N39,0))+parametros_carros!$E$34*('Plan mensual'!N36+IF(parametros_carros!$H$34="Todos",'Plan mensual'!N40,0))+parametros_carros!$F$34*('Plan mensual'!N37+IF(parametros_carros!$H$34="Todos",'Plan mensual'!N41,0))+parametros_carros!$G$34*('Plan mensual'!N38+IF(parametros_carros!$H$34="Todos",'Plan mensual'!N42,0)))/60</f>
        <v>2.98283379597</v>
      </c>
      <c r="M77" s="41" t="n">
        <f aca="false">(parametros_carros!$D$34*('Plan mensual'!O35+IF(parametros_carros!$H$34="Todos",'Plan mensual'!O39,0))+parametros_carros!$E$34*('Plan mensual'!O36+IF(parametros_carros!$H$34="Todos",'Plan mensual'!O40,0))+parametros_carros!$F$34*('Plan mensual'!O37+IF(parametros_carros!$H$34="Todos",'Plan mensual'!O41,0))+parametros_carros!$G$34*('Plan mensual'!O38+IF(parametros_carros!$H$34="Todos",'Plan mensual'!O42,0)))/60</f>
        <v>3.40895290968</v>
      </c>
      <c r="N77" s="41" t="n">
        <f aca="false">SUM(B77:M77)</f>
        <v>42.611911371</v>
      </c>
      <c r="O77" s="41" t="n">
        <f aca="false">MAX(B77:M77)</f>
        <v>3.83507202339</v>
      </c>
      <c r="P77" s="45" t="n">
        <f aca="false">IF(parametros_carros!$B$7=0,0,(O77+parametros_carros!$G$60)/parametros_carros!$B$7)</f>
        <v>0.0722338134892667</v>
      </c>
      <c r="Q77" s="29" t="str">
        <f aca="false">IF(O77=0,"-",INDEX($B$61:$M$61,MATCH(O77,B77:M77,0)))</f>
        <v>Mar</v>
      </c>
    </row>
    <row r="78" customFormat="false" ht="14.25" hidden="false" customHeight="true" outlineLevel="0" collapsed="false">
      <c r="A78" s="12" t="str">
        <f aca="false">parametros_carros!$B$35</f>
        <v>Calidad: pérdidas, inspección final, liberación y ensayos de lote</v>
      </c>
      <c r="B78" s="41" t="n">
        <f aca="false">(parametros_carros!$D$35*('Plan mensual'!D35+IF(parametros_carros!$H$35="Todos",'Plan mensual'!D39,0))+parametros_carros!$E$35*('Plan mensual'!D36+IF(parametros_carros!$H$35="Todos",'Plan mensual'!D40,0))+parametros_carros!$F$35*('Plan mensual'!D37+IF(parametros_carros!$H$35="Todos",'Plan mensual'!D41,0))+parametros_carros!$G$35*('Plan mensual'!D38+IF(parametros_carros!$H$35="Todos",'Plan mensual'!D42,0)))/60</f>
        <v>2.74554417490021</v>
      </c>
      <c r="C78" s="41" t="n">
        <f aca="false">(parametros_carros!$D$35*('Plan mensual'!E35+IF(parametros_carros!$H$35="Todos",'Plan mensual'!E39,0))+parametros_carros!$E$35*('Plan mensual'!E36+IF(parametros_carros!$H$35="Todos",'Plan mensual'!E40,0))+parametros_carros!$F$35*('Plan mensual'!E37+IF(parametros_carros!$H$35="Todos",'Plan mensual'!E41,0))+parametros_carros!$G$35*('Plan mensual'!E38+IF(parametros_carros!$H$35="Todos",'Plan mensual'!E42,0)))/60</f>
        <v>2.42253897785312</v>
      </c>
      <c r="D78" s="41" t="n">
        <f aca="false">(parametros_carros!$D$35*('Plan mensual'!F35+IF(parametros_carros!$H$35="Todos",'Plan mensual'!F39,0))+parametros_carros!$E$35*('Plan mensual'!F36+IF(parametros_carros!$H$35="Todos",'Plan mensual'!F40,0))+parametros_carros!$F$35*('Plan mensual'!F37+IF(parametros_carros!$H$35="Todos",'Plan mensual'!F41,0))+parametros_carros!$G$35*('Plan mensual'!F38+IF(parametros_carros!$H$35="Todos",'Plan mensual'!F42,0)))/60</f>
        <v>2.90704677342375</v>
      </c>
      <c r="E78" s="41" t="n">
        <f aca="false">(parametros_carros!$D$35*('Plan mensual'!G35+IF(parametros_carros!$H$35="Todos",'Plan mensual'!G39,0))+parametros_carros!$E$35*('Plan mensual'!G36+IF(parametros_carros!$H$35="Todos",'Plan mensual'!G40,0))+parametros_carros!$F$35*('Plan mensual'!G37+IF(parametros_carros!$H$35="Todos",'Plan mensual'!G41,0))+parametros_carros!$G$35*('Plan mensual'!G38+IF(parametros_carros!$H$35="Todos",'Plan mensual'!G42,0)))/60</f>
        <v>2.90704677342375</v>
      </c>
      <c r="F78" s="41" t="n">
        <f aca="false">(parametros_carros!$D$35*('Plan mensual'!H35+IF(parametros_carros!$H$35="Todos",'Plan mensual'!H39,0))+parametros_carros!$E$35*('Plan mensual'!H36+IF(parametros_carros!$H$35="Todos",'Plan mensual'!H40,0))+parametros_carros!$F$35*('Plan mensual'!H37+IF(parametros_carros!$H$35="Todos",'Plan mensual'!H41,0))+parametros_carros!$G$35*('Plan mensual'!H38+IF(parametros_carros!$H$35="Todos",'Plan mensual'!H42,0)))/60</f>
        <v>2.90704677342375</v>
      </c>
      <c r="G78" s="41" t="n">
        <f aca="false">(parametros_carros!$D$35*('Plan mensual'!I35+IF(parametros_carros!$H$35="Todos",'Plan mensual'!I39,0))+parametros_carros!$E$35*('Plan mensual'!I36+IF(parametros_carros!$H$35="Todos",'Plan mensual'!I40,0))+parametros_carros!$F$35*('Plan mensual'!I37+IF(parametros_carros!$H$35="Todos",'Plan mensual'!I41,0))+parametros_carros!$G$35*('Plan mensual'!I38+IF(parametros_carros!$H$35="Todos",'Plan mensual'!I42,0)))/60</f>
        <v>2.58404157637667</v>
      </c>
      <c r="H78" s="41" t="n">
        <f aca="false">(parametros_carros!$D$35*('Plan mensual'!J35+IF(parametros_carros!$H$35="Todos",'Plan mensual'!J39,0))+parametros_carros!$E$35*('Plan mensual'!J36+IF(parametros_carros!$H$35="Todos",'Plan mensual'!J40,0))+parametros_carros!$F$35*('Plan mensual'!J37+IF(parametros_carros!$H$35="Todos",'Plan mensual'!J41,0))+parametros_carros!$G$35*('Plan mensual'!J38+IF(parametros_carros!$H$35="Todos",'Plan mensual'!J42,0)))/60</f>
        <v>2.90704677342375</v>
      </c>
      <c r="I78" s="41" t="n">
        <f aca="false">(parametros_carros!$D$35*('Plan mensual'!K35+IF(parametros_carros!$H$35="Todos",'Plan mensual'!K39,0))+parametros_carros!$E$35*('Plan mensual'!K36+IF(parametros_carros!$H$35="Todos",'Plan mensual'!K40,0))+parametros_carros!$F$35*('Plan mensual'!K37+IF(parametros_carros!$H$35="Todos",'Plan mensual'!K41,0))+parametros_carros!$G$35*('Plan mensual'!K38+IF(parametros_carros!$H$35="Todos",'Plan mensual'!K42,0)))/60</f>
        <v>2.90704677342375</v>
      </c>
      <c r="J78" s="41" t="n">
        <f aca="false">(parametros_carros!$D$35*('Plan mensual'!L35+IF(parametros_carros!$H$35="Todos",'Plan mensual'!L39,0))+parametros_carros!$E$35*('Plan mensual'!L36+IF(parametros_carros!$H$35="Todos",'Plan mensual'!L40,0))+parametros_carros!$F$35*('Plan mensual'!L37+IF(parametros_carros!$H$35="Todos",'Plan mensual'!L41,0))+parametros_carros!$G$35*('Plan mensual'!L38+IF(parametros_carros!$H$35="Todos",'Plan mensual'!L42,0)))/60</f>
        <v>2.74554417490021</v>
      </c>
      <c r="K78" s="41" t="n">
        <f aca="false">(parametros_carros!$D$35*('Plan mensual'!M35+IF(parametros_carros!$H$35="Todos",'Plan mensual'!M39,0))+parametros_carros!$E$35*('Plan mensual'!M36+IF(parametros_carros!$H$35="Todos",'Plan mensual'!M40,0))+parametros_carros!$F$35*('Plan mensual'!M37+IF(parametros_carros!$H$35="Todos",'Plan mensual'!M41,0))+parametros_carros!$G$35*('Plan mensual'!M38+IF(parametros_carros!$H$35="Todos",'Plan mensual'!M42,0)))/60</f>
        <v>2.42253897785312</v>
      </c>
      <c r="L78" s="41" t="n">
        <f aca="false">(parametros_carros!$D$35*('Plan mensual'!N35+IF(parametros_carros!$H$35="Todos",'Plan mensual'!N39,0))+parametros_carros!$E$35*('Plan mensual'!N36+IF(parametros_carros!$H$35="Todos",'Plan mensual'!N40,0))+parametros_carros!$F$35*('Plan mensual'!N37+IF(parametros_carros!$H$35="Todos",'Plan mensual'!N41,0))+parametros_carros!$G$35*('Plan mensual'!N38+IF(parametros_carros!$H$35="Todos",'Plan mensual'!N42,0)))/60</f>
        <v>2.26103637932958</v>
      </c>
      <c r="M78" s="41" t="n">
        <f aca="false">(parametros_carros!$D$35*('Plan mensual'!O35+IF(parametros_carros!$H$35="Todos",'Plan mensual'!O39,0))+parametros_carros!$E$35*('Plan mensual'!O36+IF(parametros_carros!$H$35="Todos",'Plan mensual'!O40,0))+parametros_carros!$F$35*('Plan mensual'!O37+IF(parametros_carros!$H$35="Todos",'Plan mensual'!O41,0))+parametros_carros!$G$35*('Plan mensual'!O38+IF(parametros_carros!$H$35="Todos",'Plan mensual'!O42,0)))/60</f>
        <v>2.58404157637667</v>
      </c>
      <c r="N78" s="41" t="n">
        <f aca="false">SUM(B78:M78)</f>
        <v>32.3005197047083</v>
      </c>
      <c r="O78" s="41" t="n">
        <f aca="false">MAX(B78:M78)</f>
        <v>2.90704677342375</v>
      </c>
      <c r="P78" s="45" t="n">
        <f aca="false">IF(parametros_carros!$B$7=0,0,(O78+parametros_carros!$G$61)/parametros_carros!$B$7)</f>
        <v>0.389602534045047</v>
      </c>
      <c r="Q78" s="29" t="str">
        <f aca="false">IF(O78=0,"-",INDEX($B$61:$M$61,MATCH(O78,B78:M78,0)))</f>
        <v>Mar</v>
      </c>
    </row>
    <row r="79" customFormat="false" ht="14.25" hidden="false" customHeight="true" outlineLevel="0" collapsed="false">
      <c r="A79" s="12" t="str">
        <f aca="false">parametros_carros!$B$36</f>
        <v>Depósito de producto terminado y despacho</v>
      </c>
      <c r="B79" s="41" t="n">
        <f aca="false">(parametros_carros!$D$36*('Plan mensual'!D35+IF(parametros_carros!$H$36="Todos",'Plan mensual'!D39,0))+parametros_carros!$E$36*('Plan mensual'!D36+IF(parametros_carros!$H$36="Todos",'Plan mensual'!D40,0))+parametros_carros!$F$36*('Plan mensual'!D37+IF(parametros_carros!$H$36="Todos",'Plan mensual'!D41,0))+parametros_carros!$G$36*('Plan mensual'!D38+IF(parametros_carros!$H$36="Todos",'Plan mensual'!D42,0)))/60</f>
        <v>1.179916733305</v>
      </c>
      <c r="C79" s="41" t="n">
        <f aca="false">(parametros_carros!$D$36*('Plan mensual'!E35+IF(parametros_carros!$H$36="Todos",'Plan mensual'!E39,0))+parametros_carros!$E$36*('Plan mensual'!E36+IF(parametros_carros!$H$36="Todos",'Plan mensual'!E40,0))+parametros_carros!$F$36*('Plan mensual'!E37+IF(parametros_carros!$H$36="Todos",'Plan mensual'!E41,0))+parametros_carros!$G$36*('Plan mensual'!E38+IF(parametros_carros!$H$36="Todos",'Plan mensual'!E42,0)))/60</f>
        <v>1.041102999975</v>
      </c>
      <c r="D79" s="41" t="n">
        <f aca="false">(parametros_carros!$D$36*('Plan mensual'!F35+IF(parametros_carros!$H$36="Todos",'Plan mensual'!F39,0))+parametros_carros!$E$36*('Plan mensual'!F36+IF(parametros_carros!$H$36="Todos",'Plan mensual'!F40,0))+parametros_carros!$F$36*('Plan mensual'!F37+IF(parametros_carros!$H$36="Todos",'Plan mensual'!F41,0))+parametros_carros!$G$36*('Plan mensual'!F38+IF(parametros_carros!$H$36="Todos",'Plan mensual'!F42,0)))/60</f>
        <v>1.24932359997</v>
      </c>
      <c r="E79" s="41" t="n">
        <f aca="false">(parametros_carros!$D$36*('Plan mensual'!G35+IF(parametros_carros!$H$36="Todos",'Plan mensual'!G39,0))+parametros_carros!$E$36*('Plan mensual'!G36+IF(parametros_carros!$H$36="Todos",'Plan mensual'!G40,0))+parametros_carros!$F$36*('Plan mensual'!G37+IF(parametros_carros!$H$36="Todos",'Plan mensual'!G41,0))+parametros_carros!$G$36*('Plan mensual'!G38+IF(parametros_carros!$H$36="Todos",'Plan mensual'!G42,0)))/60</f>
        <v>1.24932359997</v>
      </c>
      <c r="F79" s="41" t="n">
        <f aca="false">(parametros_carros!$D$36*('Plan mensual'!H35+IF(parametros_carros!$H$36="Todos",'Plan mensual'!H39,0))+parametros_carros!$E$36*('Plan mensual'!H36+IF(parametros_carros!$H$36="Todos",'Plan mensual'!H40,0))+parametros_carros!$F$36*('Plan mensual'!H37+IF(parametros_carros!$H$36="Todos",'Plan mensual'!H41,0))+parametros_carros!$G$36*('Plan mensual'!H38+IF(parametros_carros!$H$36="Todos",'Plan mensual'!H42,0)))/60</f>
        <v>1.24932359997</v>
      </c>
      <c r="G79" s="41" t="n">
        <f aca="false">(parametros_carros!$D$36*('Plan mensual'!I35+IF(parametros_carros!$H$36="Todos",'Plan mensual'!I39,0))+parametros_carros!$E$36*('Plan mensual'!I36+IF(parametros_carros!$H$36="Todos",'Plan mensual'!I40,0))+parametros_carros!$F$36*('Plan mensual'!I37+IF(parametros_carros!$H$36="Todos",'Plan mensual'!I41,0))+parametros_carros!$G$36*('Plan mensual'!I38+IF(parametros_carros!$H$36="Todos",'Plan mensual'!I42,0)))/60</f>
        <v>1.11050986664</v>
      </c>
      <c r="H79" s="41" t="n">
        <f aca="false">(parametros_carros!$D$36*('Plan mensual'!J35+IF(parametros_carros!$H$36="Todos",'Plan mensual'!J39,0))+parametros_carros!$E$36*('Plan mensual'!J36+IF(parametros_carros!$H$36="Todos",'Plan mensual'!J40,0))+parametros_carros!$F$36*('Plan mensual'!J37+IF(parametros_carros!$H$36="Todos",'Plan mensual'!J41,0))+parametros_carros!$G$36*('Plan mensual'!J38+IF(parametros_carros!$H$36="Todos",'Plan mensual'!J42,0)))/60</f>
        <v>1.24932359997</v>
      </c>
      <c r="I79" s="41" t="n">
        <f aca="false">(parametros_carros!$D$36*('Plan mensual'!K35+IF(parametros_carros!$H$36="Todos",'Plan mensual'!K39,0))+parametros_carros!$E$36*('Plan mensual'!K36+IF(parametros_carros!$H$36="Todos",'Plan mensual'!K40,0))+parametros_carros!$F$36*('Plan mensual'!K37+IF(parametros_carros!$H$36="Todos",'Plan mensual'!K41,0))+parametros_carros!$G$36*('Plan mensual'!K38+IF(parametros_carros!$H$36="Todos",'Plan mensual'!K42,0)))/60</f>
        <v>1.24932359997</v>
      </c>
      <c r="J79" s="41" t="n">
        <f aca="false">(parametros_carros!$D$36*('Plan mensual'!L35+IF(parametros_carros!$H$36="Todos",'Plan mensual'!L39,0))+parametros_carros!$E$36*('Plan mensual'!L36+IF(parametros_carros!$H$36="Todos",'Plan mensual'!L40,0))+parametros_carros!$F$36*('Plan mensual'!L37+IF(parametros_carros!$H$36="Todos",'Plan mensual'!L41,0))+parametros_carros!$G$36*('Plan mensual'!L38+IF(parametros_carros!$H$36="Todos",'Plan mensual'!L42,0)))/60</f>
        <v>1.179916733305</v>
      </c>
      <c r="K79" s="41" t="n">
        <f aca="false">(parametros_carros!$D$36*('Plan mensual'!M35+IF(parametros_carros!$H$36="Todos",'Plan mensual'!M39,0))+parametros_carros!$E$36*('Plan mensual'!M36+IF(parametros_carros!$H$36="Todos",'Plan mensual'!M40,0))+parametros_carros!$F$36*('Plan mensual'!M37+IF(parametros_carros!$H$36="Todos",'Plan mensual'!M41,0))+parametros_carros!$G$36*('Plan mensual'!M38+IF(parametros_carros!$H$36="Todos",'Plan mensual'!M42,0)))/60</f>
        <v>1.041102999975</v>
      </c>
      <c r="L79" s="41" t="n">
        <f aca="false">(parametros_carros!$D$36*('Plan mensual'!N35+IF(parametros_carros!$H$36="Todos",'Plan mensual'!N39,0))+parametros_carros!$E$36*('Plan mensual'!N36+IF(parametros_carros!$H$36="Todos",'Plan mensual'!N40,0))+parametros_carros!$F$36*('Plan mensual'!N37+IF(parametros_carros!$H$36="Todos",'Plan mensual'!N41,0))+parametros_carros!$G$36*('Plan mensual'!N38+IF(parametros_carros!$H$36="Todos",'Plan mensual'!N42,0)))/60</f>
        <v>0.97169613331</v>
      </c>
      <c r="M79" s="41" t="n">
        <f aca="false">(parametros_carros!$D$36*('Plan mensual'!O35+IF(parametros_carros!$H$36="Todos",'Plan mensual'!O39,0))+parametros_carros!$E$36*('Plan mensual'!O36+IF(parametros_carros!$H$36="Todos",'Plan mensual'!O40,0))+parametros_carros!$F$36*('Plan mensual'!O37+IF(parametros_carros!$H$36="Todos",'Plan mensual'!O41,0))+parametros_carros!$G$36*('Plan mensual'!O38+IF(parametros_carros!$H$36="Todos",'Plan mensual'!O42,0)))/60</f>
        <v>1.11050986664</v>
      </c>
      <c r="N79" s="41" t="n">
        <f aca="false">SUM(B79:M79)</f>
        <v>13.881373333</v>
      </c>
      <c r="O79" s="41" t="n">
        <f aca="false">MAX(B79:M79)</f>
        <v>1.24932359997</v>
      </c>
      <c r="P79" s="45" t="n">
        <f aca="false">IF(parametros_carros!$B$7=0,0,(O79+parametros_carros!$G$62)/parametros_carros!$B$7)</f>
        <v>0.0305510462220222</v>
      </c>
      <c r="Q79" s="29" t="str">
        <f aca="false">IF(O79=0,"-",INDEX($B$61:$M$61,MATCH(O79,B79:M79,0)))</f>
        <v>Mar</v>
      </c>
    </row>
    <row r="80" customFormat="false" ht="14.25" hidden="false" customHeight="true" outlineLevel="0" collapsed="false"/>
    <row r="81" customFormat="false" ht="45" hidden="false" customHeight="true" outlineLevel="0" collapsed="false">
      <c r="A81" s="11" t="s">
        <v>254</v>
      </c>
      <c r="B81" s="11" t="s">
        <v>17</v>
      </c>
      <c r="C81" s="11" t="s">
        <v>18</v>
      </c>
      <c r="D81" s="11" t="s">
        <v>19</v>
      </c>
      <c r="E81" s="11" t="s">
        <v>20</v>
      </c>
      <c r="F81" s="11" t="s">
        <v>21</v>
      </c>
      <c r="G81" s="11" t="s">
        <v>22</v>
      </c>
      <c r="H81" s="11" t="s">
        <v>23</v>
      </c>
      <c r="I81" s="11" t="s">
        <v>24</v>
      </c>
      <c r="J81" s="11" t="s">
        <v>25</v>
      </c>
      <c r="K81" s="11" t="s">
        <v>26</v>
      </c>
      <c r="L81" s="11" t="s">
        <v>27</v>
      </c>
      <c r="M81" s="11" t="s">
        <v>28</v>
      </c>
      <c r="N81" s="11" t="s">
        <v>247</v>
      </c>
      <c r="O81" s="11" t="s">
        <v>248</v>
      </c>
      <c r="P81" s="11" t="s">
        <v>249</v>
      </c>
      <c r="Q81" s="11" t="s">
        <v>250</v>
      </c>
    </row>
    <row r="82" customFormat="false" ht="14.25" hidden="false" customHeight="true" outlineLevel="0" collapsed="false">
      <c r="A82" s="12" t="str">
        <f aca="false">parametros_carros!$B$19</f>
        <v>Recepción de materia prima</v>
      </c>
      <c r="B82" s="41" t="n">
        <f aca="false">(parametros_carros!$D$19*('Plan mensual'!D46+IF(parametros_carros!$H$19="Todos",'Plan mensual'!D50,0))+parametros_carros!$E$19*('Plan mensual'!D47+IF(parametros_carros!$H$19="Todos",'Plan mensual'!D51,0))+parametros_carros!$F$19*('Plan mensual'!D48+IF(parametros_carros!$H$19="Todos",'Plan mensual'!D52,0))+parametros_carros!$G$19*('Plan mensual'!D49+IF(parametros_carros!$H$19="Todos",'Plan mensual'!D53,0)))/60</f>
        <v>2.54607669032767</v>
      </c>
      <c r="C82" s="41" t="n">
        <f aca="false">(parametros_carros!$D$19*('Plan mensual'!E46+IF(parametros_carros!$H$19="Todos",'Plan mensual'!E50,0))+parametros_carros!$E$19*('Plan mensual'!E47+IF(parametros_carros!$H$19="Todos",'Plan mensual'!E51,0))+parametros_carros!$F$19*('Plan mensual'!E48+IF(parametros_carros!$H$19="Todos",'Plan mensual'!E52,0))+parametros_carros!$G$19*('Plan mensual'!E49+IF(parametros_carros!$H$19="Todos",'Plan mensual'!E53,0)))/60</f>
        <v>2.24653825617147</v>
      </c>
      <c r="D82" s="41" t="n">
        <f aca="false">(parametros_carros!$D$19*('Plan mensual'!F46+IF(parametros_carros!$H$19="Todos",'Plan mensual'!F50,0))+parametros_carros!$E$19*('Plan mensual'!F47+IF(parametros_carros!$H$19="Todos",'Plan mensual'!F51,0))+parametros_carros!$F$19*('Plan mensual'!F48+IF(parametros_carros!$H$19="Todos",'Plan mensual'!F52,0))+parametros_carros!$G$19*('Plan mensual'!F49+IF(parametros_carros!$H$19="Todos",'Plan mensual'!F53,0)))/60</f>
        <v>2.69584590740576</v>
      </c>
      <c r="E82" s="41" t="n">
        <f aca="false">(parametros_carros!$D$19*('Plan mensual'!G46+IF(parametros_carros!$H$19="Todos",'Plan mensual'!G50,0))+parametros_carros!$E$19*('Plan mensual'!G47+IF(parametros_carros!$H$19="Todos",'Plan mensual'!G51,0))+parametros_carros!$F$19*('Plan mensual'!G48+IF(parametros_carros!$H$19="Todos",'Plan mensual'!G52,0))+parametros_carros!$G$19*('Plan mensual'!G49+IF(parametros_carros!$H$19="Todos",'Plan mensual'!G53,0)))/60</f>
        <v>2.69584590740576</v>
      </c>
      <c r="F82" s="41" t="n">
        <f aca="false">(parametros_carros!$D$19*('Plan mensual'!H46+IF(parametros_carros!$H$19="Todos",'Plan mensual'!H50,0))+parametros_carros!$E$19*('Plan mensual'!H47+IF(parametros_carros!$H$19="Todos",'Plan mensual'!H51,0))+parametros_carros!$F$19*('Plan mensual'!H48+IF(parametros_carros!$H$19="Todos",'Plan mensual'!H52,0))+parametros_carros!$G$19*('Plan mensual'!H49+IF(parametros_carros!$H$19="Todos",'Plan mensual'!H53,0)))/60</f>
        <v>2.69584590740576</v>
      </c>
      <c r="G82" s="41" t="n">
        <f aca="false">(parametros_carros!$D$19*('Plan mensual'!I46+IF(parametros_carros!$H$19="Todos",'Plan mensual'!I50,0))+parametros_carros!$E$19*('Plan mensual'!I47+IF(parametros_carros!$H$19="Todos",'Plan mensual'!I51,0))+parametros_carros!$F$19*('Plan mensual'!I48+IF(parametros_carros!$H$19="Todos",'Plan mensual'!I52,0))+parametros_carros!$G$19*('Plan mensual'!I49+IF(parametros_carros!$H$19="Todos",'Plan mensual'!I53,0)))/60</f>
        <v>2.39630747324957</v>
      </c>
      <c r="H82" s="41" t="n">
        <f aca="false">(parametros_carros!$D$19*('Plan mensual'!J46+IF(parametros_carros!$H$19="Todos",'Plan mensual'!J50,0))+parametros_carros!$E$19*('Plan mensual'!J47+IF(parametros_carros!$H$19="Todos",'Plan mensual'!J51,0))+parametros_carros!$F$19*('Plan mensual'!J48+IF(parametros_carros!$H$19="Todos",'Plan mensual'!J52,0))+parametros_carros!$G$19*('Plan mensual'!J49+IF(parametros_carros!$H$19="Todos",'Plan mensual'!J53,0)))/60</f>
        <v>2.69584590740576</v>
      </c>
      <c r="I82" s="41" t="n">
        <f aca="false">(parametros_carros!$D$19*('Plan mensual'!K46+IF(parametros_carros!$H$19="Todos",'Plan mensual'!K50,0))+parametros_carros!$E$19*('Plan mensual'!K47+IF(parametros_carros!$H$19="Todos",'Plan mensual'!K51,0))+parametros_carros!$F$19*('Plan mensual'!K48+IF(parametros_carros!$H$19="Todos",'Plan mensual'!K52,0))+parametros_carros!$G$19*('Plan mensual'!K49+IF(parametros_carros!$H$19="Todos",'Plan mensual'!K53,0)))/60</f>
        <v>2.69584590740576</v>
      </c>
      <c r="J82" s="41" t="n">
        <f aca="false">(parametros_carros!$D$19*('Plan mensual'!L46+IF(parametros_carros!$H$19="Todos",'Plan mensual'!L50,0))+parametros_carros!$E$19*('Plan mensual'!L47+IF(parametros_carros!$H$19="Todos",'Plan mensual'!L51,0))+parametros_carros!$F$19*('Plan mensual'!L48+IF(parametros_carros!$H$19="Todos",'Plan mensual'!L52,0))+parametros_carros!$G$19*('Plan mensual'!L49+IF(parametros_carros!$H$19="Todos",'Plan mensual'!L53,0)))/60</f>
        <v>2.54607669032767</v>
      </c>
      <c r="K82" s="41" t="n">
        <f aca="false">(parametros_carros!$D$19*('Plan mensual'!M46+IF(parametros_carros!$H$19="Todos",'Plan mensual'!M50,0))+parametros_carros!$E$19*('Plan mensual'!M47+IF(parametros_carros!$H$19="Todos",'Plan mensual'!M51,0))+parametros_carros!$F$19*('Plan mensual'!M48+IF(parametros_carros!$H$19="Todos",'Plan mensual'!M52,0))+parametros_carros!$G$19*('Plan mensual'!M49+IF(parametros_carros!$H$19="Todos",'Plan mensual'!M53,0)))/60</f>
        <v>2.24653825617147</v>
      </c>
      <c r="L82" s="41" t="n">
        <f aca="false">(parametros_carros!$D$19*('Plan mensual'!N46+IF(parametros_carros!$H$19="Todos",'Plan mensual'!N50,0))+parametros_carros!$E$19*('Plan mensual'!N47+IF(parametros_carros!$H$19="Todos",'Plan mensual'!N51,0))+parametros_carros!$F$19*('Plan mensual'!N48+IF(parametros_carros!$H$19="Todos",'Plan mensual'!N52,0))+parametros_carros!$G$19*('Plan mensual'!N49+IF(parametros_carros!$H$19="Todos",'Plan mensual'!N53,0)))/60</f>
        <v>2.09676903909337</v>
      </c>
      <c r="M82" s="41" t="n">
        <f aca="false">(parametros_carros!$D$19*('Plan mensual'!O46+IF(parametros_carros!$H$19="Todos",'Plan mensual'!O50,0))+parametros_carros!$E$19*('Plan mensual'!O47+IF(parametros_carros!$H$19="Todos",'Plan mensual'!O51,0))+parametros_carros!$F$19*('Plan mensual'!O48+IF(parametros_carros!$H$19="Todos",'Plan mensual'!O52,0))+parametros_carros!$G$19*('Plan mensual'!O49+IF(parametros_carros!$H$19="Todos",'Plan mensual'!O53,0)))/60</f>
        <v>2.39630747324957</v>
      </c>
      <c r="N82" s="41" t="n">
        <f aca="false">SUM(B82:M82)</f>
        <v>29.9538434156196</v>
      </c>
      <c r="O82" s="41" t="n">
        <f aca="false">MAX(B82:M82)</f>
        <v>2.69584590740576</v>
      </c>
      <c r="P82" s="45" t="n">
        <f aca="false">IF(parametros_carros!$B$7=0,0,(O82+parametros_carros!$G$45)/parametros_carros!$B$7)</f>
        <v>0.0660834171604829</v>
      </c>
      <c r="Q82" s="29" t="str">
        <f aca="false">IF(O82=0,"-",INDEX($B$81:$M$81,MATCH(O82,B82:M82,0)))</f>
        <v>Mar</v>
      </c>
    </row>
    <row r="83" customFormat="false" ht="14.25" hidden="false" customHeight="true" outlineLevel="0" collapsed="false">
      <c r="A83" s="12" t="str">
        <f aca="false">parametros_carros!$B$20</f>
        <v>Corte de chapa (guillotina)</v>
      </c>
      <c r="B83" s="41" t="n">
        <f aca="false">(parametros_carros!$D$20*('Plan mensual'!D46+IF(parametros_carros!$H$20="Todos",'Plan mensual'!D50,0))+parametros_carros!$E$20*('Plan mensual'!D47+IF(parametros_carros!$H$20="Todos",'Plan mensual'!D51,0))+parametros_carros!$F$20*('Plan mensual'!D48+IF(parametros_carros!$H$20="Todos",'Plan mensual'!D52,0))+parametros_carros!$G$20*('Plan mensual'!D49+IF(parametros_carros!$H$20="Todos",'Plan mensual'!D53,0)))/60</f>
        <v>5.60342010359292</v>
      </c>
      <c r="C83" s="41" t="n">
        <f aca="false">(parametros_carros!$D$20*('Plan mensual'!E46+IF(parametros_carros!$H$20="Todos",'Plan mensual'!E50,0))+parametros_carros!$E$20*('Plan mensual'!E47+IF(parametros_carros!$H$20="Todos",'Plan mensual'!E51,0))+parametros_carros!$F$20*('Plan mensual'!E48+IF(parametros_carros!$H$20="Todos",'Plan mensual'!E52,0))+parametros_carros!$G$20*('Plan mensual'!E49+IF(parametros_carros!$H$20="Todos",'Plan mensual'!E53,0)))/60</f>
        <v>4.94419420905258</v>
      </c>
      <c r="D83" s="41" t="n">
        <f aca="false">(parametros_carros!$D$20*('Plan mensual'!F46+IF(parametros_carros!$H$20="Todos",'Plan mensual'!F50,0))+parametros_carros!$E$20*('Plan mensual'!F47+IF(parametros_carros!$H$20="Todos",'Plan mensual'!F51,0))+parametros_carros!$F$20*('Plan mensual'!F48+IF(parametros_carros!$H$20="Todos",'Plan mensual'!F52,0))+parametros_carros!$G$20*('Plan mensual'!F49+IF(parametros_carros!$H$20="Todos",'Plan mensual'!F53,0)))/60</f>
        <v>5.93303305086309</v>
      </c>
      <c r="E83" s="41" t="n">
        <f aca="false">(parametros_carros!$D$20*('Plan mensual'!G46+IF(parametros_carros!$H$20="Todos",'Plan mensual'!G50,0))+parametros_carros!$E$20*('Plan mensual'!G47+IF(parametros_carros!$H$20="Todos",'Plan mensual'!G51,0))+parametros_carros!$F$20*('Plan mensual'!G48+IF(parametros_carros!$H$20="Todos",'Plan mensual'!G52,0))+parametros_carros!$G$20*('Plan mensual'!G49+IF(parametros_carros!$H$20="Todos",'Plan mensual'!G53,0)))/60</f>
        <v>5.93303305086309</v>
      </c>
      <c r="F83" s="41" t="n">
        <f aca="false">(parametros_carros!$D$20*('Plan mensual'!H46+IF(parametros_carros!$H$20="Todos",'Plan mensual'!H50,0))+parametros_carros!$E$20*('Plan mensual'!H47+IF(parametros_carros!$H$20="Todos",'Plan mensual'!H51,0))+parametros_carros!$F$20*('Plan mensual'!H48+IF(parametros_carros!$H$20="Todos",'Plan mensual'!H52,0))+parametros_carros!$G$20*('Plan mensual'!H49+IF(parametros_carros!$H$20="Todos",'Plan mensual'!H53,0)))/60</f>
        <v>5.93303305086309</v>
      </c>
      <c r="G83" s="41" t="n">
        <f aca="false">(parametros_carros!$D$20*('Plan mensual'!I46+IF(parametros_carros!$H$20="Todos",'Plan mensual'!I50,0))+parametros_carros!$E$20*('Plan mensual'!I47+IF(parametros_carros!$H$20="Todos",'Plan mensual'!I51,0))+parametros_carros!$F$20*('Plan mensual'!I48+IF(parametros_carros!$H$20="Todos",'Plan mensual'!I52,0))+parametros_carros!$G$20*('Plan mensual'!I49+IF(parametros_carros!$H$20="Todos",'Plan mensual'!I53,0)))/60</f>
        <v>5.27380715632275</v>
      </c>
      <c r="H83" s="41" t="n">
        <f aca="false">(parametros_carros!$D$20*('Plan mensual'!J46+IF(parametros_carros!$H$20="Todos",'Plan mensual'!J50,0))+parametros_carros!$E$20*('Plan mensual'!J47+IF(parametros_carros!$H$20="Todos",'Plan mensual'!J51,0))+parametros_carros!$F$20*('Plan mensual'!J48+IF(parametros_carros!$H$20="Todos",'Plan mensual'!J52,0))+parametros_carros!$G$20*('Plan mensual'!J49+IF(parametros_carros!$H$20="Todos",'Plan mensual'!J53,0)))/60</f>
        <v>5.93303305086309</v>
      </c>
      <c r="I83" s="41" t="n">
        <f aca="false">(parametros_carros!$D$20*('Plan mensual'!K46+IF(parametros_carros!$H$20="Todos",'Plan mensual'!K50,0))+parametros_carros!$E$20*('Plan mensual'!K47+IF(parametros_carros!$H$20="Todos",'Plan mensual'!K51,0))+parametros_carros!$F$20*('Plan mensual'!K48+IF(parametros_carros!$H$20="Todos",'Plan mensual'!K52,0))+parametros_carros!$G$20*('Plan mensual'!K49+IF(parametros_carros!$H$20="Todos",'Plan mensual'!K53,0)))/60</f>
        <v>5.93303305086309</v>
      </c>
      <c r="J83" s="41" t="n">
        <f aca="false">(parametros_carros!$D$20*('Plan mensual'!L46+IF(parametros_carros!$H$20="Todos",'Plan mensual'!L50,0))+parametros_carros!$E$20*('Plan mensual'!L47+IF(parametros_carros!$H$20="Todos",'Plan mensual'!L51,0))+parametros_carros!$F$20*('Plan mensual'!L48+IF(parametros_carros!$H$20="Todos",'Plan mensual'!L52,0))+parametros_carros!$G$20*('Plan mensual'!L49+IF(parametros_carros!$H$20="Todos",'Plan mensual'!L53,0)))/60</f>
        <v>5.60342010359292</v>
      </c>
      <c r="K83" s="41" t="n">
        <f aca="false">(parametros_carros!$D$20*('Plan mensual'!M46+IF(parametros_carros!$H$20="Todos",'Plan mensual'!M50,0))+parametros_carros!$E$20*('Plan mensual'!M47+IF(parametros_carros!$H$20="Todos",'Plan mensual'!M51,0))+parametros_carros!$F$20*('Plan mensual'!M48+IF(parametros_carros!$H$20="Todos",'Plan mensual'!M52,0))+parametros_carros!$G$20*('Plan mensual'!M49+IF(parametros_carros!$H$20="Todos",'Plan mensual'!M53,0)))/60</f>
        <v>4.94419420905258</v>
      </c>
      <c r="L83" s="41" t="n">
        <f aca="false">(parametros_carros!$D$20*('Plan mensual'!N46+IF(parametros_carros!$H$20="Todos",'Plan mensual'!N50,0))+parametros_carros!$E$20*('Plan mensual'!N47+IF(parametros_carros!$H$20="Todos",'Plan mensual'!N51,0))+parametros_carros!$F$20*('Plan mensual'!N48+IF(parametros_carros!$H$20="Todos",'Plan mensual'!N52,0))+parametros_carros!$G$20*('Plan mensual'!N49+IF(parametros_carros!$H$20="Todos",'Plan mensual'!N53,0)))/60</f>
        <v>4.61458126178241</v>
      </c>
      <c r="M83" s="41" t="n">
        <f aca="false">(parametros_carros!$D$20*('Plan mensual'!O46+IF(parametros_carros!$H$20="Todos",'Plan mensual'!O50,0))+parametros_carros!$E$20*('Plan mensual'!O47+IF(parametros_carros!$H$20="Todos",'Plan mensual'!O51,0))+parametros_carros!$F$20*('Plan mensual'!O48+IF(parametros_carros!$H$20="Todos",'Plan mensual'!O52,0))+parametros_carros!$G$20*('Plan mensual'!O49+IF(parametros_carros!$H$20="Todos",'Plan mensual'!O53,0)))/60</f>
        <v>5.27380715632275</v>
      </c>
      <c r="N83" s="41" t="n">
        <f aca="false">SUM(B83:M83)</f>
        <v>65.9225894540344</v>
      </c>
      <c r="O83" s="41" t="n">
        <f aca="false">MAX(B83:M83)</f>
        <v>5.93303305086309</v>
      </c>
      <c r="P83" s="45" t="n">
        <f aca="false">IF(parametros_carros!$B$7=0,0,(O83+parametros_carros!$G$46)/parametros_carros!$B$7)</f>
        <v>0.101775775894643</v>
      </c>
      <c r="Q83" s="29" t="str">
        <f aca="false">IF(O83=0,"-",INDEX($B$81:$M$81,MATCH(O83,B83:M83,0)))</f>
        <v>Mar</v>
      </c>
    </row>
    <row r="84" customFormat="false" ht="14.25" hidden="false" customHeight="true" outlineLevel="0" collapsed="false">
      <c r="A84" s="12" t="str">
        <f aca="false">parametros_carros!$B$21</f>
        <v>Marcado del cuerpo</v>
      </c>
      <c r="B84" s="41" t="n">
        <f aca="false">(parametros_carros!$D$21*('Plan mensual'!D46+IF(parametros_carros!$H$21="Todos",'Plan mensual'!D50,0))+parametros_carros!$E$21*('Plan mensual'!D47+IF(parametros_carros!$H$21="Todos",'Plan mensual'!D51,0))+parametros_carros!$F$21*('Plan mensual'!D48+IF(parametros_carros!$H$21="Todos",'Plan mensual'!D52,0))+parametros_carros!$G$21*('Plan mensual'!D49+IF(parametros_carros!$H$21="Todos",'Plan mensual'!D53,0)))/60</f>
        <v>2.2287938709145</v>
      </c>
      <c r="C84" s="41" t="n">
        <f aca="false">(parametros_carros!$D$21*('Plan mensual'!E46+IF(parametros_carros!$H$21="Todos",'Plan mensual'!E50,0))+parametros_carros!$E$21*('Plan mensual'!E47+IF(parametros_carros!$H$21="Todos",'Plan mensual'!E51,0))+parametros_carros!$F$21*('Plan mensual'!E48+IF(parametros_carros!$H$21="Todos",'Plan mensual'!E52,0))+parametros_carros!$G$21*('Plan mensual'!E49+IF(parametros_carros!$H$21="Todos",'Plan mensual'!E53,0)))/60</f>
        <v>1.9665828272775</v>
      </c>
      <c r="D84" s="41" t="n">
        <f aca="false">(parametros_carros!$D$21*('Plan mensual'!F46+IF(parametros_carros!$H$21="Todos",'Plan mensual'!F50,0))+parametros_carros!$E$21*('Plan mensual'!F47+IF(parametros_carros!$H$21="Todos",'Plan mensual'!F51,0))+parametros_carros!$F$21*('Plan mensual'!F48+IF(parametros_carros!$H$21="Todos",'Plan mensual'!F52,0))+parametros_carros!$G$21*('Plan mensual'!F49+IF(parametros_carros!$H$21="Todos",'Plan mensual'!F53,0)))/60</f>
        <v>2.359899392733</v>
      </c>
      <c r="E84" s="41" t="n">
        <f aca="false">(parametros_carros!$D$21*('Plan mensual'!G46+IF(parametros_carros!$H$21="Todos",'Plan mensual'!G50,0))+parametros_carros!$E$21*('Plan mensual'!G47+IF(parametros_carros!$H$21="Todos",'Plan mensual'!G51,0))+parametros_carros!$F$21*('Plan mensual'!G48+IF(parametros_carros!$H$21="Todos",'Plan mensual'!G52,0))+parametros_carros!$G$21*('Plan mensual'!G49+IF(parametros_carros!$H$21="Todos",'Plan mensual'!G53,0)))/60</f>
        <v>2.359899392733</v>
      </c>
      <c r="F84" s="41" t="n">
        <f aca="false">(parametros_carros!$D$21*('Plan mensual'!H46+IF(parametros_carros!$H$21="Todos",'Plan mensual'!H50,0))+parametros_carros!$E$21*('Plan mensual'!H47+IF(parametros_carros!$H$21="Todos",'Plan mensual'!H51,0))+parametros_carros!$F$21*('Plan mensual'!H48+IF(parametros_carros!$H$21="Todos",'Plan mensual'!H52,0))+parametros_carros!$G$21*('Plan mensual'!H49+IF(parametros_carros!$H$21="Todos",'Plan mensual'!H53,0)))/60</f>
        <v>2.359899392733</v>
      </c>
      <c r="G84" s="41" t="n">
        <f aca="false">(parametros_carros!$D$21*('Plan mensual'!I46+IF(parametros_carros!$H$21="Todos",'Plan mensual'!I50,0))+parametros_carros!$E$21*('Plan mensual'!I47+IF(parametros_carros!$H$21="Todos",'Plan mensual'!I51,0))+parametros_carros!$F$21*('Plan mensual'!I48+IF(parametros_carros!$H$21="Todos",'Plan mensual'!I52,0))+parametros_carros!$G$21*('Plan mensual'!I49+IF(parametros_carros!$H$21="Todos",'Plan mensual'!I53,0)))/60</f>
        <v>2.097688349096</v>
      </c>
      <c r="H84" s="41" t="n">
        <f aca="false">(parametros_carros!$D$21*('Plan mensual'!J46+IF(parametros_carros!$H$21="Todos",'Plan mensual'!J50,0))+parametros_carros!$E$21*('Plan mensual'!J47+IF(parametros_carros!$H$21="Todos",'Plan mensual'!J51,0))+parametros_carros!$F$21*('Plan mensual'!J48+IF(parametros_carros!$H$21="Todos",'Plan mensual'!J52,0))+parametros_carros!$G$21*('Plan mensual'!J49+IF(parametros_carros!$H$21="Todos",'Plan mensual'!J53,0)))/60</f>
        <v>2.359899392733</v>
      </c>
      <c r="I84" s="41" t="n">
        <f aca="false">(parametros_carros!$D$21*('Plan mensual'!K46+IF(parametros_carros!$H$21="Todos",'Plan mensual'!K50,0))+parametros_carros!$E$21*('Plan mensual'!K47+IF(parametros_carros!$H$21="Todos",'Plan mensual'!K51,0))+parametros_carros!$F$21*('Plan mensual'!K48+IF(parametros_carros!$H$21="Todos",'Plan mensual'!K52,0))+parametros_carros!$G$21*('Plan mensual'!K49+IF(parametros_carros!$H$21="Todos",'Plan mensual'!K53,0)))/60</f>
        <v>2.359899392733</v>
      </c>
      <c r="J84" s="41" t="n">
        <f aca="false">(parametros_carros!$D$21*('Plan mensual'!L46+IF(parametros_carros!$H$21="Todos",'Plan mensual'!L50,0))+parametros_carros!$E$21*('Plan mensual'!L47+IF(parametros_carros!$H$21="Todos",'Plan mensual'!L51,0))+parametros_carros!$F$21*('Plan mensual'!L48+IF(parametros_carros!$H$21="Todos",'Plan mensual'!L52,0))+parametros_carros!$G$21*('Plan mensual'!L49+IF(parametros_carros!$H$21="Todos",'Plan mensual'!L53,0)))/60</f>
        <v>2.2287938709145</v>
      </c>
      <c r="K84" s="41" t="n">
        <f aca="false">(parametros_carros!$D$21*('Plan mensual'!M46+IF(parametros_carros!$H$21="Todos",'Plan mensual'!M50,0))+parametros_carros!$E$21*('Plan mensual'!M47+IF(parametros_carros!$H$21="Todos",'Plan mensual'!M51,0))+parametros_carros!$F$21*('Plan mensual'!M48+IF(parametros_carros!$H$21="Todos",'Plan mensual'!M52,0))+parametros_carros!$G$21*('Plan mensual'!M49+IF(parametros_carros!$H$21="Todos",'Plan mensual'!M53,0)))/60</f>
        <v>1.9665828272775</v>
      </c>
      <c r="L84" s="41" t="n">
        <f aca="false">(parametros_carros!$D$21*('Plan mensual'!N46+IF(parametros_carros!$H$21="Todos",'Plan mensual'!N50,0))+parametros_carros!$E$21*('Plan mensual'!N47+IF(parametros_carros!$H$21="Todos",'Plan mensual'!N51,0))+parametros_carros!$F$21*('Plan mensual'!N48+IF(parametros_carros!$H$21="Todos",'Plan mensual'!N52,0))+parametros_carros!$G$21*('Plan mensual'!N49+IF(parametros_carros!$H$21="Todos",'Plan mensual'!N53,0)))/60</f>
        <v>1.835477305459</v>
      </c>
      <c r="M84" s="41" t="n">
        <f aca="false">(parametros_carros!$D$21*('Plan mensual'!O46+IF(parametros_carros!$H$21="Todos",'Plan mensual'!O50,0))+parametros_carros!$E$21*('Plan mensual'!O47+IF(parametros_carros!$H$21="Todos",'Plan mensual'!O51,0))+parametros_carros!$F$21*('Plan mensual'!O48+IF(parametros_carros!$H$21="Todos",'Plan mensual'!O52,0))+parametros_carros!$G$21*('Plan mensual'!O49+IF(parametros_carros!$H$21="Todos",'Plan mensual'!O53,0)))/60</f>
        <v>2.097688349096</v>
      </c>
      <c r="N84" s="41" t="n">
        <f aca="false">SUM(B84:M84)</f>
        <v>26.2211043637</v>
      </c>
      <c r="O84" s="41" t="n">
        <f aca="false">MAX(B84:M84)</f>
        <v>2.359899392733</v>
      </c>
      <c r="P84" s="45" t="n">
        <f aca="false">IF(parametros_carros!$B$7=0,0,(O84+parametros_carros!$G$47)/parametros_carros!$B$7)</f>
        <v>0.0279548848404422</v>
      </c>
      <c r="Q84" s="29" t="str">
        <f aca="false">IF(O84=0,"-",INDEX($B$81:$M$81,MATCH(O84,B84:M84,0)))</f>
        <v>Mar</v>
      </c>
    </row>
    <row r="85" customFormat="false" ht="14.25" hidden="false" customHeight="true" outlineLevel="0" collapsed="false">
      <c r="A85" s="12" t="str">
        <f aca="false">parametros_carros!$B$22</f>
        <v>Cilindrado</v>
      </c>
      <c r="B85" s="41" t="n">
        <f aca="false">(parametros_carros!$D$22*('Plan mensual'!D46+IF(parametros_carros!$H$22="Todos",'Plan mensual'!D50,0))+parametros_carros!$E$22*('Plan mensual'!D47+IF(parametros_carros!$H$22="Todos",'Plan mensual'!D51,0))+parametros_carros!$F$22*('Plan mensual'!D48+IF(parametros_carros!$H$22="Todos",'Plan mensual'!D52,0))+parametros_carros!$G$22*('Plan mensual'!D49+IF(parametros_carros!$H$22="Todos",'Plan mensual'!D53,0)))/60</f>
        <v>4.77394303251574</v>
      </c>
      <c r="C85" s="41" t="n">
        <f aca="false">(parametros_carros!$D$22*('Plan mensual'!E46+IF(parametros_carros!$H$22="Todos",'Plan mensual'!E50,0))+parametros_carros!$E$22*('Plan mensual'!E47+IF(parametros_carros!$H$22="Todos",'Plan mensual'!E51,0))+parametros_carros!$F$22*('Plan mensual'!E48+IF(parametros_carros!$H$22="Todos",'Plan mensual'!E52,0))+parametros_carros!$G$22*('Plan mensual'!E49+IF(parametros_carros!$H$22="Todos",'Plan mensual'!E53,0)))/60</f>
        <v>4.21230267574918</v>
      </c>
      <c r="D85" s="41" t="n">
        <f aca="false">(parametros_carros!$D$22*('Plan mensual'!F46+IF(parametros_carros!$H$22="Todos",'Plan mensual'!F50,0))+parametros_carros!$E$22*('Plan mensual'!F47+IF(parametros_carros!$H$22="Todos",'Plan mensual'!F51,0))+parametros_carros!$F$22*('Plan mensual'!F48+IF(parametros_carros!$H$22="Todos",'Plan mensual'!F52,0))+parametros_carros!$G$22*('Plan mensual'!F49+IF(parametros_carros!$H$22="Todos",'Plan mensual'!F53,0)))/60</f>
        <v>5.05476321089902</v>
      </c>
      <c r="E85" s="41" t="n">
        <f aca="false">(parametros_carros!$D$22*('Plan mensual'!G46+IF(parametros_carros!$H$22="Todos",'Plan mensual'!G50,0))+parametros_carros!$E$22*('Plan mensual'!G47+IF(parametros_carros!$H$22="Todos",'Plan mensual'!G51,0))+parametros_carros!$F$22*('Plan mensual'!G48+IF(parametros_carros!$H$22="Todos",'Plan mensual'!G52,0))+parametros_carros!$G$22*('Plan mensual'!G49+IF(parametros_carros!$H$22="Todos",'Plan mensual'!G53,0)))/60</f>
        <v>5.05476321089902</v>
      </c>
      <c r="F85" s="41" t="n">
        <f aca="false">(parametros_carros!$D$22*('Plan mensual'!H46+IF(parametros_carros!$H$22="Todos",'Plan mensual'!H50,0))+parametros_carros!$E$22*('Plan mensual'!H47+IF(parametros_carros!$H$22="Todos",'Plan mensual'!H51,0))+parametros_carros!$F$22*('Plan mensual'!H48+IF(parametros_carros!$H$22="Todos",'Plan mensual'!H52,0))+parametros_carros!$G$22*('Plan mensual'!H49+IF(parametros_carros!$H$22="Todos",'Plan mensual'!H53,0)))/60</f>
        <v>5.05476321089902</v>
      </c>
      <c r="G85" s="41" t="n">
        <f aca="false">(parametros_carros!$D$22*('Plan mensual'!I46+IF(parametros_carros!$H$22="Todos",'Plan mensual'!I50,0))+parametros_carros!$E$22*('Plan mensual'!I47+IF(parametros_carros!$H$22="Todos",'Plan mensual'!I51,0))+parametros_carros!$F$22*('Plan mensual'!I48+IF(parametros_carros!$H$22="Todos",'Plan mensual'!I52,0))+parametros_carros!$G$22*('Plan mensual'!I49+IF(parametros_carros!$H$22="Todos",'Plan mensual'!I53,0)))/60</f>
        <v>4.49312285413246</v>
      </c>
      <c r="H85" s="41" t="n">
        <f aca="false">(parametros_carros!$D$22*('Plan mensual'!J46+IF(parametros_carros!$H$22="Todos",'Plan mensual'!J50,0))+parametros_carros!$E$22*('Plan mensual'!J47+IF(parametros_carros!$H$22="Todos",'Plan mensual'!J51,0))+parametros_carros!$F$22*('Plan mensual'!J48+IF(parametros_carros!$H$22="Todos",'Plan mensual'!J52,0))+parametros_carros!$G$22*('Plan mensual'!J49+IF(parametros_carros!$H$22="Todos",'Plan mensual'!J53,0)))/60</f>
        <v>5.05476321089902</v>
      </c>
      <c r="I85" s="41" t="n">
        <f aca="false">(parametros_carros!$D$22*('Plan mensual'!K46+IF(parametros_carros!$H$22="Todos",'Plan mensual'!K50,0))+parametros_carros!$E$22*('Plan mensual'!K47+IF(parametros_carros!$H$22="Todos",'Plan mensual'!K51,0))+parametros_carros!$F$22*('Plan mensual'!K48+IF(parametros_carros!$H$22="Todos",'Plan mensual'!K52,0))+parametros_carros!$G$22*('Plan mensual'!K49+IF(parametros_carros!$H$22="Todos",'Plan mensual'!K53,0)))/60</f>
        <v>5.05476321089902</v>
      </c>
      <c r="J85" s="41" t="n">
        <f aca="false">(parametros_carros!$D$22*('Plan mensual'!L46+IF(parametros_carros!$H$22="Todos",'Plan mensual'!L50,0))+parametros_carros!$E$22*('Plan mensual'!L47+IF(parametros_carros!$H$22="Todos",'Plan mensual'!L51,0))+parametros_carros!$F$22*('Plan mensual'!L48+IF(parametros_carros!$H$22="Todos",'Plan mensual'!L52,0))+parametros_carros!$G$22*('Plan mensual'!L49+IF(parametros_carros!$H$22="Todos",'Plan mensual'!L53,0)))/60</f>
        <v>4.77394303251574</v>
      </c>
      <c r="K85" s="41" t="n">
        <f aca="false">(parametros_carros!$D$22*('Plan mensual'!M46+IF(parametros_carros!$H$22="Todos",'Plan mensual'!M50,0))+parametros_carros!$E$22*('Plan mensual'!M47+IF(parametros_carros!$H$22="Todos",'Plan mensual'!M51,0))+parametros_carros!$F$22*('Plan mensual'!M48+IF(parametros_carros!$H$22="Todos",'Plan mensual'!M52,0))+parametros_carros!$G$22*('Plan mensual'!M49+IF(parametros_carros!$H$22="Todos",'Plan mensual'!M53,0)))/60</f>
        <v>4.21230267574918</v>
      </c>
      <c r="L85" s="41" t="n">
        <f aca="false">(parametros_carros!$D$22*('Plan mensual'!N46+IF(parametros_carros!$H$22="Todos",'Plan mensual'!N50,0))+parametros_carros!$E$22*('Plan mensual'!N47+IF(parametros_carros!$H$22="Todos",'Plan mensual'!N51,0))+parametros_carros!$F$22*('Plan mensual'!N48+IF(parametros_carros!$H$22="Todos",'Plan mensual'!N52,0))+parametros_carros!$G$22*('Plan mensual'!N49+IF(parametros_carros!$H$22="Todos",'Plan mensual'!N53,0)))/60</f>
        <v>3.93148249736591</v>
      </c>
      <c r="M85" s="41" t="n">
        <f aca="false">(parametros_carros!$D$22*('Plan mensual'!O46+IF(parametros_carros!$H$22="Todos",'Plan mensual'!O50,0))+parametros_carros!$E$22*('Plan mensual'!O47+IF(parametros_carros!$H$22="Todos",'Plan mensual'!O51,0))+parametros_carros!$F$22*('Plan mensual'!O48+IF(parametros_carros!$H$22="Todos",'Plan mensual'!O52,0))+parametros_carros!$G$22*('Plan mensual'!O49+IF(parametros_carros!$H$22="Todos",'Plan mensual'!O53,0)))/60</f>
        <v>4.49312285413246</v>
      </c>
      <c r="N85" s="41" t="n">
        <f aca="false">SUM(B85:M85)</f>
        <v>56.1640356766558</v>
      </c>
      <c r="O85" s="41" t="n">
        <f aca="false">MAX(B85:M85)</f>
        <v>5.05476321089902</v>
      </c>
      <c r="P85" s="45" t="n">
        <f aca="false">IF(parametros_carros!$B$7=0,0,(O85+parametros_carros!$G$48)/parametros_carros!$B$7)</f>
        <v>0.0736984214059935</v>
      </c>
      <c r="Q85" s="29" t="str">
        <f aca="false">IF(O85=0,"-",INDEX($B$81:$M$81,MATCH(O85,B85:M85,0)))</f>
        <v>Mar</v>
      </c>
    </row>
    <row r="86" customFormat="false" ht="14.25" hidden="false" customHeight="true" outlineLevel="0" collapsed="false">
      <c r="A86" s="12" t="str">
        <f aca="false">parametros_carros!$B$23</f>
        <v>Punteo del cuerpo</v>
      </c>
      <c r="B86" s="41" t="n">
        <f aca="false">(parametros_carros!$D$23*('Plan mensual'!D46+IF(parametros_carros!$H$23="Todos",'Plan mensual'!D50,0))+parametros_carros!$E$23*('Plan mensual'!D47+IF(parametros_carros!$H$23="Todos",'Plan mensual'!D51,0))+parametros_carros!$F$23*('Plan mensual'!D48+IF(parametros_carros!$H$23="Todos",'Plan mensual'!D52,0))+parametros_carros!$G$23*('Plan mensual'!D49+IF(parametros_carros!$H$23="Todos",'Plan mensual'!D53,0)))/60</f>
        <v>7.08541740171133</v>
      </c>
      <c r="C86" s="41" t="n">
        <f aca="false">(parametros_carros!$D$23*('Plan mensual'!E46+IF(parametros_carros!$H$23="Todos",'Plan mensual'!E50,0))+parametros_carros!$E$23*('Plan mensual'!E47+IF(parametros_carros!$H$23="Todos",'Plan mensual'!E51,0))+parametros_carros!$F$23*('Plan mensual'!E48+IF(parametros_carros!$H$23="Todos",'Plan mensual'!E52,0))+parametros_carros!$G$23*('Plan mensual'!E49+IF(parametros_carros!$H$23="Todos",'Plan mensual'!E53,0)))/60</f>
        <v>6.25183888386293</v>
      </c>
      <c r="D86" s="41" t="n">
        <f aca="false">(parametros_carros!$D$23*('Plan mensual'!F46+IF(parametros_carros!$H$23="Todos",'Plan mensual'!F50,0))+parametros_carros!$E$23*('Plan mensual'!F47+IF(parametros_carros!$H$23="Todos",'Plan mensual'!F51,0))+parametros_carros!$F$23*('Plan mensual'!F48+IF(parametros_carros!$H$23="Todos",'Plan mensual'!F52,0))+parametros_carros!$G$23*('Plan mensual'!F49+IF(parametros_carros!$H$23="Todos",'Plan mensual'!F53,0)))/60</f>
        <v>7.50220666063552</v>
      </c>
      <c r="E86" s="41" t="n">
        <f aca="false">(parametros_carros!$D$23*('Plan mensual'!G46+IF(parametros_carros!$H$23="Todos",'Plan mensual'!G50,0))+parametros_carros!$E$23*('Plan mensual'!G47+IF(parametros_carros!$H$23="Todos",'Plan mensual'!G51,0))+parametros_carros!$F$23*('Plan mensual'!G48+IF(parametros_carros!$H$23="Todos",'Plan mensual'!G52,0))+parametros_carros!$G$23*('Plan mensual'!G49+IF(parametros_carros!$H$23="Todos",'Plan mensual'!G53,0)))/60</f>
        <v>7.50220666063552</v>
      </c>
      <c r="F86" s="41" t="n">
        <f aca="false">(parametros_carros!$D$23*('Plan mensual'!H46+IF(parametros_carros!$H$23="Todos",'Plan mensual'!H50,0))+parametros_carros!$E$23*('Plan mensual'!H47+IF(parametros_carros!$H$23="Todos",'Plan mensual'!H51,0))+parametros_carros!$F$23*('Plan mensual'!H48+IF(parametros_carros!$H$23="Todos",'Plan mensual'!H52,0))+parametros_carros!$G$23*('Plan mensual'!H49+IF(parametros_carros!$H$23="Todos",'Plan mensual'!H53,0)))/60</f>
        <v>7.50220666063552</v>
      </c>
      <c r="G86" s="41" t="n">
        <f aca="false">(parametros_carros!$D$23*('Plan mensual'!I46+IF(parametros_carros!$H$23="Todos",'Plan mensual'!I50,0))+parametros_carros!$E$23*('Plan mensual'!I47+IF(parametros_carros!$H$23="Todos",'Plan mensual'!I51,0))+parametros_carros!$F$23*('Plan mensual'!I48+IF(parametros_carros!$H$23="Todos",'Plan mensual'!I52,0))+parametros_carros!$G$23*('Plan mensual'!I49+IF(parametros_carros!$H$23="Todos",'Plan mensual'!I53,0)))/60</f>
        <v>6.66862814278713</v>
      </c>
      <c r="H86" s="41" t="n">
        <f aca="false">(parametros_carros!$D$23*('Plan mensual'!J46+IF(parametros_carros!$H$23="Todos",'Plan mensual'!J50,0))+parametros_carros!$E$23*('Plan mensual'!J47+IF(parametros_carros!$H$23="Todos",'Plan mensual'!J51,0))+parametros_carros!$F$23*('Plan mensual'!J48+IF(parametros_carros!$H$23="Todos",'Plan mensual'!J52,0))+parametros_carros!$G$23*('Plan mensual'!J49+IF(parametros_carros!$H$23="Todos",'Plan mensual'!J53,0)))/60</f>
        <v>7.50220666063552</v>
      </c>
      <c r="I86" s="41" t="n">
        <f aca="false">(parametros_carros!$D$23*('Plan mensual'!K46+IF(parametros_carros!$H$23="Todos",'Plan mensual'!K50,0))+parametros_carros!$E$23*('Plan mensual'!K47+IF(parametros_carros!$H$23="Todos",'Plan mensual'!K51,0))+parametros_carros!$F$23*('Plan mensual'!K48+IF(parametros_carros!$H$23="Todos",'Plan mensual'!K52,0))+parametros_carros!$G$23*('Plan mensual'!K49+IF(parametros_carros!$H$23="Todos",'Plan mensual'!K53,0)))/60</f>
        <v>7.50220666063552</v>
      </c>
      <c r="J86" s="41" t="n">
        <f aca="false">(parametros_carros!$D$23*('Plan mensual'!L46+IF(parametros_carros!$H$23="Todos",'Plan mensual'!L50,0))+parametros_carros!$E$23*('Plan mensual'!L47+IF(parametros_carros!$H$23="Todos",'Plan mensual'!L51,0))+parametros_carros!$F$23*('Plan mensual'!L48+IF(parametros_carros!$H$23="Todos",'Plan mensual'!L52,0))+parametros_carros!$G$23*('Plan mensual'!L49+IF(parametros_carros!$H$23="Todos",'Plan mensual'!L53,0)))/60</f>
        <v>7.08541740171133</v>
      </c>
      <c r="K86" s="41" t="n">
        <f aca="false">(parametros_carros!$D$23*('Plan mensual'!M46+IF(parametros_carros!$H$23="Todos",'Plan mensual'!M50,0))+parametros_carros!$E$23*('Plan mensual'!M47+IF(parametros_carros!$H$23="Todos",'Plan mensual'!M51,0))+parametros_carros!$F$23*('Plan mensual'!M48+IF(parametros_carros!$H$23="Todos",'Plan mensual'!M52,0))+parametros_carros!$G$23*('Plan mensual'!M49+IF(parametros_carros!$H$23="Todos",'Plan mensual'!M53,0)))/60</f>
        <v>6.25183888386293</v>
      </c>
      <c r="L86" s="41" t="n">
        <f aca="false">(parametros_carros!$D$23*('Plan mensual'!N46+IF(parametros_carros!$H$23="Todos",'Plan mensual'!N50,0))+parametros_carros!$E$23*('Plan mensual'!N47+IF(parametros_carros!$H$23="Todos",'Plan mensual'!N51,0))+parametros_carros!$F$23*('Plan mensual'!N48+IF(parametros_carros!$H$23="Todos",'Plan mensual'!N52,0))+parametros_carros!$G$23*('Plan mensual'!N49+IF(parametros_carros!$H$23="Todos",'Plan mensual'!N53,0)))/60</f>
        <v>5.83504962493874</v>
      </c>
      <c r="M86" s="41" t="n">
        <f aca="false">(parametros_carros!$D$23*('Plan mensual'!O46+IF(parametros_carros!$H$23="Todos",'Plan mensual'!O50,0))+parametros_carros!$E$23*('Plan mensual'!O47+IF(parametros_carros!$H$23="Todos",'Plan mensual'!O51,0))+parametros_carros!$F$23*('Plan mensual'!O48+IF(parametros_carros!$H$23="Todos",'Plan mensual'!O52,0))+parametros_carros!$G$23*('Plan mensual'!O49+IF(parametros_carros!$H$23="Todos",'Plan mensual'!O53,0)))/60</f>
        <v>6.66862814278713</v>
      </c>
      <c r="N86" s="41" t="n">
        <f aca="false">SUM(B86:M86)</f>
        <v>83.3578517848391</v>
      </c>
      <c r="O86" s="41" t="n">
        <f aca="false">MAX(B86:M86)</f>
        <v>7.50220666063552</v>
      </c>
      <c r="P86" s="45" t="n">
        <f aca="false">IF(parametros_carros!$B$7=0,0,(O86+parametros_carros!$G$49)/parametros_carros!$B$7)</f>
        <v>0.0611258221820146</v>
      </c>
      <c r="Q86" s="29" t="str">
        <f aca="false">IF(O86=0,"-",INDEX($B$81:$M$81,MATCH(O86,B86:M86,0)))</f>
        <v>Mar</v>
      </c>
    </row>
    <row r="87" customFormat="false" ht="14.25" hidden="false" customHeight="true" outlineLevel="0" collapsed="false">
      <c r="A87" s="12" t="str">
        <f aca="false">parametros_carros!$B$24</f>
        <v>Soldadura longitudinal</v>
      </c>
      <c r="B87" s="41" t="n">
        <f aca="false">(parametros_carros!$D$24*('Plan mensual'!D46+IF(parametros_carros!$H$24="Todos",'Plan mensual'!D50,0))+parametros_carros!$E$24*('Plan mensual'!D47+IF(parametros_carros!$H$24="Todos",'Plan mensual'!D51,0))+parametros_carros!$F$24*('Plan mensual'!D48+IF(parametros_carros!$H$24="Todos",'Plan mensual'!D52,0))+parametros_carros!$G$24*('Plan mensual'!D49+IF(parametros_carros!$H$24="Todos",'Plan mensual'!D53,0)))/60</f>
        <v>4.85924196473125</v>
      </c>
      <c r="C87" s="41" t="n">
        <f aca="false">(parametros_carros!$D$24*('Plan mensual'!E46+IF(parametros_carros!$H$24="Todos",'Plan mensual'!E50,0))+parametros_carros!$E$24*('Plan mensual'!E47+IF(parametros_carros!$H$24="Todos",'Plan mensual'!E51,0))+parametros_carros!$F$24*('Plan mensual'!E48+IF(parametros_carros!$H$24="Todos",'Plan mensual'!E52,0))+parametros_carros!$G$24*('Plan mensual'!E49+IF(parametros_carros!$H$24="Todos",'Plan mensual'!E53,0)))/60</f>
        <v>4.28756643946875</v>
      </c>
      <c r="D87" s="41" t="n">
        <f aca="false">(parametros_carros!$D$24*('Plan mensual'!F46+IF(parametros_carros!$H$24="Todos",'Plan mensual'!F50,0))+parametros_carros!$E$24*('Plan mensual'!F47+IF(parametros_carros!$H$24="Todos",'Plan mensual'!F51,0))+parametros_carros!$F$24*('Plan mensual'!F48+IF(parametros_carros!$H$24="Todos",'Plan mensual'!F52,0))+parametros_carros!$G$24*('Plan mensual'!F49+IF(parametros_carros!$H$24="Todos",'Plan mensual'!F53,0)))/60</f>
        <v>5.1450797273625</v>
      </c>
      <c r="E87" s="41" t="n">
        <f aca="false">(parametros_carros!$D$24*('Plan mensual'!G46+IF(parametros_carros!$H$24="Todos",'Plan mensual'!G50,0))+parametros_carros!$E$24*('Plan mensual'!G47+IF(parametros_carros!$H$24="Todos",'Plan mensual'!G51,0))+parametros_carros!$F$24*('Plan mensual'!G48+IF(parametros_carros!$H$24="Todos",'Plan mensual'!G52,0))+parametros_carros!$G$24*('Plan mensual'!G49+IF(parametros_carros!$H$24="Todos",'Plan mensual'!G53,0)))/60</f>
        <v>5.1450797273625</v>
      </c>
      <c r="F87" s="41" t="n">
        <f aca="false">(parametros_carros!$D$24*('Plan mensual'!H46+IF(parametros_carros!$H$24="Todos",'Plan mensual'!H50,0))+parametros_carros!$E$24*('Plan mensual'!H47+IF(parametros_carros!$H$24="Todos",'Plan mensual'!H51,0))+parametros_carros!$F$24*('Plan mensual'!H48+IF(parametros_carros!$H$24="Todos",'Plan mensual'!H52,0))+parametros_carros!$G$24*('Plan mensual'!H49+IF(parametros_carros!$H$24="Todos",'Plan mensual'!H53,0)))/60</f>
        <v>5.1450797273625</v>
      </c>
      <c r="G87" s="41" t="n">
        <f aca="false">(parametros_carros!$D$24*('Plan mensual'!I46+IF(parametros_carros!$H$24="Todos",'Plan mensual'!I50,0))+parametros_carros!$E$24*('Plan mensual'!I47+IF(parametros_carros!$H$24="Todos",'Plan mensual'!I51,0))+parametros_carros!$F$24*('Plan mensual'!I48+IF(parametros_carros!$H$24="Todos",'Plan mensual'!I52,0))+parametros_carros!$G$24*('Plan mensual'!I49+IF(parametros_carros!$H$24="Todos",'Plan mensual'!I53,0)))/60</f>
        <v>4.5734042021</v>
      </c>
      <c r="H87" s="41" t="n">
        <f aca="false">(parametros_carros!$D$24*('Plan mensual'!J46+IF(parametros_carros!$H$24="Todos",'Plan mensual'!J50,0))+parametros_carros!$E$24*('Plan mensual'!J47+IF(parametros_carros!$H$24="Todos",'Plan mensual'!J51,0))+parametros_carros!$F$24*('Plan mensual'!J48+IF(parametros_carros!$H$24="Todos",'Plan mensual'!J52,0))+parametros_carros!$G$24*('Plan mensual'!J49+IF(parametros_carros!$H$24="Todos",'Plan mensual'!J53,0)))/60</f>
        <v>5.1450797273625</v>
      </c>
      <c r="I87" s="41" t="n">
        <f aca="false">(parametros_carros!$D$24*('Plan mensual'!K46+IF(parametros_carros!$H$24="Todos",'Plan mensual'!K50,0))+parametros_carros!$E$24*('Plan mensual'!K47+IF(parametros_carros!$H$24="Todos",'Plan mensual'!K51,0))+parametros_carros!$F$24*('Plan mensual'!K48+IF(parametros_carros!$H$24="Todos",'Plan mensual'!K52,0))+parametros_carros!$G$24*('Plan mensual'!K49+IF(parametros_carros!$H$24="Todos",'Plan mensual'!K53,0)))/60</f>
        <v>5.1450797273625</v>
      </c>
      <c r="J87" s="41" t="n">
        <f aca="false">(parametros_carros!$D$24*('Plan mensual'!L46+IF(parametros_carros!$H$24="Todos",'Plan mensual'!L50,0))+parametros_carros!$E$24*('Plan mensual'!L47+IF(parametros_carros!$H$24="Todos",'Plan mensual'!L51,0))+parametros_carros!$F$24*('Plan mensual'!L48+IF(parametros_carros!$H$24="Todos",'Plan mensual'!L52,0))+parametros_carros!$G$24*('Plan mensual'!L49+IF(parametros_carros!$H$24="Todos",'Plan mensual'!L53,0)))/60</f>
        <v>4.85924196473125</v>
      </c>
      <c r="K87" s="41" t="n">
        <f aca="false">(parametros_carros!$D$24*('Plan mensual'!M46+IF(parametros_carros!$H$24="Todos",'Plan mensual'!M50,0))+parametros_carros!$E$24*('Plan mensual'!M47+IF(parametros_carros!$H$24="Todos",'Plan mensual'!M51,0))+parametros_carros!$F$24*('Plan mensual'!M48+IF(parametros_carros!$H$24="Todos",'Plan mensual'!M52,0))+parametros_carros!$G$24*('Plan mensual'!M49+IF(parametros_carros!$H$24="Todos",'Plan mensual'!M53,0)))/60</f>
        <v>4.28756643946875</v>
      </c>
      <c r="L87" s="41" t="n">
        <f aca="false">(parametros_carros!$D$24*('Plan mensual'!N46+IF(parametros_carros!$H$24="Todos",'Plan mensual'!N50,0))+parametros_carros!$E$24*('Plan mensual'!N47+IF(parametros_carros!$H$24="Todos",'Plan mensual'!N51,0))+parametros_carros!$F$24*('Plan mensual'!N48+IF(parametros_carros!$H$24="Todos",'Plan mensual'!N52,0))+parametros_carros!$G$24*('Plan mensual'!N49+IF(parametros_carros!$H$24="Todos",'Plan mensual'!N53,0)))/60</f>
        <v>4.0017286768375</v>
      </c>
      <c r="M87" s="41" t="n">
        <f aca="false">(parametros_carros!$D$24*('Plan mensual'!O46+IF(parametros_carros!$H$24="Todos",'Plan mensual'!O50,0))+parametros_carros!$E$24*('Plan mensual'!O47+IF(parametros_carros!$H$24="Todos",'Plan mensual'!O51,0))+parametros_carros!$F$24*('Plan mensual'!O48+IF(parametros_carros!$H$24="Todos",'Plan mensual'!O52,0))+parametros_carros!$G$24*('Plan mensual'!O49+IF(parametros_carros!$H$24="Todos",'Plan mensual'!O53,0)))/60</f>
        <v>4.5734042021</v>
      </c>
      <c r="N87" s="41" t="n">
        <f aca="false">SUM(B87:M87)</f>
        <v>57.16755252625</v>
      </c>
      <c r="O87" s="41" t="n">
        <f aca="false">MAX(B87:M87)</f>
        <v>5.1450797273625</v>
      </c>
      <c r="P87" s="45" t="n">
        <f aca="false">IF(parametros_carros!$B$7=0,0,(O87+parametros_carros!$G$50)/parametros_carros!$B$7)</f>
        <v>0.0520783092935278</v>
      </c>
      <c r="Q87" s="29" t="str">
        <f aca="false">IF(O87=0,"-",INDEX($B$81:$M$81,MATCH(O87,B87:M87,0)))</f>
        <v>Mar</v>
      </c>
    </row>
    <row r="88" customFormat="false" ht="14.25" hidden="false" customHeight="true" outlineLevel="0" collapsed="false">
      <c r="A88" s="12" t="str">
        <f aca="false">parametros_carros!$B$25</f>
        <v>Soldadura de cupla en la cúpula</v>
      </c>
      <c r="B88" s="41" t="n">
        <f aca="false">(parametros_carros!$D$25*('Plan mensual'!D46+IF(parametros_carros!$H$25="Todos",'Plan mensual'!D50,0))+parametros_carros!$E$25*('Plan mensual'!D47+IF(parametros_carros!$H$25="Todos",'Plan mensual'!D51,0))+parametros_carros!$F$25*('Plan mensual'!D48+IF(parametros_carros!$H$25="Todos",'Plan mensual'!D52,0))+parametros_carros!$G$25*('Plan mensual'!D49+IF(parametros_carros!$H$25="Todos",'Plan mensual'!D53,0)))/60</f>
        <v>4.80075110658333</v>
      </c>
      <c r="C88" s="41" t="n">
        <f aca="false">(parametros_carros!$D$25*('Plan mensual'!E46+IF(parametros_carros!$H$25="Todos",'Plan mensual'!E50,0))+parametros_carros!$E$25*('Plan mensual'!E47+IF(parametros_carros!$H$25="Todos",'Plan mensual'!E51,0))+parametros_carros!$F$25*('Plan mensual'!E48+IF(parametros_carros!$H$25="Todos",'Plan mensual'!E52,0))+parametros_carros!$G$25*('Plan mensual'!E49+IF(parametros_carros!$H$25="Todos",'Plan mensual'!E53,0)))/60</f>
        <v>4.23595685875</v>
      </c>
      <c r="D88" s="41" t="n">
        <f aca="false">(parametros_carros!$D$25*('Plan mensual'!F46+IF(parametros_carros!$H$25="Todos",'Plan mensual'!F50,0))+parametros_carros!$E$25*('Plan mensual'!F47+IF(parametros_carros!$H$25="Todos",'Plan mensual'!F51,0))+parametros_carros!$F$25*('Plan mensual'!F48+IF(parametros_carros!$H$25="Todos",'Plan mensual'!F52,0))+parametros_carros!$G$25*('Plan mensual'!F49+IF(parametros_carros!$H$25="Todos",'Plan mensual'!F53,0)))/60</f>
        <v>5.0831482305</v>
      </c>
      <c r="E88" s="41" t="n">
        <f aca="false">(parametros_carros!$D$25*('Plan mensual'!G46+IF(parametros_carros!$H$25="Todos",'Plan mensual'!G50,0))+parametros_carros!$E$25*('Plan mensual'!G47+IF(parametros_carros!$H$25="Todos",'Plan mensual'!G51,0))+parametros_carros!$F$25*('Plan mensual'!G48+IF(parametros_carros!$H$25="Todos",'Plan mensual'!G52,0))+parametros_carros!$G$25*('Plan mensual'!G49+IF(parametros_carros!$H$25="Todos",'Plan mensual'!G53,0)))/60</f>
        <v>5.0831482305</v>
      </c>
      <c r="F88" s="41" t="n">
        <f aca="false">(parametros_carros!$D$25*('Plan mensual'!H46+IF(parametros_carros!$H$25="Todos",'Plan mensual'!H50,0))+parametros_carros!$E$25*('Plan mensual'!H47+IF(parametros_carros!$H$25="Todos",'Plan mensual'!H51,0))+parametros_carros!$F$25*('Plan mensual'!H48+IF(parametros_carros!$H$25="Todos",'Plan mensual'!H52,0))+parametros_carros!$G$25*('Plan mensual'!H49+IF(parametros_carros!$H$25="Todos",'Plan mensual'!H53,0)))/60</f>
        <v>5.0831482305</v>
      </c>
      <c r="G88" s="41" t="n">
        <f aca="false">(parametros_carros!$D$25*('Plan mensual'!I46+IF(parametros_carros!$H$25="Todos",'Plan mensual'!I50,0))+parametros_carros!$E$25*('Plan mensual'!I47+IF(parametros_carros!$H$25="Todos",'Plan mensual'!I51,0))+parametros_carros!$F$25*('Plan mensual'!I48+IF(parametros_carros!$H$25="Todos",'Plan mensual'!I52,0))+parametros_carros!$G$25*('Plan mensual'!I49+IF(parametros_carros!$H$25="Todos",'Plan mensual'!I53,0)))/60</f>
        <v>4.51835398266667</v>
      </c>
      <c r="H88" s="41" t="n">
        <f aca="false">(parametros_carros!$D$25*('Plan mensual'!J46+IF(parametros_carros!$H$25="Todos",'Plan mensual'!J50,0))+parametros_carros!$E$25*('Plan mensual'!J47+IF(parametros_carros!$H$25="Todos",'Plan mensual'!J51,0))+parametros_carros!$F$25*('Plan mensual'!J48+IF(parametros_carros!$H$25="Todos",'Plan mensual'!J52,0))+parametros_carros!$G$25*('Plan mensual'!J49+IF(parametros_carros!$H$25="Todos",'Plan mensual'!J53,0)))/60</f>
        <v>5.0831482305</v>
      </c>
      <c r="I88" s="41" t="n">
        <f aca="false">(parametros_carros!$D$25*('Plan mensual'!K46+IF(parametros_carros!$H$25="Todos",'Plan mensual'!K50,0))+parametros_carros!$E$25*('Plan mensual'!K47+IF(parametros_carros!$H$25="Todos",'Plan mensual'!K51,0))+parametros_carros!$F$25*('Plan mensual'!K48+IF(parametros_carros!$H$25="Todos",'Plan mensual'!K52,0))+parametros_carros!$G$25*('Plan mensual'!K49+IF(parametros_carros!$H$25="Todos",'Plan mensual'!K53,0)))/60</f>
        <v>5.0831482305</v>
      </c>
      <c r="J88" s="41" t="n">
        <f aca="false">(parametros_carros!$D$25*('Plan mensual'!L46+IF(parametros_carros!$H$25="Todos",'Plan mensual'!L50,0))+parametros_carros!$E$25*('Plan mensual'!L47+IF(parametros_carros!$H$25="Todos",'Plan mensual'!L51,0))+parametros_carros!$F$25*('Plan mensual'!L48+IF(parametros_carros!$H$25="Todos",'Plan mensual'!L52,0))+parametros_carros!$G$25*('Plan mensual'!L49+IF(parametros_carros!$H$25="Todos",'Plan mensual'!L53,0)))/60</f>
        <v>4.80075110658333</v>
      </c>
      <c r="K88" s="41" t="n">
        <f aca="false">(parametros_carros!$D$25*('Plan mensual'!M46+IF(parametros_carros!$H$25="Todos",'Plan mensual'!M50,0))+parametros_carros!$E$25*('Plan mensual'!M47+IF(parametros_carros!$H$25="Todos",'Plan mensual'!M51,0))+parametros_carros!$F$25*('Plan mensual'!M48+IF(parametros_carros!$H$25="Todos",'Plan mensual'!M52,0))+parametros_carros!$G$25*('Plan mensual'!M49+IF(parametros_carros!$H$25="Todos",'Plan mensual'!M53,0)))/60</f>
        <v>4.23595685875</v>
      </c>
      <c r="L88" s="41" t="n">
        <f aca="false">(parametros_carros!$D$25*('Plan mensual'!N46+IF(parametros_carros!$H$25="Todos",'Plan mensual'!N50,0))+parametros_carros!$E$25*('Plan mensual'!N47+IF(parametros_carros!$H$25="Todos",'Plan mensual'!N51,0))+parametros_carros!$F$25*('Plan mensual'!N48+IF(parametros_carros!$H$25="Todos",'Plan mensual'!N52,0))+parametros_carros!$G$25*('Plan mensual'!N49+IF(parametros_carros!$H$25="Todos",'Plan mensual'!N53,0)))/60</f>
        <v>3.95355973483333</v>
      </c>
      <c r="M88" s="41" t="n">
        <f aca="false">(parametros_carros!$D$25*('Plan mensual'!O46+IF(parametros_carros!$H$25="Todos",'Plan mensual'!O50,0))+parametros_carros!$E$25*('Plan mensual'!O47+IF(parametros_carros!$H$25="Todos",'Plan mensual'!O51,0))+parametros_carros!$F$25*('Plan mensual'!O48+IF(parametros_carros!$H$25="Todos",'Plan mensual'!O52,0))+parametros_carros!$G$25*('Plan mensual'!O49+IF(parametros_carros!$H$25="Todos",'Plan mensual'!O53,0)))/60</f>
        <v>4.51835398266667</v>
      </c>
      <c r="N88" s="41" t="n">
        <f aca="false">SUM(B88:M88)</f>
        <v>56.4794247833333</v>
      </c>
      <c r="O88" s="41" t="n">
        <f aca="false">MAX(B88:M88)</f>
        <v>5.0831482305</v>
      </c>
      <c r="P88" s="45" t="n">
        <f aca="false">IF(parametros_carros!$B$7=0,0,(O88+parametros_carros!$G$51)/parametros_carros!$B$7)</f>
        <v>0.05388765487</v>
      </c>
      <c r="Q88" s="29" t="str">
        <f aca="false">IF(O88=0,"-",INDEX($B$81:$M$81,MATCH(O88,B88:M88,0)))</f>
        <v>Mar</v>
      </c>
    </row>
    <row r="89" customFormat="false" ht="14.25" hidden="false" customHeight="true" outlineLevel="0" collapsed="false">
      <c r="A89" s="12" t="str">
        <f aca="false">parametros_carros!$B$26</f>
        <v>Armado y soldadura circunferencial</v>
      </c>
      <c r="B89" s="41" t="n">
        <f aca="false">(parametros_carros!$D$26*('Plan mensual'!D46+IF(parametros_carros!$H$26="Todos",'Plan mensual'!D50,0))+parametros_carros!$E$26*('Plan mensual'!D47+IF(parametros_carros!$H$26="Todos",'Plan mensual'!D51,0))+parametros_carros!$F$26*('Plan mensual'!D48+IF(parametros_carros!$H$26="Todos",'Plan mensual'!D52,0))+parametros_carros!$G$26*('Plan mensual'!D49+IF(parametros_carros!$H$26="Todos",'Plan mensual'!D53,0)))/60</f>
        <v>22.7048922748768</v>
      </c>
      <c r="C89" s="41" t="n">
        <f aca="false">(parametros_carros!$D$26*('Plan mensual'!E46+IF(parametros_carros!$H$26="Todos",'Plan mensual'!E50,0))+parametros_carros!$E$26*('Plan mensual'!E47+IF(parametros_carros!$H$26="Todos",'Plan mensual'!E51,0))+parametros_carros!$F$26*('Plan mensual'!E48+IF(parametros_carros!$H$26="Todos",'Plan mensual'!E52,0))+parametros_carros!$G$26*('Plan mensual'!E49+IF(parametros_carros!$H$26="Todos",'Plan mensual'!E53,0)))/60</f>
        <v>20.0337284778325</v>
      </c>
      <c r="D89" s="41" t="n">
        <f aca="false">(parametros_carros!$D$26*('Plan mensual'!F46+IF(parametros_carros!$H$26="Todos",'Plan mensual'!F50,0))+parametros_carros!$E$26*('Plan mensual'!F47+IF(parametros_carros!$H$26="Todos",'Plan mensual'!F51,0))+parametros_carros!$F$26*('Plan mensual'!F48+IF(parametros_carros!$H$26="Todos",'Plan mensual'!F52,0))+parametros_carros!$G$26*('Plan mensual'!F49+IF(parametros_carros!$H$26="Todos",'Plan mensual'!F53,0)))/60</f>
        <v>24.040474173399</v>
      </c>
      <c r="E89" s="41" t="n">
        <f aca="false">(parametros_carros!$D$26*('Plan mensual'!G46+IF(parametros_carros!$H$26="Todos",'Plan mensual'!G50,0))+parametros_carros!$E$26*('Plan mensual'!G47+IF(parametros_carros!$H$26="Todos",'Plan mensual'!G51,0))+parametros_carros!$F$26*('Plan mensual'!G48+IF(parametros_carros!$H$26="Todos",'Plan mensual'!G52,0))+parametros_carros!$G$26*('Plan mensual'!G49+IF(parametros_carros!$H$26="Todos",'Plan mensual'!G53,0)))/60</f>
        <v>24.040474173399</v>
      </c>
      <c r="F89" s="41" t="n">
        <f aca="false">(parametros_carros!$D$26*('Plan mensual'!H46+IF(parametros_carros!$H$26="Todos",'Plan mensual'!H50,0))+parametros_carros!$E$26*('Plan mensual'!H47+IF(parametros_carros!$H$26="Todos",'Plan mensual'!H51,0))+parametros_carros!$F$26*('Plan mensual'!H48+IF(parametros_carros!$H$26="Todos",'Plan mensual'!H52,0))+parametros_carros!$G$26*('Plan mensual'!H49+IF(parametros_carros!$H$26="Todos",'Plan mensual'!H53,0)))/60</f>
        <v>24.040474173399</v>
      </c>
      <c r="G89" s="41" t="n">
        <f aca="false">(parametros_carros!$D$26*('Plan mensual'!I46+IF(parametros_carros!$H$26="Todos",'Plan mensual'!I50,0))+parametros_carros!$E$26*('Plan mensual'!I47+IF(parametros_carros!$H$26="Todos",'Plan mensual'!I51,0))+parametros_carros!$F$26*('Plan mensual'!I48+IF(parametros_carros!$H$26="Todos",'Plan mensual'!I52,0))+parametros_carros!$G$26*('Plan mensual'!I49+IF(parametros_carros!$H$26="Todos",'Plan mensual'!I53,0)))/60</f>
        <v>21.3693103763547</v>
      </c>
      <c r="H89" s="41" t="n">
        <f aca="false">(parametros_carros!$D$26*('Plan mensual'!J46+IF(parametros_carros!$H$26="Todos",'Plan mensual'!J50,0))+parametros_carros!$E$26*('Plan mensual'!J47+IF(parametros_carros!$H$26="Todos",'Plan mensual'!J51,0))+parametros_carros!$F$26*('Plan mensual'!J48+IF(parametros_carros!$H$26="Todos",'Plan mensual'!J52,0))+parametros_carros!$G$26*('Plan mensual'!J49+IF(parametros_carros!$H$26="Todos",'Plan mensual'!J53,0)))/60</f>
        <v>24.040474173399</v>
      </c>
      <c r="I89" s="41" t="n">
        <f aca="false">(parametros_carros!$D$26*('Plan mensual'!K46+IF(parametros_carros!$H$26="Todos",'Plan mensual'!K50,0))+parametros_carros!$E$26*('Plan mensual'!K47+IF(parametros_carros!$H$26="Todos",'Plan mensual'!K51,0))+parametros_carros!$F$26*('Plan mensual'!K48+IF(parametros_carros!$H$26="Todos",'Plan mensual'!K52,0))+parametros_carros!$G$26*('Plan mensual'!K49+IF(parametros_carros!$H$26="Todos",'Plan mensual'!K53,0)))/60</f>
        <v>24.040474173399</v>
      </c>
      <c r="J89" s="41" t="n">
        <f aca="false">(parametros_carros!$D$26*('Plan mensual'!L46+IF(parametros_carros!$H$26="Todos",'Plan mensual'!L50,0))+parametros_carros!$E$26*('Plan mensual'!L47+IF(parametros_carros!$H$26="Todos",'Plan mensual'!L51,0))+parametros_carros!$F$26*('Plan mensual'!L48+IF(parametros_carros!$H$26="Todos",'Plan mensual'!L52,0))+parametros_carros!$G$26*('Plan mensual'!L49+IF(parametros_carros!$H$26="Todos",'Plan mensual'!L53,0)))/60</f>
        <v>22.7048922748768</v>
      </c>
      <c r="K89" s="41" t="n">
        <f aca="false">(parametros_carros!$D$26*('Plan mensual'!M46+IF(parametros_carros!$H$26="Todos",'Plan mensual'!M50,0))+parametros_carros!$E$26*('Plan mensual'!M47+IF(parametros_carros!$H$26="Todos",'Plan mensual'!M51,0))+parametros_carros!$F$26*('Plan mensual'!M48+IF(parametros_carros!$H$26="Todos",'Plan mensual'!M52,0))+parametros_carros!$G$26*('Plan mensual'!M49+IF(parametros_carros!$H$26="Todos",'Plan mensual'!M53,0)))/60</f>
        <v>20.0337284778325</v>
      </c>
      <c r="L89" s="41" t="n">
        <f aca="false">(parametros_carros!$D$26*('Plan mensual'!N46+IF(parametros_carros!$H$26="Todos",'Plan mensual'!N50,0))+parametros_carros!$E$26*('Plan mensual'!N47+IF(parametros_carros!$H$26="Todos",'Plan mensual'!N51,0))+parametros_carros!$F$26*('Plan mensual'!N48+IF(parametros_carros!$H$26="Todos",'Plan mensual'!N52,0))+parametros_carros!$G$26*('Plan mensual'!N49+IF(parametros_carros!$H$26="Todos",'Plan mensual'!N53,0)))/60</f>
        <v>18.6981465793103</v>
      </c>
      <c r="M89" s="41" t="n">
        <f aca="false">(parametros_carros!$D$26*('Plan mensual'!O46+IF(parametros_carros!$H$26="Todos",'Plan mensual'!O50,0))+parametros_carros!$E$26*('Plan mensual'!O47+IF(parametros_carros!$H$26="Todos",'Plan mensual'!O51,0))+parametros_carros!$F$26*('Plan mensual'!O48+IF(parametros_carros!$H$26="Todos",'Plan mensual'!O52,0))+parametros_carros!$G$26*('Plan mensual'!O49+IF(parametros_carros!$H$26="Todos",'Plan mensual'!O53,0)))/60</f>
        <v>21.3693103763547</v>
      </c>
      <c r="N89" s="41" t="n">
        <f aca="false">SUM(B89:M89)</f>
        <v>267.116379704433</v>
      </c>
      <c r="O89" s="41" t="n">
        <f aca="false">MAX(B89:M89)</f>
        <v>24.040474173399</v>
      </c>
      <c r="P89" s="45" t="n">
        <f aca="false">IF(parametros_carros!$B$7=0,0,(O89+parametros_carros!$G$52)/parametros_carros!$B$7)</f>
        <v>0.18026982782266</v>
      </c>
      <c r="Q89" s="29" t="str">
        <f aca="false">IF(O89=0,"-",INDEX($B$81:$M$81,MATCH(O89,B89:M89,0)))</f>
        <v>Mar</v>
      </c>
    </row>
    <row r="90" customFormat="false" ht="14.25" hidden="false" customHeight="true" outlineLevel="0" collapsed="false">
      <c r="A90" s="12" t="str">
        <f aca="false">parametros_carros!$B$27</f>
        <v>Soldadura de accesorios</v>
      </c>
      <c r="B90" s="41" t="n">
        <f aca="false">(parametros_carros!$D$27*('Plan mensual'!D46+IF(parametros_carros!$H$27="Todos",'Plan mensual'!D50,0))+parametros_carros!$E$27*('Plan mensual'!D47+IF(parametros_carros!$H$27="Todos",'Plan mensual'!D51,0))+parametros_carros!$F$27*('Plan mensual'!D48+IF(parametros_carros!$H$27="Todos",'Plan mensual'!D52,0))+parametros_carros!$G$27*('Plan mensual'!D49+IF(parametros_carros!$H$27="Todos",'Plan mensual'!D53,0)))/60</f>
        <v>23.128582147519</v>
      </c>
      <c r="C90" s="41" t="n">
        <f aca="false">(parametros_carros!$D$27*('Plan mensual'!E46+IF(parametros_carros!$H$27="Todos",'Plan mensual'!E50,0))+parametros_carros!$E$27*('Plan mensual'!E47+IF(parametros_carros!$H$27="Todos",'Plan mensual'!E51,0))+parametros_carros!$F$27*('Plan mensual'!E48+IF(parametros_carros!$H$27="Todos",'Plan mensual'!E52,0))+parametros_carros!$G$27*('Plan mensual'!E49+IF(parametros_carros!$H$27="Todos",'Plan mensual'!E53,0)))/60</f>
        <v>20.407572483105</v>
      </c>
      <c r="D90" s="41" t="n">
        <f aca="false">(parametros_carros!$D$27*('Plan mensual'!F46+IF(parametros_carros!$H$27="Todos",'Plan mensual'!F50,0))+parametros_carros!$E$27*('Plan mensual'!F47+IF(parametros_carros!$H$27="Todos",'Plan mensual'!F51,0))+parametros_carros!$F$27*('Plan mensual'!F48+IF(parametros_carros!$H$27="Todos",'Plan mensual'!F52,0))+parametros_carros!$G$27*('Plan mensual'!F49+IF(parametros_carros!$H$27="Todos",'Plan mensual'!F53,0)))/60</f>
        <v>24.489086979726</v>
      </c>
      <c r="E90" s="41" t="n">
        <f aca="false">(parametros_carros!$D$27*('Plan mensual'!G46+IF(parametros_carros!$H$27="Todos",'Plan mensual'!G50,0))+parametros_carros!$E$27*('Plan mensual'!G47+IF(parametros_carros!$H$27="Todos",'Plan mensual'!G51,0))+parametros_carros!$F$27*('Plan mensual'!G48+IF(parametros_carros!$H$27="Todos",'Plan mensual'!G52,0))+parametros_carros!$G$27*('Plan mensual'!G49+IF(parametros_carros!$H$27="Todos",'Plan mensual'!G53,0)))/60</f>
        <v>24.489086979726</v>
      </c>
      <c r="F90" s="41" t="n">
        <f aca="false">(parametros_carros!$D$27*('Plan mensual'!H46+IF(parametros_carros!$H$27="Todos",'Plan mensual'!H50,0))+parametros_carros!$E$27*('Plan mensual'!H47+IF(parametros_carros!$H$27="Todos",'Plan mensual'!H51,0))+parametros_carros!$F$27*('Plan mensual'!H48+IF(parametros_carros!$H$27="Todos",'Plan mensual'!H52,0))+parametros_carros!$G$27*('Plan mensual'!H49+IF(parametros_carros!$H$27="Todos",'Plan mensual'!H53,0)))/60</f>
        <v>24.489086979726</v>
      </c>
      <c r="G90" s="41" t="n">
        <f aca="false">(parametros_carros!$D$27*('Plan mensual'!I46+IF(parametros_carros!$H$27="Todos",'Plan mensual'!I50,0))+parametros_carros!$E$27*('Plan mensual'!I47+IF(parametros_carros!$H$27="Todos",'Plan mensual'!I51,0))+parametros_carros!$F$27*('Plan mensual'!I48+IF(parametros_carros!$H$27="Todos",'Plan mensual'!I52,0))+parametros_carros!$G$27*('Plan mensual'!I49+IF(parametros_carros!$H$27="Todos",'Plan mensual'!I53,0)))/60</f>
        <v>21.768077315312</v>
      </c>
      <c r="H90" s="41" t="n">
        <f aca="false">(parametros_carros!$D$27*('Plan mensual'!J46+IF(parametros_carros!$H$27="Todos",'Plan mensual'!J50,0))+parametros_carros!$E$27*('Plan mensual'!J47+IF(parametros_carros!$H$27="Todos",'Plan mensual'!J51,0))+parametros_carros!$F$27*('Plan mensual'!J48+IF(parametros_carros!$H$27="Todos",'Plan mensual'!J52,0))+parametros_carros!$G$27*('Plan mensual'!J49+IF(parametros_carros!$H$27="Todos",'Plan mensual'!J53,0)))/60</f>
        <v>24.489086979726</v>
      </c>
      <c r="I90" s="41" t="n">
        <f aca="false">(parametros_carros!$D$27*('Plan mensual'!K46+IF(parametros_carros!$H$27="Todos",'Plan mensual'!K50,0))+parametros_carros!$E$27*('Plan mensual'!K47+IF(parametros_carros!$H$27="Todos",'Plan mensual'!K51,0))+parametros_carros!$F$27*('Plan mensual'!K48+IF(parametros_carros!$H$27="Todos",'Plan mensual'!K52,0))+parametros_carros!$G$27*('Plan mensual'!K49+IF(parametros_carros!$H$27="Todos",'Plan mensual'!K53,0)))/60</f>
        <v>24.489086979726</v>
      </c>
      <c r="J90" s="41" t="n">
        <f aca="false">(parametros_carros!$D$27*('Plan mensual'!L46+IF(parametros_carros!$H$27="Todos",'Plan mensual'!L50,0))+parametros_carros!$E$27*('Plan mensual'!L47+IF(parametros_carros!$H$27="Todos",'Plan mensual'!L51,0))+parametros_carros!$F$27*('Plan mensual'!L48+IF(parametros_carros!$H$27="Todos",'Plan mensual'!L52,0))+parametros_carros!$G$27*('Plan mensual'!L49+IF(parametros_carros!$H$27="Todos",'Plan mensual'!L53,0)))/60</f>
        <v>23.128582147519</v>
      </c>
      <c r="K90" s="41" t="n">
        <f aca="false">(parametros_carros!$D$27*('Plan mensual'!M46+IF(parametros_carros!$H$27="Todos",'Plan mensual'!M50,0))+parametros_carros!$E$27*('Plan mensual'!M47+IF(parametros_carros!$H$27="Todos",'Plan mensual'!M51,0))+parametros_carros!$F$27*('Plan mensual'!M48+IF(parametros_carros!$H$27="Todos",'Plan mensual'!M52,0))+parametros_carros!$G$27*('Plan mensual'!M49+IF(parametros_carros!$H$27="Todos",'Plan mensual'!M53,0)))/60</f>
        <v>20.407572483105</v>
      </c>
      <c r="L90" s="41" t="n">
        <f aca="false">(parametros_carros!$D$27*('Plan mensual'!N46+IF(parametros_carros!$H$27="Todos",'Plan mensual'!N50,0))+parametros_carros!$E$27*('Plan mensual'!N47+IF(parametros_carros!$H$27="Todos",'Plan mensual'!N51,0))+parametros_carros!$F$27*('Plan mensual'!N48+IF(parametros_carros!$H$27="Todos",'Plan mensual'!N52,0))+parametros_carros!$G$27*('Plan mensual'!N49+IF(parametros_carros!$H$27="Todos",'Plan mensual'!N53,0)))/60</f>
        <v>19.047067650898</v>
      </c>
      <c r="M90" s="41" t="n">
        <f aca="false">(parametros_carros!$D$27*('Plan mensual'!O46+IF(parametros_carros!$H$27="Todos",'Plan mensual'!O50,0))+parametros_carros!$E$27*('Plan mensual'!O47+IF(parametros_carros!$H$27="Todos",'Plan mensual'!O51,0))+parametros_carros!$F$27*('Plan mensual'!O48+IF(parametros_carros!$H$27="Todos",'Plan mensual'!O52,0))+parametros_carros!$G$27*('Plan mensual'!O49+IF(parametros_carros!$H$27="Todos",'Plan mensual'!O53,0)))/60</f>
        <v>21.768077315312</v>
      </c>
      <c r="N90" s="41" t="n">
        <f aca="false">SUM(B90:M90)</f>
        <v>272.1009664414</v>
      </c>
      <c r="O90" s="41" t="n">
        <f aca="false">MAX(B90:M90)</f>
        <v>24.489086979726</v>
      </c>
      <c r="P90" s="45" t="n">
        <f aca="false">IF(parametros_carros!$B$7=0,0,(O90+parametros_carros!$G$53)/parametros_carros!$B$7)</f>
        <v>0.18326057986484</v>
      </c>
      <c r="Q90" s="29" t="str">
        <f aca="false">IF(O90=0,"-",INDEX($B$81:$M$81,MATCH(O90,B90:M90,0)))</f>
        <v>Mar</v>
      </c>
    </row>
    <row r="91" customFormat="false" ht="14.25" hidden="false" customHeight="true" outlineLevel="0" collapsed="false">
      <c r="A91" s="12" t="str">
        <f aca="false">parametros_carros!$B$28</f>
        <v>Fabricación de accesorios</v>
      </c>
      <c r="B91" s="41" t="n">
        <f aca="false">(parametros_carros!$D$28*('Plan mensual'!D46+IF(parametros_carros!$H$28="Todos",'Plan mensual'!D50,0))+parametros_carros!$E$28*('Plan mensual'!D47+IF(parametros_carros!$H$28="Todos",'Plan mensual'!D51,0))+parametros_carros!$F$28*('Plan mensual'!D48+IF(parametros_carros!$H$28="Todos",'Plan mensual'!D52,0))+parametros_carros!$G$28*('Plan mensual'!D49+IF(parametros_carros!$H$28="Todos",'Plan mensual'!D53,0)))/60</f>
        <v>15.7121142180108</v>
      </c>
      <c r="C91" s="41" t="n">
        <f aca="false">(parametros_carros!$D$28*('Plan mensual'!E46+IF(parametros_carros!$H$28="Todos",'Plan mensual'!E50,0))+parametros_carros!$E$28*('Plan mensual'!E47+IF(parametros_carros!$H$28="Todos",'Plan mensual'!E51,0))+parametros_carros!$F$28*('Plan mensual'!E48+IF(parametros_carros!$H$28="Todos",'Plan mensual'!E52,0))+parametros_carros!$G$28*('Plan mensual'!E49+IF(parametros_carros!$H$28="Todos",'Plan mensual'!E53,0)))/60</f>
        <v>13.8636301923625</v>
      </c>
      <c r="D91" s="41" t="n">
        <f aca="false">(parametros_carros!$D$28*('Plan mensual'!F46+IF(parametros_carros!$H$28="Todos",'Plan mensual'!F50,0))+parametros_carros!$E$28*('Plan mensual'!F47+IF(parametros_carros!$H$28="Todos",'Plan mensual'!F51,0))+parametros_carros!$F$28*('Plan mensual'!F48+IF(parametros_carros!$H$28="Todos",'Plan mensual'!F52,0))+parametros_carros!$G$28*('Plan mensual'!F49+IF(parametros_carros!$H$28="Todos",'Plan mensual'!F53,0)))/60</f>
        <v>16.636356230835</v>
      </c>
      <c r="E91" s="41" t="n">
        <f aca="false">(parametros_carros!$D$28*('Plan mensual'!G46+IF(parametros_carros!$H$28="Todos",'Plan mensual'!G50,0))+parametros_carros!$E$28*('Plan mensual'!G47+IF(parametros_carros!$H$28="Todos",'Plan mensual'!G51,0))+parametros_carros!$F$28*('Plan mensual'!G48+IF(parametros_carros!$H$28="Todos",'Plan mensual'!G52,0))+parametros_carros!$G$28*('Plan mensual'!G49+IF(parametros_carros!$H$28="Todos",'Plan mensual'!G53,0)))/60</f>
        <v>16.636356230835</v>
      </c>
      <c r="F91" s="41" t="n">
        <f aca="false">(parametros_carros!$D$28*('Plan mensual'!H46+IF(parametros_carros!$H$28="Todos",'Plan mensual'!H50,0))+parametros_carros!$E$28*('Plan mensual'!H47+IF(parametros_carros!$H$28="Todos",'Plan mensual'!H51,0))+parametros_carros!$F$28*('Plan mensual'!H48+IF(parametros_carros!$H$28="Todos",'Plan mensual'!H52,0))+parametros_carros!$G$28*('Plan mensual'!H49+IF(parametros_carros!$H$28="Todos",'Plan mensual'!H53,0)))/60</f>
        <v>16.636356230835</v>
      </c>
      <c r="G91" s="41" t="n">
        <f aca="false">(parametros_carros!$D$28*('Plan mensual'!I46+IF(parametros_carros!$H$28="Todos",'Plan mensual'!I50,0))+parametros_carros!$E$28*('Plan mensual'!I47+IF(parametros_carros!$H$28="Todos",'Plan mensual'!I51,0))+parametros_carros!$F$28*('Plan mensual'!I48+IF(parametros_carros!$H$28="Todos",'Plan mensual'!I52,0))+parametros_carros!$G$28*('Plan mensual'!I49+IF(parametros_carros!$H$28="Todos",'Plan mensual'!I53,0)))/60</f>
        <v>14.7878722051867</v>
      </c>
      <c r="H91" s="41" t="n">
        <f aca="false">(parametros_carros!$D$28*('Plan mensual'!J46+IF(parametros_carros!$H$28="Todos",'Plan mensual'!J50,0))+parametros_carros!$E$28*('Plan mensual'!J47+IF(parametros_carros!$H$28="Todos",'Plan mensual'!J51,0))+parametros_carros!$F$28*('Plan mensual'!J48+IF(parametros_carros!$H$28="Todos",'Plan mensual'!J52,0))+parametros_carros!$G$28*('Plan mensual'!J49+IF(parametros_carros!$H$28="Todos",'Plan mensual'!J53,0)))/60</f>
        <v>16.636356230835</v>
      </c>
      <c r="I91" s="41" t="n">
        <f aca="false">(parametros_carros!$D$28*('Plan mensual'!K46+IF(parametros_carros!$H$28="Todos",'Plan mensual'!K50,0))+parametros_carros!$E$28*('Plan mensual'!K47+IF(parametros_carros!$H$28="Todos",'Plan mensual'!K51,0))+parametros_carros!$F$28*('Plan mensual'!K48+IF(parametros_carros!$H$28="Todos",'Plan mensual'!K52,0))+parametros_carros!$G$28*('Plan mensual'!K49+IF(parametros_carros!$H$28="Todos",'Plan mensual'!K53,0)))/60</f>
        <v>16.636356230835</v>
      </c>
      <c r="J91" s="41" t="n">
        <f aca="false">(parametros_carros!$D$28*('Plan mensual'!L46+IF(parametros_carros!$H$28="Todos",'Plan mensual'!L50,0))+parametros_carros!$E$28*('Plan mensual'!L47+IF(parametros_carros!$H$28="Todos",'Plan mensual'!L51,0))+parametros_carros!$F$28*('Plan mensual'!L48+IF(parametros_carros!$H$28="Todos",'Plan mensual'!L52,0))+parametros_carros!$G$28*('Plan mensual'!L49+IF(parametros_carros!$H$28="Todos",'Plan mensual'!L53,0)))/60</f>
        <v>15.7121142180108</v>
      </c>
      <c r="K91" s="41" t="n">
        <f aca="false">(parametros_carros!$D$28*('Plan mensual'!M46+IF(parametros_carros!$H$28="Todos",'Plan mensual'!M50,0))+parametros_carros!$E$28*('Plan mensual'!M47+IF(parametros_carros!$H$28="Todos",'Plan mensual'!M51,0))+parametros_carros!$F$28*('Plan mensual'!M48+IF(parametros_carros!$H$28="Todos",'Plan mensual'!M52,0))+parametros_carros!$G$28*('Plan mensual'!M49+IF(parametros_carros!$H$28="Todos",'Plan mensual'!M53,0)))/60</f>
        <v>13.8636301923625</v>
      </c>
      <c r="L91" s="41" t="n">
        <f aca="false">(parametros_carros!$D$28*('Plan mensual'!N46+IF(parametros_carros!$H$28="Todos",'Plan mensual'!N50,0))+parametros_carros!$E$28*('Plan mensual'!N47+IF(parametros_carros!$H$28="Todos",'Plan mensual'!N51,0))+parametros_carros!$F$28*('Plan mensual'!N48+IF(parametros_carros!$H$28="Todos",'Plan mensual'!N52,0))+parametros_carros!$G$28*('Plan mensual'!N49+IF(parametros_carros!$H$28="Todos",'Plan mensual'!N53,0)))/60</f>
        <v>12.9393881795383</v>
      </c>
      <c r="M91" s="41" t="n">
        <f aca="false">(parametros_carros!$D$28*('Plan mensual'!O46+IF(parametros_carros!$H$28="Todos",'Plan mensual'!O50,0))+parametros_carros!$E$28*('Plan mensual'!O47+IF(parametros_carros!$H$28="Todos",'Plan mensual'!O51,0))+parametros_carros!$F$28*('Plan mensual'!O48+IF(parametros_carros!$H$28="Todos",'Plan mensual'!O52,0))+parametros_carros!$G$28*('Plan mensual'!O49+IF(parametros_carros!$H$28="Todos",'Plan mensual'!O53,0)))/60</f>
        <v>14.7878722051867</v>
      </c>
      <c r="N91" s="41" t="n">
        <f aca="false">SUM(B91:M91)</f>
        <v>184.848402564833</v>
      </c>
      <c r="O91" s="41" t="n">
        <f aca="false">MAX(B91:M91)</f>
        <v>16.636356230835</v>
      </c>
      <c r="P91" s="45" t="n">
        <f aca="false">IF(parametros_carros!$B$7=0,0,(O91+parametros_carros!$G$54)/parametros_carros!$B$7)</f>
        <v>0.144242374872233</v>
      </c>
      <c r="Q91" s="29" t="str">
        <f aca="false">IF(O91=0,"-",INDEX($B$81:$M$81,MATCH(O91,B91:M91,0)))</f>
        <v>Mar</v>
      </c>
    </row>
    <row r="92" customFormat="false" ht="14.25" hidden="false" customHeight="true" outlineLevel="0" collapsed="false">
      <c r="A92" s="12" t="str">
        <f aca="false">parametros_carros!$B$29</f>
        <v>Prueba hidráulica</v>
      </c>
      <c r="B92" s="41" t="n">
        <f aca="false">(parametros_carros!$D$29*('Plan mensual'!D46+IF(parametros_carros!$H$29="Todos",'Plan mensual'!D50,0))+parametros_carros!$E$29*('Plan mensual'!D47+IF(parametros_carros!$H$29="Todos",'Plan mensual'!D51,0))+parametros_carros!$F$29*('Plan mensual'!D48+IF(parametros_carros!$H$29="Todos",'Plan mensual'!D52,0))+parametros_carros!$G$29*('Plan mensual'!D49+IF(parametros_carros!$H$29="Todos",'Plan mensual'!D53,0)))/60</f>
        <v>12.82760336464</v>
      </c>
      <c r="C92" s="41" t="n">
        <f aca="false">(parametros_carros!$D$29*('Plan mensual'!E46+IF(parametros_carros!$H$29="Todos",'Plan mensual'!E50,0))+parametros_carros!$E$29*('Plan mensual'!E47+IF(parametros_carros!$H$29="Todos",'Plan mensual'!E51,0))+parametros_carros!$F$29*('Plan mensual'!E48+IF(parametros_carros!$H$29="Todos",'Plan mensual'!E52,0))+parametros_carros!$G$29*('Plan mensual'!E49+IF(parametros_carros!$H$29="Todos",'Plan mensual'!E53,0)))/60</f>
        <v>11.3184735570352</v>
      </c>
      <c r="D92" s="41" t="n">
        <f aca="false">(parametros_carros!$D$29*('Plan mensual'!F46+IF(parametros_carros!$H$29="Todos",'Plan mensual'!F50,0))+parametros_carros!$E$29*('Plan mensual'!F47+IF(parametros_carros!$H$29="Todos",'Plan mensual'!F51,0))+parametros_carros!$F$29*('Plan mensual'!F48+IF(parametros_carros!$H$29="Todos",'Plan mensual'!F52,0))+parametros_carros!$G$29*('Plan mensual'!F49+IF(parametros_carros!$H$29="Todos",'Plan mensual'!F53,0)))/60</f>
        <v>13.5821682684423</v>
      </c>
      <c r="E92" s="41" t="n">
        <f aca="false">(parametros_carros!$D$29*('Plan mensual'!G46+IF(parametros_carros!$H$29="Todos",'Plan mensual'!G50,0))+parametros_carros!$E$29*('Plan mensual'!G47+IF(parametros_carros!$H$29="Todos",'Plan mensual'!G51,0))+parametros_carros!$F$29*('Plan mensual'!G48+IF(parametros_carros!$H$29="Todos",'Plan mensual'!G52,0))+parametros_carros!$G$29*('Plan mensual'!G49+IF(parametros_carros!$H$29="Todos",'Plan mensual'!G53,0)))/60</f>
        <v>13.5821682684423</v>
      </c>
      <c r="F92" s="41" t="n">
        <f aca="false">(parametros_carros!$D$29*('Plan mensual'!H46+IF(parametros_carros!$H$29="Todos",'Plan mensual'!H50,0))+parametros_carros!$E$29*('Plan mensual'!H47+IF(parametros_carros!$H$29="Todos",'Plan mensual'!H51,0))+parametros_carros!$F$29*('Plan mensual'!H48+IF(parametros_carros!$H$29="Todos",'Plan mensual'!H52,0))+parametros_carros!$G$29*('Plan mensual'!H49+IF(parametros_carros!$H$29="Todos",'Plan mensual'!H53,0)))/60</f>
        <v>13.5821682684423</v>
      </c>
      <c r="G92" s="41" t="n">
        <f aca="false">(parametros_carros!$D$29*('Plan mensual'!I46+IF(parametros_carros!$H$29="Todos",'Plan mensual'!I50,0))+parametros_carros!$E$29*('Plan mensual'!I47+IF(parametros_carros!$H$29="Todos",'Plan mensual'!I51,0))+parametros_carros!$F$29*('Plan mensual'!I48+IF(parametros_carros!$H$29="Todos",'Plan mensual'!I52,0))+parametros_carros!$G$29*('Plan mensual'!I49+IF(parametros_carros!$H$29="Todos",'Plan mensual'!I53,0)))/60</f>
        <v>12.0730384608376</v>
      </c>
      <c r="H92" s="41" t="n">
        <f aca="false">(parametros_carros!$D$29*('Plan mensual'!J46+IF(parametros_carros!$H$29="Todos",'Plan mensual'!J50,0))+parametros_carros!$E$29*('Plan mensual'!J47+IF(parametros_carros!$H$29="Todos",'Plan mensual'!J51,0))+parametros_carros!$F$29*('Plan mensual'!J48+IF(parametros_carros!$H$29="Todos",'Plan mensual'!J52,0))+parametros_carros!$G$29*('Plan mensual'!J49+IF(parametros_carros!$H$29="Todos",'Plan mensual'!J53,0)))/60</f>
        <v>13.5821682684423</v>
      </c>
      <c r="I92" s="41" t="n">
        <f aca="false">(parametros_carros!$D$29*('Plan mensual'!K46+IF(parametros_carros!$H$29="Todos",'Plan mensual'!K50,0))+parametros_carros!$E$29*('Plan mensual'!K47+IF(parametros_carros!$H$29="Todos",'Plan mensual'!K51,0))+parametros_carros!$F$29*('Plan mensual'!K48+IF(parametros_carros!$H$29="Todos",'Plan mensual'!K52,0))+parametros_carros!$G$29*('Plan mensual'!K49+IF(parametros_carros!$H$29="Todos",'Plan mensual'!K53,0)))/60</f>
        <v>13.5821682684423</v>
      </c>
      <c r="J92" s="41" t="n">
        <f aca="false">(parametros_carros!$D$29*('Plan mensual'!L46+IF(parametros_carros!$H$29="Todos",'Plan mensual'!L50,0))+parametros_carros!$E$29*('Plan mensual'!L47+IF(parametros_carros!$H$29="Todos",'Plan mensual'!L51,0))+parametros_carros!$F$29*('Plan mensual'!L48+IF(parametros_carros!$H$29="Todos",'Plan mensual'!L52,0))+parametros_carros!$G$29*('Plan mensual'!L49+IF(parametros_carros!$H$29="Todos",'Plan mensual'!L53,0)))/60</f>
        <v>12.82760336464</v>
      </c>
      <c r="K92" s="41" t="n">
        <f aca="false">(parametros_carros!$D$29*('Plan mensual'!M46+IF(parametros_carros!$H$29="Todos",'Plan mensual'!M50,0))+parametros_carros!$E$29*('Plan mensual'!M47+IF(parametros_carros!$H$29="Todos",'Plan mensual'!M51,0))+parametros_carros!$F$29*('Plan mensual'!M48+IF(parametros_carros!$H$29="Todos",'Plan mensual'!M52,0))+parametros_carros!$G$29*('Plan mensual'!M49+IF(parametros_carros!$H$29="Todos",'Plan mensual'!M53,0)))/60</f>
        <v>11.3184735570352</v>
      </c>
      <c r="L92" s="41" t="n">
        <f aca="false">(parametros_carros!$D$29*('Plan mensual'!N46+IF(parametros_carros!$H$29="Todos",'Plan mensual'!N50,0))+parametros_carros!$E$29*('Plan mensual'!N47+IF(parametros_carros!$H$29="Todos",'Plan mensual'!N51,0))+parametros_carros!$F$29*('Plan mensual'!N48+IF(parametros_carros!$H$29="Todos",'Plan mensual'!N52,0))+parametros_carros!$G$29*('Plan mensual'!N49+IF(parametros_carros!$H$29="Todos",'Plan mensual'!N53,0)))/60</f>
        <v>10.5639086532329</v>
      </c>
      <c r="M92" s="41" t="n">
        <f aca="false">(parametros_carros!$D$29*('Plan mensual'!O46+IF(parametros_carros!$H$29="Todos",'Plan mensual'!O50,0))+parametros_carros!$E$29*('Plan mensual'!O47+IF(parametros_carros!$H$29="Todos",'Plan mensual'!O51,0))+parametros_carros!$F$29*('Plan mensual'!O48+IF(parametros_carros!$H$29="Todos",'Plan mensual'!O52,0))+parametros_carros!$G$29*('Plan mensual'!O49+IF(parametros_carros!$H$29="Todos",'Plan mensual'!O53,0)))/60</f>
        <v>12.0730384608376</v>
      </c>
      <c r="N92" s="41" t="n">
        <f aca="false">SUM(B92:M92)</f>
        <v>150.91298076047</v>
      </c>
      <c r="O92" s="41" t="n">
        <f aca="false">MAX(B92:M92)</f>
        <v>13.5821682684423</v>
      </c>
      <c r="P92" s="45" t="n">
        <f aca="false">IF(parametros_carros!$B$7=0,0,(O92+parametros_carros!$G$55)/parametros_carros!$B$7)</f>
        <v>0.112770010678504</v>
      </c>
      <c r="Q92" s="29" t="str">
        <f aca="false">IF(O92=0,"-",INDEX($B$81:$M$81,MATCH(O92,B92:M92,0)))</f>
        <v>Mar</v>
      </c>
    </row>
    <row r="93" customFormat="false" ht="14.25" hidden="false" customHeight="true" outlineLevel="0" collapsed="false">
      <c r="A93" s="12" t="str">
        <f aca="false">parametros_carros!$B$30</f>
        <v>Secado</v>
      </c>
      <c r="B93" s="41" t="n">
        <f aca="false">(parametros_carros!$D$30*('Plan mensual'!D46+IF(parametros_carros!$H$30="Todos",'Plan mensual'!D50,0))+parametros_carros!$E$30*('Plan mensual'!D47+IF(parametros_carros!$H$30="Todos",'Plan mensual'!D51,0))+parametros_carros!$F$30*('Plan mensual'!D48+IF(parametros_carros!$H$30="Todos",'Plan mensual'!D52,0))+parametros_carros!$G$30*('Plan mensual'!D49+IF(parametros_carros!$H$30="Todos",'Plan mensual'!D53,0)))/60</f>
        <v>14.3749313726867</v>
      </c>
      <c r="C93" s="41" t="n">
        <f aca="false">(parametros_carros!$D$30*('Plan mensual'!E46+IF(parametros_carros!$H$30="Todos",'Plan mensual'!E50,0))+parametros_carros!$E$30*('Plan mensual'!E47+IF(parametros_carros!$H$30="Todos",'Plan mensual'!E51,0))+parametros_carros!$F$30*('Plan mensual'!E48+IF(parametros_carros!$H$30="Todos",'Plan mensual'!E52,0))+parametros_carros!$G$30*('Plan mensual'!E49+IF(parametros_carros!$H$30="Todos",'Plan mensual'!E53,0)))/60</f>
        <v>12.6837629759</v>
      </c>
      <c r="D93" s="41" t="n">
        <f aca="false">(parametros_carros!$D$30*('Plan mensual'!F46+IF(parametros_carros!$H$30="Todos",'Plan mensual'!F50,0))+parametros_carros!$E$30*('Plan mensual'!F47+IF(parametros_carros!$H$30="Todos",'Plan mensual'!F51,0))+parametros_carros!$F$30*('Plan mensual'!F48+IF(parametros_carros!$H$30="Todos",'Plan mensual'!F52,0))+parametros_carros!$G$30*('Plan mensual'!F49+IF(parametros_carros!$H$30="Todos",'Plan mensual'!F53,0)))/60</f>
        <v>15.22051557108</v>
      </c>
      <c r="E93" s="41" t="n">
        <f aca="false">(parametros_carros!$D$30*('Plan mensual'!G46+IF(parametros_carros!$H$30="Todos",'Plan mensual'!G50,0))+parametros_carros!$E$30*('Plan mensual'!G47+IF(parametros_carros!$H$30="Todos",'Plan mensual'!G51,0))+parametros_carros!$F$30*('Plan mensual'!G48+IF(parametros_carros!$H$30="Todos",'Plan mensual'!G52,0))+parametros_carros!$G$30*('Plan mensual'!G49+IF(parametros_carros!$H$30="Todos",'Plan mensual'!G53,0)))/60</f>
        <v>15.22051557108</v>
      </c>
      <c r="F93" s="41" t="n">
        <f aca="false">(parametros_carros!$D$30*('Plan mensual'!H46+IF(parametros_carros!$H$30="Todos",'Plan mensual'!H50,0))+parametros_carros!$E$30*('Plan mensual'!H47+IF(parametros_carros!$H$30="Todos",'Plan mensual'!H51,0))+parametros_carros!$F$30*('Plan mensual'!H48+IF(parametros_carros!$H$30="Todos",'Plan mensual'!H52,0))+parametros_carros!$G$30*('Plan mensual'!H49+IF(parametros_carros!$H$30="Todos",'Plan mensual'!H53,0)))/60</f>
        <v>15.22051557108</v>
      </c>
      <c r="G93" s="41" t="n">
        <f aca="false">(parametros_carros!$D$30*('Plan mensual'!I46+IF(parametros_carros!$H$30="Todos",'Plan mensual'!I50,0))+parametros_carros!$E$30*('Plan mensual'!I47+IF(parametros_carros!$H$30="Todos",'Plan mensual'!I51,0))+parametros_carros!$F$30*('Plan mensual'!I48+IF(parametros_carros!$H$30="Todos",'Plan mensual'!I52,0))+parametros_carros!$G$30*('Plan mensual'!I49+IF(parametros_carros!$H$30="Todos",'Plan mensual'!I53,0)))/60</f>
        <v>13.5293471742933</v>
      </c>
      <c r="H93" s="41" t="n">
        <f aca="false">(parametros_carros!$D$30*('Plan mensual'!J46+IF(parametros_carros!$H$30="Todos",'Plan mensual'!J50,0))+parametros_carros!$E$30*('Plan mensual'!J47+IF(parametros_carros!$H$30="Todos",'Plan mensual'!J51,0))+parametros_carros!$F$30*('Plan mensual'!J48+IF(parametros_carros!$H$30="Todos",'Plan mensual'!J52,0))+parametros_carros!$G$30*('Plan mensual'!J49+IF(parametros_carros!$H$30="Todos",'Plan mensual'!J53,0)))/60</f>
        <v>15.22051557108</v>
      </c>
      <c r="I93" s="41" t="n">
        <f aca="false">(parametros_carros!$D$30*('Plan mensual'!K46+IF(parametros_carros!$H$30="Todos",'Plan mensual'!K50,0))+parametros_carros!$E$30*('Plan mensual'!K47+IF(parametros_carros!$H$30="Todos",'Plan mensual'!K51,0))+parametros_carros!$F$30*('Plan mensual'!K48+IF(parametros_carros!$H$30="Todos",'Plan mensual'!K52,0))+parametros_carros!$G$30*('Plan mensual'!K49+IF(parametros_carros!$H$30="Todos",'Plan mensual'!K53,0)))/60</f>
        <v>15.22051557108</v>
      </c>
      <c r="J93" s="41" t="n">
        <f aca="false">(parametros_carros!$D$30*('Plan mensual'!L46+IF(parametros_carros!$H$30="Todos",'Plan mensual'!L50,0))+parametros_carros!$E$30*('Plan mensual'!L47+IF(parametros_carros!$H$30="Todos",'Plan mensual'!L51,0))+parametros_carros!$F$30*('Plan mensual'!L48+IF(parametros_carros!$H$30="Todos",'Plan mensual'!L52,0))+parametros_carros!$G$30*('Plan mensual'!L49+IF(parametros_carros!$H$30="Todos",'Plan mensual'!L53,0)))/60</f>
        <v>14.3749313726867</v>
      </c>
      <c r="K93" s="41" t="n">
        <f aca="false">(parametros_carros!$D$30*('Plan mensual'!M46+IF(parametros_carros!$H$30="Todos",'Plan mensual'!M50,0))+parametros_carros!$E$30*('Plan mensual'!M47+IF(parametros_carros!$H$30="Todos",'Plan mensual'!M51,0))+parametros_carros!$F$30*('Plan mensual'!M48+IF(parametros_carros!$H$30="Todos",'Plan mensual'!M52,0))+parametros_carros!$G$30*('Plan mensual'!M49+IF(parametros_carros!$H$30="Todos",'Plan mensual'!M53,0)))/60</f>
        <v>12.6837629759</v>
      </c>
      <c r="L93" s="41" t="n">
        <f aca="false">(parametros_carros!$D$30*('Plan mensual'!N46+IF(parametros_carros!$H$30="Todos",'Plan mensual'!N50,0))+parametros_carros!$E$30*('Plan mensual'!N47+IF(parametros_carros!$H$30="Todos",'Plan mensual'!N51,0))+parametros_carros!$F$30*('Plan mensual'!N48+IF(parametros_carros!$H$30="Todos",'Plan mensual'!N52,0))+parametros_carros!$G$30*('Plan mensual'!N49+IF(parametros_carros!$H$30="Todos",'Plan mensual'!N53,0)))/60</f>
        <v>11.8381787775067</v>
      </c>
      <c r="M93" s="41" t="n">
        <f aca="false">(parametros_carros!$D$30*('Plan mensual'!O46+IF(parametros_carros!$H$30="Todos",'Plan mensual'!O50,0))+parametros_carros!$E$30*('Plan mensual'!O47+IF(parametros_carros!$H$30="Todos",'Plan mensual'!O51,0))+parametros_carros!$F$30*('Plan mensual'!O48+IF(parametros_carros!$H$30="Todos",'Plan mensual'!O52,0))+parametros_carros!$G$30*('Plan mensual'!O49+IF(parametros_carros!$H$30="Todos",'Plan mensual'!O53,0)))/60</f>
        <v>13.5293471742933</v>
      </c>
      <c r="N93" s="41" t="n">
        <f aca="false">SUM(B93:M93)</f>
        <v>169.116839678667</v>
      </c>
      <c r="O93" s="41" t="n">
        <f aca="false">MAX(B93:M93)</f>
        <v>15.22051557108</v>
      </c>
      <c r="P93" s="45" t="n">
        <f aca="false">IF(parametros_carros!$B$7=0,0,(O93+parametros_carros!$G$56)/parametros_carros!$B$7)</f>
        <v>0.1014701038072</v>
      </c>
      <c r="Q93" s="29" t="str">
        <f aca="false">IF(O93=0,"-",INDEX($B$81:$M$81,MATCH(O93,B93:M93,0)))</f>
        <v>Mar</v>
      </c>
    </row>
    <row r="94" customFormat="false" ht="14.25" hidden="false" customHeight="true" outlineLevel="0" collapsed="false">
      <c r="A94" s="12" t="str">
        <f aca="false">parametros_carros!$B$31</f>
        <v>Pulmón de despacho y carga a pintura</v>
      </c>
      <c r="B94" s="41" t="n">
        <f aca="false">(parametros_carros!$D$31*('Plan mensual'!D46+IF(parametros_carros!$H$31="Todos",'Plan mensual'!D50,0))+parametros_carros!$E$31*('Plan mensual'!D47+IF(parametros_carros!$H$31="Todos",'Plan mensual'!D51,0))+parametros_carros!$F$31*('Plan mensual'!D48+IF(parametros_carros!$H$31="Todos",'Plan mensual'!D52,0))+parametros_carros!$G$31*('Plan mensual'!D49+IF(parametros_carros!$H$31="Todos",'Plan mensual'!D53,0)))/60</f>
        <v>2.28672443170217</v>
      </c>
      <c r="C94" s="41" t="n">
        <f aca="false">(parametros_carros!$D$31*('Plan mensual'!E46+IF(parametros_carros!$H$31="Todos",'Plan mensual'!E50,0))+parametros_carros!$E$31*('Plan mensual'!E47+IF(parametros_carros!$H$31="Todos",'Plan mensual'!E51,0))+parametros_carros!$F$31*('Plan mensual'!E48+IF(parametros_carros!$H$31="Todos",'Plan mensual'!E52,0))+parametros_carros!$G$31*('Plan mensual'!E49+IF(parametros_carros!$H$31="Todos",'Plan mensual'!E53,0)))/60</f>
        <v>2.0176980279725</v>
      </c>
      <c r="D94" s="41" t="n">
        <f aca="false">(parametros_carros!$D$31*('Plan mensual'!F46+IF(parametros_carros!$H$31="Todos",'Plan mensual'!F50,0))+parametros_carros!$E$31*('Plan mensual'!F47+IF(parametros_carros!$H$31="Todos",'Plan mensual'!F51,0))+parametros_carros!$F$31*('Plan mensual'!F48+IF(parametros_carros!$H$31="Todos",'Plan mensual'!F52,0))+parametros_carros!$G$31*('Plan mensual'!F49+IF(parametros_carros!$H$31="Todos",'Plan mensual'!F53,0)))/60</f>
        <v>2.421237633567</v>
      </c>
      <c r="E94" s="41" t="n">
        <f aca="false">(parametros_carros!$D$31*('Plan mensual'!G46+IF(parametros_carros!$H$31="Todos",'Plan mensual'!G50,0))+parametros_carros!$E$31*('Plan mensual'!G47+IF(parametros_carros!$H$31="Todos",'Plan mensual'!G51,0))+parametros_carros!$F$31*('Plan mensual'!G48+IF(parametros_carros!$H$31="Todos",'Plan mensual'!G52,0))+parametros_carros!$G$31*('Plan mensual'!G49+IF(parametros_carros!$H$31="Todos",'Plan mensual'!G53,0)))/60</f>
        <v>2.421237633567</v>
      </c>
      <c r="F94" s="41" t="n">
        <f aca="false">(parametros_carros!$D$31*('Plan mensual'!H46+IF(parametros_carros!$H$31="Todos",'Plan mensual'!H50,0))+parametros_carros!$E$31*('Plan mensual'!H47+IF(parametros_carros!$H$31="Todos",'Plan mensual'!H51,0))+parametros_carros!$F$31*('Plan mensual'!H48+IF(parametros_carros!$H$31="Todos",'Plan mensual'!H52,0))+parametros_carros!$G$31*('Plan mensual'!H49+IF(parametros_carros!$H$31="Todos",'Plan mensual'!H53,0)))/60</f>
        <v>2.421237633567</v>
      </c>
      <c r="G94" s="41" t="n">
        <f aca="false">(parametros_carros!$D$31*('Plan mensual'!I46+IF(parametros_carros!$H$31="Todos",'Plan mensual'!I50,0))+parametros_carros!$E$31*('Plan mensual'!I47+IF(parametros_carros!$H$31="Todos",'Plan mensual'!I51,0))+parametros_carros!$F$31*('Plan mensual'!I48+IF(parametros_carros!$H$31="Todos",'Plan mensual'!I52,0))+parametros_carros!$G$31*('Plan mensual'!I49+IF(parametros_carros!$H$31="Todos",'Plan mensual'!I53,0)))/60</f>
        <v>2.15221122983733</v>
      </c>
      <c r="H94" s="41" t="n">
        <f aca="false">(parametros_carros!$D$31*('Plan mensual'!J46+IF(parametros_carros!$H$31="Todos",'Plan mensual'!J50,0))+parametros_carros!$E$31*('Plan mensual'!J47+IF(parametros_carros!$H$31="Todos",'Plan mensual'!J51,0))+parametros_carros!$F$31*('Plan mensual'!J48+IF(parametros_carros!$H$31="Todos",'Plan mensual'!J52,0))+parametros_carros!$G$31*('Plan mensual'!J49+IF(parametros_carros!$H$31="Todos",'Plan mensual'!J53,0)))/60</f>
        <v>2.421237633567</v>
      </c>
      <c r="I94" s="41" t="n">
        <f aca="false">(parametros_carros!$D$31*('Plan mensual'!K46+IF(parametros_carros!$H$31="Todos",'Plan mensual'!K50,0))+parametros_carros!$E$31*('Plan mensual'!K47+IF(parametros_carros!$H$31="Todos",'Plan mensual'!K51,0))+parametros_carros!$F$31*('Plan mensual'!K48+IF(parametros_carros!$H$31="Todos",'Plan mensual'!K52,0))+parametros_carros!$G$31*('Plan mensual'!K49+IF(parametros_carros!$H$31="Todos",'Plan mensual'!K53,0)))/60</f>
        <v>2.421237633567</v>
      </c>
      <c r="J94" s="41" t="n">
        <f aca="false">(parametros_carros!$D$31*('Plan mensual'!L46+IF(parametros_carros!$H$31="Todos",'Plan mensual'!L50,0))+parametros_carros!$E$31*('Plan mensual'!L47+IF(parametros_carros!$H$31="Todos",'Plan mensual'!L51,0))+parametros_carros!$F$31*('Plan mensual'!L48+IF(parametros_carros!$H$31="Todos",'Plan mensual'!L52,0))+parametros_carros!$G$31*('Plan mensual'!L49+IF(parametros_carros!$H$31="Todos",'Plan mensual'!L53,0)))/60</f>
        <v>2.28672443170217</v>
      </c>
      <c r="K94" s="41" t="n">
        <f aca="false">(parametros_carros!$D$31*('Plan mensual'!M46+IF(parametros_carros!$H$31="Todos",'Plan mensual'!M50,0))+parametros_carros!$E$31*('Plan mensual'!M47+IF(parametros_carros!$H$31="Todos",'Plan mensual'!M51,0))+parametros_carros!$F$31*('Plan mensual'!M48+IF(parametros_carros!$H$31="Todos",'Plan mensual'!M52,0))+parametros_carros!$G$31*('Plan mensual'!M49+IF(parametros_carros!$H$31="Todos",'Plan mensual'!M53,0)))/60</f>
        <v>2.0176980279725</v>
      </c>
      <c r="L94" s="41" t="n">
        <f aca="false">(parametros_carros!$D$31*('Plan mensual'!N46+IF(parametros_carros!$H$31="Todos",'Plan mensual'!N50,0))+parametros_carros!$E$31*('Plan mensual'!N47+IF(parametros_carros!$H$31="Todos",'Plan mensual'!N51,0))+parametros_carros!$F$31*('Plan mensual'!N48+IF(parametros_carros!$H$31="Todos",'Plan mensual'!N52,0))+parametros_carros!$G$31*('Plan mensual'!N49+IF(parametros_carros!$H$31="Todos",'Plan mensual'!N53,0)))/60</f>
        <v>1.88318482610767</v>
      </c>
      <c r="M94" s="41" t="n">
        <f aca="false">(parametros_carros!$D$31*('Plan mensual'!O46+IF(parametros_carros!$H$31="Todos",'Plan mensual'!O50,0))+parametros_carros!$E$31*('Plan mensual'!O47+IF(parametros_carros!$H$31="Todos",'Plan mensual'!O51,0))+parametros_carros!$F$31*('Plan mensual'!O48+IF(parametros_carros!$H$31="Todos",'Plan mensual'!O52,0))+parametros_carros!$G$31*('Plan mensual'!O49+IF(parametros_carros!$H$31="Todos",'Plan mensual'!O53,0)))/60</f>
        <v>2.15221122983733</v>
      </c>
      <c r="N94" s="41" t="n">
        <f aca="false">SUM(B94:M94)</f>
        <v>26.9026403729667</v>
      </c>
      <c r="O94" s="41" t="n">
        <f aca="false">MAX(B94:M94)</f>
        <v>2.421237633567</v>
      </c>
      <c r="P94" s="45" t="n">
        <f aca="false">IF(parametros_carros!$B$7=0,0,(O94+parametros_carros!$G$57)/parametros_carros!$B$7)</f>
        <v>0.0250304731126689</v>
      </c>
      <c r="Q94" s="29" t="str">
        <f aca="false">IF(O94=0,"-",INDEX($B$81:$M$81,MATCH(O94,B94:M94,0)))</f>
        <v>Mar</v>
      </c>
    </row>
    <row r="95" customFormat="false" ht="14.25" hidden="false" customHeight="true" outlineLevel="0" collapsed="false">
      <c r="A95" s="12" t="str">
        <f aca="false">parametros_carros!$B$32</f>
        <v>Recepción de pintados y cambio de juego</v>
      </c>
      <c r="B95" s="41" t="n">
        <f aca="false">(parametros_carros!$D$32*('Plan mensual'!D46+IF(parametros_carros!$H$32="Todos",'Plan mensual'!D50,0))+parametros_carros!$E$32*('Plan mensual'!D47+IF(parametros_carros!$H$32="Todos",'Plan mensual'!D51,0))+parametros_carros!$F$32*('Plan mensual'!D48+IF(parametros_carros!$H$32="Todos",'Plan mensual'!D52,0))+parametros_carros!$G$32*('Plan mensual'!D49+IF(parametros_carros!$H$32="Todos",'Plan mensual'!D53,0)))/60</f>
        <v>4.47240188202379</v>
      </c>
      <c r="C95" s="41" t="n">
        <f aca="false">(parametros_carros!$D$32*('Plan mensual'!E46+IF(parametros_carros!$H$32="Todos",'Plan mensual'!E50,0))+parametros_carros!$E$32*('Plan mensual'!E47+IF(parametros_carros!$H$32="Todos",'Plan mensual'!E51,0))+parametros_carros!$F$32*('Plan mensual'!E48+IF(parametros_carros!$H$32="Todos",'Plan mensual'!E52,0))+parametros_carros!$G$32*('Plan mensual'!E49+IF(parametros_carros!$H$32="Todos",'Plan mensual'!E53,0)))/60</f>
        <v>3.94623695472688</v>
      </c>
      <c r="D95" s="41" t="n">
        <f aca="false">(parametros_carros!$D$32*('Plan mensual'!F46+IF(parametros_carros!$H$32="Todos",'Plan mensual'!F50,0))+parametros_carros!$E$32*('Plan mensual'!F47+IF(parametros_carros!$H$32="Todos",'Plan mensual'!F51,0))+parametros_carros!$F$32*('Plan mensual'!F48+IF(parametros_carros!$H$32="Todos",'Plan mensual'!F52,0))+parametros_carros!$G$32*('Plan mensual'!F49+IF(parametros_carros!$H$32="Todos",'Plan mensual'!F53,0)))/60</f>
        <v>4.73548434567225</v>
      </c>
      <c r="E95" s="41" t="n">
        <f aca="false">(parametros_carros!$D$32*('Plan mensual'!G46+IF(parametros_carros!$H$32="Todos",'Plan mensual'!G50,0))+parametros_carros!$E$32*('Plan mensual'!G47+IF(parametros_carros!$H$32="Todos",'Plan mensual'!G51,0))+parametros_carros!$F$32*('Plan mensual'!G48+IF(parametros_carros!$H$32="Todos",'Plan mensual'!G52,0))+parametros_carros!$G$32*('Plan mensual'!G49+IF(parametros_carros!$H$32="Todos",'Plan mensual'!G53,0)))/60</f>
        <v>4.73548434567225</v>
      </c>
      <c r="F95" s="41" t="n">
        <f aca="false">(parametros_carros!$D$32*('Plan mensual'!H46+IF(parametros_carros!$H$32="Todos",'Plan mensual'!H50,0))+parametros_carros!$E$32*('Plan mensual'!H47+IF(parametros_carros!$H$32="Todos",'Plan mensual'!H51,0))+parametros_carros!$F$32*('Plan mensual'!H48+IF(parametros_carros!$H$32="Todos",'Plan mensual'!H52,0))+parametros_carros!$G$32*('Plan mensual'!H49+IF(parametros_carros!$H$32="Todos",'Plan mensual'!H53,0)))/60</f>
        <v>4.73548434567225</v>
      </c>
      <c r="G95" s="41" t="n">
        <f aca="false">(parametros_carros!$D$32*('Plan mensual'!I46+IF(parametros_carros!$H$32="Todos",'Plan mensual'!I50,0))+parametros_carros!$E$32*('Plan mensual'!I47+IF(parametros_carros!$H$32="Todos",'Plan mensual'!I51,0))+parametros_carros!$F$32*('Plan mensual'!I48+IF(parametros_carros!$H$32="Todos",'Plan mensual'!I52,0))+parametros_carros!$G$32*('Plan mensual'!I49+IF(parametros_carros!$H$32="Todos",'Plan mensual'!I53,0)))/60</f>
        <v>4.20931941837533</v>
      </c>
      <c r="H95" s="41" t="n">
        <f aca="false">(parametros_carros!$D$32*('Plan mensual'!J46+IF(parametros_carros!$H$32="Todos",'Plan mensual'!J50,0))+parametros_carros!$E$32*('Plan mensual'!J47+IF(parametros_carros!$H$32="Todos",'Plan mensual'!J51,0))+parametros_carros!$F$32*('Plan mensual'!J48+IF(parametros_carros!$H$32="Todos",'Plan mensual'!J52,0))+parametros_carros!$G$32*('Plan mensual'!J49+IF(parametros_carros!$H$32="Todos",'Plan mensual'!J53,0)))/60</f>
        <v>4.73548434567225</v>
      </c>
      <c r="I95" s="41" t="n">
        <f aca="false">(parametros_carros!$D$32*('Plan mensual'!K46+IF(parametros_carros!$H$32="Todos",'Plan mensual'!K50,0))+parametros_carros!$E$32*('Plan mensual'!K47+IF(parametros_carros!$H$32="Todos",'Plan mensual'!K51,0))+parametros_carros!$F$32*('Plan mensual'!K48+IF(parametros_carros!$H$32="Todos",'Plan mensual'!K52,0))+parametros_carros!$G$32*('Plan mensual'!K49+IF(parametros_carros!$H$32="Todos",'Plan mensual'!K53,0)))/60</f>
        <v>4.73548434567225</v>
      </c>
      <c r="J95" s="41" t="n">
        <f aca="false">(parametros_carros!$D$32*('Plan mensual'!L46+IF(parametros_carros!$H$32="Todos",'Plan mensual'!L50,0))+parametros_carros!$E$32*('Plan mensual'!L47+IF(parametros_carros!$H$32="Todos",'Plan mensual'!L51,0))+parametros_carros!$F$32*('Plan mensual'!L48+IF(parametros_carros!$H$32="Todos",'Plan mensual'!L52,0))+parametros_carros!$G$32*('Plan mensual'!L49+IF(parametros_carros!$H$32="Todos",'Plan mensual'!L53,0)))/60</f>
        <v>4.47240188202379</v>
      </c>
      <c r="K95" s="41" t="n">
        <f aca="false">(parametros_carros!$D$32*('Plan mensual'!M46+IF(parametros_carros!$H$32="Todos",'Plan mensual'!M50,0))+parametros_carros!$E$32*('Plan mensual'!M47+IF(parametros_carros!$H$32="Todos",'Plan mensual'!M51,0))+parametros_carros!$F$32*('Plan mensual'!M48+IF(parametros_carros!$H$32="Todos",'Plan mensual'!M52,0))+parametros_carros!$G$32*('Plan mensual'!M49+IF(parametros_carros!$H$32="Todos",'Plan mensual'!M53,0)))/60</f>
        <v>3.94623695472688</v>
      </c>
      <c r="L95" s="41" t="n">
        <f aca="false">(parametros_carros!$D$32*('Plan mensual'!N46+IF(parametros_carros!$H$32="Todos",'Plan mensual'!N50,0))+parametros_carros!$E$32*('Plan mensual'!N47+IF(parametros_carros!$H$32="Todos",'Plan mensual'!N51,0))+parametros_carros!$F$32*('Plan mensual'!N48+IF(parametros_carros!$H$32="Todos",'Plan mensual'!N52,0))+parametros_carros!$G$32*('Plan mensual'!N49+IF(parametros_carros!$H$32="Todos",'Plan mensual'!N53,0)))/60</f>
        <v>3.68315449107842</v>
      </c>
      <c r="M95" s="41" t="n">
        <f aca="false">(parametros_carros!$D$32*('Plan mensual'!O46+IF(parametros_carros!$H$32="Todos",'Plan mensual'!O50,0))+parametros_carros!$E$32*('Plan mensual'!O47+IF(parametros_carros!$H$32="Todos",'Plan mensual'!O51,0))+parametros_carros!$F$32*('Plan mensual'!O48+IF(parametros_carros!$H$32="Todos",'Plan mensual'!O52,0))+parametros_carros!$G$32*('Plan mensual'!O49+IF(parametros_carros!$H$32="Todos",'Plan mensual'!O53,0)))/60</f>
        <v>4.20931941837533</v>
      </c>
      <c r="N95" s="41" t="n">
        <f aca="false">SUM(B95:M95)</f>
        <v>52.6164927296917</v>
      </c>
      <c r="O95" s="41" t="n">
        <f aca="false">MAX(B95:M95)</f>
        <v>4.73548434567225</v>
      </c>
      <c r="P95" s="45" t="n">
        <f aca="false">IF(parametros_carros!$B$7=0,0,(O95+parametros_carros!$G$58)/parametros_carros!$B$7)</f>
        <v>0.0404587845267039</v>
      </c>
      <c r="Q95" s="29" t="str">
        <f aca="false">IF(O95=0,"-",INDEX($B$81:$M$81,MATCH(O95,B95:M95,0)))</f>
        <v>Mar</v>
      </c>
    </row>
    <row r="96" customFormat="false" ht="14.25" hidden="false" customHeight="true" outlineLevel="0" collapsed="false">
      <c r="A96" s="12" t="str">
        <f aca="false">parametros_carros!$B$33</f>
        <v>Carga de polvo y presurización</v>
      </c>
      <c r="B96" s="41" t="n">
        <f aca="false">(parametros_carros!$D$33*('Plan mensual'!D46+IF(parametros_carros!$H$33="Todos",'Plan mensual'!D50,0))+parametros_carros!$E$33*('Plan mensual'!D47+IF(parametros_carros!$H$33="Todos",'Plan mensual'!D51,0))+parametros_carros!$F$33*('Plan mensual'!D48+IF(parametros_carros!$H$33="Todos",'Plan mensual'!D52,0))+parametros_carros!$G$33*('Plan mensual'!D49+IF(parametros_carros!$H$33="Todos",'Plan mensual'!D53,0)))/60</f>
        <v>10.0816126778495</v>
      </c>
      <c r="C96" s="41" t="n">
        <f aca="false">(parametros_carros!$D$33*('Plan mensual'!E46+IF(parametros_carros!$H$33="Todos",'Plan mensual'!E50,0))+parametros_carros!$E$33*('Plan mensual'!E47+IF(parametros_carros!$H$33="Todos",'Plan mensual'!E51,0))+parametros_carros!$F$33*('Plan mensual'!E48+IF(parametros_carros!$H$33="Todos",'Plan mensual'!E52,0))+parametros_carros!$G$33*('Plan mensual'!E49+IF(parametros_carros!$H$33="Todos",'Plan mensual'!E53,0)))/60</f>
        <v>8.8955405981025</v>
      </c>
      <c r="D96" s="41" t="n">
        <f aca="false">(parametros_carros!$D$33*('Plan mensual'!F46+IF(parametros_carros!$H$33="Todos",'Plan mensual'!F50,0))+parametros_carros!$E$33*('Plan mensual'!F47+IF(parametros_carros!$H$33="Todos",'Plan mensual'!F51,0))+parametros_carros!$F$33*('Plan mensual'!F48+IF(parametros_carros!$H$33="Todos",'Plan mensual'!F52,0))+parametros_carros!$G$33*('Plan mensual'!F49+IF(parametros_carros!$H$33="Todos",'Plan mensual'!F53,0)))/60</f>
        <v>10.674648717723</v>
      </c>
      <c r="E96" s="41" t="n">
        <f aca="false">(parametros_carros!$D$33*('Plan mensual'!G46+IF(parametros_carros!$H$33="Todos",'Plan mensual'!G50,0))+parametros_carros!$E$33*('Plan mensual'!G47+IF(parametros_carros!$H$33="Todos",'Plan mensual'!G51,0))+parametros_carros!$F$33*('Plan mensual'!G48+IF(parametros_carros!$H$33="Todos",'Plan mensual'!G52,0))+parametros_carros!$G$33*('Plan mensual'!G49+IF(parametros_carros!$H$33="Todos",'Plan mensual'!G53,0)))/60</f>
        <v>10.674648717723</v>
      </c>
      <c r="F96" s="41" t="n">
        <f aca="false">(parametros_carros!$D$33*('Plan mensual'!H46+IF(parametros_carros!$H$33="Todos",'Plan mensual'!H50,0))+parametros_carros!$E$33*('Plan mensual'!H47+IF(parametros_carros!$H$33="Todos",'Plan mensual'!H51,0))+parametros_carros!$F$33*('Plan mensual'!H48+IF(parametros_carros!$H$33="Todos",'Plan mensual'!H52,0))+parametros_carros!$G$33*('Plan mensual'!H49+IF(parametros_carros!$H$33="Todos",'Plan mensual'!H53,0)))/60</f>
        <v>10.674648717723</v>
      </c>
      <c r="G96" s="41" t="n">
        <f aca="false">(parametros_carros!$D$33*('Plan mensual'!I46+IF(parametros_carros!$H$33="Todos",'Plan mensual'!I50,0))+parametros_carros!$E$33*('Plan mensual'!I47+IF(parametros_carros!$H$33="Todos",'Plan mensual'!I51,0))+parametros_carros!$F$33*('Plan mensual'!I48+IF(parametros_carros!$H$33="Todos",'Plan mensual'!I52,0))+parametros_carros!$G$33*('Plan mensual'!I49+IF(parametros_carros!$H$33="Todos",'Plan mensual'!I53,0)))/60</f>
        <v>9.488576637976</v>
      </c>
      <c r="H96" s="41" t="n">
        <f aca="false">(parametros_carros!$D$33*('Plan mensual'!J46+IF(parametros_carros!$H$33="Todos",'Plan mensual'!J50,0))+parametros_carros!$E$33*('Plan mensual'!J47+IF(parametros_carros!$H$33="Todos",'Plan mensual'!J51,0))+parametros_carros!$F$33*('Plan mensual'!J48+IF(parametros_carros!$H$33="Todos",'Plan mensual'!J52,0))+parametros_carros!$G$33*('Plan mensual'!J49+IF(parametros_carros!$H$33="Todos",'Plan mensual'!J53,0)))/60</f>
        <v>10.674648717723</v>
      </c>
      <c r="I96" s="41" t="n">
        <f aca="false">(parametros_carros!$D$33*('Plan mensual'!K46+IF(parametros_carros!$H$33="Todos",'Plan mensual'!K50,0))+parametros_carros!$E$33*('Plan mensual'!K47+IF(parametros_carros!$H$33="Todos",'Plan mensual'!K51,0))+parametros_carros!$F$33*('Plan mensual'!K48+IF(parametros_carros!$H$33="Todos",'Plan mensual'!K52,0))+parametros_carros!$G$33*('Plan mensual'!K49+IF(parametros_carros!$H$33="Todos",'Plan mensual'!K53,0)))/60</f>
        <v>10.674648717723</v>
      </c>
      <c r="J96" s="41" t="n">
        <f aca="false">(parametros_carros!$D$33*('Plan mensual'!L46+IF(parametros_carros!$H$33="Todos",'Plan mensual'!L50,0))+parametros_carros!$E$33*('Plan mensual'!L47+IF(parametros_carros!$H$33="Todos",'Plan mensual'!L51,0))+parametros_carros!$F$33*('Plan mensual'!L48+IF(parametros_carros!$H$33="Todos",'Plan mensual'!L52,0))+parametros_carros!$G$33*('Plan mensual'!L49+IF(parametros_carros!$H$33="Todos",'Plan mensual'!L53,0)))/60</f>
        <v>10.0816126778495</v>
      </c>
      <c r="K96" s="41" t="n">
        <f aca="false">(parametros_carros!$D$33*('Plan mensual'!M46+IF(parametros_carros!$H$33="Todos",'Plan mensual'!M50,0))+parametros_carros!$E$33*('Plan mensual'!M47+IF(parametros_carros!$H$33="Todos",'Plan mensual'!M51,0))+parametros_carros!$F$33*('Plan mensual'!M48+IF(parametros_carros!$H$33="Todos",'Plan mensual'!M52,0))+parametros_carros!$G$33*('Plan mensual'!M49+IF(parametros_carros!$H$33="Todos",'Plan mensual'!M53,0)))/60</f>
        <v>8.8955405981025</v>
      </c>
      <c r="L96" s="41" t="n">
        <f aca="false">(parametros_carros!$D$33*('Plan mensual'!N46+IF(parametros_carros!$H$33="Todos",'Plan mensual'!N50,0))+parametros_carros!$E$33*('Plan mensual'!N47+IF(parametros_carros!$H$33="Todos",'Plan mensual'!N51,0))+parametros_carros!$F$33*('Plan mensual'!N48+IF(parametros_carros!$H$33="Todos",'Plan mensual'!N52,0))+parametros_carros!$G$33*('Plan mensual'!N49+IF(parametros_carros!$H$33="Todos",'Plan mensual'!N53,0)))/60</f>
        <v>8.302504558229</v>
      </c>
      <c r="M96" s="41" t="n">
        <f aca="false">(parametros_carros!$D$33*('Plan mensual'!O46+IF(parametros_carros!$H$33="Todos",'Plan mensual'!O50,0))+parametros_carros!$E$33*('Plan mensual'!O47+IF(parametros_carros!$H$33="Todos",'Plan mensual'!O51,0))+parametros_carros!$F$33*('Plan mensual'!O48+IF(parametros_carros!$H$33="Todos",'Plan mensual'!O52,0))+parametros_carros!$G$33*('Plan mensual'!O49+IF(parametros_carros!$H$33="Todos",'Plan mensual'!O53,0)))/60</f>
        <v>9.488576637976</v>
      </c>
      <c r="N96" s="41" t="n">
        <f aca="false">SUM(B96:M96)</f>
        <v>118.6072079747</v>
      </c>
      <c r="O96" s="41" t="n">
        <f aca="false">MAX(B96:M96)</f>
        <v>10.674648717723</v>
      </c>
      <c r="P96" s="45" t="n">
        <f aca="false">IF(parametros_carros!$B$7=0,0,(O96+parametros_carros!$G$59)/parametros_carros!$B$7)</f>
        <v>0.177830991451487</v>
      </c>
      <c r="Q96" s="29" t="str">
        <f aca="false">IF(O96=0,"-",INDEX($B$81:$M$81,MATCH(O96,B96:M96,0)))</f>
        <v>Mar</v>
      </c>
    </row>
    <row r="97" customFormat="false" ht="14.25" hidden="false" customHeight="true" outlineLevel="0" collapsed="false">
      <c r="A97" s="12" t="str">
        <f aca="false">parametros_carros!$B$34</f>
        <v>Montaje, manga, precinto y etiquetado</v>
      </c>
      <c r="B97" s="41" t="n">
        <f aca="false">(parametros_carros!$D$34*('Plan mensual'!D46+IF(parametros_carros!$H$34="Todos",'Plan mensual'!D50,0))+parametros_carros!$E$34*('Plan mensual'!D47+IF(parametros_carros!$H$34="Todos",'Plan mensual'!D51,0))+parametros_carros!$F$34*('Plan mensual'!D48+IF(parametros_carros!$H$34="Todos",'Plan mensual'!D52,0))+parametros_carros!$G$34*('Plan mensual'!D49+IF(parametros_carros!$H$34="Todos",'Plan mensual'!D53,0)))/60</f>
        <v>5.623800271917</v>
      </c>
      <c r="C97" s="41" t="n">
        <f aca="false">(parametros_carros!$D$34*('Plan mensual'!E46+IF(parametros_carros!$H$34="Todos",'Plan mensual'!E50,0))+parametros_carros!$E$34*('Plan mensual'!E47+IF(parametros_carros!$H$34="Todos",'Plan mensual'!E51,0))+parametros_carros!$F$34*('Plan mensual'!E48+IF(parametros_carros!$H$34="Todos",'Plan mensual'!E52,0))+parametros_carros!$G$34*('Plan mensual'!E49+IF(parametros_carros!$H$34="Todos",'Plan mensual'!E53,0)))/60</f>
        <v>4.962176710515</v>
      </c>
      <c r="D97" s="41" t="n">
        <f aca="false">(parametros_carros!$D$34*('Plan mensual'!F46+IF(parametros_carros!$H$34="Todos",'Plan mensual'!F50,0))+parametros_carros!$E$34*('Plan mensual'!F47+IF(parametros_carros!$H$34="Todos",'Plan mensual'!F51,0))+parametros_carros!$F$34*('Plan mensual'!F48+IF(parametros_carros!$H$34="Todos",'Plan mensual'!F52,0))+parametros_carros!$G$34*('Plan mensual'!F49+IF(parametros_carros!$H$34="Todos",'Plan mensual'!F53,0)))/60</f>
        <v>5.954612052618</v>
      </c>
      <c r="E97" s="41" t="n">
        <f aca="false">(parametros_carros!$D$34*('Plan mensual'!G46+IF(parametros_carros!$H$34="Todos",'Plan mensual'!G50,0))+parametros_carros!$E$34*('Plan mensual'!G47+IF(parametros_carros!$H$34="Todos",'Plan mensual'!G51,0))+parametros_carros!$F$34*('Plan mensual'!G48+IF(parametros_carros!$H$34="Todos",'Plan mensual'!G52,0))+parametros_carros!$G$34*('Plan mensual'!G49+IF(parametros_carros!$H$34="Todos",'Plan mensual'!G53,0)))/60</f>
        <v>5.954612052618</v>
      </c>
      <c r="F97" s="41" t="n">
        <f aca="false">(parametros_carros!$D$34*('Plan mensual'!H46+IF(parametros_carros!$H$34="Todos",'Plan mensual'!H50,0))+parametros_carros!$E$34*('Plan mensual'!H47+IF(parametros_carros!$H$34="Todos",'Plan mensual'!H51,0))+parametros_carros!$F$34*('Plan mensual'!H48+IF(parametros_carros!$H$34="Todos",'Plan mensual'!H52,0))+parametros_carros!$G$34*('Plan mensual'!H49+IF(parametros_carros!$H$34="Todos",'Plan mensual'!H53,0)))/60</f>
        <v>5.954612052618</v>
      </c>
      <c r="G97" s="41" t="n">
        <f aca="false">(parametros_carros!$D$34*('Plan mensual'!I46+IF(parametros_carros!$H$34="Todos",'Plan mensual'!I50,0))+parametros_carros!$E$34*('Plan mensual'!I47+IF(parametros_carros!$H$34="Todos",'Plan mensual'!I51,0))+parametros_carros!$F$34*('Plan mensual'!I48+IF(parametros_carros!$H$34="Todos",'Plan mensual'!I52,0))+parametros_carros!$G$34*('Plan mensual'!I49+IF(parametros_carros!$H$34="Todos",'Plan mensual'!I53,0)))/60</f>
        <v>5.292988491216</v>
      </c>
      <c r="H97" s="41" t="n">
        <f aca="false">(parametros_carros!$D$34*('Plan mensual'!J46+IF(parametros_carros!$H$34="Todos",'Plan mensual'!J50,0))+parametros_carros!$E$34*('Plan mensual'!J47+IF(parametros_carros!$H$34="Todos",'Plan mensual'!J51,0))+parametros_carros!$F$34*('Plan mensual'!J48+IF(parametros_carros!$H$34="Todos",'Plan mensual'!J52,0))+parametros_carros!$G$34*('Plan mensual'!J49+IF(parametros_carros!$H$34="Todos",'Plan mensual'!J53,0)))/60</f>
        <v>5.954612052618</v>
      </c>
      <c r="I97" s="41" t="n">
        <f aca="false">(parametros_carros!$D$34*('Plan mensual'!K46+IF(parametros_carros!$H$34="Todos",'Plan mensual'!K50,0))+parametros_carros!$E$34*('Plan mensual'!K47+IF(parametros_carros!$H$34="Todos",'Plan mensual'!K51,0))+parametros_carros!$F$34*('Plan mensual'!K48+IF(parametros_carros!$H$34="Todos",'Plan mensual'!K52,0))+parametros_carros!$G$34*('Plan mensual'!K49+IF(parametros_carros!$H$34="Todos",'Plan mensual'!K53,0)))/60</f>
        <v>5.954612052618</v>
      </c>
      <c r="J97" s="41" t="n">
        <f aca="false">(parametros_carros!$D$34*('Plan mensual'!L46+IF(parametros_carros!$H$34="Todos",'Plan mensual'!L50,0))+parametros_carros!$E$34*('Plan mensual'!L47+IF(parametros_carros!$H$34="Todos",'Plan mensual'!L51,0))+parametros_carros!$F$34*('Plan mensual'!L48+IF(parametros_carros!$H$34="Todos",'Plan mensual'!L52,0))+parametros_carros!$G$34*('Plan mensual'!L49+IF(parametros_carros!$H$34="Todos",'Plan mensual'!L53,0)))/60</f>
        <v>5.623800271917</v>
      </c>
      <c r="K97" s="41" t="n">
        <f aca="false">(parametros_carros!$D$34*('Plan mensual'!M46+IF(parametros_carros!$H$34="Todos",'Plan mensual'!M50,0))+parametros_carros!$E$34*('Plan mensual'!M47+IF(parametros_carros!$H$34="Todos",'Plan mensual'!M51,0))+parametros_carros!$F$34*('Plan mensual'!M48+IF(parametros_carros!$H$34="Todos",'Plan mensual'!M52,0))+parametros_carros!$G$34*('Plan mensual'!M49+IF(parametros_carros!$H$34="Todos",'Plan mensual'!M53,0)))/60</f>
        <v>4.962176710515</v>
      </c>
      <c r="L97" s="41" t="n">
        <f aca="false">(parametros_carros!$D$34*('Plan mensual'!N46+IF(parametros_carros!$H$34="Todos",'Plan mensual'!N50,0))+parametros_carros!$E$34*('Plan mensual'!N47+IF(parametros_carros!$H$34="Todos",'Plan mensual'!N51,0))+parametros_carros!$F$34*('Plan mensual'!N48+IF(parametros_carros!$H$34="Todos",'Plan mensual'!N52,0))+parametros_carros!$G$34*('Plan mensual'!N49+IF(parametros_carros!$H$34="Todos",'Plan mensual'!N53,0)))/60</f>
        <v>4.631364929814</v>
      </c>
      <c r="M97" s="41" t="n">
        <f aca="false">(parametros_carros!$D$34*('Plan mensual'!O46+IF(parametros_carros!$H$34="Todos",'Plan mensual'!O50,0))+parametros_carros!$E$34*('Plan mensual'!O47+IF(parametros_carros!$H$34="Todos",'Plan mensual'!O51,0))+parametros_carros!$F$34*('Plan mensual'!O48+IF(parametros_carros!$H$34="Todos",'Plan mensual'!O52,0))+parametros_carros!$G$34*('Plan mensual'!O49+IF(parametros_carros!$H$34="Todos",'Plan mensual'!O53,0)))/60</f>
        <v>5.292988491216</v>
      </c>
      <c r="N97" s="41" t="n">
        <f aca="false">SUM(B97:M97)</f>
        <v>66.1623561402</v>
      </c>
      <c r="O97" s="41" t="n">
        <f aca="false">MAX(B97:M97)</f>
        <v>5.954612052618</v>
      </c>
      <c r="P97" s="45" t="n">
        <f aca="false">IF(parametros_carros!$B$7=0,0,(O97+parametros_carros!$G$60)/parametros_carros!$B$7)</f>
        <v>0.0863640803507867</v>
      </c>
      <c r="Q97" s="29" t="str">
        <f aca="false">IF(O97=0,"-",INDEX($B$81:$M$81,MATCH(O97,B97:M97,0)))</f>
        <v>Mar</v>
      </c>
    </row>
    <row r="98" customFormat="false" ht="14.25" hidden="false" customHeight="true" outlineLevel="0" collapsed="false">
      <c r="A98" s="12" t="str">
        <f aca="false">parametros_carros!$B$35</f>
        <v>Calidad: pérdidas, inspección final, liberación y ensayos de lote</v>
      </c>
      <c r="B98" s="41" t="n">
        <f aca="false">(parametros_carros!$D$35*('Plan mensual'!D46+IF(parametros_carros!$H$35="Todos",'Plan mensual'!D50,0))+parametros_carros!$E$35*('Plan mensual'!D47+IF(parametros_carros!$H$35="Todos",'Plan mensual'!D51,0))+parametros_carros!$F$35*('Plan mensual'!D48+IF(parametros_carros!$H$35="Todos",'Plan mensual'!D52,0))+parametros_carros!$G$35*('Plan mensual'!D49+IF(parametros_carros!$H$35="Todos",'Plan mensual'!D53,0)))/60</f>
        <v>4.26248058826714</v>
      </c>
      <c r="C98" s="41" t="n">
        <f aca="false">(parametros_carros!$D$35*('Plan mensual'!E46+IF(parametros_carros!$H$35="Todos",'Plan mensual'!E50,0))+parametros_carros!$E$35*('Plan mensual'!E47+IF(parametros_carros!$H$35="Todos",'Plan mensual'!E51,0))+parametros_carros!$F$35*('Plan mensual'!E48+IF(parametros_carros!$H$35="Todos",'Plan mensual'!E52,0))+parametros_carros!$G$35*('Plan mensual'!E49+IF(parametros_carros!$H$35="Todos",'Plan mensual'!E53,0)))/60</f>
        <v>3.76101228376513</v>
      </c>
      <c r="D98" s="41" t="n">
        <f aca="false">(parametros_carros!$D$35*('Plan mensual'!F46+IF(parametros_carros!$H$35="Todos",'Plan mensual'!F50,0))+parametros_carros!$E$35*('Plan mensual'!F47+IF(parametros_carros!$H$35="Todos",'Plan mensual'!F51,0))+parametros_carros!$F$35*('Plan mensual'!F48+IF(parametros_carros!$H$35="Todos",'Plan mensual'!F52,0))+parametros_carros!$G$35*('Plan mensual'!F49+IF(parametros_carros!$H$35="Todos",'Plan mensual'!F53,0)))/60</f>
        <v>4.51321474051815</v>
      </c>
      <c r="E98" s="41" t="n">
        <f aca="false">(parametros_carros!$D$35*('Plan mensual'!G46+IF(parametros_carros!$H$35="Todos",'Plan mensual'!G50,0))+parametros_carros!$E$35*('Plan mensual'!G47+IF(parametros_carros!$H$35="Todos",'Plan mensual'!G51,0))+parametros_carros!$F$35*('Plan mensual'!G48+IF(parametros_carros!$H$35="Todos",'Plan mensual'!G52,0))+parametros_carros!$G$35*('Plan mensual'!G49+IF(parametros_carros!$H$35="Todos",'Plan mensual'!G53,0)))/60</f>
        <v>4.51321474051815</v>
      </c>
      <c r="F98" s="41" t="n">
        <f aca="false">(parametros_carros!$D$35*('Plan mensual'!H46+IF(parametros_carros!$H$35="Todos",'Plan mensual'!H50,0))+parametros_carros!$E$35*('Plan mensual'!H47+IF(parametros_carros!$H$35="Todos",'Plan mensual'!H51,0))+parametros_carros!$F$35*('Plan mensual'!H48+IF(parametros_carros!$H$35="Todos",'Plan mensual'!H52,0))+parametros_carros!$G$35*('Plan mensual'!H49+IF(parametros_carros!$H$35="Todos",'Plan mensual'!H53,0)))/60</f>
        <v>4.51321474051815</v>
      </c>
      <c r="G98" s="41" t="n">
        <f aca="false">(parametros_carros!$D$35*('Plan mensual'!I46+IF(parametros_carros!$H$35="Todos",'Plan mensual'!I50,0))+parametros_carros!$E$35*('Plan mensual'!I47+IF(parametros_carros!$H$35="Todos",'Plan mensual'!I51,0))+parametros_carros!$F$35*('Plan mensual'!I48+IF(parametros_carros!$H$35="Todos",'Plan mensual'!I52,0))+parametros_carros!$G$35*('Plan mensual'!I49+IF(parametros_carros!$H$35="Todos",'Plan mensual'!I53,0)))/60</f>
        <v>4.01174643601613</v>
      </c>
      <c r="H98" s="41" t="n">
        <f aca="false">(parametros_carros!$D$35*('Plan mensual'!J46+IF(parametros_carros!$H$35="Todos",'Plan mensual'!J50,0))+parametros_carros!$E$35*('Plan mensual'!J47+IF(parametros_carros!$H$35="Todos",'Plan mensual'!J51,0))+parametros_carros!$F$35*('Plan mensual'!J48+IF(parametros_carros!$H$35="Todos",'Plan mensual'!J52,0))+parametros_carros!$G$35*('Plan mensual'!J49+IF(parametros_carros!$H$35="Todos",'Plan mensual'!J53,0)))/60</f>
        <v>4.51321474051815</v>
      </c>
      <c r="I98" s="41" t="n">
        <f aca="false">(parametros_carros!$D$35*('Plan mensual'!K46+IF(parametros_carros!$H$35="Todos",'Plan mensual'!K50,0))+parametros_carros!$E$35*('Plan mensual'!K47+IF(parametros_carros!$H$35="Todos",'Plan mensual'!K51,0))+parametros_carros!$F$35*('Plan mensual'!K48+IF(parametros_carros!$H$35="Todos",'Plan mensual'!K52,0))+parametros_carros!$G$35*('Plan mensual'!K49+IF(parametros_carros!$H$35="Todos",'Plan mensual'!K53,0)))/60</f>
        <v>4.51321474051815</v>
      </c>
      <c r="J98" s="41" t="n">
        <f aca="false">(parametros_carros!$D$35*('Plan mensual'!L46+IF(parametros_carros!$H$35="Todos",'Plan mensual'!L50,0))+parametros_carros!$E$35*('Plan mensual'!L47+IF(parametros_carros!$H$35="Todos",'Plan mensual'!L51,0))+parametros_carros!$F$35*('Plan mensual'!L48+IF(parametros_carros!$H$35="Todos",'Plan mensual'!L52,0))+parametros_carros!$G$35*('Plan mensual'!L49+IF(parametros_carros!$H$35="Todos",'Plan mensual'!L53,0)))/60</f>
        <v>4.26248058826714</v>
      </c>
      <c r="K98" s="41" t="n">
        <f aca="false">(parametros_carros!$D$35*('Plan mensual'!M46+IF(parametros_carros!$H$35="Todos",'Plan mensual'!M50,0))+parametros_carros!$E$35*('Plan mensual'!M47+IF(parametros_carros!$H$35="Todos",'Plan mensual'!M51,0))+parametros_carros!$F$35*('Plan mensual'!M48+IF(parametros_carros!$H$35="Todos",'Plan mensual'!M52,0))+parametros_carros!$G$35*('Plan mensual'!M49+IF(parametros_carros!$H$35="Todos",'Plan mensual'!M53,0)))/60</f>
        <v>3.76101228376513</v>
      </c>
      <c r="L98" s="41" t="n">
        <f aca="false">(parametros_carros!$D$35*('Plan mensual'!N46+IF(parametros_carros!$H$35="Todos",'Plan mensual'!N50,0))+parametros_carros!$E$35*('Plan mensual'!N47+IF(parametros_carros!$H$35="Todos",'Plan mensual'!N51,0))+parametros_carros!$F$35*('Plan mensual'!N48+IF(parametros_carros!$H$35="Todos",'Plan mensual'!N52,0))+parametros_carros!$G$35*('Plan mensual'!N49+IF(parametros_carros!$H$35="Todos",'Plan mensual'!N53,0)))/60</f>
        <v>3.51027813151412</v>
      </c>
      <c r="M98" s="41" t="n">
        <f aca="false">(parametros_carros!$D$35*('Plan mensual'!O46+IF(parametros_carros!$H$35="Todos",'Plan mensual'!O50,0))+parametros_carros!$E$35*('Plan mensual'!O47+IF(parametros_carros!$H$35="Todos",'Plan mensual'!O51,0))+parametros_carros!$F$35*('Plan mensual'!O48+IF(parametros_carros!$H$35="Todos",'Plan mensual'!O52,0))+parametros_carros!$G$35*('Plan mensual'!O49+IF(parametros_carros!$H$35="Todos",'Plan mensual'!O53,0)))/60</f>
        <v>4.01174643601613</v>
      </c>
      <c r="N98" s="41" t="n">
        <f aca="false">SUM(B98:M98)</f>
        <v>50.1468304502017</v>
      </c>
      <c r="O98" s="41" t="n">
        <f aca="false">MAX(B98:M98)</f>
        <v>4.51321474051815</v>
      </c>
      <c r="P98" s="45" t="n">
        <f aca="false">IF(parametros_carros!$B$7=0,0,(O98+parametros_carros!$G$61)/parametros_carros!$B$7)</f>
        <v>0.400310320492343</v>
      </c>
      <c r="Q98" s="29" t="str">
        <f aca="false">IF(O98=0,"-",INDEX($B$81:$M$81,MATCH(O98,B98:M98,0)))</f>
        <v>Mar</v>
      </c>
    </row>
    <row r="99" customFormat="false" ht="14.25" hidden="false" customHeight="true" outlineLevel="0" collapsed="false">
      <c r="A99" s="12" t="str">
        <f aca="false">parametros_carros!$B$36</f>
        <v>Depósito de producto terminado y despacho</v>
      </c>
      <c r="B99" s="41" t="n">
        <f aca="false">(parametros_carros!$D$36*('Plan mensual'!D46+IF(parametros_carros!$H$36="Todos",'Plan mensual'!D50,0))+parametros_carros!$E$36*('Plan mensual'!D47+IF(parametros_carros!$H$36="Todos",'Plan mensual'!D51,0))+parametros_carros!$F$36*('Plan mensual'!D48+IF(parametros_carros!$H$36="Todos",'Plan mensual'!D52,0))+parametros_carros!$G$36*('Plan mensual'!D49+IF(parametros_carros!$H$36="Todos",'Plan mensual'!D53,0)))/60</f>
        <v>1.944003066945</v>
      </c>
      <c r="C99" s="41" t="n">
        <f aca="false">(parametros_carros!$D$36*('Plan mensual'!E46+IF(parametros_carros!$H$36="Todos",'Plan mensual'!E50,0))+parametros_carros!$E$36*('Plan mensual'!E47+IF(parametros_carros!$H$36="Todos",'Plan mensual'!E51,0))+parametros_carros!$F$36*('Plan mensual'!E48+IF(parametros_carros!$H$36="Todos",'Plan mensual'!E52,0))+parametros_carros!$G$36*('Plan mensual'!E49+IF(parametros_carros!$H$36="Todos",'Plan mensual'!E53,0)))/60</f>
        <v>1.715296823775</v>
      </c>
      <c r="D99" s="41" t="n">
        <f aca="false">(parametros_carros!$D$36*('Plan mensual'!F46+IF(parametros_carros!$H$36="Todos",'Plan mensual'!F50,0))+parametros_carros!$E$36*('Plan mensual'!F47+IF(parametros_carros!$H$36="Todos",'Plan mensual'!F51,0))+parametros_carros!$F$36*('Plan mensual'!F48+IF(parametros_carros!$H$36="Todos",'Plan mensual'!F52,0))+parametros_carros!$G$36*('Plan mensual'!F49+IF(parametros_carros!$H$36="Todos",'Plan mensual'!F53,0)))/60</f>
        <v>2.05835618853</v>
      </c>
      <c r="E99" s="41" t="n">
        <f aca="false">(parametros_carros!$D$36*('Plan mensual'!G46+IF(parametros_carros!$H$36="Todos",'Plan mensual'!G50,0))+parametros_carros!$E$36*('Plan mensual'!G47+IF(parametros_carros!$H$36="Todos",'Plan mensual'!G51,0))+parametros_carros!$F$36*('Plan mensual'!G48+IF(parametros_carros!$H$36="Todos",'Plan mensual'!G52,0))+parametros_carros!$G$36*('Plan mensual'!G49+IF(parametros_carros!$H$36="Todos",'Plan mensual'!G53,0)))/60</f>
        <v>2.05835618853</v>
      </c>
      <c r="F99" s="41" t="n">
        <f aca="false">(parametros_carros!$D$36*('Plan mensual'!H46+IF(parametros_carros!$H$36="Todos",'Plan mensual'!H50,0))+parametros_carros!$E$36*('Plan mensual'!H47+IF(parametros_carros!$H$36="Todos",'Plan mensual'!H51,0))+parametros_carros!$F$36*('Plan mensual'!H48+IF(parametros_carros!$H$36="Todos",'Plan mensual'!H52,0))+parametros_carros!$G$36*('Plan mensual'!H49+IF(parametros_carros!$H$36="Todos",'Plan mensual'!H53,0)))/60</f>
        <v>2.05835618853</v>
      </c>
      <c r="G99" s="41" t="n">
        <f aca="false">(parametros_carros!$D$36*('Plan mensual'!I46+IF(parametros_carros!$H$36="Todos",'Plan mensual'!I50,0))+parametros_carros!$E$36*('Plan mensual'!I47+IF(parametros_carros!$H$36="Todos",'Plan mensual'!I51,0))+parametros_carros!$F$36*('Plan mensual'!I48+IF(parametros_carros!$H$36="Todos",'Plan mensual'!I52,0))+parametros_carros!$G$36*('Plan mensual'!I49+IF(parametros_carros!$H$36="Todos",'Plan mensual'!I53,0)))/60</f>
        <v>1.82964994536</v>
      </c>
      <c r="H99" s="41" t="n">
        <f aca="false">(parametros_carros!$D$36*('Plan mensual'!J46+IF(parametros_carros!$H$36="Todos",'Plan mensual'!J50,0))+parametros_carros!$E$36*('Plan mensual'!J47+IF(parametros_carros!$H$36="Todos",'Plan mensual'!J51,0))+parametros_carros!$F$36*('Plan mensual'!J48+IF(parametros_carros!$H$36="Todos",'Plan mensual'!J52,0))+parametros_carros!$G$36*('Plan mensual'!J49+IF(parametros_carros!$H$36="Todos",'Plan mensual'!J53,0)))/60</f>
        <v>2.05835618853</v>
      </c>
      <c r="I99" s="41" t="n">
        <f aca="false">(parametros_carros!$D$36*('Plan mensual'!K46+IF(parametros_carros!$H$36="Todos",'Plan mensual'!K50,0))+parametros_carros!$E$36*('Plan mensual'!K47+IF(parametros_carros!$H$36="Todos",'Plan mensual'!K51,0))+parametros_carros!$F$36*('Plan mensual'!K48+IF(parametros_carros!$H$36="Todos",'Plan mensual'!K52,0))+parametros_carros!$G$36*('Plan mensual'!K49+IF(parametros_carros!$H$36="Todos",'Plan mensual'!K53,0)))/60</f>
        <v>2.05835618853</v>
      </c>
      <c r="J99" s="41" t="n">
        <f aca="false">(parametros_carros!$D$36*('Plan mensual'!L46+IF(parametros_carros!$H$36="Todos",'Plan mensual'!L50,0))+parametros_carros!$E$36*('Plan mensual'!L47+IF(parametros_carros!$H$36="Todos",'Plan mensual'!L51,0))+parametros_carros!$F$36*('Plan mensual'!L48+IF(parametros_carros!$H$36="Todos",'Plan mensual'!L52,0))+parametros_carros!$G$36*('Plan mensual'!L49+IF(parametros_carros!$H$36="Todos",'Plan mensual'!L53,0)))/60</f>
        <v>1.944003066945</v>
      </c>
      <c r="K99" s="41" t="n">
        <f aca="false">(parametros_carros!$D$36*('Plan mensual'!M46+IF(parametros_carros!$H$36="Todos",'Plan mensual'!M50,0))+parametros_carros!$E$36*('Plan mensual'!M47+IF(parametros_carros!$H$36="Todos",'Plan mensual'!M51,0))+parametros_carros!$F$36*('Plan mensual'!M48+IF(parametros_carros!$H$36="Todos",'Plan mensual'!M52,0))+parametros_carros!$G$36*('Plan mensual'!M49+IF(parametros_carros!$H$36="Todos",'Plan mensual'!M53,0)))/60</f>
        <v>1.715296823775</v>
      </c>
      <c r="L99" s="41" t="n">
        <f aca="false">(parametros_carros!$D$36*('Plan mensual'!N46+IF(parametros_carros!$H$36="Todos",'Plan mensual'!N50,0))+parametros_carros!$E$36*('Plan mensual'!N47+IF(parametros_carros!$H$36="Todos",'Plan mensual'!N51,0))+parametros_carros!$F$36*('Plan mensual'!N48+IF(parametros_carros!$H$36="Todos",'Plan mensual'!N52,0))+parametros_carros!$G$36*('Plan mensual'!N49+IF(parametros_carros!$H$36="Todos",'Plan mensual'!N53,0)))/60</f>
        <v>1.60094370219</v>
      </c>
      <c r="M99" s="41" t="n">
        <f aca="false">(parametros_carros!$D$36*('Plan mensual'!O46+IF(parametros_carros!$H$36="Todos",'Plan mensual'!O50,0))+parametros_carros!$E$36*('Plan mensual'!O47+IF(parametros_carros!$H$36="Todos",'Plan mensual'!O51,0))+parametros_carros!$F$36*('Plan mensual'!O48+IF(parametros_carros!$H$36="Todos",'Plan mensual'!O52,0))+parametros_carros!$G$36*('Plan mensual'!O49+IF(parametros_carros!$H$36="Todos",'Plan mensual'!O53,0)))/60</f>
        <v>1.82964994536</v>
      </c>
      <c r="N99" s="41" t="n">
        <f aca="false">SUM(B99:M99)</f>
        <v>22.870624317</v>
      </c>
      <c r="O99" s="41" t="n">
        <f aca="false">MAX(B99:M99)</f>
        <v>2.05835618853</v>
      </c>
      <c r="P99" s="45" t="n">
        <f aca="false">IF(parametros_carros!$B$7=0,0,(O99+parametros_carros!$G$62)/parametros_carros!$B$7)</f>
        <v>0.0359445968124222</v>
      </c>
      <c r="Q99" s="29" t="str">
        <f aca="false">IF(O99=0,"-",INDEX($B$81:$M$81,MATCH(O99,B99:M99,0)))</f>
        <v>Mar</v>
      </c>
    </row>
    <row r="100" customFormat="false" ht="14.25" hidden="false" customHeight="true" outlineLevel="0" collapsed="false"/>
    <row r="101" customFormat="false" ht="45" hidden="false" customHeight="true" outlineLevel="0" collapsed="false">
      <c r="A101" s="11" t="s">
        <v>255</v>
      </c>
      <c r="B101" s="11" t="s">
        <v>17</v>
      </c>
      <c r="C101" s="11" t="s">
        <v>18</v>
      </c>
      <c r="D101" s="11" t="s">
        <v>19</v>
      </c>
      <c r="E101" s="11" t="s">
        <v>20</v>
      </c>
      <c r="F101" s="11" t="s">
        <v>21</v>
      </c>
      <c r="G101" s="11" t="s">
        <v>22</v>
      </c>
      <c r="H101" s="11" t="s">
        <v>23</v>
      </c>
      <c r="I101" s="11" t="s">
        <v>24</v>
      </c>
      <c r="J101" s="11" t="s">
        <v>25</v>
      </c>
      <c r="K101" s="11" t="s">
        <v>26</v>
      </c>
      <c r="L101" s="11" t="s">
        <v>27</v>
      </c>
      <c r="M101" s="11" t="s">
        <v>28</v>
      </c>
      <c r="N101" s="11" t="s">
        <v>247</v>
      </c>
      <c r="O101" s="11" t="s">
        <v>248</v>
      </c>
      <c r="P101" s="11" t="s">
        <v>249</v>
      </c>
      <c r="Q101" s="11" t="s">
        <v>250</v>
      </c>
    </row>
    <row r="102" customFormat="false" ht="14.25" hidden="false" customHeight="true" outlineLevel="0" collapsed="false">
      <c r="A102" s="12" t="str">
        <f aca="false">parametros_carros!$B$19</f>
        <v>Recepción de materia prima</v>
      </c>
      <c r="B102" s="41" t="n">
        <f aca="false">(parametros_carros!$D$19*('Plan mensual'!D57+IF(parametros_carros!$H$19="Todos",'Plan mensual'!D61,0))+parametros_carros!$E$19*('Plan mensual'!D58+IF(parametros_carros!$H$19="Todos",'Plan mensual'!D62,0))+parametros_carros!$F$19*('Plan mensual'!D59+IF(parametros_carros!$H$19="Todos",'Plan mensual'!D63,0))+parametros_carros!$G$19*('Plan mensual'!D60+IF(parametros_carros!$H$19="Todos",'Plan mensual'!D64,0)))/60</f>
        <v>3.53301375418235</v>
      </c>
      <c r="C102" s="41" t="n">
        <f aca="false">(parametros_carros!$D$19*('Plan mensual'!E57+IF(parametros_carros!$H$19="Todos",'Plan mensual'!E61,0))+parametros_carros!$E$19*('Plan mensual'!E58+IF(parametros_carros!$H$19="Todos",'Plan mensual'!E62,0))+parametros_carros!$F$19*('Plan mensual'!E59+IF(parametros_carros!$H$19="Todos",'Plan mensual'!E63,0))+parametros_carros!$G$19*('Plan mensual'!E60+IF(parametros_carros!$H$19="Todos",'Plan mensual'!E64,0)))/60</f>
        <v>3.11736507721972</v>
      </c>
      <c r="D102" s="41" t="n">
        <f aca="false">(parametros_carros!$D$19*('Plan mensual'!F57+IF(parametros_carros!$H$19="Todos",'Plan mensual'!F61,0))+parametros_carros!$E$19*('Plan mensual'!F58+IF(parametros_carros!$H$19="Todos",'Plan mensual'!F62,0))+parametros_carros!$F$19*('Plan mensual'!F59+IF(parametros_carros!$H$19="Todos",'Plan mensual'!F63,0))+parametros_carros!$G$19*('Plan mensual'!F60+IF(parametros_carros!$H$19="Todos",'Plan mensual'!F64,0)))/60</f>
        <v>3.74083809266366</v>
      </c>
      <c r="E102" s="41" t="n">
        <f aca="false">(parametros_carros!$D$19*('Plan mensual'!G57+IF(parametros_carros!$H$19="Todos",'Plan mensual'!G61,0))+parametros_carros!$E$19*('Plan mensual'!G58+IF(parametros_carros!$H$19="Todos",'Plan mensual'!G62,0))+parametros_carros!$F$19*('Plan mensual'!G59+IF(parametros_carros!$H$19="Todos",'Plan mensual'!G63,0))+parametros_carros!$G$19*('Plan mensual'!G60+IF(parametros_carros!$H$19="Todos",'Plan mensual'!G64,0)))/60</f>
        <v>3.74083809266366</v>
      </c>
      <c r="F102" s="41" t="n">
        <f aca="false">(parametros_carros!$D$19*('Plan mensual'!H57+IF(parametros_carros!$H$19="Todos",'Plan mensual'!H61,0))+parametros_carros!$E$19*('Plan mensual'!H58+IF(parametros_carros!$H$19="Todos",'Plan mensual'!H62,0))+parametros_carros!$F$19*('Plan mensual'!H59+IF(parametros_carros!$H$19="Todos",'Plan mensual'!H63,0))+parametros_carros!$G$19*('Plan mensual'!H60+IF(parametros_carros!$H$19="Todos",'Plan mensual'!H64,0)))/60</f>
        <v>3.74083809266366</v>
      </c>
      <c r="G102" s="41" t="n">
        <f aca="false">(parametros_carros!$D$19*('Plan mensual'!I57+IF(parametros_carros!$H$19="Todos",'Plan mensual'!I61,0))+parametros_carros!$E$19*('Plan mensual'!I58+IF(parametros_carros!$H$19="Todos",'Plan mensual'!I62,0))+parametros_carros!$F$19*('Plan mensual'!I59+IF(parametros_carros!$H$19="Todos",'Plan mensual'!I63,0))+parametros_carros!$G$19*('Plan mensual'!I60+IF(parametros_carros!$H$19="Todos",'Plan mensual'!I64,0)))/60</f>
        <v>3.32518941570103</v>
      </c>
      <c r="H102" s="41" t="n">
        <f aca="false">(parametros_carros!$D$19*('Plan mensual'!J57+IF(parametros_carros!$H$19="Todos",'Plan mensual'!J61,0))+parametros_carros!$E$19*('Plan mensual'!J58+IF(parametros_carros!$H$19="Todos",'Plan mensual'!J62,0))+parametros_carros!$F$19*('Plan mensual'!J59+IF(parametros_carros!$H$19="Todos",'Plan mensual'!J63,0))+parametros_carros!$G$19*('Plan mensual'!J60+IF(parametros_carros!$H$19="Todos",'Plan mensual'!J64,0)))/60</f>
        <v>3.74083809266366</v>
      </c>
      <c r="I102" s="41" t="n">
        <f aca="false">(parametros_carros!$D$19*('Plan mensual'!K57+IF(parametros_carros!$H$19="Todos",'Plan mensual'!K61,0))+parametros_carros!$E$19*('Plan mensual'!K58+IF(parametros_carros!$H$19="Todos",'Plan mensual'!K62,0))+parametros_carros!$F$19*('Plan mensual'!K59+IF(parametros_carros!$H$19="Todos",'Plan mensual'!K63,0))+parametros_carros!$G$19*('Plan mensual'!K60+IF(parametros_carros!$H$19="Todos",'Plan mensual'!K64,0)))/60</f>
        <v>3.74083809266366</v>
      </c>
      <c r="J102" s="41" t="n">
        <f aca="false">(parametros_carros!$D$19*('Plan mensual'!L57+IF(parametros_carros!$H$19="Todos",'Plan mensual'!L61,0))+parametros_carros!$E$19*('Plan mensual'!L58+IF(parametros_carros!$H$19="Todos",'Plan mensual'!L62,0))+parametros_carros!$F$19*('Plan mensual'!L59+IF(parametros_carros!$H$19="Todos",'Plan mensual'!L63,0))+parametros_carros!$G$19*('Plan mensual'!L60+IF(parametros_carros!$H$19="Todos",'Plan mensual'!L64,0)))/60</f>
        <v>3.53301375418235</v>
      </c>
      <c r="K102" s="41" t="n">
        <f aca="false">(parametros_carros!$D$19*('Plan mensual'!M57+IF(parametros_carros!$H$19="Todos",'Plan mensual'!M61,0))+parametros_carros!$E$19*('Plan mensual'!M58+IF(parametros_carros!$H$19="Todos",'Plan mensual'!M62,0))+parametros_carros!$F$19*('Plan mensual'!M59+IF(parametros_carros!$H$19="Todos",'Plan mensual'!M63,0))+parametros_carros!$G$19*('Plan mensual'!M60+IF(parametros_carros!$H$19="Todos",'Plan mensual'!M64,0)))/60</f>
        <v>3.11736507721972</v>
      </c>
      <c r="L102" s="41" t="n">
        <f aca="false">(parametros_carros!$D$19*('Plan mensual'!N57+IF(parametros_carros!$H$19="Todos",'Plan mensual'!N61,0))+parametros_carros!$E$19*('Plan mensual'!N58+IF(parametros_carros!$H$19="Todos",'Plan mensual'!N62,0))+parametros_carros!$F$19*('Plan mensual'!N59+IF(parametros_carros!$H$19="Todos",'Plan mensual'!N63,0))+parametros_carros!$G$19*('Plan mensual'!N60+IF(parametros_carros!$H$19="Todos",'Plan mensual'!N64,0)))/60</f>
        <v>2.9095407387384</v>
      </c>
      <c r="M102" s="41" t="n">
        <f aca="false">(parametros_carros!$D$19*('Plan mensual'!O57+IF(parametros_carros!$H$19="Todos",'Plan mensual'!O61,0))+parametros_carros!$E$19*('Plan mensual'!O58+IF(parametros_carros!$H$19="Todos",'Plan mensual'!O62,0))+parametros_carros!$F$19*('Plan mensual'!O59+IF(parametros_carros!$H$19="Todos",'Plan mensual'!O63,0))+parametros_carros!$G$19*('Plan mensual'!O60+IF(parametros_carros!$H$19="Todos",'Plan mensual'!O64,0)))/60</f>
        <v>3.32518941570103</v>
      </c>
      <c r="N102" s="41" t="n">
        <f aca="false">SUM(B102:M102)</f>
        <v>41.5648676962629</v>
      </c>
      <c r="O102" s="41" t="n">
        <f aca="false">MAX(B102:M102)</f>
        <v>3.74083809266366</v>
      </c>
      <c r="P102" s="45" t="n">
        <f aca="false">IF(parametros_carros!$B$7=0,0,(O102+parametros_carros!$G$45)/parametros_carros!$B$7)</f>
        <v>0.0730500317288689</v>
      </c>
      <c r="Q102" s="29" t="str">
        <f aca="false">IF(O102=0,"-",INDEX($B$101:$M$101,MATCH(O102,B102:M102,0)))</f>
        <v>Mar</v>
      </c>
    </row>
    <row r="103" customFormat="false" ht="14.25" hidden="false" customHeight="true" outlineLevel="0" collapsed="false">
      <c r="A103" s="12" t="str">
        <f aca="false">parametros_carros!$B$20</f>
        <v>Corte de chapa (guillotina)</v>
      </c>
      <c r="B103" s="41" t="n">
        <f aca="false">(parametros_carros!$D$20*('Plan mensual'!D57+IF(parametros_carros!$H$20="Todos",'Plan mensual'!D61,0))+parametros_carros!$E$20*('Plan mensual'!D58+IF(parametros_carros!$H$20="Todos",'Plan mensual'!D62,0))+parametros_carros!$F$20*('Plan mensual'!D59+IF(parametros_carros!$H$20="Todos",'Plan mensual'!D63,0))+parametros_carros!$G$20*('Plan mensual'!D60+IF(parametros_carros!$H$20="Todos",'Plan mensual'!D64,0)))/60</f>
        <v>7.76324774833678</v>
      </c>
      <c r="C103" s="41" t="n">
        <f aca="false">(parametros_carros!$D$20*('Plan mensual'!E57+IF(parametros_carros!$H$20="Todos",'Plan mensual'!E61,0))+parametros_carros!$E$20*('Plan mensual'!E58+IF(parametros_carros!$H$20="Todos",'Plan mensual'!E62,0))+parametros_carros!$F$20*('Plan mensual'!E59+IF(parametros_carros!$H$20="Todos",'Plan mensual'!E63,0))+parametros_carros!$G$20*('Plan mensual'!E60+IF(parametros_carros!$H$20="Todos",'Plan mensual'!E64,0)))/60</f>
        <v>6.84992448382657</v>
      </c>
      <c r="D103" s="41" t="n">
        <f aca="false">(parametros_carros!$D$20*('Plan mensual'!F57+IF(parametros_carros!$H$20="Todos",'Plan mensual'!F61,0))+parametros_carros!$E$20*('Plan mensual'!F58+IF(parametros_carros!$H$20="Todos",'Plan mensual'!F62,0))+parametros_carros!$F$20*('Plan mensual'!F59+IF(parametros_carros!$H$20="Todos",'Plan mensual'!F63,0))+parametros_carros!$G$20*('Plan mensual'!F60+IF(parametros_carros!$H$20="Todos",'Plan mensual'!F64,0)))/60</f>
        <v>8.21990938059189</v>
      </c>
      <c r="E103" s="41" t="n">
        <f aca="false">(parametros_carros!$D$20*('Plan mensual'!G57+IF(parametros_carros!$H$20="Todos",'Plan mensual'!G61,0))+parametros_carros!$E$20*('Plan mensual'!G58+IF(parametros_carros!$H$20="Todos",'Plan mensual'!G62,0))+parametros_carros!$F$20*('Plan mensual'!G59+IF(parametros_carros!$H$20="Todos",'Plan mensual'!G63,0))+parametros_carros!$G$20*('Plan mensual'!G60+IF(parametros_carros!$H$20="Todos",'Plan mensual'!G64,0)))/60</f>
        <v>8.21990938059189</v>
      </c>
      <c r="F103" s="41" t="n">
        <f aca="false">(parametros_carros!$D$20*('Plan mensual'!H57+IF(parametros_carros!$H$20="Todos",'Plan mensual'!H61,0))+parametros_carros!$E$20*('Plan mensual'!H58+IF(parametros_carros!$H$20="Todos",'Plan mensual'!H62,0))+parametros_carros!$F$20*('Plan mensual'!H59+IF(parametros_carros!$H$20="Todos",'Plan mensual'!H63,0))+parametros_carros!$G$20*('Plan mensual'!H60+IF(parametros_carros!$H$20="Todos",'Plan mensual'!H64,0)))/60</f>
        <v>8.21990938059189</v>
      </c>
      <c r="G103" s="41" t="n">
        <f aca="false">(parametros_carros!$D$20*('Plan mensual'!I57+IF(parametros_carros!$H$20="Todos",'Plan mensual'!I61,0))+parametros_carros!$E$20*('Plan mensual'!I58+IF(parametros_carros!$H$20="Todos",'Plan mensual'!I62,0))+parametros_carros!$F$20*('Plan mensual'!I59+IF(parametros_carros!$H$20="Todos",'Plan mensual'!I63,0))+parametros_carros!$G$20*('Plan mensual'!I60+IF(parametros_carros!$H$20="Todos",'Plan mensual'!I64,0)))/60</f>
        <v>7.30658611608168</v>
      </c>
      <c r="H103" s="41" t="n">
        <f aca="false">(parametros_carros!$D$20*('Plan mensual'!J57+IF(parametros_carros!$H$20="Todos",'Plan mensual'!J61,0))+parametros_carros!$E$20*('Plan mensual'!J58+IF(parametros_carros!$H$20="Todos",'Plan mensual'!J62,0))+parametros_carros!$F$20*('Plan mensual'!J59+IF(parametros_carros!$H$20="Todos",'Plan mensual'!J63,0))+parametros_carros!$G$20*('Plan mensual'!J60+IF(parametros_carros!$H$20="Todos",'Plan mensual'!J64,0)))/60</f>
        <v>8.21990938059189</v>
      </c>
      <c r="I103" s="41" t="n">
        <f aca="false">(parametros_carros!$D$20*('Plan mensual'!K57+IF(parametros_carros!$H$20="Todos",'Plan mensual'!K61,0))+parametros_carros!$E$20*('Plan mensual'!K58+IF(parametros_carros!$H$20="Todos",'Plan mensual'!K62,0))+parametros_carros!$F$20*('Plan mensual'!K59+IF(parametros_carros!$H$20="Todos",'Plan mensual'!K63,0))+parametros_carros!$G$20*('Plan mensual'!K60+IF(parametros_carros!$H$20="Todos",'Plan mensual'!K64,0)))/60</f>
        <v>8.21990938059189</v>
      </c>
      <c r="J103" s="41" t="n">
        <f aca="false">(parametros_carros!$D$20*('Plan mensual'!L57+IF(parametros_carros!$H$20="Todos",'Plan mensual'!L61,0))+parametros_carros!$E$20*('Plan mensual'!L58+IF(parametros_carros!$H$20="Todos",'Plan mensual'!L62,0))+parametros_carros!$F$20*('Plan mensual'!L59+IF(parametros_carros!$H$20="Todos",'Plan mensual'!L63,0))+parametros_carros!$G$20*('Plan mensual'!L60+IF(parametros_carros!$H$20="Todos",'Plan mensual'!L64,0)))/60</f>
        <v>7.76324774833678</v>
      </c>
      <c r="K103" s="41" t="n">
        <f aca="false">(parametros_carros!$D$20*('Plan mensual'!M57+IF(parametros_carros!$H$20="Todos",'Plan mensual'!M61,0))+parametros_carros!$E$20*('Plan mensual'!M58+IF(parametros_carros!$H$20="Todos",'Plan mensual'!M62,0))+parametros_carros!$F$20*('Plan mensual'!M59+IF(parametros_carros!$H$20="Todos",'Plan mensual'!M63,0))+parametros_carros!$G$20*('Plan mensual'!M60+IF(parametros_carros!$H$20="Todos",'Plan mensual'!M64,0)))/60</f>
        <v>6.84992448382657</v>
      </c>
      <c r="L103" s="41" t="n">
        <f aca="false">(parametros_carros!$D$20*('Plan mensual'!N57+IF(parametros_carros!$H$20="Todos",'Plan mensual'!N61,0))+parametros_carros!$E$20*('Plan mensual'!N58+IF(parametros_carros!$H$20="Todos",'Plan mensual'!N62,0))+parametros_carros!$F$20*('Plan mensual'!N59+IF(parametros_carros!$H$20="Todos",'Plan mensual'!N63,0))+parametros_carros!$G$20*('Plan mensual'!N60+IF(parametros_carros!$H$20="Todos",'Plan mensual'!N64,0)))/60</f>
        <v>6.39326285157147</v>
      </c>
      <c r="M103" s="41" t="n">
        <f aca="false">(parametros_carros!$D$20*('Plan mensual'!O57+IF(parametros_carros!$H$20="Todos",'Plan mensual'!O61,0))+parametros_carros!$E$20*('Plan mensual'!O58+IF(parametros_carros!$H$20="Todos",'Plan mensual'!O62,0))+parametros_carros!$F$20*('Plan mensual'!O59+IF(parametros_carros!$H$20="Todos",'Plan mensual'!O63,0))+parametros_carros!$G$20*('Plan mensual'!O60+IF(parametros_carros!$H$20="Todos",'Plan mensual'!O64,0)))/60</f>
        <v>7.30658611608168</v>
      </c>
      <c r="N103" s="41" t="n">
        <f aca="false">SUM(B103:M103)</f>
        <v>91.332326451021</v>
      </c>
      <c r="O103" s="41" t="n">
        <f aca="false">MAX(B103:M103)</f>
        <v>8.21990938059189</v>
      </c>
      <c r="P103" s="45" t="n">
        <f aca="false">IF(parametros_carros!$B$7=0,0,(O103+parametros_carros!$G$46)/parametros_carros!$B$7)</f>
        <v>0.117021618092835</v>
      </c>
      <c r="Q103" s="29" t="str">
        <f aca="false">IF(O103=0,"-",INDEX($B$101:$M$101,MATCH(O103,B103:M103,0)))</f>
        <v>Mar</v>
      </c>
    </row>
    <row r="104" customFormat="false" ht="14.25" hidden="false" customHeight="true" outlineLevel="0" collapsed="false">
      <c r="A104" s="12" t="str">
        <f aca="false">parametros_carros!$B$21</f>
        <v>Marcado del cuerpo</v>
      </c>
      <c r="B104" s="41" t="n">
        <f aca="false">(parametros_carros!$D$21*('Plan mensual'!D57+IF(parametros_carros!$H$21="Todos",'Plan mensual'!D61,0))+parametros_carros!$E$21*('Plan mensual'!D58+IF(parametros_carros!$H$21="Todos",'Plan mensual'!D62,0))+parametros_carros!$F$21*('Plan mensual'!D59+IF(parametros_carros!$H$21="Todos",'Plan mensual'!D63,0))+parametros_carros!$G$21*('Plan mensual'!D60+IF(parametros_carros!$H$21="Todos",'Plan mensual'!D64,0)))/60</f>
        <v>3.091822827221</v>
      </c>
      <c r="C104" s="41" t="n">
        <f aca="false">(parametros_carros!$D$21*('Plan mensual'!E57+IF(parametros_carros!$H$21="Todos",'Plan mensual'!E61,0))+parametros_carros!$E$21*('Plan mensual'!E58+IF(parametros_carros!$H$21="Todos",'Plan mensual'!E62,0))+parametros_carros!$F$21*('Plan mensual'!E59+IF(parametros_carros!$H$21="Todos",'Plan mensual'!E63,0))+parametros_carros!$G$21*('Plan mensual'!E60+IF(parametros_carros!$H$21="Todos",'Plan mensual'!E64,0)))/60</f>
        <v>2.728078965195</v>
      </c>
      <c r="D104" s="41" t="n">
        <f aca="false">(parametros_carros!$D$21*('Plan mensual'!F57+IF(parametros_carros!$H$21="Todos",'Plan mensual'!F61,0))+parametros_carros!$E$21*('Plan mensual'!F58+IF(parametros_carros!$H$21="Todos",'Plan mensual'!F62,0))+parametros_carros!$F$21*('Plan mensual'!F59+IF(parametros_carros!$H$21="Todos",'Plan mensual'!F63,0))+parametros_carros!$G$21*('Plan mensual'!F60+IF(parametros_carros!$H$21="Todos",'Plan mensual'!F64,0)))/60</f>
        <v>3.273694758234</v>
      </c>
      <c r="E104" s="41" t="n">
        <f aca="false">(parametros_carros!$D$21*('Plan mensual'!G57+IF(parametros_carros!$H$21="Todos",'Plan mensual'!G61,0))+parametros_carros!$E$21*('Plan mensual'!G58+IF(parametros_carros!$H$21="Todos",'Plan mensual'!G62,0))+parametros_carros!$F$21*('Plan mensual'!G59+IF(parametros_carros!$H$21="Todos",'Plan mensual'!G63,0))+parametros_carros!$G$21*('Plan mensual'!G60+IF(parametros_carros!$H$21="Todos",'Plan mensual'!G64,0)))/60</f>
        <v>3.273694758234</v>
      </c>
      <c r="F104" s="41" t="n">
        <f aca="false">(parametros_carros!$D$21*('Plan mensual'!H57+IF(parametros_carros!$H$21="Todos",'Plan mensual'!H61,0))+parametros_carros!$E$21*('Plan mensual'!H58+IF(parametros_carros!$H$21="Todos",'Plan mensual'!H62,0))+parametros_carros!$F$21*('Plan mensual'!H59+IF(parametros_carros!$H$21="Todos",'Plan mensual'!H63,0))+parametros_carros!$G$21*('Plan mensual'!H60+IF(parametros_carros!$H$21="Todos",'Plan mensual'!H64,0)))/60</f>
        <v>3.273694758234</v>
      </c>
      <c r="G104" s="41" t="n">
        <f aca="false">(parametros_carros!$D$21*('Plan mensual'!I57+IF(parametros_carros!$H$21="Todos",'Plan mensual'!I61,0))+parametros_carros!$E$21*('Plan mensual'!I58+IF(parametros_carros!$H$21="Todos",'Plan mensual'!I62,0))+parametros_carros!$F$21*('Plan mensual'!I59+IF(parametros_carros!$H$21="Todos",'Plan mensual'!I63,0))+parametros_carros!$G$21*('Plan mensual'!I60+IF(parametros_carros!$H$21="Todos",'Plan mensual'!I64,0)))/60</f>
        <v>2.909950896208</v>
      </c>
      <c r="H104" s="41" t="n">
        <f aca="false">(parametros_carros!$D$21*('Plan mensual'!J57+IF(parametros_carros!$H$21="Todos",'Plan mensual'!J61,0))+parametros_carros!$E$21*('Plan mensual'!J58+IF(parametros_carros!$H$21="Todos",'Plan mensual'!J62,0))+parametros_carros!$F$21*('Plan mensual'!J59+IF(parametros_carros!$H$21="Todos",'Plan mensual'!J63,0))+parametros_carros!$G$21*('Plan mensual'!J60+IF(parametros_carros!$H$21="Todos",'Plan mensual'!J64,0)))/60</f>
        <v>3.273694758234</v>
      </c>
      <c r="I104" s="41" t="n">
        <f aca="false">(parametros_carros!$D$21*('Plan mensual'!K57+IF(parametros_carros!$H$21="Todos",'Plan mensual'!K61,0))+parametros_carros!$E$21*('Plan mensual'!K58+IF(parametros_carros!$H$21="Todos",'Plan mensual'!K62,0))+parametros_carros!$F$21*('Plan mensual'!K59+IF(parametros_carros!$H$21="Todos",'Plan mensual'!K63,0))+parametros_carros!$G$21*('Plan mensual'!K60+IF(parametros_carros!$H$21="Todos",'Plan mensual'!K64,0)))/60</f>
        <v>3.273694758234</v>
      </c>
      <c r="J104" s="41" t="n">
        <f aca="false">(parametros_carros!$D$21*('Plan mensual'!L57+IF(parametros_carros!$H$21="Todos",'Plan mensual'!L61,0))+parametros_carros!$E$21*('Plan mensual'!L58+IF(parametros_carros!$H$21="Todos",'Plan mensual'!L62,0))+parametros_carros!$F$21*('Plan mensual'!L59+IF(parametros_carros!$H$21="Todos",'Plan mensual'!L63,0))+parametros_carros!$G$21*('Plan mensual'!L60+IF(parametros_carros!$H$21="Todos",'Plan mensual'!L64,0)))/60</f>
        <v>3.091822827221</v>
      </c>
      <c r="K104" s="41" t="n">
        <f aca="false">(parametros_carros!$D$21*('Plan mensual'!M57+IF(parametros_carros!$H$21="Todos",'Plan mensual'!M61,0))+parametros_carros!$E$21*('Plan mensual'!M58+IF(parametros_carros!$H$21="Todos",'Plan mensual'!M62,0))+parametros_carros!$F$21*('Plan mensual'!M59+IF(parametros_carros!$H$21="Todos",'Plan mensual'!M63,0))+parametros_carros!$G$21*('Plan mensual'!M60+IF(parametros_carros!$H$21="Todos",'Plan mensual'!M64,0)))/60</f>
        <v>2.728078965195</v>
      </c>
      <c r="L104" s="41" t="n">
        <f aca="false">(parametros_carros!$D$21*('Plan mensual'!N57+IF(parametros_carros!$H$21="Todos",'Plan mensual'!N61,0))+parametros_carros!$E$21*('Plan mensual'!N58+IF(parametros_carros!$H$21="Todos",'Plan mensual'!N62,0))+parametros_carros!$F$21*('Plan mensual'!N59+IF(parametros_carros!$H$21="Todos",'Plan mensual'!N63,0))+parametros_carros!$G$21*('Plan mensual'!N60+IF(parametros_carros!$H$21="Todos",'Plan mensual'!N64,0)))/60</f>
        <v>2.546207034182</v>
      </c>
      <c r="M104" s="41" t="n">
        <f aca="false">(parametros_carros!$D$21*('Plan mensual'!O57+IF(parametros_carros!$H$21="Todos",'Plan mensual'!O61,0))+parametros_carros!$E$21*('Plan mensual'!O58+IF(parametros_carros!$H$21="Todos",'Plan mensual'!O62,0))+parametros_carros!$F$21*('Plan mensual'!O59+IF(parametros_carros!$H$21="Todos",'Plan mensual'!O63,0))+parametros_carros!$G$21*('Plan mensual'!O60+IF(parametros_carros!$H$21="Todos",'Plan mensual'!O64,0)))/60</f>
        <v>2.909950896208</v>
      </c>
      <c r="N104" s="41" t="n">
        <f aca="false">SUM(B104:M104)</f>
        <v>36.3743862026</v>
      </c>
      <c r="O104" s="41" t="n">
        <f aca="false">MAX(B104:M104)</f>
        <v>3.273694758234</v>
      </c>
      <c r="P104" s="45" t="n">
        <f aca="false">IF(parametros_carros!$B$7=0,0,(O104+parametros_carros!$G$47)/parametros_carros!$B$7)</f>
        <v>0.0340468539437822</v>
      </c>
      <c r="Q104" s="29" t="str">
        <f aca="false">IF(O104=0,"-",INDEX($B$101:$M$101,MATCH(O104,B104:M104,0)))</f>
        <v>Mar</v>
      </c>
    </row>
    <row r="105" customFormat="false" ht="14.25" hidden="false" customHeight="true" outlineLevel="0" collapsed="false">
      <c r="A105" s="12" t="str">
        <f aca="false">parametros_carros!$B$22</f>
        <v>Cilindrado</v>
      </c>
      <c r="B105" s="41" t="n">
        <f aca="false">(parametros_carros!$D$22*('Plan mensual'!D57+IF(parametros_carros!$H$22="Todos",'Plan mensual'!D61,0))+parametros_carros!$E$22*('Plan mensual'!D58+IF(parametros_carros!$H$22="Todos",'Plan mensual'!D62,0))+parametros_carros!$F$22*('Plan mensual'!D59+IF(parametros_carros!$H$22="Todos",'Plan mensual'!D63,0))+parametros_carros!$G$22*('Plan mensual'!D60+IF(parametros_carros!$H$22="Todos",'Plan mensual'!D64,0)))/60</f>
        <v>6.61580867787239</v>
      </c>
      <c r="C105" s="41" t="n">
        <f aca="false">(parametros_carros!$D$22*('Plan mensual'!E57+IF(parametros_carros!$H$22="Todos",'Plan mensual'!E61,0))+parametros_carros!$E$22*('Plan mensual'!E58+IF(parametros_carros!$H$22="Todos",'Plan mensual'!E62,0))+parametros_carros!$F$22*('Plan mensual'!E59+IF(parametros_carros!$H$22="Todos",'Plan mensual'!E63,0))+parametros_carros!$G$22*('Plan mensual'!E60+IF(parametros_carros!$H$22="Todos",'Plan mensual'!E64,0)))/60</f>
        <v>5.83747824518152</v>
      </c>
      <c r="D105" s="41" t="n">
        <f aca="false">(parametros_carros!$D$22*('Plan mensual'!F57+IF(parametros_carros!$H$22="Todos",'Plan mensual'!F61,0))+parametros_carros!$E$22*('Plan mensual'!F58+IF(parametros_carros!$H$22="Todos",'Plan mensual'!F62,0))+parametros_carros!$F$22*('Plan mensual'!F59+IF(parametros_carros!$H$22="Todos",'Plan mensual'!F63,0))+parametros_carros!$G$22*('Plan mensual'!F60+IF(parametros_carros!$H$22="Todos",'Plan mensual'!F64,0)))/60</f>
        <v>7.00497389421783</v>
      </c>
      <c r="E105" s="41" t="n">
        <f aca="false">(parametros_carros!$D$22*('Plan mensual'!G57+IF(parametros_carros!$H$22="Todos",'Plan mensual'!G61,0))+parametros_carros!$E$22*('Plan mensual'!G58+IF(parametros_carros!$H$22="Todos",'Plan mensual'!G62,0))+parametros_carros!$F$22*('Plan mensual'!G59+IF(parametros_carros!$H$22="Todos",'Plan mensual'!G63,0))+parametros_carros!$G$22*('Plan mensual'!G60+IF(parametros_carros!$H$22="Todos",'Plan mensual'!G64,0)))/60</f>
        <v>7.00497389421783</v>
      </c>
      <c r="F105" s="41" t="n">
        <f aca="false">(parametros_carros!$D$22*('Plan mensual'!H57+IF(parametros_carros!$H$22="Todos",'Plan mensual'!H61,0))+parametros_carros!$E$22*('Plan mensual'!H58+IF(parametros_carros!$H$22="Todos",'Plan mensual'!H62,0))+parametros_carros!$F$22*('Plan mensual'!H59+IF(parametros_carros!$H$22="Todos",'Plan mensual'!H63,0))+parametros_carros!$G$22*('Plan mensual'!H60+IF(parametros_carros!$H$22="Todos",'Plan mensual'!H64,0)))/60</f>
        <v>7.00497389421783</v>
      </c>
      <c r="G105" s="41" t="n">
        <f aca="false">(parametros_carros!$D$22*('Plan mensual'!I57+IF(parametros_carros!$H$22="Todos",'Plan mensual'!I61,0))+parametros_carros!$E$22*('Plan mensual'!I58+IF(parametros_carros!$H$22="Todos",'Plan mensual'!I62,0))+parametros_carros!$F$22*('Plan mensual'!I59+IF(parametros_carros!$H$22="Todos",'Plan mensual'!I63,0))+parametros_carros!$G$22*('Plan mensual'!I60+IF(parametros_carros!$H$22="Todos",'Plan mensual'!I64,0)))/60</f>
        <v>6.22664346152696</v>
      </c>
      <c r="H105" s="41" t="n">
        <f aca="false">(parametros_carros!$D$22*('Plan mensual'!J57+IF(parametros_carros!$H$22="Todos",'Plan mensual'!J61,0))+parametros_carros!$E$22*('Plan mensual'!J58+IF(parametros_carros!$H$22="Todos",'Plan mensual'!J62,0))+parametros_carros!$F$22*('Plan mensual'!J59+IF(parametros_carros!$H$22="Todos",'Plan mensual'!J63,0))+parametros_carros!$G$22*('Plan mensual'!J60+IF(parametros_carros!$H$22="Todos",'Plan mensual'!J64,0)))/60</f>
        <v>7.00497389421783</v>
      </c>
      <c r="I105" s="41" t="n">
        <f aca="false">(parametros_carros!$D$22*('Plan mensual'!K57+IF(parametros_carros!$H$22="Todos",'Plan mensual'!K61,0))+parametros_carros!$E$22*('Plan mensual'!K58+IF(parametros_carros!$H$22="Todos",'Plan mensual'!K62,0))+parametros_carros!$F$22*('Plan mensual'!K59+IF(parametros_carros!$H$22="Todos",'Plan mensual'!K63,0))+parametros_carros!$G$22*('Plan mensual'!K60+IF(parametros_carros!$H$22="Todos",'Plan mensual'!K64,0)))/60</f>
        <v>7.00497389421783</v>
      </c>
      <c r="J105" s="41" t="n">
        <f aca="false">(parametros_carros!$D$22*('Plan mensual'!L57+IF(parametros_carros!$H$22="Todos",'Plan mensual'!L61,0))+parametros_carros!$E$22*('Plan mensual'!L58+IF(parametros_carros!$H$22="Todos",'Plan mensual'!L62,0))+parametros_carros!$F$22*('Plan mensual'!L59+IF(parametros_carros!$H$22="Todos",'Plan mensual'!L63,0))+parametros_carros!$G$22*('Plan mensual'!L60+IF(parametros_carros!$H$22="Todos",'Plan mensual'!L64,0)))/60</f>
        <v>6.61580867787239</v>
      </c>
      <c r="K105" s="41" t="n">
        <f aca="false">(parametros_carros!$D$22*('Plan mensual'!M57+IF(parametros_carros!$H$22="Todos",'Plan mensual'!M61,0))+parametros_carros!$E$22*('Plan mensual'!M58+IF(parametros_carros!$H$22="Todos",'Plan mensual'!M62,0))+parametros_carros!$F$22*('Plan mensual'!M59+IF(parametros_carros!$H$22="Todos",'Plan mensual'!M63,0))+parametros_carros!$G$22*('Plan mensual'!M60+IF(parametros_carros!$H$22="Todos",'Plan mensual'!M64,0)))/60</f>
        <v>5.83747824518152</v>
      </c>
      <c r="L105" s="41" t="n">
        <f aca="false">(parametros_carros!$D$22*('Plan mensual'!N57+IF(parametros_carros!$H$22="Todos",'Plan mensual'!N61,0))+parametros_carros!$E$22*('Plan mensual'!N58+IF(parametros_carros!$H$22="Todos",'Plan mensual'!N62,0))+parametros_carros!$F$22*('Plan mensual'!N59+IF(parametros_carros!$H$22="Todos",'Plan mensual'!N63,0))+parametros_carros!$G$22*('Plan mensual'!N60+IF(parametros_carros!$H$22="Todos",'Plan mensual'!N64,0)))/60</f>
        <v>5.44831302883609</v>
      </c>
      <c r="M105" s="41" t="n">
        <f aca="false">(parametros_carros!$D$22*('Plan mensual'!O57+IF(parametros_carros!$H$22="Todos",'Plan mensual'!O61,0))+parametros_carros!$E$22*('Plan mensual'!O58+IF(parametros_carros!$H$22="Todos",'Plan mensual'!O62,0))+parametros_carros!$F$22*('Plan mensual'!O59+IF(parametros_carros!$H$22="Todos",'Plan mensual'!O63,0))+parametros_carros!$G$22*('Plan mensual'!O60+IF(parametros_carros!$H$22="Todos",'Plan mensual'!O64,0)))/60</f>
        <v>6.22664346152696</v>
      </c>
      <c r="N105" s="41" t="n">
        <f aca="false">SUM(B105:M105)</f>
        <v>77.833043269087</v>
      </c>
      <c r="O105" s="41" t="n">
        <f aca="false">MAX(B105:M105)</f>
        <v>7.00497389421783</v>
      </c>
      <c r="P105" s="45" t="n">
        <f aca="false">IF(parametros_carros!$B$7=0,0,(O105+parametros_carros!$G$48)/parametros_carros!$B$7)</f>
        <v>0.0866998259614522</v>
      </c>
      <c r="Q105" s="29" t="str">
        <f aca="false">IF(O105=0,"-",INDEX($B$101:$M$101,MATCH(O105,B105:M105,0)))</f>
        <v>Mar</v>
      </c>
    </row>
    <row r="106" customFormat="false" ht="14.25" hidden="false" customHeight="true" outlineLevel="0" collapsed="false">
      <c r="A106" s="12" t="str">
        <f aca="false">parametros_carros!$B$23</f>
        <v>Punteo del cuerpo</v>
      </c>
      <c r="B106" s="41" t="n">
        <f aca="false">(parametros_carros!$D$23*('Plan mensual'!D57+IF(parametros_carros!$H$23="Todos",'Plan mensual'!D61,0))+parametros_carros!$E$23*('Plan mensual'!D58+IF(parametros_carros!$H$23="Todos",'Plan mensual'!D62,0))+parametros_carros!$F$23*('Plan mensual'!D59+IF(parametros_carros!$H$23="Todos",'Plan mensual'!D63,0))+parametros_carros!$G$23*('Plan mensual'!D60+IF(parametros_carros!$H$23="Todos",'Plan mensual'!D64,0)))/60</f>
        <v>9.80540790390323</v>
      </c>
      <c r="C106" s="41" t="n">
        <f aca="false">(parametros_carros!$D$23*('Plan mensual'!E57+IF(parametros_carros!$H$23="Todos",'Plan mensual'!E61,0))+parametros_carros!$E$23*('Plan mensual'!E58+IF(parametros_carros!$H$23="Todos",'Plan mensual'!E62,0))+parametros_carros!$F$23*('Plan mensual'!E59+IF(parametros_carros!$H$23="Todos",'Plan mensual'!E63,0))+parametros_carros!$G$23*('Plan mensual'!E60+IF(parametros_carros!$H$23="Todos",'Plan mensual'!E64,0)))/60</f>
        <v>8.65183050344402</v>
      </c>
      <c r="D106" s="41" t="n">
        <f aca="false">(parametros_carros!$D$23*('Plan mensual'!F57+IF(parametros_carros!$H$23="Todos",'Plan mensual'!F61,0))+parametros_carros!$E$23*('Plan mensual'!F58+IF(parametros_carros!$H$23="Todos",'Plan mensual'!F62,0))+parametros_carros!$F$23*('Plan mensual'!F59+IF(parametros_carros!$H$23="Todos",'Plan mensual'!F63,0))+parametros_carros!$G$23*('Plan mensual'!F60+IF(parametros_carros!$H$23="Todos",'Plan mensual'!F64,0)))/60</f>
        <v>10.3821966041328</v>
      </c>
      <c r="E106" s="41" t="n">
        <f aca="false">(parametros_carros!$D$23*('Plan mensual'!G57+IF(parametros_carros!$H$23="Todos",'Plan mensual'!G61,0))+parametros_carros!$E$23*('Plan mensual'!G58+IF(parametros_carros!$H$23="Todos",'Plan mensual'!G62,0))+parametros_carros!$F$23*('Plan mensual'!G59+IF(parametros_carros!$H$23="Todos",'Plan mensual'!G63,0))+parametros_carros!$G$23*('Plan mensual'!G60+IF(parametros_carros!$H$23="Todos",'Plan mensual'!G64,0)))/60</f>
        <v>10.3821966041328</v>
      </c>
      <c r="F106" s="41" t="n">
        <f aca="false">(parametros_carros!$D$23*('Plan mensual'!H57+IF(parametros_carros!$H$23="Todos",'Plan mensual'!H61,0))+parametros_carros!$E$23*('Plan mensual'!H58+IF(parametros_carros!$H$23="Todos",'Plan mensual'!H62,0))+parametros_carros!$F$23*('Plan mensual'!H59+IF(parametros_carros!$H$23="Todos",'Plan mensual'!H63,0))+parametros_carros!$G$23*('Plan mensual'!H60+IF(parametros_carros!$H$23="Todos",'Plan mensual'!H64,0)))/60</f>
        <v>10.3821966041328</v>
      </c>
      <c r="G106" s="41" t="n">
        <f aca="false">(parametros_carros!$D$23*('Plan mensual'!I57+IF(parametros_carros!$H$23="Todos",'Plan mensual'!I61,0))+parametros_carros!$E$23*('Plan mensual'!I58+IF(parametros_carros!$H$23="Todos",'Plan mensual'!I62,0))+parametros_carros!$F$23*('Plan mensual'!I59+IF(parametros_carros!$H$23="Todos",'Plan mensual'!I63,0))+parametros_carros!$G$23*('Plan mensual'!I60+IF(parametros_carros!$H$23="Todos",'Plan mensual'!I64,0)))/60</f>
        <v>9.22861920367362</v>
      </c>
      <c r="H106" s="41" t="n">
        <f aca="false">(parametros_carros!$D$23*('Plan mensual'!J57+IF(parametros_carros!$H$23="Todos",'Plan mensual'!J61,0))+parametros_carros!$E$23*('Plan mensual'!J58+IF(parametros_carros!$H$23="Todos",'Plan mensual'!J62,0))+parametros_carros!$F$23*('Plan mensual'!J59+IF(parametros_carros!$H$23="Todos",'Plan mensual'!J63,0))+parametros_carros!$G$23*('Plan mensual'!J60+IF(parametros_carros!$H$23="Todos",'Plan mensual'!J64,0)))/60</f>
        <v>10.3821966041328</v>
      </c>
      <c r="I106" s="41" t="n">
        <f aca="false">(parametros_carros!$D$23*('Plan mensual'!K57+IF(parametros_carros!$H$23="Todos",'Plan mensual'!K61,0))+parametros_carros!$E$23*('Plan mensual'!K58+IF(parametros_carros!$H$23="Todos",'Plan mensual'!K62,0))+parametros_carros!$F$23*('Plan mensual'!K59+IF(parametros_carros!$H$23="Todos",'Plan mensual'!K63,0))+parametros_carros!$G$23*('Plan mensual'!K60+IF(parametros_carros!$H$23="Todos",'Plan mensual'!K64,0)))/60</f>
        <v>10.3821966041328</v>
      </c>
      <c r="J106" s="41" t="n">
        <f aca="false">(parametros_carros!$D$23*('Plan mensual'!L57+IF(parametros_carros!$H$23="Todos",'Plan mensual'!L61,0))+parametros_carros!$E$23*('Plan mensual'!L58+IF(parametros_carros!$H$23="Todos",'Plan mensual'!L62,0))+parametros_carros!$F$23*('Plan mensual'!L59+IF(parametros_carros!$H$23="Todos",'Plan mensual'!L63,0))+parametros_carros!$G$23*('Plan mensual'!L60+IF(parametros_carros!$H$23="Todos",'Plan mensual'!L64,0)))/60</f>
        <v>9.80540790390323</v>
      </c>
      <c r="K106" s="41" t="n">
        <f aca="false">(parametros_carros!$D$23*('Plan mensual'!M57+IF(parametros_carros!$H$23="Todos",'Plan mensual'!M61,0))+parametros_carros!$E$23*('Plan mensual'!M58+IF(parametros_carros!$H$23="Todos",'Plan mensual'!M62,0))+parametros_carros!$F$23*('Plan mensual'!M59+IF(parametros_carros!$H$23="Todos",'Plan mensual'!M63,0))+parametros_carros!$G$23*('Plan mensual'!M60+IF(parametros_carros!$H$23="Todos",'Plan mensual'!M64,0)))/60</f>
        <v>8.65183050344402</v>
      </c>
      <c r="L106" s="41" t="n">
        <f aca="false">(parametros_carros!$D$23*('Plan mensual'!N57+IF(parametros_carros!$H$23="Todos",'Plan mensual'!N61,0))+parametros_carros!$E$23*('Plan mensual'!N58+IF(parametros_carros!$H$23="Todos",'Plan mensual'!N62,0))+parametros_carros!$F$23*('Plan mensual'!N59+IF(parametros_carros!$H$23="Todos",'Plan mensual'!N63,0))+parametros_carros!$G$23*('Plan mensual'!N60+IF(parametros_carros!$H$23="Todos",'Plan mensual'!N64,0)))/60</f>
        <v>8.07504180321442</v>
      </c>
      <c r="M106" s="41" t="n">
        <f aca="false">(parametros_carros!$D$23*('Plan mensual'!O57+IF(parametros_carros!$H$23="Todos",'Plan mensual'!O61,0))+parametros_carros!$E$23*('Plan mensual'!O58+IF(parametros_carros!$H$23="Todos",'Plan mensual'!O62,0))+parametros_carros!$F$23*('Plan mensual'!O59+IF(parametros_carros!$H$23="Todos",'Plan mensual'!O63,0))+parametros_carros!$G$23*('Plan mensual'!O60+IF(parametros_carros!$H$23="Todos",'Plan mensual'!O64,0)))/60</f>
        <v>9.22861920367362</v>
      </c>
      <c r="N106" s="41" t="n">
        <f aca="false">SUM(B106:M106)</f>
        <v>115.35774004592</v>
      </c>
      <c r="O106" s="41" t="n">
        <f aca="false">MAX(B106:M106)</f>
        <v>10.3821966041328</v>
      </c>
      <c r="P106" s="45" t="n">
        <f aca="false">IF(parametros_carros!$B$7=0,0,(O106+parametros_carros!$G$49)/parametros_carros!$B$7)</f>
        <v>0.0803257551386633</v>
      </c>
      <c r="Q106" s="29" t="str">
        <f aca="false">IF(O106=0,"-",INDEX($B$101:$M$101,MATCH(O106,B106:M106,0)))</f>
        <v>Mar</v>
      </c>
    </row>
    <row r="107" customFormat="false" ht="14.25" hidden="false" customHeight="true" outlineLevel="0" collapsed="false">
      <c r="A107" s="12" t="str">
        <f aca="false">parametros_carros!$B$24</f>
        <v>Soldadura longitudinal</v>
      </c>
      <c r="B107" s="41" t="n">
        <f aca="false">(parametros_carros!$D$24*('Plan mensual'!D57+IF(parametros_carros!$H$24="Todos",'Plan mensual'!D61,0))+parametros_carros!$E$24*('Plan mensual'!D58+IF(parametros_carros!$H$24="Todos",'Plan mensual'!D62,0))+parametros_carros!$F$24*('Plan mensual'!D59+IF(parametros_carros!$H$24="Todos",'Plan mensual'!D63,0))+parametros_carros!$G$24*('Plan mensual'!D60+IF(parametros_carros!$H$24="Todos",'Plan mensual'!D64,0)))/60</f>
        <v>6.74061999576367</v>
      </c>
      <c r="C107" s="41" t="n">
        <f aca="false">(parametros_carros!$D$24*('Plan mensual'!E57+IF(parametros_carros!$H$24="Todos",'Plan mensual'!E61,0))+parametros_carros!$E$24*('Plan mensual'!E58+IF(parametros_carros!$H$24="Todos",'Plan mensual'!E62,0))+parametros_carros!$F$24*('Plan mensual'!E59+IF(parametros_carros!$H$24="Todos",'Plan mensual'!E63,0))+parametros_carros!$G$24*('Plan mensual'!E60+IF(parametros_carros!$H$24="Todos",'Plan mensual'!E64,0)))/60</f>
        <v>5.947605878615</v>
      </c>
      <c r="D107" s="41" t="n">
        <f aca="false">(parametros_carros!$D$24*('Plan mensual'!F57+IF(parametros_carros!$H$24="Todos",'Plan mensual'!F61,0))+parametros_carros!$E$24*('Plan mensual'!F58+IF(parametros_carros!$H$24="Todos",'Plan mensual'!F62,0))+parametros_carros!$F$24*('Plan mensual'!F59+IF(parametros_carros!$H$24="Todos",'Plan mensual'!F63,0))+parametros_carros!$G$24*('Plan mensual'!F60+IF(parametros_carros!$H$24="Todos",'Plan mensual'!F64,0)))/60</f>
        <v>7.137127054338</v>
      </c>
      <c r="E107" s="41" t="n">
        <f aca="false">(parametros_carros!$D$24*('Plan mensual'!G57+IF(parametros_carros!$H$24="Todos",'Plan mensual'!G61,0))+parametros_carros!$E$24*('Plan mensual'!G58+IF(parametros_carros!$H$24="Todos",'Plan mensual'!G62,0))+parametros_carros!$F$24*('Plan mensual'!G59+IF(parametros_carros!$H$24="Todos",'Plan mensual'!G63,0))+parametros_carros!$G$24*('Plan mensual'!G60+IF(parametros_carros!$H$24="Todos",'Plan mensual'!G64,0)))/60</f>
        <v>7.137127054338</v>
      </c>
      <c r="F107" s="41" t="n">
        <f aca="false">(parametros_carros!$D$24*('Plan mensual'!H57+IF(parametros_carros!$H$24="Todos",'Plan mensual'!H61,0))+parametros_carros!$E$24*('Plan mensual'!H58+IF(parametros_carros!$H$24="Todos",'Plan mensual'!H62,0))+parametros_carros!$F$24*('Plan mensual'!H59+IF(parametros_carros!$H$24="Todos",'Plan mensual'!H63,0))+parametros_carros!$G$24*('Plan mensual'!H60+IF(parametros_carros!$H$24="Todos",'Plan mensual'!H64,0)))/60</f>
        <v>7.137127054338</v>
      </c>
      <c r="G107" s="41" t="n">
        <f aca="false">(parametros_carros!$D$24*('Plan mensual'!I57+IF(parametros_carros!$H$24="Todos",'Plan mensual'!I61,0))+parametros_carros!$E$24*('Plan mensual'!I58+IF(parametros_carros!$H$24="Todos",'Plan mensual'!I62,0))+parametros_carros!$F$24*('Plan mensual'!I59+IF(parametros_carros!$H$24="Todos",'Plan mensual'!I63,0))+parametros_carros!$G$24*('Plan mensual'!I60+IF(parametros_carros!$H$24="Todos",'Plan mensual'!I64,0)))/60</f>
        <v>6.34411293718933</v>
      </c>
      <c r="H107" s="41" t="n">
        <f aca="false">(parametros_carros!$D$24*('Plan mensual'!J57+IF(parametros_carros!$H$24="Todos",'Plan mensual'!J61,0))+parametros_carros!$E$24*('Plan mensual'!J58+IF(parametros_carros!$H$24="Todos",'Plan mensual'!J62,0))+parametros_carros!$F$24*('Plan mensual'!J59+IF(parametros_carros!$H$24="Todos",'Plan mensual'!J63,0))+parametros_carros!$G$24*('Plan mensual'!J60+IF(parametros_carros!$H$24="Todos",'Plan mensual'!J64,0)))/60</f>
        <v>7.137127054338</v>
      </c>
      <c r="I107" s="41" t="n">
        <f aca="false">(parametros_carros!$D$24*('Plan mensual'!K57+IF(parametros_carros!$H$24="Todos",'Plan mensual'!K61,0))+parametros_carros!$E$24*('Plan mensual'!K58+IF(parametros_carros!$H$24="Todos",'Plan mensual'!K62,0))+parametros_carros!$F$24*('Plan mensual'!K59+IF(parametros_carros!$H$24="Todos",'Plan mensual'!K63,0))+parametros_carros!$G$24*('Plan mensual'!K60+IF(parametros_carros!$H$24="Todos",'Plan mensual'!K64,0)))/60</f>
        <v>7.137127054338</v>
      </c>
      <c r="J107" s="41" t="n">
        <f aca="false">(parametros_carros!$D$24*('Plan mensual'!L57+IF(parametros_carros!$H$24="Todos",'Plan mensual'!L61,0))+parametros_carros!$E$24*('Plan mensual'!L58+IF(parametros_carros!$H$24="Todos",'Plan mensual'!L62,0))+parametros_carros!$F$24*('Plan mensual'!L59+IF(parametros_carros!$H$24="Todos",'Plan mensual'!L63,0))+parametros_carros!$G$24*('Plan mensual'!L60+IF(parametros_carros!$H$24="Todos",'Plan mensual'!L64,0)))/60</f>
        <v>6.74061999576367</v>
      </c>
      <c r="K107" s="41" t="n">
        <f aca="false">(parametros_carros!$D$24*('Plan mensual'!M57+IF(parametros_carros!$H$24="Todos",'Plan mensual'!M61,0))+parametros_carros!$E$24*('Plan mensual'!M58+IF(parametros_carros!$H$24="Todos",'Plan mensual'!M62,0))+parametros_carros!$F$24*('Plan mensual'!M59+IF(parametros_carros!$H$24="Todos",'Plan mensual'!M63,0))+parametros_carros!$G$24*('Plan mensual'!M60+IF(parametros_carros!$H$24="Todos",'Plan mensual'!M64,0)))/60</f>
        <v>5.947605878615</v>
      </c>
      <c r="L107" s="41" t="n">
        <f aca="false">(parametros_carros!$D$24*('Plan mensual'!N57+IF(parametros_carros!$H$24="Todos",'Plan mensual'!N61,0))+parametros_carros!$E$24*('Plan mensual'!N58+IF(parametros_carros!$H$24="Todos",'Plan mensual'!N62,0))+parametros_carros!$F$24*('Plan mensual'!N59+IF(parametros_carros!$H$24="Todos",'Plan mensual'!N63,0))+parametros_carros!$G$24*('Plan mensual'!N60+IF(parametros_carros!$H$24="Todos",'Plan mensual'!N64,0)))/60</f>
        <v>5.55109882004067</v>
      </c>
      <c r="M107" s="41" t="n">
        <f aca="false">(parametros_carros!$D$24*('Plan mensual'!O57+IF(parametros_carros!$H$24="Todos",'Plan mensual'!O61,0))+parametros_carros!$E$24*('Plan mensual'!O58+IF(parametros_carros!$H$24="Todos",'Plan mensual'!O62,0))+parametros_carros!$F$24*('Plan mensual'!O59+IF(parametros_carros!$H$24="Todos",'Plan mensual'!O63,0))+parametros_carros!$G$24*('Plan mensual'!O60+IF(parametros_carros!$H$24="Todos",'Plan mensual'!O64,0)))/60</f>
        <v>6.34411293718933</v>
      </c>
      <c r="N107" s="41" t="n">
        <f aca="false">SUM(B107:M107)</f>
        <v>79.3014117148667</v>
      </c>
      <c r="O107" s="41" t="n">
        <f aca="false">MAX(B107:M107)</f>
        <v>7.137127054338</v>
      </c>
      <c r="P107" s="45" t="n">
        <f aca="false">IF(parametros_carros!$B$7=0,0,(O107+parametros_carros!$G$50)/parametros_carros!$B$7)</f>
        <v>0.0653586248066978</v>
      </c>
      <c r="Q107" s="29" t="str">
        <f aca="false">IF(O107=0,"-",INDEX($B$101:$M$101,MATCH(O107,B107:M107,0)))</f>
        <v>Mar</v>
      </c>
    </row>
    <row r="108" customFormat="false" ht="14.25" hidden="false" customHeight="true" outlineLevel="0" collapsed="false">
      <c r="A108" s="12" t="str">
        <f aca="false">parametros_carros!$B$25</f>
        <v>Soldadura de cupla en la cúpula</v>
      </c>
      <c r="B108" s="41" t="n">
        <f aca="false">(parametros_carros!$D$25*('Plan mensual'!D57+IF(parametros_carros!$H$25="Todos",'Plan mensual'!D61,0))+parametros_carros!$E$25*('Plan mensual'!D58+IF(parametros_carros!$H$25="Todos",'Plan mensual'!D62,0))+parametros_carros!$F$25*('Plan mensual'!D59+IF(parametros_carros!$H$25="Todos",'Plan mensual'!D63,0))+parametros_carros!$G$25*('Plan mensual'!D60+IF(parametros_carros!$H$25="Todos",'Plan mensual'!D64,0)))/60</f>
        <v>6.65921655093667</v>
      </c>
      <c r="C108" s="41" t="n">
        <f aca="false">(parametros_carros!$D$25*('Plan mensual'!E57+IF(parametros_carros!$H$25="Todos",'Plan mensual'!E61,0))+parametros_carros!$E$25*('Plan mensual'!E58+IF(parametros_carros!$H$25="Todos",'Plan mensual'!E62,0))+parametros_carros!$F$25*('Plan mensual'!E59+IF(parametros_carros!$H$25="Todos",'Plan mensual'!E63,0))+parametros_carros!$G$25*('Plan mensual'!E60+IF(parametros_carros!$H$25="Todos",'Plan mensual'!E64,0)))/60</f>
        <v>5.87577930965</v>
      </c>
      <c r="D108" s="41" t="n">
        <f aca="false">(parametros_carros!$D$25*('Plan mensual'!F57+IF(parametros_carros!$H$25="Todos",'Plan mensual'!F61,0))+parametros_carros!$E$25*('Plan mensual'!F58+IF(parametros_carros!$H$25="Todos",'Plan mensual'!F62,0))+parametros_carros!$F$25*('Plan mensual'!F59+IF(parametros_carros!$H$25="Todos",'Plan mensual'!F63,0))+parametros_carros!$G$25*('Plan mensual'!F60+IF(parametros_carros!$H$25="Todos",'Plan mensual'!F64,0)))/60</f>
        <v>7.05093517158</v>
      </c>
      <c r="E108" s="41" t="n">
        <f aca="false">(parametros_carros!$D$25*('Plan mensual'!G57+IF(parametros_carros!$H$25="Todos",'Plan mensual'!G61,0))+parametros_carros!$E$25*('Plan mensual'!G58+IF(parametros_carros!$H$25="Todos",'Plan mensual'!G62,0))+parametros_carros!$F$25*('Plan mensual'!G59+IF(parametros_carros!$H$25="Todos",'Plan mensual'!G63,0))+parametros_carros!$G$25*('Plan mensual'!G60+IF(parametros_carros!$H$25="Todos",'Plan mensual'!G64,0)))/60</f>
        <v>7.05093517158</v>
      </c>
      <c r="F108" s="41" t="n">
        <f aca="false">(parametros_carros!$D$25*('Plan mensual'!H57+IF(parametros_carros!$H$25="Todos",'Plan mensual'!H61,0))+parametros_carros!$E$25*('Plan mensual'!H58+IF(parametros_carros!$H$25="Todos",'Plan mensual'!H62,0))+parametros_carros!$F$25*('Plan mensual'!H59+IF(parametros_carros!$H$25="Todos",'Plan mensual'!H63,0))+parametros_carros!$G$25*('Plan mensual'!H60+IF(parametros_carros!$H$25="Todos",'Plan mensual'!H64,0)))/60</f>
        <v>7.05093517158</v>
      </c>
      <c r="G108" s="41" t="n">
        <f aca="false">(parametros_carros!$D$25*('Plan mensual'!I57+IF(parametros_carros!$H$25="Todos",'Plan mensual'!I61,0))+parametros_carros!$E$25*('Plan mensual'!I58+IF(parametros_carros!$H$25="Todos",'Plan mensual'!I62,0))+parametros_carros!$F$25*('Plan mensual'!I59+IF(parametros_carros!$H$25="Todos",'Plan mensual'!I63,0))+parametros_carros!$G$25*('Plan mensual'!I60+IF(parametros_carros!$H$25="Todos",'Plan mensual'!I64,0)))/60</f>
        <v>6.26749793029333</v>
      </c>
      <c r="H108" s="41" t="n">
        <f aca="false">(parametros_carros!$D$25*('Plan mensual'!J57+IF(parametros_carros!$H$25="Todos",'Plan mensual'!J61,0))+parametros_carros!$E$25*('Plan mensual'!J58+IF(parametros_carros!$H$25="Todos",'Plan mensual'!J62,0))+parametros_carros!$F$25*('Plan mensual'!J59+IF(parametros_carros!$H$25="Todos",'Plan mensual'!J63,0))+parametros_carros!$G$25*('Plan mensual'!J60+IF(parametros_carros!$H$25="Todos",'Plan mensual'!J64,0)))/60</f>
        <v>7.05093517158</v>
      </c>
      <c r="I108" s="41" t="n">
        <f aca="false">(parametros_carros!$D$25*('Plan mensual'!K57+IF(parametros_carros!$H$25="Todos",'Plan mensual'!K61,0))+parametros_carros!$E$25*('Plan mensual'!K58+IF(parametros_carros!$H$25="Todos",'Plan mensual'!K62,0))+parametros_carros!$F$25*('Plan mensual'!K59+IF(parametros_carros!$H$25="Todos",'Plan mensual'!K63,0))+parametros_carros!$G$25*('Plan mensual'!K60+IF(parametros_carros!$H$25="Todos",'Plan mensual'!K64,0)))/60</f>
        <v>7.05093517158</v>
      </c>
      <c r="J108" s="41" t="n">
        <f aca="false">(parametros_carros!$D$25*('Plan mensual'!L57+IF(parametros_carros!$H$25="Todos",'Plan mensual'!L61,0))+parametros_carros!$E$25*('Plan mensual'!L58+IF(parametros_carros!$H$25="Todos",'Plan mensual'!L62,0))+parametros_carros!$F$25*('Plan mensual'!L59+IF(parametros_carros!$H$25="Todos",'Plan mensual'!L63,0))+parametros_carros!$G$25*('Plan mensual'!L60+IF(parametros_carros!$H$25="Todos",'Plan mensual'!L64,0)))/60</f>
        <v>6.65921655093667</v>
      </c>
      <c r="K108" s="41" t="n">
        <f aca="false">(parametros_carros!$D$25*('Plan mensual'!M57+IF(parametros_carros!$H$25="Todos",'Plan mensual'!M61,0))+parametros_carros!$E$25*('Plan mensual'!M58+IF(parametros_carros!$H$25="Todos",'Plan mensual'!M62,0))+parametros_carros!$F$25*('Plan mensual'!M59+IF(parametros_carros!$H$25="Todos",'Plan mensual'!M63,0))+parametros_carros!$G$25*('Plan mensual'!M60+IF(parametros_carros!$H$25="Todos",'Plan mensual'!M64,0)))/60</f>
        <v>5.87577930965</v>
      </c>
      <c r="L108" s="41" t="n">
        <f aca="false">(parametros_carros!$D$25*('Plan mensual'!N57+IF(parametros_carros!$H$25="Todos",'Plan mensual'!N61,0))+parametros_carros!$E$25*('Plan mensual'!N58+IF(parametros_carros!$H$25="Todos",'Plan mensual'!N62,0))+parametros_carros!$F$25*('Plan mensual'!N59+IF(parametros_carros!$H$25="Todos",'Plan mensual'!N63,0))+parametros_carros!$G$25*('Plan mensual'!N60+IF(parametros_carros!$H$25="Todos",'Plan mensual'!N64,0)))/60</f>
        <v>5.48406068900667</v>
      </c>
      <c r="M108" s="41" t="n">
        <f aca="false">(parametros_carros!$D$25*('Plan mensual'!O57+IF(parametros_carros!$H$25="Todos",'Plan mensual'!O61,0))+parametros_carros!$E$25*('Plan mensual'!O58+IF(parametros_carros!$H$25="Todos",'Plan mensual'!O62,0))+parametros_carros!$F$25*('Plan mensual'!O59+IF(parametros_carros!$H$25="Todos",'Plan mensual'!O63,0))+parametros_carros!$G$25*('Plan mensual'!O60+IF(parametros_carros!$H$25="Todos",'Plan mensual'!O64,0)))/60</f>
        <v>6.26749793029333</v>
      </c>
      <c r="N108" s="41" t="n">
        <f aca="false">SUM(B108:M108)</f>
        <v>78.3437241286667</v>
      </c>
      <c r="O108" s="41" t="n">
        <f aca="false">MAX(B108:M108)</f>
        <v>7.05093517158</v>
      </c>
      <c r="P108" s="45" t="n">
        <f aca="false">IF(parametros_carros!$B$7=0,0,(O108+parametros_carros!$G$51)/parametros_carros!$B$7)</f>
        <v>0.0670062344772</v>
      </c>
      <c r="Q108" s="29" t="str">
        <f aca="false">IF(O108=0,"-",INDEX($B$101:$M$101,MATCH(O108,B108:M108,0)))</f>
        <v>Mar</v>
      </c>
    </row>
    <row r="109" customFormat="false" ht="14.25" hidden="false" customHeight="true" outlineLevel="0" collapsed="false">
      <c r="A109" s="12" t="str">
        <f aca="false">parametros_carros!$B$26</f>
        <v>Armado y soldadura circunferencial</v>
      </c>
      <c r="B109" s="41" t="n">
        <f aca="false">(parametros_carros!$D$26*('Plan mensual'!D57+IF(parametros_carros!$H$26="Todos",'Plan mensual'!D61,0))+parametros_carros!$E$26*('Plan mensual'!D58+IF(parametros_carros!$H$26="Todos",'Plan mensual'!D62,0))+parametros_carros!$F$26*('Plan mensual'!D59+IF(parametros_carros!$H$26="Todos",'Plan mensual'!D63,0))+parametros_carros!$G$26*('Plan mensual'!D60+IF(parametros_carros!$H$26="Todos",'Plan mensual'!D64,0)))/60</f>
        <v>31.4924599388172</v>
      </c>
      <c r="C109" s="41" t="n">
        <f aca="false">(parametros_carros!$D$26*('Plan mensual'!E57+IF(parametros_carros!$H$26="Todos",'Plan mensual'!E61,0))+parametros_carros!$E$26*('Plan mensual'!E58+IF(parametros_carros!$H$26="Todos",'Plan mensual'!E62,0))+parametros_carros!$F$26*('Plan mensual'!E59+IF(parametros_carros!$H$26="Todos",'Plan mensual'!E63,0))+parametros_carros!$G$26*('Plan mensual'!E60+IF(parametros_carros!$H$26="Todos",'Plan mensual'!E64,0)))/60</f>
        <v>27.7874646518975</v>
      </c>
      <c r="D109" s="41" t="n">
        <f aca="false">(parametros_carros!$D$26*('Plan mensual'!F57+IF(parametros_carros!$H$26="Todos",'Plan mensual'!F61,0))+parametros_carros!$E$26*('Plan mensual'!F58+IF(parametros_carros!$H$26="Todos",'Plan mensual'!F62,0))+parametros_carros!$F$26*('Plan mensual'!F59+IF(parametros_carros!$H$26="Todos",'Plan mensual'!F63,0))+parametros_carros!$G$26*('Plan mensual'!F60+IF(parametros_carros!$H$26="Todos",'Plan mensual'!F64,0)))/60</f>
        <v>33.344957582277</v>
      </c>
      <c r="E109" s="41" t="n">
        <f aca="false">(parametros_carros!$D$26*('Plan mensual'!G57+IF(parametros_carros!$H$26="Todos",'Plan mensual'!G61,0))+parametros_carros!$E$26*('Plan mensual'!G58+IF(parametros_carros!$H$26="Todos",'Plan mensual'!G62,0))+parametros_carros!$F$26*('Plan mensual'!G59+IF(parametros_carros!$H$26="Todos",'Plan mensual'!G63,0))+parametros_carros!$G$26*('Plan mensual'!G60+IF(parametros_carros!$H$26="Todos",'Plan mensual'!G64,0)))/60</f>
        <v>33.344957582277</v>
      </c>
      <c r="F109" s="41" t="n">
        <f aca="false">(parametros_carros!$D$26*('Plan mensual'!H57+IF(parametros_carros!$H$26="Todos",'Plan mensual'!H61,0))+parametros_carros!$E$26*('Plan mensual'!H58+IF(parametros_carros!$H$26="Todos",'Plan mensual'!H62,0))+parametros_carros!$F$26*('Plan mensual'!H59+IF(parametros_carros!$H$26="Todos",'Plan mensual'!H63,0))+parametros_carros!$G$26*('Plan mensual'!H60+IF(parametros_carros!$H$26="Todos",'Plan mensual'!H64,0)))/60</f>
        <v>33.344957582277</v>
      </c>
      <c r="G109" s="41" t="n">
        <f aca="false">(parametros_carros!$D$26*('Plan mensual'!I57+IF(parametros_carros!$H$26="Todos",'Plan mensual'!I61,0))+parametros_carros!$E$26*('Plan mensual'!I58+IF(parametros_carros!$H$26="Todos",'Plan mensual'!I62,0))+parametros_carros!$F$26*('Plan mensual'!I59+IF(parametros_carros!$H$26="Todos",'Plan mensual'!I63,0))+parametros_carros!$G$26*('Plan mensual'!I60+IF(parametros_carros!$H$26="Todos",'Plan mensual'!I64,0)))/60</f>
        <v>29.6399622953573</v>
      </c>
      <c r="H109" s="41" t="n">
        <f aca="false">(parametros_carros!$D$26*('Plan mensual'!J57+IF(parametros_carros!$H$26="Todos",'Plan mensual'!J61,0))+parametros_carros!$E$26*('Plan mensual'!J58+IF(parametros_carros!$H$26="Todos",'Plan mensual'!J62,0))+parametros_carros!$F$26*('Plan mensual'!J59+IF(parametros_carros!$H$26="Todos",'Plan mensual'!J63,0))+parametros_carros!$G$26*('Plan mensual'!J60+IF(parametros_carros!$H$26="Todos",'Plan mensual'!J64,0)))/60</f>
        <v>33.344957582277</v>
      </c>
      <c r="I109" s="41" t="n">
        <f aca="false">(parametros_carros!$D$26*('Plan mensual'!K57+IF(parametros_carros!$H$26="Todos",'Plan mensual'!K61,0))+parametros_carros!$E$26*('Plan mensual'!K58+IF(parametros_carros!$H$26="Todos",'Plan mensual'!K62,0))+parametros_carros!$F$26*('Plan mensual'!K59+IF(parametros_carros!$H$26="Todos",'Plan mensual'!K63,0))+parametros_carros!$G$26*('Plan mensual'!K60+IF(parametros_carros!$H$26="Todos",'Plan mensual'!K64,0)))/60</f>
        <v>33.344957582277</v>
      </c>
      <c r="J109" s="41" t="n">
        <f aca="false">(parametros_carros!$D$26*('Plan mensual'!L57+IF(parametros_carros!$H$26="Todos",'Plan mensual'!L61,0))+parametros_carros!$E$26*('Plan mensual'!L58+IF(parametros_carros!$H$26="Todos",'Plan mensual'!L62,0))+parametros_carros!$F$26*('Plan mensual'!L59+IF(parametros_carros!$H$26="Todos",'Plan mensual'!L63,0))+parametros_carros!$G$26*('Plan mensual'!L60+IF(parametros_carros!$H$26="Todos",'Plan mensual'!L64,0)))/60</f>
        <v>31.4924599388172</v>
      </c>
      <c r="K109" s="41" t="n">
        <f aca="false">(parametros_carros!$D$26*('Plan mensual'!M57+IF(parametros_carros!$H$26="Todos",'Plan mensual'!M61,0))+parametros_carros!$E$26*('Plan mensual'!M58+IF(parametros_carros!$H$26="Todos",'Plan mensual'!M62,0))+parametros_carros!$F$26*('Plan mensual'!M59+IF(parametros_carros!$H$26="Todos",'Plan mensual'!M63,0))+parametros_carros!$G$26*('Plan mensual'!M60+IF(parametros_carros!$H$26="Todos",'Plan mensual'!M64,0)))/60</f>
        <v>27.7874646518975</v>
      </c>
      <c r="L109" s="41" t="n">
        <f aca="false">(parametros_carros!$D$26*('Plan mensual'!N57+IF(parametros_carros!$H$26="Todos",'Plan mensual'!N61,0))+parametros_carros!$E$26*('Plan mensual'!N58+IF(parametros_carros!$H$26="Todos",'Plan mensual'!N62,0))+parametros_carros!$F$26*('Plan mensual'!N59+IF(parametros_carros!$H$26="Todos",'Plan mensual'!N63,0))+parametros_carros!$G$26*('Plan mensual'!N60+IF(parametros_carros!$H$26="Todos",'Plan mensual'!N64,0)))/60</f>
        <v>25.9349670084377</v>
      </c>
      <c r="M109" s="41" t="n">
        <f aca="false">(parametros_carros!$D$26*('Plan mensual'!O57+IF(parametros_carros!$H$26="Todos",'Plan mensual'!O61,0))+parametros_carros!$E$26*('Plan mensual'!O58+IF(parametros_carros!$H$26="Todos",'Plan mensual'!O62,0))+parametros_carros!$F$26*('Plan mensual'!O59+IF(parametros_carros!$H$26="Todos",'Plan mensual'!O63,0))+parametros_carros!$G$26*('Plan mensual'!O60+IF(parametros_carros!$H$26="Todos",'Plan mensual'!O64,0)))/60</f>
        <v>29.6399622953573</v>
      </c>
      <c r="N109" s="41" t="n">
        <f aca="false">SUM(B109:M109)</f>
        <v>370.499528691967</v>
      </c>
      <c r="O109" s="41" t="n">
        <f aca="false">MAX(B109:M109)</f>
        <v>33.344957582277</v>
      </c>
      <c r="P109" s="45" t="n">
        <f aca="false">IF(parametros_carros!$B$7=0,0,(O109+parametros_carros!$G$52)/parametros_carros!$B$7)</f>
        <v>0.24229971721518</v>
      </c>
      <c r="Q109" s="29" t="str">
        <f aca="false">IF(O109=0,"-",INDEX($B$101:$M$101,MATCH(O109,B109:M109,0)))</f>
        <v>Mar</v>
      </c>
    </row>
    <row r="110" customFormat="false" ht="14.25" hidden="false" customHeight="true" outlineLevel="0" collapsed="false">
      <c r="A110" s="12" t="str">
        <f aca="false">parametros_carros!$B$27</f>
        <v>Soldadura de accesorios</v>
      </c>
      <c r="B110" s="41" t="n">
        <f aca="false">(parametros_carros!$D$27*('Plan mensual'!D57+IF(parametros_carros!$H$27="Todos",'Plan mensual'!D61,0))+parametros_carros!$E$27*('Plan mensual'!D58+IF(parametros_carros!$H$27="Todos",'Plan mensual'!D62,0))+parametros_carros!$F$27*('Plan mensual'!D59+IF(parametros_carros!$H$27="Todos",'Plan mensual'!D63,0))+parametros_carros!$G$27*('Plan mensual'!D60+IF(parametros_carros!$H$27="Todos",'Plan mensual'!D64,0)))/60</f>
        <v>32.0884932261078</v>
      </c>
      <c r="C110" s="41" t="n">
        <f aca="false">(parametros_carros!$D$27*('Plan mensual'!E57+IF(parametros_carros!$H$27="Todos",'Plan mensual'!E61,0))+parametros_carros!$E$27*('Plan mensual'!E58+IF(parametros_carros!$H$27="Todos",'Plan mensual'!E62,0))+parametros_carros!$F$27*('Plan mensual'!E59+IF(parametros_carros!$H$27="Todos",'Plan mensual'!E63,0))+parametros_carros!$G$27*('Plan mensual'!E60+IF(parametros_carros!$H$27="Todos",'Plan mensual'!E64,0)))/60</f>
        <v>28.3133763759775</v>
      </c>
      <c r="D110" s="41" t="n">
        <f aca="false">(parametros_carros!$D$27*('Plan mensual'!F57+IF(parametros_carros!$H$27="Todos",'Plan mensual'!F61,0))+parametros_carros!$E$27*('Plan mensual'!F58+IF(parametros_carros!$H$27="Todos",'Plan mensual'!F62,0))+parametros_carros!$F$27*('Plan mensual'!F59+IF(parametros_carros!$H$27="Todos",'Plan mensual'!F63,0))+parametros_carros!$G$27*('Plan mensual'!F60+IF(parametros_carros!$H$27="Todos",'Plan mensual'!F64,0)))/60</f>
        <v>33.976051651173</v>
      </c>
      <c r="E110" s="41" t="n">
        <f aca="false">(parametros_carros!$D$27*('Plan mensual'!G57+IF(parametros_carros!$H$27="Todos",'Plan mensual'!G61,0))+parametros_carros!$E$27*('Plan mensual'!G58+IF(parametros_carros!$H$27="Todos",'Plan mensual'!G62,0))+parametros_carros!$F$27*('Plan mensual'!G59+IF(parametros_carros!$H$27="Todos",'Plan mensual'!G63,0))+parametros_carros!$G$27*('Plan mensual'!G60+IF(parametros_carros!$H$27="Todos",'Plan mensual'!G64,0)))/60</f>
        <v>33.976051651173</v>
      </c>
      <c r="F110" s="41" t="n">
        <f aca="false">(parametros_carros!$D$27*('Plan mensual'!H57+IF(parametros_carros!$H$27="Todos",'Plan mensual'!H61,0))+parametros_carros!$E$27*('Plan mensual'!H58+IF(parametros_carros!$H$27="Todos",'Plan mensual'!H62,0))+parametros_carros!$F$27*('Plan mensual'!H59+IF(parametros_carros!$H$27="Todos",'Plan mensual'!H63,0))+parametros_carros!$G$27*('Plan mensual'!H60+IF(parametros_carros!$H$27="Todos",'Plan mensual'!H64,0)))/60</f>
        <v>33.976051651173</v>
      </c>
      <c r="G110" s="41" t="n">
        <f aca="false">(parametros_carros!$D$27*('Plan mensual'!I57+IF(parametros_carros!$H$27="Todos",'Plan mensual'!I61,0))+parametros_carros!$E$27*('Plan mensual'!I58+IF(parametros_carros!$H$27="Todos",'Plan mensual'!I62,0))+parametros_carros!$F$27*('Plan mensual'!I59+IF(parametros_carros!$H$27="Todos",'Plan mensual'!I63,0))+parametros_carros!$G$27*('Plan mensual'!I60+IF(parametros_carros!$H$27="Todos",'Plan mensual'!I64,0)))/60</f>
        <v>30.2009348010427</v>
      </c>
      <c r="H110" s="41" t="n">
        <f aca="false">(parametros_carros!$D$27*('Plan mensual'!J57+IF(parametros_carros!$H$27="Todos",'Plan mensual'!J61,0))+parametros_carros!$E$27*('Plan mensual'!J58+IF(parametros_carros!$H$27="Todos",'Plan mensual'!J62,0))+parametros_carros!$F$27*('Plan mensual'!J59+IF(parametros_carros!$H$27="Todos",'Plan mensual'!J63,0))+parametros_carros!$G$27*('Plan mensual'!J60+IF(parametros_carros!$H$27="Todos",'Plan mensual'!J64,0)))/60</f>
        <v>33.976051651173</v>
      </c>
      <c r="I110" s="41" t="n">
        <f aca="false">(parametros_carros!$D$27*('Plan mensual'!K57+IF(parametros_carros!$H$27="Todos",'Plan mensual'!K61,0))+parametros_carros!$E$27*('Plan mensual'!K58+IF(parametros_carros!$H$27="Todos",'Plan mensual'!K62,0))+parametros_carros!$F$27*('Plan mensual'!K59+IF(parametros_carros!$H$27="Todos",'Plan mensual'!K63,0))+parametros_carros!$G$27*('Plan mensual'!K60+IF(parametros_carros!$H$27="Todos",'Plan mensual'!K64,0)))/60</f>
        <v>33.976051651173</v>
      </c>
      <c r="J110" s="41" t="n">
        <f aca="false">(parametros_carros!$D$27*('Plan mensual'!L57+IF(parametros_carros!$H$27="Todos",'Plan mensual'!L61,0))+parametros_carros!$E$27*('Plan mensual'!L58+IF(parametros_carros!$H$27="Todos",'Plan mensual'!L62,0))+parametros_carros!$F$27*('Plan mensual'!L59+IF(parametros_carros!$H$27="Todos",'Plan mensual'!L63,0))+parametros_carros!$G$27*('Plan mensual'!L60+IF(parametros_carros!$H$27="Todos",'Plan mensual'!L64,0)))/60</f>
        <v>32.0884932261078</v>
      </c>
      <c r="K110" s="41" t="n">
        <f aca="false">(parametros_carros!$D$27*('Plan mensual'!M57+IF(parametros_carros!$H$27="Todos",'Plan mensual'!M61,0))+parametros_carros!$E$27*('Plan mensual'!M58+IF(parametros_carros!$H$27="Todos",'Plan mensual'!M62,0))+parametros_carros!$F$27*('Plan mensual'!M59+IF(parametros_carros!$H$27="Todos",'Plan mensual'!M63,0))+parametros_carros!$G$27*('Plan mensual'!M60+IF(parametros_carros!$H$27="Todos",'Plan mensual'!M64,0)))/60</f>
        <v>28.3133763759775</v>
      </c>
      <c r="L110" s="41" t="n">
        <f aca="false">(parametros_carros!$D$27*('Plan mensual'!N57+IF(parametros_carros!$H$27="Todos",'Plan mensual'!N61,0))+parametros_carros!$E$27*('Plan mensual'!N58+IF(parametros_carros!$H$27="Todos",'Plan mensual'!N62,0))+parametros_carros!$F$27*('Plan mensual'!N59+IF(parametros_carros!$H$27="Todos",'Plan mensual'!N63,0))+parametros_carros!$G$27*('Plan mensual'!N60+IF(parametros_carros!$H$27="Todos",'Plan mensual'!N64,0)))/60</f>
        <v>26.4258179509123</v>
      </c>
      <c r="M110" s="41" t="n">
        <f aca="false">(parametros_carros!$D$27*('Plan mensual'!O57+IF(parametros_carros!$H$27="Todos",'Plan mensual'!O61,0))+parametros_carros!$E$27*('Plan mensual'!O58+IF(parametros_carros!$H$27="Todos",'Plan mensual'!O62,0))+parametros_carros!$F$27*('Plan mensual'!O59+IF(parametros_carros!$H$27="Todos",'Plan mensual'!O63,0))+parametros_carros!$G$27*('Plan mensual'!O60+IF(parametros_carros!$H$27="Todos",'Plan mensual'!O64,0)))/60</f>
        <v>30.2009348010427</v>
      </c>
      <c r="N110" s="41" t="n">
        <f aca="false">SUM(B110:M110)</f>
        <v>377.511685013033</v>
      </c>
      <c r="O110" s="41" t="n">
        <f aca="false">MAX(B110:M110)</f>
        <v>33.976051651173</v>
      </c>
      <c r="P110" s="45" t="n">
        <f aca="false">IF(parametros_carros!$B$7=0,0,(O110+parametros_carros!$G$53)/parametros_carros!$B$7)</f>
        <v>0.24650701100782</v>
      </c>
      <c r="Q110" s="29" t="str">
        <f aca="false">IF(O110=0,"-",INDEX($B$101:$M$101,MATCH(O110,B110:M110,0)))</f>
        <v>Mar</v>
      </c>
    </row>
    <row r="111" customFormat="false" ht="14.25" hidden="false" customHeight="true" outlineLevel="0" collapsed="false">
      <c r="A111" s="12" t="str">
        <f aca="false">parametros_carros!$B$28</f>
        <v>Fabricación de accesorios</v>
      </c>
      <c r="B111" s="41" t="n">
        <f aca="false">(parametros_carros!$D$28*('Plan mensual'!D57+IF(parametros_carros!$H$28="Todos",'Plan mensual'!D61,0))+parametros_carros!$E$28*('Plan mensual'!D58+IF(parametros_carros!$H$28="Todos",'Plan mensual'!D62,0))+parametros_carros!$F$28*('Plan mensual'!D59+IF(parametros_carros!$H$28="Todos",'Plan mensual'!D63,0))+parametros_carros!$G$28*('Plan mensual'!D60+IF(parametros_carros!$H$28="Todos",'Plan mensual'!D64,0)))/60</f>
        <v>21.8026094227242</v>
      </c>
      <c r="C111" s="41" t="n">
        <f aca="false">(parametros_carros!$D$28*('Plan mensual'!E57+IF(parametros_carros!$H$28="Todos",'Plan mensual'!E61,0))+parametros_carros!$E$28*('Plan mensual'!E58+IF(parametros_carros!$H$28="Todos",'Plan mensual'!E62,0))+parametros_carros!$F$28*('Plan mensual'!E59+IF(parametros_carros!$H$28="Todos",'Plan mensual'!E63,0))+parametros_carros!$G$28*('Plan mensual'!E60+IF(parametros_carros!$H$28="Todos",'Plan mensual'!E64,0)))/60</f>
        <v>19.2375965494625</v>
      </c>
      <c r="D111" s="41" t="n">
        <f aca="false">(parametros_carros!$D$28*('Plan mensual'!F57+IF(parametros_carros!$H$28="Todos",'Plan mensual'!F61,0))+parametros_carros!$E$28*('Plan mensual'!F58+IF(parametros_carros!$H$28="Todos",'Plan mensual'!F62,0))+parametros_carros!$F$28*('Plan mensual'!F59+IF(parametros_carros!$H$28="Todos",'Plan mensual'!F63,0))+parametros_carros!$G$28*('Plan mensual'!F60+IF(parametros_carros!$H$28="Todos",'Plan mensual'!F64,0)))/60</f>
        <v>23.085115859355</v>
      </c>
      <c r="E111" s="41" t="n">
        <f aca="false">(parametros_carros!$D$28*('Plan mensual'!G57+IF(parametros_carros!$H$28="Todos",'Plan mensual'!G61,0))+parametros_carros!$E$28*('Plan mensual'!G58+IF(parametros_carros!$H$28="Todos",'Plan mensual'!G62,0))+parametros_carros!$F$28*('Plan mensual'!G59+IF(parametros_carros!$H$28="Todos",'Plan mensual'!G63,0))+parametros_carros!$G$28*('Plan mensual'!G60+IF(parametros_carros!$H$28="Todos",'Plan mensual'!G64,0)))/60</f>
        <v>23.085115859355</v>
      </c>
      <c r="F111" s="41" t="n">
        <f aca="false">(parametros_carros!$D$28*('Plan mensual'!H57+IF(parametros_carros!$H$28="Todos",'Plan mensual'!H61,0))+parametros_carros!$E$28*('Plan mensual'!H58+IF(parametros_carros!$H$28="Todos",'Plan mensual'!H62,0))+parametros_carros!$F$28*('Plan mensual'!H59+IF(parametros_carros!$H$28="Todos",'Plan mensual'!H63,0))+parametros_carros!$G$28*('Plan mensual'!H60+IF(parametros_carros!$H$28="Todos",'Plan mensual'!H64,0)))/60</f>
        <v>23.085115859355</v>
      </c>
      <c r="G111" s="41" t="n">
        <f aca="false">(parametros_carros!$D$28*('Plan mensual'!I57+IF(parametros_carros!$H$28="Todos",'Plan mensual'!I61,0))+parametros_carros!$E$28*('Plan mensual'!I58+IF(parametros_carros!$H$28="Todos",'Plan mensual'!I62,0))+parametros_carros!$F$28*('Plan mensual'!I59+IF(parametros_carros!$H$28="Todos",'Plan mensual'!I63,0))+parametros_carros!$G$28*('Plan mensual'!I60+IF(parametros_carros!$H$28="Todos",'Plan mensual'!I64,0)))/60</f>
        <v>20.5201029860933</v>
      </c>
      <c r="H111" s="41" t="n">
        <f aca="false">(parametros_carros!$D$28*('Plan mensual'!J57+IF(parametros_carros!$H$28="Todos",'Plan mensual'!J61,0))+parametros_carros!$E$28*('Plan mensual'!J58+IF(parametros_carros!$H$28="Todos",'Plan mensual'!J62,0))+parametros_carros!$F$28*('Plan mensual'!J59+IF(parametros_carros!$H$28="Todos",'Plan mensual'!J63,0))+parametros_carros!$G$28*('Plan mensual'!J60+IF(parametros_carros!$H$28="Todos",'Plan mensual'!J64,0)))/60</f>
        <v>23.085115859355</v>
      </c>
      <c r="I111" s="41" t="n">
        <f aca="false">(parametros_carros!$D$28*('Plan mensual'!K57+IF(parametros_carros!$H$28="Todos",'Plan mensual'!K61,0))+parametros_carros!$E$28*('Plan mensual'!K58+IF(parametros_carros!$H$28="Todos",'Plan mensual'!K62,0))+parametros_carros!$F$28*('Plan mensual'!K59+IF(parametros_carros!$H$28="Todos",'Plan mensual'!K63,0))+parametros_carros!$G$28*('Plan mensual'!K60+IF(parametros_carros!$H$28="Todos",'Plan mensual'!K64,0)))/60</f>
        <v>23.085115859355</v>
      </c>
      <c r="J111" s="41" t="n">
        <f aca="false">(parametros_carros!$D$28*('Plan mensual'!L57+IF(parametros_carros!$H$28="Todos",'Plan mensual'!L61,0))+parametros_carros!$E$28*('Plan mensual'!L58+IF(parametros_carros!$H$28="Todos",'Plan mensual'!L62,0))+parametros_carros!$F$28*('Plan mensual'!L59+IF(parametros_carros!$H$28="Todos",'Plan mensual'!L63,0))+parametros_carros!$G$28*('Plan mensual'!L60+IF(parametros_carros!$H$28="Todos",'Plan mensual'!L64,0)))/60</f>
        <v>21.8026094227242</v>
      </c>
      <c r="K111" s="41" t="n">
        <f aca="false">(parametros_carros!$D$28*('Plan mensual'!M57+IF(parametros_carros!$H$28="Todos",'Plan mensual'!M61,0))+parametros_carros!$E$28*('Plan mensual'!M58+IF(parametros_carros!$H$28="Todos",'Plan mensual'!M62,0))+parametros_carros!$F$28*('Plan mensual'!M59+IF(parametros_carros!$H$28="Todos",'Plan mensual'!M63,0))+parametros_carros!$G$28*('Plan mensual'!M60+IF(parametros_carros!$H$28="Todos",'Plan mensual'!M64,0)))/60</f>
        <v>19.2375965494625</v>
      </c>
      <c r="L111" s="41" t="n">
        <f aca="false">(parametros_carros!$D$28*('Plan mensual'!N57+IF(parametros_carros!$H$28="Todos",'Plan mensual'!N61,0))+parametros_carros!$E$28*('Plan mensual'!N58+IF(parametros_carros!$H$28="Todos",'Plan mensual'!N62,0))+parametros_carros!$F$28*('Plan mensual'!N59+IF(parametros_carros!$H$28="Todos",'Plan mensual'!N63,0))+parametros_carros!$G$28*('Plan mensual'!N60+IF(parametros_carros!$H$28="Todos",'Plan mensual'!N64,0)))/60</f>
        <v>17.9550901128317</v>
      </c>
      <c r="M111" s="41" t="n">
        <f aca="false">(parametros_carros!$D$28*('Plan mensual'!O57+IF(parametros_carros!$H$28="Todos",'Plan mensual'!O61,0))+parametros_carros!$E$28*('Plan mensual'!O58+IF(parametros_carros!$H$28="Todos",'Plan mensual'!O62,0))+parametros_carros!$F$28*('Plan mensual'!O59+IF(parametros_carros!$H$28="Todos",'Plan mensual'!O63,0))+parametros_carros!$G$28*('Plan mensual'!O60+IF(parametros_carros!$H$28="Todos",'Plan mensual'!O64,0)))/60</f>
        <v>20.5201029860933</v>
      </c>
      <c r="N111" s="41" t="n">
        <f aca="false">SUM(B111:M111)</f>
        <v>256.501287326167</v>
      </c>
      <c r="O111" s="41" t="n">
        <f aca="false">MAX(B111:M111)</f>
        <v>23.085115859355</v>
      </c>
      <c r="P111" s="45" t="n">
        <f aca="false">IF(parametros_carros!$B$7=0,0,(O111+parametros_carros!$G$54)/parametros_carros!$B$7)</f>
        <v>0.187234105729033</v>
      </c>
      <c r="Q111" s="29" t="str">
        <f aca="false">IF(O111=0,"-",INDEX($B$101:$M$101,MATCH(O111,B111:M111,0)))</f>
        <v>Mar</v>
      </c>
    </row>
    <row r="112" customFormat="false" ht="14.25" hidden="false" customHeight="true" outlineLevel="0" collapsed="false">
      <c r="A112" s="12" t="str">
        <f aca="false">parametros_carros!$B$29</f>
        <v>Prueba hidráulica</v>
      </c>
      <c r="B112" s="41" t="n">
        <f aca="false">(parametros_carros!$D$29*('Plan mensual'!D57+IF(parametros_carros!$H$29="Todos",'Plan mensual'!D61,0))+parametros_carros!$E$29*('Plan mensual'!D58+IF(parametros_carros!$H$29="Todos",'Plan mensual'!D62,0))+parametros_carros!$F$29*('Plan mensual'!D59+IF(parametros_carros!$H$29="Todos",'Plan mensual'!D63,0))+parametros_carros!$G$29*('Plan mensual'!D60+IF(parametros_carros!$H$29="Todos",'Plan mensual'!D64,0)))/60</f>
        <v>17.7990841772377</v>
      </c>
      <c r="C112" s="41" t="n">
        <f aca="false">(parametros_carros!$D$29*('Plan mensual'!E57+IF(parametros_carros!$H$29="Todos",'Plan mensual'!E61,0))+parametros_carros!$E$29*('Plan mensual'!E58+IF(parametros_carros!$H$29="Todos",'Plan mensual'!E62,0))+parametros_carros!$F$29*('Plan mensual'!E59+IF(parametros_carros!$H$29="Todos",'Plan mensual'!E63,0))+parametros_carros!$G$29*('Plan mensual'!E60+IF(parametros_carros!$H$29="Todos",'Plan mensual'!E64,0)))/60</f>
        <v>15.7050742740333</v>
      </c>
      <c r="D112" s="41" t="n">
        <f aca="false">(parametros_carros!$D$29*('Plan mensual'!F57+IF(parametros_carros!$H$29="Todos",'Plan mensual'!F61,0))+parametros_carros!$E$29*('Plan mensual'!F58+IF(parametros_carros!$H$29="Todos",'Plan mensual'!F62,0))+parametros_carros!$F$29*('Plan mensual'!F59+IF(parametros_carros!$H$29="Todos",'Plan mensual'!F63,0))+parametros_carros!$G$29*('Plan mensual'!F60+IF(parametros_carros!$H$29="Todos",'Plan mensual'!F64,0)))/60</f>
        <v>18.8460891288399</v>
      </c>
      <c r="E112" s="41" t="n">
        <f aca="false">(parametros_carros!$D$29*('Plan mensual'!G57+IF(parametros_carros!$H$29="Todos",'Plan mensual'!G61,0))+parametros_carros!$E$29*('Plan mensual'!G58+IF(parametros_carros!$H$29="Todos",'Plan mensual'!G62,0))+parametros_carros!$F$29*('Plan mensual'!G59+IF(parametros_carros!$H$29="Todos",'Plan mensual'!G63,0))+parametros_carros!$G$29*('Plan mensual'!G60+IF(parametros_carros!$H$29="Todos",'Plan mensual'!G64,0)))/60</f>
        <v>18.8460891288399</v>
      </c>
      <c r="F112" s="41" t="n">
        <f aca="false">(parametros_carros!$D$29*('Plan mensual'!H57+IF(parametros_carros!$H$29="Todos",'Plan mensual'!H61,0))+parametros_carros!$E$29*('Plan mensual'!H58+IF(parametros_carros!$H$29="Todos",'Plan mensual'!H62,0))+parametros_carros!$F$29*('Plan mensual'!H59+IF(parametros_carros!$H$29="Todos",'Plan mensual'!H63,0))+parametros_carros!$G$29*('Plan mensual'!H60+IF(parametros_carros!$H$29="Todos",'Plan mensual'!H64,0)))/60</f>
        <v>18.8460891288399</v>
      </c>
      <c r="G112" s="41" t="n">
        <f aca="false">(parametros_carros!$D$29*('Plan mensual'!I57+IF(parametros_carros!$H$29="Todos",'Plan mensual'!I61,0))+parametros_carros!$E$29*('Plan mensual'!I58+IF(parametros_carros!$H$29="Todos",'Plan mensual'!I62,0))+parametros_carros!$F$29*('Plan mensual'!I59+IF(parametros_carros!$H$29="Todos",'Plan mensual'!I63,0))+parametros_carros!$G$29*('Plan mensual'!I60+IF(parametros_carros!$H$29="Todos",'Plan mensual'!I64,0)))/60</f>
        <v>16.7520792256355</v>
      </c>
      <c r="H112" s="41" t="n">
        <f aca="false">(parametros_carros!$D$29*('Plan mensual'!J57+IF(parametros_carros!$H$29="Todos",'Plan mensual'!J61,0))+parametros_carros!$E$29*('Plan mensual'!J58+IF(parametros_carros!$H$29="Todos",'Plan mensual'!J62,0))+parametros_carros!$F$29*('Plan mensual'!J59+IF(parametros_carros!$H$29="Todos",'Plan mensual'!J63,0))+parametros_carros!$G$29*('Plan mensual'!J60+IF(parametros_carros!$H$29="Todos",'Plan mensual'!J64,0)))/60</f>
        <v>18.8460891288399</v>
      </c>
      <c r="I112" s="41" t="n">
        <f aca="false">(parametros_carros!$D$29*('Plan mensual'!K57+IF(parametros_carros!$H$29="Todos",'Plan mensual'!K61,0))+parametros_carros!$E$29*('Plan mensual'!K58+IF(parametros_carros!$H$29="Todos",'Plan mensual'!K62,0))+parametros_carros!$F$29*('Plan mensual'!K59+IF(parametros_carros!$H$29="Todos",'Plan mensual'!K63,0))+parametros_carros!$G$29*('Plan mensual'!K60+IF(parametros_carros!$H$29="Todos",'Plan mensual'!K64,0)))/60</f>
        <v>18.8460891288399</v>
      </c>
      <c r="J112" s="41" t="n">
        <f aca="false">(parametros_carros!$D$29*('Plan mensual'!L57+IF(parametros_carros!$H$29="Todos",'Plan mensual'!L61,0))+parametros_carros!$E$29*('Plan mensual'!L58+IF(parametros_carros!$H$29="Todos",'Plan mensual'!L62,0))+parametros_carros!$F$29*('Plan mensual'!L59+IF(parametros_carros!$H$29="Todos",'Plan mensual'!L63,0))+parametros_carros!$G$29*('Plan mensual'!L60+IF(parametros_carros!$H$29="Todos",'Plan mensual'!L64,0)))/60</f>
        <v>17.7990841772377</v>
      </c>
      <c r="K112" s="41" t="n">
        <f aca="false">(parametros_carros!$D$29*('Plan mensual'!M57+IF(parametros_carros!$H$29="Todos",'Plan mensual'!M61,0))+parametros_carros!$E$29*('Plan mensual'!M58+IF(parametros_carros!$H$29="Todos",'Plan mensual'!M62,0))+parametros_carros!$F$29*('Plan mensual'!M59+IF(parametros_carros!$H$29="Todos",'Plan mensual'!M63,0))+parametros_carros!$G$29*('Plan mensual'!M60+IF(parametros_carros!$H$29="Todos",'Plan mensual'!M64,0)))/60</f>
        <v>15.7050742740333</v>
      </c>
      <c r="L112" s="41" t="n">
        <f aca="false">(parametros_carros!$D$29*('Plan mensual'!N57+IF(parametros_carros!$H$29="Todos",'Plan mensual'!N61,0))+parametros_carros!$E$29*('Plan mensual'!N58+IF(parametros_carros!$H$29="Todos",'Plan mensual'!N62,0))+parametros_carros!$F$29*('Plan mensual'!N59+IF(parametros_carros!$H$29="Todos",'Plan mensual'!N63,0))+parametros_carros!$G$29*('Plan mensual'!N60+IF(parametros_carros!$H$29="Todos",'Plan mensual'!N64,0)))/60</f>
        <v>14.658069322431</v>
      </c>
      <c r="M112" s="41" t="n">
        <f aca="false">(parametros_carros!$D$29*('Plan mensual'!O57+IF(parametros_carros!$H$29="Todos",'Plan mensual'!O61,0))+parametros_carros!$E$29*('Plan mensual'!O58+IF(parametros_carros!$H$29="Todos",'Plan mensual'!O62,0))+parametros_carros!$F$29*('Plan mensual'!O59+IF(parametros_carros!$H$29="Todos",'Plan mensual'!O63,0))+parametros_carros!$G$29*('Plan mensual'!O60+IF(parametros_carros!$H$29="Todos",'Plan mensual'!O64,0)))/60</f>
        <v>16.7520792256355</v>
      </c>
      <c r="N112" s="41" t="n">
        <f aca="false">SUM(B112:M112)</f>
        <v>209.400990320443</v>
      </c>
      <c r="O112" s="41" t="n">
        <f aca="false">MAX(B112:M112)</f>
        <v>18.8460891288399</v>
      </c>
      <c r="P112" s="45" t="n">
        <f aca="false">IF(parametros_carros!$B$7=0,0,(O112+parametros_carros!$G$55)/parametros_carros!$B$7)</f>
        <v>0.147862816414488</v>
      </c>
      <c r="Q112" s="29" t="str">
        <f aca="false">IF(O112=0,"-",INDEX($B$101:$M$101,MATCH(O112,B112:M112,0)))</f>
        <v>Mar</v>
      </c>
    </row>
    <row r="113" customFormat="false" ht="14.25" hidden="false" customHeight="true" outlineLevel="0" collapsed="false">
      <c r="A113" s="12" t="str">
        <f aca="false">parametros_carros!$B$30</f>
        <v>Secado</v>
      </c>
      <c r="B113" s="41" t="n">
        <f aca="false">(parametros_carros!$D$30*('Plan mensual'!D57+IF(parametros_carros!$H$30="Todos",'Plan mensual'!D61,0))+parametros_carros!$E$30*('Plan mensual'!D58+IF(parametros_carros!$H$30="Todos",'Plan mensual'!D62,0))+parametros_carros!$F$30*('Plan mensual'!D59+IF(parametros_carros!$H$30="Todos",'Plan mensual'!D63,0))+parametros_carros!$G$30*('Plan mensual'!D60+IF(parametros_carros!$H$30="Todos",'Plan mensual'!D64,0)))/60</f>
        <v>19.938625078155</v>
      </c>
      <c r="C113" s="41" t="n">
        <f aca="false">(parametros_carros!$D$30*('Plan mensual'!E57+IF(parametros_carros!$H$30="Todos",'Plan mensual'!E61,0))+parametros_carros!$E$30*('Plan mensual'!E58+IF(parametros_carros!$H$30="Todos",'Plan mensual'!E62,0))+parametros_carros!$F$30*('Plan mensual'!E59+IF(parametros_carros!$H$30="Todos",'Plan mensual'!E63,0))+parametros_carros!$G$30*('Plan mensual'!E60+IF(parametros_carros!$H$30="Todos",'Plan mensual'!E64,0)))/60</f>
        <v>17.592904480725</v>
      </c>
      <c r="D113" s="41" t="n">
        <f aca="false">(parametros_carros!$D$30*('Plan mensual'!F57+IF(parametros_carros!$H$30="Todos",'Plan mensual'!F61,0))+parametros_carros!$E$30*('Plan mensual'!F58+IF(parametros_carros!$H$30="Todos",'Plan mensual'!F62,0))+parametros_carros!$F$30*('Plan mensual'!F59+IF(parametros_carros!$H$30="Todos",'Plan mensual'!F63,0))+parametros_carros!$G$30*('Plan mensual'!F60+IF(parametros_carros!$H$30="Todos",'Plan mensual'!F64,0)))/60</f>
        <v>21.11148537687</v>
      </c>
      <c r="E113" s="41" t="n">
        <f aca="false">(parametros_carros!$D$30*('Plan mensual'!G57+IF(parametros_carros!$H$30="Todos",'Plan mensual'!G61,0))+parametros_carros!$E$30*('Plan mensual'!G58+IF(parametros_carros!$H$30="Todos",'Plan mensual'!G62,0))+parametros_carros!$F$30*('Plan mensual'!G59+IF(parametros_carros!$H$30="Todos",'Plan mensual'!G63,0))+parametros_carros!$G$30*('Plan mensual'!G60+IF(parametros_carros!$H$30="Todos",'Plan mensual'!G64,0)))/60</f>
        <v>21.11148537687</v>
      </c>
      <c r="F113" s="41" t="n">
        <f aca="false">(parametros_carros!$D$30*('Plan mensual'!H57+IF(parametros_carros!$H$30="Todos",'Plan mensual'!H61,0))+parametros_carros!$E$30*('Plan mensual'!H58+IF(parametros_carros!$H$30="Todos",'Plan mensual'!H62,0))+parametros_carros!$F$30*('Plan mensual'!H59+IF(parametros_carros!$H$30="Todos",'Plan mensual'!H63,0))+parametros_carros!$G$30*('Plan mensual'!H60+IF(parametros_carros!$H$30="Todos",'Plan mensual'!H64,0)))/60</f>
        <v>21.11148537687</v>
      </c>
      <c r="G113" s="41" t="n">
        <f aca="false">(parametros_carros!$D$30*('Plan mensual'!I57+IF(parametros_carros!$H$30="Todos",'Plan mensual'!I61,0))+parametros_carros!$E$30*('Plan mensual'!I58+IF(parametros_carros!$H$30="Todos",'Plan mensual'!I62,0))+parametros_carros!$F$30*('Plan mensual'!I59+IF(parametros_carros!$H$30="Todos",'Plan mensual'!I63,0))+parametros_carros!$G$30*('Plan mensual'!I60+IF(parametros_carros!$H$30="Todos",'Plan mensual'!I64,0)))/60</f>
        <v>18.76576477944</v>
      </c>
      <c r="H113" s="41" t="n">
        <f aca="false">(parametros_carros!$D$30*('Plan mensual'!J57+IF(parametros_carros!$H$30="Todos",'Plan mensual'!J61,0))+parametros_carros!$E$30*('Plan mensual'!J58+IF(parametros_carros!$H$30="Todos",'Plan mensual'!J62,0))+parametros_carros!$F$30*('Plan mensual'!J59+IF(parametros_carros!$H$30="Todos",'Plan mensual'!J63,0))+parametros_carros!$G$30*('Plan mensual'!J60+IF(parametros_carros!$H$30="Todos",'Plan mensual'!J64,0)))/60</f>
        <v>21.11148537687</v>
      </c>
      <c r="I113" s="41" t="n">
        <f aca="false">(parametros_carros!$D$30*('Plan mensual'!K57+IF(parametros_carros!$H$30="Todos",'Plan mensual'!K61,0))+parametros_carros!$E$30*('Plan mensual'!K58+IF(parametros_carros!$H$30="Todos",'Plan mensual'!K62,0))+parametros_carros!$F$30*('Plan mensual'!K59+IF(parametros_carros!$H$30="Todos",'Plan mensual'!K63,0))+parametros_carros!$G$30*('Plan mensual'!K60+IF(parametros_carros!$H$30="Todos",'Plan mensual'!K64,0)))/60</f>
        <v>21.11148537687</v>
      </c>
      <c r="J113" s="41" t="n">
        <f aca="false">(parametros_carros!$D$30*('Plan mensual'!L57+IF(parametros_carros!$H$30="Todos",'Plan mensual'!L61,0))+parametros_carros!$E$30*('Plan mensual'!L58+IF(parametros_carros!$H$30="Todos",'Plan mensual'!L62,0))+parametros_carros!$F$30*('Plan mensual'!L59+IF(parametros_carros!$H$30="Todos",'Plan mensual'!L63,0))+parametros_carros!$G$30*('Plan mensual'!L60+IF(parametros_carros!$H$30="Todos",'Plan mensual'!L64,0)))/60</f>
        <v>19.938625078155</v>
      </c>
      <c r="K113" s="41" t="n">
        <f aca="false">(parametros_carros!$D$30*('Plan mensual'!M57+IF(parametros_carros!$H$30="Todos",'Plan mensual'!M61,0))+parametros_carros!$E$30*('Plan mensual'!M58+IF(parametros_carros!$H$30="Todos",'Plan mensual'!M62,0))+parametros_carros!$F$30*('Plan mensual'!M59+IF(parametros_carros!$H$30="Todos",'Plan mensual'!M63,0))+parametros_carros!$G$30*('Plan mensual'!M60+IF(parametros_carros!$H$30="Todos",'Plan mensual'!M64,0)))/60</f>
        <v>17.592904480725</v>
      </c>
      <c r="L113" s="41" t="n">
        <f aca="false">(parametros_carros!$D$30*('Plan mensual'!N57+IF(parametros_carros!$H$30="Todos",'Plan mensual'!N61,0))+parametros_carros!$E$30*('Plan mensual'!N58+IF(parametros_carros!$H$30="Todos",'Plan mensual'!N62,0))+parametros_carros!$F$30*('Plan mensual'!N59+IF(parametros_carros!$H$30="Todos",'Plan mensual'!N63,0))+parametros_carros!$G$30*('Plan mensual'!N60+IF(parametros_carros!$H$30="Todos",'Plan mensual'!N64,0)))/60</f>
        <v>16.42004418201</v>
      </c>
      <c r="M113" s="41" t="n">
        <f aca="false">(parametros_carros!$D$30*('Plan mensual'!O57+IF(parametros_carros!$H$30="Todos",'Plan mensual'!O61,0))+parametros_carros!$E$30*('Plan mensual'!O58+IF(parametros_carros!$H$30="Todos",'Plan mensual'!O62,0))+parametros_carros!$F$30*('Plan mensual'!O59+IF(parametros_carros!$H$30="Todos",'Plan mensual'!O63,0))+parametros_carros!$G$30*('Plan mensual'!O60+IF(parametros_carros!$H$30="Todos",'Plan mensual'!O64,0)))/60</f>
        <v>18.76576477944</v>
      </c>
      <c r="N113" s="41" t="n">
        <f aca="false">SUM(B113:M113)</f>
        <v>234.572059743</v>
      </c>
      <c r="O113" s="41" t="n">
        <f aca="false">MAX(B113:M113)</f>
        <v>21.11148537687</v>
      </c>
      <c r="P113" s="45" t="n">
        <f aca="false">IF(parametros_carros!$B$7=0,0,(O113+parametros_carros!$G$56)/parametros_carros!$B$7)</f>
        <v>0.1407432358458</v>
      </c>
      <c r="Q113" s="29" t="str">
        <f aca="false">IF(O113=0,"-",INDEX($B$101:$M$101,MATCH(O113,B113:M113,0)))</f>
        <v>Mar</v>
      </c>
    </row>
    <row r="114" customFormat="false" ht="14.25" hidden="false" customHeight="true" outlineLevel="0" collapsed="false">
      <c r="A114" s="12" t="str">
        <f aca="false">parametros_carros!$B$31</f>
        <v>Pulmón de despacho y carga a pintura</v>
      </c>
      <c r="B114" s="41" t="n">
        <f aca="false">(parametros_carros!$D$31*('Plan mensual'!D57+IF(parametros_carros!$H$31="Todos",'Plan mensual'!D61,0))+parametros_carros!$E$31*('Plan mensual'!D58+IF(parametros_carros!$H$31="Todos",'Plan mensual'!D62,0))+parametros_carros!$F$31*('Plan mensual'!D59+IF(parametros_carros!$H$31="Todos",'Plan mensual'!D63,0))+parametros_carros!$G$31*('Plan mensual'!D60+IF(parametros_carros!$H$31="Todos",'Plan mensual'!D64,0)))/60</f>
        <v>3.17082964330108</v>
      </c>
      <c r="C114" s="41" t="n">
        <f aca="false">(parametros_carros!$D$31*('Plan mensual'!E57+IF(parametros_carros!$H$31="Todos",'Plan mensual'!E61,0))+parametros_carros!$E$31*('Plan mensual'!E58+IF(parametros_carros!$H$31="Todos",'Plan mensual'!E62,0))+parametros_carros!$F$31*('Plan mensual'!E59+IF(parametros_carros!$H$31="Todos",'Plan mensual'!E63,0))+parametros_carros!$G$31*('Plan mensual'!E60+IF(parametros_carros!$H$31="Todos",'Plan mensual'!E64,0)))/60</f>
        <v>2.79779086173625</v>
      </c>
      <c r="D114" s="41" t="n">
        <f aca="false">(parametros_carros!$D$31*('Plan mensual'!F57+IF(parametros_carros!$H$31="Todos",'Plan mensual'!F61,0))+parametros_carros!$E$31*('Plan mensual'!F58+IF(parametros_carros!$H$31="Todos",'Plan mensual'!F62,0))+parametros_carros!$F$31*('Plan mensual'!F59+IF(parametros_carros!$H$31="Todos",'Plan mensual'!F63,0))+parametros_carros!$G$31*('Plan mensual'!F60+IF(parametros_carros!$H$31="Todos",'Plan mensual'!F64,0)))/60</f>
        <v>3.3573490340835</v>
      </c>
      <c r="E114" s="41" t="n">
        <f aca="false">(parametros_carros!$D$31*('Plan mensual'!G57+IF(parametros_carros!$H$31="Todos",'Plan mensual'!G61,0))+parametros_carros!$E$31*('Plan mensual'!G58+IF(parametros_carros!$H$31="Todos",'Plan mensual'!G62,0))+parametros_carros!$F$31*('Plan mensual'!G59+IF(parametros_carros!$H$31="Todos",'Plan mensual'!G63,0))+parametros_carros!$G$31*('Plan mensual'!G60+IF(parametros_carros!$H$31="Todos",'Plan mensual'!G64,0)))/60</f>
        <v>3.3573490340835</v>
      </c>
      <c r="F114" s="41" t="n">
        <f aca="false">(parametros_carros!$D$31*('Plan mensual'!H57+IF(parametros_carros!$H$31="Todos",'Plan mensual'!H61,0))+parametros_carros!$E$31*('Plan mensual'!H58+IF(parametros_carros!$H$31="Todos",'Plan mensual'!H62,0))+parametros_carros!$F$31*('Plan mensual'!H59+IF(parametros_carros!$H$31="Todos",'Plan mensual'!H63,0))+parametros_carros!$G$31*('Plan mensual'!H60+IF(parametros_carros!$H$31="Todos",'Plan mensual'!H64,0)))/60</f>
        <v>3.3573490340835</v>
      </c>
      <c r="G114" s="41" t="n">
        <f aca="false">(parametros_carros!$D$31*('Plan mensual'!I57+IF(parametros_carros!$H$31="Todos",'Plan mensual'!I61,0))+parametros_carros!$E$31*('Plan mensual'!I58+IF(parametros_carros!$H$31="Todos",'Plan mensual'!I62,0))+parametros_carros!$F$31*('Plan mensual'!I59+IF(parametros_carros!$H$31="Todos",'Plan mensual'!I63,0))+parametros_carros!$G$31*('Plan mensual'!I60+IF(parametros_carros!$H$31="Todos",'Plan mensual'!I64,0)))/60</f>
        <v>2.98431025251867</v>
      </c>
      <c r="H114" s="41" t="n">
        <f aca="false">(parametros_carros!$D$31*('Plan mensual'!J57+IF(parametros_carros!$H$31="Todos",'Plan mensual'!J61,0))+parametros_carros!$E$31*('Plan mensual'!J58+IF(parametros_carros!$H$31="Todos",'Plan mensual'!J62,0))+parametros_carros!$F$31*('Plan mensual'!J59+IF(parametros_carros!$H$31="Todos",'Plan mensual'!J63,0))+parametros_carros!$G$31*('Plan mensual'!J60+IF(parametros_carros!$H$31="Todos",'Plan mensual'!J64,0)))/60</f>
        <v>3.3573490340835</v>
      </c>
      <c r="I114" s="41" t="n">
        <f aca="false">(parametros_carros!$D$31*('Plan mensual'!K57+IF(parametros_carros!$H$31="Todos",'Plan mensual'!K61,0))+parametros_carros!$E$31*('Plan mensual'!K58+IF(parametros_carros!$H$31="Todos",'Plan mensual'!K62,0))+parametros_carros!$F$31*('Plan mensual'!K59+IF(parametros_carros!$H$31="Todos",'Plan mensual'!K63,0))+parametros_carros!$G$31*('Plan mensual'!K60+IF(parametros_carros!$H$31="Todos",'Plan mensual'!K64,0)))/60</f>
        <v>3.3573490340835</v>
      </c>
      <c r="J114" s="41" t="n">
        <f aca="false">(parametros_carros!$D$31*('Plan mensual'!L57+IF(parametros_carros!$H$31="Todos",'Plan mensual'!L61,0))+parametros_carros!$E$31*('Plan mensual'!L58+IF(parametros_carros!$H$31="Todos",'Plan mensual'!L62,0))+parametros_carros!$F$31*('Plan mensual'!L59+IF(parametros_carros!$H$31="Todos",'Plan mensual'!L63,0))+parametros_carros!$G$31*('Plan mensual'!L60+IF(parametros_carros!$H$31="Todos",'Plan mensual'!L64,0)))/60</f>
        <v>3.17082964330108</v>
      </c>
      <c r="K114" s="41" t="n">
        <f aca="false">(parametros_carros!$D$31*('Plan mensual'!M57+IF(parametros_carros!$H$31="Todos",'Plan mensual'!M61,0))+parametros_carros!$E$31*('Plan mensual'!M58+IF(parametros_carros!$H$31="Todos",'Plan mensual'!M62,0))+parametros_carros!$F$31*('Plan mensual'!M59+IF(parametros_carros!$H$31="Todos",'Plan mensual'!M63,0))+parametros_carros!$G$31*('Plan mensual'!M60+IF(parametros_carros!$H$31="Todos",'Plan mensual'!M64,0)))/60</f>
        <v>2.79779086173625</v>
      </c>
      <c r="L114" s="41" t="n">
        <f aca="false">(parametros_carros!$D$31*('Plan mensual'!N57+IF(parametros_carros!$H$31="Todos",'Plan mensual'!N61,0))+parametros_carros!$E$31*('Plan mensual'!N58+IF(parametros_carros!$H$31="Todos",'Plan mensual'!N62,0))+parametros_carros!$F$31*('Plan mensual'!N59+IF(parametros_carros!$H$31="Todos",'Plan mensual'!N63,0))+parametros_carros!$G$31*('Plan mensual'!N60+IF(parametros_carros!$H$31="Todos",'Plan mensual'!N64,0)))/60</f>
        <v>2.61127147095383</v>
      </c>
      <c r="M114" s="41" t="n">
        <f aca="false">(parametros_carros!$D$31*('Plan mensual'!O57+IF(parametros_carros!$H$31="Todos",'Plan mensual'!O61,0))+parametros_carros!$E$31*('Plan mensual'!O58+IF(parametros_carros!$H$31="Todos",'Plan mensual'!O62,0))+parametros_carros!$F$31*('Plan mensual'!O59+IF(parametros_carros!$H$31="Todos",'Plan mensual'!O63,0))+parametros_carros!$G$31*('Plan mensual'!O60+IF(parametros_carros!$H$31="Todos",'Plan mensual'!O64,0)))/60</f>
        <v>2.98431025251867</v>
      </c>
      <c r="N114" s="41" t="n">
        <f aca="false">SUM(B114:M114)</f>
        <v>37.3038781564833</v>
      </c>
      <c r="O114" s="41" t="n">
        <f aca="false">MAX(B114:M114)</f>
        <v>3.3573490340835</v>
      </c>
      <c r="P114" s="45" t="n">
        <f aca="false">IF(parametros_carros!$B$7=0,0,(O114+parametros_carros!$G$57)/parametros_carros!$B$7)</f>
        <v>0.0312712157827789</v>
      </c>
      <c r="Q114" s="29" t="str">
        <f aca="false">IF(O114=0,"-",INDEX($B$101:$M$101,MATCH(O114,B114:M114,0)))</f>
        <v>Mar</v>
      </c>
    </row>
    <row r="115" customFormat="false" ht="14.25" hidden="false" customHeight="true" outlineLevel="0" collapsed="false">
      <c r="A115" s="12" t="str">
        <f aca="false">parametros_carros!$B$32</f>
        <v>Recepción de pintados y cambio de juego</v>
      </c>
      <c r="B115" s="41" t="n">
        <f aca="false">(parametros_carros!$D$32*('Plan mensual'!D57+IF(parametros_carros!$H$32="Todos",'Plan mensual'!D61,0))+parametros_carros!$E$32*('Plan mensual'!D58+IF(parametros_carros!$H$32="Todos",'Plan mensual'!D62,0))+parametros_carros!$F$32*('Plan mensual'!D59+IF(parametros_carros!$H$32="Todos",'Plan mensual'!D63,0))+parametros_carros!$G$32*('Plan mensual'!D60+IF(parametros_carros!$H$32="Todos",'Plan mensual'!D64,0)))/60</f>
        <v>6.20328260846096</v>
      </c>
      <c r="C115" s="41" t="n">
        <f aca="false">(parametros_carros!$D$32*('Plan mensual'!E57+IF(parametros_carros!$H$32="Todos",'Plan mensual'!E61,0))+parametros_carros!$E$32*('Plan mensual'!E58+IF(parametros_carros!$H$32="Todos",'Plan mensual'!E62,0))+parametros_carros!$F$32*('Plan mensual'!E59+IF(parametros_carros!$H$32="Todos",'Plan mensual'!E63,0))+parametros_carros!$G$32*('Plan mensual'!E60+IF(parametros_carros!$H$32="Todos",'Plan mensual'!E64,0)))/60</f>
        <v>5.47348465452438</v>
      </c>
      <c r="D115" s="41" t="n">
        <f aca="false">(parametros_carros!$D$32*('Plan mensual'!F57+IF(parametros_carros!$H$32="Todos",'Plan mensual'!F61,0))+parametros_carros!$E$32*('Plan mensual'!F58+IF(parametros_carros!$H$32="Todos",'Plan mensual'!F62,0))+parametros_carros!$F$32*('Plan mensual'!F59+IF(parametros_carros!$H$32="Todos",'Plan mensual'!F63,0))+parametros_carros!$G$32*('Plan mensual'!F60+IF(parametros_carros!$H$32="Todos",'Plan mensual'!F64,0)))/60</f>
        <v>6.56818158542925</v>
      </c>
      <c r="E115" s="41" t="n">
        <f aca="false">(parametros_carros!$D$32*('Plan mensual'!G57+IF(parametros_carros!$H$32="Todos",'Plan mensual'!G61,0))+parametros_carros!$E$32*('Plan mensual'!G58+IF(parametros_carros!$H$32="Todos",'Plan mensual'!G62,0))+parametros_carros!$F$32*('Plan mensual'!G59+IF(parametros_carros!$H$32="Todos",'Plan mensual'!G63,0))+parametros_carros!$G$32*('Plan mensual'!G60+IF(parametros_carros!$H$32="Todos",'Plan mensual'!G64,0)))/60</f>
        <v>6.56818158542925</v>
      </c>
      <c r="F115" s="41" t="n">
        <f aca="false">(parametros_carros!$D$32*('Plan mensual'!H57+IF(parametros_carros!$H$32="Todos",'Plan mensual'!H61,0))+parametros_carros!$E$32*('Plan mensual'!H58+IF(parametros_carros!$H$32="Todos",'Plan mensual'!H62,0))+parametros_carros!$F$32*('Plan mensual'!H59+IF(parametros_carros!$H$32="Todos",'Plan mensual'!H63,0))+parametros_carros!$G$32*('Plan mensual'!H60+IF(parametros_carros!$H$32="Todos",'Plan mensual'!H64,0)))/60</f>
        <v>6.56818158542925</v>
      </c>
      <c r="G115" s="41" t="n">
        <f aca="false">(parametros_carros!$D$32*('Plan mensual'!I57+IF(parametros_carros!$H$32="Todos",'Plan mensual'!I61,0))+parametros_carros!$E$32*('Plan mensual'!I58+IF(parametros_carros!$H$32="Todos",'Plan mensual'!I62,0))+parametros_carros!$F$32*('Plan mensual'!I59+IF(parametros_carros!$H$32="Todos",'Plan mensual'!I63,0))+parametros_carros!$G$32*('Plan mensual'!I60+IF(parametros_carros!$H$32="Todos",'Plan mensual'!I64,0)))/60</f>
        <v>5.83838363149267</v>
      </c>
      <c r="H115" s="41" t="n">
        <f aca="false">(parametros_carros!$D$32*('Plan mensual'!J57+IF(parametros_carros!$H$32="Todos",'Plan mensual'!J61,0))+parametros_carros!$E$32*('Plan mensual'!J58+IF(parametros_carros!$H$32="Todos",'Plan mensual'!J62,0))+parametros_carros!$F$32*('Plan mensual'!J59+IF(parametros_carros!$H$32="Todos",'Plan mensual'!J63,0))+parametros_carros!$G$32*('Plan mensual'!J60+IF(parametros_carros!$H$32="Todos",'Plan mensual'!J64,0)))/60</f>
        <v>6.56818158542925</v>
      </c>
      <c r="I115" s="41" t="n">
        <f aca="false">(parametros_carros!$D$32*('Plan mensual'!K57+IF(parametros_carros!$H$32="Todos",'Plan mensual'!K61,0))+parametros_carros!$E$32*('Plan mensual'!K58+IF(parametros_carros!$H$32="Todos",'Plan mensual'!K62,0))+parametros_carros!$F$32*('Plan mensual'!K59+IF(parametros_carros!$H$32="Todos",'Plan mensual'!K63,0))+parametros_carros!$G$32*('Plan mensual'!K60+IF(parametros_carros!$H$32="Todos",'Plan mensual'!K64,0)))/60</f>
        <v>6.56818158542925</v>
      </c>
      <c r="J115" s="41" t="n">
        <f aca="false">(parametros_carros!$D$32*('Plan mensual'!L57+IF(parametros_carros!$H$32="Todos",'Plan mensual'!L61,0))+parametros_carros!$E$32*('Plan mensual'!L58+IF(parametros_carros!$H$32="Todos",'Plan mensual'!L62,0))+parametros_carros!$F$32*('Plan mensual'!L59+IF(parametros_carros!$H$32="Todos",'Plan mensual'!L63,0))+parametros_carros!$G$32*('Plan mensual'!L60+IF(parametros_carros!$H$32="Todos",'Plan mensual'!L64,0)))/60</f>
        <v>6.20328260846096</v>
      </c>
      <c r="K115" s="41" t="n">
        <f aca="false">(parametros_carros!$D$32*('Plan mensual'!M57+IF(parametros_carros!$H$32="Todos",'Plan mensual'!M61,0))+parametros_carros!$E$32*('Plan mensual'!M58+IF(parametros_carros!$H$32="Todos",'Plan mensual'!M62,0))+parametros_carros!$F$32*('Plan mensual'!M59+IF(parametros_carros!$H$32="Todos",'Plan mensual'!M63,0))+parametros_carros!$G$32*('Plan mensual'!M60+IF(parametros_carros!$H$32="Todos",'Plan mensual'!M64,0)))/60</f>
        <v>5.47348465452438</v>
      </c>
      <c r="L115" s="41" t="n">
        <f aca="false">(parametros_carros!$D$32*('Plan mensual'!N57+IF(parametros_carros!$H$32="Todos",'Plan mensual'!N61,0))+parametros_carros!$E$32*('Plan mensual'!N58+IF(parametros_carros!$H$32="Todos",'Plan mensual'!N62,0))+parametros_carros!$F$32*('Plan mensual'!N59+IF(parametros_carros!$H$32="Todos",'Plan mensual'!N63,0))+parametros_carros!$G$32*('Plan mensual'!N60+IF(parametros_carros!$H$32="Todos",'Plan mensual'!N64,0)))/60</f>
        <v>5.10858567755608</v>
      </c>
      <c r="M115" s="41" t="n">
        <f aca="false">(parametros_carros!$D$32*('Plan mensual'!O57+IF(parametros_carros!$H$32="Todos",'Plan mensual'!O61,0))+parametros_carros!$E$32*('Plan mensual'!O58+IF(parametros_carros!$H$32="Todos",'Plan mensual'!O62,0))+parametros_carros!$F$32*('Plan mensual'!O59+IF(parametros_carros!$H$32="Todos",'Plan mensual'!O63,0))+parametros_carros!$G$32*('Plan mensual'!O60+IF(parametros_carros!$H$32="Todos",'Plan mensual'!O64,0)))/60</f>
        <v>5.83838363149267</v>
      </c>
      <c r="N115" s="41" t="n">
        <f aca="false">SUM(B115:M115)</f>
        <v>72.9797953936583</v>
      </c>
      <c r="O115" s="41" t="n">
        <f aca="false">MAX(B115:M115)</f>
        <v>6.56818158542925</v>
      </c>
      <c r="P115" s="45" t="n">
        <f aca="false">IF(parametros_carros!$B$7=0,0,(O115+parametros_carros!$G$58)/parametros_carros!$B$7)</f>
        <v>0.0526767661250839</v>
      </c>
      <c r="Q115" s="29" t="str">
        <f aca="false">IF(O115=0,"-",INDEX($B$101:$M$101,MATCH(O115,B115:M115,0)))</f>
        <v>Mar</v>
      </c>
    </row>
    <row r="116" customFormat="false" ht="14.25" hidden="false" customHeight="true" outlineLevel="0" collapsed="false">
      <c r="A116" s="12" t="str">
        <f aca="false">parametros_carros!$B$33</f>
        <v>Carga de polvo y presurización</v>
      </c>
      <c r="B116" s="41" t="n">
        <f aca="false">(parametros_carros!$D$33*('Plan mensual'!D57+IF(parametros_carros!$H$33="Todos",'Plan mensual'!D61,0))+parametros_carros!$E$33*('Plan mensual'!D58+IF(parametros_carros!$H$33="Todos",'Plan mensual'!D62,0))+parametros_carros!$F$33*('Plan mensual'!D59+IF(parametros_carros!$H$33="Todos",'Plan mensual'!D63,0))+parametros_carros!$G$33*('Plan mensual'!D60+IF(parametros_carros!$H$33="Todos",'Plan mensual'!D64,0)))/60</f>
        <v>13.6907782388014</v>
      </c>
      <c r="C116" s="41" t="n">
        <f aca="false">(parametros_carros!$D$33*('Plan mensual'!E57+IF(parametros_carros!$H$33="Todos",'Plan mensual'!E61,0))+parametros_carros!$E$33*('Plan mensual'!E58+IF(parametros_carros!$H$33="Todos",'Plan mensual'!E62,0))+parametros_carros!$F$33*('Plan mensual'!E59+IF(parametros_carros!$H$33="Todos",'Plan mensual'!E63,0))+parametros_carros!$G$33*('Plan mensual'!E60+IF(parametros_carros!$H$33="Todos",'Plan mensual'!E64,0)))/60</f>
        <v>12.0800984460013</v>
      </c>
      <c r="D116" s="41" t="n">
        <f aca="false">(parametros_carros!$D$33*('Plan mensual'!F57+IF(parametros_carros!$H$33="Todos",'Plan mensual'!F61,0))+parametros_carros!$E$33*('Plan mensual'!F58+IF(parametros_carros!$H$33="Todos",'Plan mensual'!F62,0))+parametros_carros!$F$33*('Plan mensual'!F59+IF(parametros_carros!$H$33="Todos",'Plan mensual'!F63,0))+parametros_carros!$G$33*('Plan mensual'!F60+IF(parametros_carros!$H$33="Todos",'Plan mensual'!F64,0)))/60</f>
        <v>14.4961181352015</v>
      </c>
      <c r="E116" s="41" t="n">
        <f aca="false">(parametros_carros!$D$33*('Plan mensual'!G57+IF(parametros_carros!$H$33="Todos",'Plan mensual'!G61,0))+parametros_carros!$E$33*('Plan mensual'!G58+IF(parametros_carros!$H$33="Todos",'Plan mensual'!G62,0))+parametros_carros!$F$33*('Plan mensual'!G59+IF(parametros_carros!$H$33="Todos",'Plan mensual'!G63,0))+parametros_carros!$G$33*('Plan mensual'!G60+IF(parametros_carros!$H$33="Todos",'Plan mensual'!G64,0)))/60</f>
        <v>14.4961181352015</v>
      </c>
      <c r="F116" s="41" t="n">
        <f aca="false">(parametros_carros!$D$33*('Plan mensual'!H57+IF(parametros_carros!$H$33="Todos",'Plan mensual'!H61,0))+parametros_carros!$E$33*('Plan mensual'!H58+IF(parametros_carros!$H$33="Todos",'Plan mensual'!H62,0))+parametros_carros!$F$33*('Plan mensual'!H59+IF(parametros_carros!$H$33="Todos",'Plan mensual'!H63,0))+parametros_carros!$G$33*('Plan mensual'!H60+IF(parametros_carros!$H$33="Todos",'Plan mensual'!H64,0)))/60</f>
        <v>14.4961181352015</v>
      </c>
      <c r="G116" s="41" t="n">
        <f aca="false">(parametros_carros!$D$33*('Plan mensual'!I57+IF(parametros_carros!$H$33="Todos",'Plan mensual'!I61,0))+parametros_carros!$E$33*('Plan mensual'!I58+IF(parametros_carros!$H$33="Todos",'Plan mensual'!I62,0))+parametros_carros!$F$33*('Plan mensual'!I59+IF(parametros_carros!$H$33="Todos",'Plan mensual'!I63,0))+parametros_carros!$G$33*('Plan mensual'!I60+IF(parametros_carros!$H$33="Todos",'Plan mensual'!I64,0)))/60</f>
        <v>12.8854383424013</v>
      </c>
      <c r="H116" s="41" t="n">
        <f aca="false">(parametros_carros!$D$33*('Plan mensual'!J57+IF(parametros_carros!$H$33="Todos",'Plan mensual'!J61,0))+parametros_carros!$E$33*('Plan mensual'!J58+IF(parametros_carros!$H$33="Todos",'Plan mensual'!J62,0))+parametros_carros!$F$33*('Plan mensual'!J59+IF(parametros_carros!$H$33="Todos",'Plan mensual'!J63,0))+parametros_carros!$G$33*('Plan mensual'!J60+IF(parametros_carros!$H$33="Todos",'Plan mensual'!J64,0)))/60</f>
        <v>14.4961181352015</v>
      </c>
      <c r="I116" s="41" t="n">
        <f aca="false">(parametros_carros!$D$33*('Plan mensual'!K57+IF(parametros_carros!$H$33="Todos",'Plan mensual'!K61,0))+parametros_carros!$E$33*('Plan mensual'!K58+IF(parametros_carros!$H$33="Todos",'Plan mensual'!K62,0))+parametros_carros!$F$33*('Plan mensual'!K59+IF(parametros_carros!$H$33="Todos",'Plan mensual'!K63,0))+parametros_carros!$G$33*('Plan mensual'!K60+IF(parametros_carros!$H$33="Todos",'Plan mensual'!K64,0)))/60</f>
        <v>14.4961181352015</v>
      </c>
      <c r="J116" s="41" t="n">
        <f aca="false">(parametros_carros!$D$33*('Plan mensual'!L57+IF(parametros_carros!$H$33="Todos",'Plan mensual'!L61,0))+parametros_carros!$E$33*('Plan mensual'!L58+IF(parametros_carros!$H$33="Todos",'Plan mensual'!L62,0))+parametros_carros!$F$33*('Plan mensual'!L59+IF(parametros_carros!$H$33="Todos",'Plan mensual'!L63,0))+parametros_carros!$G$33*('Plan mensual'!L60+IF(parametros_carros!$H$33="Todos",'Plan mensual'!L64,0)))/60</f>
        <v>13.6907782388014</v>
      </c>
      <c r="K116" s="41" t="n">
        <f aca="false">(parametros_carros!$D$33*('Plan mensual'!M57+IF(parametros_carros!$H$33="Todos",'Plan mensual'!M61,0))+parametros_carros!$E$33*('Plan mensual'!M58+IF(parametros_carros!$H$33="Todos",'Plan mensual'!M62,0))+parametros_carros!$F$33*('Plan mensual'!M59+IF(parametros_carros!$H$33="Todos",'Plan mensual'!M63,0))+parametros_carros!$G$33*('Plan mensual'!M60+IF(parametros_carros!$H$33="Todos",'Plan mensual'!M64,0)))/60</f>
        <v>12.0800984460013</v>
      </c>
      <c r="L116" s="41" t="n">
        <f aca="false">(parametros_carros!$D$33*('Plan mensual'!N57+IF(parametros_carros!$H$33="Todos",'Plan mensual'!N61,0))+parametros_carros!$E$33*('Plan mensual'!N58+IF(parametros_carros!$H$33="Todos",'Plan mensual'!N62,0))+parametros_carros!$F$33*('Plan mensual'!N59+IF(parametros_carros!$H$33="Todos",'Plan mensual'!N63,0))+parametros_carros!$G$33*('Plan mensual'!N60+IF(parametros_carros!$H$33="Todos",'Plan mensual'!N64,0)))/60</f>
        <v>11.2747585496012</v>
      </c>
      <c r="M116" s="41" t="n">
        <f aca="false">(parametros_carros!$D$33*('Plan mensual'!O57+IF(parametros_carros!$H$33="Todos",'Plan mensual'!O61,0))+parametros_carros!$E$33*('Plan mensual'!O58+IF(parametros_carros!$H$33="Todos",'Plan mensual'!O62,0))+parametros_carros!$F$33*('Plan mensual'!O59+IF(parametros_carros!$H$33="Todos",'Plan mensual'!O63,0))+parametros_carros!$G$33*('Plan mensual'!O60+IF(parametros_carros!$H$33="Todos",'Plan mensual'!O64,0)))/60</f>
        <v>12.8854383424013</v>
      </c>
      <c r="N116" s="41" t="n">
        <f aca="false">SUM(B116:M116)</f>
        <v>161.067979280017</v>
      </c>
      <c r="O116" s="41" t="n">
        <f aca="false">MAX(B116:M116)</f>
        <v>14.4961181352015</v>
      </c>
      <c r="P116" s="45" t="n">
        <f aca="false">IF(parametros_carros!$B$7=0,0,(O116+parametros_carros!$G$59)/parametros_carros!$B$7)</f>
        <v>0.203307454234677</v>
      </c>
      <c r="Q116" s="29" t="str">
        <f aca="false">IF(O116=0,"-",INDEX($B$101:$M$101,MATCH(O116,B116:M116,0)))</f>
        <v>Mar</v>
      </c>
    </row>
    <row r="117" customFormat="false" ht="14.25" hidden="false" customHeight="true" outlineLevel="0" collapsed="false">
      <c r="A117" s="12" t="str">
        <f aca="false">parametros_carros!$B$34</f>
        <v>Montaje, manga, precinto y etiquetado</v>
      </c>
      <c r="B117" s="41" t="n">
        <f aca="false">(parametros_carros!$D$34*('Plan mensual'!D57+IF(parametros_carros!$H$34="Todos",'Plan mensual'!D61,0))+parametros_carros!$E$34*('Plan mensual'!D58+IF(parametros_carros!$H$34="Todos",'Plan mensual'!D62,0))+parametros_carros!$F$34*('Plan mensual'!D59+IF(parametros_carros!$H$34="Todos",'Plan mensual'!D63,0))+parametros_carros!$G$34*('Plan mensual'!D60+IF(parametros_carros!$H$34="Todos",'Plan mensual'!D64,0)))/60</f>
        <v>7.63570260771934</v>
      </c>
      <c r="C117" s="41" t="n">
        <f aca="false">(parametros_carros!$D$34*('Plan mensual'!E57+IF(parametros_carros!$H$34="Todos",'Plan mensual'!E61,0))+parametros_carros!$E$34*('Plan mensual'!E58+IF(parametros_carros!$H$34="Todos",'Plan mensual'!E62,0))+parametros_carros!$F$34*('Plan mensual'!E59+IF(parametros_carros!$H$34="Todos",'Plan mensual'!E63,0))+parametros_carros!$G$34*('Plan mensual'!E60+IF(parametros_carros!$H$34="Todos",'Plan mensual'!E64,0)))/60</f>
        <v>6.73738465387</v>
      </c>
      <c r="D117" s="41" t="n">
        <f aca="false">(parametros_carros!$D$34*('Plan mensual'!F57+IF(parametros_carros!$H$34="Todos",'Plan mensual'!F61,0))+parametros_carros!$E$34*('Plan mensual'!F58+IF(parametros_carros!$H$34="Todos",'Plan mensual'!F62,0))+parametros_carros!$F$34*('Plan mensual'!F59+IF(parametros_carros!$H$34="Todos",'Plan mensual'!F63,0))+parametros_carros!$G$34*('Plan mensual'!F60+IF(parametros_carros!$H$34="Todos",'Plan mensual'!F64,0)))/60</f>
        <v>8.084861584644</v>
      </c>
      <c r="E117" s="41" t="n">
        <f aca="false">(parametros_carros!$D$34*('Plan mensual'!G57+IF(parametros_carros!$H$34="Todos",'Plan mensual'!G61,0))+parametros_carros!$E$34*('Plan mensual'!G58+IF(parametros_carros!$H$34="Todos",'Plan mensual'!G62,0))+parametros_carros!$F$34*('Plan mensual'!G59+IF(parametros_carros!$H$34="Todos",'Plan mensual'!G63,0))+parametros_carros!$G$34*('Plan mensual'!G60+IF(parametros_carros!$H$34="Todos",'Plan mensual'!G64,0)))/60</f>
        <v>8.084861584644</v>
      </c>
      <c r="F117" s="41" t="n">
        <f aca="false">(parametros_carros!$D$34*('Plan mensual'!H57+IF(parametros_carros!$H$34="Todos",'Plan mensual'!H61,0))+parametros_carros!$E$34*('Plan mensual'!H58+IF(parametros_carros!$H$34="Todos",'Plan mensual'!H62,0))+parametros_carros!$F$34*('Plan mensual'!H59+IF(parametros_carros!$H$34="Todos",'Plan mensual'!H63,0))+parametros_carros!$G$34*('Plan mensual'!H60+IF(parametros_carros!$H$34="Todos",'Plan mensual'!H64,0)))/60</f>
        <v>8.084861584644</v>
      </c>
      <c r="G117" s="41" t="n">
        <f aca="false">(parametros_carros!$D$34*('Plan mensual'!I57+IF(parametros_carros!$H$34="Todos",'Plan mensual'!I61,0))+parametros_carros!$E$34*('Plan mensual'!I58+IF(parametros_carros!$H$34="Todos",'Plan mensual'!I62,0))+parametros_carros!$F$34*('Plan mensual'!I59+IF(parametros_carros!$H$34="Todos",'Plan mensual'!I63,0))+parametros_carros!$G$34*('Plan mensual'!I60+IF(parametros_carros!$H$34="Todos",'Plan mensual'!I64,0)))/60</f>
        <v>7.18654363079467</v>
      </c>
      <c r="H117" s="41" t="n">
        <f aca="false">(parametros_carros!$D$34*('Plan mensual'!J57+IF(parametros_carros!$H$34="Todos",'Plan mensual'!J61,0))+parametros_carros!$E$34*('Plan mensual'!J58+IF(parametros_carros!$H$34="Todos",'Plan mensual'!J62,0))+parametros_carros!$F$34*('Plan mensual'!J59+IF(parametros_carros!$H$34="Todos",'Plan mensual'!J63,0))+parametros_carros!$G$34*('Plan mensual'!J60+IF(parametros_carros!$H$34="Todos",'Plan mensual'!J64,0)))/60</f>
        <v>8.084861584644</v>
      </c>
      <c r="I117" s="41" t="n">
        <f aca="false">(parametros_carros!$D$34*('Plan mensual'!K57+IF(parametros_carros!$H$34="Todos",'Plan mensual'!K61,0))+parametros_carros!$E$34*('Plan mensual'!K58+IF(parametros_carros!$H$34="Todos",'Plan mensual'!K62,0))+parametros_carros!$F$34*('Plan mensual'!K59+IF(parametros_carros!$H$34="Todos",'Plan mensual'!K63,0))+parametros_carros!$G$34*('Plan mensual'!K60+IF(parametros_carros!$H$34="Todos",'Plan mensual'!K64,0)))/60</f>
        <v>8.084861584644</v>
      </c>
      <c r="J117" s="41" t="n">
        <f aca="false">(parametros_carros!$D$34*('Plan mensual'!L57+IF(parametros_carros!$H$34="Todos",'Plan mensual'!L61,0))+parametros_carros!$E$34*('Plan mensual'!L58+IF(parametros_carros!$H$34="Todos",'Plan mensual'!L62,0))+parametros_carros!$F$34*('Plan mensual'!L59+IF(parametros_carros!$H$34="Todos",'Plan mensual'!L63,0))+parametros_carros!$G$34*('Plan mensual'!L60+IF(parametros_carros!$H$34="Todos",'Plan mensual'!L64,0)))/60</f>
        <v>7.63570260771934</v>
      </c>
      <c r="K117" s="41" t="n">
        <f aca="false">(parametros_carros!$D$34*('Plan mensual'!M57+IF(parametros_carros!$H$34="Todos",'Plan mensual'!M61,0))+parametros_carros!$E$34*('Plan mensual'!M58+IF(parametros_carros!$H$34="Todos",'Plan mensual'!M62,0))+parametros_carros!$F$34*('Plan mensual'!M59+IF(parametros_carros!$H$34="Todos",'Plan mensual'!M63,0))+parametros_carros!$G$34*('Plan mensual'!M60+IF(parametros_carros!$H$34="Todos",'Plan mensual'!M64,0)))/60</f>
        <v>6.73738465387</v>
      </c>
      <c r="L117" s="41" t="n">
        <f aca="false">(parametros_carros!$D$34*('Plan mensual'!N57+IF(parametros_carros!$H$34="Todos",'Plan mensual'!N61,0))+parametros_carros!$E$34*('Plan mensual'!N58+IF(parametros_carros!$H$34="Todos",'Plan mensual'!N62,0))+parametros_carros!$F$34*('Plan mensual'!N59+IF(parametros_carros!$H$34="Todos",'Plan mensual'!N63,0))+parametros_carros!$G$34*('Plan mensual'!N60+IF(parametros_carros!$H$34="Todos",'Plan mensual'!N64,0)))/60</f>
        <v>6.28822567694533</v>
      </c>
      <c r="M117" s="41" t="n">
        <f aca="false">(parametros_carros!$D$34*('Plan mensual'!O57+IF(parametros_carros!$H$34="Todos",'Plan mensual'!O61,0))+parametros_carros!$E$34*('Plan mensual'!O58+IF(parametros_carros!$H$34="Todos",'Plan mensual'!O62,0))+parametros_carros!$F$34*('Plan mensual'!O59+IF(parametros_carros!$H$34="Todos",'Plan mensual'!O63,0))+parametros_carros!$G$34*('Plan mensual'!O60+IF(parametros_carros!$H$34="Todos",'Plan mensual'!O64,0)))/60</f>
        <v>7.18654363079467</v>
      </c>
      <c r="N117" s="41" t="n">
        <f aca="false">SUM(B117:M117)</f>
        <v>89.8317953849333</v>
      </c>
      <c r="O117" s="41" t="n">
        <f aca="false">MAX(B117:M117)</f>
        <v>8.084861584644</v>
      </c>
      <c r="P117" s="45" t="n">
        <f aca="false">IF(parametros_carros!$B$7=0,0,(O117+parametros_carros!$G$60)/parametros_carros!$B$7)</f>
        <v>0.100565743897627</v>
      </c>
      <c r="Q117" s="29" t="str">
        <f aca="false">IF(O117=0,"-",INDEX($B$101:$M$101,MATCH(O117,B117:M117,0)))</f>
        <v>Mar</v>
      </c>
    </row>
    <row r="118" customFormat="false" ht="14.25" hidden="false" customHeight="true" outlineLevel="0" collapsed="false">
      <c r="A118" s="12" t="str">
        <f aca="false">parametros_carros!$B$35</f>
        <v>Calidad: pérdidas, inspección final, liberación y ensayos de lote</v>
      </c>
      <c r="B118" s="41" t="n">
        <f aca="false">(parametros_carros!$D$35*('Plan mensual'!D57+IF(parametros_carros!$H$35="Todos",'Plan mensual'!D61,0))+parametros_carros!$E$35*('Plan mensual'!D58+IF(parametros_carros!$H$35="Todos",'Plan mensual'!D62,0))+parametros_carros!$F$35*('Plan mensual'!D59+IF(parametros_carros!$H$35="Todos",'Plan mensual'!D63,0))+parametros_carros!$G$35*('Plan mensual'!D60+IF(parametros_carros!$H$35="Todos",'Plan mensual'!D64,0)))/60</f>
        <v>5.78626604256201</v>
      </c>
      <c r="C118" s="41" t="n">
        <f aca="false">(parametros_carros!$D$35*('Plan mensual'!E57+IF(parametros_carros!$H$35="Todos",'Plan mensual'!E61,0))+parametros_carros!$E$35*('Plan mensual'!E58+IF(parametros_carros!$H$35="Todos",'Plan mensual'!E62,0))+parametros_carros!$F$35*('Plan mensual'!E59+IF(parametros_carros!$H$35="Todos",'Plan mensual'!E63,0))+parametros_carros!$G$35*('Plan mensual'!E60+IF(parametros_carros!$H$35="Todos",'Plan mensual'!E64,0)))/60</f>
        <v>5.10552886108412</v>
      </c>
      <c r="D118" s="41" t="n">
        <f aca="false">(parametros_carros!$D$35*('Plan mensual'!F57+IF(parametros_carros!$H$35="Todos",'Plan mensual'!F61,0))+parametros_carros!$E$35*('Plan mensual'!F58+IF(parametros_carros!$H$35="Todos",'Plan mensual'!F62,0))+parametros_carros!$F$35*('Plan mensual'!F59+IF(parametros_carros!$H$35="Todos",'Plan mensual'!F63,0))+parametros_carros!$G$35*('Plan mensual'!F60+IF(parametros_carros!$H$35="Todos",'Plan mensual'!F64,0)))/60</f>
        <v>6.12663463330095</v>
      </c>
      <c r="E118" s="41" t="n">
        <f aca="false">(parametros_carros!$D$35*('Plan mensual'!G57+IF(parametros_carros!$H$35="Todos",'Plan mensual'!G61,0))+parametros_carros!$E$35*('Plan mensual'!G58+IF(parametros_carros!$H$35="Todos",'Plan mensual'!G62,0))+parametros_carros!$F$35*('Plan mensual'!G59+IF(parametros_carros!$H$35="Todos",'Plan mensual'!G63,0))+parametros_carros!$G$35*('Plan mensual'!G60+IF(parametros_carros!$H$35="Todos",'Plan mensual'!G64,0)))/60</f>
        <v>6.12663463330095</v>
      </c>
      <c r="F118" s="41" t="n">
        <f aca="false">(parametros_carros!$D$35*('Plan mensual'!H57+IF(parametros_carros!$H$35="Todos",'Plan mensual'!H61,0))+parametros_carros!$E$35*('Plan mensual'!H58+IF(parametros_carros!$H$35="Todos",'Plan mensual'!H62,0))+parametros_carros!$F$35*('Plan mensual'!H59+IF(parametros_carros!$H$35="Todos",'Plan mensual'!H63,0))+parametros_carros!$G$35*('Plan mensual'!H60+IF(parametros_carros!$H$35="Todos",'Plan mensual'!H64,0)))/60</f>
        <v>6.12663463330095</v>
      </c>
      <c r="G118" s="41" t="n">
        <f aca="false">(parametros_carros!$D$35*('Plan mensual'!I57+IF(parametros_carros!$H$35="Todos",'Plan mensual'!I61,0))+parametros_carros!$E$35*('Plan mensual'!I58+IF(parametros_carros!$H$35="Todos",'Plan mensual'!I62,0))+parametros_carros!$F$35*('Plan mensual'!I59+IF(parametros_carros!$H$35="Todos",'Plan mensual'!I63,0))+parametros_carros!$G$35*('Plan mensual'!I60+IF(parametros_carros!$H$35="Todos",'Plan mensual'!I64,0)))/60</f>
        <v>5.44589745182307</v>
      </c>
      <c r="H118" s="41" t="n">
        <f aca="false">(parametros_carros!$D$35*('Plan mensual'!J57+IF(parametros_carros!$H$35="Todos",'Plan mensual'!J61,0))+parametros_carros!$E$35*('Plan mensual'!J58+IF(parametros_carros!$H$35="Todos",'Plan mensual'!J62,0))+parametros_carros!$F$35*('Plan mensual'!J59+IF(parametros_carros!$H$35="Todos",'Plan mensual'!J63,0))+parametros_carros!$G$35*('Plan mensual'!J60+IF(parametros_carros!$H$35="Todos",'Plan mensual'!J64,0)))/60</f>
        <v>6.12663463330095</v>
      </c>
      <c r="I118" s="41" t="n">
        <f aca="false">(parametros_carros!$D$35*('Plan mensual'!K57+IF(parametros_carros!$H$35="Todos",'Plan mensual'!K61,0))+parametros_carros!$E$35*('Plan mensual'!K58+IF(parametros_carros!$H$35="Todos",'Plan mensual'!K62,0))+parametros_carros!$F$35*('Plan mensual'!K59+IF(parametros_carros!$H$35="Todos",'Plan mensual'!K63,0))+parametros_carros!$G$35*('Plan mensual'!K60+IF(parametros_carros!$H$35="Todos",'Plan mensual'!K64,0)))/60</f>
        <v>6.12663463330095</v>
      </c>
      <c r="J118" s="41" t="n">
        <f aca="false">(parametros_carros!$D$35*('Plan mensual'!L57+IF(parametros_carros!$H$35="Todos",'Plan mensual'!L61,0))+parametros_carros!$E$35*('Plan mensual'!L58+IF(parametros_carros!$H$35="Todos",'Plan mensual'!L62,0))+parametros_carros!$F$35*('Plan mensual'!L59+IF(parametros_carros!$H$35="Todos",'Plan mensual'!L63,0))+parametros_carros!$G$35*('Plan mensual'!L60+IF(parametros_carros!$H$35="Todos",'Plan mensual'!L64,0)))/60</f>
        <v>5.78626604256201</v>
      </c>
      <c r="K118" s="41" t="n">
        <f aca="false">(parametros_carros!$D$35*('Plan mensual'!M57+IF(parametros_carros!$H$35="Todos",'Plan mensual'!M61,0))+parametros_carros!$E$35*('Plan mensual'!M58+IF(parametros_carros!$H$35="Todos",'Plan mensual'!M62,0))+parametros_carros!$F$35*('Plan mensual'!M59+IF(parametros_carros!$H$35="Todos",'Plan mensual'!M63,0))+parametros_carros!$G$35*('Plan mensual'!M60+IF(parametros_carros!$H$35="Todos",'Plan mensual'!M64,0)))/60</f>
        <v>5.10552886108412</v>
      </c>
      <c r="L118" s="41" t="n">
        <f aca="false">(parametros_carros!$D$35*('Plan mensual'!N57+IF(parametros_carros!$H$35="Todos",'Plan mensual'!N61,0))+parametros_carros!$E$35*('Plan mensual'!N58+IF(parametros_carros!$H$35="Todos",'Plan mensual'!N62,0))+parametros_carros!$F$35*('Plan mensual'!N59+IF(parametros_carros!$H$35="Todos",'Plan mensual'!N63,0))+parametros_carros!$G$35*('Plan mensual'!N60+IF(parametros_carros!$H$35="Todos",'Plan mensual'!N64,0)))/60</f>
        <v>4.76516027034519</v>
      </c>
      <c r="M118" s="41" t="n">
        <f aca="false">(parametros_carros!$D$35*('Plan mensual'!O57+IF(parametros_carros!$H$35="Todos",'Plan mensual'!O61,0))+parametros_carros!$E$35*('Plan mensual'!O58+IF(parametros_carros!$H$35="Todos",'Plan mensual'!O62,0))+parametros_carros!$F$35*('Plan mensual'!O59+IF(parametros_carros!$H$35="Todos",'Plan mensual'!O63,0))+parametros_carros!$G$35*('Plan mensual'!O60+IF(parametros_carros!$H$35="Todos",'Plan mensual'!O64,0)))/60</f>
        <v>5.44589745182307</v>
      </c>
      <c r="N118" s="41" t="n">
        <f aca="false">SUM(B118:M118)</f>
        <v>68.0737181477883</v>
      </c>
      <c r="O118" s="41" t="n">
        <f aca="false">MAX(B118:M118)</f>
        <v>6.12663463330095</v>
      </c>
      <c r="P118" s="45" t="n">
        <f aca="false">IF(parametros_carros!$B$7=0,0,(O118+parametros_carros!$G$61)/parametros_carros!$B$7)</f>
        <v>0.411066453110895</v>
      </c>
      <c r="Q118" s="29" t="str">
        <f aca="false">IF(O118=0,"-",INDEX($B$101:$M$101,MATCH(O118,B118:M118,0)))</f>
        <v>Mar</v>
      </c>
    </row>
    <row r="119" customFormat="false" ht="14.25" hidden="false" customHeight="true" outlineLevel="0" collapsed="false">
      <c r="A119" s="12" t="str">
        <f aca="false">parametros_carros!$B$36</f>
        <v>Depósito de producto terminado y despacho</v>
      </c>
      <c r="B119" s="41" t="n">
        <f aca="false">(parametros_carros!$D$36*('Plan mensual'!D57+IF(parametros_carros!$H$36="Todos",'Plan mensual'!D61,0))+parametros_carros!$E$36*('Plan mensual'!D58+IF(parametros_carros!$H$36="Todos",'Plan mensual'!D62,0))+parametros_carros!$F$36*('Plan mensual'!D59+IF(parametros_carros!$H$36="Todos",'Plan mensual'!D63,0))+parametros_carros!$G$36*('Plan mensual'!D60+IF(parametros_carros!$H$36="Todos",'Plan mensual'!D64,0)))/60</f>
        <v>2.695105746805</v>
      </c>
      <c r="C119" s="41" t="n">
        <f aca="false">(parametros_carros!$D$36*('Plan mensual'!E57+IF(parametros_carros!$H$36="Todos",'Plan mensual'!E61,0))+parametros_carros!$E$36*('Plan mensual'!E58+IF(parametros_carros!$H$36="Todos",'Plan mensual'!E62,0))+parametros_carros!$F$36*('Plan mensual'!E59+IF(parametros_carros!$H$36="Todos",'Plan mensual'!E63,0))+parametros_carros!$G$36*('Plan mensual'!E60+IF(parametros_carros!$H$36="Todos",'Plan mensual'!E64,0)))/60</f>
        <v>2.378034482475</v>
      </c>
      <c r="D119" s="41" t="n">
        <f aca="false">(parametros_carros!$D$36*('Plan mensual'!F57+IF(parametros_carros!$H$36="Todos",'Plan mensual'!F61,0))+parametros_carros!$E$36*('Plan mensual'!F58+IF(parametros_carros!$H$36="Todos",'Plan mensual'!F62,0))+parametros_carros!$F$36*('Plan mensual'!F59+IF(parametros_carros!$H$36="Todos",'Plan mensual'!F63,0))+parametros_carros!$G$36*('Plan mensual'!F60+IF(parametros_carros!$H$36="Todos",'Plan mensual'!F64,0)))/60</f>
        <v>2.85364137897</v>
      </c>
      <c r="E119" s="41" t="n">
        <f aca="false">(parametros_carros!$D$36*('Plan mensual'!G57+IF(parametros_carros!$H$36="Todos",'Plan mensual'!G61,0))+parametros_carros!$E$36*('Plan mensual'!G58+IF(parametros_carros!$H$36="Todos",'Plan mensual'!G62,0))+parametros_carros!$F$36*('Plan mensual'!G59+IF(parametros_carros!$H$36="Todos",'Plan mensual'!G63,0))+parametros_carros!$G$36*('Plan mensual'!G60+IF(parametros_carros!$H$36="Todos",'Plan mensual'!G64,0)))/60</f>
        <v>2.85364137897</v>
      </c>
      <c r="F119" s="41" t="n">
        <f aca="false">(parametros_carros!$D$36*('Plan mensual'!H57+IF(parametros_carros!$H$36="Todos",'Plan mensual'!H61,0))+parametros_carros!$E$36*('Plan mensual'!H58+IF(parametros_carros!$H$36="Todos",'Plan mensual'!H62,0))+parametros_carros!$F$36*('Plan mensual'!H59+IF(parametros_carros!$H$36="Todos",'Plan mensual'!H63,0))+parametros_carros!$G$36*('Plan mensual'!H60+IF(parametros_carros!$H$36="Todos",'Plan mensual'!H64,0)))/60</f>
        <v>2.85364137897</v>
      </c>
      <c r="G119" s="41" t="n">
        <f aca="false">(parametros_carros!$D$36*('Plan mensual'!I57+IF(parametros_carros!$H$36="Todos",'Plan mensual'!I61,0))+parametros_carros!$E$36*('Plan mensual'!I58+IF(parametros_carros!$H$36="Todos",'Plan mensual'!I62,0))+parametros_carros!$F$36*('Plan mensual'!I59+IF(parametros_carros!$H$36="Todos",'Plan mensual'!I63,0))+parametros_carros!$G$36*('Plan mensual'!I60+IF(parametros_carros!$H$36="Todos",'Plan mensual'!I64,0)))/60</f>
        <v>2.53657011464</v>
      </c>
      <c r="H119" s="41" t="n">
        <f aca="false">(parametros_carros!$D$36*('Plan mensual'!J57+IF(parametros_carros!$H$36="Todos",'Plan mensual'!J61,0))+parametros_carros!$E$36*('Plan mensual'!J58+IF(parametros_carros!$H$36="Todos",'Plan mensual'!J62,0))+parametros_carros!$F$36*('Plan mensual'!J59+IF(parametros_carros!$H$36="Todos",'Plan mensual'!J63,0))+parametros_carros!$G$36*('Plan mensual'!J60+IF(parametros_carros!$H$36="Todos",'Plan mensual'!J64,0)))/60</f>
        <v>2.85364137897</v>
      </c>
      <c r="I119" s="41" t="n">
        <f aca="false">(parametros_carros!$D$36*('Plan mensual'!K57+IF(parametros_carros!$H$36="Todos",'Plan mensual'!K61,0))+parametros_carros!$E$36*('Plan mensual'!K58+IF(parametros_carros!$H$36="Todos",'Plan mensual'!K62,0))+parametros_carros!$F$36*('Plan mensual'!K59+IF(parametros_carros!$H$36="Todos",'Plan mensual'!K63,0))+parametros_carros!$G$36*('Plan mensual'!K60+IF(parametros_carros!$H$36="Todos",'Plan mensual'!K64,0)))/60</f>
        <v>2.85364137897</v>
      </c>
      <c r="J119" s="41" t="n">
        <f aca="false">(parametros_carros!$D$36*('Plan mensual'!L57+IF(parametros_carros!$H$36="Todos",'Plan mensual'!L61,0))+parametros_carros!$E$36*('Plan mensual'!L58+IF(parametros_carros!$H$36="Todos",'Plan mensual'!L62,0))+parametros_carros!$F$36*('Plan mensual'!L59+IF(parametros_carros!$H$36="Todos",'Plan mensual'!L63,0))+parametros_carros!$G$36*('Plan mensual'!L60+IF(parametros_carros!$H$36="Todos",'Plan mensual'!L64,0)))/60</f>
        <v>2.695105746805</v>
      </c>
      <c r="K119" s="41" t="n">
        <f aca="false">(parametros_carros!$D$36*('Plan mensual'!M57+IF(parametros_carros!$H$36="Todos",'Plan mensual'!M61,0))+parametros_carros!$E$36*('Plan mensual'!M58+IF(parametros_carros!$H$36="Todos",'Plan mensual'!M62,0))+parametros_carros!$F$36*('Plan mensual'!M59+IF(parametros_carros!$H$36="Todos",'Plan mensual'!M63,0))+parametros_carros!$G$36*('Plan mensual'!M60+IF(parametros_carros!$H$36="Todos",'Plan mensual'!M64,0)))/60</f>
        <v>2.378034482475</v>
      </c>
      <c r="L119" s="41" t="n">
        <f aca="false">(parametros_carros!$D$36*('Plan mensual'!N57+IF(parametros_carros!$H$36="Todos",'Plan mensual'!N61,0))+parametros_carros!$E$36*('Plan mensual'!N58+IF(parametros_carros!$H$36="Todos",'Plan mensual'!N62,0))+parametros_carros!$F$36*('Plan mensual'!N59+IF(parametros_carros!$H$36="Todos",'Plan mensual'!N63,0))+parametros_carros!$G$36*('Plan mensual'!N60+IF(parametros_carros!$H$36="Todos",'Plan mensual'!N64,0)))/60</f>
        <v>2.21949885031</v>
      </c>
      <c r="M119" s="41" t="n">
        <f aca="false">(parametros_carros!$D$36*('Plan mensual'!O57+IF(parametros_carros!$H$36="Todos",'Plan mensual'!O61,0))+parametros_carros!$E$36*('Plan mensual'!O58+IF(parametros_carros!$H$36="Todos",'Plan mensual'!O62,0))+parametros_carros!$F$36*('Plan mensual'!O59+IF(parametros_carros!$H$36="Todos",'Plan mensual'!O63,0))+parametros_carros!$G$36*('Plan mensual'!O60+IF(parametros_carros!$H$36="Todos",'Plan mensual'!O64,0)))/60</f>
        <v>2.53657011464</v>
      </c>
      <c r="N119" s="41" t="n">
        <f aca="false">SUM(B119:M119)</f>
        <v>31.707126433</v>
      </c>
      <c r="O119" s="41" t="n">
        <f aca="false">MAX(B119:M119)</f>
        <v>2.85364137897</v>
      </c>
      <c r="P119" s="45" t="n">
        <f aca="false">IF(parametros_carros!$B$7=0,0,(O119+parametros_carros!$G$62)/parametros_carros!$B$7)</f>
        <v>0.0412464980820222</v>
      </c>
      <c r="Q119" s="29" t="str">
        <f aca="false">IF(O119=0,"-",INDEX($B$101:$M$101,MATCH(O119,B119:M119,0)))</f>
        <v>Mar</v>
      </c>
    </row>
    <row r="120" customFormat="false" ht="14.25" hidden="false" customHeight="true" outlineLevel="0" collapsed="false"/>
    <row r="121" customFormat="false" ht="45" hidden="false" customHeight="true" outlineLevel="0" collapsed="false">
      <c r="A121" s="11" t="s">
        <v>256</v>
      </c>
      <c r="B121" s="11" t="s">
        <v>17</v>
      </c>
      <c r="C121" s="11" t="s">
        <v>18</v>
      </c>
      <c r="D121" s="11" t="s">
        <v>19</v>
      </c>
      <c r="E121" s="11" t="s">
        <v>20</v>
      </c>
      <c r="F121" s="11" t="s">
        <v>21</v>
      </c>
      <c r="G121" s="11" t="s">
        <v>22</v>
      </c>
      <c r="H121" s="11" t="s">
        <v>23</v>
      </c>
      <c r="I121" s="11" t="s">
        <v>24</v>
      </c>
      <c r="J121" s="11" t="s">
        <v>25</v>
      </c>
      <c r="K121" s="11" t="s">
        <v>26</v>
      </c>
      <c r="L121" s="11" t="s">
        <v>27</v>
      </c>
      <c r="M121" s="11" t="s">
        <v>28</v>
      </c>
      <c r="N121" s="11" t="s">
        <v>247</v>
      </c>
      <c r="O121" s="11" t="s">
        <v>248</v>
      </c>
      <c r="P121" s="11" t="s">
        <v>249</v>
      </c>
      <c r="Q121" s="11" t="s">
        <v>250</v>
      </c>
    </row>
    <row r="122" customFormat="false" ht="14.25" hidden="false" customHeight="true" outlineLevel="0" collapsed="false">
      <c r="A122" s="12" t="str">
        <f aca="false">parametros_carros!$B$19</f>
        <v>Recepción de materia prima</v>
      </c>
      <c r="B122" s="41" t="n">
        <f aca="false">(parametros_carros!$D$19*('Plan mensual'!D68+IF(parametros_carros!$H$19="Todos",'Plan mensual'!D72,0))+parametros_carros!$E$19*('Plan mensual'!D69+IF(parametros_carros!$H$19="Todos",'Plan mensual'!D73,0))+parametros_carros!$F$19*('Plan mensual'!D70+IF(parametros_carros!$H$19="Todos",'Plan mensual'!D74,0))+parametros_carros!$G$19*('Plan mensual'!D71+IF(parametros_carros!$H$19="Todos",'Plan mensual'!D75,0)))/60</f>
        <v>4.70515233670121</v>
      </c>
      <c r="C122" s="41" t="n">
        <f aca="false">(parametros_carros!$D$19*('Plan mensual'!E68+IF(parametros_carros!$H$19="Todos",'Plan mensual'!E72,0))+parametros_carros!$E$19*('Plan mensual'!E69+IF(parametros_carros!$H$19="Todos",'Plan mensual'!E73,0))+parametros_carros!$F$19*('Plan mensual'!E70+IF(parametros_carros!$H$19="Todos",'Plan mensual'!E74,0))+parametros_carros!$G$19*('Plan mensual'!E71+IF(parametros_carros!$H$19="Todos",'Plan mensual'!E75,0)))/60</f>
        <v>4.15160500297166</v>
      </c>
      <c r="D122" s="41" t="n">
        <f aca="false">(parametros_carros!$D$19*('Plan mensual'!F68+IF(parametros_carros!$H$19="Todos",'Plan mensual'!F72,0))+parametros_carros!$E$19*('Plan mensual'!F69+IF(parametros_carros!$H$19="Todos",'Plan mensual'!F73,0))+parametros_carros!$F$19*('Plan mensual'!F70+IF(parametros_carros!$H$19="Todos",'Plan mensual'!F74,0))+parametros_carros!$G$19*('Plan mensual'!F71+IF(parametros_carros!$H$19="Todos",'Plan mensual'!F75,0)))/60</f>
        <v>4.98192600356599</v>
      </c>
      <c r="E122" s="41" t="n">
        <f aca="false">(parametros_carros!$D$19*('Plan mensual'!G68+IF(parametros_carros!$H$19="Todos",'Plan mensual'!G72,0))+parametros_carros!$E$19*('Plan mensual'!G69+IF(parametros_carros!$H$19="Todos",'Plan mensual'!G73,0))+parametros_carros!$F$19*('Plan mensual'!G70+IF(parametros_carros!$H$19="Todos",'Plan mensual'!G74,0))+parametros_carros!$G$19*('Plan mensual'!G71+IF(parametros_carros!$H$19="Todos",'Plan mensual'!G75,0)))/60</f>
        <v>4.98192600356599</v>
      </c>
      <c r="F122" s="41" t="n">
        <f aca="false">(parametros_carros!$D$19*('Plan mensual'!H68+IF(parametros_carros!$H$19="Todos",'Plan mensual'!H72,0))+parametros_carros!$E$19*('Plan mensual'!H69+IF(parametros_carros!$H$19="Todos",'Plan mensual'!H73,0))+parametros_carros!$F$19*('Plan mensual'!H70+IF(parametros_carros!$H$19="Todos",'Plan mensual'!H74,0))+parametros_carros!$G$19*('Plan mensual'!H71+IF(parametros_carros!$H$19="Todos",'Plan mensual'!H75,0)))/60</f>
        <v>4.98192600356599</v>
      </c>
      <c r="G122" s="41" t="n">
        <f aca="false">(parametros_carros!$D$19*('Plan mensual'!I68+IF(parametros_carros!$H$19="Todos",'Plan mensual'!I72,0))+parametros_carros!$E$19*('Plan mensual'!I69+IF(parametros_carros!$H$19="Todos",'Plan mensual'!I73,0))+parametros_carros!$F$19*('Plan mensual'!I70+IF(parametros_carros!$H$19="Todos",'Plan mensual'!I74,0))+parametros_carros!$G$19*('Plan mensual'!I71+IF(parametros_carros!$H$19="Todos",'Plan mensual'!I75,0)))/60</f>
        <v>4.42837866983643</v>
      </c>
      <c r="H122" s="41" t="n">
        <f aca="false">(parametros_carros!$D$19*('Plan mensual'!J68+IF(parametros_carros!$H$19="Todos",'Plan mensual'!J72,0))+parametros_carros!$E$19*('Plan mensual'!J69+IF(parametros_carros!$H$19="Todos",'Plan mensual'!J73,0))+parametros_carros!$F$19*('Plan mensual'!J70+IF(parametros_carros!$H$19="Todos",'Plan mensual'!J74,0))+parametros_carros!$G$19*('Plan mensual'!J71+IF(parametros_carros!$H$19="Todos",'Plan mensual'!J75,0)))/60</f>
        <v>4.98192600356599</v>
      </c>
      <c r="I122" s="41" t="n">
        <f aca="false">(parametros_carros!$D$19*('Plan mensual'!K68+IF(parametros_carros!$H$19="Todos",'Plan mensual'!K72,0))+parametros_carros!$E$19*('Plan mensual'!K69+IF(parametros_carros!$H$19="Todos",'Plan mensual'!K73,0))+parametros_carros!$F$19*('Plan mensual'!K70+IF(parametros_carros!$H$19="Todos",'Plan mensual'!K74,0))+parametros_carros!$G$19*('Plan mensual'!K71+IF(parametros_carros!$H$19="Todos",'Plan mensual'!K75,0)))/60</f>
        <v>4.98192600356599</v>
      </c>
      <c r="J122" s="41" t="n">
        <f aca="false">(parametros_carros!$D$19*('Plan mensual'!L68+IF(parametros_carros!$H$19="Todos",'Plan mensual'!L72,0))+parametros_carros!$E$19*('Plan mensual'!L69+IF(parametros_carros!$H$19="Todos",'Plan mensual'!L73,0))+parametros_carros!$F$19*('Plan mensual'!L70+IF(parametros_carros!$H$19="Todos",'Plan mensual'!L74,0))+parametros_carros!$G$19*('Plan mensual'!L71+IF(parametros_carros!$H$19="Todos",'Plan mensual'!L75,0)))/60</f>
        <v>4.70515233670121</v>
      </c>
      <c r="K122" s="41" t="n">
        <f aca="false">(parametros_carros!$D$19*('Plan mensual'!M68+IF(parametros_carros!$H$19="Todos",'Plan mensual'!M72,0))+parametros_carros!$E$19*('Plan mensual'!M69+IF(parametros_carros!$H$19="Todos",'Plan mensual'!M73,0))+parametros_carros!$F$19*('Plan mensual'!M70+IF(parametros_carros!$H$19="Todos",'Plan mensual'!M74,0))+parametros_carros!$G$19*('Plan mensual'!M71+IF(parametros_carros!$H$19="Todos",'Plan mensual'!M75,0)))/60</f>
        <v>4.15160500297166</v>
      </c>
      <c r="L122" s="41" t="n">
        <f aca="false">(parametros_carros!$D$19*('Plan mensual'!N68+IF(parametros_carros!$H$19="Todos",'Plan mensual'!N72,0))+parametros_carros!$E$19*('Plan mensual'!N69+IF(parametros_carros!$H$19="Todos",'Plan mensual'!N73,0))+parametros_carros!$F$19*('Plan mensual'!N70+IF(parametros_carros!$H$19="Todos",'Plan mensual'!N74,0))+parametros_carros!$G$19*('Plan mensual'!N71+IF(parametros_carros!$H$19="Todos",'Plan mensual'!N75,0)))/60</f>
        <v>3.87483133610688</v>
      </c>
      <c r="M122" s="41" t="n">
        <f aca="false">(parametros_carros!$D$19*('Plan mensual'!O68+IF(parametros_carros!$H$19="Todos",'Plan mensual'!O72,0))+parametros_carros!$E$19*('Plan mensual'!O69+IF(parametros_carros!$H$19="Todos",'Plan mensual'!O73,0))+parametros_carros!$F$19*('Plan mensual'!O70+IF(parametros_carros!$H$19="Todos",'Plan mensual'!O74,0))+parametros_carros!$G$19*('Plan mensual'!O71+IF(parametros_carros!$H$19="Todos",'Plan mensual'!O75,0)))/60</f>
        <v>4.42837866983643</v>
      </c>
      <c r="N122" s="41" t="n">
        <f aca="false">SUM(B122:M122)</f>
        <v>55.3547333729554</v>
      </c>
      <c r="O122" s="41" t="n">
        <f aca="false">MAX(B122:M122)</f>
        <v>4.98192600356599</v>
      </c>
      <c r="P122" s="45" t="n">
        <f aca="false">IF(parametros_carros!$B$7=0,0,(O122+parametros_carros!$G$45)/parametros_carros!$B$7)</f>
        <v>0.0813239511348844</v>
      </c>
      <c r="Q122" s="29" t="str">
        <f aca="false">IF(O122=0,"-",INDEX($B$121:$M$121,MATCH(O122,B122:M122,0)))</f>
        <v>Mar</v>
      </c>
    </row>
    <row r="123" customFormat="false" ht="14.25" hidden="false" customHeight="true" outlineLevel="0" collapsed="false">
      <c r="A123" s="12" t="str">
        <f aca="false">parametros_carros!$B$20</f>
        <v>Corte de chapa (guillotina)</v>
      </c>
      <c r="B123" s="41" t="n">
        <f aca="false">(parametros_carros!$D$20*('Plan mensual'!D68+IF(parametros_carros!$H$20="Todos",'Plan mensual'!D72,0))+parametros_carros!$E$20*('Plan mensual'!D69+IF(parametros_carros!$H$20="Todos",'Plan mensual'!D73,0))+parametros_carros!$F$20*('Plan mensual'!D70+IF(parametros_carros!$H$20="Todos",'Plan mensual'!D74,0))+parametros_carros!$G$20*('Plan mensual'!D71+IF(parametros_carros!$H$20="Todos",'Plan mensual'!D75,0)))/60</f>
        <v>10.3461321680371</v>
      </c>
      <c r="C123" s="41" t="n">
        <f aca="false">(parametros_carros!$D$20*('Plan mensual'!E68+IF(parametros_carros!$H$20="Todos",'Plan mensual'!E72,0))+parametros_carros!$E$20*('Plan mensual'!E69+IF(parametros_carros!$H$20="Todos",'Plan mensual'!E73,0))+parametros_carros!$F$20*('Plan mensual'!E70+IF(parametros_carros!$H$20="Todos",'Plan mensual'!E74,0))+parametros_carros!$G$20*('Plan mensual'!E71+IF(parametros_carros!$H$20="Todos",'Plan mensual'!E75,0)))/60</f>
        <v>9.12894014826803</v>
      </c>
      <c r="D123" s="41" t="n">
        <f aca="false">(parametros_carros!$D$20*('Plan mensual'!F68+IF(parametros_carros!$H$20="Todos",'Plan mensual'!F72,0))+parametros_carros!$E$20*('Plan mensual'!F69+IF(parametros_carros!$H$20="Todos",'Plan mensual'!F73,0))+parametros_carros!$F$20*('Plan mensual'!F70+IF(parametros_carros!$H$20="Todos",'Plan mensual'!F74,0))+parametros_carros!$G$20*('Plan mensual'!F71+IF(parametros_carros!$H$20="Todos",'Plan mensual'!F75,0)))/60</f>
        <v>10.9547281779216</v>
      </c>
      <c r="E123" s="41" t="n">
        <f aca="false">(parametros_carros!$D$20*('Plan mensual'!G68+IF(parametros_carros!$H$20="Todos",'Plan mensual'!G72,0))+parametros_carros!$E$20*('Plan mensual'!G69+IF(parametros_carros!$H$20="Todos",'Plan mensual'!G73,0))+parametros_carros!$F$20*('Plan mensual'!G70+IF(parametros_carros!$H$20="Todos",'Plan mensual'!G74,0))+parametros_carros!$G$20*('Plan mensual'!G71+IF(parametros_carros!$H$20="Todos",'Plan mensual'!G75,0)))/60</f>
        <v>10.9547281779216</v>
      </c>
      <c r="F123" s="41" t="n">
        <f aca="false">(parametros_carros!$D$20*('Plan mensual'!H68+IF(parametros_carros!$H$20="Todos",'Plan mensual'!H72,0))+parametros_carros!$E$20*('Plan mensual'!H69+IF(parametros_carros!$H$20="Todos",'Plan mensual'!H73,0))+parametros_carros!$F$20*('Plan mensual'!H70+IF(parametros_carros!$H$20="Todos",'Plan mensual'!H74,0))+parametros_carros!$G$20*('Plan mensual'!H71+IF(parametros_carros!$H$20="Todos",'Plan mensual'!H75,0)))/60</f>
        <v>10.9547281779216</v>
      </c>
      <c r="G123" s="41" t="n">
        <f aca="false">(parametros_carros!$D$20*('Plan mensual'!I68+IF(parametros_carros!$H$20="Todos",'Plan mensual'!I72,0))+parametros_carros!$E$20*('Plan mensual'!I69+IF(parametros_carros!$H$20="Todos",'Plan mensual'!I73,0))+parametros_carros!$F$20*('Plan mensual'!I70+IF(parametros_carros!$H$20="Todos",'Plan mensual'!I74,0))+parametros_carros!$G$20*('Plan mensual'!I71+IF(parametros_carros!$H$20="Todos",'Plan mensual'!I75,0)))/60</f>
        <v>9.73753615815257</v>
      </c>
      <c r="H123" s="41" t="n">
        <f aca="false">(parametros_carros!$D$20*('Plan mensual'!J68+IF(parametros_carros!$H$20="Todos",'Plan mensual'!J72,0))+parametros_carros!$E$20*('Plan mensual'!J69+IF(parametros_carros!$H$20="Todos",'Plan mensual'!J73,0))+parametros_carros!$F$20*('Plan mensual'!J70+IF(parametros_carros!$H$20="Todos",'Plan mensual'!J74,0))+parametros_carros!$G$20*('Plan mensual'!J71+IF(parametros_carros!$H$20="Todos",'Plan mensual'!J75,0)))/60</f>
        <v>10.9547281779216</v>
      </c>
      <c r="I123" s="41" t="n">
        <f aca="false">(parametros_carros!$D$20*('Plan mensual'!K68+IF(parametros_carros!$H$20="Todos",'Plan mensual'!K72,0))+parametros_carros!$E$20*('Plan mensual'!K69+IF(parametros_carros!$H$20="Todos",'Plan mensual'!K73,0))+parametros_carros!$F$20*('Plan mensual'!K70+IF(parametros_carros!$H$20="Todos",'Plan mensual'!K74,0))+parametros_carros!$G$20*('Plan mensual'!K71+IF(parametros_carros!$H$20="Todos",'Plan mensual'!K75,0)))/60</f>
        <v>10.9547281779216</v>
      </c>
      <c r="J123" s="41" t="n">
        <f aca="false">(parametros_carros!$D$20*('Plan mensual'!L68+IF(parametros_carros!$H$20="Todos",'Plan mensual'!L72,0))+parametros_carros!$E$20*('Plan mensual'!L69+IF(parametros_carros!$H$20="Todos",'Plan mensual'!L73,0))+parametros_carros!$F$20*('Plan mensual'!L70+IF(parametros_carros!$H$20="Todos",'Plan mensual'!L74,0))+parametros_carros!$G$20*('Plan mensual'!L71+IF(parametros_carros!$H$20="Todos",'Plan mensual'!L75,0)))/60</f>
        <v>10.3461321680371</v>
      </c>
      <c r="K123" s="41" t="n">
        <f aca="false">(parametros_carros!$D$20*('Plan mensual'!M68+IF(parametros_carros!$H$20="Todos",'Plan mensual'!M72,0))+parametros_carros!$E$20*('Plan mensual'!M69+IF(parametros_carros!$H$20="Todos",'Plan mensual'!M73,0))+parametros_carros!$F$20*('Plan mensual'!M70+IF(parametros_carros!$H$20="Todos",'Plan mensual'!M74,0))+parametros_carros!$G$20*('Plan mensual'!M71+IF(parametros_carros!$H$20="Todos",'Plan mensual'!M75,0)))/60</f>
        <v>9.12894014826803</v>
      </c>
      <c r="L123" s="41" t="n">
        <f aca="false">(parametros_carros!$D$20*('Plan mensual'!N68+IF(parametros_carros!$H$20="Todos",'Plan mensual'!N72,0))+parametros_carros!$E$20*('Plan mensual'!N69+IF(parametros_carros!$H$20="Todos",'Plan mensual'!N73,0))+parametros_carros!$F$20*('Plan mensual'!N70+IF(parametros_carros!$H$20="Todos",'Plan mensual'!N74,0))+parametros_carros!$G$20*('Plan mensual'!N71+IF(parametros_carros!$H$20="Todos",'Plan mensual'!N75,0)))/60</f>
        <v>8.5203441383835</v>
      </c>
      <c r="M123" s="41" t="n">
        <f aca="false">(parametros_carros!$D$20*('Plan mensual'!O68+IF(parametros_carros!$H$20="Todos",'Plan mensual'!O72,0))+parametros_carros!$E$20*('Plan mensual'!O69+IF(parametros_carros!$H$20="Todos",'Plan mensual'!O73,0))+parametros_carros!$F$20*('Plan mensual'!O70+IF(parametros_carros!$H$20="Todos",'Plan mensual'!O74,0))+parametros_carros!$G$20*('Plan mensual'!O71+IF(parametros_carros!$H$20="Todos",'Plan mensual'!O75,0)))/60</f>
        <v>9.73753615815257</v>
      </c>
      <c r="N123" s="41" t="n">
        <f aca="false">SUM(B123:M123)</f>
        <v>121.719201976907</v>
      </c>
      <c r="O123" s="41" t="n">
        <f aca="false">MAX(B123:M123)</f>
        <v>10.9547281779216</v>
      </c>
      <c r="P123" s="45" t="n">
        <f aca="false">IF(parametros_carros!$B$7=0,0,(O123+parametros_carros!$G$46)/parametros_carros!$B$7)</f>
        <v>0.135253743408366</v>
      </c>
      <c r="Q123" s="29" t="str">
        <f aca="false">IF(O123=0,"-",INDEX($B$121:$M$121,MATCH(O123,B123:M123,0)))</f>
        <v>Mar</v>
      </c>
    </row>
    <row r="124" customFormat="false" ht="14.25" hidden="false" customHeight="true" outlineLevel="0" collapsed="false">
      <c r="A124" s="12" t="str">
        <f aca="false">parametros_carros!$B$21</f>
        <v>Marcado del cuerpo</v>
      </c>
      <c r="B124" s="41" t="n">
        <f aca="false">(parametros_carros!$D$21*('Plan mensual'!D68+IF(parametros_carros!$H$21="Todos",'Plan mensual'!D72,0))+parametros_carros!$E$21*('Plan mensual'!D69+IF(parametros_carros!$H$21="Todos",'Plan mensual'!D73,0))+parametros_carros!$F$21*('Plan mensual'!D70+IF(parametros_carros!$H$21="Todos",'Plan mensual'!D74,0))+parametros_carros!$G$21*('Plan mensual'!D71+IF(parametros_carros!$H$21="Todos",'Plan mensual'!D75,0)))/60</f>
        <v>4.118173181063</v>
      </c>
      <c r="C124" s="41" t="n">
        <f aca="false">(parametros_carros!$D$21*('Plan mensual'!E68+IF(parametros_carros!$H$21="Todos",'Plan mensual'!E72,0))+parametros_carros!$E$21*('Plan mensual'!E69+IF(parametros_carros!$H$21="Todos",'Plan mensual'!E73,0))+parametros_carros!$F$21*('Plan mensual'!E70+IF(parametros_carros!$H$21="Todos",'Plan mensual'!E74,0))+parametros_carros!$G$21*('Plan mensual'!E71+IF(parametros_carros!$H$21="Todos",'Plan mensual'!E75,0)))/60</f>
        <v>3.633682218585</v>
      </c>
      <c r="D124" s="41" t="n">
        <f aca="false">(parametros_carros!$D$21*('Plan mensual'!F68+IF(parametros_carros!$H$21="Todos",'Plan mensual'!F72,0))+parametros_carros!$E$21*('Plan mensual'!F69+IF(parametros_carros!$H$21="Todos",'Plan mensual'!F73,0))+parametros_carros!$F$21*('Plan mensual'!F70+IF(parametros_carros!$H$21="Todos",'Plan mensual'!F74,0))+parametros_carros!$G$21*('Plan mensual'!F71+IF(parametros_carros!$H$21="Todos",'Plan mensual'!F75,0)))/60</f>
        <v>4.360418662302</v>
      </c>
      <c r="E124" s="41" t="n">
        <f aca="false">(parametros_carros!$D$21*('Plan mensual'!G68+IF(parametros_carros!$H$21="Todos",'Plan mensual'!G72,0))+parametros_carros!$E$21*('Plan mensual'!G69+IF(parametros_carros!$H$21="Todos",'Plan mensual'!G73,0))+parametros_carros!$F$21*('Plan mensual'!G70+IF(parametros_carros!$H$21="Todos",'Plan mensual'!G74,0))+parametros_carros!$G$21*('Plan mensual'!G71+IF(parametros_carros!$H$21="Todos",'Plan mensual'!G75,0)))/60</f>
        <v>4.360418662302</v>
      </c>
      <c r="F124" s="41" t="n">
        <f aca="false">(parametros_carros!$D$21*('Plan mensual'!H68+IF(parametros_carros!$H$21="Todos",'Plan mensual'!H72,0))+parametros_carros!$E$21*('Plan mensual'!H69+IF(parametros_carros!$H$21="Todos",'Plan mensual'!H73,0))+parametros_carros!$F$21*('Plan mensual'!H70+IF(parametros_carros!$H$21="Todos",'Plan mensual'!H74,0))+parametros_carros!$G$21*('Plan mensual'!H71+IF(parametros_carros!$H$21="Todos",'Plan mensual'!H75,0)))/60</f>
        <v>4.360418662302</v>
      </c>
      <c r="G124" s="41" t="n">
        <f aca="false">(parametros_carros!$D$21*('Plan mensual'!I68+IF(parametros_carros!$H$21="Todos",'Plan mensual'!I72,0))+parametros_carros!$E$21*('Plan mensual'!I69+IF(parametros_carros!$H$21="Todos",'Plan mensual'!I73,0))+parametros_carros!$F$21*('Plan mensual'!I70+IF(parametros_carros!$H$21="Todos",'Plan mensual'!I74,0))+parametros_carros!$G$21*('Plan mensual'!I71+IF(parametros_carros!$H$21="Todos",'Plan mensual'!I75,0)))/60</f>
        <v>3.875927699824</v>
      </c>
      <c r="H124" s="41" t="n">
        <f aca="false">(parametros_carros!$D$21*('Plan mensual'!J68+IF(parametros_carros!$H$21="Todos",'Plan mensual'!J72,0))+parametros_carros!$E$21*('Plan mensual'!J69+IF(parametros_carros!$H$21="Todos",'Plan mensual'!J73,0))+parametros_carros!$F$21*('Plan mensual'!J70+IF(parametros_carros!$H$21="Todos",'Plan mensual'!J74,0))+parametros_carros!$G$21*('Plan mensual'!J71+IF(parametros_carros!$H$21="Todos",'Plan mensual'!J75,0)))/60</f>
        <v>4.360418662302</v>
      </c>
      <c r="I124" s="41" t="n">
        <f aca="false">(parametros_carros!$D$21*('Plan mensual'!K68+IF(parametros_carros!$H$21="Todos",'Plan mensual'!K72,0))+parametros_carros!$E$21*('Plan mensual'!K69+IF(parametros_carros!$H$21="Todos",'Plan mensual'!K73,0))+parametros_carros!$F$21*('Plan mensual'!K70+IF(parametros_carros!$H$21="Todos",'Plan mensual'!K74,0))+parametros_carros!$G$21*('Plan mensual'!K71+IF(parametros_carros!$H$21="Todos",'Plan mensual'!K75,0)))/60</f>
        <v>4.360418662302</v>
      </c>
      <c r="J124" s="41" t="n">
        <f aca="false">(parametros_carros!$D$21*('Plan mensual'!L68+IF(parametros_carros!$H$21="Todos",'Plan mensual'!L72,0))+parametros_carros!$E$21*('Plan mensual'!L69+IF(parametros_carros!$H$21="Todos",'Plan mensual'!L73,0))+parametros_carros!$F$21*('Plan mensual'!L70+IF(parametros_carros!$H$21="Todos",'Plan mensual'!L74,0))+parametros_carros!$G$21*('Plan mensual'!L71+IF(parametros_carros!$H$21="Todos",'Plan mensual'!L75,0)))/60</f>
        <v>4.118173181063</v>
      </c>
      <c r="K124" s="41" t="n">
        <f aca="false">(parametros_carros!$D$21*('Plan mensual'!M68+IF(parametros_carros!$H$21="Todos",'Plan mensual'!M72,0))+parametros_carros!$E$21*('Plan mensual'!M69+IF(parametros_carros!$H$21="Todos",'Plan mensual'!M73,0))+parametros_carros!$F$21*('Plan mensual'!M70+IF(parametros_carros!$H$21="Todos",'Plan mensual'!M74,0))+parametros_carros!$G$21*('Plan mensual'!M71+IF(parametros_carros!$H$21="Todos",'Plan mensual'!M75,0)))/60</f>
        <v>3.633682218585</v>
      </c>
      <c r="L124" s="41" t="n">
        <f aca="false">(parametros_carros!$D$21*('Plan mensual'!N68+IF(parametros_carros!$H$21="Todos",'Plan mensual'!N72,0))+parametros_carros!$E$21*('Plan mensual'!N69+IF(parametros_carros!$H$21="Todos",'Plan mensual'!N73,0))+parametros_carros!$F$21*('Plan mensual'!N70+IF(parametros_carros!$H$21="Todos",'Plan mensual'!N74,0))+parametros_carros!$G$21*('Plan mensual'!N71+IF(parametros_carros!$H$21="Todos",'Plan mensual'!N75,0)))/60</f>
        <v>3.391436737346</v>
      </c>
      <c r="M124" s="41" t="n">
        <f aca="false">(parametros_carros!$D$21*('Plan mensual'!O68+IF(parametros_carros!$H$21="Todos",'Plan mensual'!O72,0))+parametros_carros!$E$21*('Plan mensual'!O69+IF(parametros_carros!$H$21="Todos",'Plan mensual'!O73,0))+parametros_carros!$F$21*('Plan mensual'!O70+IF(parametros_carros!$H$21="Todos",'Plan mensual'!O74,0))+parametros_carros!$G$21*('Plan mensual'!O71+IF(parametros_carros!$H$21="Todos",'Plan mensual'!O75,0)))/60</f>
        <v>3.875927699824</v>
      </c>
      <c r="N124" s="41" t="n">
        <f aca="false">SUM(B124:M124)</f>
        <v>48.4490962478</v>
      </c>
      <c r="O124" s="41" t="n">
        <f aca="false">MAX(B124:M124)</f>
        <v>4.360418662302</v>
      </c>
      <c r="P124" s="45" t="n">
        <f aca="false">IF(parametros_carros!$B$7=0,0,(O124+parametros_carros!$G$47)/parametros_carros!$B$7)</f>
        <v>0.0412916799709022</v>
      </c>
      <c r="Q124" s="29" t="str">
        <f aca="false">IF(O124=0,"-",INDEX($B$121:$M$121,MATCH(O124,B124:M124,0)))</f>
        <v>Mar</v>
      </c>
    </row>
    <row r="125" customFormat="false" ht="14.25" hidden="false" customHeight="true" outlineLevel="0" collapsed="false">
      <c r="A125" s="12" t="str">
        <f aca="false">parametros_carros!$B$22</f>
        <v>Cilindrado</v>
      </c>
      <c r="B125" s="41" t="n">
        <f aca="false">(parametros_carros!$D$22*('Plan mensual'!D68+IF(parametros_carros!$H$22="Todos",'Plan mensual'!D72,0))+parametros_carros!$E$22*('Plan mensual'!D69+IF(parametros_carros!$H$22="Todos",'Plan mensual'!D73,0))+parametros_carros!$F$22*('Plan mensual'!D70+IF(parametros_carros!$H$22="Todos",'Plan mensual'!D74,0))+parametros_carros!$G$22*('Plan mensual'!D71+IF(parametros_carros!$H$22="Todos",'Plan mensual'!D75,0)))/60</f>
        <v>8.81608953043739</v>
      </c>
      <c r="C125" s="41" t="n">
        <f aca="false">(parametros_carros!$D$22*('Plan mensual'!E68+IF(parametros_carros!$H$22="Todos",'Plan mensual'!E72,0))+parametros_carros!$E$22*('Plan mensual'!E69+IF(parametros_carros!$H$22="Todos",'Plan mensual'!E73,0))+parametros_carros!$F$22*('Plan mensual'!E70+IF(parametros_carros!$H$22="Todos",'Plan mensual'!E74,0))+parametros_carros!$G$22*('Plan mensual'!E71+IF(parametros_carros!$H$22="Todos",'Plan mensual'!E75,0)))/60</f>
        <v>7.77890252685652</v>
      </c>
      <c r="D125" s="41" t="n">
        <f aca="false">(parametros_carros!$D$22*('Plan mensual'!F68+IF(parametros_carros!$H$22="Todos",'Plan mensual'!F72,0))+parametros_carros!$E$22*('Plan mensual'!F69+IF(parametros_carros!$H$22="Todos",'Plan mensual'!F73,0))+parametros_carros!$F$22*('Plan mensual'!F70+IF(parametros_carros!$H$22="Todos",'Plan mensual'!F74,0))+parametros_carros!$G$22*('Plan mensual'!F71+IF(parametros_carros!$H$22="Todos",'Plan mensual'!F75,0)))/60</f>
        <v>9.33468303222783</v>
      </c>
      <c r="E125" s="41" t="n">
        <f aca="false">(parametros_carros!$D$22*('Plan mensual'!G68+IF(parametros_carros!$H$22="Todos",'Plan mensual'!G72,0))+parametros_carros!$E$22*('Plan mensual'!G69+IF(parametros_carros!$H$22="Todos",'Plan mensual'!G73,0))+parametros_carros!$F$22*('Plan mensual'!G70+IF(parametros_carros!$H$22="Todos",'Plan mensual'!G74,0))+parametros_carros!$G$22*('Plan mensual'!G71+IF(parametros_carros!$H$22="Todos",'Plan mensual'!G75,0)))/60</f>
        <v>9.33468303222783</v>
      </c>
      <c r="F125" s="41" t="n">
        <f aca="false">(parametros_carros!$D$22*('Plan mensual'!H68+IF(parametros_carros!$H$22="Todos",'Plan mensual'!H72,0))+parametros_carros!$E$22*('Plan mensual'!H69+IF(parametros_carros!$H$22="Todos",'Plan mensual'!H73,0))+parametros_carros!$F$22*('Plan mensual'!H70+IF(parametros_carros!$H$22="Todos",'Plan mensual'!H74,0))+parametros_carros!$G$22*('Plan mensual'!H71+IF(parametros_carros!$H$22="Todos",'Plan mensual'!H75,0)))/60</f>
        <v>9.33468303222783</v>
      </c>
      <c r="G125" s="41" t="n">
        <f aca="false">(parametros_carros!$D$22*('Plan mensual'!I68+IF(parametros_carros!$H$22="Todos",'Plan mensual'!I72,0))+parametros_carros!$E$22*('Plan mensual'!I69+IF(parametros_carros!$H$22="Todos",'Plan mensual'!I73,0))+parametros_carros!$F$22*('Plan mensual'!I70+IF(parametros_carros!$H$22="Todos",'Plan mensual'!I74,0))+parametros_carros!$G$22*('Plan mensual'!I71+IF(parametros_carros!$H$22="Todos",'Plan mensual'!I75,0)))/60</f>
        <v>8.29749602864696</v>
      </c>
      <c r="H125" s="41" t="n">
        <f aca="false">(parametros_carros!$D$22*('Plan mensual'!J68+IF(parametros_carros!$H$22="Todos",'Plan mensual'!J72,0))+parametros_carros!$E$22*('Plan mensual'!J69+IF(parametros_carros!$H$22="Todos",'Plan mensual'!J73,0))+parametros_carros!$F$22*('Plan mensual'!J70+IF(parametros_carros!$H$22="Todos",'Plan mensual'!J74,0))+parametros_carros!$G$22*('Plan mensual'!J71+IF(parametros_carros!$H$22="Todos",'Plan mensual'!J75,0)))/60</f>
        <v>9.33468303222783</v>
      </c>
      <c r="I125" s="41" t="n">
        <f aca="false">(parametros_carros!$D$22*('Plan mensual'!K68+IF(parametros_carros!$H$22="Todos",'Plan mensual'!K72,0))+parametros_carros!$E$22*('Plan mensual'!K69+IF(parametros_carros!$H$22="Todos",'Plan mensual'!K73,0))+parametros_carros!$F$22*('Plan mensual'!K70+IF(parametros_carros!$H$22="Todos",'Plan mensual'!K74,0))+parametros_carros!$G$22*('Plan mensual'!K71+IF(parametros_carros!$H$22="Todos",'Plan mensual'!K75,0)))/60</f>
        <v>9.33468303222783</v>
      </c>
      <c r="J125" s="41" t="n">
        <f aca="false">(parametros_carros!$D$22*('Plan mensual'!L68+IF(parametros_carros!$H$22="Todos",'Plan mensual'!L72,0))+parametros_carros!$E$22*('Plan mensual'!L69+IF(parametros_carros!$H$22="Todos",'Plan mensual'!L73,0))+parametros_carros!$F$22*('Plan mensual'!L70+IF(parametros_carros!$H$22="Todos",'Plan mensual'!L74,0))+parametros_carros!$G$22*('Plan mensual'!L71+IF(parametros_carros!$H$22="Todos",'Plan mensual'!L75,0)))/60</f>
        <v>8.81608953043739</v>
      </c>
      <c r="K125" s="41" t="n">
        <f aca="false">(parametros_carros!$D$22*('Plan mensual'!M68+IF(parametros_carros!$H$22="Todos",'Plan mensual'!M72,0))+parametros_carros!$E$22*('Plan mensual'!M69+IF(parametros_carros!$H$22="Todos",'Plan mensual'!M73,0))+parametros_carros!$F$22*('Plan mensual'!M70+IF(parametros_carros!$H$22="Todos",'Plan mensual'!M74,0))+parametros_carros!$G$22*('Plan mensual'!M71+IF(parametros_carros!$H$22="Todos",'Plan mensual'!M75,0)))/60</f>
        <v>7.77890252685652</v>
      </c>
      <c r="L125" s="41" t="n">
        <f aca="false">(parametros_carros!$D$22*('Plan mensual'!N68+IF(parametros_carros!$H$22="Todos",'Plan mensual'!N72,0))+parametros_carros!$E$22*('Plan mensual'!N69+IF(parametros_carros!$H$22="Todos",'Plan mensual'!N73,0))+parametros_carros!$F$22*('Plan mensual'!N70+IF(parametros_carros!$H$22="Todos",'Plan mensual'!N74,0))+parametros_carros!$G$22*('Plan mensual'!N71+IF(parametros_carros!$H$22="Todos",'Plan mensual'!N75,0)))/60</f>
        <v>7.26030902506609</v>
      </c>
      <c r="M125" s="41" t="n">
        <f aca="false">(parametros_carros!$D$22*('Plan mensual'!O68+IF(parametros_carros!$H$22="Todos",'Plan mensual'!O72,0))+parametros_carros!$E$22*('Plan mensual'!O69+IF(parametros_carros!$H$22="Todos",'Plan mensual'!O73,0))+parametros_carros!$F$22*('Plan mensual'!O70+IF(parametros_carros!$H$22="Todos",'Plan mensual'!O74,0))+parametros_carros!$G$22*('Plan mensual'!O71+IF(parametros_carros!$H$22="Todos",'Plan mensual'!O75,0)))/60</f>
        <v>8.29749602864696</v>
      </c>
      <c r="N125" s="41" t="n">
        <f aca="false">SUM(B125:M125)</f>
        <v>103.718700358087</v>
      </c>
      <c r="O125" s="41" t="n">
        <f aca="false">MAX(B125:M125)</f>
        <v>9.33468303222783</v>
      </c>
      <c r="P125" s="45" t="n">
        <f aca="false">IF(parametros_carros!$B$7=0,0,(O125+parametros_carros!$G$48)/parametros_carros!$B$7)</f>
        <v>0.102231220214852</v>
      </c>
      <c r="Q125" s="29" t="str">
        <f aca="false">IF(O125=0,"-",INDEX($B$121:$M$121,MATCH(O125,B125:M125,0)))</f>
        <v>Mar</v>
      </c>
    </row>
    <row r="126" customFormat="false" ht="14.25" hidden="false" customHeight="true" outlineLevel="0" collapsed="false">
      <c r="A126" s="12" t="str">
        <f aca="false">parametros_carros!$B$23</f>
        <v>Punteo del cuerpo</v>
      </c>
      <c r="B126" s="41" t="n">
        <f aca="false">(parametros_carros!$D$23*('Plan mensual'!D68+IF(parametros_carros!$H$23="Todos",'Plan mensual'!D72,0))+parametros_carros!$E$23*('Plan mensual'!D69+IF(parametros_carros!$H$23="Todos",'Plan mensual'!D73,0))+parametros_carros!$F$23*('Plan mensual'!D70+IF(parametros_carros!$H$23="Todos",'Plan mensual'!D74,0))+parametros_carros!$G$23*('Plan mensual'!D71+IF(parametros_carros!$H$23="Todos",'Plan mensual'!D75,0)))/60</f>
        <v>13.0752044974474</v>
      </c>
      <c r="C126" s="41" t="n">
        <f aca="false">(parametros_carros!$D$23*('Plan mensual'!E68+IF(parametros_carros!$H$23="Todos",'Plan mensual'!E72,0))+parametros_carros!$E$23*('Plan mensual'!E69+IF(parametros_carros!$H$23="Todos",'Plan mensual'!E73,0))+parametros_carros!$F$23*('Plan mensual'!E70+IF(parametros_carros!$H$23="Todos",'Plan mensual'!E74,0))+parametros_carros!$G$23*('Plan mensual'!E71+IF(parametros_carros!$H$23="Todos",'Plan mensual'!E75,0)))/60</f>
        <v>11.5369451448065</v>
      </c>
      <c r="D126" s="41" t="n">
        <f aca="false">(parametros_carros!$D$23*('Plan mensual'!F68+IF(parametros_carros!$H$23="Todos",'Plan mensual'!F72,0))+parametros_carros!$E$23*('Plan mensual'!F69+IF(parametros_carros!$H$23="Todos",'Plan mensual'!F73,0))+parametros_carros!$F$23*('Plan mensual'!F70+IF(parametros_carros!$H$23="Todos",'Plan mensual'!F74,0))+parametros_carros!$G$23*('Plan mensual'!F71+IF(parametros_carros!$H$23="Todos",'Plan mensual'!F75,0)))/60</f>
        <v>13.8443341737678</v>
      </c>
      <c r="E126" s="41" t="n">
        <f aca="false">(parametros_carros!$D$23*('Plan mensual'!G68+IF(parametros_carros!$H$23="Todos",'Plan mensual'!G72,0))+parametros_carros!$E$23*('Plan mensual'!G69+IF(parametros_carros!$H$23="Todos",'Plan mensual'!G73,0))+parametros_carros!$F$23*('Plan mensual'!G70+IF(parametros_carros!$H$23="Todos",'Plan mensual'!G74,0))+parametros_carros!$G$23*('Plan mensual'!G71+IF(parametros_carros!$H$23="Todos",'Plan mensual'!G75,0)))/60</f>
        <v>13.8443341737678</v>
      </c>
      <c r="F126" s="41" t="n">
        <f aca="false">(parametros_carros!$D$23*('Plan mensual'!H68+IF(parametros_carros!$H$23="Todos",'Plan mensual'!H72,0))+parametros_carros!$E$23*('Plan mensual'!H69+IF(parametros_carros!$H$23="Todos",'Plan mensual'!H73,0))+parametros_carros!$F$23*('Plan mensual'!H70+IF(parametros_carros!$H$23="Todos",'Plan mensual'!H74,0))+parametros_carros!$G$23*('Plan mensual'!H71+IF(parametros_carros!$H$23="Todos",'Plan mensual'!H75,0)))/60</f>
        <v>13.8443341737678</v>
      </c>
      <c r="G126" s="41" t="n">
        <f aca="false">(parametros_carros!$D$23*('Plan mensual'!I68+IF(parametros_carros!$H$23="Todos",'Plan mensual'!I72,0))+parametros_carros!$E$23*('Plan mensual'!I69+IF(parametros_carros!$H$23="Todos",'Plan mensual'!I73,0))+parametros_carros!$F$23*('Plan mensual'!I70+IF(parametros_carros!$H$23="Todos",'Plan mensual'!I74,0))+parametros_carros!$G$23*('Plan mensual'!I71+IF(parametros_carros!$H$23="Todos",'Plan mensual'!I75,0)))/60</f>
        <v>12.306074821127</v>
      </c>
      <c r="H126" s="41" t="n">
        <f aca="false">(parametros_carros!$D$23*('Plan mensual'!J68+IF(parametros_carros!$H$23="Todos",'Plan mensual'!J72,0))+parametros_carros!$E$23*('Plan mensual'!J69+IF(parametros_carros!$H$23="Todos",'Plan mensual'!J73,0))+parametros_carros!$F$23*('Plan mensual'!J70+IF(parametros_carros!$H$23="Todos",'Plan mensual'!J74,0))+parametros_carros!$G$23*('Plan mensual'!J71+IF(parametros_carros!$H$23="Todos",'Plan mensual'!J75,0)))/60</f>
        <v>13.8443341737678</v>
      </c>
      <c r="I126" s="41" t="n">
        <f aca="false">(parametros_carros!$D$23*('Plan mensual'!K68+IF(parametros_carros!$H$23="Todos",'Plan mensual'!K72,0))+parametros_carros!$E$23*('Plan mensual'!K69+IF(parametros_carros!$H$23="Todos",'Plan mensual'!K73,0))+parametros_carros!$F$23*('Plan mensual'!K70+IF(parametros_carros!$H$23="Todos",'Plan mensual'!K74,0))+parametros_carros!$G$23*('Plan mensual'!K71+IF(parametros_carros!$H$23="Todos",'Plan mensual'!K75,0)))/60</f>
        <v>13.8443341737678</v>
      </c>
      <c r="J126" s="41" t="n">
        <f aca="false">(parametros_carros!$D$23*('Plan mensual'!L68+IF(parametros_carros!$H$23="Todos",'Plan mensual'!L72,0))+parametros_carros!$E$23*('Plan mensual'!L69+IF(parametros_carros!$H$23="Todos",'Plan mensual'!L73,0))+parametros_carros!$F$23*('Plan mensual'!L70+IF(parametros_carros!$H$23="Todos",'Plan mensual'!L74,0))+parametros_carros!$G$23*('Plan mensual'!L71+IF(parametros_carros!$H$23="Todos",'Plan mensual'!L75,0)))/60</f>
        <v>13.0752044974474</v>
      </c>
      <c r="K126" s="41" t="n">
        <f aca="false">(parametros_carros!$D$23*('Plan mensual'!M68+IF(parametros_carros!$H$23="Todos",'Plan mensual'!M72,0))+parametros_carros!$E$23*('Plan mensual'!M69+IF(parametros_carros!$H$23="Todos",'Plan mensual'!M73,0))+parametros_carros!$F$23*('Plan mensual'!M70+IF(parametros_carros!$H$23="Todos",'Plan mensual'!M74,0))+parametros_carros!$G$23*('Plan mensual'!M71+IF(parametros_carros!$H$23="Todos",'Plan mensual'!M75,0)))/60</f>
        <v>11.5369451448065</v>
      </c>
      <c r="L126" s="41" t="n">
        <f aca="false">(parametros_carros!$D$23*('Plan mensual'!N68+IF(parametros_carros!$H$23="Todos",'Plan mensual'!N72,0))+parametros_carros!$E$23*('Plan mensual'!N69+IF(parametros_carros!$H$23="Todos",'Plan mensual'!N73,0))+parametros_carros!$F$23*('Plan mensual'!N70+IF(parametros_carros!$H$23="Todos",'Plan mensual'!N74,0))+parametros_carros!$G$23*('Plan mensual'!N71+IF(parametros_carros!$H$23="Todos",'Plan mensual'!N75,0)))/60</f>
        <v>10.7678154684861</v>
      </c>
      <c r="M126" s="41" t="n">
        <f aca="false">(parametros_carros!$D$23*('Plan mensual'!O68+IF(parametros_carros!$H$23="Todos",'Plan mensual'!O72,0))+parametros_carros!$E$23*('Plan mensual'!O69+IF(parametros_carros!$H$23="Todos",'Plan mensual'!O73,0))+parametros_carros!$F$23*('Plan mensual'!O70+IF(parametros_carros!$H$23="Todos",'Plan mensual'!O74,0))+parametros_carros!$G$23*('Plan mensual'!O71+IF(parametros_carros!$H$23="Todos",'Plan mensual'!O75,0)))/60</f>
        <v>12.306074821127</v>
      </c>
      <c r="N126" s="41" t="n">
        <f aca="false">SUM(B126:M126)</f>
        <v>153.825935264087</v>
      </c>
      <c r="O126" s="41" t="n">
        <f aca="false">MAX(B126:M126)</f>
        <v>13.8443341737678</v>
      </c>
      <c r="P126" s="45" t="n">
        <f aca="false">IF(parametros_carros!$B$7=0,0,(O126+parametros_carros!$G$49)/parametros_carros!$B$7)</f>
        <v>0.103406672269563</v>
      </c>
      <c r="Q126" s="29" t="str">
        <f aca="false">IF(O126=0,"-",INDEX($B$121:$M$121,MATCH(O126,B126:M126,0)))</f>
        <v>Mar</v>
      </c>
    </row>
    <row r="127" customFormat="false" ht="14.25" hidden="false" customHeight="true" outlineLevel="0" collapsed="false">
      <c r="A127" s="12" t="str">
        <f aca="false">parametros_carros!$B$24</f>
        <v>Soldadura longitudinal</v>
      </c>
      <c r="B127" s="41" t="n">
        <f aca="false">(parametros_carros!$D$24*('Plan mensual'!D68+IF(parametros_carros!$H$24="Todos",'Plan mensual'!D72,0))+parametros_carros!$E$24*('Plan mensual'!D69+IF(parametros_carros!$H$24="Todos",'Plan mensual'!D73,0))+parametros_carros!$F$24*('Plan mensual'!D70+IF(parametros_carros!$H$24="Todos",'Plan mensual'!D74,0))+parametros_carros!$G$24*('Plan mensual'!D71+IF(parametros_carros!$H$24="Todos",'Plan mensual'!D75,0)))/60</f>
        <v>8.9781457453635</v>
      </c>
      <c r="C127" s="41" t="n">
        <f aca="false">(parametros_carros!$D$24*('Plan mensual'!E68+IF(parametros_carros!$H$24="Todos",'Plan mensual'!E72,0))+parametros_carros!$E$24*('Plan mensual'!E69+IF(parametros_carros!$H$24="Todos",'Plan mensual'!E73,0))+parametros_carros!$F$24*('Plan mensual'!E70+IF(parametros_carros!$H$24="Todos",'Plan mensual'!E74,0))+parametros_carros!$G$24*('Plan mensual'!E71+IF(parametros_carros!$H$24="Todos",'Plan mensual'!E75,0)))/60</f>
        <v>7.9218933047325</v>
      </c>
      <c r="D127" s="41" t="n">
        <f aca="false">(parametros_carros!$D$24*('Plan mensual'!F68+IF(parametros_carros!$H$24="Todos",'Plan mensual'!F72,0))+parametros_carros!$E$24*('Plan mensual'!F69+IF(parametros_carros!$H$24="Todos",'Plan mensual'!F73,0))+parametros_carros!$F$24*('Plan mensual'!F70+IF(parametros_carros!$H$24="Todos",'Plan mensual'!F74,0))+parametros_carros!$G$24*('Plan mensual'!F71+IF(parametros_carros!$H$24="Todos",'Plan mensual'!F75,0)))/60</f>
        <v>9.506271965679</v>
      </c>
      <c r="E127" s="41" t="n">
        <f aca="false">(parametros_carros!$D$24*('Plan mensual'!G68+IF(parametros_carros!$H$24="Todos",'Plan mensual'!G72,0))+parametros_carros!$E$24*('Plan mensual'!G69+IF(parametros_carros!$H$24="Todos",'Plan mensual'!G73,0))+parametros_carros!$F$24*('Plan mensual'!G70+IF(parametros_carros!$H$24="Todos",'Plan mensual'!G74,0))+parametros_carros!$G$24*('Plan mensual'!G71+IF(parametros_carros!$H$24="Todos",'Plan mensual'!G75,0)))/60</f>
        <v>9.506271965679</v>
      </c>
      <c r="F127" s="41" t="n">
        <f aca="false">(parametros_carros!$D$24*('Plan mensual'!H68+IF(parametros_carros!$H$24="Todos",'Plan mensual'!H72,0))+parametros_carros!$E$24*('Plan mensual'!H69+IF(parametros_carros!$H$24="Todos",'Plan mensual'!H73,0))+parametros_carros!$F$24*('Plan mensual'!H70+IF(parametros_carros!$H$24="Todos",'Plan mensual'!H74,0))+parametros_carros!$G$24*('Plan mensual'!H71+IF(parametros_carros!$H$24="Todos",'Plan mensual'!H75,0)))/60</f>
        <v>9.506271965679</v>
      </c>
      <c r="G127" s="41" t="n">
        <f aca="false">(parametros_carros!$D$24*('Plan mensual'!I68+IF(parametros_carros!$H$24="Todos",'Plan mensual'!I72,0))+parametros_carros!$E$24*('Plan mensual'!I69+IF(parametros_carros!$H$24="Todos",'Plan mensual'!I73,0))+parametros_carros!$F$24*('Plan mensual'!I70+IF(parametros_carros!$H$24="Todos",'Plan mensual'!I74,0))+parametros_carros!$G$24*('Plan mensual'!I71+IF(parametros_carros!$H$24="Todos",'Plan mensual'!I75,0)))/60</f>
        <v>8.450019525048</v>
      </c>
      <c r="H127" s="41" t="n">
        <f aca="false">(parametros_carros!$D$24*('Plan mensual'!J68+IF(parametros_carros!$H$24="Todos",'Plan mensual'!J72,0))+parametros_carros!$E$24*('Plan mensual'!J69+IF(parametros_carros!$H$24="Todos",'Plan mensual'!J73,0))+parametros_carros!$F$24*('Plan mensual'!J70+IF(parametros_carros!$H$24="Todos",'Plan mensual'!J74,0))+parametros_carros!$G$24*('Plan mensual'!J71+IF(parametros_carros!$H$24="Todos",'Plan mensual'!J75,0)))/60</f>
        <v>9.506271965679</v>
      </c>
      <c r="I127" s="41" t="n">
        <f aca="false">(parametros_carros!$D$24*('Plan mensual'!K68+IF(parametros_carros!$H$24="Todos",'Plan mensual'!K72,0))+parametros_carros!$E$24*('Plan mensual'!K69+IF(parametros_carros!$H$24="Todos",'Plan mensual'!K73,0))+parametros_carros!$F$24*('Plan mensual'!K70+IF(parametros_carros!$H$24="Todos",'Plan mensual'!K74,0))+parametros_carros!$G$24*('Plan mensual'!K71+IF(parametros_carros!$H$24="Todos",'Plan mensual'!K75,0)))/60</f>
        <v>9.506271965679</v>
      </c>
      <c r="J127" s="41" t="n">
        <f aca="false">(parametros_carros!$D$24*('Plan mensual'!L68+IF(parametros_carros!$H$24="Todos",'Plan mensual'!L72,0))+parametros_carros!$E$24*('Plan mensual'!L69+IF(parametros_carros!$H$24="Todos",'Plan mensual'!L73,0))+parametros_carros!$F$24*('Plan mensual'!L70+IF(parametros_carros!$H$24="Todos",'Plan mensual'!L74,0))+parametros_carros!$G$24*('Plan mensual'!L71+IF(parametros_carros!$H$24="Todos",'Plan mensual'!L75,0)))/60</f>
        <v>8.9781457453635</v>
      </c>
      <c r="K127" s="41" t="n">
        <f aca="false">(parametros_carros!$D$24*('Plan mensual'!M68+IF(parametros_carros!$H$24="Todos",'Plan mensual'!M72,0))+parametros_carros!$E$24*('Plan mensual'!M69+IF(parametros_carros!$H$24="Todos",'Plan mensual'!M73,0))+parametros_carros!$F$24*('Plan mensual'!M70+IF(parametros_carros!$H$24="Todos",'Plan mensual'!M74,0))+parametros_carros!$G$24*('Plan mensual'!M71+IF(parametros_carros!$H$24="Todos",'Plan mensual'!M75,0)))/60</f>
        <v>7.9218933047325</v>
      </c>
      <c r="L127" s="41" t="n">
        <f aca="false">(parametros_carros!$D$24*('Plan mensual'!N68+IF(parametros_carros!$H$24="Todos",'Plan mensual'!N72,0))+parametros_carros!$E$24*('Plan mensual'!N69+IF(parametros_carros!$H$24="Todos",'Plan mensual'!N73,0))+parametros_carros!$F$24*('Plan mensual'!N70+IF(parametros_carros!$H$24="Todos",'Plan mensual'!N74,0))+parametros_carros!$G$24*('Plan mensual'!N71+IF(parametros_carros!$H$24="Todos",'Plan mensual'!N75,0)))/60</f>
        <v>7.393767084417</v>
      </c>
      <c r="M127" s="41" t="n">
        <f aca="false">(parametros_carros!$D$24*('Plan mensual'!O68+IF(parametros_carros!$H$24="Todos",'Plan mensual'!O72,0))+parametros_carros!$E$24*('Plan mensual'!O69+IF(parametros_carros!$H$24="Todos",'Plan mensual'!O73,0))+parametros_carros!$F$24*('Plan mensual'!O70+IF(parametros_carros!$H$24="Todos",'Plan mensual'!O74,0))+parametros_carros!$G$24*('Plan mensual'!O71+IF(parametros_carros!$H$24="Todos",'Plan mensual'!O75,0)))/60</f>
        <v>8.450019525048</v>
      </c>
      <c r="N127" s="41" t="n">
        <f aca="false">SUM(B127:M127)</f>
        <v>105.6252440631</v>
      </c>
      <c r="O127" s="41" t="n">
        <f aca="false">MAX(B127:M127)</f>
        <v>9.506271965679</v>
      </c>
      <c r="P127" s="45" t="n">
        <f aca="false">IF(parametros_carros!$B$7=0,0,(O127+parametros_carros!$G$50)/parametros_carros!$B$7)</f>
        <v>0.0811529242156378</v>
      </c>
      <c r="Q127" s="29" t="str">
        <f aca="false">IF(O127=0,"-",INDEX($B$121:$M$121,MATCH(O127,B127:M127,0)))</f>
        <v>Mar</v>
      </c>
    </row>
    <row r="128" customFormat="false" ht="14.25" hidden="false" customHeight="true" outlineLevel="0" collapsed="false">
      <c r="A128" s="12" t="str">
        <f aca="false">parametros_carros!$B$25</f>
        <v>Soldadura de cupla en la cúpula</v>
      </c>
      <c r="B128" s="41" t="n">
        <f aca="false">(parametros_carros!$D$25*('Plan mensual'!D68+IF(parametros_carros!$H$25="Todos",'Plan mensual'!D72,0))+parametros_carros!$E$25*('Plan mensual'!D69+IF(parametros_carros!$H$25="Todos",'Plan mensual'!D73,0))+parametros_carros!$F$25*('Plan mensual'!D70+IF(parametros_carros!$H$25="Todos",'Plan mensual'!D74,0))+parametros_carros!$G$25*('Plan mensual'!D71+IF(parametros_carros!$H$25="Todos",'Plan mensual'!D75,0)))/60</f>
        <v>8.87008582587667</v>
      </c>
      <c r="C128" s="41" t="n">
        <f aca="false">(parametros_carros!$D$25*('Plan mensual'!E68+IF(parametros_carros!$H$25="Todos",'Plan mensual'!E72,0))+parametros_carros!$E$25*('Plan mensual'!E69+IF(parametros_carros!$H$25="Todos",'Plan mensual'!E73,0))+parametros_carros!$F$25*('Plan mensual'!E70+IF(parametros_carros!$H$25="Todos",'Plan mensual'!E74,0))+parametros_carros!$G$25*('Plan mensual'!E71+IF(parametros_carros!$H$25="Todos",'Plan mensual'!E75,0)))/60</f>
        <v>7.82654631695</v>
      </c>
      <c r="D128" s="41" t="n">
        <f aca="false">(parametros_carros!$D$25*('Plan mensual'!F68+IF(parametros_carros!$H$25="Todos",'Plan mensual'!F72,0))+parametros_carros!$E$25*('Plan mensual'!F69+IF(parametros_carros!$H$25="Todos",'Plan mensual'!F73,0))+parametros_carros!$F$25*('Plan mensual'!F70+IF(parametros_carros!$H$25="Todos",'Plan mensual'!F74,0))+parametros_carros!$G$25*('Plan mensual'!F71+IF(parametros_carros!$H$25="Todos",'Plan mensual'!F75,0)))/60</f>
        <v>9.39185558034</v>
      </c>
      <c r="E128" s="41" t="n">
        <f aca="false">(parametros_carros!$D$25*('Plan mensual'!G68+IF(parametros_carros!$H$25="Todos",'Plan mensual'!G72,0))+parametros_carros!$E$25*('Plan mensual'!G69+IF(parametros_carros!$H$25="Todos",'Plan mensual'!G73,0))+parametros_carros!$F$25*('Plan mensual'!G70+IF(parametros_carros!$H$25="Todos",'Plan mensual'!G74,0))+parametros_carros!$G$25*('Plan mensual'!G71+IF(parametros_carros!$H$25="Todos",'Plan mensual'!G75,0)))/60</f>
        <v>9.39185558034</v>
      </c>
      <c r="F128" s="41" t="n">
        <f aca="false">(parametros_carros!$D$25*('Plan mensual'!H68+IF(parametros_carros!$H$25="Todos",'Plan mensual'!H72,0))+parametros_carros!$E$25*('Plan mensual'!H69+IF(parametros_carros!$H$25="Todos",'Plan mensual'!H73,0))+parametros_carros!$F$25*('Plan mensual'!H70+IF(parametros_carros!$H$25="Todos",'Plan mensual'!H74,0))+parametros_carros!$G$25*('Plan mensual'!H71+IF(parametros_carros!$H$25="Todos",'Plan mensual'!H75,0)))/60</f>
        <v>9.39185558034</v>
      </c>
      <c r="G128" s="41" t="n">
        <f aca="false">(parametros_carros!$D$25*('Plan mensual'!I68+IF(parametros_carros!$H$25="Todos",'Plan mensual'!I72,0))+parametros_carros!$E$25*('Plan mensual'!I69+IF(parametros_carros!$H$25="Todos",'Plan mensual'!I73,0))+parametros_carros!$F$25*('Plan mensual'!I70+IF(parametros_carros!$H$25="Todos",'Plan mensual'!I74,0))+parametros_carros!$G$25*('Plan mensual'!I71+IF(parametros_carros!$H$25="Todos",'Plan mensual'!I75,0)))/60</f>
        <v>8.34831607141333</v>
      </c>
      <c r="H128" s="41" t="n">
        <f aca="false">(parametros_carros!$D$25*('Plan mensual'!J68+IF(parametros_carros!$H$25="Todos",'Plan mensual'!J72,0))+parametros_carros!$E$25*('Plan mensual'!J69+IF(parametros_carros!$H$25="Todos",'Plan mensual'!J73,0))+parametros_carros!$F$25*('Plan mensual'!J70+IF(parametros_carros!$H$25="Todos",'Plan mensual'!J74,0))+parametros_carros!$G$25*('Plan mensual'!J71+IF(parametros_carros!$H$25="Todos",'Plan mensual'!J75,0)))/60</f>
        <v>9.39185558034</v>
      </c>
      <c r="I128" s="41" t="n">
        <f aca="false">(parametros_carros!$D$25*('Plan mensual'!K68+IF(parametros_carros!$H$25="Todos",'Plan mensual'!K72,0))+parametros_carros!$E$25*('Plan mensual'!K69+IF(parametros_carros!$H$25="Todos",'Plan mensual'!K73,0))+parametros_carros!$F$25*('Plan mensual'!K70+IF(parametros_carros!$H$25="Todos",'Plan mensual'!K74,0))+parametros_carros!$G$25*('Plan mensual'!K71+IF(parametros_carros!$H$25="Todos",'Plan mensual'!K75,0)))/60</f>
        <v>9.39185558034</v>
      </c>
      <c r="J128" s="41" t="n">
        <f aca="false">(parametros_carros!$D$25*('Plan mensual'!L68+IF(parametros_carros!$H$25="Todos",'Plan mensual'!L72,0))+parametros_carros!$E$25*('Plan mensual'!L69+IF(parametros_carros!$H$25="Todos",'Plan mensual'!L73,0))+parametros_carros!$F$25*('Plan mensual'!L70+IF(parametros_carros!$H$25="Todos",'Plan mensual'!L74,0))+parametros_carros!$G$25*('Plan mensual'!L71+IF(parametros_carros!$H$25="Todos",'Plan mensual'!L75,0)))/60</f>
        <v>8.87008582587667</v>
      </c>
      <c r="K128" s="41" t="n">
        <f aca="false">(parametros_carros!$D$25*('Plan mensual'!M68+IF(parametros_carros!$H$25="Todos",'Plan mensual'!M72,0))+parametros_carros!$E$25*('Plan mensual'!M69+IF(parametros_carros!$H$25="Todos",'Plan mensual'!M73,0))+parametros_carros!$F$25*('Plan mensual'!M70+IF(parametros_carros!$H$25="Todos",'Plan mensual'!M74,0))+parametros_carros!$G$25*('Plan mensual'!M71+IF(parametros_carros!$H$25="Todos",'Plan mensual'!M75,0)))/60</f>
        <v>7.82654631695</v>
      </c>
      <c r="L128" s="41" t="n">
        <f aca="false">(parametros_carros!$D$25*('Plan mensual'!N68+IF(parametros_carros!$H$25="Todos",'Plan mensual'!N72,0))+parametros_carros!$E$25*('Plan mensual'!N69+IF(parametros_carros!$H$25="Todos",'Plan mensual'!N73,0))+parametros_carros!$F$25*('Plan mensual'!N70+IF(parametros_carros!$H$25="Todos",'Plan mensual'!N74,0))+parametros_carros!$G$25*('Plan mensual'!N71+IF(parametros_carros!$H$25="Todos",'Plan mensual'!N75,0)))/60</f>
        <v>7.30477656248667</v>
      </c>
      <c r="M128" s="41" t="n">
        <f aca="false">(parametros_carros!$D$25*('Plan mensual'!O68+IF(parametros_carros!$H$25="Todos",'Plan mensual'!O72,0))+parametros_carros!$E$25*('Plan mensual'!O69+IF(parametros_carros!$H$25="Todos",'Plan mensual'!O73,0))+parametros_carros!$F$25*('Plan mensual'!O70+IF(parametros_carros!$H$25="Todos",'Plan mensual'!O74,0))+parametros_carros!$G$25*('Plan mensual'!O71+IF(parametros_carros!$H$25="Todos",'Plan mensual'!O75,0)))/60</f>
        <v>8.34831607141333</v>
      </c>
      <c r="N128" s="41" t="n">
        <f aca="false">SUM(B128:M128)</f>
        <v>104.353950892667</v>
      </c>
      <c r="O128" s="41" t="n">
        <f aca="false">MAX(B128:M128)</f>
        <v>9.39185558034</v>
      </c>
      <c r="P128" s="45" t="n">
        <f aca="false">IF(parametros_carros!$B$7=0,0,(O128+parametros_carros!$G$51)/parametros_carros!$B$7)</f>
        <v>0.0826123705356</v>
      </c>
      <c r="Q128" s="29" t="str">
        <f aca="false">IF(O128=0,"-",INDEX($B$121:$M$121,MATCH(O128,B128:M128,0)))</f>
        <v>Mar</v>
      </c>
    </row>
    <row r="129" customFormat="false" ht="14.25" hidden="false" customHeight="true" outlineLevel="0" collapsed="false">
      <c r="A129" s="12" t="str">
        <f aca="false">parametros_carros!$B$26</f>
        <v>Armado y soldadura circunferencial</v>
      </c>
      <c r="B129" s="41" t="n">
        <f aca="false">(parametros_carros!$D$26*('Plan mensual'!D68+IF(parametros_carros!$H$26="Todos",'Plan mensual'!D72,0))+parametros_carros!$E$26*('Plan mensual'!D69+IF(parametros_carros!$H$26="Todos",'Plan mensual'!D73,0))+parametros_carros!$F$26*('Plan mensual'!D70+IF(parametros_carros!$H$26="Todos",'Plan mensual'!D74,0))+parametros_carros!$G$26*('Plan mensual'!D71+IF(parametros_carros!$H$26="Todos",'Plan mensual'!D75,0)))/60</f>
        <v>41.9488839403832</v>
      </c>
      <c r="C129" s="41" t="n">
        <f aca="false">(parametros_carros!$D$26*('Plan mensual'!E68+IF(parametros_carros!$H$26="Todos",'Plan mensual'!E72,0))+parametros_carros!$E$26*('Plan mensual'!E69+IF(parametros_carros!$H$26="Todos",'Plan mensual'!E73,0))+parametros_carros!$F$26*('Plan mensual'!E70+IF(parametros_carros!$H$26="Todos",'Plan mensual'!E74,0))+parametros_carros!$G$26*('Plan mensual'!E71+IF(parametros_carros!$H$26="Todos",'Plan mensual'!E75,0)))/60</f>
        <v>37.0137211238675</v>
      </c>
      <c r="D129" s="41" t="n">
        <f aca="false">(parametros_carros!$D$26*('Plan mensual'!F68+IF(parametros_carros!$H$26="Todos",'Plan mensual'!F72,0))+parametros_carros!$E$26*('Plan mensual'!F69+IF(parametros_carros!$H$26="Todos",'Plan mensual'!F73,0))+parametros_carros!$F$26*('Plan mensual'!F70+IF(parametros_carros!$H$26="Todos",'Plan mensual'!F74,0))+parametros_carros!$G$26*('Plan mensual'!F71+IF(parametros_carros!$H$26="Todos",'Plan mensual'!F75,0)))/60</f>
        <v>44.416465348641</v>
      </c>
      <c r="E129" s="41" t="n">
        <f aca="false">(parametros_carros!$D$26*('Plan mensual'!G68+IF(parametros_carros!$H$26="Todos",'Plan mensual'!G72,0))+parametros_carros!$E$26*('Plan mensual'!G69+IF(parametros_carros!$H$26="Todos",'Plan mensual'!G73,0))+parametros_carros!$F$26*('Plan mensual'!G70+IF(parametros_carros!$H$26="Todos",'Plan mensual'!G74,0))+parametros_carros!$G$26*('Plan mensual'!G71+IF(parametros_carros!$H$26="Todos",'Plan mensual'!G75,0)))/60</f>
        <v>44.416465348641</v>
      </c>
      <c r="F129" s="41" t="n">
        <f aca="false">(parametros_carros!$D$26*('Plan mensual'!H68+IF(parametros_carros!$H$26="Todos",'Plan mensual'!H72,0))+parametros_carros!$E$26*('Plan mensual'!H69+IF(parametros_carros!$H$26="Todos",'Plan mensual'!H73,0))+parametros_carros!$F$26*('Plan mensual'!H70+IF(parametros_carros!$H$26="Todos",'Plan mensual'!H74,0))+parametros_carros!$G$26*('Plan mensual'!H71+IF(parametros_carros!$H$26="Todos",'Plan mensual'!H75,0)))/60</f>
        <v>44.416465348641</v>
      </c>
      <c r="G129" s="41" t="n">
        <f aca="false">(parametros_carros!$D$26*('Plan mensual'!I68+IF(parametros_carros!$H$26="Todos",'Plan mensual'!I72,0))+parametros_carros!$E$26*('Plan mensual'!I69+IF(parametros_carros!$H$26="Todos",'Plan mensual'!I73,0))+parametros_carros!$F$26*('Plan mensual'!I70+IF(parametros_carros!$H$26="Todos",'Plan mensual'!I74,0))+parametros_carros!$G$26*('Plan mensual'!I71+IF(parametros_carros!$H$26="Todos",'Plan mensual'!I75,0)))/60</f>
        <v>39.4813025321253</v>
      </c>
      <c r="H129" s="41" t="n">
        <f aca="false">(parametros_carros!$D$26*('Plan mensual'!J68+IF(parametros_carros!$H$26="Todos",'Plan mensual'!J72,0))+parametros_carros!$E$26*('Plan mensual'!J69+IF(parametros_carros!$H$26="Todos",'Plan mensual'!J73,0))+parametros_carros!$F$26*('Plan mensual'!J70+IF(parametros_carros!$H$26="Todos",'Plan mensual'!J74,0))+parametros_carros!$G$26*('Plan mensual'!J71+IF(parametros_carros!$H$26="Todos",'Plan mensual'!J75,0)))/60</f>
        <v>44.416465348641</v>
      </c>
      <c r="I129" s="41" t="n">
        <f aca="false">(parametros_carros!$D$26*('Plan mensual'!K68+IF(parametros_carros!$H$26="Todos",'Plan mensual'!K72,0))+parametros_carros!$E$26*('Plan mensual'!K69+IF(parametros_carros!$H$26="Todos",'Plan mensual'!K73,0))+parametros_carros!$F$26*('Plan mensual'!K70+IF(parametros_carros!$H$26="Todos",'Plan mensual'!K74,0))+parametros_carros!$G$26*('Plan mensual'!K71+IF(parametros_carros!$H$26="Todos",'Plan mensual'!K75,0)))/60</f>
        <v>44.416465348641</v>
      </c>
      <c r="J129" s="41" t="n">
        <f aca="false">(parametros_carros!$D$26*('Plan mensual'!L68+IF(parametros_carros!$H$26="Todos",'Plan mensual'!L72,0))+parametros_carros!$E$26*('Plan mensual'!L69+IF(parametros_carros!$H$26="Todos",'Plan mensual'!L73,0))+parametros_carros!$F$26*('Plan mensual'!L70+IF(parametros_carros!$H$26="Todos",'Plan mensual'!L74,0))+parametros_carros!$G$26*('Plan mensual'!L71+IF(parametros_carros!$H$26="Todos",'Plan mensual'!L75,0)))/60</f>
        <v>41.9488839403832</v>
      </c>
      <c r="K129" s="41" t="n">
        <f aca="false">(parametros_carros!$D$26*('Plan mensual'!M68+IF(parametros_carros!$H$26="Todos",'Plan mensual'!M72,0))+parametros_carros!$E$26*('Plan mensual'!M69+IF(parametros_carros!$H$26="Todos",'Plan mensual'!M73,0))+parametros_carros!$F$26*('Plan mensual'!M70+IF(parametros_carros!$H$26="Todos",'Plan mensual'!M74,0))+parametros_carros!$G$26*('Plan mensual'!M71+IF(parametros_carros!$H$26="Todos",'Plan mensual'!M75,0)))/60</f>
        <v>37.0137211238675</v>
      </c>
      <c r="L129" s="41" t="n">
        <f aca="false">(parametros_carros!$D$26*('Plan mensual'!N68+IF(parametros_carros!$H$26="Todos",'Plan mensual'!N72,0))+parametros_carros!$E$26*('Plan mensual'!N69+IF(parametros_carros!$H$26="Todos",'Plan mensual'!N73,0))+parametros_carros!$F$26*('Plan mensual'!N70+IF(parametros_carros!$H$26="Todos",'Plan mensual'!N74,0))+parametros_carros!$G$26*('Plan mensual'!N71+IF(parametros_carros!$H$26="Todos",'Plan mensual'!N75,0)))/60</f>
        <v>34.5461397156097</v>
      </c>
      <c r="M129" s="41" t="n">
        <f aca="false">(parametros_carros!$D$26*('Plan mensual'!O68+IF(parametros_carros!$H$26="Todos",'Plan mensual'!O72,0))+parametros_carros!$E$26*('Plan mensual'!O69+IF(parametros_carros!$H$26="Todos",'Plan mensual'!O73,0))+parametros_carros!$F$26*('Plan mensual'!O70+IF(parametros_carros!$H$26="Todos",'Plan mensual'!O74,0))+parametros_carros!$G$26*('Plan mensual'!O71+IF(parametros_carros!$H$26="Todos",'Plan mensual'!O75,0)))/60</f>
        <v>39.4813025321253</v>
      </c>
      <c r="N129" s="41" t="n">
        <f aca="false">SUM(B129:M129)</f>
        <v>493.516281651567</v>
      </c>
      <c r="O129" s="41" t="n">
        <f aca="false">MAX(B129:M129)</f>
        <v>44.416465348641</v>
      </c>
      <c r="P129" s="45" t="n">
        <f aca="false">IF(parametros_carros!$B$7=0,0,(O129+parametros_carros!$G$52)/parametros_carros!$B$7)</f>
        <v>0.31610976899094</v>
      </c>
      <c r="Q129" s="29" t="str">
        <f aca="false">IF(O129=0,"-",INDEX($B$121:$M$121,MATCH(O129,B129:M129,0)))</f>
        <v>Mar</v>
      </c>
    </row>
    <row r="130" customFormat="false" ht="14.25" hidden="false" customHeight="true" outlineLevel="0" collapsed="false">
      <c r="A130" s="12" t="str">
        <f aca="false">parametros_carros!$B$27</f>
        <v>Soldadura de accesorios</v>
      </c>
      <c r="B130" s="41" t="n">
        <f aca="false">(parametros_carros!$D$27*('Plan mensual'!D68+IF(parametros_carros!$H$27="Todos",'Plan mensual'!D72,0))+parametros_carros!$E$27*('Plan mensual'!D69+IF(parametros_carros!$H$27="Todos",'Plan mensual'!D73,0))+parametros_carros!$F$27*('Plan mensual'!D70+IF(parametros_carros!$H$27="Todos",'Plan mensual'!D74,0))+parametros_carros!$G$27*('Plan mensual'!D71+IF(parametros_carros!$H$27="Todos",'Plan mensual'!D75,0)))/60</f>
        <v>42.7377432701452</v>
      </c>
      <c r="C130" s="41" t="n">
        <f aca="false">(parametros_carros!$D$27*('Plan mensual'!E68+IF(parametros_carros!$H$27="Todos",'Plan mensual'!E72,0))+parametros_carros!$E$27*('Plan mensual'!E69+IF(parametros_carros!$H$27="Todos",'Plan mensual'!E73,0))+parametros_carros!$F$27*('Plan mensual'!E70+IF(parametros_carros!$H$27="Todos",'Plan mensual'!E74,0))+parametros_carros!$G$27*('Plan mensual'!E71+IF(parametros_carros!$H$27="Todos",'Plan mensual'!E75,0)))/60</f>
        <v>37.7097734736575</v>
      </c>
      <c r="D130" s="41" t="n">
        <f aca="false">(parametros_carros!$D$27*('Plan mensual'!F68+IF(parametros_carros!$H$27="Todos",'Plan mensual'!F72,0))+parametros_carros!$E$27*('Plan mensual'!F69+IF(parametros_carros!$H$27="Todos",'Plan mensual'!F73,0))+parametros_carros!$F$27*('Plan mensual'!F70+IF(parametros_carros!$H$27="Todos",'Plan mensual'!F74,0))+parametros_carros!$G$27*('Plan mensual'!F71+IF(parametros_carros!$H$27="Todos",'Plan mensual'!F75,0)))/60</f>
        <v>45.251728168389</v>
      </c>
      <c r="E130" s="41" t="n">
        <f aca="false">(parametros_carros!$D$27*('Plan mensual'!G68+IF(parametros_carros!$H$27="Todos",'Plan mensual'!G72,0))+parametros_carros!$E$27*('Plan mensual'!G69+IF(parametros_carros!$H$27="Todos",'Plan mensual'!G73,0))+parametros_carros!$F$27*('Plan mensual'!G70+IF(parametros_carros!$H$27="Todos",'Plan mensual'!G74,0))+parametros_carros!$G$27*('Plan mensual'!G71+IF(parametros_carros!$H$27="Todos",'Plan mensual'!G75,0)))/60</f>
        <v>45.251728168389</v>
      </c>
      <c r="F130" s="41" t="n">
        <f aca="false">(parametros_carros!$D$27*('Plan mensual'!H68+IF(parametros_carros!$H$27="Todos",'Plan mensual'!H72,0))+parametros_carros!$E$27*('Plan mensual'!H69+IF(parametros_carros!$H$27="Todos",'Plan mensual'!H73,0))+parametros_carros!$F$27*('Plan mensual'!H70+IF(parametros_carros!$H$27="Todos",'Plan mensual'!H74,0))+parametros_carros!$G$27*('Plan mensual'!H71+IF(parametros_carros!$H$27="Todos",'Plan mensual'!H75,0)))/60</f>
        <v>45.251728168389</v>
      </c>
      <c r="G130" s="41" t="n">
        <f aca="false">(parametros_carros!$D$27*('Plan mensual'!I68+IF(parametros_carros!$H$27="Todos",'Plan mensual'!I72,0))+parametros_carros!$E$27*('Plan mensual'!I69+IF(parametros_carros!$H$27="Todos",'Plan mensual'!I73,0))+parametros_carros!$F$27*('Plan mensual'!I70+IF(parametros_carros!$H$27="Todos",'Plan mensual'!I74,0))+parametros_carros!$G$27*('Plan mensual'!I71+IF(parametros_carros!$H$27="Todos",'Plan mensual'!I75,0)))/60</f>
        <v>40.2237583719013</v>
      </c>
      <c r="H130" s="41" t="n">
        <f aca="false">(parametros_carros!$D$27*('Plan mensual'!J68+IF(parametros_carros!$H$27="Todos",'Plan mensual'!J72,0))+parametros_carros!$E$27*('Plan mensual'!J69+IF(parametros_carros!$H$27="Todos",'Plan mensual'!J73,0))+parametros_carros!$F$27*('Plan mensual'!J70+IF(parametros_carros!$H$27="Todos",'Plan mensual'!J74,0))+parametros_carros!$G$27*('Plan mensual'!J71+IF(parametros_carros!$H$27="Todos",'Plan mensual'!J75,0)))/60</f>
        <v>45.251728168389</v>
      </c>
      <c r="I130" s="41" t="n">
        <f aca="false">(parametros_carros!$D$27*('Plan mensual'!K68+IF(parametros_carros!$H$27="Todos",'Plan mensual'!K72,0))+parametros_carros!$E$27*('Plan mensual'!K69+IF(parametros_carros!$H$27="Todos",'Plan mensual'!K73,0))+parametros_carros!$F$27*('Plan mensual'!K70+IF(parametros_carros!$H$27="Todos",'Plan mensual'!K74,0))+parametros_carros!$G$27*('Plan mensual'!K71+IF(parametros_carros!$H$27="Todos",'Plan mensual'!K75,0)))/60</f>
        <v>45.251728168389</v>
      </c>
      <c r="J130" s="41" t="n">
        <f aca="false">(parametros_carros!$D$27*('Plan mensual'!L68+IF(parametros_carros!$H$27="Todos",'Plan mensual'!L72,0))+parametros_carros!$E$27*('Plan mensual'!L69+IF(parametros_carros!$H$27="Todos",'Plan mensual'!L73,0))+parametros_carros!$F$27*('Plan mensual'!L70+IF(parametros_carros!$H$27="Todos",'Plan mensual'!L74,0))+parametros_carros!$G$27*('Plan mensual'!L71+IF(parametros_carros!$H$27="Todos",'Plan mensual'!L75,0)))/60</f>
        <v>42.7377432701452</v>
      </c>
      <c r="K130" s="41" t="n">
        <f aca="false">(parametros_carros!$D$27*('Plan mensual'!M68+IF(parametros_carros!$H$27="Todos",'Plan mensual'!M72,0))+parametros_carros!$E$27*('Plan mensual'!M69+IF(parametros_carros!$H$27="Todos",'Plan mensual'!M73,0))+parametros_carros!$F$27*('Plan mensual'!M70+IF(parametros_carros!$H$27="Todos",'Plan mensual'!M74,0))+parametros_carros!$G$27*('Plan mensual'!M71+IF(parametros_carros!$H$27="Todos",'Plan mensual'!M75,0)))/60</f>
        <v>37.7097734736575</v>
      </c>
      <c r="L130" s="41" t="n">
        <f aca="false">(parametros_carros!$D$27*('Plan mensual'!N68+IF(parametros_carros!$H$27="Todos",'Plan mensual'!N72,0))+parametros_carros!$E$27*('Plan mensual'!N69+IF(parametros_carros!$H$27="Todos",'Plan mensual'!N73,0))+parametros_carros!$F$27*('Plan mensual'!N70+IF(parametros_carros!$H$27="Todos",'Plan mensual'!N74,0))+parametros_carros!$G$27*('Plan mensual'!N71+IF(parametros_carros!$H$27="Todos",'Plan mensual'!N75,0)))/60</f>
        <v>35.1957885754137</v>
      </c>
      <c r="M130" s="41" t="n">
        <f aca="false">(parametros_carros!$D$27*('Plan mensual'!O68+IF(parametros_carros!$H$27="Todos",'Plan mensual'!O72,0))+parametros_carros!$E$27*('Plan mensual'!O69+IF(parametros_carros!$H$27="Todos",'Plan mensual'!O73,0))+parametros_carros!$F$27*('Plan mensual'!O70+IF(parametros_carros!$H$27="Todos",'Plan mensual'!O74,0))+parametros_carros!$G$27*('Plan mensual'!O71+IF(parametros_carros!$H$27="Todos",'Plan mensual'!O75,0)))/60</f>
        <v>40.2237583719013</v>
      </c>
      <c r="N130" s="41" t="n">
        <f aca="false">SUM(B130:M130)</f>
        <v>502.796979648767</v>
      </c>
      <c r="O130" s="41" t="n">
        <f aca="false">MAX(B130:M130)</f>
        <v>45.251728168389</v>
      </c>
      <c r="P130" s="45" t="n">
        <f aca="false">IF(parametros_carros!$B$7=0,0,(O130+parametros_carros!$G$53)/parametros_carros!$B$7)</f>
        <v>0.32167818778926</v>
      </c>
      <c r="Q130" s="29" t="str">
        <f aca="false">IF(O130=0,"-",INDEX($B$121:$M$121,MATCH(O130,B130:M130,0)))</f>
        <v>Mar</v>
      </c>
    </row>
    <row r="131" customFormat="false" ht="14.25" hidden="false" customHeight="true" outlineLevel="0" collapsed="false">
      <c r="A131" s="12" t="str">
        <f aca="false">parametros_carros!$B$28</f>
        <v>Fabricación de accesorios</v>
      </c>
      <c r="B131" s="41" t="n">
        <f aca="false">(parametros_carros!$D$28*('Plan mensual'!D68+IF(parametros_carros!$H$28="Todos",'Plan mensual'!D72,0))+parametros_carros!$E$28*('Plan mensual'!D69+IF(parametros_carros!$H$28="Todos",'Plan mensual'!D73,0))+parametros_carros!$F$28*('Plan mensual'!D70+IF(parametros_carros!$H$28="Todos",'Plan mensual'!D74,0))+parametros_carros!$G$28*('Plan mensual'!D71+IF(parametros_carros!$H$28="Todos",'Plan mensual'!D75,0)))/60</f>
        <v>29.0360031998392</v>
      </c>
      <c r="C131" s="41" t="n">
        <f aca="false">(parametros_carros!$D$28*('Plan mensual'!E68+IF(parametros_carros!$H$28="Todos",'Plan mensual'!E72,0))+parametros_carros!$E$28*('Plan mensual'!E69+IF(parametros_carros!$H$28="Todos",'Plan mensual'!E73,0))+parametros_carros!$F$28*('Plan mensual'!E70+IF(parametros_carros!$H$28="Todos",'Plan mensual'!E74,0))+parametros_carros!$G$28*('Plan mensual'!E71+IF(parametros_carros!$H$28="Todos",'Plan mensual'!E75,0)))/60</f>
        <v>25.6200028233875</v>
      </c>
      <c r="D131" s="41" t="n">
        <f aca="false">(parametros_carros!$D$28*('Plan mensual'!F68+IF(parametros_carros!$H$28="Todos",'Plan mensual'!F72,0))+parametros_carros!$E$28*('Plan mensual'!F69+IF(parametros_carros!$H$28="Todos",'Plan mensual'!F73,0))+parametros_carros!$F$28*('Plan mensual'!F70+IF(parametros_carros!$H$28="Todos",'Plan mensual'!F74,0))+parametros_carros!$G$28*('Plan mensual'!F71+IF(parametros_carros!$H$28="Todos",'Plan mensual'!F75,0)))/60</f>
        <v>30.744003388065</v>
      </c>
      <c r="E131" s="41" t="n">
        <f aca="false">(parametros_carros!$D$28*('Plan mensual'!G68+IF(parametros_carros!$H$28="Todos",'Plan mensual'!G72,0))+parametros_carros!$E$28*('Plan mensual'!G69+IF(parametros_carros!$H$28="Todos",'Plan mensual'!G73,0))+parametros_carros!$F$28*('Plan mensual'!G70+IF(parametros_carros!$H$28="Todos",'Plan mensual'!G74,0))+parametros_carros!$G$28*('Plan mensual'!G71+IF(parametros_carros!$H$28="Todos",'Plan mensual'!G75,0)))/60</f>
        <v>30.744003388065</v>
      </c>
      <c r="F131" s="41" t="n">
        <f aca="false">(parametros_carros!$D$28*('Plan mensual'!H68+IF(parametros_carros!$H$28="Todos",'Plan mensual'!H72,0))+parametros_carros!$E$28*('Plan mensual'!H69+IF(parametros_carros!$H$28="Todos",'Plan mensual'!H73,0))+parametros_carros!$F$28*('Plan mensual'!H70+IF(parametros_carros!$H$28="Todos",'Plan mensual'!H74,0))+parametros_carros!$G$28*('Plan mensual'!H71+IF(parametros_carros!$H$28="Todos",'Plan mensual'!H75,0)))/60</f>
        <v>30.744003388065</v>
      </c>
      <c r="G131" s="41" t="n">
        <f aca="false">(parametros_carros!$D$28*('Plan mensual'!I68+IF(parametros_carros!$H$28="Todos",'Plan mensual'!I72,0))+parametros_carros!$E$28*('Plan mensual'!I69+IF(parametros_carros!$H$28="Todos",'Plan mensual'!I73,0))+parametros_carros!$F$28*('Plan mensual'!I70+IF(parametros_carros!$H$28="Todos",'Plan mensual'!I74,0))+parametros_carros!$G$28*('Plan mensual'!I71+IF(parametros_carros!$H$28="Todos",'Plan mensual'!I75,0)))/60</f>
        <v>27.3280030116133</v>
      </c>
      <c r="H131" s="41" t="n">
        <f aca="false">(parametros_carros!$D$28*('Plan mensual'!J68+IF(parametros_carros!$H$28="Todos",'Plan mensual'!J72,0))+parametros_carros!$E$28*('Plan mensual'!J69+IF(parametros_carros!$H$28="Todos",'Plan mensual'!J73,0))+parametros_carros!$F$28*('Plan mensual'!J70+IF(parametros_carros!$H$28="Todos",'Plan mensual'!J74,0))+parametros_carros!$G$28*('Plan mensual'!J71+IF(parametros_carros!$H$28="Todos",'Plan mensual'!J75,0)))/60</f>
        <v>30.744003388065</v>
      </c>
      <c r="I131" s="41" t="n">
        <f aca="false">(parametros_carros!$D$28*('Plan mensual'!K68+IF(parametros_carros!$H$28="Todos",'Plan mensual'!K72,0))+parametros_carros!$E$28*('Plan mensual'!K69+IF(parametros_carros!$H$28="Todos",'Plan mensual'!K73,0))+parametros_carros!$F$28*('Plan mensual'!K70+IF(parametros_carros!$H$28="Todos",'Plan mensual'!K74,0))+parametros_carros!$G$28*('Plan mensual'!K71+IF(parametros_carros!$H$28="Todos",'Plan mensual'!K75,0)))/60</f>
        <v>30.744003388065</v>
      </c>
      <c r="J131" s="41" t="n">
        <f aca="false">(parametros_carros!$D$28*('Plan mensual'!L68+IF(parametros_carros!$H$28="Todos",'Plan mensual'!L72,0))+parametros_carros!$E$28*('Plan mensual'!L69+IF(parametros_carros!$H$28="Todos",'Plan mensual'!L73,0))+parametros_carros!$F$28*('Plan mensual'!L70+IF(parametros_carros!$H$28="Todos",'Plan mensual'!L74,0))+parametros_carros!$G$28*('Plan mensual'!L71+IF(parametros_carros!$H$28="Todos",'Plan mensual'!L75,0)))/60</f>
        <v>29.0360031998392</v>
      </c>
      <c r="K131" s="41" t="n">
        <f aca="false">(parametros_carros!$D$28*('Plan mensual'!M68+IF(parametros_carros!$H$28="Todos",'Plan mensual'!M72,0))+parametros_carros!$E$28*('Plan mensual'!M69+IF(parametros_carros!$H$28="Todos",'Plan mensual'!M73,0))+parametros_carros!$F$28*('Plan mensual'!M70+IF(parametros_carros!$H$28="Todos",'Plan mensual'!M74,0))+parametros_carros!$G$28*('Plan mensual'!M71+IF(parametros_carros!$H$28="Todos",'Plan mensual'!M75,0)))/60</f>
        <v>25.6200028233875</v>
      </c>
      <c r="L131" s="41" t="n">
        <f aca="false">(parametros_carros!$D$28*('Plan mensual'!N68+IF(parametros_carros!$H$28="Todos",'Plan mensual'!N72,0))+parametros_carros!$E$28*('Plan mensual'!N69+IF(parametros_carros!$H$28="Todos",'Plan mensual'!N73,0))+parametros_carros!$F$28*('Plan mensual'!N70+IF(parametros_carros!$H$28="Todos",'Plan mensual'!N74,0))+parametros_carros!$G$28*('Plan mensual'!N71+IF(parametros_carros!$H$28="Todos",'Plan mensual'!N75,0)))/60</f>
        <v>23.9120026351617</v>
      </c>
      <c r="M131" s="41" t="n">
        <f aca="false">(parametros_carros!$D$28*('Plan mensual'!O68+IF(parametros_carros!$H$28="Todos",'Plan mensual'!O72,0))+parametros_carros!$E$28*('Plan mensual'!O69+IF(parametros_carros!$H$28="Todos",'Plan mensual'!O73,0))+parametros_carros!$F$28*('Plan mensual'!O70+IF(parametros_carros!$H$28="Todos",'Plan mensual'!O74,0))+parametros_carros!$G$28*('Plan mensual'!O71+IF(parametros_carros!$H$28="Todos",'Plan mensual'!O75,0)))/60</f>
        <v>27.3280030116133</v>
      </c>
      <c r="N131" s="41" t="n">
        <f aca="false">SUM(B131:M131)</f>
        <v>341.600037645167</v>
      </c>
      <c r="O131" s="41" t="n">
        <f aca="false">MAX(B131:M131)</f>
        <v>30.744003388065</v>
      </c>
      <c r="P131" s="45" t="n">
        <f aca="false">IF(parametros_carros!$B$7=0,0,(O131+parametros_carros!$G$54)/parametros_carros!$B$7)</f>
        <v>0.238293355920433</v>
      </c>
      <c r="Q131" s="29" t="str">
        <f aca="false">IF(O131=0,"-",INDEX($B$121:$M$121,MATCH(O131,B131:M131,0)))</f>
        <v>Mar</v>
      </c>
    </row>
    <row r="132" customFormat="false" ht="14.25" hidden="false" customHeight="true" outlineLevel="0" collapsed="false">
      <c r="A132" s="12" t="str">
        <f aca="false">parametros_carros!$B$29</f>
        <v>Prueba hidráulica</v>
      </c>
      <c r="B132" s="41" t="n">
        <f aca="false">(parametros_carros!$D$29*('Plan mensual'!D68+IF(parametros_carros!$H$29="Todos",'Plan mensual'!D72,0))+parametros_carros!$E$29*('Plan mensual'!D69+IF(parametros_carros!$H$29="Todos",'Plan mensual'!D73,0))+parametros_carros!$F$29*('Plan mensual'!D70+IF(parametros_carros!$H$29="Todos",'Plan mensual'!D74,0))+parametros_carros!$G$29*('Plan mensual'!D71+IF(parametros_carros!$H$29="Todos",'Plan mensual'!D75,0)))/60</f>
        <v>23.7043338242997</v>
      </c>
      <c r="C132" s="41" t="n">
        <f aca="false">(parametros_carros!$D$29*('Plan mensual'!E68+IF(parametros_carros!$H$29="Todos",'Plan mensual'!E72,0))+parametros_carros!$E$29*('Plan mensual'!E69+IF(parametros_carros!$H$29="Todos",'Plan mensual'!E73,0))+parametros_carros!$F$29*('Plan mensual'!E70+IF(parametros_carros!$H$29="Todos",'Plan mensual'!E74,0))+parametros_carros!$G$29*('Plan mensual'!E71+IF(parametros_carros!$H$29="Todos",'Plan mensual'!E75,0)))/60</f>
        <v>20.9155886684998</v>
      </c>
      <c r="D132" s="41" t="n">
        <f aca="false">(parametros_carros!$D$29*('Plan mensual'!F68+IF(parametros_carros!$H$29="Todos",'Plan mensual'!F72,0))+parametros_carros!$E$29*('Plan mensual'!F69+IF(parametros_carros!$H$29="Todos",'Plan mensual'!F73,0))+parametros_carros!$F$29*('Plan mensual'!F70+IF(parametros_carros!$H$29="Todos",'Plan mensual'!F74,0))+parametros_carros!$G$29*('Plan mensual'!F71+IF(parametros_carros!$H$29="Todos",'Plan mensual'!F75,0)))/60</f>
        <v>25.0987064021997</v>
      </c>
      <c r="E132" s="41" t="n">
        <f aca="false">(parametros_carros!$D$29*('Plan mensual'!G68+IF(parametros_carros!$H$29="Todos",'Plan mensual'!G72,0))+parametros_carros!$E$29*('Plan mensual'!G69+IF(parametros_carros!$H$29="Todos",'Plan mensual'!G73,0))+parametros_carros!$F$29*('Plan mensual'!G70+IF(parametros_carros!$H$29="Todos",'Plan mensual'!G74,0))+parametros_carros!$G$29*('Plan mensual'!G71+IF(parametros_carros!$H$29="Todos",'Plan mensual'!G75,0)))/60</f>
        <v>25.0987064021997</v>
      </c>
      <c r="F132" s="41" t="n">
        <f aca="false">(parametros_carros!$D$29*('Plan mensual'!H68+IF(parametros_carros!$H$29="Todos",'Plan mensual'!H72,0))+parametros_carros!$E$29*('Plan mensual'!H69+IF(parametros_carros!$H$29="Todos",'Plan mensual'!H73,0))+parametros_carros!$F$29*('Plan mensual'!H70+IF(parametros_carros!$H$29="Todos",'Plan mensual'!H74,0))+parametros_carros!$G$29*('Plan mensual'!H71+IF(parametros_carros!$H$29="Todos",'Plan mensual'!H75,0)))/60</f>
        <v>25.0987064021997</v>
      </c>
      <c r="G132" s="41" t="n">
        <f aca="false">(parametros_carros!$D$29*('Plan mensual'!I68+IF(parametros_carros!$H$29="Todos",'Plan mensual'!I72,0))+parametros_carros!$E$29*('Plan mensual'!I69+IF(parametros_carros!$H$29="Todos",'Plan mensual'!I73,0))+parametros_carros!$F$29*('Plan mensual'!I70+IF(parametros_carros!$H$29="Todos",'Plan mensual'!I74,0))+parametros_carros!$G$29*('Plan mensual'!I71+IF(parametros_carros!$H$29="Todos",'Plan mensual'!I75,0)))/60</f>
        <v>22.3099612463997</v>
      </c>
      <c r="H132" s="41" t="n">
        <f aca="false">(parametros_carros!$D$29*('Plan mensual'!J68+IF(parametros_carros!$H$29="Todos",'Plan mensual'!J72,0))+parametros_carros!$E$29*('Plan mensual'!J69+IF(parametros_carros!$H$29="Todos",'Plan mensual'!J73,0))+parametros_carros!$F$29*('Plan mensual'!J70+IF(parametros_carros!$H$29="Todos",'Plan mensual'!J74,0))+parametros_carros!$G$29*('Plan mensual'!J71+IF(parametros_carros!$H$29="Todos",'Plan mensual'!J75,0)))/60</f>
        <v>25.0987064021997</v>
      </c>
      <c r="I132" s="41" t="n">
        <f aca="false">(parametros_carros!$D$29*('Plan mensual'!K68+IF(parametros_carros!$H$29="Todos",'Plan mensual'!K72,0))+parametros_carros!$E$29*('Plan mensual'!K69+IF(parametros_carros!$H$29="Todos",'Plan mensual'!K73,0))+parametros_carros!$F$29*('Plan mensual'!K70+IF(parametros_carros!$H$29="Todos",'Plan mensual'!K74,0))+parametros_carros!$G$29*('Plan mensual'!K71+IF(parametros_carros!$H$29="Todos",'Plan mensual'!K75,0)))/60</f>
        <v>25.0987064021997</v>
      </c>
      <c r="J132" s="41" t="n">
        <f aca="false">(parametros_carros!$D$29*('Plan mensual'!L68+IF(parametros_carros!$H$29="Todos",'Plan mensual'!L72,0))+parametros_carros!$E$29*('Plan mensual'!L69+IF(parametros_carros!$H$29="Todos",'Plan mensual'!L73,0))+parametros_carros!$F$29*('Plan mensual'!L70+IF(parametros_carros!$H$29="Todos",'Plan mensual'!L74,0))+parametros_carros!$G$29*('Plan mensual'!L71+IF(parametros_carros!$H$29="Todos",'Plan mensual'!L75,0)))/60</f>
        <v>23.7043338242997</v>
      </c>
      <c r="K132" s="41" t="n">
        <f aca="false">(parametros_carros!$D$29*('Plan mensual'!M68+IF(parametros_carros!$H$29="Todos",'Plan mensual'!M72,0))+parametros_carros!$E$29*('Plan mensual'!M69+IF(parametros_carros!$H$29="Todos",'Plan mensual'!M73,0))+parametros_carros!$F$29*('Plan mensual'!M70+IF(parametros_carros!$H$29="Todos",'Plan mensual'!M74,0))+parametros_carros!$G$29*('Plan mensual'!M71+IF(parametros_carros!$H$29="Todos",'Plan mensual'!M75,0)))/60</f>
        <v>20.9155886684998</v>
      </c>
      <c r="L132" s="41" t="n">
        <f aca="false">(parametros_carros!$D$29*('Plan mensual'!N68+IF(parametros_carros!$H$29="Todos",'Plan mensual'!N72,0))+parametros_carros!$E$29*('Plan mensual'!N69+IF(parametros_carros!$H$29="Todos",'Plan mensual'!N73,0))+parametros_carros!$F$29*('Plan mensual'!N70+IF(parametros_carros!$H$29="Todos",'Plan mensual'!N74,0))+parametros_carros!$G$29*('Plan mensual'!N71+IF(parametros_carros!$H$29="Todos",'Plan mensual'!N75,0)))/60</f>
        <v>19.5212160905998</v>
      </c>
      <c r="M132" s="41" t="n">
        <f aca="false">(parametros_carros!$D$29*('Plan mensual'!O68+IF(parametros_carros!$H$29="Todos",'Plan mensual'!O72,0))+parametros_carros!$E$29*('Plan mensual'!O69+IF(parametros_carros!$H$29="Todos",'Plan mensual'!O73,0))+parametros_carros!$F$29*('Plan mensual'!O70+IF(parametros_carros!$H$29="Todos",'Plan mensual'!O74,0))+parametros_carros!$G$29*('Plan mensual'!O71+IF(parametros_carros!$H$29="Todos",'Plan mensual'!O75,0)))/60</f>
        <v>22.3099612463997</v>
      </c>
      <c r="N132" s="41" t="n">
        <f aca="false">SUM(B132:M132)</f>
        <v>278.874515579997</v>
      </c>
      <c r="O132" s="41" t="n">
        <f aca="false">MAX(B132:M132)</f>
        <v>25.0987064021997</v>
      </c>
      <c r="P132" s="45" t="n">
        <f aca="false">IF(parametros_carros!$B$7=0,0,(O132+parametros_carros!$G$55)/parametros_carros!$B$7)</f>
        <v>0.18954693157022</v>
      </c>
      <c r="Q132" s="29" t="str">
        <f aca="false">IF(O132=0,"-",INDEX($B$121:$M$121,MATCH(O132,B132:M132,0)))</f>
        <v>Mar</v>
      </c>
    </row>
    <row r="133" customFormat="false" ht="14.25" hidden="false" customHeight="true" outlineLevel="0" collapsed="false">
      <c r="A133" s="12" t="str">
        <f aca="false">parametros_carros!$B$30</f>
        <v>Secado</v>
      </c>
      <c r="B133" s="41" t="n">
        <f aca="false">(parametros_carros!$D$30*('Plan mensual'!D68+IF(parametros_carros!$H$30="Todos",'Plan mensual'!D72,0))+parametros_carros!$E$30*('Plan mensual'!D69+IF(parametros_carros!$H$30="Todos",'Plan mensual'!D73,0))+parametros_carros!$F$30*('Plan mensual'!D70+IF(parametros_carros!$H$30="Todos",'Plan mensual'!D74,0))+parametros_carros!$G$30*('Plan mensual'!D71+IF(parametros_carros!$H$30="Todos",'Plan mensual'!D75,0)))/60</f>
        <v>26.557753744415</v>
      </c>
      <c r="C133" s="41" t="n">
        <f aca="false">(parametros_carros!$D$30*('Plan mensual'!E68+IF(parametros_carros!$H$30="Todos",'Plan mensual'!E72,0))+parametros_carros!$E$30*('Plan mensual'!E69+IF(parametros_carros!$H$30="Todos",'Plan mensual'!E73,0))+parametros_carros!$F$30*('Plan mensual'!E70+IF(parametros_carros!$H$30="Todos",'Plan mensual'!E74,0))+parametros_carros!$G$30*('Plan mensual'!E71+IF(parametros_carros!$H$30="Todos",'Plan mensual'!E75,0)))/60</f>
        <v>23.433312127425</v>
      </c>
      <c r="D133" s="41" t="n">
        <f aca="false">(parametros_carros!$D$30*('Plan mensual'!F68+IF(parametros_carros!$H$30="Todos",'Plan mensual'!F72,0))+parametros_carros!$E$30*('Plan mensual'!F69+IF(parametros_carros!$H$30="Todos",'Plan mensual'!F73,0))+parametros_carros!$F$30*('Plan mensual'!F70+IF(parametros_carros!$H$30="Todos",'Plan mensual'!F74,0))+parametros_carros!$G$30*('Plan mensual'!F71+IF(parametros_carros!$H$30="Todos",'Plan mensual'!F75,0)))/60</f>
        <v>28.11997455291</v>
      </c>
      <c r="E133" s="41" t="n">
        <f aca="false">(parametros_carros!$D$30*('Plan mensual'!G68+IF(parametros_carros!$H$30="Todos",'Plan mensual'!G72,0))+parametros_carros!$E$30*('Plan mensual'!G69+IF(parametros_carros!$H$30="Todos",'Plan mensual'!G73,0))+parametros_carros!$F$30*('Plan mensual'!G70+IF(parametros_carros!$H$30="Todos",'Plan mensual'!G74,0))+parametros_carros!$G$30*('Plan mensual'!G71+IF(parametros_carros!$H$30="Todos",'Plan mensual'!G75,0)))/60</f>
        <v>28.11997455291</v>
      </c>
      <c r="F133" s="41" t="n">
        <f aca="false">(parametros_carros!$D$30*('Plan mensual'!H68+IF(parametros_carros!$H$30="Todos",'Plan mensual'!H72,0))+parametros_carros!$E$30*('Plan mensual'!H69+IF(parametros_carros!$H$30="Todos",'Plan mensual'!H73,0))+parametros_carros!$F$30*('Plan mensual'!H70+IF(parametros_carros!$H$30="Todos",'Plan mensual'!H74,0))+parametros_carros!$G$30*('Plan mensual'!H71+IF(parametros_carros!$H$30="Todos",'Plan mensual'!H75,0)))/60</f>
        <v>28.11997455291</v>
      </c>
      <c r="G133" s="41" t="n">
        <f aca="false">(parametros_carros!$D$30*('Plan mensual'!I68+IF(parametros_carros!$H$30="Todos",'Plan mensual'!I72,0))+parametros_carros!$E$30*('Plan mensual'!I69+IF(parametros_carros!$H$30="Todos",'Plan mensual'!I73,0))+parametros_carros!$F$30*('Plan mensual'!I70+IF(parametros_carros!$H$30="Todos",'Plan mensual'!I74,0))+parametros_carros!$G$30*('Plan mensual'!I71+IF(parametros_carros!$H$30="Todos",'Plan mensual'!I75,0)))/60</f>
        <v>24.99553293592</v>
      </c>
      <c r="H133" s="41" t="n">
        <f aca="false">(parametros_carros!$D$30*('Plan mensual'!J68+IF(parametros_carros!$H$30="Todos",'Plan mensual'!J72,0))+parametros_carros!$E$30*('Plan mensual'!J69+IF(parametros_carros!$H$30="Todos",'Plan mensual'!J73,0))+parametros_carros!$F$30*('Plan mensual'!J70+IF(parametros_carros!$H$30="Todos",'Plan mensual'!J74,0))+parametros_carros!$G$30*('Plan mensual'!J71+IF(parametros_carros!$H$30="Todos",'Plan mensual'!J75,0)))/60</f>
        <v>28.11997455291</v>
      </c>
      <c r="I133" s="41" t="n">
        <f aca="false">(parametros_carros!$D$30*('Plan mensual'!K68+IF(parametros_carros!$H$30="Todos",'Plan mensual'!K72,0))+parametros_carros!$E$30*('Plan mensual'!K69+IF(parametros_carros!$H$30="Todos",'Plan mensual'!K73,0))+parametros_carros!$F$30*('Plan mensual'!K70+IF(parametros_carros!$H$30="Todos",'Plan mensual'!K74,0))+parametros_carros!$G$30*('Plan mensual'!K71+IF(parametros_carros!$H$30="Todos",'Plan mensual'!K75,0)))/60</f>
        <v>28.11997455291</v>
      </c>
      <c r="J133" s="41" t="n">
        <f aca="false">(parametros_carros!$D$30*('Plan mensual'!L68+IF(parametros_carros!$H$30="Todos",'Plan mensual'!L72,0))+parametros_carros!$E$30*('Plan mensual'!L69+IF(parametros_carros!$H$30="Todos",'Plan mensual'!L73,0))+parametros_carros!$F$30*('Plan mensual'!L70+IF(parametros_carros!$H$30="Todos",'Plan mensual'!L74,0))+parametros_carros!$G$30*('Plan mensual'!L71+IF(parametros_carros!$H$30="Todos",'Plan mensual'!L75,0)))/60</f>
        <v>26.557753744415</v>
      </c>
      <c r="K133" s="41" t="n">
        <f aca="false">(parametros_carros!$D$30*('Plan mensual'!M68+IF(parametros_carros!$H$30="Todos",'Plan mensual'!M72,0))+parametros_carros!$E$30*('Plan mensual'!M69+IF(parametros_carros!$H$30="Todos",'Plan mensual'!M73,0))+parametros_carros!$F$30*('Plan mensual'!M70+IF(parametros_carros!$H$30="Todos",'Plan mensual'!M74,0))+parametros_carros!$G$30*('Plan mensual'!M71+IF(parametros_carros!$H$30="Todos",'Plan mensual'!M75,0)))/60</f>
        <v>23.433312127425</v>
      </c>
      <c r="L133" s="41" t="n">
        <f aca="false">(parametros_carros!$D$30*('Plan mensual'!N68+IF(parametros_carros!$H$30="Todos",'Plan mensual'!N72,0))+parametros_carros!$E$30*('Plan mensual'!N69+IF(parametros_carros!$H$30="Todos",'Plan mensual'!N73,0))+parametros_carros!$F$30*('Plan mensual'!N70+IF(parametros_carros!$H$30="Todos",'Plan mensual'!N74,0))+parametros_carros!$G$30*('Plan mensual'!N71+IF(parametros_carros!$H$30="Todos",'Plan mensual'!N75,0)))/60</f>
        <v>21.87109131893</v>
      </c>
      <c r="M133" s="41" t="n">
        <f aca="false">(parametros_carros!$D$30*('Plan mensual'!O68+IF(parametros_carros!$H$30="Todos",'Plan mensual'!O72,0))+parametros_carros!$E$30*('Plan mensual'!O69+IF(parametros_carros!$H$30="Todos",'Plan mensual'!O73,0))+parametros_carros!$F$30*('Plan mensual'!O70+IF(parametros_carros!$H$30="Todos",'Plan mensual'!O74,0))+parametros_carros!$G$30*('Plan mensual'!O71+IF(parametros_carros!$H$30="Todos",'Plan mensual'!O75,0)))/60</f>
        <v>24.99553293592</v>
      </c>
      <c r="N133" s="41" t="n">
        <f aca="false">SUM(B133:M133)</f>
        <v>312.444161699</v>
      </c>
      <c r="O133" s="41" t="n">
        <f aca="false">MAX(B133:M133)</f>
        <v>28.11997455291</v>
      </c>
      <c r="P133" s="45" t="n">
        <f aca="false">IF(parametros_carros!$B$7=0,0,(O133+parametros_carros!$G$56)/parametros_carros!$B$7)</f>
        <v>0.1874664970194</v>
      </c>
      <c r="Q133" s="29" t="str">
        <f aca="false">IF(O133=0,"-",INDEX($B$121:$M$121,MATCH(O133,B133:M133,0)))</f>
        <v>Mar</v>
      </c>
    </row>
    <row r="134" customFormat="false" ht="14.25" hidden="false" customHeight="true" outlineLevel="0" collapsed="false">
      <c r="A134" s="12" t="str">
        <f aca="false">parametros_carros!$B$31</f>
        <v>Pulmón de despacho y carga a pintura</v>
      </c>
      <c r="B134" s="41" t="n">
        <f aca="false">(parametros_carros!$D$31*('Plan mensual'!D68+IF(parametros_carros!$H$31="Todos",'Plan mensual'!D72,0))+parametros_carros!$E$31*('Plan mensual'!D69+IF(parametros_carros!$H$31="Todos",'Plan mensual'!D73,0))+parametros_carros!$F$31*('Plan mensual'!D70+IF(parametros_carros!$H$31="Todos",'Plan mensual'!D74,0))+parametros_carros!$G$31*('Plan mensual'!D71+IF(parametros_carros!$H$31="Todos",'Plan mensual'!D75,0)))/60</f>
        <v>4.22426864723658</v>
      </c>
      <c r="C134" s="41" t="n">
        <f aca="false">(parametros_carros!$D$31*('Plan mensual'!E68+IF(parametros_carros!$H$31="Todos",'Plan mensual'!E72,0))+parametros_carros!$E$31*('Plan mensual'!E69+IF(parametros_carros!$H$31="Todos",'Plan mensual'!E73,0))+parametros_carros!$F$31*('Plan mensual'!E70+IF(parametros_carros!$H$31="Todos",'Plan mensual'!E74,0))+parametros_carros!$G$31*('Plan mensual'!E71+IF(parametros_carros!$H$31="Todos",'Plan mensual'!E75,0)))/60</f>
        <v>3.72729586520875</v>
      </c>
      <c r="D134" s="41" t="n">
        <f aca="false">(parametros_carros!$D$31*('Plan mensual'!F68+IF(parametros_carros!$H$31="Todos",'Plan mensual'!F72,0))+parametros_carros!$E$31*('Plan mensual'!F69+IF(parametros_carros!$H$31="Todos",'Plan mensual'!F73,0))+parametros_carros!$F$31*('Plan mensual'!F70+IF(parametros_carros!$H$31="Todos",'Plan mensual'!F74,0))+parametros_carros!$G$31*('Plan mensual'!F71+IF(parametros_carros!$H$31="Todos",'Plan mensual'!F75,0)))/60</f>
        <v>4.4727550382505</v>
      </c>
      <c r="E134" s="41" t="n">
        <f aca="false">(parametros_carros!$D$31*('Plan mensual'!G68+IF(parametros_carros!$H$31="Todos",'Plan mensual'!G72,0))+parametros_carros!$E$31*('Plan mensual'!G69+IF(parametros_carros!$H$31="Todos",'Plan mensual'!G73,0))+parametros_carros!$F$31*('Plan mensual'!G70+IF(parametros_carros!$H$31="Todos",'Plan mensual'!G74,0))+parametros_carros!$G$31*('Plan mensual'!G71+IF(parametros_carros!$H$31="Todos",'Plan mensual'!G75,0)))/60</f>
        <v>4.4727550382505</v>
      </c>
      <c r="F134" s="41" t="n">
        <f aca="false">(parametros_carros!$D$31*('Plan mensual'!H68+IF(parametros_carros!$H$31="Todos",'Plan mensual'!H72,0))+parametros_carros!$E$31*('Plan mensual'!H69+IF(parametros_carros!$H$31="Todos",'Plan mensual'!H73,0))+parametros_carros!$F$31*('Plan mensual'!H70+IF(parametros_carros!$H$31="Todos",'Plan mensual'!H74,0))+parametros_carros!$G$31*('Plan mensual'!H71+IF(parametros_carros!$H$31="Todos",'Plan mensual'!H75,0)))/60</f>
        <v>4.4727550382505</v>
      </c>
      <c r="G134" s="41" t="n">
        <f aca="false">(parametros_carros!$D$31*('Plan mensual'!I68+IF(parametros_carros!$H$31="Todos",'Plan mensual'!I72,0))+parametros_carros!$E$31*('Plan mensual'!I69+IF(parametros_carros!$H$31="Todos",'Plan mensual'!I73,0))+parametros_carros!$F$31*('Plan mensual'!I70+IF(parametros_carros!$H$31="Todos",'Plan mensual'!I74,0))+parametros_carros!$G$31*('Plan mensual'!I71+IF(parametros_carros!$H$31="Todos",'Plan mensual'!I75,0)))/60</f>
        <v>3.97578225622267</v>
      </c>
      <c r="H134" s="41" t="n">
        <f aca="false">(parametros_carros!$D$31*('Plan mensual'!J68+IF(parametros_carros!$H$31="Todos",'Plan mensual'!J72,0))+parametros_carros!$E$31*('Plan mensual'!J69+IF(parametros_carros!$H$31="Todos",'Plan mensual'!J73,0))+parametros_carros!$F$31*('Plan mensual'!J70+IF(parametros_carros!$H$31="Todos",'Plan mensual'!J74,0))+parametros_carros!$G$31*('Plan mensual'!J71+IF(parametros_carros!$H$31="Todos",'Plan mensual'!J75,0)))/60</f>
        <v>4.4727550382505</v>
      </c>
      <c r="I134" s="41" t="n">
        <f aca="false">(parametros_carros!$D$31*('Plan mensual'!K68+IF(parametros_carros!$H$31="Todos",'Plan mensual'!K72,0))+parametros_carros!$E$31*('Plan mensual'!K69+IF(parametros_carros!$H$31="Todos",'Plan mensual'!K73,0))+parametros_carros!$F$31*('Plan mensual'!K70+IF(parametros_carros!$H$31="Todos",'Plan mensual'!K74,0))+parametros_carros!$G$31*('Plan mensual'!K71+IF(parametros_carros!$H$31="Todos",'Plan mensual'!K75,0)))/60</f>
        <v>4.4727550382505</v>
      </c>
      <c r="J134" s="41" t="n">
        <f aca="false">(parametros_carros!$D$31*('Plan mensual'!L68+IF(parametros_carros!$H$31="Todos",'Plan mensual'!L72,0))+parametros_carros!$E$31*('Plan mensual'!L69+IF(parametros_carros!$H$31="Todos",'Plan mensual'!L73,0))+parametros_carros!$F$31*('Plan mensual'!L70+IF(parametros_carros!$H$31="Todos",'Plan mensual'!L74,0))+parametros_carros!$G$31*('Plan mensual'!L71+IF(parametros_carros!$H$31="Todos",'Plan mensual'!L75,0)))/60</f>
        <v>4.22426864723658</v>
      </c>
      <c r="K134" s="41" t="n">
        <f aca="false">(parametros_carros!$D$31*('Plan mensual'!M68+IF(parametros_carros!$H$31="Todos",'Plan mensual'!M72,0))+parametros_carros!$E$31*('Plan mensual'!M69+IF(parametros_carros!$H$31="Todos",'Plan mensual'!M73,0))+parametros_carros!$F$31*('Plan mensual'!M70+IF(parametros_carros!$H$31="Todos",'Plan mensual'!M74,0))+parametros_carros!$G$31*('Plan mensual'!M71+IF(parametros_carros!$H$31="Todos",'Plan mensual'!M75,0)))/60</f>
        <v>3.72729586520875</v>
      </c>
      <c r="L134" s="41" t="n">
        <f aca="false">(parametros_carros!$D$31*('Plan mensual'!N68+IF(parametros_carros!$H$31="Todos",'Plan mensual'!N72,0))+parametros_carros!$E$31*('Plan mensual'!N69+IF(parametros_carros!$H$31="Todos",'Plan mensual'!N73,0))+parametros_carros!$F$31*('Plan mensual'!N70+IF(parametros_carros!$H$31="Todos",'Plan mensual'!N74,0))+parametros_carros!$G$31*('Plan mensual'!N71+IF(parametros_carros!$H$31="Todos",'Plan mensual'!N75,0)))/60</f>
        <v>3.47880947419483</v>
      </c>
      <c r="M134" s="41" t="n">
        <f aca="false">(parametros_carros!$D$31*('Plan mensual'!O68+IF(parametros_carros!$H$31="Todos",'Plan mensual'!O72,0))+parametros_carros!$E$31*('Plan mensual'!O69+IF(parametros_carros!$H$31="Todos",'Plan mensual'!O73,0))+parametros_carros!$F$31*('Plan mensual'!O70+IF(parametros_carros!$H$31="Todos",'Plan mensual'!O74,0))+parametros_carros!$G$31*('Plan mensual'!O71+IF(parametros_carros!$H$31="Todos",'Plan mensual'!O75,0)))/60</f>
        <v>3.97578225622267</v>
      </c>
      <c r="N134" s="41" t="n">
        <f aca="false">SUM(B134:M134)</f>
        <v>49.6972782027833</v>
      </c>
      <c r="O134" s="41" t="n">
        <f aca="false">MAX(B134:M134)</f>
        <v>4.4727550382505</v>
      </c>
      <c r="P134" s="45" t="n">
        <f aca="false">IF(parametros_carros!$B$7=0,0,(O134+parametros_carros!$G$57)/parametros_carros!$B$7)</f>
        <v>0.0387072558105589</v>
      </c>
      <c r="Q134" s="29" t="str">
        <f aca="false">IF(O134=0,"-",INDEX($B$121:$M$121,MATCH(O134,B134:M134,0)))</f>
        <v>Mar</v>
      </c>
    </row>
    <row r="135" customFormat="false" ht="14.25" hidden="false" customHeight="true" outlineLevel="0" collapsed="false">
      <c r="A135" s="12" t="str">
        <f aca="false">parametros_carros!$B$32</f>
        <v>Recepción de pintados y cambio de juego</v>
      </c>
      <c r="B135" s="41" t="n">
        <f aca="false">(parametros_carros!$D$32*('Plan mensual'!D68+IF(parametros_carros!$H$32="Todos",'Plan mensual'!D72,0))+parametros_carros!$E$32*('Plan mensual'!D69+IF(parametros_carros!$H$32="Todos",'Plan mensual'!D73,0))+parametros_carros!$F$32*('Plan mensual'!D70+IF(parametros_carros!$H$32="Todos",'Plan mensual'!D74,0))+parametros_carros!$G$32*('Plan mensual'!D71+IF(parametros_carros!$H$32="Todos",'Plan mensual'!D75,0)))/60</f>
        <v>8.26308272866621</v>
      </c>
      <c r="C135" s="41" t="n">
        <f aca="false">(parametros_carros!$D$32*('Plan mensual'!E68+IF(parametros_carros!$H$32="Todos",'Plan mensual'!E72,0))+parametros_carros!$E$32*('Plan mensual'!E69+IF(parametros_carros!$H$32="Todos",'Plan mensual'!E73,0))+parametros_carros!$F$32*('Plan mensual'!E70+IF(parametros_carros!$H$32="Todos",'Plan mensual'!E74,0))+parametros_carros!$G$32*('Plan mensual'!E71+IF(parametros_carros!$H$32="Todos",'Plan mensual'!E75,0)))/60</f>
        <v>7.29095534882312</v>
      </c>
      <c r="D135" s="41" t="n">
        <f aca="false">(parametros_carros!$D$32*('Plan mensual'!F68+IF(parametros_carros!$H$32="Todos",'Plan mensual'!F72,0))+parametros_carros!$E$32*('Plan mensual'!F69+IF(parametros_carros!$H$32="Todos",'Plan mensual'!F73,0))+parametros_carros!$F$32*('Plan mensual'!F70+IF(parametros_carros!$H$32="Todos",'Plan mensual'!F74,0))+parametros_carros!$G$32*('Plan mensual'!F71+IF(parametros_carros!$H$32="Todos",'Plan mensual'!F75,0)))/60</f>
        <v>8.74914641858775</v>
      </c>
      <c r="E135" s="41" t="n">
        <f aca="false">(parametros_carros!$D$32*('Plan mensual'!G68+IF(parametros_carros!$H$32="Todos",'Plan mensual'!G72,0))+parametros_carros!$E$32*('Plan mensual'!G69+IF(parametros_carros!$H$32="Todos",'Plan mensual'!G73,0))+parametros_carros!$F$32*('Plan mensual'!G70+IF(parametros_carros!$H$32="Todos",'Plan mensual'!G74,0))+parametros_carros!$G$32*('Plan mensual'!G71+IF(parametros_carros!$H$32="Todos",'Plan mensual'!G75,0)))/60</f>
        <v>8.74914641858775</v>
      </c>
      <c r="F135" s="41" t="n">
        <f aca="false">(parametros_carros!$D$32*('Plan mensual'!H68+IF(parametros_carros!$H$32="Todos",'Plan mensual'!H72,0))+parametros_carros!$E$32*('Plan mensual'!H69+IF(parametros_carros!$H$32="Todos",'Plan mensual'!H73,0))+parametros_carros!$F$32*('Plan mensual'!H70+IF(parametros_carros!$H$32="Todos",'Plan mensual'!H74,0))+parametros_carros!$G$32*('Plan mensual'!H71+IF(parametros_carros!$H$32="Todos",'Plan mensual'!H75,0)))/60</f>
        <v>8.74914641858775</v>
      </c>
      <c r="G135" s="41" t="n">
        <f aca="false">(parametros_carros!$D$32*('Plan mensual'!I68+IF(parametros_carros!$H$32="Todos",'Plan mensual'!I72,0))+parametros_carros!$E$32*('Plan mensual'!I69+IF(parametros_carros!$H$32="Todos",'Plan mensual'!I73,0))+parametros_carros!$F$32*('Plan mensual'!I70+IF(parametros_carros!$H$32="Todos",'Plan mensual'!I74,0))+parametros_carros!$G$32*('Plan mensual'!I71+IF(parametros_carros!$H$32="Todos",'Plan mensual'!I75,0)))/60</f>
        <v>7.77701903874467</v>
      </c>
      <c r="H135" s="41" t="n">
        <f aca="false">(parametros_carros!$D$32*('Plan mensual'!J68+IF(parametros_carros!$H$32="Todos",'Plan mensual'!J72,0))+parametros_carros!$E$32*('Plan mensual'!J69+IF(parametros_carros!$H$32="Todos",'Plan mensual'!J73,0))+parametros_carros!$F$32*('Plan mensual'!J70+IF(parametros_carros!$H$32="Todos",'Plan mensual'!J74,0))+parametros_carros!$G$32*('Plan mensual'!J71+IF(parametros_carros!$H$32="Todos",'Plan mensual'!J75,0)))/60</f>
        <v>8.74914641858775</v>
      </c>
      <c r="I135" s="41" t="n">
        <f aca="false">(parametros_carros!$D$32*('Plan mensual'!K68+IF(parametros_carros!$H$32="Todos",'Plan mensual'!K72,0))+parametros_carros!$E$32*('Plan mensual'!K69+IF(parametros_carros!$H$32="Todos",'Plan mensual'!K73,0))+parametros_carros!$F$32*('Plan mensual'!K70+IF(parametros_carros!$H$32="Todos",'Plan mensual'!K74,0))+parametros_carros!$G$32*('Plan mensual'!K71+IF(parametros_carros!$H$32="Todos",'Plan mensual'!K75,0)))/60</f>
        <v>8.74914641858775</v>
      </c>
      <c r="J135" s="41" t="n">
        <f aca="false">(parametros_carros!$D$32*('Plan mensual'!L68+IF(parametros_carros!$H$32="Todos",'Plan mensual'!L72,0))+parametros_carros!$E$32*('Plan mensual'!L69+IF(parametros_carros!$H$32="Todos",'Plan mensual'!L73,0))+parametros_carros!$F$32*('Plan mensual'!L70+IF(parametros_carros!$H$32="Todos",'Plan mensual'!L74,0))+parametros_carros!$G$32*('Plan mensual'!L71+IF(parametros_carros!$H$32="Todos",'Plan mensual'!L75,0)))/60</f>
        <v>8.26308272866621</v>
      </c>
      <c r="K135" s="41" t="n">
        <f aca="false">(parametros_carros!$D$32*('Plan mensual'!M68+IF(parametros_carros!$H$32="Todos",'Plan mensual'!M72,0))+parametros_carros!$E$32*('Plan mensual'!M69+IF(parametros_carros!$H$32="Todos",'Plan mensual'!M73,0))+parametros_carros!$F$32*('Plan mensual'!M70+IF(parametros_carros!$H$32="Todos",'Plan mensual'!M74,0))+parametros_carros!$G$32*('Plan mensual'!M71+IF(parametros_carros!$H$32="Todos",'Plan mensual'!M75,0)))/60</f>
        <v>7.29095534882312</v>
      </c>
      <c r="L135" s="41" t="n">
        <f aca="false">(parametros_carros!$D$32*('Plan mensual'!N68+IF(parametros_carros!$H$32="Todos",'Plan mensual'!N72,0))+parametros_carros!$E$32*('Plan mensual'!N69+IF(parametros_carros!$H$32="Todos",'Plan mensual'!N73,0))+parametros_carros!$F$32*('Plan mensual'!N70+IF(parametros_carros!$H$32="Todos",'Plan mensual'!N74,0))+parametros_carros!$G$32*('Plan mensual'!N71+IF(parametros_carros!$H$32="Todos",'Plan mensual'!N75,0)))/60</f>
        <v>6.80489165890158</v>
      </c>
      <c r="M135" s="41" t="n">
        <f aca="false">(parametros_carros!$D$32*('Plan mensual'!O68+IF(parametros_carros!$H$32="Todos",'Plan mensual'!O72,0))+parametros_carros!$E$32*('Plan mensual'!O69+IF(parametros_carros!$H$32="Todos",'Plan mensual'!O73,0))+parametros_carros!$F$32*('Plan mensual'!O70+IF(parametros_carros!$H$32="Todos",'Plan mensual'!O74,0))+parametros_carros!$G$32*('Plan mensual'!O71+IF(parametros_carros!$H$32="Todos",'Plan mensual'!O75,0)))/60</f>
        <v>7.77701903874467</v>
      </c>
      <c r="N135" s="41" t="n">
        <f aca="false">SUM(B135:M135)</f>
        <v>97.2127379843083</v>
      </c>
      <c r="O135" s="41" t="n">
        <f aca="false">MAX(B135:M135)</f>
        <v>8.74914641858775</v>
      </c>
      <c r="P135" s="45" t="n">
        <f aca="false">IF(parametros_carros!$B$7=0,0,(O135+parametros_carros!$G$58)/parametros_carros!$B$7)</f>
        <v>0.0672165316794739</v>
      </c>
      <c r="Q135" s="29" t="str">
        <f aca="false">IF(O135=0,"-",INDEX($B$121:$M$121,MATCH(O135,B135:M135,0)))</f>
        <v>Mar</v>
      </c>
    </row>
    <row r="136" customFormat="false" ht="14.25" hidden="false" customHeight="true" outlineLevel="0" collapsed="false">
      <c r="A136" s="12" t="str">
        <f aca="false">parametros_carros!$B$33</f>
        <v>Carga de polvo y presurización</v>
      </c>
      <c r="B136" s="41" t="n">
        <f aca="false">(parametros_carros!$D$33*('Plan mensual'!D68+IF(parametros_carros!$H$33="Todos",'Plan mensual'!D72,0))+parametros_carros!$E$33*('Plan mensual'!D69+IF(parametros_carros!$H$33="Todos",'Plan mensual'!D73,0))+parametros_carros!$F$33*('Plan mensual'!D70+IF(parametros_carros!$H$33="Todos",'Plan mensual'!D74,0))+parametros_carros!$G$33*('Plan mensual'!D71+IF(parametros_carros!$H$33="Todos",'Plan mensual'!D75,0)))/60</f>
        <v>17.5272667955959</v>
      </c>
      <c r="C136" s="41" t="n">
        <f aca="false">(parametros_carros!$D$33*('Plan mensual'!E68+IF(parametros_carros!$H$33="Todos",'Plan mensual'!E72,0))+parametros_carros!$E$33*('Plan mensual'!E69+IF(parametros_carros!$H$33="Todos",'Plan mensual'!E73,0))+parametros_carros!$F$33*('Plan mensual'!E70+IF(parametros_carros!$H$33="Todos",'Plan mensual'!E74,0))+parametros_carros!$G$33*('Plan mensual'!E71+IF(parametros_carros!$H$33="Todos",'Plan mensual'!E75,0)))/60</f>
        <v>15.4652354078788</v>
      </c>
      <c r="D136" s="41" t="n">
        <f aca="false">(parametros_carros!$D$33*('Plan mensual'!F68+IF(parametros_carros!$H$33="Todos",'Plan mensual'!F72,0))+parametros_carros!$E$33*('Plan mensual'!F69+IF(parametros_carros!$H$33="Todos",'Plan mensual'!F73,0))+parametros_carros!$F$33*('Plan mensual'!F70+IF(parametros_carros!$H$33="Todos",'Plan mensual'!F74,0))+parametros_carros!$G$33*('Plan mensual'!F71+IF(parametros_carros!$H$33="Todos",'Plan mensual'!F75,0)))/60</f>
        <v>18.5582824894545</v>
      </c>
      <c r="E136" s="41" t="n">
        <f aca="false">(parametros_carros!$D$33*('Plan mensual'!G68+IF(parametros_carros!$H$33="Todos",'Plan mensual'!G72,0))+parametros_carros!$E$33*('Plan mensual'!G69+IF(parametros_carros!$H$33="Todos",'Plan mensual'!G73,0))+parametros_carros!$F$33*('Plan mensual'!G70+IF(parametros_carros!$H$33="Todos",'Plan mensual'!G74,0))+parametros_carros!$G$33*('Plan mensual'!G71+IF(parametros_carros!$H$33="Todos",'Plan mensual'!G75,0)))/60</f>
        <v>18.5582824894545</v>
      </c>
      <c r="F136" s="41" t="n">
        <f aca="false">(parametros_carros!$D$33*('Plan mensual'!H68+IF(parametros_carros!$H$33="Todos",'Plan mensual'!H72,0))+parametros_carros!$E$33*('Plan mensual'!H69+IF(parametros_carros!$H$33="Todos",'Plan mensual'!H73,0))+parametros_carros!$F$33*('Plan mensual'!H70+IF(parametros_carros!$H$33="Todos",'Plan mensual'!H74,0))+parametros_carros!$G$33*('Plan mensual'!H71+IF(parametros_carros!$H$33="Todos",'Plan mensual'!H75,0)))/60</f>
        <v>18.5582824894545</v>
      </c>
      <c r="G136" s="41" t="n">
        <f aca="false">(parametros_carros!$D$33*('Plan mensual'!I68+IF(parametros_carros!$H$33="Todos",'Plan mensual'!I72,0))+parametros_carros!$E$33*('Plan mensual'!I69+IF(parametros_carros!$H$33="Todos",'Plan mensual'!I73,0))+parametros_carros!$F$33*('Plan mensual'!I70+IF(parametros_carros!$H$33="Todos",'Plan mensual'!I74,0))+parametros_carros!$G$33*('Plan mensual'!I71+IF(parametros_carros!$H$33="Todos",'Plan mensual'!I75,0)))/60</f>
        <v>16.4962511017373</v>
      </c>
      <c r="H136" s="41" t="n">
        <f aca="false">(parametros_carros!$D$33*('Plan mensual'!J68+IF(parametros_carros!$H$33="Todos",'Plan mensual'!J72,0))+parametros_carros!$E$33*('Plan mensual'!J69+IF(parametros_carros!$H$33="Todos",'Plan mensual'!J73,0))+parametros_carros!$F$33*('Plan mensual'!J70+IF(parametros_carros!$H$33="Todos",'Plan mensual'!J74,0))+parametros_carros!$G$33*('Plan mensual'!J71+IF(parametros_carros!$H$33="Todos",'Plan mensual'!J75,0)))/60</f>
        <v>18.5582824894545</v>
      </c>
      <c r="I136" s="41" t="n">
        <f aca="false">(parametros_carros!$D$33*('Plan mensual'!K68+IF(parametros_carros!$H$33="Todos",'Plan mensual'!K72,0))+parametros_carros!$E$33*('Plan mensual'!K69+IF(parametros_carros!$H$33="Todos",'Plan mensual'!K73,0))+parametros_carros!$F$33*('Plan mensual'!K70+IF(parametros_carros!$H$33="Todos",'Plan mensual'!K74,0))+parametros_carros!$G$33*('Plan mensual'!K71+IF(parametros_carros!$H$33="Todos",'Plan mensual'!K75,0)))/60</f>
        <v>18.5582824894545</v>
      </c>
      <c r="J136" s="41" t="n">
        <f aca="false">(parametros_carros!$D$33*('Plan mensual'!L68+IF(parametros_carros!$H$33="Todos",'Plan mensual'!L72,0))+parametros_carros!$E$33*('Plan mensual'!L69+IF(parametros_carros!$H$33="Todos",'Plan mensual'!L73,0))+parametros_carros!$F$33*('Plan mensual'!L70+IF(parametros_carros!$H$33="Todos",'Plan mensual'!L74,0))+parametros_carros!$G$33*('Plan mensual'!L71+IF(parametros_carros!$H$33="Todos",'Plan mensual'!L75,0)))/60</f>
        <v>17.5272667955959</v>
      </c>
      <c r="K136" s="41" t="n">
        <f aca="false">(parametros_carros!$D$33*('Plan mensual'!M68+IF(parametros_carros!$H$33="Todos",'Plan mensual'!M72,0))+parametros_carros!$E$33*('Plan mensual'!M69+IF(parametros_carros!$H$33="Todos",'Plan mensual'!M73,0))+parametros_carros!$F$33*('Plan mensual'!M70+IF(parametros_carros!$H$33="Todos",'Plan mensual'!M74,0))+parametros_carros!$G$33*('Plan mensual'!M71+IF(parametros_carros!$H$33="Todos",'Plan mensual'!M75,0)))/60</f>
        <v>15.4652354078788</v>
      </c>
      <c r="L136" s="41" t="n">
        <f aca="false">(parametros_carros!$D$33*('Plan mensual'!N68+IF(parametros_carros!$H$33="Todos",'Plan mensual'!N72,0))+parametros_carros!$E$33*('Plan mensual'!N69+IF(parametros_carros!$H$33="Todos",'Plan mensual'!N73,0))+parametros_carros!$F$33*('Plan mensual'!N70+IF(parametros_carros!$H$33="Todos",'Plan mensual'!N74,0))+parametros_carros!$G$33*('Plan mensual'!N71+IF(parametros_carros!$H$33="Todos",'Plan mensual'!N75,0)))/60</f>
        <v>14.4342197140202</v>
      </c>
      <c r="M136" s="41" t="n">
        <f aca="false">(parametros_carros!$D$33*('Plan mensual'!O68+IF(parametros_carros!$H$33="Todos",'Plan mensual'!O72,0))+parametros_carros!$E$33*('Plan mensual'!O69+IF(parametros_carros!$H$33="Todos",'Plan mensual'!O73,0))+parametros_carros!$F$33*('Plan mensual'!O70+IF(parametros_carros!$H$33="Todos",'Plan mensual'!O74,0))+parametros_carros!$G$33*('Plan mensual'!O71+IF(parametros_carros!$H$33="Todos",'Plan mensual'!O75,0)))/60</f>
        <v>16.4962511017373</v>
      </c>
      <c r="N136" s="41" t="n">
        <f aca="false">SUM(B136:M136)</f>
        <v>206.203138771717</v>
      </c>
      <c r="O136" s="41" t="n">
        <f aca="false">MAX(B136:M136)</f>
        <v>18.5582824894545</v>
      </c>
      <c r="P136" s="45" t="n">
        <f aca="false">IF(parametros_carros!$B$7=0,0,(O136+parametros_carros!$G$59)/parametros_carros!$B$7)</f>
        <v>0.230388549929697</v>
      </c>
      <c r="Q136" s="29" t="str">
        <f aca="false">IF(O136=0,"-",INDEX($B$121:$M$121,MATCH(O136,B136:M136,0)))</f>
        <v>Mar</v>
      </c>
    </row>
    <row r="137" customFormat="false" ht="14.25" hidden="false" customHeight="true" outlineLevel="0" collapsed="false">
      <c r="A137" s="12" t="str">
        <f aca="false">parametros_carros!$B$34</f>
        <v>Montaje, manga, precinto y etiquetado</v>
      </c>
      <c r="B137" s="41" t="n">
        <f aca="false">(parametros_carros!$D$34*('Plan mensual'!D68+IF(parametros_carros!$H$34="Todos",'Plan mensual'!D72,0))+parametros_carros!$E$34*('Plan mensual'!D69+IF(parametros_carros!$H$34="Todos",'Plan mensual'!D73,0))+parametros_carros!$F$34*('Plan mensual'!D70+IF(parametros_carros!$H$34="Todos",'Plan mensual'!D74,0))+parametros_carros!$G$34*('Plan mensual'!D71+IF(parametros_carros!$H$34="Todos",'Plan mensual'!D75,0)))/60</f>
        <v>9.77676365662467</v>
      </c>
      <c r="C137" s="41" t="n">
        <f aca="false">(parametros_carros!$D$34*('Plan mensual'!E68+IF(parametros_carros!$H$34="Todos",'Plan mensual'!E72,0))+parametros_carros!$E$34*('Plan mensual'!E69+IF(parametros_carros!$H$34="Todos",'Plan mensual'!E73,0))+parametros_carros!$F$34*('Plan mensual'!E70+IF(parametros_carros!$H$34="Todos",'Plan mensual'!E74,0))+parametros_carros!$G$34*('Plan mensual'!E71+IF(parametros_carros!$H$34="Todos",'Plan mensual'!E75,0)))/60</f>
        <v>8.62655616761</v>
      </c>
      <c r="D137" s="41" t="n">
        <f aca="false">(parametros_carros!$D$34*('Plan mensual'!F68+IF(parametros_carros!$H$34="Todos",'Plan mensual'!F72,0))+parametros_carros!$E$34*('Plan mensual'!F69+IF(parametros_carros!$H$34="Todos",'Plan mensual'!F73,0))+parametros_carros!$F$34*('Plan mensual'!F70+IF(parametros_carros!$H$34="Todos",'Plan mensual'!F74,0))+parametros_carros!$G$34*('Plan mensual'!F71+IF(parametros_carros!$H$34="Todos",'Plan mensual'!F75,0)))/60</f>
        <v>10.351867401132</v>
      </c>
      <c r="E137" s="41" t="n">
        <f aca="false">(parametros_carros!$D$34*('Plan mensual'!G68+IF(parametros_carros!$H$34="Todos",'Plan mensual'!G72,0))+parametros_carros!$E$34*('Plan mensual'!G69+IF(parametros_carros!$H$34="Todos",'Plan mensual'!G73,0))+parametros_carros!$F$34*('Plan mensual'!G70+IF(parametros_carros!$H$34="Todos",'Plan mensual'!G74,0))+parametros_carros!$G$34*('Plan mensual'!G71+IF(parametros_carros!$H$34="Todos",'Plan mensual'!G75,0)))/60</f>
        <v>10.351867401132</v>
      </c>
      <c r="F137" s="41" t="n">
        <f aca="false">(parametros_carros!$D$34*('Plan mensual'!H68+IF(parametros_carros!$H$34="Todos",'Plan mensual'!H72,0))+parametros_carros!$E$34*('Plan mensual'!H69+IF(parametros_carros!$H$34="Todos",'Plan mensual'!H73,0))+parametros_carros!$F$34*('Plan mensual'!H70+IF(parametros_carros!$H$34="Todos",'Plan mensual'!H74,0))+parametros_carros!$G$34*('Plan mensual'!H71+IF(parametros_carros!$H$34="Todos",'Plan mensual'!H75,0)))/60</f>
        <v>10.351867401132</v>
      </c>
      <c r="G137" s="41" t="n">
        <f aca="false">(parametros_carros!$D$34*('Plan mensual'!I68+IF(parametros_carros!$H$34="Todos",'Plan mensual'!I72,0))+parametros_carros!$E$34*('Plan mensual'!I69+IF(parametros_carros!$H$34="Todos",'Plan mensual'!I73,0))+parametros_carros!$F$34*('Plan mensual'!I70+IF(parametros_carros!$H$34="Todos",'Plan mensual'!I74,0))+parametros_carros!$G$34*('Plan mensual'!I71+IF(parametros_carros!$H$34="Todos",'Plan mensual'!I75,0)))/60</f>
        <v>9.20165991211733</v>
      </c>
      <c r="H137" s="41" t="n">
        <f aca="false">(parametros_carros!$D$34*('Plan mensual'!J68+IF(parametros_carros!$H$34="Todos",'Plan mensual'!J72,0))+parametros_carros!$E$34*('Plan mensual'!J69+IF(parametros_carros!$H$34="Todos",'Plan mensual'!J73,0))+parametros_carros!$F$34*('Plan mensual'!J70+IF(parametros_carros!$H$34="Todos",'Plan mensual'!J74,0))+parametros_carros!$G$34*('Plan mensual'!J71+IF(parametros_carros!$H$34="Todos",'Plan mensual'!J75,0)))/60</f>
        <v>10.351867401132</v>
      </c>
      <c r="I137" s="41" t="n">
        <f aca="false">(parametros_carros!$D$34*('Plan mensual'!K68+IF(parametros_carros!$H$34="Todos",'Plan mensual'!K72,0))+parametros_carros!$E$34*('Plan mensual'!K69+IF(parametros_carros!$H$34="Todos",'Plan mensual'!K73,0))+parametros_carros!$F$34*('Plan mensual'!K70+IF(parametros_carros!$H$34="Todos",'Plan mensual'!K74,0))+parametros_carros!$G$34*('Plan mensual'!K71+IF(parametros_carros!$H$34="Todos",'Plan mensual'!K75,0)))/60</f>
        <v>10.351867401132</v>
      </c>
      <c r="J137" s="41" t="n">
        <f aca="false">(parametros_carros!$D$34*('Plan mensual'!L68+IF(parametros_carros!$H$34="Todos",'Plan mensual'!L72,0))+parametros_carros!$E$34*('Plan mensual'!L69+IF(parametros_carros!$H$34="Todos",'Plan mensual'!L73,0))+parametros_carros!$F$34*('Plan mensual'!L70+IF(parametros_carros!$H$34="Todos",'Plan mensual'!L74,0))+parametros_carros!$G$34*('Plan mensual'!L71+IF(parametros_carros!$H$34="Todos",'Plan mensual'!L75,0)))/60</f>
        <v>9.77676365662467</v>
      </c>
      <c r="K137" s="41" t="n">
        <f aca="false">(parametros_carros!$D$34*('Plan mensual'!M68+IF(parametros_carros!$H$34="Todos",'Plan mensual'!M72,0))+parametros_carros!$E$34*('Plan mensual'!M69+IF(parametros_carros!$H$34="Todos",'Plan mensual'!M73,0))+parametros_carros!$F$34*('Plan mensual'!M70+IF(parametros_carros!$H$34="Todos",'Plan mensual'!M74,0))+parametros_carros!$G$34*('Plan mensual'!M71+IF(parametros_carros!$H$34="Todos",'Plan mensual'!M75,0)))/60</f>
        <v>8.62655616761</v>
      </c>
      <c r="L137" s="41" t="n">
        <f aca="false">(parametros_carros!$D$34*('Plan mensual'!N68+IF(parametros_carros!$H$34="Todos",'Plan mensual'!N72,0))+parametros_carros!$E$34*('Plan mensual'!N69+IF(parametros_carros!$H$34="Todos",'Plan mensual'!N73,0))+parametros_carros!$F$34*('Plan mensual'!N70+IF(parametros_carros!$H$34="Todos",'Plan mensual'!N74,0))+parametros_carros!$G$34*('Plan mensual'!N71+IF(parametros_carros!$H$34="Todos",'Plan mensual'!N75,0)))/60</f>
        <v>8.05145242310267</v>
      </c>
      <c r="M137" s="41" t="n">
        <f aca="false">(parametros_carros!$D$34*('Plan mensual'!O68+IF(parametros_carros!$H$34="Todos",'Plan mensual'!O72,0))+parametros_carros!$E$34*('Plan mensual'!O69+IF(parametros_carros!$H$34="Todos",'Plan mensual'!O73,0))+parametros_carros!$F$34*('Plan mensual'!O70+IF(parametros_carros!$H$34="Todos",'Plan mensual'!O74,0))+parametros_carros!$G$34*('Plan mensual'!O71+IF(parametros_carros!$H$34="Todos",'Plan mensual'!O75,0)))/60</f>
        <v>9.20165991211733</v>
      </c>
      <c r="N137" s="41" t="n">
        <f aca="false">SUM(B137:M137)</f>
        <v>115.020748901467</v>
      </c>
      <c r="O137" s="41" t="n">
        <f aca="false">MAX(B137:M137)</f>
        <v>10.351867401132</v>
      </c>
      <c r="P137" s="45" t="n">
        <f aca="false">IF(parametros_carros!$B$7=0,0,(O137+parametros_carros!$G$60)/parametros_carros!$B$7)</f>
        <v>0.115679116007547</v>
      </c>
      <c r="Q137" s="29" t="str">
        <f aca="false">IF(O137=0,"-",INDEX($B$121:$M$121,MATCH(O137,B137:M137,0)))</f>
        <v>Mar</v>
      </c>
    </row>
    <row r="138" customFormat="false" ht="14.25" hidden="false" customHeight="true" outlineLevel="0" collapsed="false">
      <c r="A138" s="12" t="str">
        <f aca="false">parametros_carros!$B$35</f>
        <v>Calidad: pérdidas, inspección final, liberación y ensayos de lote</v>
      </c>
      <c r="B138" s="41" t="n">
        <f aca="false">(parametros_carros!$D$35*('Plan mensual'!D68+IF(parametros_carros!$H$35="Todos",'Plan mensual'!D72,0))+parametros_carros!$E$35*('Plan mensual'!D69+IF(parametros_carros!$H$35="Todos",'Plan mensual'!D73,0))+parametros_carros!$F$35*('Plan mensual'!D70+IF(parametros_carros!$H$35="Todos",'Plan mensual'!D74,0))+parametros_carros!$G$35*('Plan mensual'!D71+IF(parametros_carros!$H$35="Todos",'Plan mensual'!D75,0)))/60</f>
        <v>7.40981060853603</v>
      </c>
      <c r="C138" s="41" t="n">
        <f aca="false">(parametros_carros!$D$35*('Plan mensual'!E68+IF(parametros_carros!$H$35="Todos",'Plan mensual'!E72,0))+parametros_carros!$E$35*('Plan mensual'!E69+IF(parametros_carros!$H$35="Todos",'Plan mensual'!E73,0))+parametros_carros!$F$35*('Plan mensual'!E70+IF(parametros_carros!$H$35="Todos",'Plan mensual'!E74,0))+parametros_carros!$G$35*('Plan mensual'!E71+IF(parametros_carros!$H$35="Todos",'Plan mensual'!E75,0)))/60</f>
        <v>6.53806818400237</v>
      </c>
      <c r="D138" s="41" t="n">
        <f aca="false">(parametros_carros!$D$35*('Plan mensual'!F68+IF(parametros_carros!$H$35="Todos",'Plan mensual'!F72,0))+parametros_carros!$E$35*('Plan mensual'!F69+IF(parametros_carros!$H$35="Todos",'Plan mensual'!F73,0))+parametros_carros!$F$35*('Plan mensual'!F70+IF(parametros_carros!$H$35="Todos",'Plan mensual'!F74,0))+parametros_carros!$G$35*('Plan mensual'!F71+IF(parametros_carros!$H$35="Todos",'Plan mensual'!F75,0)))/60</f>
        <v>7.84568182080285</v>
      </c>
      <c r="E138" s="41" t="n">
        <f aca="false">(parametros_carros!$D$35*('Plan mensual'!G68+IF(parametros_carros!$H$35="Todos",'Plan mensual'!G72,0))+parametros_carros!$E$35*('Plan mensual'!G69+IF(parametros_carros!$H$35="Todos",'Plan mensual'!G73,0))+parametros_carros!$F$35*('Plan mensual'!G70+IF(parametros_carros!$H$35="Todos",'Plan mensual'!G74,0))+parametros_carros!$G$35*('Plan mensual'!G71+IF(parametros_carros!$H$35="Todos",'Plan mensual'!G75,0)))/60</f>
        <v>7.84568182080285</v>
      </c>
      <c r="F138" s="41" t="n">
        <f aca="false">(parametros_carros!$D$35*('Plan mensual'!H68+IF(parametros_carros!$H$35="Todos",'Plan mensual'!H72,0))+parametros_carros!$E$35*('Plan mensual'!H69+IF(parametros_carros!$H$35="Todos",'Plan mensual'!H73,0))+parametros_carros!$F$35*('Plan mensual'!H70+IF(parametros_carros!$H$35="Todos",'Plan mensual'!H74,0))+parametros_carros!$G$35*('Plan mensual'!H71+IF(parametros_carros!$H$35="Todos",'Plan mensual'!H75,0)))/60</f>
        <v>7.84568182080285</v>
      </c>
      <c r="G138" s="41" t="n">
        <f aca="false">(parametros_carros!$D$35*('Plan mensual'!I68+IF(parametros_carros!$H$35="Todos",'Plan mensual'!I72,0))+parametros_carros!$E$35*('Plan mensual'!I69+IF(parametros_carros!$H$35="Todos",'Plan mensual'!I73,0))+parametros_carros!$F$35*('Plan mensual'!I70+IF(parametros_carros!$H$35="Todos",'Plan mensual'!I74,0))+parametros_carros!$G$35*('Plan mensual'!I71+IF(parametros_carros!$H$35="Todos",'Plan mensual'!I75,0)))/60</f>
        <v>6.9739393962692</v>
      </c>
      <c r="H138" s="41" t="n">
        <f aca="false">(parametros_carros!$D$35*('Plan mensual'!J68+IF(parametros_carros!$H$35="Todos",'Plan mensual'!J72,0))+parametros_carros!$E$35*('Plan mensual'!J69+IF(parametros_carros!$H$35="Todos",'Plan mensual'!J73,0))+parametros_carros!$F$35*('Plan mensual'!J70+IF(parametros_carros!$H$35="Todos",'Plan mensual'!J74,0))+parametros_carros!$G$35*('Plan mensual'!J71+IF(parametros_carros!$H$35="Todos",'Plan mensual'!J75,0)))/60</f>
        <v>7.84568182080285</v>
      </c>
      <c r="I138" s="41" t="n">
        <f aca="false">(parametros_carros!$D$35*('Plan mensual'!K68+IF(parametros_carros!$H$35="Todos",'Plan mensual'!K72,0))+parametros_carros!$E$35*('Plan mensual'!K69+IF(parametros_carros!$H$35="Todos",'Plan mensual'!K73,0))+parametros_carros!$F$35*('Plan mensual'!K70+IF(parametros_carros!$H$35="Todos",'Plan mensual'!K74,0))+parametros_carros!$G$35*('Plan mensual'!K71+IF(parametros_carros!$H$35="Todos",'Plan mensual'!K75,0)))/60</f>
        <v>7.84568182080285</v>
      </c>
      <c r="J138" s="41" t="n">
        <f aca="false">(parametros_carros!$D$35*('Plan mensual'!L68+IF(parametros_carros!$H$35="Todos",'Plan mensual'!L72,0))+parametros_carros!$E$35*('Plan mensual'!L69+IF(parametros_carros!$H$35="Todos",'Plan mensual'!L73,0))+parametros_carros!$F$35*('Plan mensual'!L70+IF(parametros_carros!$H$35="Todos",'Plan mensual'!L74,0))+parametros_carros!$G$35*('Plan mensual'!L71+IF(parametros_carros!$H$35="Todos",'Plan mensual'!L75,0)))/60</f>
        <v>7.40981060853603</v>
      </c>
      <c r="K138" s="41" t="n">
        <f aca="false">(parametros_carros!$D$35*('Plan mensual'!M68+IF(parametros_carros!$H$35="Todos",'Plan mensual'!M72,0))+parametros_carros!$E$35*('Plan mensual'!M69+IF(parametros_carros!$H$35="Todos",'Plan mensual'!M73,0))+parametros_carros!$F$35*('Plan mensual'!M70+IF(parametros_carros!$H$35="Todos",'Plan mensual'!M74,0))+parametros_carros!$G$35*('Plan mensual'!M71+IF(parametros_carros!$H$35="Todos",'Plan mensual'!M75,0)))/60</f>
        <v>6.53806818400237</v>
      </c>
      <c r="L138" s="41" t="n">
        <f aca="false">(parametros_carros!$D$35*('Plan mensual'!N68+IF(parametros_carros!$H$35="Todos",'Plan mensual'!N72,0))+parametros_carros!$E$35*('Plan mensual'!N69+IF(parametros_carros!$H$35="Todos",'Plan mensual'!N73,0))+parametros_carros!$F$35*('Plan mensual'!N70+IF(parametros_carros!$H$35="Todos",'Plan mensual'!N74,0))+parametros_carros!$G$35*('Plan mensual'!N71+IF(parametros_carros!$H$35="Todos",'Plan mensual'!N75,0)))/60</f>
        <v>6.10219697173555</v>
      </c>
      <c r="M138" s="41" t="n">
        <f aca="false">(parametros_carros!$D$35*('Plan mensual'!O68+IF(parametros_carros!$H$35="Todos",'Plan mensual'!O72,0))+parametros_carros!$E$35*('Plan mensual'!O69+IF(parametros_carros!$H$35="Todos",'Plan mensual'!O73,0))+parametros_carros!$F$35*('Plan mensual'!O70+IF(parametros_carros!$H$35="Todos",'Plan mensual'!O74,0))+parametros_carros!$G$35*('Plan mensual'!O71+IF(parametros_carros!$H$35="Todos",'Plan mensual'!O75,0)))/60</f>
        <v>6.9739393962692</v>
      </c>
      <c r="N138" s="41" t="n">
        <f aca="false">SUM(B138:M138)</f>
        <v>87.174242453365</v>
      </c>
      <c r="O138" s="41" t="n">
        <f aca="false">MAX(B138:M138)</f>
        <v>7.84568182080285</v>
      </c>
      <c r="P138" s="45" t="n">
        <f aca="false">IF(parametros_carros!$B$7=0,0,(O138+parametros_carros!$G$61)/parametros_carros!$B$7)</f>
        <v>0.422526767694241</v>
      </c>
      <c r="Q138" s="29" t="str">
        <f aca="false">IF(O138=0,"-",INDEX($B$121:$M$121,MATCH(O138,B138:M138,0)))</f>
        <v>Mar</v>
      </c>
    </row>
    <row r="139" customFormat="false" ht="14.25" hidden="false" customHeight="true" outlineLevel="0" collapsed="false">
      <c r="A139" s="12" t="str">
        <f aca="false">parametros_carros!$B$36</f>
        <v>Depósito de producto terminado y despacho</v>
      </c>
      <c r="B139" s="41" t="n">
        <f aca="false">(parametros_carros!$D$36*('Plan mensual'!D68+IF(parametros_carros!$H$36="Todos",'Plan mensual'!D72,0))+parametros_carros!$E$36*('Plan mensual'!D69+IF(parametros_carros!$H$36="Todos",'Plan mensual'!D73,0))+parametros_carros!$F$36*('Plan mensual'!D70+IF(parametros_carros!$H$36="Todos",'Plan mensual'!D74,0))+parametros_carros!$G$36*('Plan mensual'!D71+IF(parametros_carros!$H$36="Todos",'Plan mensual'!D75,0)))/60</f>
        <v>3.590812516815</v>
      </c>
      <c r="C139" s="41" t="n">
        <f aca="false">(parametros_carros!$D$36*('Plan mensual'!E68+IF(parametros_carros!$H$36="Todos",'Plan mensual'!E72,0))+parametros_carros!$E$36*('Plan mensual'!E69+IF(parametros_carros!$H$36="Todos",'Plan mensual'!E73,0))+parametros_carros!$F$36*('Plan mensual'!E70+IF(parametros_carros!$H$36="Todos",'Plan mensual'!E74,0))+parametros_carros!$G$36*('Plan mensual'!E71+IF(parametros_carros!$H$36="Todos",'Plan mensual'!E75,0)))/60</f>
        <v>3.168363985425</v>
      </c>
      <c r="D139" s="41" t="n">
        <f aca="false">(parametros_carros!$D$36*('Plan mensual'!F68+IF(parametros_carros!$H$36="Todos",'Plan mensual'!F72,0))+parametros_carros!$E$36*('Plan mensual'!F69+IF(parametros_carros!$H$36="Todos",'Plan mensual'!F73,0))+parametros_carros!$F$36*('Plan mensual'!F70+IF(parametros_carros!$H$36="Todos",'Plan mensual'!F74,0))+parametros_carros!$G$36*('Plan mensual'!F71+IF(parametros_carros!$H$36="Todos",'Plan mensual'!F75,0)))/60</f>
        <v>3.80203678251</v>
      </c>
      <c r="E139" s="41" t="n">
        <f aca="false">(parametros_carros!$D$36*('Plan mensual'!G68+IF(parametros_carros!$H$36="Todos",'Plan mensual'!G72,0))+parametros_carros!$E$36*('Plan mensual'!G69+IF(parametros_carros!$H$36="Todos",'Plan mensual'!G73,0))+parametros_carros!$F$36*('Plan mensual'!G70+IF(parametros_carros!$H$36="Todos",'Plan mensual'!G74,0))+parametros_carros!$G$36*('Plan mensual'!G71+IF(parametros_carros!$H$36="Todos",'Plan mensual'!G75,0)))/60</f>
        <v>3.80203678251</v>
      </c>
      <c r="F139" s="41" t="n">
        <f aca="false">(parametros_carros!$D$36*('Plan mensual'!H68+IF(parametros_carros!$H$36="Todos",'Plan mensual'!H72,0))+parametros_carros!$E$36*('Plan mensual'!H69+IF(parametros_carros!$H$36="Todos",'Plan mensual'!H73,0))+parametros_carros!$F$36*('Plan mensual'!H70+IF(parametros_carros!$H$36="Todos",'Plan mensual'!H74,0))+parametros_carros!$G$36*('Plan mensual'!H71+IF(parametros_carros!$H$36="Todos",'Plan mensual'!H75,0)))/60</f>
        <v>3.80203678251</v>
      </c>
      <c r="G139" s="41" t="n">
        <f aca="false">(parametros_carros!$D$36*('Plan mensual'!I68+IF(parametros_carros!$H$36="Todos",'Plan mensual'!I72,0))+parametros_carros!$E$36*('Plan mensual'!I69+IF(parametros_carros!$H$36="Todos",'Plan mensual'!I73,0))+parametros_carros!$F$36*('Plan mensual'!I70+IF(parametros_carros!$H$36="Todos",'Plan mensual'!I74,0))+parametros_carros!$G$36*('Plan mensual'!I71+IF(parametros_carros!$H$36="Todos",'Plan mensual'!I75,0)))/60</f>
        <v>3.37958825112</v>
      </c>
      <c r="H139" s="41" t="n">
        <f aca="false">(parametros_carros!$D$36*('Plan mensual'!J68+IF(parametros_carros!$H$36="Todos",'Plan mensual'!J72,0))+parametros_carros!$E$36*('Plan mensual'!J69+IF(parametros_carros!$H$36="Todos",'Plan mensual'!J73,0))+parametros_carros!$F$36*('Plan mensual'!J70+IF(parametros_carros!$H$36="Todos",'Plan mensual'!J74,0))+parametros_carros!$G$36*('Plan mensual'!J71+IF(parametros_carros!$H$36="Todos",'Plan mensual'!J75,0)))/60</f>
        <v>3.80203678251</v>
      </c>
      <c r="I139" s="41" t="n">
        <f aca="false">(parametros_carros!$D$36*('Plan mensual'!K68+IF(parametros_carros!$H$36="Todos",'Plan mensual'!K72,0))+parametros_carros!$E$36*('Plan mensual'!K69+IF(parametros_carros!$H$36="Todos",'Plan mensual'!K73,0))+parametros_carros!$F$36*('Plan mensual'!K70+IF(parametros_carros!$H$36="Todos",'Plan mensual'!K74,0))+parametros_carros!$G$36*('Plan mensual'!K71+IF(parametros_carros!$H$36="Todos",'Plan mensual'!K75,0)))/60</f>
        <v>3.80203678251</v>
      </c>
      <c r="J139" s="41" t="n">
        <f aca="false">(parametros_carros!$D$36*('Plan mensual'!L68+IF(parametros_carros!$H$36="Todos",'Plan mensual'!L72,0))+parametros_carros!$E$36*('Plan mensual'!L69+IF(parametros_carros!$H$36="Todos",'Plan mensual'!L73,0))+parametros_carros!$F$36*('Plan mensual'!L70+IF(parametros_carros!$H$36="Todos",'Plan mensual'!L74,0))+parametros_carros!$G$36*('Plan mensual'!L71+IF(parametros_carros!$H$36="Todos",'Plan mensual'!L75,0)))/60</f>
        <v>3.590812516815</v>
      </c>
      <c r="K139" s="41" t="n">
        <f aca="false">(parametros_carros!$D$36*('Plan mensual'!M68+IF(parametros_carros!$H$36="Todos",'Plan mensual'!M72,0))+parametros_carros!$E$36*('Plan mensual'!M69+IF(parametros_carros!$H$36="Todos",'Plan mensual'!M73,0))+parametros_carros!$F$36*('Plan mensual'!M70+IF(parametros_carros!$H$36="Todos",'Plan mensual'!M74,0))+parametros_carros!$G$36*('Plan mensual'!M71+IF(parametros_carros!$H$36="Todos",'Plan mensual'!M75,0)))/60</f>
        <v>3.168363985425</v>
      </c>
      <c r="L139" s="41" t="n">
        <f aca="false">(parametros_carros!$D$36*('Plan mensual'!N68+IF(parametros_carros!$H$36="Todos",'Plan mensual'!N72,0))+parametros_carros!$E$36*('Plan mensual'!N69+IF(parametros_carros!$H$36="Todos",'Plan mensual'!N73,0))+parametros_carros!$F$36*('Plan mensual'!N70+IF(parametros_carros!$H$36="Todos",'Plan mensual'!N74,0))+parametros_carros!$G$36*('Plan mensual'!N71+IF(parametros_carros!$H$36="Todos",'Plan mensual'!N75,0)))/60</f>
        <v>2.95713971973</v>
      </c>
      <c r="M139" s="41" t="n">
        <f aca="false">(parametros_carros!$D$36*('Plan mensual'!O68+IF(parametros_carros!$H$36="Todos",'Plan mensual'!O72,0))+parametros_carros!$E$36*('Plan mensual'!O69+IF(parametros_carros!$H$36="Todos",'Plan mensual'!O73,0))+parametros_carros!$F$36*('Plan mensual'!O70+IF(parametros_carros!$H$36="Todos",'Plan mensual'!O74,0))+parametros_carros!$G$36*('Plan mensual'!O71+IF(parametros_carros!$H$36="Todos",'Plan mensual'!O75,0)))/60</f>
        <v>3.37958825112</v>
      </c>
      <c r="N139" s="41" t="n">
        <f aca="false">SUM(B139:M139)</f>
        <v>42.244853139</v>
      </c>
      <c r="O139" s="41" t="n">
        <f aca="false">MAX(B139:M139)</f>
        <v>3.80203678251</v>
      </c>
      <c r="P139" s="45" t="n">
        <f aca="false">IF(parametros_carros!$B$7=0,0,(O139+parametros_carros!$G$62)/parametros_carros!$B$7)</f>
        <v>0.0475691341056222</v>
      </c>
      <c r="Q139" s="29" t="str">
        <f aca="false">IF(O139=0,"-",INDEX($B$121:$M$121,MATCH(O139,B139:M139,0)))</f>
        <v>Mar</v>
      </c>
    </row>
    <row r="140" customFormat="false" ht="14.25" hidden="false" customHeight="true" outlineLevel="0" collapsed="false"/>
    <row r="141" customFormat="false" ht="45" hidden="false" customHeight="true" outlineLevel="0" collapsed="false">
      <c r="A141" s="11" t="s">
        <v>257</v>
      </c>
      <c r="B141" s="11" t="s">
        <v>17</v>
      </c>
      <c r="C141" s="11" t="s">
        <v>18</v>
      </c>
      <c r="D141" s="11" t="s">
        <v>19</v>
      </c>
      <c r="E141" s="11" t="s">
        <v>20</v>
      </c>
      <c r="F141" s="11" t="s">
        <v>21</v>
      </c>
      <c r="G141" s="11" t="s">
        <v>22</v>
      </c>
      <c r="H141" s="11" t="s">
        <v>23</v>
      </c>
      <c r="I141" s="11" t="s">
        <v>24</v>
      </c>
      <c r="J141" s="11" t="s">
        <v>25</v>
      </c>
      <c r="K141" s="11" t="s">
        <v>26</v>
      </c>
      <c r="L141" s="11" t="s">
        <v>27</v>
      </c>
      <c r="M141" s="11" t="s">
        <v>28</v>
      </c>
      <c r="N141" s="11" t="s">
        <v>247</v>
      </c>
      <c r="O141" s="11" t="s">
        <v>248</v>
      </c>
      <c r="P141" s="11" t="s">
        <v>249</v>
      </c>
      <c r="Q141" s="11" t="s">
        <v>250</v>
      </c>
    </row>
    <row r="142" customFormat="false" ht="14.25" hidden="false" customHeight="true" outlineLevel="0" collapsed="false">
      <c r="A142" s="12" t="str">
        <f aca="false">parametros_carros!$B$19</f>
        <v>Recepción de materia prima</v>
      </c>
      <c r="B142" s="41" t="n">
        <f aca="false">(parametros_carros!$D$19*('Plan mensual'!D79+IF(parametros_carros!$H$19="Todos",'Plan mensual'!D83,0))+parametros_carros!$E$19*('Plan mensual'!D80+IF(parametros_carros!$H$19="Todos",'Plan mensual'!D84,0))+parametros_carros!$F$19*('Plan mensual'!D81+IF(parametros_carros!$H$19="Todos",'Plan mensual'!D85,0))+parametros_carros!$G$19*('Plan mensual'!D82+IF(parametros_carros!$H$19="Todos",'Plan mensual'!D86,0)))/60</f>
        <v>5.92917573962892</v>
      </c>
      <c r="C142" s="41" t="n">
        <f aca="false">(parametros_carros!$D$19*('Plan mensual'!E79+IF(parametros_carros!$H$19="Todos",'Plan mensual'!E83,0))+parametros_carros!$E$19*('Plan mensual'!E80+IF(parametros_carros!$H$19="Todos",'Plan mensual'!E84,0))+parametros_carros!$F$19*('Plan mensual'!E81+IF(parametros_carros!$H$19="Todos",'Plan mensual'!E85,0))+parametros_carros!$G$19*('Plan mensual'!E82+IF(parametros_carros!$H$19="Todos",'Plan mensual'!E86,0)))/60</f>
        <v>5.23162565261375</v>
      </c>
      <c r="D142" s="41" t="n">
        <f aca="false">(parametros_carros!$D$19*('Plan mensual'!F79+IF(parametros_carros!$H$19="Todos",'Plan mensual'!F83,0))+parametros_carros!$E$19*('Plan mensual'!F80+IF(parametros_carros!$H$19="Todos",'Plan mensual'!F84,0))+parametros_carros!$F$19*('Plan mensual'!F81+IF(parametros_carros!$H$19="Todos",'Plan mensual'!F85,0))+parametros_carros!$G$19*('Plan mensual'!F82+IF(parametros_carros!$H$19="Todos",'Plan mensual'!F86,0)))/60</f>
        <v>6.2779507831365</v>
      </c>
      <c r="E142" s="41" t="n">
        <f aca="false">(parametros_carros!$D$19*('Plan mensual'!G79+IF(parametros_carros!$H$19="Todos",'Plan mensual'!G83,0))+parametros_carros!$E$19*('Plan mensual'!G80+IF(parametros_carros!$H$19="Todos",'Plan mensual'!G84,0))+parametros_carros!$F$19*('Plan mensual'!G81+IF(parametros_carros!$H$19="Todos",'Plan mensual'!G85,0))+parametros_carros!$G$19*('Plan mensual'!G82+IF(parametros_carros!$H$19="Todos",'Plan mensual'!G86,0)))/60</f>
        <v>6.2779507831365</v>
      </c>
      <c r="F142" s="41" t="n">
        <f aca="false">(parametros_carros!$D$19*('Plan mensual'!H79+IF(parametros_carros!$H$19="Todos",'Plan mensual'!H83,0))+parametros_carros!$E$19*('Plan mensual'!H80+IF(parametros_carros!$H$19="Todos",'Plan mensual'!H84,0))+parametros_carros!$F$19*('Plan mensual'!H81+IF(parametros_carros!$H$19="Todos",'Plan mensual'!H85,0))+parametros_carros!$G$19*('Plan mensual'!H82+IF(parametros_carros!$H$19="Todos",'Plan mensual'!H86,0)))/60</f>
        <v>6.2779507831365</v>
      </c>
      <c r="G142" s="41" t="n">
        <f aca="false">(parametros_carros!$D$19*('Plan mensual'!I79+IF(parametros_carros!$H$19="Todos",'Plan mensual'!I83,0))+parametros_carros!$E$19*('Plan mensual'!I80+IF(parametros_carros!$H$19="Todos",'Plan mensual'!I84,0))+parametros_carros!$F$19*('Plan mensual'!I81+IF(parametros_carros!$H$19="Todos",'Plan mensual'!I85,0))+parametros_carros!$G$19*('Plan mensual'!I82+IF(parametros_carros!$H$19="Todos",'Plan mensual'!I86,0)))/60</f>
        <v>5.58040069612133</v>
      </c>
      <c r="H142" s="41" t="n">
        <f aca="false">(parametros_carros!$D$19*('Plan mensual'!J79+IF(parametros_carros!$H$19="Todos",'Plan mensual'!J83,0))+parametros_carros!$E$19*('Plan mensual'!J80+IF(parametros_carros!$H$19="Todos",'Plan mensual'!J84,0))+parametros_carros!$F$19*('Plan mensual'!J81+IF(parametros_carros!$H$19="Todos",'Plan mensual'!J85,0))+parametros_carros!$G$19*('Plan mensual'!J82+IF(parametros_carros!$H$19="Todos",'Plan mensual'!J86,0)))/60</f>
        <v>6.2779507831365</v>
      </c>
      <c r="I142" s="41" t="n">
        <f aca="false">(parametros_carros!$D$19*('Plan mensual'!K79+IF(parametros_carros!$H$19="Todos",'Plan mensual'!K83,0))+parametros_carros!$E$19*('Plan mensual'!K80+IF(parametros_carros!$H$19="Todos",'Plan mensual'!K84,0))+parametros_carros!$F$19*('Plan mensual'!K81+IF(parametros_carros!$H$19="Todos",'Plan mensual'!K85,0))+parametros_carros!$G$19*('Plan mensual'!K82+IF(parametros_carros!$H$19="Todos",'Plan mensual'!K86,0)))/60</f>
        <v>6.2779507831365</v>
      </c>
      <c r="J142" s="41" t="n">
        <f aca="false">(parametros_carros!$D$19*('Plan mensual'!L79+IF(parametros_carros!$H$19="Todos",'Plan mensual'!L83,0))+parametros_carros!$E$19*('Plan mensual'!L80+IF(parametros_carros!$H$19="Todos",'Plan mensual'!L84,0))+parametros_carros!$F$19*('Plan mensual'!L81+IF(parametros_carros!$H$19="Todos",'Plan mensual'!L85,0))+parametros_carros!$G$19*('Plan mensual'!L82+IF(parametros_carros!$H$19="Todos",'Plan mensual'!L86,0)))/60</f>
        <v>5.92917573962892</v>
      </c>
      <c r="K142" s="41" t="n">
        <f aca="false">(parametros_carros!$D$19*('Plan mensual'!M79+IF(parametros_carros!$H$19="Todos",'Plan mensual'!M83,0))+parametros_carros!$E$19*('Plan mensual'!M80+IF(parametros_carros!$H$19="Todos",'Plan mensual'!M84,0))+parametros_carros!$F$19*('Plan mensual'!M81+IF(parametros_carros!$H$19="Todos",'Plan mensual'!M85,0))+parametros_carros!$G$19*('Plan mensual'!M82+IF(parametros_carros!$H$19="Todos",'Plan mensual'!M86,0)))/60</f>
        <v>5.23162565261375</v>
      </c>
      <c r="L142" s="41" t="n">
        <f aca="false">(parametros_carros!$D$19*('Plan mensual'!N79+IF(parametros_carros!$H$19="Todos",'Plan mensual'!N83,0))+parametros_carros!$E$19*('Plan mensual'!N80+IF(parametros_carros!$H$19="Todos",'Plan mensual'!N84,0))+parametros_carros!$F$19*('Plan mensual'!N81+IF(parametros_carros!$H$19="Todos",'Plan mensual'!N85,0))+parametros_carros!$G$19*('Plan mensual'!N82+IF(parametros_carros!$H$19="Todos",'Plan mensual'!N86,0)))/60</f>
        <v>4.88285060910617</v>
      </c>
      <c r="M142" s="41" t="n">
        <f aca="false">(parametros_carros!$D$19*('Plan mensual'!O79+IF(parametros_carros!$H$19="Todos",'Plan mensual'!O83,0))+parametros_carros!$E$19*('Plan mensual'!O80+IF(parametros_carros!$H$19="Todos",'Plan mensual'!O84,0))+parametros_carros!$F$19*('Plan mensual'!O81+IF(parametros_carros!$H$19="Todos",'Plan mensual'!O85,0))+parametros_carros!$G$19*('Plan mensual'!O82+IF(parametros_carros!$H$19="Todos",'Plan mensual'!O86,0)))/60</f>
        <v>5.58040069612133</v>
      </c>
      <c r="N142" s="41" t="n">
        <f aca="false">SUM(B142:M142)</f>
        <v>69.7550087015167</v>
      </c>
      <c r="O142" s="41" t="n">
        <f aca="false">MAX(B142:M142)</f>
        <v>6.2779507831365</v>
      </c>
      <c r="P142" s="45" t="n">
        <f aca="false">IF(parametros_carros!$B$7=0,0,(O142+parametros_carros!$G$45)/parametros_carros!$B$7)</f>
        <v>0.0899641163320211</v>
      </c>
      <c r="Q142" s="29" t="str">
        <f aca="false">IF(O142=0,"-",INDEX($B$141:$M$141,MATCH(O142,B142:M142,0)))</f>
        <v>Mar</v>
      </c>
    </row>
    <row r="143" customFormat="false" ht="14.25" hidden="false" customHeight="true" outlineLevel="0" collapsed="false">
      <c r="A143" s="12" t="str">
        <f aca="false">parametros_carros!$B$20</f>
        <v>Corte de chapa (guillotina)</v>
      </c>
      <c r="B143" s="41" t="n">
        <f aca="false">(parametros_carros!$D$20*('Plan mensual'!D79+IF(parametros_carros!$H$20="Todos",'Plan mensual'!D83,0))+parametros_carros!$E$20*('Plan mensual'!D80+IF(parametros_carros!$H$20="Todos",'Plan mensual'!D84,0))+parametros_carros!$F$20*('Plan mensual'!D81+IF(parametros_carros!$H$20="Todos",'Plan mensual'!D85,0))+parametros_carros!$G$20*('Plan mensual'!D82+IF(parametros_carros!$H$20="Todos",'Plan mensual'!D86,0)))/60</f>
        <v>13.023466950107</v>
      </c>
      <c r="C143" s="41" t="n">
        <f aca="false">(parametros_carros!$D$20*('Plan mensual'!E79+IF(parametros_carros!$H$20="Todos",'Plan mensual'!E83,0))+parametros_carros!$E$20*('Plan mensual'!E80+IF(parametros_carros!$H$20="Todos",'Plan mensual'!E84,0))+parametros_carros!$F$20*('Plan mensual'!E81+IF(parametros_carros!$H$20="Todos",'Plan mensual'!E85,0))+parametros_carros!$G$20*('Plan mensual'!E82+IF(parametros_carros!$H$20="Todos",'Plan mensual'!E86,0)))/60</f>
        <v>11.4912943677414</v>
      </c>
      <c r="D143" s="41" t="n">
        <f aca="false">(parametros_carros!$D$20*('Plan mensual'!F79+IF(parametros_carros!$H$20="Todos",'Plan mensual'!F83,0))+parametros_carros!$E$20*('Plan mensual'!F80+IF(parametros_carros!$H$20="Todos",'Plan mensual'!F84,0))+parametros_carros!$F$20*('Plan mensual'!F81+IF(parametros_carros!$H$20="Todos",'Plan mensual'!F85,0))+parametros_carros!$G$20*('Plan mensual'!F82+IF(parametros_carros!$H$20="Todos",'Plan mensual'!F86,0)))/60</f>
        <v>13.7895532412897</v>
      </c>
      <c r="E143" s="41" t="n">
        <f aca="false">(parametros_carros!$D$20*('Plan mensual'!G79+IF(parametros_carros!$H$20="Todos",'Plan mensual'!G83,0))+parametros_carros!$E$20*('Plan mensual'!G80+IF(parametros_carros!$H$20="Todos",'Plan mensual'!G84,0))+parametros_carros!$F$20*('Plan mensual'!G81+IF(parametros_carros!$H$20="Todos",'Plan mensual'!G85,0))+parametros_carros!$G$20*('Plan mensual'!G82+IF(parametros_carros!$H$20="Todos",'Plan mensual'!G86,0)))/60</f>
        <v>13.7895532412897</v>
      </c>
      <c r="F143" s="41" t="n">
        <f aca="false">(parametros_carros!$D$20*('Plan mensual'!H79+IF(parametros_carros!$H$20="Todos",'Plan mensual'!H83,0))+parametros_carros!$E$20*('Plan mensual'!H80+IF(parametros_carros!$H$20="Todos",'Plan mensual'!H84,0))+parametros_carros!$F$20*('Plan mensual'!H81+IF(parametros_carros!$H$20="Todos",'Plan mensual'!H85,0))+parametros_carros!$G$20*('Plan mensual'!H82+IF(parametros_carros!$H$20="Todos",'Plan mensual'!H86,0)))/60</f>
        <v>13.7895532412897</v>
      </c>
      <c r="G143" s="41" t="n">
        <f aca="false">(parametros_carros!$D$20*('Plan mensual'!I79+IF(parametros_carros!$H$20="Todos",'Plan mensual'!I83,0))+parametros_carros!$E$20*('Plan mensual'!I80+IF(parametros_carros!$H$20="Todos",'Plan mensual'!I84,0))+parametros_carros!$F$20*('Plan mensual'!I81+IF(parametros_carros!$H$20="Todos",'Plan mensual'!I85,0))+parametros_carros!$G$20*('Plan mensual'!I82+IF(parametros_carros!$H$20="Todos",'Plan mensual'!I86,0)))/60</f>
        <v>12.2573806589242</v>
      </c>
      <c r="H143" s="41" t="n">
        <f aca="false">(parametros_carros!$D$20*('Plan mensual'!J79+IF(parametros_carros!$H$20="Todos",'Plan mensual'!J83,0))+parametros_carros!$E$20*('Plan mensual'!J80+IF(parametros_carros!$H$20="Todos",'Plan mensual'!J84,0))+parametros_carros!$F$20*('Plan mensual'!J81+IF(parametros_carros!$H$20="Todos",'Plan mensual'!J85,0))+parametros_carros!$G$20*('Plan mensual'!J82+IF(parametros_carros!$H$20="Todos",'Plan mensual'!J86,0)))/60</f>
        <v>13.7895532412897</v>
      </c>
      <c r="I143" s="41" t="n">
        <f aca="false">(parametros_carros!$D$20*('Plan mensual'!K79+IF(parametros_carros!$H$20="Todos",'Plan mensual'!K83,0))+parametros_carros!$E$20*('Plan mensual'!K80+IF(parametros_carros!$H$20="Todos",'Plan mensual'!K84,0))+parametros_carros!$F$20*('Plan mensual'!K81+IF(parametros_carros!$H$20="Todos",'Plan mensual'!K85,0))+parametros_carros!$G$20*('Plan mensual'!K82+IF(parametros_carros!$H$20="Todos",'Plan mensual'!K86,0)))/60</f>
        <v>13.7895532412897</v>
      </c>
      <c r="J143" s="41" t="n">
        <f aca="false">(parametros_carros!$D$20*('Plan mensual'!L79+IF(parametros_carros!$H$20="Todos",'Plan mensual'!L83,0))+parametros_carros!$E$20*('Plan mensual'!L80+IF(parametros_carros!$H$20="Todos",'Plan mensual'!L84,0))+parametros_carros!$F$20*('Plan mensual'!L81+IF(parametros_carros!$H$20="Todos",'Plan mensual'!L85,0))+parametros_carros!$G$20*('Plan mensual'!L82+IF(parametros_carros!$H$20="Todos",'Plan mensual'!L86,0)))/60</f>
        <v>13.023466950107</v>
      </c>
      <c r="K143" s="41" t="n">
        <f aca="false">(parametros_carros!$D$20*('Plan mensual'!M79+IF(parametros_carros!$H$20="Todos",'Plan mensual'!M83,0))+parametros_carros!$E$20*('Plan mensual'!M80+IF(parametros_carros!$H$20="Todos",'Plan mensual'!M84,0))+parametros_carros!$F$20*('Plan mensual'!M81+IF(parametros_carros!$H$20="Todos",'Plan mensual'!M85,0))+parametros_carros!$G$20*('Plan mensual'!M82+IF(parametros_carros!$H$20="Todos",'Plan mensual'!M86,0)))/60</f>
        <v>11.4912943677414</v>
      </c>
      <c r="L143" s="41" t="n">
        <f aca="false">(parametros_carros!$D$20*('Plan mensual'!N79+IF(parametros_carros!$H$20="Todos",'Plan mensual'!N83,0))+parametros_carros!$E$20*('Plan mensual'!N80+IF(parametros_carros!$H$20="Todos",'Plan mensual'!N84,0))+parametros_carros!$F$20*('Plan mensual'!N81+IF(parametros_carros!$H$20="Todos",'Plan mensual'!N85,0))+parametros_carros!$G$20*('Plan mensual'!N82+IF(parametros_carros!$H$20="Todos",'Plan mensual'!N86,0)))/60</f>
        <v>10.7252080765587</v>
      </c>
      <c r="M143" s="41" t="n">
        <f aca="false">(parametros_carros!$D$20*('Plan mensual'!O79+IF(parametros_carros!$H$20="Todos",'Plan mensual'!O83,0))+parametros_carros!$E$20*('Plan mensual'!O80+IF(parametros_carros!$H$20="Todos",'Plan mensual'!O84,0))+parametros_carros!$F$20*('Plan mensual'!O81+IF(parametros_carros!$H$20="Todos",'Plan mensual'!O85,0))+parametros_carros!$G$20*('Plan mensual'!O82+IF(parametros_carros!$H$20="Todos",'Plan mensual'!O86,0)))/60</f>
        <v>12.2573806589242</v>
      </c>
      <c r="N143" s="41" t="n">
        <f aca="false">SUM(B143:M143)</f>
        <v>153.217258236553</v>
      </c>
      <c r="O143" s="41" t="n">
        <f aca="false">MAX(B143:M143)</f>
        <v>13.7895532412897</v>
      </c>
      <c r="P143" s="45" t="n">
        <f aca="false">IF(parametros_carros!$B$7=0,0,(O143+parametros_carros!$G$46)/parametros_carros!$B$7)</f>
        <v>0.154152577164154</v>
      </c>
      <c r="Q143" s="29" t="str">
        <f aca="false">IF(O143=0,"-",INDEX($B$141:$M$141,MATCH(O143,B143:M143,0)))</f>
        <v>Mar</v>
      </c>
    </row>
    <row r="144" customFormat="false" ht="14.25" hidden="false" customHeight="true" outlineLevel="0" collapsed="false">
      <c r="A144" s="12" t="str">
        <f aca="false">parametros_carros!$B$21</f>
        <v>Marcado del cuerpo</v>
      </c>
      <c r="B144" s="41" t="n">
        <f aca="false">(parametros_carros!$D$21*('Plan mensual'!D79+IF(parametros_carros!$H$21="Todos",'Plan mensual'!D83,0))+parametros_carros!$E$21*('Plan mensual'!D80+IF(parametros_carros!$H$21="Todos",'Plan mensual'!D84,0))+parametros_carros!$F$21*('Plan mensual'!D81+IF(parametros_carros!$H$21="Todos",'Plan mensual'!D85,0))+parametros_carros!$G$21*('Plan mensual'!D82+IF(parametros_carros!$H$21="Todos",'Plan mensual'!D86,0)))/60</f>
        <v>5.1884562489625</v>
      </c>
      <c r="C144" s="41" t="n">
        <f aca="false">(parametros_carros!$D$21*('Plan mensual'!E79+IF(parametros_carros!$H$21="Todos",'Plan mensual'!E83,0))+parametros_carros!$E$21*('Plan mensual'!E80+IF(parametros_carros!$H$21="Todos",'Plan mensual'!E84,0))+parametros_carros!$F$21*('Plan mensual'!E81+IF(parametros_carros!$H$21="Todos",'Plan mensual'!E85,0))+parametros_carros!$G$21*('Plan mensual'!E82+IF(parametros_carros!$H$21="Todos",'Plan mensual'!E86,0)))/60</f>
        <v>4.5780496314375</v>
      </c>
      <c r="D144" s="41" t="n">
        <f aca="false">(parametros_carros!$D$21*('Plan mensual'!F79+IF(parametros_carros!$H$21="Todos",'Plan mensual'!F83,0))+parametros_carros!$E$21*('Plan mensual'!F80+IF(parametros_carros!$H$21="Todos",'Plan mensual'!F84,0))+parametros_carros!$F$21*('Plan mensual'!F81+IF(parametros_carros!$H$21="Todos",'Plan mensual'!F85,0))+parametros_carros!$G$21*('Plan mensual'!F82+IF(parametros_carros!$H$21="Todos",'Plan mensual'!F86,0)))/60</f>
        <v>5.493659557725</v>
      </c>
      <c r="E144" s="41" t="n">
        <f aca="false">(parametros_carros!$D$21*('Plan mensual'!G79+IF(parametros_carros!$H$21="Todos",'Plan mensual'!G83,0))+parametros_carros!$E$21*('Plan mensual'!G80+IF(parametros_carros!$H$21="Todos",'Plan mensual'!G84,0))+parametros_carros!$F$21*('Plan mensual'!G81+IF(parametros_carros!$H$21="Todos",'Plan mensual'!G85,0))+parametros_carros!$G$21*('Plan mensual'!G82+IF(parametros_carros!$H$21="Todos",'Plan mensual'!G86,0)))/60</f>
        <v>5.493659557725</v>
      </c>
      <c r="F144" s="41" t="n">
        <f aca="false">(parametros_carros!$D$21*('Plan mensual'!H79+IF(parametros_carros!$H$21="Todos",'Plan mensual'!H83,0))+parametros_carros!$E$21*('Plan mensual'!H80+IF(parametros_carros!$H$21="Todos",'Plan mensual'!H84,0))+parametros_carros!$F$21*('Plan mensual'!H81+IF(parametros_carros!$H$21="Todos",'Plan mensual'!H85,0))+parametros_carros!$G$21*('Plan mensual'!H82+IF(parametros_carros!$H$21="Todos",'Plan mensual'!H86,0)))/60</f>
        <v>5.493659557725</v>
      </c>
      <c r="G144" s="41" t="n">
        <f aca="false">(parametros_carros!$D$21*('Plan mensual'!I79+IF(parametros_carros!$H$21="Todos",'Plan mensual'!I83,0))+parametros_carros!$E$21*('Plan mensual'!I80+IF(parametros_carros!$H$21="Todos",'Plan mensual'!I84,0))+parametros_carros!$F$21*('Plan mensual'!I81+IF(parametros_carros!$H$21="Todos",'Plan mensual'!I85,0))+parametros_carros!$G$21*('Plan mensual'!I82+IF(parametros_carros!$H$21="Todos",'Plan mensual'!I86,0)))/60</f>
        <v>4.8832529402</v>
      </c>
      <c r="H144" s="41" t="n">
        <f aca="false">(parametros_carros!$D$21*('Plan mensual'!J79+IF(parametros_carros!$H$21="Todos",'Plan mensual'!J83,0))+parametros_carros!$E$21*('Plan mensual'!J80+IF(parametros_carros!$H$21="Todos",'Plan mensual'!J84,0))+parametros_carros!$F$21*('Plan mensual'!J81+IF(parametros_carros!$H$21="Todos",'Plan mensual'!J85,0))+parametros_carros!$G$21*('Plan mensual'!J82+IF(parametros_carros!$H$21="Todos",'Plan mensual'!J86,0)))/60</f>
        <v>5.493659557725</v>
      </c>
      <c r="I144" s="41" t="n">
        <f aca="false">(parametros_carros!$D$21*('Plan mensual'!K79+IF(parametros_carros!$H$21="Todos",'Plan mensual'!K83,0))+parametros_carros!$E$21*('Plan mensual'!K80+IF(parametros_carros!$H$21="Todos",'Plan mensual'!K84,0))+parametros_carros!$F$21*('Plan mensual'!K81+IF(parametros_carros!$H$21="Todos",'Plan mensual'!K85,0))+parametros_carros!$G$21*('Plan mensual'!K82+IF(parametros_carros!$H$21="Todos",'Plan mensual'!K86,0)))/60</f>
        <v>5.493659557725</v>
      </c>
      <c r="J144" s="41" t="n">
        <f aca="false">(parametros_carros!$D$21*('Plan mensual'!L79+IF(parametros_carros!$H$21="Todos",'Plan mensual'!L83,0))+parametros_carros!$E$21*('Plan mensual'!L80+IF(parametros_carros!$H$21="Todos",'Plan mensual'!L84,0))+parametros_carros!$F$21*('Plan mensual'!L81+IF(parametros_carros!$H$21="Todos",'Plan mensual'!L85,0))+parametros_carros!$G$21*('Plan mensual'!L82+IF(parametros_carros!$H$21="Todos",'Plan mensual'!L86,0)))/60</f>
        <v>5.1884562489625</v>
      </c>
      <c r="K144" s="41" t="n">
        <f aca="false">(parametros_carros!$D$21*('Plan mensual'!M79+IF(parametros_carros!$H$21="Todos",'Plan mensual'!M83,0))+parametros_carros!$E$21*('Plan mensual'!M80+IF(parametros_carros!$H$21="Todos",'Plan mensual'!M84,0))+parametros_carros!$F$21*('Plan mensual'!M81+IF(parametros_carros!$H$21="Todos",'Plan mensual'!M85,0))+parametros_carros!$G$21*('Plan mensual'!M82+IF(parametros_carros!$H$21="Todos",'Plan mensual'!M86,0)))/60</f>
        <v>4.5780496314375</v>
      </c>
      <c r="L144" s="41" t="n">
        <f aca="false">(parametros_carros!$D$21*('Plan mensual'!N79+IF(parametros_carros!$H$21="Todos",'Plan mensual'!N83,0))+parametros_carros!$E$21*('Plan mensual'!N80+IF(parametros_carros!$H$21="Todos",'Plan mensual'!N84,0))+parametros_carros!$F$21*('Plan mensual'!N81+IF(parametros_carros!$H$21="Todos",'Plan mensual'!N85,0))+parametros_carros!$G$21*('Plan mensual'!N82+IF(parametros_carros!$H$21="Todos",'Plan mensual'!N86,0)))/60</f>
        <v>4.272846322675</v>
      </c>
      <c r="M144" s="41" t="n">
        <f aca="false">(parametros_carros!$D$21*('Plan mensual'!O79+IF(parametros_carros!$H$21="Todos",'Plan mensual'!O83,0))+parametros_carros!$E$21*('Plan mensual'!O80+IF(parametros_carros!$H$21="Todos",'Plan mensual'!O84,0))+parametros_carros!$F$21*('Plan mensual'!O81+IF(parametros_carros!$H$21="Todos",'Plan mensual'!O85,0))+parametros_carros!$G$21*('Plan mensual'!O82+IF(parametros_carros!$H$21="Todos",'Plan mensual'!O86,0)))/60</f>
        <v>4.8832529402</v>
      </c>
      <c r="N144" s="41" t="n">
        <f aca="false">SUM(B144:M144)</f>
        <v>61.0406617525</v>
      </c>
      <c r="O144" s="41" t="n">
        <f aca="false">MAX(B144:M144)</f>
        <v>5.493659557725</v>
      </c>
      <c r="P144" s="45" t="n">
        <f aca="false">IF(parametros_carros!$B$7=0,0,(O144+parametros_carros!$G$47)/parametros_carros!$B$7)</f>
        <v>0.0488466192737222</v>
      </c>
      <c r="Q144" s="29" t="str">
        <f aca="false">IF(O144=0,"-",INDEX($B$141:$M$141,MATCH(O144,B144:M144,0)))</f>
        <v>Mar</v>
      </c>
    </row>
    <row r="145" customFormat="false" ht="14.25" hidden="false" customHeight="true" outlineLevel="0" collapsed="false">
      <c r="A145" s="12" t="str">
        <f aca="false">parametros_carros!$B$22</f>
        <v>Cilindrado</v>
      </c>
      <c r="B145" s="41" t="n">
        <f aca="false">(parametros_carros!$D$22*('Plan mensual'!D79+IF(parametros_carros!$H$22="Todos",'Plan mensual'!D83,0))+parametros_carros!$E$22*('Plan mensual'!D80+IF(parametros_carros!$H$22="Todos",'Plan mensual'!D84,0))+parametros_carros!$F$22*('Plan mensual'!D81+IF(parametros_carros!$H$22="Todos",'Plan mensual'!D85,0))+parametros_carros!$G$22*('Plan mensual'!D82+IF(parametros_carros!$H$22="Todos",'Plan mensual'!D86,0)))/60</f>
        <v>11.0988452923861</v>
      </c>
      <c r="C145" s="41" t="n">
        <f aca="false">(parametros_carros!$D$22*('Plan mensual'!E79+IF(parametros_carros!$H$22="Todos",'Plan mensual'!E83,0))+parametros_carros!$E$22*('Plan mensual'!E80+IF(parametros_carros!$H$22="Todos",'Plan mensual'!E84,0))+parametros_carros!$F$22*('Plan mensual'!E81+IF(parametros_carros!$H$22="Todos",'Plan mensual'!E85,0))+parametros_carros!$G$22*('Plan mensual'!E82+IF(parametros_carros!$H$22="Todos",'Plan mensual'!E86,0)))/60</f>
        <v>9.79309878739946</v>
      </c>
      <c r="D145" s="41" t="n">
        <f aca="false">(parametros_carros!$D$22*('Plan mensual'!F79+IF(parametros_carros!$H$22="Todos",'Plan mensual'!F83,0))+parametros_carros!$E$22*('Plan mensual'!F80+IF(parametros_carros!$H$22="Todos",'Plan mensual'!F84,0))+parametros_carros!$F$22*('Plan mensual'!F81+IF(parametros_carros!$H$22="Todos",'Plan mensual'!F85,0))+parametros_carros!$G$22*('Plan mensual'!F82+IF(parametros_carros!$H$22="Todos",'Plan mensual'!F86,0)))/60</f>
        <v>11.7517185448793</v>
      </c>
      <c r="E145" s="41" t="n">
        <f aca="false">(parametros_carros!$D$22*('Plan mensual'!G79+IF(parametros_carros!$H$22="Todos",'Plan mensual'!G83,0))+parametros_carros!$E$22*('Plan mensual'!G80+IF(parametros_carros!$H$22="Todos",'Plan mensual'!G84,0))+parametros_carros!$F$22*('Plan mensual'!G81+IF(parametros_carros!$H$22="Todos",'Plan mensual'!G85,0))+parametros_carros!$G$22*('Plan mensual'!G82+IF(parametros_carros!$H$22="Todos",'Plan mensual'!G86,0)))/60</f>
        <v>11.7517185448793</v>
      </c>
      <c r="F145" s="41" t="n">
        <f aca="false">(parametros_carros!$D$22*('Plan mensual'!H79+IF(parametros_carros!$H$22="Todos",'Plan mensual'!H83,0))+parametros_carros!$E$22*('Plan mensual'!H80+IF(parametros_carros!$H$22="Todos",'Plan mensual'!H84,0))+parametros_carros!$F$22*('Plan mensual'!H81+IF(parametros_carros!$H$22="Todos",'Plan mensual'!H85,0))+parametros_carros!$G$22*('Plan mensual'!H82+IF(parametros_carros!$H$22="Todos",'Plan mensual'!H86,0)))/60</f>
        <v>11.7517185448793</v>
      </c>
      <c r="G145" s="41" t="n">
        <f aca="false">(parametros_carros!$D$22*('Plan mensual'!I79+IF(parametros_carros!$H$22="Todos",'Plan mensual'!I83,0))+parametros_carros!$E$22*('Plan mensual'!I80+IF(parametros_carros!$H$22="Todos",'Plan mensual'!I84,0))+parametros_carros!$F$22*('Plan mensual'!I81+IF(parametros_carros!$H$22="Todos",'Plan mensual'!I85,0))+parametros_carros!$G$22*('Plan mensual'!I82+IF(parametros_carros!$H$22="Todos",'Plan mensual'!I86,0)))/60</f>
        <v>10.4459720398928</v>
      </c>
      <c r="H145" s="41" t="n">
        <f aca="false">(parametros_carros!$D$22*('Plan mensual'!J79+IF(parametros_carros!$H$22="Todos",'Plan mensual'!J83,0))+parametros_carros!$E$22*('Plan mensual'!J80+IF(parametros_carros!$H$22="Todos",'Plan mensual'!J84,0))+parametros_carros!$F$22*('Plan mensual'!J81+IF(parametros_carros!$H$22="Todos",'Plan mensual'!J85,0))+parametros_carros!$G$22*('Plan mensual'!J82+IF(parametros_carros!$H$22="Todos",'Plan mensual'!J86,0)))/60</f>
        <v>11.7517185448793</v>
      </c>
      <c r="I145" s="41" t="n">
        <f aca="false">(parametros_carros!$D$22*('Plan mensual'!K79+IF(parametros_carros!$H$22="Todos",'Plan mensual'!K83,0))+parametros_carros!$E$22*('Plan mensual'!K80+IF(parametros_carros!$H$22="Todos",'Plan mensual'!K84,0))+parametros_carros!$F$22*('Plan mensual'!K81+IF(parametros_carros!$H$22="Todos",'Plan mensual'!K85,0))+parametros_carros!$G$22*('Plan mensual'!K82+IF(parametros_carros!$H$22="Todos",'Plan mensual'!K86,0)))/60</f>
        <v>11.7517185448793</v>
      </c>
      <c r="J145" s="41" t="n">
        <f aca="false">(parametros_carros!$D$22*('Plan mensual'!L79+IF(parametros_carros!$H$22="Todos",'Plan mensual'!L83,0))+parametros_carros!$E$22*('Plan mensual'!L80+IF(parametros_carros!$H$22="Todos",'Plan mensual'!L84,0))+parametros_carros!$F$22*('Plan mensual'!L81+IF(parametros_carros!$H$22="Todos",'Plan mensual'!L85,0))+parametros_carros!$G$22*('Plan mensual'!L82+IF(parametros_carros!$H$22="Todos",'Plan mensual'!L86,0)))/60</f>
        <v>11.0988452923861</v>
      </c>
      <c r="K145" s="41" t="n">
        <f aca="false">(parametros_carros!$D$22*('Plan mensual'!M79+IF(parametros_carros!$H$22="Todos",'Plan mensual'!M83,0))+parametros_carros!$E$22*('Plan mensual'!M80+IF(parametros_carros!$H$22="Todos",'Plan mensual'!M84,0))+parametros_carros!$F$22*('Plan mensual'!M81+IF(parametros_carros!$H$22="Todos",'Plan mensual'!M85,0))+parametros_carros!$G$22*('Plan mensual'!M82+IF(parametros_carros!$H$22="Todos",'Plan mensual'!M86,0)))/60</f>
        <v>9.79309878739946</v>
      </c>
      <c r="L145" s="41" t="n">
        <f aca="false">(parametros_carros!$D$22*('Plan mensual'!N79+IF(parametros_carros!$H$22="Todos",'Plan mensual'!N83,0))+parametros_carros!$E$22*('Plan mensual'!N80+IF(parametros_carros!$H$22="Todos",'Plan mensual'!N84,0))+parametros_carros!$F$22*('Plan mensual'!N81+IF(parametros_carros!$H$22="Todos",'Plan mensual'!N85,0))+parametros_carros!$G$22*('Plan mensual'!N82+IF(parametros_carros!$H$22="Todos",'Plan mensual'!N86,0)))/60</f>
        <v>9.14022553490616</v>
      </c>
      <c r="M145" s="41" t="n">
        <f aca="false">(parametros_carros!$D$22*('Plan mensual'!O79+IF(parametros_carros!$H$22="Todos",'Plan mensual'!O83,0))+parametros_carros!$E$22*('Plan mensual'!O80+IF(parametros_carros!$H$22="Todos",'Plan mensual'!O84,0))+parametros_carros!$F$22*('Plan mensual'!O81+IF(parametros_carros!$H$22="Todos",'Plan mensual'!O85,0))+parametros_carros!$G$22*('Plan mensual'!O82+IF(parametros_carros!$H$22="Todos",'Plan mensual'!O86,0)))/60</f>
        <v>10.4459720398928</v>
      </c>
      <c r="N145" s="41" t="n">
        <f aca="false">SUM(B145:M145)</f>
        <v>130.574650498659</v>
      </c>
      <c r="O145" s="41" t="n">
        <f aca="false">MAX(B145:M145)</f>
        <v>11.7517185448793</v>
      </c>
      <c r="P145" s="45" t="n">
        <f aca="false">IF(parametros_carros!$B$7=0,0,(O145+parametros_carros!$G$48)/parametros_carros!$B$7)</f>
        <v>0.118344790299196</v>
      </c>
      <c r="Q145" s="29" t="str">
        <f aca="false">IF(O145=0,"-",INDEX($B$141:$M$141,MATCH(O145,B145:M145,0)))</f>
        <v>Mar</v>
      </c>
    </row>
    <row r="146" customFormat="false" ht="14.25" hidden="false" customHeight="true" outlineLevel="0" collapsed="false">
      <c r="A146" s="12" t="str">
        <f aca="false">parametros_carros!$B$23</f>
        <v>Punteo del cuerpo</v>
      </c>
      <c r="B146" s="41" t="n">
        <f aca="false">(parametros_carros!$D$23*('Plan mensual'!D79+IF(parametros_carros!$H$23="Todos",'Plan mensual'!D83,0))+parametros_carros!$E$23*('Plan mensual'!D80+IF(parametros_carros!$H$23="Todos",'Plan mensual'!D84,0))+parametros_carros!$F$23*('Plan mensual'!D81+IF(parametros_carros!$H$23="Todos",'Plan mensual'!D85,0))+parametros_carros!$G$23*('Plan mensual'!D82+IF(parametros_carros!$H$23="Todos",'Plan mensual'!D86,0)))/60</f>
        <v>16.4461851400569</v>
      </c>
      <c r="C146" s="41" t="n">
        <f aca="false">(parametros_carros!$D$23*('Plan mensual'!E79+IF(parametros_carros!$H$23="Todos",'Plan mensual'!E83,0))+parametros_carros!$E$23*('Plan mensual'!E80+IF(parametros_carros!$H$23="Todos",'Plan mensual'!E84,0))+parametros_carros!$F$23*('Plan mensual'!E81+IF(parametros_carros!$H$23="Todos",'Plan mensual'!E85,0))+parametros_carros!$G$23*('Plan mensual'!E82+IF(parametros_carros!$H$23="Todos",'Plan mensual'!E86,0)))/60</f>
        <v>14.511339829462</v>
      </c>
      <c r="D146" s="41" t="n">
        <f aca="false">(parametros_carros!$D$23*('Plan mensual'!F79+IF(parametros_carros!$H$23="Todos",'Plan mensual'!F83,0))+parametros_carros!$E$23*('Plan mensual'!F80+IF(parametros_carros!$H$23="Todos",'Plan mensual'!F84,0))+parametros_carros!$F$23*('Plan mensual'!F81+IF(parametros_carros!$H$23="Todos",'Plan mensual'!F85,0))+parametros_carros!$G$23*('Plan mensual'!F82+IF(parametros_carros!$H$23="Todos",'Plan mensual'!F86,0)))/60</f>
        <v>17.4136077953543</v>
      </c>
      <c r="E146" s="41" t="n">
        <f aca="false">(parametros_carros!$D$23*('Plan mensual'!G79+IF(parametros_carros!$H$23="Todos",'Plan mensual'!G83,0))+parametros_carros!$E$23*('Plan mensual'!G80+IF(parametros_carros!$H$23="Todos",'Plan mensual'!G84,0))+parametros_carros!$F$23*('Plan mensual'!G81+IF(parametros_carros!$H$23="Todos",'Plan mensual'!G85,0))+parametros_carros!$G$23*('Plan mensual'!G82+IF(parametros_carros!$H$23="Todos",'Plan mensual'!G86,0)))/60</f>
        <v>17.4136077953543</v>
      </c>
      <c r="F146" s="41" t="n">
        <f aca="false">(parametros_carros!$D$23*('Plan mensual'!H79+IF(parametros_carros!$H$23="Todos",'Plan mensual'!H83,0))+parametros_carros!$E$23*('Plan mensual'!H80+IF(parametros_carros!$H$23="Todos",'Plan mensual'!H84,0))+parametros_carros!$F$23*('Plan mensual'!H81+IF(parametros_carros!$H$23="Todos",'Plan mensual'!H85,0))+parametros_carros!$G$23*('Plan mensual'!H82+IF(parametros_carros!$H$23="Todos",'Plan mensual'!H86,0)))/60</f>
        <v>17.4136077953543</v>
      </c>
      <c r="G146" s="41" t="n">
        <f aca="false">(parametros_carros!$D$23*('Plan mensual'!I79+IF(parametros_carros!$H$23="Todos",'Plan mensual'!I83,0))+parametros_carros!$E$23*('Plan mensual'!I80+IF(parametros_carros!$H$23="Todos",'Plan mensual'!I84,0))+parametros_carros!$F$23*('Plan mensual'!I81+IF(parametros_carros!$H$23="Todos",'Plan mensual'!I85,0))+parametros_carros!$G$23*('Plan mensual'!I82+IF(parametros_carros!$H$23="Todos",'Plan mensual'!I86,0)))/60</f>
        <v>15.4787624847594</v>
      </c>
      <c r="H146" s="41" t="n">
        <f aca="false">(parametros_carros!$D$23*('Plan mensual'!J79+IF(parametros_carros!$H$23="Todos",'Plan mensual'!J83,0))+parametros_carros!$E$23*('Plan mensual'!J80+IF(parametros_carros!$H$23="Todos",'Plan mensual'!J84,0))+parametros_carros!$F$23*('Plan mensual'!J81+IF(parametros_carros!$H$23="Todos",'Plan mensual'!J85,0))+parametros_carros!$G$23*('Plan mensual'!J82+IF(parametros_carros!$H$23="Todos",'Plan mensual'!J86,0)))/60</f>
        <v>17.4136077953543</v>
      </c>
      <c r="I146" s="41" t="n">
        <f aca="false">(parametros_carros!$D$23*('Plan mensual'!K79+IF(parametros_carros!$H$23="Todos",'Plan mensual'!K83,0))+parametros_carros!$E$23*('Plan mensual'!K80+IF(parametros_carros!$H$23="Todos",'Plan mensual'!K84,0))+parametros_carros!$F$23*('Plan mensual'!K81+IF(parametros_carros!$H$23="Todos",'Plan mensual'!K85,0))+parametros_carros!$G$23*('Plan mensual'!K82+IF(parametros_carros!$H$23="Todos",'Plan mensual'!K86,0)))/60</f>
        <v>17.4136077953543</v>
      </c>
      <c r="J146" s="41" t="n">
        <f aca="false">(parametros_carros!$D$23*('Plan mensual'!L79+IF(parametros_carros!$H$23="Todos",'Plan mensual'!L83,0))+parametros_carros!$E$23*('Plan mensual'!L80+IF(parametros_carros!$H$23="Todos",'Plan mensual'!L84,0))+parametros_carros!$F$23*('Plan mensual'!L81+IF(parametros_carros!$H$23="Todos",'Plan mensual'!L85,0))+parametros_carros!$G$23*('Plan mensual'!L82+IF(parametros_carros!$H$23="Todos",'Plan mensual'!L86,0)))/60</f>
        <v>16.4461851400569</v>
      </c>
      <c r="K146" s="41" t="n">
        <f aca="false">(parametros_carros!$D$23*('Plan mensual'!M79+IF(parametros_carros!$H$23="Todos",'Plan mensual'!M83,0))+parametros_carros!$E$23*('Plan mensual'!M80+IF(parametros_carros!$H$23="Todos",'Plan mensual'!M84,0))+parametros_carros!$F$23*('Plan mensual'!M81+IF(parametros_carros!$H$23="Todos",'Plan mensual'!M85,0))+parametros_carros!$G$23*('Plan mensual'!M82+IF(parametros_carros!$H$23="Todos",'Plan mensual'!M86,0)))/60</f>
        <v>14.511339829462</v>
      </c>
      <c r="L146" s="41" t="n">
        <f aca="false">(parametros_carros!$D$23*('Plan mensual'!N79+IF(parametros_carros!$H$23="Todos",'Plan mensual'!N83,0))+parametros_carros!$E$23*('Plan mensual'!N80+IF(parametros_carros!$H$23="Todos",'Plan mensual'!N84,0))+parametros_carros!$F$23*('Plan mensual'!N81+IF(parametros_carros!$H$23="Todos",'Plan mensual'!N85,0))+parametros_carros!$G$23*('Plan mensual'!N82+IF(parametros_carros!$H$23="Todos",'Plan mensual'!N86,0)))/60</f>
        <v>13.5439171741645</v>
      </c>
      <c r="M146" s="41" t="n">
        <f aca="false">(parametros_carros!$D$23*('Plan mensual'!O79+IF(parametros_carros!$H$23="Todos",'Plan mensual'!O83,0))+parametros_carros!$E$23*('Plan mensual'!O80+IF(parametros_carros!$H$23="Todos",'Plan mensual'!O84,0))+parametros_carros!$F$23*('Plan mensual'!O81+IF(parametros_carros!$H$23="Todos",'Plan mensual'!O85,0))+parametros_carros!$G$23*('Plan mensual'!O82+IF(parametros_carros!$H$23="Todos",'Plan mensual'!O86,0)))/60</f>
        <v>15.4787624847594</v>
      </c>
      <c r="N146" s="41" t="n">
        <f aca="false">SUM(B146:M146)</f>
        <v>193.484531059493</v>
      </c>
      <c r="O146" s="41" t="n">
        <f aca="false">MAX(B146:M146)</f>
        <v>17.4136077953543</v>
      </c>
      <c r="P146" s="45" t="n">
        <f aca="false">IF(parametros_carros!$B$7=0,0,(O146+parametros_carros!$G$49)/parametros_carros!$B$7)</f>
        <v>0.127201829746807</v>
      </c>
      <c r="Q146" s="29" t="str">
        <f aca="false">IF(O146=0,"-",INDEX($B$141:$M$141,MATCH(O146,B146:M146,0)))</f>
        <v>Mar</v>
      </c>
    </row>
    <row r="147" customFormat="false" ht="14.25" hidden="false" customHeight="true" outlineLevel="0" collapsed="false">
      <c r="A147" s="12" t="str">
        <f aca="false">parametros_carros!$B$24</f>
        <v>Soldadura longitudinal</v>
      </c>
      <c r="B147" s="41" t="n">
        <f aca="false">(parametros_carros!$D$24*('Plan mensual'!D79+IF(parametros_carros!$H$24="Todos",'Plan mensual'!D83,0))+parametros_carros!$E$24*('Plan mensual'!D80+IF(parametros_carros!$H$24="Todos",'Plan mensual'!D84,0))+parametros_carros!$F$24*('Plan mensual'!D81+IF(parametros_carros!$H$24="Todos",'Plan mensual'!D85,0))+parametros_carros!$G$24*('Plan mensual'!D82+IF(parametros_carros!$H$24="Todos",'Plan mensual'!D86,0)))/60</f>
        <v>11.3099828645458</v>
      </c>
      <c r="C147" s="41" t="n">
        <f aca="false">(parametros_carros!$D$24*('Plan mensual'!E79+IF(parametros_carros!$H$24="Todos",'Plan mensual'!E83,0))+parametros_carros!$E$24*('Plan mensual'!E80+IF(parametros_carros!$H$24="Todos",'Plan mensual'!E84,0))+parametros_carros!$F$24*('Plan mensual'!E81+IF(parametros_carros!$H$24="Todos",'Plan mensual'!E85,0))+parametros_carros!$G$24*('Plan mensual'!E82+IF(parametros_carros!$H$24="Todos",'Plan mensual'!E86,0)))/60</f>
        <v>9.9793966451875</v>
      </c>
      <c r="D147" s="41" t="n">
        <f aca="false">(parametros_carros!$D$24*('Plan mensual'!F79+IF(parametros_carros!$H$24="Todos",'Plan mensual'!F83,0))+parametros_carros!$E$24*('Plan mensual'!F80+IF(parametros_carros!$H$24="Todos",'Plan mensual'!F84,0))+parametros_carros!$F$24*('Plan mensual'!F81+IF(parametros_carros!$H$24="Todos",'Plan mensual'!F85,0))+parametros_carros!$G$24*('Plan mensual'!F82+IF(parametros_carros!$H$24="Todos",'Plan mensual'!F86,0)))/60</f>
        <v>11.975275974225</v>
      </c>
      <c r="E147" s="41" t="n">
        <f aca="false">(parametros_carros!$D$24*('Plan mensual'!G79+IF(parametros_carros!$H$24="Todos",'Plan mensual'!G83,0))+parametros_carros!$E$24*('Plan mensual'!G80+IF(parametros_carros!$H$24="Todos",'Plan mensual'!G84,0))+parametros_carros!$F$24*('Plan mensual'!G81+IF(parametros_carros!$H$24="Todos",'Plan mensual'!G85,0))+parametros_carros!$G$24*('Plan mensual'!G82+IF(parametros_carros!$H$24="Todos",'Plan mensual'!G86,0)))/60</f>
        <v>11.975275974225</v>
      </c>
      <c r="F147" s="41" t="n">
        <f aca="false">(parametros_carros!$D$24*('Plan mensual'!H79+IF(parametros_carros!$H$24="Todos",'Plan mensual'!H83,0))+parametros_carros!$E$24*('Plan mensual'!H80+IF(parametros_carros!$H$24="Todos",'Plan mensual'!H84,0))+parametros_carros!$F$24*('Plan mensual'!H81+IF(parametros_carros!$H$24="Todos",'Plan mensual'!H85,0))+parametros_carros!$G$24*('Plan mensual'!H82+IF(parametros_carros!$H$24="Todos",'Plan mensual'!H86,0)))/60</f>
        <v>11.975275974225</v>
      </c>
      <c r="G147" s="41" t="n">
        <f aca="false">(parametros_carros!$D$24*('Plan mensual'!I79+IF(parametros_carros!$H$24="Todos",'Plan mensual'!I83,0))+parametros_carros!$E$24*('Plan mensual'!I80+IF(parametros_carros!$H$24="Todos",'Plan mensual'!I84,0))+parametros_carros!$F$24*('Plan mensual'!I81+IF(parametros_carros!$H$24="Todos",'Plan mensual'!I85,0))+parametros_carros!$G$24*('Plan mensual'!I82+IF(parametros_carros!$H$24="Todos",'Plan mensual'!I86,0)))/60</f>
        <v>10.6446897548667</v>
      </c>
      <c r="H147" s="41" t="n">
        <f aca="false">(parametros_carros!$D$24*('Plan mensual'!J79+IF(parametros_carros!$H$24="Todos",'Plan mensual'!J83,0))+parametros_carros!$E$24*('Plan mensual'!J80+IF(parametros_carros!$H$24="Todos",'Plan mensual'!J84,0))+parametros_carros!$F$24*('Plan mensual'!J81+IF(parametros_carros!$H$24="Todos",'Plan mensual'!J85,0))+parametros_carros!$G$24*('Plan mensual'!J82+IF(parametros_carros!$H$24="Todos",'Plan mensual'!J86,0)))/60</f>
        <v>11.975275974225</v>
      </c>
      <c r="I147" s="41" t="n">
        <f aca="false">(parametros_carros!$D$24*('Plan mensual'!K79+IF(parametros_carros!$H$24="Todos",'Plan mensual'!K83,0))+parametros_carros!$E$24*('Plan mensual'!K80+IF(parametros_carros!$H$24="Todos",'Plan mensual'!K84,0))+parametros_carros!$F$24*('Plan mensual'!K81+IF(parametros_carros!$H$24="Todos",'Plan mensual'!K85,0))+parametros_carros!$G$24*('Plan mensual'!K82+IF(parametros_carros!$H$24="Todos",'Plan mensual'!K86,0)))/60</f>
        <v>11.975275974225</v>
      </c>
      <c r="J147" s="41" t="n">
        <f aca="false">(parametros_carros!$D$24*('Plan mensual'!L79+IF(parametros_carros!$H$24="Todos",'Plan mensual'!L83,0))+parametros_carros!$E$24*('Plan mensual'!L80+IF(parametros_carros!$H$24="Todos",'Plan mensual'!L84,0))+parametros_carros!$F$24*('Plan mensual'!L81+IF(parametros_carros!$H$24="Todos",'Plan mensual'!L85,0))+parametros_carros!$G$24*('Plan mensual'!L82+IF(parametros_carros!$H$24="Todos",'Plan mensual'!L86,0)))/60</f>
        <v>11.3099828645458</v>
      </c>
      <c r="K147" s="41" t="n">
        <f aca="false">(parametros_carros!$D$24*('Plan mensual'!M79+IF(parametros_carros!$H$24="Todos",'Plan mensual'!M83,0))+parametros_carros!$E$24*('Plan mensual'!M80+IF(parametros_carros!$H$24="Todos",'Plan mensual'!M84,0))+parametros_carros!$F$24*('Plan mensual'!M81+IF(parametros_carros!$H$24="Todos",'Plan mensual'!M85,0))+parametros_carros!$G$24*('Plan mensual'!M82+IF(parametros_carros!$H$24="Todos",'Plan mensual'!M86,0)))/60</f>
        <v>9.9793966451875</v>
      </c>
      <c r="L147" s="41" t="n">
        <f aca="false">(parametros_carros!$D$24*('Plan mensual'!N79+IF(parametros_carros!$H$24="Todos",'Plan mensual'!N83,0))+parametros_carros!$E$24*('Plan mensual'!N80+IF(parametros_carros!$H$24="Todos",'Plan mensual'!N84,0))+parametros_carros!$F$24*('Plan mensual'!N81+IF(parametros_carros!$H$24="Todos",'Plan mensual'!N85,0))+parametros_carros!$G$24*('Plan mensual'!N82+IF(parametros_carros!$H$24="Todos",'Plan mensual'!N86,0)))/60</f>
        <v>9.31410353550834</v>
      </c>
      <c r="M147" s="41" t="n">
        <f aca="false">(parametros_carros!$D$24*('Plan mensual'!O79+IF(parametros_carros!$H$24="Todos",'Plan mensual'!O83,0))+parametros_carros!$E$24*('Plan mensual'!O80+IF(parametros_carros!$H$24="Todos",'Plan mensual'!O84,0))+parametros_carros!$F$24*('Plan mensual'!O81+IF(parametros_carros!$H$24="Todos",'Plan mensual'!O85,0))+parametros_carros!$G$24*('Plan mensual'!O82+IF(parametros_carros!$H$24="Todos",'Plan mensual'!O86,0)))/60</f>
        <v>10.6446897548667</v>
      </c>
      <c r="N147" s="41" t="n">
        <f aca="false">SUM(B147:M147)</f>
        <v>133.058621935833</v>
      </c>
      <c r="O147" s="41" t="n">
        <f aca="false">MAX(B147:M147)</f>
        <v>11.975275974225</v>
      </c>
      <c r="P147" s="45" t="n">
        <f aca="false">IF(parametros_carros!$B$7=0,0,(O147+parametros_carros!$G$50)/parametros_carros!$B$7)</f>
        <v>0.0976129509392778</v>
      </c>
      <c r="Q147" s="29" t="str">
        <f aca="false">IF(O147=0,"-",INDEX($B$141:$M$141,MATCH(O147,B147:M147,0)))</f>
        <v>Mar</v>
      </c>
    </row>
    <row r="148" customFormat="false" ht="14.25" hidden="false" customHeight="true" outlineLevel="0" collapsed="false">
      <c r="A148" s="12" t="str">
        <f aca="false">parametros_carros!$B$25</f>
        <v>Soldadura de cupla en la cúpula</v>
      </c>
      <c r="B148" s="41" t="n">
        <f aca="false">(parametros_carros!$D$25*('Plan mensual'!D79+IF(parametros_carros!$H$25="Todos",'Plan mensual'!D83,0))+parametros_carros!$E$25*('Plan mensual'!D80+IF(parametros_carros!$H$25="Todos",'Plan mensual'!D84,0))+parametros_carros!$F$25*('Plan mensual'!D81+IF(parametros_carros!$H$25="Todos",'Plan mensual'!D85,0))+parametros_carros!$G$25*('Plan mensual'!D82+IF(parametros_carros!$H$25="Todos",'Plan mensual'!D86,0)))/60</f>
        <v>11.17482269006</v>
      </c>
      <c r="C148" s="41" t="n">
        <f aca="false">(parametros_carros!$D$25*('Plan mensual'!E79+IF(parametros_carros!$H$25="Todos",'Plan mensual'!E83,0))+parametros_carros!$E$25*('Plan mensual'!E80+IF(parametros_carros!$H$25="Todos",'Plan mensual'!E84,0))+parametros_carros!$F$25*('Plan mensual'!E81+IF(parametros_carros!$H$25="Todos",'Plan mensual'!E85,0))+parametros_carros!$G$25*('Plan mensual'!E82+IF(parametros_carros!$H$25="Todos",'Plan mensual'!E86,0)))/60</f>
        <v>9.8601376677</v>
      </c>
      <c r="D148" s="41" t="n">
        <f aca="false">(parametros_carros!$D$25*('Plan mensual'!F79+IF(parametros_carros!$H$25="Todos",'Plan mensual'!F83,0))+parametros_carros!$E$25*('Plan mensual'!F80+IF(parametros_carros!$H$25="Todos",'Plan mensual'!F84,0))+parametros_carros!$F$25*('Plan mensual'!F81+IF(parametros_carros!$H$25="Todos",'Plan mensual'!F85,0))+parametros_carros!$G$25*('Plan mensual'!F82+IF(parametros_carros!$H$25="Todos",'Plan mensual'!F86,0)))/60</f>
        <v>11.83216520124</v>
      </c>
      <c r="E148" s="41" t="n">
        <f aca="false">(parametros_carros!$D$25*('Plan mensual'!G79+IF(parametros_carros!$H$25="Todos",'Plan mensual'!G83,0))+parametros_carros!$E$25*('Plan mensual'!G80+IF(parametros_carros!$H$25="Todos",'Plan mensual'!G84,0))+parametros_carros!$F$25*('Plan mensual'!G81+IF(parametros_carros!$H$25="Todos",'Plan mensual'!G85,0))+parametros_carros!$G$25*('Plan mensual'!G82+IF(parametros_carros!$H$25="Todos",'Plan mensual'!G86,0)))/60</f>
        <v>11.83216520124</v>
      </c>
      <c r="F148" s="41" t="n">
        <f aca="false">(parametros_carros!$D$25*('Plan mensual'!H79+IF(parametros_carros!$H$25="Todos",'Plan mensual'!H83,0))+parametros_carros!$E$25*('Plan mensual'!H80+IF(parametros_carros!$H$25="Todos",'Plan mensual'!H84,0))+parametros_carros!$F$25*('Plan mensual'!H81+IF(parametros_carros!$H$25="Todos",'Plan mensual'!H85,0))+parametros_carros!$G$25*('Plan mensual'!H82+IF(parametros_carros!$H$25="Todos",'Plan mensual'!H86,0)))/60</f>
        <v>11.83216520124</v>
      </c>
      <c r="G148" s="41" t="n">
        <f aca="false">(parametros_carros!$D$25*('Plan mensual'!I79+IF(parametros_carros!$H$25="Todos",'Plan mensual'!I83,0))+parametros_carros!$E$25*('Plan mensual'!I80+IF(parametros_carros!$H$25="Todos",'Plan mensual'!I84,0))+parametros_carros!$F$25*('Plan mensual'!I81+IF(parametros_carros!$H$25="Todos",'Plan mensual'!I85,0))+parametros_carros!$G$25*('Plan mensual'!I82+IF(parametros_carros!$H$25="Todos",'Plan mensual'!I86,0)))/60</f>
        <v>10.51748017888</v>
      </c>
      <c r="H148" s="41" t="n">
        <f aca="false">(parametros_carros!$D$25*('Plan mensual'!J79+IF(parametros_carros!$H$25="Todos",'Plan mensual'!J83,0))+parametros_carros!$E$25*('Plan mensual'!J80+IF(parametros_carros!$H$25="Todos",'Plan mensual'!J84,0))+parametros_carros!$F$25*('Plan mensual'!J81+IF(parametros_carros!$H$25="Todos",'Plan mensual'!J85,0))+parametros_carros!$G$25*('Plan mensual'!J82+IF(parametros_carros!$H$25="Todos",'Plan mensual'!J86,0)))/60</f>
        <v>11.83216520124</v>
      </c>
      <c r="I148" s="41" t="n">
        <f aca="false">(parametros_carros!$D$25*('Plan mensual'!K79+IF(parametros_carros!$H$25="Todos",'Plan mensual'!K83,0))+parametros_carros!$E$25*('Plan mensual'!K80+IF(parametros_carros!$H$25="Todos",'Plan mensual'!K84,0))+parametros_carros!$F$25*('Plan mensual'!K81+IF(parametros_carros!$H$25="Todos",'Plan mensual'!K85,0))+parametros_carros!$G$25*('Plan mensual'!K82+IF(parametros_carros!$H$25="Todos",'Plan mensual'!K86,0)))/60</f>
        <v>11.83216520124</v>
      </c>
      <c r="J148" s="41" t="n">
        <f aca="false">(parametros_carros!$D$25*('Plan mensual'!L79+IF(parametros_carros!$H$25="Todos",'Plan mensual'!L83,0))+parametros_carros!$E$25*('Plan mensual'!L80+IF(parametros_carros!$H$25="Todos",'Plan mensual'!L84,0))+parametros_carros!$F$25*('Plan mensual'!L81+IF(parametros_carros!$H$25="Todos",'Plan mensual'!L85,0))+parametros_carros!$G$25*('Plan mensual'!L82+IF(parametros_carros!$H$25="Todos",'Plan mensual'!L86,0)))/60</f>
        <v>11.17482269006</v>
      </c>
      <c r="K148" s="41" t="n">
        <f aca="false">(parametros_carros!$D$25*('Plan mensual'!M79+IF(parametros_carros!$H$25="Todos",'Plan mensual'!M83,0))+parametros_carros!$E$25*('Plan mensual'!M80+IF(parametros_carros!$H$25="Todos",'Plan mensual'!M84,0))+parametros_carros!$F$25*('Plan mensual'!M81+IF(parametros_carros!$H$25="Todos",'Plan mensual'!M85,0))+parametros_carros!$G$25*('Plan mensual'!M82+IF(parametros_carros!$H$25="Todos",'Plan mensual'!M86,0)))/60</f>
        <v>9.8601376677</v>
      </c>
      <c r="L148" s="41" t="n">
        <f aca="false">(parametros_carros!$D$25*('Plan mensual'!N79+IF(parametros_carros!$H$25="Todos",'Plan mensual'!N83,0))+parametros_carros!$E$25*('Plan mensual'!N80+IF(parametros_carros!$H$25="Todos",'Plan mensual'!N84,0))+parametros_carros!$F$25*('Plan mensual'!N81+IF(parametros_carros!$H$25="Todos",'Plan mensual'!N85,0))+parametros_carros!$G$25*('Plan mensual'!N82+IF(parametros_carros!$H$25="Todos",'Plan mensual'!N86,0)))/60</f>
        <v>9.20279515652</v>
      </c>
      <c r="M148" s="41" t="n">
        <f aca="false">(parametros_carros!$D$25*('Plan mensual'!O79+IF(parametros_carros!$H$25="Todos",'Plan mensual'!O83,0))+parametros_carros!$E$25*('Plan mensual'!O80+IF(parametros_carros!$H$25="Todos",'Plan mensual'!O84,0))+parametros_carros!$F$25*('Plan mensual'!O81+IF(parametros_carros!$H$25="Todos",'Plan mensual'!O85,0))+parametros_carros!$G$25*('Plan mensual'!O82+IF(parametros_carros!$H$25="Todos",'Plan mensual'!O86,0)))/60</f>
        <v>10.51748017888</v>
      </c>
      <c r="N148" s="41" t="n">
        <f aca="false">SUM(B148:M148)</f>
        <v>131.468502236</v>
      </c>
      <c r="O148" s="41" t="n">
        <f aca="false">MAX(B148:M148)</f>
        <v>11.83216520124</v>
      </c>
      <c r="P148" s="45" t="n">
        <f aca="false">IF(parametros_carros!$B$7=0,0,(O148+parametros_carros!$G$51)/parametros_carros!$B$7)</f>
        <v>0.0988811013416</v>
      </c>
      <c r="Q148" s="29" t="str">
        <f aca="false">IF(O148=0,"-",INDEX($B$141:$M$141,MATCH(O148,B148:M148,0)))</f>
        <v>Mar</v>
      </c>
    </row>
    <row r="149" customFormat="false" ht="14.25" hidden="false" customHeight="true" outlineLevel="0" collapsed="false">
      <c r="A149" s="12" t="str">
        <f aca="false">parametros_carros!$B$26</f>
        <v>Armado y soldadura circunferencial</v>
      </c>
      <c r="B149" s="41" t="n">
        <f aca="false">(parametros_carros!$D$26*('Plan mensual'!D79+IF(parametros_carros!$H$26="Todos",'Plan mensual'!D83,0))+parametros_carros!$E$26*('Plan mensual'!D80+IF(parametros_carros!$H$26="Todos",'Plan mensual'!D84,0))+parametros_carros!$F$26*('Plan mensual'!D81+IF(parametros_carros!$H$26="Todos",'Plan mensual'!D85,0))+parametros_carros!$G$26*('Plan mensual'!D82+IF(parametros_carros!$H$26="Todos",'Plan mensual'!D86,0)))/60</f>
        <v>52.8461284717067</v>
      </c>
      <c r="C149" s="41" t="n">
        <f aca="false">(parametros_carros!$D$26*('Plan mensual'!E79+IF(parametros_carros!$H$26="Todos",'Plan mensual'!E83,0))+parametros_carros!$E$26*('Plan mensual'!E80+IF(parametros_carros!$H$26="Todos",'Plan mensual'!E84,0))+parametros_carros!$F$26*('Plan mensual'!E81+IF(parametros_carros!$H$26="Todos",'Plan mensual'!E85,0))+parametros_carros!$G$26*('Plan mensual'!E82+IF(parametros_carros!$H$26="Todos",'Plan mensual'!E86,0)))/60</f>
        <v>46.6289368868</v>
      </c>
      <c r="D149" s="41" t="n">
        <f aca="false">(parametros_carros!$D$26*('Plan mensual'!F79+IF(parametros_carros!$H$26="Todos",'Plan mensual'!F83,0))+parametros_carros!$E$26*('Plan mensual'!F80+IF(parametros_carros!$H$26="Todos",'Plan mensual'!F84,0))+parametros_carros!$F$26*('Plan mensual'!F81+IF(parametros_carros!$H$26="Todos",'Plan mensual'!F85,0))+parametros_carros!$G$26*('Plan mensual'!F82+IF(parametros_carros!$H$26="Todos",'Plan mensual'!F86,0)))/60</f>
        <v>55.95472426416</v>
      </c>
      <c r="E149" s="41" t="n">
        <f aca="false">(parametros_carros!$D$26*('Plan mensual'!G79+IF(parametros_carros!$H$26="Todos",'Plan mensual'!G83,0))+parametros_carros!$E$26*('Plan mensual'!G80+IF(parametros_carros!$H$26="Todos",'Plan mensual'!G84,0))+parametros_carros!$F$26*('Plan mensual'!G81+IF(parametros_carros!$H$26="Todos",'Plan mensual'!G85,0))+parametros_carros!$G$26*('Plan mensual'!G82+IF(parametros_carros!$H$26="Todos",'Plan mensual'!G86,0)))/60</f>
        <v>55.95472426416</v>
      </c>
      <c r="F149" s="41" t="n">
        <f aca="false">(parametros_carros!$D$26*('Plan mensual'!H79+IF(parametros_carros!$H$26="Todos",'Plan mensual'!H83,0))+parametros_carros!$E$26*('Plan mensual'!H80+IF(parametros_carros!$H$26="Todos",'Plan mensual'!H84,0))+parametros_carros!$F$26*('Plan mensual'!H81+IF(parametros_carros!$H$26="Todos",'Plan mensual'!H85,0))+parametros_carros!$G$26*('Plan mensual'!H82+IF(parametros_carros!$H$26="Todos",'Plan mensual'!H86,0)))/60</f>
        <v>55.95472426416</v>
      </c>
      <c r="G149" s="41" t="n">
        <f aca="false">(parametros_carros!$D$26*('Plan mensual'!I79+IF(parametros_carros!$H$26="Todos",'Plan mensual'!I83,0))+parametros_carros!$E$26*('Plan mensual'!I80+IF(parametros_carros!$H$26="Todos",'Plan mensual'!I84,0))+parametros_carros!$F$26*('Plan mensual'!I81+IF(parametros_carros!$H$26="Todos",'Plan mensual'!I85,0))+parametros_carros!$G$26*('Plan mensual'!I82+IF(parametros_carros!$H$26="Todos",'Plan mensual'!I86,0)))/60</f>
        <v>49.7375326792533</v>
      </c>
      <c r="H149" s="41" t="n">
        <f aca="false">(parametros_carros!$D$26*('Plan mensual'!J79+IF(parametros_carros!$H$26="Todos",'Plan mensual'!J83,0))+parametros_carros!$E$26*('Plan mensual'!J80+IF(parametros_carros!$H$26="Todos",'Plan mensual'!J84,0))+parametros_carros!$F$26*('Plan mensual'!J81+IF(parametros_carros!$H$26="Todos",'Plan mensual'!J85,0))+parametros_carros!$G$26*('Plan mensual'!J82+IF(parametros_carros!$H$26="Todos",'Plan mensual'!J86,0)))/60</f>
        <v>55.95472426416</v>
      </c>
      <c r="I149" s="41" t="n">
        <f aca="false">(parametros_carros!$D$26*('Plan mensual'!K79+IF(parametros_carros!$H$26="Todos",'Plan mensual'!K83,0))+parametros_carros!$E$26*('Plan mensual'!K80+IF(parametros_carros!$H$26="Todos",'Plan mensual'!K84,0))+parametros_carros!$F$26*('Plan mensual'!K81+IF(parametros_carros!$H$26="Todos",'Plan mensual'!K85,0))+parametros_carros!$G$26*('Plan mensual'!K82+IF(parametros_carros!$H$26="Todos",'Plan mensual'!K86,0)))/60</f>
        <v>55.95472426416</v>
      </c>
      <c r="J149" s="41" t="n">
        <f aca="false">(parametros_carros!$D$26*('Plan mensual'!L79+IF(parametros_carros!$H$26="Todos",'Plan mensual'!L83,0))+parametros_carros!$E$26*('Plan mensual'!L80+IF(parametros_carros!$H$26="Todos",'Plan mensual'!L84,0))+parametros_carros!$F$26*('Plan mensual'!L81+IF(parametros_carros!$H$26="Todos",'Plan mensual'!L85,0))+parametros_carros!$G$26*('Plan mensual'!L82+IF(parametros_carros!$H$26="Todos",'Plan mensual'!L86,0)))/60</f>
        <v>52.8461284717067</v>
      </c>
      <c r="K149" s="41" t="n">
        <f aca="false">(parametros_carros!$D$26*('Plan mensual'!M79+IF(parametros_carros!$H$26="Todos",'Plan mensual'!M83,0))+parametros_carros!$E$26*('Plan mensual'!M80+IF(parametros_carros!$H$26="Todos",'Plan mensual'!M84,0))+parametros_carros!$F$26*('Plan mensual'!M81+IF(parametros_carros!$H$26="Todos",'Plan mensual'!M85,0))+parametros_carros!$G$26*('Plan mensual'!M82+IF(parametros_carros!$H$26="Todos",'Plan mensual'!M86,0)))/60</f>
        <v>46.6289368868</v>
      </c>
      <c r="L149" s="41" t="n">
        <f aca="false">(parametros_carros!$D$26*('Plan mensual'!N79+IF(parametros_carros!$H$26="Todos",'Plan mensual'!N83,0))+parametros_carros!$E$26*('Plan mensual'!N80+IF(parametros_carros!$H$26="Todos",'Plan mensual'!N84,0))+parametros_carros!$F$26*('Plan mensual'!N81+IF(parametros_carros!$H$26="Todos",'Plan mensual'!N85,0))+parametros_carros!$G$26*('Plan mensual'!N82+IF(parametros_carros!$H$26="Todos",'Plan mensual'!N86,0)))/60</f>
        <v>43.5203410943467</v>
      </c>
      <c r="M149" s="41" t="n">
        <f aca="false">(parametros_carros!$D$26*('Plan mensual'!O79+IF(parametros_carros!$H$26="Todos",'Plan mensual'!O83,0))+parametros_carros!$E$26*('Plan mensual'!O80+IF(parametros_carros!$H$26="Todos",'Plan mensual'!O84,0))+parametros_carros!$F$26*('Plan mensual'!O81+IF(parametros_carros!$H$26="Todos",'Plan mensual'!O85,0))+parametros_carros!$G$26*('Plan mensual'!O82+IF(parametros_carros!$H$26="Todos",'Plan mensual'!O86,0)))/60</f>
        <v>49.7375326792533</v>
      </c>
      <c r="N149" s="41" t="n">
        <f aca="false">SUM(B149:M149)</f>
        <v>621.719158490667</v>
      </c>
      <c r="O149" s="41" t="n">
        <f aca="false">MAX(B149:M149)</f>
        <v>55.95472426416</v>
      </c>
      <c r="P149" s="45" t="n">
        <f aca="false">IF(parametros_carros!$B$7=0,0,(O149+parametros_carros!$G$52)/parametros_carros!$B$7)</f>
        <v>0.3930314950944</v>
      </c>
      <c r="Q149" s="29" t="str">
        <f aca="false">IF(O149=0,"-",INDEX($B$141:$M$141,MATCH(O149,B149:M149,0)))</f>
        <v>Mar</v>
      </c>
    </row>
    <row r="150" customFormat="false" ht="14.25" hidden="false" customHeight="true" outlineLevel="0" collapsed="false">
      <c r="A150" s="12" t="str">
        <f aca="false">parametros_carros!$B$27</f>
        <v>Soldadura de accesorios</v>
      </c>
      <c r="B150" s="41" t="n">
        <f aca="false">(parametros_carros!$D$27*('Plan mensual'!D79+IF(parametros_carros!$H$27="Todos",'Plan mensual'!D83,0))+parametros_carros!$E$27*('Plan mensual'!D80+IF(parametros_carros!$H$27="Todos",'Plan mensual'!D84,0))+parametros_carros!$F$27*('Plan mensual'!D81+IF(parametros_carros!$H$27="Todos",'Plan mensual'!D85,0))+parametros_carros!$G$27*('Plan mensual'!D82+IF(parametros_carros!$H$27="Todos",'Plan mensual'!D86,0)))/60</f>
        <v>53.8495398787758</v>
      </c>
      <c r="C150" s="41" t="n">
        <f aca="false">(parametros_carros!$D$27*('Plan mensual'!E79+IF(parametros_carros!$H$27="Todos",'Plan mensual'!E83,0))+parametros_carros!$E$27*('Plan mensual'!E80+IF(parametros_carros!$H$27="Todos",'Plan mensual'!E84,0))+parametros_carros!$F$27*('Plan mensual'!E81+IF(parametros_carros!$H$27="Todos",'Plan mensual'!E85,0))+parametros_carros!$G$27*('Plan mensual'!E82+IF(parametros_carros!$H$27="Todos",'Plan mensual'!E86,0)))/60</f>
        <v>47.5142998930375</v>
      </c>
      <c r="D150" s="41" t="n">
        <f aca="false">(parametros_carros!$D$27*('Plan mensual'!F79+IF(parametros_carros!$H$27="Todos",'Plan mensual'!F83,0))+parametros_carros!$E$27*('Plan mensual'!F80+IF(parametros_carros!$H$27="Todos",'Plan mensual'!F84,0))+parametros_carros!$F$27*('Plan mensual'!F81+IF(parametros_carros!$H$27="Todos",'Plan mensual'!F85,0))+parametros_carros!$G$27*('Plan mensual'!F82+IF(parametros_carros!$H$27="Todos",'Plan mensual'!F86,0)))/60</f>
        <v>57.017159871645</v>
      </c>
      <c r="E150" s="41" t="n">
        <f aca="false">(parametros_carros!$D$27*('Plan mensual'!G79+IF(parametros_carros!$H$27="Todos",'Plan mensual'!G83,0))+parametros_carros!$E$27*('Plan mensual'!G80+IF(parametros_carros!$H$27="Todos",'Plan mensual'!G84,0))+parametros_carros!$F$27*('Plan mensual'!G81+IF(parametros_carros!$H$27="Todos",'Plan mensual'!G85,0))+parametros_carros!$G$27*('Plan mensual'!G82+IF(parametros_carros!$H$27="Todos",'Plan mensual'!G86,0)))/60</f>
        <v>57.017159871645</v>
      </c>
      <c r="F150" s="41" t="n">
        <f aca="false">(parametros_carros!$D$27*('Plan mensual'!H79+IF(parametros_carros!$H$27="Todos",'Plan mensual'!H83,0))+parametros_carros!$E$27*('Plan mensual'!H80+IF(parametros_carros!$H$27="Todos",'Plan mensual'!H84,0))+parametros_carros!$F$27*('Plan mensual'!H81+IF(parametros_carros!$H$27="Todos",'Plan mensual'!H85,0))+parametros_carros!$G$27*('Plan mensual'!H82+IF(parametros_carros!$H$27="Todos",'Plan mensual'!H86,0)))/60</f>
        <v>57.017159871645</v>
      </c>
      <c r="G150" s="41" t="n">
        <f aca="false">(parametros_carros!$D$27*('Plan mensual'!I79+IF(parametros_carros!$H$27="Todos",'Plan mensual'!I83,0))+parametros_carros!$E$27*('Plan mensual'!I80+IF(parametros_carros!$H$27="Todos",'Plan mensual'!I84,0))+parametros_carros!$F$27*('Plan mensual'!I81+IF(parametros_carros!$H$27="Todos",'Plan mensual'!I85,0))+parametros_carros!$G$27*('Plan mensual'!I82+IF(parametros_carros!$H$27="Todos",'Plan mensual'!I86,0)))/60</f>
        <v>50.6819198859067</v>
      </c>
      <c r="H150" s="41" t="n">
        <f aca="false">(parametros_carros!$D$27*('Plan mensual'!J79+IF(parametros_carros!$H$27="Todos",'Plan mensual'!J83,0))+parametros_carros!$E$27*('Plan mensual'!J80+IF(parametros_carros!$H$27="Todos",'Plan mensual'!J84,0))+parametros_carros!$F$27*('Plan mensual'!J81+IF(parametros_carros!$H$27="Todos",'Plan mensual'!J85,0))+parametros_carros!$G$27*('Plan mensual'!J82+IF(parametros_carros!$H$27="Todos",'Plan mensual'!J86,0)))/60</f>
        <v>57.017159871645</v>
      </c>
      <c r="I150" s="41" t="n">
        <f aca="false">(parametros_carros!$D$27*('Plan mensual'!K79+IF(parametros_carros!$H$27="Todos",'Plan mensual'!K83,0))+parametros_carros!$E$27*('Plan mensual'!K80+IF(parametros_carros!$H$27="Todos",'Plan mensual'!K84,0))+parametros_carros!$F$27*('Plan mensual'!K81+IF(parametros_carros!$H$27="Todos",'Plan mensual'!K85,0))+parametros_carros!$G$27*('Plan mensual'!K82+IF(parametros_carros!$H$27="Todos",'Plan mensual'!K86,0)))/60</f>
        <v>57.017159871645</v>
      </c>
      <c r="J150" s="41" t="n">
        <f aca="false">(parametros_carros!$D$27*('Plan mensual'!L79+IF(parametros_carros!$H$27="Todos",'Plan mensual'!L83,0))+parametros_carros!$E$27*('Plan mensual'!L80+IF(parametros_carros!$H$27="Todos",'Plan mensual'!L84,0))+parametros_carros!$F$27*('Plan mensual'!L81+IF(parametros_carros!$H$27="Todos",'Plan mensual'!L85,0))+parametros_carros!$G$27*('Plan mensual'!L82+IF(parametros_carros!$H$27="Todos",'Plan mensual'!L86,0)))/60</f>
        <v>53.8495398787758</v>
      </c>
      <c r="K150" s="41" t="n">
        <f aca="false">(parametros_carros!$D$27*('Plan mensual'!M79+IF(parametros_carros!$H$27="Todos",'Plan mensual'!M83,0))+parametros_carros!$E$27*('Plan mensual'!M80+IF(parametros_carros!$H$27="Todos",'Plan mensual'!M84,0))+parametros_carros!$F$27*('Plan mensual'!M81+IF(parametros_carros!$H$27="Todos",'Plan mensual'!M85,0))+parametros_carros!$G$27*('Plan mensual'!M82+IF(parametros_carros!$H$27="Todos",'Plan mensual'!M86,0)))/60</f>
        <v>47.5142998930375</v>
      </c>
      <c r="L150" s="41" t="n">
        <f aca="false">(parametros_carros!$D$27*('Plan mensual'!N79+IF(parametros_carros!$H$27="Todos",'Plan mensual'!N83,0))+parametros_carros!$E$27*('Plan mensual'!N80+IF(parametros_carros!$H$27="Todos",'Plan mensual'!N84,0))+parametros_carros!$F$27*('Plan mensual'!N81+IF(parametros_carros!$H$27="Todos",'Plan mensual'!N85,0))+parametros_carros!$G$27*('Plan mensual'!N82+IF(parametros_carros!$H$27="Todos",'Plan mensual'!N86,0)))/60</f>
        <v>44.3466799001684</v>
      </c>
      <c r="M150" s="41" t="n">
        <f aca="false">(parametros_carros!$D$27*('Plan mensual'!O79+IF(parametros_carros!$H$27="Todos",'Plan mensual'!O83,0))+parametros_carros!$E$27*('Plan mensual'!O80+IF(parametros_carros!$H$27="Todos",'Plan mensual'!O84,0))+parametros_carros!$F$27*('Plan mensual'!O81+IF(parametros_carros!$H$27="Todos",'Plan mensual'!O85,0))+parametros_carros!$G$27*('Plan mensual'!O82+IF(parametros_carros!$H$27="Todos",'Plan mensual'!O86,0)))/60</f>
        <v>50.6819198859067</v>
      </c>
      <c r="N150" s="41" t="n">
        <f aca="false">SUM(B150:M150)</f>
        <v>633.523998573833</v>
      </c>
      <c r="O150" s="41" t="n">
        <f aca="false">MAX(B150:M150)</f>
        <v>57.017159871645</v>
      </c>
      <c r="P150" s="45" t="n">
        <f aca="false">IF(parametros_carros!$B$7=0,0,(O150+parametros_carros!$G$53)/parametros_carros!$B$7)</f>
        <v>0.4001143991443</v>
      </c>
      <c r="Q150" s="29" t="str">
        <f aca="false">IF(O150=0,"-",INDEX($B$141:$M$141,MATCH(O150,B150:M150,0)))</f>
        <v>Mar</v>
      </c>
    </row>
    <row r="151" customFormat="false" ht="14.25" hidden="false" customHeight="true" outlineLevel="0" collapsed="false">
      <c r="A151" s="12" t="str">
        <f aca="false">parametros_carros!$B$28</f>
        <v>Fabricación de accesorios</v>
      </c>
      <c r="B151" s="41" t="n">
        <f aca="false">(parametros_carros!$D$28*('Plan mensual'!D79+IF(parametros_carros!$H$28="Todos",'Plan mensual'!D83,0))+parametros_carros!$E$28*('Plan mensual'!D80+IF(parametros_carros!$H$28="Todos",'Plan mensual'!D84,0))+parametros_carros!$F$28*('Plan mensual'!D81+IF(parametros_carros!$H$28="Todos",'Plan mensual'!D85,0))+parametros_carros!$G$28*('Plan mensual'!D82+IF(parametros_carros!$H$28="Todos",'Plan mensual'!D86,0)))/60</f>
        <v>36.5895838069667</v>
      </c>
      <c r="C151" s="41" t="n">
        <f aca="false">(parametros_carros!$D$28*('Plan mensual'!E79+IF(parametros_carros!$H$28="Todos",'Plan mensual'!E83,0))+parametros_carros!$E$28*('Plan mensual'!E80+IF(parametros_carros!$H$28="Todos",'Plan mensual'!E84,0))+parametros_carros!$F$28*('Plan mensual'!E81+IF(parametros_carros!$H$28="Todos",'Plan mensual'!E85,0))+parametros_carros!$G$28*('Plan mensual'!E82+IF(parametros_carros!$H$28="Todos",'Plan mensual'!E86,0)))/60</f>
        <v>32.2849268885</v>
      </c>
      <c r="D151" s="41" t="n">
        <f aca="false">(parametros_carros!$D$28*('Plan mensual'!F79+IF(parametros_carros!$H$28="Todos",'Plan mensual'!F83,0))+parametros_carros!$E$28*('Plan mensual'!F80+IF(parametros_carros!$H$28="Todos",'Plan mensual'!F84,0))+parametros_carros!$F$28*('Plan mensual'!F81+IF(parametros_carros!$H$28="Todos",'Plan mensual'!F85,0))+parametros_carros!$G$28*('Plan mensual'!F82+IF(parametros_carros!$H$28="Todos",'Plan mensual'!F86,0)))/60</f>
        <v>38.7419122662</v>
      </c>
      <c r="E151" s="41" t="n">
        <f aca="false">(parametros_carros!$D$28*('Plan mensual'!G79+IF(parametros_carros!$H$28="Todos",'Plan mensual'!G83,0))+parametros_carros!$E$28*('Plan mensual'!G80+IF(parametros_carros!$H$28="Todos",'Plan mensual'!G84,0))+parametros_carros!$F$28*('Plan mensual'!G81+IF(parametros_carros!$H$28="Todos",'Plan mensual'!G85,0))+parametros_carros!$G$28*('Plan mensual'!G82+IF(parametros_carros!$H$28="Todos",'Plan mensual'!G86,0)))/60</f>
        <v>38.7419122662</v>
      </c>
      <c r="F151" s="41" t="n">
        <f aca="false">(parametros_carros!$D$28*('Plan mensual'!H79+IF(parametros_carros!$H$28="Todos",'Plan mensual'!H83,0))+parametros_carros!$E$28*('Plan mensual'!H80+IF(parametros_carros!$H$28="Todos",'Plan mensual'!H84,0))+parametros_carros!$F$28*('Plan mensual'!H81+IF(parametros_carros!$H$28="Todos",'Plan mensual'!H85,0))+parametros_carros!$G$28*('Plan mensual'!H82+IF(parametros_carros!$H$28="Todos",'Plan mensual'!H86,0)))/60</f>
        <v>38.7419122662</v>
      </c>
      <c r="G151" s="41" t="n">
        <f aca="false">(parametros_carros!$D$28*('Plan mensual'!I79+IF(parametros_carros!$H$28="Todos",'Plan mensual'!I83,0))+parametros_carros!$E$28*('Plan mensual'!I80+IF(parametros_carros!$H$28="Todos",'Plan mensual'!I84,0))+parametros_carros!$F$28*('Plan mensual'!I81+IF(parametros_carros!$H$28="Todos",'Plan mensual'!I85,0))+parametros_carros!$G$28*('Plan mensual'!I82+IF(parametros_carros!$H$28="Todos",'Plan mensual'!I86,0)))/60</f>
        <v>34.4372553477333</v>
      </c>
      <c r="H151" s="41" t="n">
        <f aca="false">(parametros_carros!$D$28*('Plan mensual'!J79+IF(parametros_carros!$H$28="Todos",'Plan mensual'!J83,0))+parametros_carros!$E$28*('Plan mensual'!J80+IF(parametros_carros!$H$28="Todos",'Plan mensual'!J84,0))+parametros_carros!$F$28*('Plan mensual'!J81+IF(parametros_carros!$H$28="Todos",'Plan mensual'!J85,0))+parametros_carros!$G$28*('Plan mensual'!J82+IF(parametros_carros!$H$28="Todos",'Plan mensual'!J86,0)))/60</f>
        <v>38.7419122662</v>
      </c>
      <c r="I151" s="41" t="n">
        <f aca="false">(parametros_carros!$D$28*('Plan mensual'!K79+IF(parametros_carros!$H$28="Todos",'Plan mensual'!K83,0))+parametros_carros!$E$28*('Plan mensual'!K80+IF(parametros_carros!$H$28="Todos",'Plan mensual'!K84,0))+parametros_carros!$F$28*('Plan mensual'!K81+IF(parametros_carros!$H$28="Todos",'Plan mensual'!K85,0))+parametros_carros!$G$28*('Plan mensual'!K82+IF(parametros_carros!$H$28="Todos",'Plan mensual'!K86,0)))/60</f>
        <v>38.7419122662</v>
      </c>
      <c r="J151" s="41" t="n">
        <f aca="false">(parametros_carros!$D$28*('Plan mensual'!L79+IF(parametros_carros!$H$28="Todos",'Plan mensual'!L83,0))+parametros_carros!$E$28*('Plan mensual'!L80+IF(parametros_carros!$H$28="Todos",'Plan mensual'!L84,0))+parametros_carros!$F$28*('Plan mensual'!L81+IF(parametros_carros!$H$28="Todos",'Plan mensual'!L85,0))+parametros_carros!$G$28*('Plan mensual'!L82+IF(parametros_carros!$H$28="Todos",'Plan mensual'!L86,0)))/60</f>
        <v>36.5895838069667</v>
      </c>
      <c r="K151" s="41" t="n">
        <f aca="false">(parametros_carros!$D$28*('Plan mensual'!M79+IF(parametros_carros!$H$28="Todos",'Plan mensual'!M83,0))+parametros_carros!$E$28*('Plan mensual'!M80+IF(parametros_carros!$H$28="Todos",'Plan mensual'!M84,0))+parametros_carros!$F$28*('Plan mensual'!M81+IF(parametros_carros!$H$28="Todos",'Plan mensual'!M85,0))+parametros_carros!$G$28*('Plan mensual'!M82+IF(parametros_carros!$H$28="Todos",'Plan mensual'!M86,0)))/60</f>
        <v>32.2849268885</v>
      </c>
      <c r="L151" s="41" t="n">
        <f aca="false">(parametros_carros!$D$28*('Plan mensual'!N79+IF(parametros_carros!$H$28="Todos",'Plan mensual'!N83,0))+parametros_carros!$E$28*('Plan mensual'!N80+IF(parametros_carros!$H$28="Todos",'Plan mensual'!N84,0))+parametros_carros!$F$28*('Plan mensual'!N81+IF(parametros_carros!$H$28="Todos",'Plan mensual'!N85,0))+parametros_carros!$G$28*('Plan mensual'!N82+IF(parametros_carros!$H$28="Todos",'Plan mensual'!N86,0)))/60</f>
        <v>30.1325984292667</v>
      </c>
      <c r="M151" s="41" t="n">
        <f aca="false">(parametros_carros!$D$28*('Plan mensual'!O79+IF(parametros_carros!$H$28="Todos",'Plan mensual'!O83,0))+parametros_carros!$E$28*('Plan mensual'!O80+IF(parametros_carros!$H$28="Todos",'Plan mensual'!O84,0))+parametros_carros!$F$28*('Plan mensual'!O81+IF(parametros_carros!$H$28="Todos",'Plan mensual'!O85,0))+parametros_carros!$G$28*('Plan mensual'!O82+IF(parametros_carros!$H$28="Todos",'Plan mensual'!O86,0)))/60</f>
        <v>34.4372553477333</v>
      </c>
      <c r="N151" s="41" t="n">
        <f aca="false">SUM(B151:M151)</f>
        <v>430.465691846667</v>
      </c>
      <c r="O151" s="41" t="n">
        <f aca="false">MAX(B151:M151)</f>
        <v>38.7419122662</v>
      </c>
      <c r="P151" s="45" t="n">
        <f aca="false">IF(parametros_carros!$B$7=0,0,(O151+parametros_carros!$G$54)/parametros_carros!$B$7)</f>
        <v>0.291612748441333</v>
      </c>
      <c r="Q151" s="29" t="str">
        <f aca="false">IF(O151=0,"-",INDEX($B$141:$M$141,MATCH(O151,B151:M151,0)))</f>
        <v>Mar</v>
      </c>
    </row>
    <row r="152" customFormat="false" ht="14.25" hidden="false" customHeight="true" outlineLevel="0" collapsed="false">
      <c r="A152" s="12" t="str">
        <f aca="false">parametros_carros!$B$29</f>
        <v>Prueba hidráulica</v>
      </c>
      <c r="B152" s="41" t="n">
        <f aca="false">(parametros_carros!$D$29*('Plan mensual'!D79+IF(parametros_carros!$H$29="Todos",'Plan mensual'!D83,0))+parametros_carros!$E$29*('Plan mensual'!D80+IF(parametros_carros!$H$29="Todos",'Plan mensual'!D84,0))+parametros_carros!$F$29*('Plan mensual'!D81+IF(parametros_carros!$H$29="Todos",'Plan mensual'!D85,0))+parametros_carros!$G$29*('Plan mensual'!D82+IF(parametros_carros!$H$29="Todos",'Plan mensual'!D86,0)))/60</f>
        <v>29.869578356354</v>
      </c>
      <c r="C152" s="41" t="n">
        <f aca="false">(parametros_carros!$D$29*('Plan mensual'!E79+IF(parametros_carros!$H$29="Todos",'Plan mensual'!E83,0))+parametros_carros!$E$29*('Plan mensual'!E80+IF(parametros_carros!$H$29="Todos",'Plan mensual'!E84,0))+parametros_carros!$F$29*('Plan mensual'!E81+IF(parametros_carros!$H$29="Todos",'Plan mensual'!E85,0))+parametros_carros!$G$29*('Plan mensual'!E82+IF(parametros_carros!$H$29="Todos",'Plan mensual'!E86,0)))/60</f>
        <v>26.35551031443</v>
      </c>
      <c r="D152" s="41" t="n">
        <f aca="false">(parametros_carros!$D$29*('Plan mensual'!F79+IF(parametros_carros!$H$29="Todos",'Plan mensual'!F83,0))+parametros_carros!$E$29*('Plan mensual'!F80+IF(parametros_carros!$H$29="Todos",'Plan mensual'!F84,0))+parametros_carros!$F$29*('Plan mensual'!F81+IF(parametros_carros!$H$29="Todos",'Plan mensual'!F85,0))+parametros_carros!$G$29*('Plan mensual'!F82+IF(parametros_carros!$H$29="Todos",'Plan mensual'!F86,0)))/60</f>
        <v>31.626612377316</v>
      </c>
      <c r="E152" s="41" t="n">
        <f aca="false">(parametros_carros!$D$29*('Plan mensual'!G79+IF(parametros_carros!$H$29="Todos",'Plan mensual'!G83,0))+parametros_carros!$E$29*('Plan mensual'!G80+IF(parametros_carros!$H$29="Todos",'Plan mensual'!G84,0))+parametros_carros!$F$29*('Plan mensual'!G81+IF(parametros_carros!$H$29="Todos",'Plan mensual'!G85,0))+parametros_carros!$G$29*('Plan mensual'!G82+IF(parametros_carros!$H$29="Todos",'Plan mensual'!G86,0)))/60</f>
        <v>31.626612377316</v>
      </c>
      <c r="F152" s="41" t="n">
        <f aca="false">(parametros_carros!$D$29*('Plan mensual'!H79+IF(parametros_carros!$H$29="Todos",'Plan mensual'!H83,0))+parametros_carros!$E$29*('Plan mensual'!H80+IF(parametros_carros!$H$29="Todos",'Plan mensual'!H84,0))+parametros_carros!$F$29*('Plan mensual'!H81+IF(parametros_carros!$H$29="Todos",'Plan mensual'!H85,0))+parametros_carros!$G$29*('Plan mensual'!H82+IF(parametros_carros!$H$29="Todos",'Plan mensual'!H86,0)))/60</f>
        <v>31.626612377316</v>
      </c>
      <c r="G152" s="41" t="n">
        <f aca="false">(parametros_carros!$D$29*('Plan mensual'!I79+IF(parametros_carros!$H$29="Todos",'Plan mensual'!I83,0))+parametros_carros!$E$29*('Plan mensual'!I80+IF(parametros_carros!$H$29="Todos",'Plan mensual'!I84,0))+parametros_carros!$F$29*('Plan mensual'!I81+IF(parametros_carros!$H$29="Todos",'Plan mensual'!I85,0))+parametros_carros!$G$29*('Plan mensual'!I82+IF(parametros_carros!$H$29="Todos",'Plan mensual'!I86,0)))/60</f>
        <v>28.112544335392</v>
      </c>
      <c r="H152" s="41" t="n">
        <f aca="false">(parametros_carros!$D$29*('Plan mensual'!J79+IF(parametros_carros!$H$29="Todos",'Plan mensual'!J83,0))+parametros_carros!$E$29*('Plan mensual'!J80+IF(parametros_carros!$H$29="Todos",'Plan mensual'!J84,0))+parametros_carros!$F$29*('Plan mensual'!J81+IF(parametros_carros!$H$29="Todos",'Plan mensual'!J85,0))+parametros_carros!$G$29*('Plan mensual'!J82+IF(parametros_carros!$H$29="Todos",'Plan mensual'!J86,0)))/60</f>
        <v>31.626612377316</v>
      </c>
      <c r="I152" s="41" t="n">
        <f aca="false">(parametros_carros!$D$29*('Plan mensual'!K79+IF(parametros_carros!$H$29="Todos",'Plan mensual'!K83,0))+parametros_carros!$E$29*('Plan mensual'!K80+IF(parametros_carros!$H$29="Todos",'Plan mensual'!K84,0))+parametros_carros!$F$29*('Plan mensual'!K81+IF(parametros_carros!$H$29="Todos",'Plan mensual'!K85,0))+parametros_carros!$G$29*('Plan mensual'!K82+IF(parametros_carros!$H$29="Todos",'Plan mensual'!K86,0)))/60</f>
        <v>31.626612377316</v>
      </c>
      <c r="J152" s="41" t="n">
        <f aca="false">(parametros_carros!$D$29*('Plan mensual'!L79+IF(parametros_carros!$H$29="Todos",'Plan mensual'!L83,0))+parametros_carros!$E$29*('Plan mensual'!L80+IF(parametros_carros!$H$29="Todos",'Plan mensual'!L84,0))+parametros_carros!$F$29*('Plan mensual'!L81+IF(parametros_carros!$H$29="Todos",'Plan mensual'!L85,0))+parametros_carros!$G$29*('Plan mensual'!L82+IF(parametros_carros!$H$29="Todos",'Plan mensual'!L86,0)))/60</f>
        <v>29.869578356354</v>
      </c>
      <c r="K152" s="41" t="n">
        <f aca="false">(parametros_carros!$D$29*('Plan mensual'!M79+IF(parametros_carros!$H$29="Todos",'Plan mensual'!M83,0))+parametros_carros!$E$29*('Plan mensual'!M80+IF(parametros_carros!$H$29="Todos",'Plan mensual'!M84,0))+parametros_carros!$F$29*('Plan mensual'!M81+IF(parametros_carros!$H$29="Todos",'Plan mensual'!M85,0))+parametros_carros!$G$29*('Plan mensual'!M82+IF(parametros_carros!$H$29="Todos",'Plan mensual'!M86,0)))/60</f>
        <v>26.35551031443</v>
      </c>
      <c r="L152" s="41" t="n">
        <f aca="false">(parametros_carros!$D$29*('Plan mensual'!N79+IF(parametros_carros!$H$29="Todos",'Plan mensual'!N83,0))+parametros_carros!$E$29*('Plan mensual'!N80+IF(parametros_carros!$H$29="Todos",'Plan mensual'!N84,0))+parametros_carros!$F$29*('Plan mensual'!N81+IF(parametros_carros!$H$29="Todos",'Plan mensual'!N85,0))+parametros_carros!$G$29*('Plan mensual'!N82+IF(parametros_carros!$H$29="Todos",'Plan mensual'!N86,0)))/60</f>
        <v>24.598476293468</v>
      </c>
      <c r="M152" s="41" t="n">
        <f aca="false">(parametros_carros!$D$29*('Plan mensual'!O79+IF(parametros_carros!$H$29="Todos",'Plan mensual'!O83,0))+parametros_carros!$E$29*('Plan mensual'!O80+IF(parametros_carros!$H$29="Todos",'Plan mensual'!O84,0))+parametros_carros!$F$29*('Plan mensual'!O81+IF(parametros_carros!$H$29="Todos",'Plan mensual'!O85,0))+parametros_carros!$G$29*('Plan mensual'!O82+IF(parametros_carros!$H$29="Todos",'Plan mensual'!O86,0)))/60</f>
        <v>28.112544335392</v>
      </c>
      <c r="N152" s="41" t="n">
        <f aca="false">SUM(B152:M152)</f>
        <v>351.4068041924</v>
      </c>
      <c r="O152" s="41" t="n">
        <f aca="false">MAX(B152:M152)</f>
        <v>31.626612377316</v>
      </c>
      <c r="P152" s="45" t="n">
        <f aca="false">IF(parametros_carros!$B$7=0,0,(O152+parametros_carros!$G$55)/parametros_carros!$B$7)</f>
        <v>0.233066304737662</v>
      </c>
      <c r="Q152" s="29" t="str">
        <f aca="false">IF(O152=0,"-",INDEX($B$141:$M$141,MATCH(O152,B152:M152,0)))</f>
        <v>Mar</v>
      </c>
    </row>
    <row r="153" customFormat="false" ht="14.25" hidden="false" customHeight="true" outlineLevel="0" collapsed="false">
      <c r="A153" s="12" t="str">
        <f aca="false">parametros_carros!$B$30</f>
        <v>Secado</v>
      </c>
      <c r="B153" s="41" t="n">
        <f aca="false">(parametros_carros!$D$30*('Plan mensual'!D79+IF(parametros_carros!$H$30="Todos",'Plan mensual'!D83,0))+parametros_carros!$E$30*('Plan mensual'!D80+IF(parametros_carros!$H$30="Todos",'Plan mensual'!D84,0))+parametros_carros!$F$30*('Plan mensual'!D81+IF(parametros_carros!$H$30="Todos",'Plan mensual'!D85,0))+parametros_carros!$G$30*('Plan mensual'!D82+IF(parametros_carros!$H$30="Todos",'Plan mensual'!D86,0)))/60</f>
        <v>33.4529265541333</v>
      </c>
      <c r="C153" s="41" t="n">
        <f aca="false">(parametros_carros!$D$30*('Plan mensual'!E79+IF(parametros_carros!$H$30="Todos",'Plan mensual'!E83,0))+parametros_carros!$E$30*('Plan mensual'!E80+IF(parametros_carros!$H$30="Todos",'Plan mensual'!E84,0))+parametros_carros!$F$30*('Plan mensual'!E81+IF(parametros_carros!$H$30="Todos",'Plan mensual'!E85,0))+parametros_carros!$G$30*('Plan mensual'!E82+IF(parametros_carros!$H$30="Todos",'Plan mensual'!E86,0)))/60</f>
        <v>29.517288136</v>
      </c>
      <c r="D153" s="41" t="n">
        <f aca="false">(parametros_carros!$D$30*('Plan mensual'!F79+IF(parametros_carros!$H$30="Todos",'Plan mensual'!F83,0))+parametros_carros!$E$30*('Plan mensual'!F80+IF(parametros_carros!$H$30="Todos",'Plan mensual'!F84,0))+parametros_carros!$F$30*('Plan mensual'!F81+IF(parametros_carros!$H$30="Todos",'Plan mensual'!F85,0))+parametros_carros!$G$30*('Plan mensual'!F82+IF(parametros_carros!$H$30="Todos",'Plan mensual'!F86,0)))/60</f>
        <v>35.4207457632</v>
      </c>
      <c r="E153" s="41" t="n">
        <f aca="false">(parametros_carros!$D$30*('Plan mensual'!G79+IF(parametros_carros!$H$30="Todos",'Plan mensual'!G83,0))+parametros_carros!$E$30*('Plan mensual'!G80+IF(parametros_carros!$H$30="Todos",'Plan mensual'!G84,0))+parametros_carros!$F$30*('Plan mensual'!G81+IF(parametros_carros!$H$30="Todos",'Plan mensual'!G85,0))+parametros_carros!$G$30*('Plan mensual'!G82+IF(parametros_carros!$H$30="Todos",'Plan mensual'!G86,0)))/60</f>
        <v>35.4207457632</v>
      </c>
      <c r="F153" s="41" t="n">
        <f aca="false">(parametros_carros!$D$30*('Plan mensual'!H79+IF(parametros_carros!$H$30="Todos",'Plan mensual'!H83,0))+parametros_carros!$E$30*('Plan mensual'!H80+IF(parametros_carros!$H$30="Todos",'Plan mensual'!H84,0))+parametros_carros!$F$30*('Plan mensual'!H81+IF(parametros_carros!$H$30="Todos",'Plan mensual'!H85,0))+parametros_carros!$G$30*('Plan mensual'!H82+IF(parametros_carros!$H$30="Todos",'Plan mensual'!H86,0)))/60</f>
        <v>35.4207457632</v>
      </c>
      <c r="G153" s="41" t="n">
        <f aca="false">(parametros_carros!$D$30*('Plan mensual'!I79+IF(parametros_carros!$H$30="Todos",'Plan mensual'!I83,0))+parametros_carros!$E$30*('Plan mensual'!I80+IF(parametros_carros!$H$30="Todos",'Plan mensual'!I84,0))+parametros_carros!$F$30*('Plan mensual'!I81+IF(parametros_carros!$H$30="Todos",'Plan mensual'!I85,0))+parametros_carros!$G$30*('Plan mensual'!I82+IF(parametros_carros!$H$30="Todos",'Plan mensual'!I86,0)))/60</f>
        <v>31.4851073450667</v>
      </c>
      <c r="H153" s="41" t="n">
        <f aca="false">(parametros_carros!$D$30*('Plan mensual'!J79+IF(parametros_carros!$H$30="Todos",'Plan mensual'!J83,0))+parametros_carros!$E$30*('Plan mensual'!J80+IF(parametros_carros!$H$30="Todos",'Plan mensual'!J84,0))+parametros_carros!$F$30*('Plan mensual'!J81+IF(parametros_carros!$H$30="Todos",'Plan mensual'!J85,0))+parametros_carros!$G$30*('Plan mensual'!J82+IF(parametros_carros!$H$30="Todos",'Plan mensual'!J86,0)))/60</f>
        <v>35.4207457632</v>
      </c>
      <c r="I153" s="41" t="n">
        <f aca="false">(parametros_carros!$D$30*('Plan mensual'!K79+IF(parametros_carros!$H$30="Todos",'Plan mensual'!K83,0))+parametros_carros!$E$30*('Plan mensual'!K80+IF(parametros_carros!$H$30="Todos",'Plan mensual'!K84,0))+parametros_carros!$F$30*('Plan mensual'!K81+IF(parametros_carros!$H$30="Todos",'Plan mensual'!K85,0))+parametros_carros!$G$30*('Plan mensual'!K82+IF(parametros_carros!$H$30="Todos",'Plan mensual'!K86,0)))/60</f>
        <v>35.4207457632</v>
      </c>
      <c r="J153" s="41" t="n">
        <f aca="false">(parametros_carros!$D$30*('Plan mensual'!L79+IF(parametros_carros!$H$30="Todos",'Plan mensual'!L83,0))+parametros_carros!$E$30*('Plan mensual'!L80+IF(parametros_carros!$H$30="Todos",'Plan mensual'!L84,0))+parametros_carros!$F$30*('Plan mensual'!L81+IF(parametros_carros!$H$30="Todos",'Plan mensual'!L85,0))+parametros_carros!$G$30*('Plan mensual'!L82+IF(parametros_carros!$H$30="Todos",'Plan mensual'!L86,0)))/60</f>
        <v>33.4529265541333</v>
      </c>
      <c r="K153" s="41" t="n">
        <f aca="false">(parametros_carros!$D$30*('Plan mensual'!M79+IF(parametros_carros!$H$30="Todos",'Plan mensual'!M83,0))+parametros_carros!$E$30*('Plan mensual'!M80+IF(parametros_carros!$H$30="Todos",'Plan mensual'!M84,0))+parametros_carros!$F$30*('Plan mensual'!M81+IF(parametros_carros!$H$30="Todos",'Plan mensual'!M85,0))+parametros_carros!$G$30*('Plan mensual'!M82+IF(parametros_carros!$H$30="Todos",'Plan mensual'!M86,0)))/60</f>
        <v>29.517288136</v>
      </c>
      <c r="L153" s="41" t="n">
        <f aca="false">(parametros_carros!$D$30*('Plan mensual'!N79+IF(parametros_carros!$H$30="Todos",'Plan mensual'!N83,0))+parametros_carros!$E$30*('Plan mensual'!N80+IF(parametros_carros!$H$30="Todos",'Plan mensual'!N84,0))+parametros_carros!$F$30*('Plan mensual'!N81+IF(parametros_carros!$H$30="Todos",'Plan mensual'!N85,0))+parametros_carros!$G$30*('Plan mensual'!N82+IF(parametros_carros!$H$30="Todos",'Plan mensual'!N86,0)))/60</f>
        <v>27.5494689269333</v>
      </c>
      <c r="M153" s="41" t="n">
        <f aca="false">(parametros_carros!$D$30*('Plan mensual'!O79+IF(parametros_carros!$H$30="Todos",'Plan mensual'!O83,0))+parametros_carros!$E$30*('Plan mensual'!O80+IF(parametros_carros!$H$30="Todos",'Plan mensual'!O84,0))+parametros_carros!$F$30*('Plan mensual'!O81+IF(parametros_carros!$H$30="Todos",'Plan mensual'!O85,0))+parametros_carros!$G$30*('Plan mensual'!O82+IF(parametros_carros!$H$30="Todos",'Plan mensual'!O86,0)))/60</f>
        <v>31.4851073450667</v>
      </c>
      <c r="N153" s="41" t="n">
        <f aca="false">SUM(B153:M153)</f>
        <v>393.563841813333</v>
      </c>
      <c r="O153" s="41" t="n">
        <f aca="false">MAX(B153:M153)</f>
        <v>35.4207457632</v>
      </c>
      <c r="P153" s="45" t="n">
        <f aca="false">IF(parametros_carros!$B$7=0,0,(O153+parametros_carros!$G$56)/parametros_carros!$B$7)</f>
        <v>0.236138305088</v>
      </c>
      <c r="Q153" s="29" t="str">
        <f aca="false">IF(O153=0,"-",INDEX($B$141:$M$141,MATCH(O153,B153:M153,0)))</f>
        <v>Mar</v>
      </c>
    </row>
    <row r="154" customFormat="false" ht="14.25" hidden="false" customHeight="true" outlineLevel="0" collapsed="false">
      <c r="A154" s="12" t="str">
        <f aca="false">parametros_carros!$B$31</f>
        <v>Pulmón de despacho y carga a pintura</v>
      </c>
      <c r="B154" s="41" t="n">
        <f aca="false">(parametros_carros!$D$31*('Plan mensual'!D79+IF(parametros_carros!$H$31="Todos",'Plan mensual'!D83,0))+parametros_carros!$E$31*('Plan mensual'!D80+IF(parametros_carros!$H$31="Todos",'Plan mensual'!D84,0))+parametros_carros!$F$31*('Plan mensual'!D81+IF(parametros_carros!$H$31="Todos",'Plan mensual'!D85,0))+parametros_carros!$G$31*('Plan mensual'!D82+IF(parametros_carros!$H$31="Todos",'Plan mensual'!D86,0)))/60</f>
        <v>5.32059128094958</v>
      </c>
      <c r="C154" s="41" t="n">
        <f aca="false">(parametros_carros!$D$31*('Plan mensual'!E79+IF(parametros_carros!$H$31="Todos",'Plan mensual'!E83,0))+parametros_carros!$E$31*('Plan mensual'!E80+IF(parametros_carros!$H$31="Todos",'Plan mensual'!E84,0))+parametros_carros!$F$31*('Plan mensual'!E81+IF(parametros_carros!$H$31="Todos",'Plan mensual'!E85,0))+parametros_carros!$G$31*('Plan mensual'!E82+IF(parametros_carros!$H$31="Todos",'Plan mensual'!E86,0)))/60</f>
        <v>4.69463936554375</v>
      </c>
      <c r="D154" s="41" t="n">
        <f aca="false">(parametros_carros!$D$31*('Plan mensual'!F79+IF(parametros_carros!$H$31="Todos",'Plan mensual'!F83,0))+parametros_carros!$E$31*('Plan mensual'!F80+IF(parametros_carros!$H$31="Todos",'Plan mensual'!F84,0))+parametros_carros!$F$31*('Plan mensual'!F81+IF(parametros_carros!$H$31="Todos",'Plan mensual'!F85,0))+parametros_carros!$G$31*('Plan mensual'!F82+IF(parametros_carros!$H$31="Todos",'Plan mensual'!F86,0)))/60</f>
        <v>5.6335672386525</v>
      </c>
      <c r="E154" s="41" t="n">
        <f aca="false">(parametros_carros!$D$31*('Plan mensual'!G79+IF(parametros_carros!$H$31="Todos",'Plan mensual'!G83,0))+parametros_carros!$E$31*('Plan mensual'!G80+IF(parametros_carros!$H$31="Todos",'Plan mensual'!G84,0))+parametros_carros!$F$31*('Plan mensual'!G81+IF(parametros_carros!$H$31="Todos",'Plan mensual'!G85,0))+parametros_carros!$G$31*('Plan mensual'!G82+IF(parametros_carros!$H$31="Todos",'Plan mensual'!G86,0)))/60</f>
        <v>5.6335672386525</v>
      </c>
      <c r="F154" s="41" t="n">
        <f aca="false">(parametros_carros!$D$31*('Plan mensual'!H79+IF(parametros_carros!$H$31="Todos",'Plan mensual'!H83,0))+parametros_carros!$E$31*('Plan mensual'!H80+IF(parametros_carros!$H$31="Todos",'Plan mensual'!H84,0))+parametros_carros!$F$31*('Plan mensual'!H81+IF(parametros_carros!$H$31="Todos",'Plan mensual'!H85,0))+parametros_carros!$G$31*('Plan mensual'!H82+IF(parametros_carros!$H$31="Todos",'Plan mensual'!H86,0)))/60</f>
        <v>5.6335672386525</v>
      </c>
      <c r="G154" s="41" t="n">
        <f aca="false">(parametros_carros!$D$31*('Plan mensual'!I79+IF(parametros_carros!$H$31="Todos",'Plan mensual'!I83,0))+parametros_carros!$E$31*('Plan mensual'!I80+IF(parametros_carros!$H$31="Todos",'Plan mensual'!I84,0))+parametros_carros!$F$31*('Plan mensual'!I81+IF(parametros_carros!$H$31="Todos",'Plan mensual'!I85,0))+parametros_carros!$G$31*('Plan mensual'!I82+IF(parametros_carros!$H$31="Todos",'Plan mensual'!I86,0)))/60</f>
        <v>5.00761532324667</v>
      </c>
      <c r="H154" s="41" t="n">
        <f aca="false">(parametros_carros!$D$31*('Plan mensual'!J79+IF(parametros_carros!$H$31="Todos",'Plan mensual'!J83,0))+parametros_carros!$E$31*('Plan mensual'!J80+IF(parametros_carros!$H$31="Todos",'Plan mensual'!J84,0))+parametros_carros!$F$31*('Plan mensual'!J81+IF(parametros_carros!$H$31="Todos",'Plan mensual'!J85,0))+parametros_carros!$G$31*('Plan mensual'!J82+IF(parametros_carros!$H$31="Todos",'Plan mensual'!J86,0)))/60</f>
        <v>5.6335672386525</v>
      </c>
      <c r="I154" s="41" t="n">
        <f aca="false">(parametros_carros!$D$31*('Plan mensual'!K79+IF(parametros_carros!$H$31="Todos",'Plan mensual'!K83,0))+parametros_carros!$E$31*('Plan mensual'!K80+IF(parametros_carros!$H$31="Todos",'Plan mensual'!K84,0))+parametros_carros!$F$31*('Plan mensual'!K81+IF(parametros_carros!$H$31="Todos",'Plan mensual'!K85,0))+parametros_carros!$G$31*('Plan mensual'!K82+IF(parametros_carros!$H$31="Todos",'Plan mensual'!K86,0)))/60</f>
        <v>5.6335672386525</v>
      </c>
      <c r="J154" s="41" t="n">
        <f aca="false">(parametros_carros!$D$31*('Plan mensual'!L79+IF(parametros_carros!$H$31="Todos",'Plan mensual'!L83,0))+parametros_carros!$E$31*('Plan mensual'!L80+IF(parametros_carros!$H$31="Todos",'Plan mensual'!L84,0))+parametros_carros!$F$31*('Plan mensual'!L81+IF(parametros_carros!$H$31="Todos",'Plan mensual'!L85,0))+parametros_carros!$G$31*('Plan mensual'!L82+IF(parametros_carros!$H$31="Todos",'Plan mensual'!L86,0)))/60</f>
        <v>5.32059128094958</v>
      </c>
      <c r="K154" s="41" t="n">
        <f aca="false">(parametros_carros!$D$31*('Plan mensual'!M79+IF(parametros_carros!$H$31="Todos",'Plan mensual'!M83,0))+parametros_carros!$E$31*('Plan mensual'!M80+IF(parametros_carros!$H$31="Todos",'Plan mensual'!M84,0))+parametros_carros!$F$31*('Plan mensual'!M81+IF(parametros_carros!$H$31="Todos",'Plan mensual'!M85,0))+parametros_carros!$G$31*('Plan mensual'!M82+IF(parametros_carros!$H$31="Todos",'Plan mensual'!M86,0)))/60</f>
        <v>4.69463936554375</v>
      </c>
      <c r="L154" s="41" t="n">
        <f aca="false">(parametros_carros!$D$31*('Plan mensual'!N79+IF(parametros_carros!$H$31="Todos",'Plan mensual'!N83,0))+parametros_carros!$E$31*('Plan mensual'!N80+IF(parametros_carros!$H$31="Todos",'Plan mensual'!N84,0))+parametros_carros!$F$31*('Plan mensual'!N81+IF(parametros_carros!$H$31="Todos",'Plan mensual'!N85,0))+parametros_carros!$G$31*('Plan mensual'!N82+IF(parametros_carros!$H$31="Todos",'Plan mensual'!N86,0)))/60</f>
        <v>4.38166340784083</v>
      </c>
      <c r="M154" s="41" t="n">
        <f aca="false">(parametros_carros!$D$31*('Plan mensual'!O79+IF(parametros_carros!$H$31="Todos",'Plan mensual'!O83,0))+parametros_carros!$E$31*('Plan mensual'!O80+IF(parametros_carros!$H$31="Todos",'Plan mensual'!O84,0))+parametros_carros!$F$31*('Plan mensual'!O81+IF(parametros_carros!$H$31="Todos",'Plan mensual'!O85,0))+parametros_carros!$G$31*('Plan mensual'!O82+IF(parametros_carros!$H$31="Todos",'Plan mensual'!O86,0)))/60</f>
        <v>5.00761532324667</v>
      </c>
      <c r="N154" s="41" t="n">
        <f aca="false">SUM(B154:M154)</f>
        <v>62.5951915405833</v>
      </c>
      <c r="O154" s="41" t="n">
        <f aca="false">MAX(B154:M154)</f>
        <v>5.6335672386525</v>
      </c>
      <c r="P154" s="45" t="n">
        <f aca="false">IF(parametros_carros!$B$7=0,0,(O154+parametros_carros!$G$57)/parametros_carros!$B$7)</f>
        <v>0.0464460038132389</v>
      </c>
      <c r="Q154" s="29" t="str">
        <f aca="false">IF(O154=0,"-",INDEX($B$141:$M$141,MATCH(O154,B154:M154,0)))</f>
        <v>Mar</v>
      </c>
    </row>
    <row r="155" customFormat="false" ht="14.25" hidden="false" customHeight="true" outlineLevel="0" collapsed="false">
      <c r="A155" s="12" t="str">
        <f aca="false">parametros_carros!$B$32</f>
        <v>Recepción de pintados y cambio de juego</v>
      </c>
      <c r="B155" s="41" t="n">
        <f aca="false">(parametros_carros!$D$32*('Plan mensual'!D79+IF(parametros_carros!$H$32="Todos",'Plan mensual'!D83,0))+parametros_carros!$E$32*('Plan mensual'!D80+IF(parametros_carros!$H$32="Todos",'Plan mensual'!D84,0))+parametros_carros!$F$32*('Plan mensual'!D81+IF(parametros_carros!$H$32="Todos",'Plan mensual'!D85,0))+parametros_carros!$G$32*('Plan mensual'!D82+IF(parametros_carros!$H$32="Todos",'Plan mensual'!D86,0)))/60</f>
        <v>10.4095637559058</v>
      </c>
      <c r="C155" s="41" t="n">
        <f aca="false">(parametros_carros!$D$32*('Plan mensual'!E79+IF(parametros_carros!$H$32="Todos",'Plan mensual'!E83,0))+parametros_carros!$E$32*('Plan mensual'!E80+IF(parametros_carros!$H$32="Todos",'Plan mensual'!E84,0))+parametros_carros!$F$32*('Plan mensual'!E81+IF(parametros_carros!$H$32="Todos",'Plan mensual'!E85,0))+parametros_carros!$G$32*('Plan mensual'!E82+IF(parametros_carros!$H$32="Todos",'Plan mensual'!E86,0)))/60</f>
        <v>9.1849091963875</v>
      </c>
      <c r="D155" s="41" t="n">
        <f aca="false">(parametros_carros!$D$32*('Plan mensual'!F79+IF(parametros_carros!$H$32="Todos",'Plan mensual'!F83,0))+parametros_carros!$E$32*('Plan mensual'!F80+IF(parametros_carros!$H$32="Todos",'Plan mensual'!F84,0))+parametros_carros!$F$32*('Plan mensual'!F81+IF(parametros_carros!$H$32="Todos",'Plan mensual'!F85,0))+parametros_carros!$G$32*('Plan mensual'!F82+IF(parametros_carros!$H$32="Todos",'Plan mensual'!F86,0)))/60</f>
        <v>11.021891035665</v>
      </c>
      <c r="E155" s="41" t="n">
        <f aca="false">(parametros_carros!$D$32*('Plan mensual'!G79+IF(parametros_carros!$H$32="Todos",'Plan mensual'!G83,0))+parametros_carros!$E$32*('Plan mensual'!G80+IF(parametros_carros!$H$32="Todos",'Plan mensual'!G84,0))+parametros_carros!$F$32*('Plan mensual'!G81+IF(parametros_carros!$H$32="Todos",'Plan mensual'!G85,0))+parametros_carros!$G$32*('Plan mensual'!G82+IF(parametros_carros!$H$32="Todos",'Plan mensual'!G86,0)))/60</f>
        <v>11.021891035665</v>
      </c>
      <c r="F155" s="41" t="n">
        <f aca="false">(parametros_carros!$D$32*('Plan mensual'!H79+IF(parametros_carros!$H$32="Todos",'Plan mensual'!H83,0))+parametros_carros!$E$32*('Plan mensual'!H80+IF(parametros_carros!$H$32="Todos",'Plan mensual'!H84,0))+parametros_carros!$F$32*('Plan mensual'!H81+IF(parametros_carros!$H$32="Todos",'Plan mensual'!H85,0))+parametros_carros!$G$32*('Plan mensual'!H82+IF(parametros_carros!$H$32="Todos",'Plan mensual'!H86,0)))/60</f>
        <v>11.021891035665</v>
      </c>
      <c r="G155" s="41" t="n">
        <f aca="false">(parametros_carros!$D$32*('Plan mensual'!I79+IF(parametros_carros!$H$32="Todos",'Plan mensual'!I83,0))+parametros_carros!$E$32*('Plan mensual'!I80+IF(parametros_carros!$H$32="Todos",'Plan mensual'!I84,0))+parametros_carros!$F$32*('Plan mensual'!I81+IF(parametros_carros!$H$32="Todos",'Plan mensual'!I85,0))+parametros_carros!$G$32*('Plan mensual'!I82+IF(parametros_carros!$H$32="Todos",'Plan mensual'!I86,0)))/60</f>
        <v>9.79723647614667</v>
      </c>
      <c r="H155" s="41" t="n">
        <f aca="false">(parametros_carros!$D$32*('Plan mensual'!J79+IF(parametros_carros!$H$32="Todos",'Plan mensual'!J83,0))+parametros_carros!$E$32*('Plan mensual'!J80+IF(parametros_carros!$H$32="Todos",'Plan mensual'!J84,0))+parametros_carros!$F$32*('Plan mensual'!J81+IF(parametros_carros!$H$32="Todos",'Plan mensual'!J85,0))+parametros_carros!$G$32*('Plan mensual'!J82+IF(parametros_carros!$H$32="Todos",'Plan mensual'!J86,0)))/60</f>
        <v>11.021891035665</v>
      </c>
      <c r="I155" s="41" t="n">
        <f aca="false">(parametros_carros!$D$32*('Plan mensual'!K79+IF(parametros_carros!$H$32="Todos",'Plan mensual'!K83,0))+parametros_carros!$E$32*('Plan mensual'!K80+IF(parametros_carros!$H$32="Todos",'Plan mensual'!K84,0))+parametros_carros!$F$32*('Plan mensual'!K81+IF(parametros_carros!$H$32="Todos",'Plan mensual'!K85,0))+parametros_carros!$G$32*('Plan mensual'!K82+IF(parametros_carros!$H$32="Todos",'Plan mensual'!K86,0)))/60</f>
        <v>11.021891035665</v>
      </c>
      <c r="J155" s="41" t="n">
        <f aca="false">(parametros_carros!$D$32*('Plan mensual'!L79+IF(parametros_carros!$H$32="Todos",'Plan mensual'!L83,0))+parametros_carros!$E$32*('Plan mensual'!L80+IF(parametros_carros!$H$32="Todos",'Plan mensual'!L84,0))+parametros_carros!$F$32*('Plan mensual'!L81+IF(parametros_carros!$H$32="Todos",'Plan mensual'!L85,0))+parametros_carros!$G$32*('Plan mensual'!L82+IF(parametros_carros!$H$32="Todos",'Plan mensual'!L86,0)))/60</f>
        <v>10.4095637559058</v>
      </c>
      <c r="K155" s="41" t="n">
        <f aca="false">(parametros_carros!$D$32*('Plan mensual'!M79+IF(parametros_carros!$H$32="Todos",'Plan mensual'!M83,0))+parametros_carros!$E$32*('Plan mensual'!M80+IF(parametros_carros!$H$32="Todos",'Plan mensual'!M84,0))+parametros_carros!$F$32*('Plan mensual'!M81+IF(parametros_carros!$H$32="Todos",'Plan mensual'!M85,0))+parametros_carros!$G$32*('Plan mensual'!M82+IF(parametros_carros!$H$32="Todos",'Plan mensual'!M86,0)))/60</f>
        <v>9.1849091963875</v>
      </c>
      <c r="L155" s="41" t="n">
        <f aca="false">(parametros_carros!$D$32*('Plan mensual'!N79+IF(parametros_carros!$H$32="Todos",'Plan mensual'!N83,0))+parametros_carros!$E$32*('Plan mensual'!N80+IF(parametros_carros!$H$32="Todos",'Plan mensual'!N84,0))+parametros_carros!$F$32*('Plan mensual'!N81+IF(parametros_carros!$H$32="Todos",'Plan mensual'!N85,0))+parametros_carros!$G$32*('Plan mensual'!N82+IF(parametros_carros!$H$32="Todos",'Plan mensual'!N86,0)))/60</f>
        <v>8.57258191662834</v>
      </c>
      <c r="M155" s="41" t="n">
        <f aca="false">(parametros_carros!$D$32*('Plan mensual'!O79+IF(parametros_carros!$H$32="Todos",'Plan mensual'!O83,0))+parametros_carros!$E$32*('Plan mensual'!O80+IF(parametros_carros!$H$32="Todos",'Plan mensual'!O84,0))+parametros_carros!$F$32*('Plan mensual'!O81+IF(parametros_carros!$H$32="Todos",'Plan mensual'!O85,0))+parametros_carros!$G$32*('Plan mensual'!O82+IF(parametros_carros!$H$32="Todos",'Plan mensual'!O86,0)))/60</f>
        <v>9.79723647614667</v>
      </c>
      <c r="N155" s="41" t="n">
        <f aca="false">SUM(B155:M155)</f>
        <v>122.465455951833</v>
      </c>
      <c r="O155" s="41" t="n">
        <f aca="false">MAX(B155:M155)</f>
        <v>11.021891035665</v>
      </c>
      <c r="P155" s="45" t="n">
        <f aca="false">IF(parametros_carros!$B$7=0,0,(O155+parametros_carros!$G$58)/parametros_carros!$B$7)</f>
        <v>0.0823681624599889</v>
      </c>
      <c r="Q155" s="29" t="str">
        <f aca="false">IF(O155=0,"-",INDEX($B$141:$M$141,MATCH(O155,B155:M155,0)))</f>
        <v>Mar</v>
      </c>
    </row>
    <row r="156" customFormat="false" ht="14.25" hidden="false" customHeight="true" outlineLevel="0" collapsed="false">
      <c r="A156" s="12" t="str">
        <f aca="false">parametros_carros!$B$33</f>
        <v>Carga de polvo y presurización</v>
      </c>
      <c r="B156" s="41" t="n">
        <f aca="false">(parametros_carros!$D$33*('Plan mensual'!D79+IF(parametros_carros!$H$33="Todos",'Plan mensual'!D83,0))+parametros_carros!$E$33*('Plan mensual'!D80+IF(parametros_carros!$H$33="Todos",'Plan mensual'!D84,0))+parametros_carros!$F$33*('Plan mensual'!D81+IF(parametros_carros!$H$33="Todos",'Plan mensual'!D85,0))+parametros_carros!$G$33*('Plan mensual'!D82+IF(parametros_carros!$H$33="Todos",'Plan mensual'!D86,0)))/60</f>
        <v>21.7398348208442</v>
      </c>
      <c r="C156" s="41" t="n">
        <f aca="false">(parametros_carros!$D$33*('Plan mensual'!E79+IF(parametros_carros!$H$33="Todos",'Plan mensual'!E83,0))+parametros_carros!$E$33*('Plan mensual'!E80+IF(parametros_carros!$H$33="Todos",'Plan mensual'!E84,0))+parametros_carros!$F$33*('Plan mensual'!E81+IF(parametros_carros!$H$33="Todos",'Plan mensual'!E85,0))+parametros_carros!$G$33*('Plan mensual'!E82+IF(parametros_carros!$H$33="Todos",'Plan mensual'!E86,0)))/60</f>
        <v>19.1822071948625</v>
      </c>
      <c r="D156" s="41" t="n">
        <f aca="false">(parametros_carros!$D$33*('Plan mensual'!F79+IF(parametros_carros!$H$33="Todos",'Plan mensual'!F83,0))+parametros_carros!$E$33*('Plan mensual'!F80+IF(parametros_carros!$H$33="Todos",'Plan mensual'!F84,0))+parametros_carros!$F$33*('Plan mensual'!F81+IF(parametros_carros!$H$33="Todos",'Plan mensual'!F85,0))+parametros_carros!$G$33*('Plan mensual'!F82+IF(parametros_carros!$H$33="Todos",'Plan mensual'!F86,0)))/60</f>
        <v>23.018648633835</v>
      </c>
      <c r="E156" s="41" t="n">
        <f aca="false">(parametros_carros!$D$33*('Plan mensual'!G79+IF(parametros_carros!$H$33="Todos",'Plan mensual'!G83,0))+parametros_carros!$E$33*('Plan mensual'!G80+IF(parametros_carros!$H$33="Todos",'Plan mensual'!G84,0))+parametros_carros!$F$33*('Plan mensual'!G81+IF(parametros_carros!$H$33="Todos",'Plan mensual'!G85,0))+parametros_carros!$G$33*('Plan mensual'!G82+IF(parametros_carros!$H$33="Todos",'Plan mensual'!G86,0)))/60</f>
        <v>23.018648633835</v>
      </c>
      <c r="F156" s="41" t="n">
        <f aca="false">(parametros_carros!$D$33*('Plan mensual'!H79+IF(parametros_carros!$H$33="Todos",'Plan mensual'!H83,0))+parametros_carros!$E$33*('Plan mensual'!H80+IF(parametros_carros!$H$33="Todos",'Plan mensual'!H84,0))+parametros_carros!$F$33*('Plan mensual'!H81+IF(parametros_carros!$H$33="Todos",'Plan mensual'!H85,0))+parametros_carros!$G$33*('Plan mensual'!H82+IF(parametros_carros!$H$33="Todos",'Plan mensual'!H86,0)))/60</f>
        <v>23.018648633835</v>
      </c>
      <c r="G156" s="41" t="n">
        <f aca="false">(parametros_carros!$D$33*('Plan mensual'!I79+IF(parametros_carros!$H$33="Todos",'Plan mensual'!I83,0))+parametros_carros!$E$33*('Plan mensual'!I80+IF(parametros_carros!$H$33="Todos",'Plan mensual'!I84,0))+parametros_carros!$F$33*('Plan mensual'!I81+IF(parametros_carros!$H$33="Todos",'Plan mensual'!I85,0))+parametros_carros!$G$33*('Plan mensual'!I82+IF(parametros_carros!$H$33="Todos",'Plan mensual'!I86,0)))/60</f>
        <v>20.4610210078533</v>
      </c>
      <c r="H156" s="41" t="n">
        <f aca="false">(parametros_carros!$D$33*('Plan mensual'!J79+IF(parametros_carros!$H$33="Todos",'Plan mensual'!J83,0))+parametros_carros!$E$33*('Plan mensual'!J80+IF(parametros_carros!$H$33="Todos",'Plan mensual'!J84,0))+parametros_carros!$F$33*('Plan mensual'!J81+IF(parametros_carros!$H$33="Todos",'Plan mensual'!J85,0))+parametros_carros!$G$33*('Plan mensual'!J82+IF(parametros_carros!$H$33="Todos",'Plan mensual'!J86,0)))/60</f>
        <v>23.018648633835</v>
      </c>
      <c r="I156" s="41" t="n">
        <f aca="false">(parametros_carros!$D$33*('Plan mensual'!K79+IF(parametros_carros!$H$33="Todos",'Plan mensual'!K83,0))+parametros_carros!$E$33*('Plan mensual'!K80+IF(parametros_carros!$H$33="Todos",'Plan mensual'!K84,0))+parametros_carros!$F$33*('Plan mensual'!K81+IF(parametros_carros!$H$33="Todos",'Plan mensual'!K85,0))+parametros_carros!$G$33*('Plan mensual'!K82+IF(parametros_carros!$H$33="Todos",'Plan mensual'!K86,0)))/60</f>
        <v>23.018648633835</v>
      </c>
      <c r="J156" s="41" t="n">
        <f aca="false">(parametros_carros!$D$33*('Plan mensual'!L79+IF(parametros_carros!$H$33="Todos",'Plan mensual'!L83,0))+parametros_carros!$E$33*('Plan mensual'!L80+IF(parametros_carros!$H$33="Todos",'Plan mensual'!L84,0))+parametros_carros!$F$33*('Plan mensual'!L81+IF(parametros_carros!$H$33="Todos",'Plan mensual'!L85,0))+parametros_carros!$G$33*('Plan mensual'!L82+IF(parametros_carros!$H$33="Todos",'Plan mensual'!L86,0)))/60</f>
        <v>21.7398348208442</v>
      </c>
      <c r="K156" s="41" t="n">
        <f aca="false">(parametros_carros!$D$33*('Plan mensual'!M79+IF(parametros_carros!$H$33="Todos",'Plan mensual'!M83,0))+parametros_carros!$E$33*('Plan mensual'!M80+IF(parametros_carros!$H$33="Todos",'Plan mensual'!M84,0))+parametros_carros!$F$33*('Plan mensual'!M81+IF(parametros_carros!$H$33="Todos",'Plan mensual'!M85,0))+parametros_carros!$G$33*('Plan mensual'!M82+IF(parametros_carros!$H$33="Todos",'Plan mensual'!M86,0)))/60</f>
        <v>19.1822071948625</v>
      </c>
      <c r="L156" s="41" t="n">
        <f aca="false">(parametros_carros!$D$33*('Plan mensual'!N79+IF(parametros_carros!$H$33="Todos",'Plan mensual'!N83,0))+parametros_carros!$E$33*('Plan mensual'!N80+IF(parametros_carros!$H$33="Todos",'Plan mensual'!N84,0))+parametros_carros!$F$33*('Plan mensual'!N81+IF(parametros_carros!$H$33="Todos",'Plan mensual'!N85,0))+parametros_carros!$G$33*('Plan mensual'!N82+IF(parametros_carros!$H$33="Todos",'Plan mensual'!N86,0)))/60</f>
        <v>17.9033933818717</v>
      </c>
      <c r="M156" s="41" t="n">
        <f aca="false">(parametros_carros!$D$33*('Plan mensual'!O79+IF(parametros_carros!$H$33="Todos",'Plan mensual'!O83,0))+parametros_carros!$E$33*('Plan mensual'!O80+IF(parametros_carros!$H$33="Todos",'Plan mensual'!O84,0))+parametros_carros!$F$33*('Plan mensual'!O81+IF(parametros_carros!$H$33="Todos",'Plan mensual'!O85,0))+parametros_carros!$G$33*('Plan mensual'!O82+IF(parametros_carros!$H$33="Todos",'Plan mensual'!O86,0)))/60</f>
        <v>20.4610210078533</v>
      </c>
      <c r="N156" s="41" t="n">
        <f aca="false">SUM(B156:M156)</f>
        <v>255.762762598167</v>
      </c>
      <c r="O156" s="41" t="n">
        <f aca="false">MAX(B156:M156)</f>
        <v>23.018648633835</v>
      </c>
      <c r="P156" s="45" t="n">
        <f aca="false">IF(parametros_carros!$B$7=0,0,(O156+parametros_carros!$G$59)/parametros_carros!$B$7)</f>
        <v>0.260124324225567</v>
      </c>
      <c r="Q156" s="29" t="str">
        <f aca="false">IF(O156=0,"-",INDEX($B$141:$M$141,MATCH(O156,B156:M156,0)))</f>
        <v>Mar</v>
      </c>
    </row>
    <row r="157" customFormat="false" ht="14.25" hidden="false" customHeight="true" outlineLevel="0" collapsed="false">
      <c r="A157" s="12" t="str">
        <f aca="false">parametros_carros!$B$34</f>
        <v>Montaje, manga, precinto y etiquetado</v>
      </c>
      <c r="B157" s="41" t="n">
        <f aca="false">(parametros_carros!$D$34*('Plan mensual'!D79+IF(parametros_carros!$H$34="Todos",'Plan mensual'!D83,0))+parametros_carros!$E$34*('Plan mensual'!D80+IF(parametros_carros!$H$34="Todos",'Plan mensual'!D84,0))+parametros_carros!$F$34*('Plan mensual'!D81+IF(parametros_carros!$H$34="Todos",'Plan mensual'!D85,0))+parametros_carros!$G$34*('Plan mensual'!D82+IF(parametros_carros!$H$34="Todos",'Plan mensual'!D86,0)))/60</f>
        <v>12.1283757265758</v>
      </c>
      <c r="C157" s="41" t="n">
        <f aca="false">(parametros_carros!$D$34*('Plan mensual'!E79+IF(parametros_carros!$H$34="Todos",'Plan mensual'!E83,0))+parametros_carros!$E$34*('Plan mensual'!E80+IF(parametros_carros!$H$34="Todos",'Plan mensual'!E84,0))+parametros_carros!$F$34*('Plan mensual'!E81+IF(parametros_carros!$H$34="Todos",'Plan mensual'!E85,0))+parametros_carros!$G$34*('Plan mensual'!E82+IF(parametros_carros!$H$34="Todos",'Plan mensual'!E86,0)))/60</f>
        <v>10.7015079940375</v>
      </c>
      <c r="D157" s="41" t="n">
        <f aca="false">(parametros_carros!$D$34*('Plan mensual'!F79+IF(parametros_carros!$H$34="Todos",'Plan mensual'!F83,0))+parametros_carros!$E$34*('Plan mensual'!F80+IF(parametros_carros!$H$34="Todos",'Plan mensual'!F84,0))+parametros_carros!$F$34*('Plan mensual'!F81+IF(parametros_carros!$H$34="Todos",'Plan mensual'!F85,0))+parametros_carros!$G$34*('Plan mensual'!F82+IF(parametros_carros!$H$34="Todos",'Plan mensual'!F86,0)))/60</f>
        <v>12.841809592845</v>
      </c>
      <c r="E157" s="41" t="n">
        <f aca="false">(parametros_carros!$D$34*('Plan mensual'!G79+IF(parametros_carros!$H$34="Todos",'Plan mensual'!G83,0))+parametros_carros!$E$34*('Plan mensual'!G80+IF(parametros_carros!$H$34="Todos",'Plan mensual'!G84,0))+parametros_carros!$F$34*('Plan mensual'!G81+IF(parametros_carros!$H$34="Todos",'Plan mensual'!G85,0))+parametros_carros!$G$34*('Plan mensual'!G82+IF(parametros_carros!$H$34="Todos",'Plan mensual'!G86,0)))/60</f>
        <v>12.841809592845</v>
      </c>
      <c r="F157" s="41" t="n">
        <f aca="false">(parametros_carros!$D$34*('Plan mensual'!H79+IF(parametros_carros!$H$34="Todos",'Plan mensual'!H83,0))+parametros_carros!$E$34*('Plan mensual'!H80+IF(parametros_carros!$H$34="Todos",'Plan mensual'!H84,0))+parametros_carros!$F$34*('Plan mensual'!H81+IF(parametros_carros!$H$34="Todos",'Plan mensual'!H85,0))+parametros_carros!$G$34*('Plan mensual'!H82+IF(parametros_carros!$H$34="Todos",'Plan mensual'!H86,0)))/60</f>
        <v>12.841809592845</v>
      </c>
      <c r="G157" s="41" t="n">
        <f aca="false">(parametros_carros!$D$34*('Plan mensual'!I79+IF(parametros_carros!$H$34="Todos",'Plan mensual'!I83,0))+parametros_carros!$E$34*('Plan mensual'!I80+IF(parametros_carros!$H$34="Todos",'Plan mensual'!I84,0))+parametros_carros!$F$34*('Plan mensual'!I81+IF(parametros_carros!$H$34="Todos",'Plan mensual'!I85,0))+parametros_carros!$G$34*('Plan mensual'!I82+IF(parametros_carros!$H$34="Todos",'Plan mensual'!I86,0)))/60</f>
        <v>11.4149418603067</v>
      </c>
      <c r="H157" s="41" t="n">
        <f aca="false">(parametros_carros!$D$34*('Plan mensual'!J79+IF(parametros_carros!$H$34="Todos",'Plan mensual'!J83,0))+parametros_carros!$E$34*('Plan mensual'!J80+IF(parametros_carros!$H$34="Todos",'Plan mensual'!J84,0))+parametros_carros!$F$34*('Plan mensual'!J81+IF(parametros_carros!$H$34="Todos",'Plan mensual'!J85,0))+parametros_carros!$G$34*('Plan mensual'!J82+IF(parametros_carros!$H$34="Todos",'Plan mensual'!J86,0)))/60</f>
        <v>12.841809592845</v>
      </c>
      <c r="I157" s="41" t="n">
        <f aca="false">(parametros_carros!$D$34*('Plan mensual'!K79+IF(parametros_carros!$H$34="Todos",'Plan mensual'!K83,0))+parametros_carros!$E$34*('Plan mensual'!K80+IF(parametros_carros!$H$34="Todos",'Plan mensual'!K84,0))+parametros_carros!$F$34*('Plan mensual'!K81+IF(parametros_carros!$H$34="Todos",'Plan mensual'!K85,0))+parametros_carros!$G$34*('Plan mensual'!K82+IF(parametros_carros!$H$34="Todos",'Plan mensual'!K86,0)))/60</f>
        <v>12.841809592845</v>
      </c>
      <c r="J157" s="41" t="n">
        <f aca="false">(parametros_carros!$D$34*('Plan mensual'!L79+IF(parametros_carros!$H$34="Todos",'Plan mensual'!L83,0))+parametros_carros!$E$34*('Plan mensual'!L80+IF(parametros_carros!$H$34="Todos",'Plan mensual'!L84,0))+parametros_carros!$F$34*('Plan mensual'!L81+IF(parametros_carros!$H$34="Todos",'Plan mensual'!L85,0))+parametros_carros!$G$34*('Plan mensual'!L82+IF(parametros_carros!$H$34="Todos",'Plan mensual'!L86,0)))/60</f>
        <v>12.1283757265758</v>
      </c>
      <c r="K157" s="41" t="n">
        <f aca="false">(parametros_carros!$D$34*('Plan mensual'!M79+IF(parametros_carros!$H$34="Todos",'Plan mensual'!M83,0))+parametros_carros!$E$34*('Plan mensual'!M80+IF(parametros_carros!$H$34="Todos",'Plan mensual'!M84,0))+parametros_carros!$F$34*('Plan mensual'!M81+IF(parametros_carros!$H$34="Todos",'Plan mensual'!M85,0))+parametros_carros!$G$34*('Plan mensual'!M82+IF(parametros_carros!$H$34="Todos",'Plan mensual'!M86,0)))/60</f>
        <v>10.7015079940375</v>
      </c>
      <c r="L157" s="41" t="n">
        <f aca="false">(parametros_carros!$D$34*('Plan mensual'!N79+IF(parametros_carros!$H$34="Todos",'Plan mensual'!N83,0))+parametros_carros!$E$34*('Plan mensual'!N80+IF(parametros_carros!$H$34="Todos",'Plan mensual'!N84,0))+parametros_carros!$F$34*('Plan mensual'!N81+IF(parametros_carros!$H$34="Todos",'Plan mensual'!N85,0))+parametros_carros!$G$34*('Plan mensual'!N82+IF(parametros_carros!$H$34="Todos",'Plan mensual'!N86,0)))/60</f>
        <v>9.98807412776833</v>
      </c>
      <c r="M157" s="41" t="n">
        <f aca="false">(parametros_carros!$D$34*('Plan mensual'!O79+IF(parametros_carros!$H$34="Todos",'Plan mensual'!O83,0))+parametros_carros!$E$34*('Plan mensual'!O80+IF(parametros_carros!$H$34="Todos",'Plan mensual'!O84,0))+parametros_carros!$F$34*('Plan mensual'!O81+IF(parametros_carros!$H$34="Todos",'Plan mensual'!O85,0))+parametros_carros!$G$34*('Plan mensual'!O82+IF(parametros_carros!$H$34="Todos",'Plan mensual'!O86,0)))/60</f>
        <v>11.4149418603067</v>
      </c>
      <c r="N157" s="41" t="n">
        <f aca="false">SUM(B157:M157)</f>
        <v>142.686773253833</v>
      </c>
      <c r="O157" s="41" t="n">
        <f aca="false">MAX(B157:M157)</f>
        <v>12.841809592845</v>
      </c>
      <c r="P157" s="45" t="n">
        <f aca="false">IF(parametros_carros!$B$7=0,0,(O157+parametros_carros!$G$60)/parametros_carros!$B$7)</f>
        <v>0.132278730618967</v>
      </c>
      <c r="Q157" s="29" t="str">
        <f aca="false">IF(O157=0,"-",INDEX($B$141:$M$141,MATCH(O157,B157:M157,0)))</f>
        <v>Mar</v>
      </c>
    </row>
    <row r="158" customFormat="false" ht="14.25" hidden="false" customHeight="true" outlineLevel="0" collapsed="false">
      <c r="A158" s="12" t="str">
        <f aca="false">parametros_carros!$B$35</f>
        <v>Calidad: pérdidas, inspección final, liberación y ensayos de lote</v>
      </c>
      <c r="B158" s="41" t="n">
        <f aca="false">(parametros_carros!$D$35*('Plan mensual'!D79+IF(parametros_carros!$H$35="Todos",'Plan mensual'!D83,0))+parametros_carros!$E$35*('Plan mensual'!D80+IF(parametros_carros!$H$35="Todos",'Plan mensual'!D84,0))+parametros_carros!$F$35*('Plan mensual'!D81+IF(parametros_carros!$H$35="Todos",'Plan mensual'!D85,0))+parametros_carros!$G$35*('Plan mensual'!D82+IF(parametros_carros!$H$35="Todos",'Plan mensual'!D86,0)))/60</f>
        <v>9.192596618367</v>
      </c>
      <c r="C158" s="41" t="n">
        <f aca="false">(parametros_carros!$D$35*('Plan mensual'!E79+IF(parametros_carros!$H$35="Todos",'Plan mensual'!E83,0))+parametros_carros!$E$35*('Plan mensual'!E80+IF(parametros_carros!$H$35="Todos",'Plan mensual'!E84,0))+parametros_carros!$F$35*('Plan mensual'!E81+IF(parametros_carros!$H$35="Todos",'Plan mensual'!E85,0))+parametros_carros!$G$35*('Plan mensual'!E82+IF(parametros_carros!$H$35="Todos",'Plan mensual'!E86,0)))/60</f>
        <v>8.111114663265</v>
      </c>
      <c r="D158" s="41" t="n">
        <f aca="false">(parametros_carros!$D$35*('Plan mensual'!F79+IF(parametros_carros!$H$35="Todos",'Plan mensual'!F83,0))+parametros_carros!$E$35*('Plan mensual'!F80+IF(parametros_carros!$H$35="Todos",'Plan mensual'!F84,0))+parametros_carros!$F$35*('Plan mensual'!F81+IF(parametros_carros!$H$35="Todos",'Plan mensual'!F85,0))+parametros_carros!$G$35*('Plan mensual'!F82+IF(parametros_carros!$H$35="Todos",'Plan mensual'!F86,0)))/60</f>
        <v>9.733337595918</v>
      </c>
      <c r="E158" s="41" t="n">
        <f aca="false">(parametros_carros!$D$35*('Plan mensual'!G79+IF(parametros_carros!$H$35="Todos",'Plan mensual'!G83,0))+parametros_carros!$E$35*('Plan mensual'!G80+IF(parametros_carros!$H$35="Todos",'Plan mensual'!G84,0))+parametros_carros!$F$35*('Plan mensual'!G81+IF(parametros_carros!$H$35="Todos",'Plan mensual'!G85,0))+parametros_carros!$G$35*('Plan mensual'!G82+IF(parametros_carros!$H$35="Todos",'Plan mensual'!G86,0)))/60</f>
        <v>9.733337595918</v>
      </c>
      <c r="F158" s="41" t="n">
        <f aca="false">(parametros_carros!$D$35*('Plan mensual'!H79+IF(parametros_carros!$H$35="Todos",'Plan mensual'!H83,0))+parametros_carros!$E$35*('Plan mensual'!H80+IF(parametros_carros!$H$35="Todos",'Plan mensual'!H84,0))+parametros_carros!$F$35*('Plan mensual'!H81+IF(parametros_carros!$H$35="Todos",'Plan mensual'!H85,0))+parametros_carros!$G$35*('Plan mensual'!H82+IF(parametros_carros!$H$35="Todos",'Plan mensual'!H86,0)))/60</f>
        <v>9.733337595918</v>
      </c>
      <c r="G158" s="41" t="n">
        <f aca="false">(parametros_carros!$D$35*('Plan mensual'!I79+IF(parametros_carros!$H$35="Todos",'Plan mensual'!I83,0))+parametros_carros!$E$35*('Plan mensual'!I80+IF(parametros_carros!$H$35="Todos",'Plan mensual'!I84,0))+parametros_carros!$F$35*('Plan mensual'!I81+IF(parametros_carros!$H$35="Todos",'Plan mensual'!I85,0))+parametros_carros!$G$35*('Plan mensual'!I82+IF(parametros_carros!$H$35="Todos",'Plan mensual'!I86,0)))/60</f>
        <v>8.651855640816</v>
      </c>
      <c r="H158" s="41" t="n">
        <f aca="false">(parametros_carros!$D$35*('Plan mensual'!J79+IF(parametros_carros!$H$35="Todos",'Plan mensual'!J83,0))+parametros_carros!$E$35*('Plan mensual'!J80+IF(parametros_carros!$H$35="Todos",'Plan mensual'!J84,0))+parametros_carros!$F$35*('Plan mensual'!J81+IF(parametros_carros!$H$35="Todos",'Plan mensual'!J85,0))+parametros_carros!$G$35*('Plan mensual'!J82+IF(parametros_carros!$H$35="Todos",'Plan mensual'!J86,0)))/60</f>
        <v>9.733337595918</v>
      </c>
      <c r="I158" s="41" t="n">
        <f aca="false">(parametros_carros!$D$35*('Plan mensual'!K79+IF(parametros_carros!$H$35="Todos",'Plan mensual'!K83,0))+parametros_carros!$E$35*('Plan mensual'!K80+IF(parametros_carros!$H$35="Todos",'Plan mensual'!K84,0))+parametros_carros!$F$35*('Plan mensual'!K81+IF(parametros_carros!$H$35="Todos",'Plan mensual'!K85,0))+parametros_carros!$G$35*('Plan mensual'!K82+IF(parametros_carros!$H$35="Todos",'Plan mensual'!K86,0)))/60</f>
        <v>9.733337595918</v>
      </c>
      <c r="J158" s="41" t="n">
        <f aca="false">(parametros_carros!$D$35*('Plan mensual'!L79+IF(parametros_carros!$H$35="Todos",'Plan mensual'!L83,0))+parametros_carros!$E$35*('Plan mensual'!L80+IF(parametros_carros!$H$35="Todos",'Plan mensual'!L84,0))+parametros_carros!$F$35*('Plan mensual'!L81+IF(parametros_carros!$H$35="Todos",'Plan mensual'!L85,0))+parametros_carros!$G$35*('Plan mensual'!L82+IF(parametros_carros!$H$35="Todos",'Plan mensual'!L86,0)))/60</f>
        <v>9.192596618367</v>
      </c>
      <c r="K158" s="41" t="n">
        <f aca="false">(parametros_carros!$D$35*('Plan mensual'!M79+IF(parametros_carros!$H$35="Todos",'Plan mensual'!M83,0))+parametros_carros!$E$35*('Plan mensual'!M80+IF(parametros_carros!$H$35="Todos",'Plan mensual'!M84,0))+parametros_carros!$F$35*('Plan mensual'!M81+IF(parametros_carros!$H$35="Todos",'Plan mensual'!M85,0))+parametros_carros!$G$35*('Plan mensual'!M82+IF(parametros_carros!$H$35="Todos",'Plan mensual'!M86,0)))/60</f>
        <v>8.111114663265</v>
      </c>
      <c r="L158" s="41" t="n">
        <f aca="false">(parametros_carros!$D$35*('Plan mensual'!N79+IF(parametros_carros!$H$35="Todos",'Plan mensual'!N83,0))+parametros_carros!$E$35*('Plan mensual'!N80+IF(parametros_carros!$H$35="Todos",'Plan mensual'!N84,0))+parametros_carros!$F$35*('Plan mensual'!N81+IF(parametros_carros!$H$35="Todos",'Plan mensual'!N85,0))+parametros_carros!$G$35*('Plan mensual'!N82+IF(parametros_carros!$H$35="Todos",'Plan mensual'!N86,0)))/60</f>
        <v>7.570373685714</v>
      </c>
      <c r="M158" s="41" t="n">
        <f aca="false">(parametros_carros!$D$35*('Plan mensual'!O79+IF(parametros_carros!$H$35="Todos",'Plan mensual'!O83,0))+parametros_carros!$E$35*('Plan mensual'!O80+IF(parametros_carros!$H$35="Todos",'Plan mensual'!O84,0))+parametros_carros!$F$35*('Plan mensual'!O81+IF(parametros_carros!$H$35="Todos",'Plan mensual'!O85,0))+parametros_carros!$G$35*('Plan mensual'!O82+IF(parametros_carros!$H$35="Todos",'Plan mensual'!O86,0)))/60</f>
        <v>8.651855640816</v>
      </c>
      <c r="N158" s="41" t="n">
        <f aca="false">SUM(B158:M158)</f>
        <v>108.1481955102</v>
      </c>
      <c r="O158" s="41" t="n">
        <f aca="false">MAX(B158:M158)</f>
        <v>9.733337595918</v>
      </c>
      <c r="P158" s="45" t="n">
        <f aca="false">IF(parametros_carros!$B$7=0,0,(O158+parametros_carros!$G$61)/parametros_carros!$B$7)</f>
        <v>0.435111139528342</v>
      </c>
      <c r="Q158" s="29" t="str">
        <f aca="false">IF(O158=0,"-",INDEX($B$141:$M$141,MATCH(O158,B158:M158,0)))</f>
        <v>Mar</v>
      </c>
    </row>
    <row r="159" customFormat="false" ht="14.25" hidden="false" customHeight="true" outlineLevel="0" collapsed="false">
      <c r="A159" s="12" t="str">
        <f aca="false">parametros_carros!$B$36</f>
        <v>Depósito de producto terminado y despacho</v>
      </c>
      <c r="B159" s="41" t="n">
        <f aca="false">(parametros_carros!$D$36*('Plan mensual'!D79+IF(parametros_carros!$H$36="Todos",'Plan mensual'!D83,0))+parametros_carros!$E$36*('Plan mensual'!D80+IF(parametros_carros!$H$36="Todos",'Plan mensual'!D84,0))+parametros_carros!$F$36*('Plan mensual'!D81+IF(parametros_carros!$H$36="Todos",'Plan mensual'!D85,0))+parametros_carros!$G$36*('Plan mensual'!D82+IF(parametros_carros!$H$36="Todos",'Plan mensual'!D86,0)))/60</f>
        <v>4.52217108879333</v>
      </c>
      <c r="C159" s="41" t="n">
        <f aca="false">(parametros_carros!$D$36*('Plan mensual'!E79+IF(parametros_carros!$H$36="Todos",'Plan mensual'!E83,0))+parametros_carros!$E$36*('Plan mensual'!E80+IF(parametros_carros!$H$36="Todos",'Plan mensual'!E84,0))+parametros_carros!$F$36*('Plan mensual'!E81+IF(parametros_carros!$H$36="Todos",'Plan mensual'!E85,0))+parametros_carros!$G$36*('Plan mensual'!E82+IF(parametros_carros!$H$36="Todos",'Plan mensual'!E86,0)))/60</f>
        <v>3.9901509607</v>
      </c>
      <c r="D159" s="41" t="n">
        <f aca="false">(parametros_carros!$D$36*('Plan mensual'!F79+IF(parametros_carros!$H$36="Todos",'Plan mensual'!F83,0))+parametros_carros!$E$36*('Plan mensual'!F80+IF(parametros_carros!$H$36="Todos",'Plan mensual'!F84,0))+parametros_carros!$F$36*('Plan mensual'!F81+IF(parametros_carros!$H$36="Todos",'Plan mensual'!F85,0))+parametros_carros!$G$36*('Plan mensual'!F82+IF(parametros_carros!$H$36="Todos",'Plan mensual'!F86,0)))/60</f>
        <v>4.78818115284</v>
      </c>
      <c r="E159" s="41" t="n">
        <f aca="false">(parametros_carros!$D$36*('Plan mensual'!G79+IF(parametros_carros!$H$36="Todos",'Plan mensual'!G83,0))+parametros_carros!$E$36*('Plan mensual'!G80+IF(parametros_carros!$H$36="Todos",'Plan mensual'!G84,0))+parametros_carros!$F$36*('Plan mensual'!G81+IF(parametros_carros!$H$36="Todos",'Plan mensual'!G85,0))+parametros_carros!$G$36*('Plan mensual'!G82+IF(parametros_carros!$H$36="Todos",'Plan mensual'!G86,0)))/60</f>
        <v>4.78818115284</v>
      </c>
      <c r="F159" s="41" t="n">
        <f aca="false">(parametros_carros!$D$36*('Plan mensual'!H79+IF(parametros_carros!$H$36="Todos",'Plan mensual'!H83,0))+parametros_carros!$E$36*('Plan mensual'!H80+IF(parametros_carros!$H$36="Todos",'Plan mensual'!H84,0))+parametros_carros!$F$36*('Plan mensual'!H81+IF(parametros_carros!$H$36="Todos",'Plan mensual'!H85,0))+parametros_carros!$G$36*('Plan mensual'!H82+IF(parametros_carros!$H$36="Todos",'Plan mensual'!H86,0)))/60</f>
        <v>4.78818115284</v>
      </c>
      <c r="G159" s="41" t="n">
        <f aca="false">(parametros_carros!$D$36*('Plan mensual'!I79+IF(parametros_carros!$H$36="Todos",'Plan mensual'!I83,0))+parametros_carros!$E$36*('Plan mensual'!I80+IF(parametros_carros!$H$36="Todos",'Plan mensual'!I84,0))+parametros_carros!$F$36*('Plan mensual'!I81+IF(parametros_carros!$H$36="Todos",'Plan mensual'!I85,0))+parametros_carros!$G$36*('Plan mensual'!I82+IF(parametros_carros!$H$36="Todos",'Plan mensual'!I86,0)))/60</f>
        <v>4.25616102474667</v>
      </c>
      <c r="H159" s="41" t="n">
        <f aca="false">(parametros_carros!$D$36*('Plan mensual'!J79+IF(parametros_carros!$H$36="Todos",'Plan mensual'!J83,0))+parametros_carros!$E$36*('Plan mensual'!J80+IF(parametros_carros!$H$36="Todos",'Plan mensual'!J84,0))+parametros_carros!$F$36*('Plan mensual'!J81+IF(parametros_carros!$H$36="Todos",'Plan mensual'!J85,0))+parametros_carros!$G$36*('Plan mensual'!J82+IF(parametros_carros!$H$36="Todos",'Plan mensual'!J86,0)))/60</f>
        <v>4.78818115284</v>
      </c>
      <c r="I159" s="41" t="n">
        <f aca="false">(parametros_carros!$D$36*('Plan mensual'!K79+IF(parametros_carros!$H$36="Todos",'Plan mensual'!K83,0))+parametros_carros!$E$36*('Plan mensual'!K80+IF(parametros_carros!$H$36="Todos",'Plan mensual'!K84,0))+parametros_carros!$F$36*('Plan mensual'!K81+IF(parametros_carros!$H$36="Todos",'Plan mensual'!K85,0))+parametros_carros!$G$36*('Plan mensual'!K82+IF(parametros_carros!$H$36="Todos",'Plan mensual'!K86,0)))/60</f>
        <v>4.78818115284</v>
      </c>
      <c r="J159" s="41" t="n">
        <f aca="false">(parametros_carros!$D$36*('Plan mensual'!L79+IF(parametros_carros!$H$36="Todos",'Plan mensual'!L83,0))+parametros_carros!$E$36*('Plan mensual'!L80+IF(parametros_carros!$H$36="Todos",'Plan mensual'!L84,0))+parametros_carros!$F$36*('Plan mensual'!L81+IF(parametros_carros!$H$36="Todos",'Plan mensual'!L85,0))+parametros_carros!$G$36*('Plan mensual'!L82+IF(parametros_carros!$H$36="Todos",'Plan mensual'!L86,0)))/60</f>
        <v>4.52217108879333</v>
      </c>
      <c r="K159" s="41" t="n">
        <f aca="false">(parametros_carros!$D$36*('Plan mensual'!M79+IF(parametros_carros!$H$36="Todos",'Plan mensual'!M83,0))+parametros_carros!$E$36*('Plan mensual'!M80+IF(parametros_carros!$H$36="Todos",'Plan mensual'!M84,0))+parametros_carros!$F$36*('Plan mensual'!M81+IF(parametros_carros!$H$36="Todos",'Plan mensual'!M85,0))+parametros_carros!$G$36*('Plan mensual'!M82+IF(parametros_carros!$H$36="Todos",'Plan mensual'!M86,0)))/60</f>
        <v>3.9901509607</v>
      </c>
      <c r="L159" s="41" t="n">
        <f aca="false">(parametros_carros!$D$36*('Plan mensual'!N79+IF(parametros_carros!$H$36="Todos",'Plan mensual'!N83,0))+parametros_carros!$E$36*('Plan mensual'!N80+IF(parametros_carros!$H$36="Todos",'Plan mensual'!N84,0))+parametros_carros!$F$36*('Plan mensual'!N81+IF(parametros_carros!$H$36="Todos",'Plan mensual'!N85,0))+parametros_carros!$G$36*('Plan mensual'!N82+IF(parametros_carros!$H$36="Todos",'Plan mensual'!N86,0)))/60</f>
        <v>3.72414089665333</v>
      </c>
      <c r="M159" s="41" t="n">
        <f aca="false">(parametros_carros!$D$36*('Plan mensual'!O79+IF(parametros_carros!$H$36="Todos",'Plan mensual'!O83,0))+parametros_carros!$E$36*('Plan mensual'!O80+IF(parametros_carros!$H$36="Todos",'Plan mensual'!O84,0))+parametros_carros!$F$36*('Plan mensual'!O81+IF(parametros_carros!$H$36="Todos",'Plan mensual'!O85,0))+parametros_carros!$G$36*('Plan mensual'!O82+IF(parametros_carros!$H$36="Todos",'Plan mensual'!O86,0)))/60</f>
        <v>4.25616102474667</v>
      </c>
      <c r="N159" s="41" t="n">
        <f aca="false">SUM(B159:M159)</f>
        <v>53.2020128093333</v>
      </c>
      <c r="O159" s="41" t="n">
        <f aca="false">MAX(B159:M159)</f>
        <v>4.78818115284</v>
      </c>
      <c r="P159" s="45" t="n">
        <f aca="false">IF(parametros_carros!$B$7=0,0,(O159+parametros_carros!$G$62)/parametros_carros!$B$7)</f>
        <v>0.0541434299078222</v>
      </c>
      <c r="Q159" s="29" t="str">
        <f aca="false">IF(O159=0,"-",INDEX($B$141:$M$141,MATCH(O159,B159:M159,0)))</f>
        <v>Mar</v>
      </c>
    </row>
    <row r="160" customFormat="false" ht="14.25" hidden="false" customHeight="true" outlineLevel="0" collapsed="false"/>
    <row r="161" customFormat="false" ht="45" hidden="false" customHeight="true" outlineLevel="0" collapsed="false">
      <c r="A161" s="11" t="s">
        <v>258</v>
      </c>
      <c r="B161" s="11" t="s">
        <v>17</v>
      </c>
      <c r="C161" s="11" t="s">
        <v>18</v>
      </c>
      <c r="D161" s="11" t="s">
        <v>19</v>
      </c>
      <c r="E161" s="11" t="s">
        <v>20</v>
      </c>
      <c r="F161" s="11" t="s">
        <v>21</v>
      </c>
      <c r="G161" s="11" t="s">
        <v>22</v>
      </c>
      <c r="H161" s="11" t="s">
        <v>23</v>
      </c>
      <c r="I161" s="11" t="s">
        <v>24</v>
      </c>
      <c r="J161" s="11" t="s">
        <v>25</v>
      </c>
      <c r="K161" s="11" t="s">
        <v>26</v>
      </c>
      <c r="L161" s="11" t="s">
        <v>27</v>
      </c>
      <c r="M161" s="11" t="s">
        <v>28</v>
      </c>
      <c r="N161" s="11" t="s">
        <v>247</v>
      </c>
      <c r="O161" s="11" t="s">
        <v>248</v>
      </c>
      <c r="P161" s="11" t="s">
        <v>249</v>
      </c>
      <c r="Q161" s="11" t="s">
        <v>250</v>
      </c>
    </row>
    <row r="162" customFormat="false" ht="14.25" hidden="false" customHeight="true" outlineLevel="0" collapsed="false">
      <c r="A162" s="12" t="str">
        <f aca="false">parametros_carros!$B$19</f>
        <v>Recepción de materia prima</v>
      </c>
      <c r="B162" s="41" t="n">
        <f aca="false">(parametros_carros!$D$19*('Plan mensual'!D90+IF(parametros_carros!$H$19="Todos",'Plan mensual'!D94,0))+parametros_carros!$E$19*('Plan mensual'!D91+IF(parametros_carros!$H$19="Todos",'Plan mensual'!D95,0))+parametros_carros!$F$19*('Plan mensual'!D92+IF(parametros_carros!$H$19="Todos",'Plan mensual'!D96,0))+parametros_carros!$G$19*('Plan mensual'!D93+IF(parametros_carros!$H$19="Todos",'Plan mensual'!D97,0)))/60</f>
        <v>6.79056212873967</v>
      </c>
      <c r="C162" s="41" t="n">
        <f aca="false">(parametros_carros!$D$19*('Plan mensual'!E90+IF(parametros_carros!$H$19="Todos",'Plan mensual'!E94,0))+parametros_carros!$E$19*('Plan mensual'!E91+IF(parametros_carros!$H$19="Todos",'Plan mensual'!E95,0))+parametros_carros!$F$19*('Plan mensual'!E92+IF(parametros_carros!$H$19="Todos",'Plan mensual'!E96,0))+parametros_carros!$G$19*('Plan mensual'!E93+IF(parametros_carros!$H$19="Todos",'Plan mensual'!E97,0)))/60</f>
        <v>5.991672466535</v>
      </c>
      <c r="D162" s="41" t="n">
        <f aca="false">(parametros_carros!$D$19*('Plan mensual'!F90+IF(parametros_carros!$H$19="Todos",'Plan mensual'!F94,0))+parametros_carros!$E$19*('Plan mensual'!F91+IF(parametros_carros!$H$19="Todos",'Plan mensual'!F95,0))+parametros_carros!$F$19*('Plan mensual'!F92+IF(parametros_carros!$H$19="Todos",'Plan mensual'!F96,0))+parametros_carros!$G$19*('Plan mensual'!F93+IF(parametros_carros!$H$19="Todos",'Plan mensual'!F97,0)))/60</f>
        <v>7.190006959842</v>
      </c>
      <c r="E162" s="41" t="n">
        <f aca="false">(parametros_carros!$D$19*('Plan mensual'!G90+IF(parametros_carros!$H$19="Todos",'Plan mensual'!G94,0))+parametros_carros!$E$19*('Plan mensual'!G91+IF(parametros_carros!$H$19="Todos",'Plan mensual'!G95,0))+parametros_carros!$F$19*('Plan mensual'!G92+IF(parametros_carros!$H$19="Todos",'Plan mensual'!G96,0))+parametros_carros!$G$19*('Plan mensual'!G93+IF(parametros_carros!$H$19="Todos",'Plan mensual'!G97,0)))/60</f>
        <v>7.190006959842</v>
      </c>
      <c r="F162" s="41" t="n">
        <f aca="false">(parametros_carros!$D$19*('Plan mensual'!H90+IF(parametros_carros!$H$19="Todos",'Plan mensual'!H94,0))+parametros_carros!$E$19*('Plan mensual'!H91+IF(parametros_carros!$H$19="Todos",'Plan mensual'!H95,0))+parametros_carros!$F$19*('Plan mensual'!H92+IF(parametros_carros!$H$19="Todos",'Plan mensual'!H96,0))+parametros_carros!$G$19*('Plan mensual'!H93+IF(parametros_carros!$H$19="Todos",'Plan mensual'!H97,0)))/60</f>
        <v>7.190006959842</v>
      </c>
      <c r="G162" s="41" t="n">
        <f aca="false">(parametros_carros!$D$19*('Plan mensual'!I90+IF(parametros_carros!$H$19="Todos",'Plan mensual'!I94,0))+parametros_carros!$E$19*('Plan mensual'!I91+IF(parametros_carros!$H$19="Todos",'Plan mensual'!I95,0))+parametros_carros!$F$19*('Plan mensual'!I92+IF(parametros_carros!$H$19="Todos",'Plan mensual'!I96,0))+parametros_carros!$G$19*('Plan mensual'!I93+IF(parametros_carros!$H$19="Todos",'Plan mensual'!I97,0)))/60</f>
        <v>6.39111729763733</v>
      </c>
      <c r="H162" s="41" t="n">
        <f aca="false">(parametros_carros!$D$19*('Plan mensual'!J90+IF(parametros_carros!$H$19="Todos",'Plan mensual'!J94,0))+parametros_carros!$E$19*('Plan mensual'!J91+IF(parametros_carros!$H$19="Todos",'Plan mensual'!J95,0))+parametros_carros!$F$19*('Plan mensual'!J92+IF(parametros_carros!$H$19="Todos",'Plan mensual'!J96,0))+parametros_carros!$G$19*('Plan mensual'!J93+IF(parametros_carros!$H$19="Todos",'Plan mensual'!J97,0)))/60</f>
        <v>7.190006959842</v>
      </c>
      <c r="I162" s="41" t="n">
        <f aca="false">(parametros_carros!$D$19*('Plan mensual'!K90+IF(parametros_carros!$H$19="Todos",'Plan mensual'!K94,0))+parametros_carros!$E$19*('Plan mensual'!K91+IF(parametros_carros!$H$19="Todos",'Plan mensual'!K95,0))+parametros_carros!$F$19*('Plan mensual'!K92+IF(parametros_carros!$H$19="Todos",'Plan mensual'!K96,0))+parametros_carros!$G$19*('Plan mensual'!K93+IF(parametros_carros!$H$19="Todos",'Plan mensual'!K97,0)))/60</f>
        <v>7.190006959842</v>
      </c>
      <c r="J162" s="41" t="n">
        <f aca="false">(parametros_carros!$D$19*('Plan mensual'!L90+IF(parametros_carros!$H$19="Todos",'Plan mensual'!L94,0))+parametros_carros!$E$19*('Plan mensual'!L91+IF(parametros_carros!$H$19="Todos",'Plan mensual'!L95,0))+parametros_carros!$F$19*('Plan mensual'!L92+IF(parametros_carros!$H$19="Todos",'Plan mensual'!L96,0))+parametros_carros!$G$19*('Plan mensual'!L93+IF(parametros_carros!$H$19="Todos",'Plan mensual'!L97,0)))/60</f>
        <v>6.79056212873967</v>
      </c>
      <c r="K162" s="41" t="n">
        <f aca="false">(parametros_carros!$D$19*('Plan mensual'!M90+IF(parametros_carros!$H$19="Todos",'Plan mensual'!M94,0))+parametros_carros!$E$19*('Plan mensual'!M91+IF(parametros_carros!$H$19="Todos",'Plan mensual'!M95,0))+parametros_carros!$F$19*('Plan mensual'!M92+IF(parametros_carros!$H$19="Todos",'Plan mensual'!M96,0))+parametros_carros!$G$19*('Plan mensual'!M93+IF(parametros_carros!$H$19="Todos",'Plan mensual'!M97,0)))/60</f>
        <v>5.991672466535</v>
      </c>
      <c r="L162" s="41" t="n">
        <f aca="false">(parametros_carros!$D$19*('Plan mensual'!N90+IF(parametros_carros!$H$19="Todos",'Plan mensual'!N94,0))+parametros_carros!$E$19*('Plan mensual'!N91+IF(parametros_carros!$H$19="Todos",'Plan mensual'!N95,0))+parametros_carros!$F$19*('Plan mensual'!N92+IF(parametros_carros!$H$19="Todos",'Plan mensual'!N96,0))+parametros_carros!$G$19*('Plan mensual'!N93+IF(parametros_carros!$H$19="Todos",'Plan mensual'!N97,0)))/60</f>
        <v>5.59222763543267</v>
      </c>
      <c r="M162" s="41" t="n">
        <f aca="false">(parametros_carros!$D$19*('Plan mensual'!O90+IF(parametros_carros!$H$19="Todos",'Plan mensual'!O94,0))+parametros_carros!$E$19*('Plan mensual'!O91+IF(parametros_carros!$H$19="Todos",'Plan mensual'!O95,0))+parametros_carros!$F$19*('Plan mensual'!O92+IF(parametros_carros!$H$19="Todos",'Plan mensual'!O96,0))+parametros_carros!$G$19*('Plan mensual'!O93+IF(parametros_carros!$H$19="Todos",'Plan mensual'!O97,0)))/60</f>
        <v>6.39111729763733</v>
      </c>
      <c r="N162" s="41" t="n">
        <f aca="false">SUM(B162:M162)</f>
        <v>79.8889662204667</v>
      </c>
      <c r="O162" s="41" t="n">
        <f aca="false">MAX(B162:M162)</f>
        <v>7.190006959842</v>
      </c>
      <c r="P162" s="45" t="n">
        <f aca="false">IF(parametros_carros!$B$7=0,0,(O162+parametros_carros!$G$45)/parametros_carros!$B$7)</f>
        <v>0.0960444908433911</v>
      </c>
      <c r="Q162" s="29" t="str">
        <f aca="false">IF(O162=0,"-",INDEX($B$161:$M$161,MATCH(O162,B162:M162,0)))</f>
        <v>Mar</v>
      </c>
    </row>
    <row r="163" customFormat="false" ht="14.25" hidden="false" customHeight="true" outlineLevel="0" collapsed="false">
      <c r="A163" s="12" t="str">
        <f aca="false">parametros_carros!$B$20</f>
        <v>Corte de chapa (guillotina)</v>
      </c>
      <c r="B163" s="41" t="n">
        <f aca="false">(parametros_carros!$D$20*('Plan mensual'!D90+IF(parametros_carros!$H$20="Todos",'Plan mensual'!D94,0))+parametros_carros!$E$20*('Plan mensual'!D91+IF(parametros_carros!$H$20="Todos",'Plan mensual'!D95,0))+parametros_carros!$F$20*('Plan mensual'!D92+IF(parametros_carros!$H$20="Todos",'Plan mensual'!D96,0))+parametros_carros!$G$20*('Plan mensual'!D93+IF(parametros_carros!$H$20="Todos",'Plan mensual'!D97,0)))/60</f>
        <v>14.9255990785605</v>
      </c>
      <c r="C163" s="41" t="n">
        <f aca="false">(parametros_carros!$D$20*('Plan mensual'!E90+IF(parametros_carros!$H$20="Todos",'Plan mensual'!E94,0))+parametros_carros!$E$20*('Plan mensual'!E91+IF(parametros_carros!$H$20="Todos",'Plan mensual'!E95,0))+parametros_carros!$F$20*('Plan mensual'!E92+IF(parametros_carros!$H$20="Todos",'Plan mensual'!E96,0))+parametros_carros!$G$20*('Plan mensual'!E93+IF(parametros_carros!$H$20="Todos",'Plan mensual'!E97,0)))/60</f>
        <v>13.1696462457886</v>
      </c>
      <c r="D163" s="41" t="n">
        <f aca="false">(parametros_carros!$D$20*('Plan mensual'!F90+IF(parametros_carros!$H$20="Todos",'Plan mensual'!F94,0))+parametros_carros!$E$20*('Plan mensual'!F91+IF(parametros_carros!$H$20="Todos",'Plan mensual'!F95,0))+parametros_carros!$F$20*('Plan mensual'!F92+IF(parametros_carros!$H$20="Todos",'Plan mensual'!F96,0))+parametros_carros!$G$20*('Plan mensual'!F93+IF(parametros_carros!$H$20="Todos",'Plan mensual'!F97,0)))/60</f>
        <v>15.8035754949464</v>
      </c>
      <c r="E163" s="41" t="n">
        <f aca="false">(parametros_carros!$D$20*('Plan mensual'!G90+IF(parametros_carros!$H$20="Todos",'Plan mensual'!G94,0))+parametros_carros!$E$20*('Plan mensual'!G91+IF(parametros_carros!$H$20="Todos",'Plan mensual'!G95,0))+parametros_carros!$F$20*('Plan mensual'!G92+IF(parametros_carros!$H$20="Todos",'Plan mensual'!G96,0))+parametros_carros!$G$20*('Plan mensual'!G93+IF(parametros_carros!$H$20="Todos",'Plan mensual'!G97,0)))/60</f>
        <v>15.8035754949464</v>
      </c>
      <c r="F163" s="41" t="n">
        <f aca="false">(parametros_carros!$D$20*('Plan mensual'!H90+IF(parametros_carros!$H$20="Todos",'Plan mensual'!H94,0))+parametros_carros!$E$20*('Plan mensual'!H91+IF(parametros_carros!$H$20="Todos",'Plan mensual'!H95,0))+parametros_carros!$F$20*('Plan mensual'!H92+IF(parametros_carros!$H$20="Todos",'Plan mensual'!H96,0))+parametros_carros!$G$20*('Plan mensual'!H93+IF(parametros_carros!$H$20="Todos",'Plan mensual'!H97,0)))/60</f>
        <v>15.8035754949464</v>
      </c>
      <c r="G163" s="41" t="n">
        <f aca="false">(parametros_carros!$D$20*('Plan mensual'!I90+IF(parametros_carros!$H$20="Todos",'Plan mensual'!I94,0))+parametros_carros!$E$20*('Plan mensual'!I91+IF(parametros_carros!$H$20="Todos",'Plan mensual'!I95,0))+parametros_carros!$F$20*('Plan mensual'!I92+IF(parametros_carros!$H$20="Todos",'Plan mensual'!I96,0))+parametros_carros!$G$20*('Plan mensual'!I93+IF(parametros_carros!$H$20="Todos",'Plan mensual'!I97,0)))/60</f>
        <v>14.0476226621745</v>
      </c>
      <c r="H163" s="41" t="n">
        <f aca="false">(parametros_carros!$D$20*('Plan mensual'!J90+IF(parametros_carros!$H$20="Todos",'Plan mensual'!J94,0))+parametros_carros!$E$20*('Plan mensual'!J91+IF(parametros_carros!$H$20="Todos",'Plan mensual'!J95,0))+parametros_carros!$F$20*('Plan mensual'!J92+IF(parametros_carros!$H$20="Todos",'Plan mensual'!J96,0))+parametros_carros!$G$20*('Plan mensual'!J93+IF(parametros_carros!$H$20="Todos",'Plan mensual'!J97,0)))/60</f>
        <v>15.8035754949464</v>
      </c>
      <c r="I163" s="41" t="n">
        <f aca="false">(parametros_carros!$D$20*('Plan mensual'!K90+IF(parametros_carros!$H$20="Todos",'Plan mensual'!K94,0))+parametros_carros!$E$20*('Plan mensual'!K91+IF(parametros_carros!$H$20="Todos",'Plan mensual'!K95,0))+parametros_carros!$F$20*('Plan mensual'!K92+IF(parametros_carros!$H$20="Todos",'Plan mensual'!K96,0))+parametros_carros!$G$20*('Plan mensual'!K93+IF(parametros_carros!$H$20="Todos",'Plan mensual'!K97,0)))/60</f>
        <v>15.8035754949464</v>
      </c>
      <c r="J163" s="41" t="n">
        <f aca="false">(parametros_carros!$D$20*('Plan mensual'!L90+IF(parametros_carros!$H$20="Todos",'Plan mensual'!L94,0))+parametros_carros!$E$20*('Plan mensual'!L91+IF(parametros_carros!$H$20="Todos",'Plan mensual'!L95,0))+parametros_carros!$F$20*('Plan mensual'!L92+IF(parametros_carros!$H$20="Todos",'Plan mensual'!L96,0))+parametros_carros!$G$20*('Plan mensual'!L93+IF(parametros_carros!$H$20="Todos",'Plan mensual'!L97,0)))/60</f>
        <v>14.9255990785605</v>
      </c>
      <c r="K163" s="41" t="n">
        <f aca="false">(parametros_carros!$D$20*('Plan mensual'!M90+IF(parametros_carros!$H$20="Todos",'Plan mensual'!M94,0))+parametros_carros!$E$20*('Plan mensual'!M91+IF(parametros_carros!$H$20="Todos",'Plan mensual'!M95,0))+parametros_carros!$F$20*('Plan mensual'!M92+IF(parametros_carros!$H$20="Todos",'Plan mensual'!M96,0))+parametros_carros!$G$20*('Plan mensual'!M93+IF(parametros_carros!$H$20="Todos",'Plan mensual'!M97,0)))/60</f>
        <v>13.1696462457886</v>
      </c>
      <c r="L163" s="41" t="n">
        <f aca="false">(parametros_carros!$D$20*('Plan mensual'!N90+IF(parametros_carros!$H$20="Todos",'Plan mensual'!N94,0))+parametros_carros!$E$20*('Plan mensual'!N91+IF(parametros_carros!$H$20="Todos",'Plan mensual'!N95,0))+parametros_carros!$F$20*('Plan mensual'!N92+IF(parametros_carros!$H$20="Todos",'Plan mensual'!N96,0))+parametros_carros!$G$20*('Plan mensual'!N93+IF(parametros_carros!$H$20="Todos",'Plan mensual'!N97,0)))/60</f>
        <v>12.2916698294027</v>
      </c>
      <c r="M163" s="41" t="n">
        <f aca="false">(parametros_carros!$D$20*('Plan mensual'!O90+IF(parametros_carros!$H$20="Todos",'Plan mensual'!O94,0))+parametros_carros!$E$20*('Plan mensual'!O91+IF(parametros_carros!$H$20="Todos",'Plan mensual'!O95,0))+parametros_carros!$F$20*('Plan mensual'!O92+IF(parametros_carros!$H$20="Todos",'Plan mensual'!O96,0))+parametros_carros!$G$20*('Plan mensual'!O93+IF(parametros_carros!$H$20="Todos",'Plan mensual'!O97,0)))/60</f>
        <v>14.0476226621745</v>
      </c>
      <c r="N163" s="41" t="n">
        <f aca="false">SUM(B163:M163)</f>
        <v>175.595283277182</v>
      </c>
      <c r="O163" s="41" t="n">
        <f aca="false">MAX(B163:M163)</f>
        <v>15.8035754949464</v>
      </c>
      <c r="P163" s="45" t="n">
        <f aca="false">IF(parametros_carros!$B$7=0,0,(O163+parametros_carros!$G$46)/parametros_carros!$B$7)</f>
        <v>0.167579392188531</v>
      </c>
      <c r="Q163" s="29" t="str">
        <f aca="false">IF(O163=0,"-",INDEX($B$161:$M$161,MATCH(O163,B163:M163,0)))</f>
        <v>Mar</v>
      </c>
    </row>
    <row r="164" customFormat="false" ht="14.25" hidden="false" customHeight="true" outlineLevel="0" collapsed="false">
      <c r="A164" s="12" t="str">
        <f aca="false">parametros_carros!$B$21</f>
        <v>Marcado del cuerpo</v>
      </c>
      <c r="B164" s="41" t="n">
        <f aca="false">(parametros_carros!$D$21*('Plan mensual'!D90+IF(parametros_carros!$H$21="Todos",'Plan mensual'!D94,0))+parametros_carros!$E$21*('Plan mensual'!D91+IF(parametros_carros!$H$21="Todos",'Plan mensual'!D95,0))+parametros_carros!$F$21*('Plan mensual'!D92+IF(parametros_carros!$H$21="Todos",'Plan mensual'!D96,0))+parametros_carros!$G$21*('Plan mensual'!D93+IF(parametros_carros!$H$21="Todos",'Plan mensual'!D97,0)))/60</f>
        <v>5.9429153539125</v>
      </c>
      <c r="C164" s="41" t="n">
        <f aca="false">(parametros_carros!$D$21*('Plan mensual'!E90+IF(parametros_carros!$H$21="Todos",'Plan mensual'!E94,0))+parametros_carros!$E$21*('Plan mensual'!E91+IF(parametros_carros!$H$21="Todos",'Plan mensual'!E95,0))+parametros_carros!$F$21*('Plan mensual'!E92+IF(parametros_carros!$H$21="Todos",'Plan mensual'!E96,0))+parametros_carros!$G$21*('Plan mensual'!E93+IF(parametros_carros!$H$21="Todos",'Plan mensual'!E97,0)))/60</f>
        <v>5.2437488416875</v>
      </c>
      <c r="D164" s="41" t="n">
        <f aca="false">(parametros_carros!$D$21*('Plan mensual'!F90+IF(parametros_carros!$H$21="Todos",'Plan mensual'!F94,0))+parametros_carros!$E$21*('Plan mensual'!F91+IF(parametros_carros!$H$21="Todos",'Plan mensual'!F95,0))+parametros_carros!$F$21*('Plan mensual'!F92+IF(parametros_carros!$H$21="Todos",'Plan mensual'!F96,0))+parametros_carros!$G$21*('Plan mensual'!F93+IF(parametros_carros!$H$21="Todos",'Plan mensual'!F97,0)))/60</f>
        <v>6.292498610025</v>
      </c>
      <c r="E164" s="41" t="n">
        <f aca="false">(parametros_carros!$D$21*('Plan mensual'!G90+IF(parametros_carros!$H$21="Todos",'Plan mensual'!G94,0))+parametros_carros!$E$21*('Plan mensual'!G91+IF(parametros_carros!$H$21="Todos",'Plan mensual'!G95,0))+parametros_carros!$F$21*('Plan mensual'!G92+IF(parametros_carros!$H$21="Todos",'Plan mensual'!G96,0))+parametros_carros!$G$21*('Plan mensual'!G93+IF(parametros_carros!$H$21="Todos",'Plan mensual'!G97,0)))/60</f>
        <v>6.292498610025</v>
      </c>
      <c r="F164" s="41" t="n">
        <f aca="false">(parametros_carros!$D$21*('Plan mensual'!H90+IF(parametros_carros!$H$21="Todos",'Plan mensual'!H94,0))+parametros_carros!$E$21*('Plan mensual'!H91+IF(parametros_carros!$H$21="Todos",'Plan mensual'!H95,0))+parametros_carros!$F$21*('Plan mensual'!H92+IF(parametros_carros!$H$21="Todos",'Plan mensual'!H96,0))+parametros_carros!$G$21*('Plan mensual'!H93+IF(parametros_carros!$H$21="Todos",'Plan mensual'!H97,0)))/60</f>
        <v>6.292498610025</v>
      </c>
      <c r="G164" s="41" t="n">
        <f aca="false">(parametros_carros!$D$21*('Plan mensual'!I90+IF(parametros_carros!$H$21="Todos",'Plan mensual'!I94,0))+parametros_carros!$E$21*('Plan mensual'!I91+IF(parametros_carros!$H$21="Todos",'Plan mensual'!I95,0))+parametros_carros!$F$21*('Plan mensual'!I92+IF(parametros_carros!$H$21="Todos",'Plan mensual'!I96,0))+parametros_carros!$G$21*('Plan mensual'!I93+IF(parametros_carros!$H$21="Todos",'Plan mensual'!I97,0)))/60</f>
        <v>5.5933320978</v>
      </c>
      <c r="H164" s="41" t="n">
        <f aca="false">(parametros_carros!$D$21*('Plan mensual'!J90+IF(parametros_carros!$H$21="Todos",'Plan mensual'!J94,0))+parametros_carros!$E$21*('Plan mensual'!J91+IF(parametros_carros!$H$21="Todos",'Plan mensual'!J95,0))+parametros_carros!$F$21*('Plan mensual'!J92+IF(parametros_carros!$H$21="Todos",'Plan mensual'!J96,0))+parametros_carros!$G$21*('Plan mensual'!J93+IF(parametros_carros!$H$21="Todos",'Plan mensual'!J97,0)))/60</f>
        <v>6.292498610025</v>
      </c>
      <c r="I164" s="41" t="n">
        <f aca="false">(parametros_carros!$D$21*('Plan mensual'!K90+IF(parametros_carros!$H$21="Todos",'Plan mensual'!K94,0))+parametros_carros!$E$21*('Plan mensual'!K91+IF(parametros_carros!$H$21="Todos",'Plan mensual'!K95,0))+parametros_carros!$F$21*('Plan mensual'!K92+IF(parametros_carros!$H$21="Todos",'Plan mensual'!K96,0))+parametros_carros!$G$21*('Plan mensual'!K93+IF(parametros_carros!$H$21="Todos",'Plan mensual'!K97,0)))/60</f>
        <v>6.292498610025</v>
      </c>
      <c r="J164" s="41" t="n">
        <f aca="false">(parametros_carros!$D$21*('Plan mensual'!L90+IF(parametros_carros!$H$21="Todos",'Plan mensual'!L94,0))+parametros_carros!$E$21*('Plan mensual'!L91+IF(parametros_carros!$H$21="Todos",'Plan mensual'!L95,0))+parametros_carros!$F$21*('Plan mensual'!L92+IF(parametros_carros!$H$21="Todos",'Plan mensual'!L96,0))+parametros_carros!$G$21*('Plan mensual'!L93+IF(parametros_carros!$H$21="Todos",'Plan mensual'!L97,0)))/60</f>
        <v>5.9429153539125</v>
      </c>
      <c r="K164" s="41" t="n">
        <f aca="false">(parametros_carros!$D$21*('Plan mensual'!M90+IF(parametros_carros!$H$21="Todos",'Plan mensual'!M94,0))+parametros_carros!$E$21*('Plan mensual'!M91+IF(parametros_carros!$H$21="Todos",'Plan mensual'!M95,0))+parametros_carros!$F$21*('Plan mensual'!M92+IF(parametros_carros!$H$21="Todos",'Plan mensual'!M96,0))+parametros_carros!$G$21*('Plan mensual'!M93+IF(parametros_carros!$H$21="Todos",'Plan mensual'!M97,0)))/60</f>
        <v>5.2437488416875</v>
      </c>
      <c r="L164" s="41" t="n">
        <f aca="false">(parametros_carros!$D$21*('Plan mensual'!N90+IF(parametros_carros!$H$21="Todos",'Plan mensual'!N94,0))+parametros_carros!$E$21*('Plan mensual'!N91+IF(parametros_carros!$H$21="Todos",'Plan mensual'!N95,0))+parametros_carros!$F$21*('Plan mensual'!N92+IF(parametros_carros!$H$21="Todos",'Plan mensual'!N96,0))+parametros_carros!$G$21*('Plan mensual'!N93+IF(parametros_carros!$H$21="Todos",'Plan mensual'!N97,0)))/60</f>
        <v>4.894165585575</v>
      </c>
      <c r="M164" s="41" t="n">
        <f aca="false">(parametros_carros!$D$21*('Plan mensual'!O90+IF(parametros_carros!$H$21="Todos",'Plan mensual'!O94,0))+parametros_carros!$E$21*('Plan mensual'!O91+IF(parametros_carros!$H$21="Todos",'Plan mensual'!O95,0))+parametros_carros!$F$21*('Plan mensual'!O92+IF(parametros_carros!$H$21="Todos",'Plan mensual'!O96,0))+parametros_carros!$G$21*('Plan mensual'!O93+IF(parametros_carros!$H$21="Todos",'Plan mensual'!O97,0)))/60</f>
        <v>5.5933320978</v>
      </c>
      <c r="N164" s="41" t="n">
        <f aca="false">SUM(B164:M164)</f>
        <v>69.9166512225</v>
      </c>
      <c r="O164" s="41" t="n">
        <f aca="false">MAX(B164:M164)</f>
        <v>6.292498610025</v>
      </c>
      <c r="P164" s="45" t="n">
        <f aca="false">IF(parametros_carros!$B$7=0,0,(O164+parametros_carros!$G$47)/parametros_carros!$B$7)</f>
        <v>0.0541722129557222</v>
      </c>
      <c r="Q164" s="29" t="str">
        <f aca="false">IF(O164=0,"-",INDEX($B$161:$M$161,MATCH(O164,B164:M164,0)))</f>
        <v>Mar</v>
      </c>
    </row>
    <row r="165" customFormat="false" ht="14.25" hidden="false" customHeight="true" outlineLevel="0" collapsed="false">
      <c r="A165" s="12" t="str">
        <f aca="false">parametros_carros!$B$22</f>
        <v>Cilindrado</v>
      </c>
      <c r="B165" s="41" t="n">
        <f aca="false">(parametros_carros!$D$22*('Plan mensual'!D90+IF(parametros_carros!$H$22="Todos",'Plan mensual'!D94,0))+parametros_carros!$E$22*('Plan mensual'!D91+IF(parametros_carros!$H$22="Todos",'Plan mensual'!D95,0))+parametros_carros!$F$22*('Plan mensual'!D92+IF(parametros_carros!$H$22="Todos",'Plan mensual'!D96,0))+parametros_carros!$G$22*('Plan mensual'!D93+IF(parametros_carros!$H$22="Todos",'Plan mensual'!D97,0)))/60</f>
        <v>12.7181915819197</v>
      </c>
      <c r="C165" s="41" t="n">
        <f aca="false">(parametros_carros!$D$22*('Plan mensual'!E90+IF(parametros_carros!$H$22="Todos",'Plan mensual'!E94,0))+parametros_carros!$E$22*('Plan mensual'!E91+IF(parametros_carros!$H$22="Todos",'Plan mensual'!E95,0))+parametros_carros!$F$22*('Plan mensual'!E92+IF(parametros_carros!$H$22="Todos",'Plan mensual'!E96,0))+parametros_carros!$G$22*('Plan mensual'!E93+IF(parametros_carros!$H$22="Todos",'Plan mensual'!E97,0)))/60</f>
        <v>11.2219337487527</v>
      </c>
      <c r="D165" s="41" t="n">
        <f aca="false">(parametros_carros!$D$22*('Plan mensual'!F90+IF(parametros_carros!$H$22="Todos",'Plan mensual'!F94,0))+parametros_carros!$E$22*('Plan mensual'!F91+IF(parametros_carros!$H$22="Todos",'Plan mensual'!F95,0))+parametros_carros!$F$22*('Plan mensual'!F92+IF(parametros_carros!$H$22="Todos",'Plan mensual'!F96,0))+parametros_carros!$G$22*('Plan mensual'!F93+IF(parametros_carros!$H$22="Todos",'Plan mensual'!F97,0)))/60</f>
        <v>13.4663204985033</v>
      </c>
      <c r="E165" s="41" t="n">
        <f aca="false">(parametros_carros!$D$22*('Plan mensual'!G90+IF(parametros_carros!$H$22="Todos",'Plan mensual'!G94,0))+parametros_carros!$E$22*('Plan mensual'!G91+IF(parametros_carros!$H$22="Todos",'Plan mensual'!G95,0))+parametros_carros!$F$22*('Plan mensual'!G92+IF(parametros_carros!$H$22="Todos",'Plan mensual'!G96,0))+parametros_carros!$G$22*('Plan mensual'!G93+IF(parametros_carros!$H$22="Todos",'Plan mensual'!G97,0)))/60</f>
        <v>13.4663204985033</v>
      </c>
      <c r="F165" s="41" t="n">
        <f aca="false">(parametros_carros!$D$22*('Plan mensual'!H90+IF(parametros_carros!$H$22="Todos",'Plan mensual'!H94,0))+parametros_carros!$E$22*('Plan mensual'!H91+IF(parametros_carros!$H$22="Todos",'Plan mensual'!H95,0))+parametros_carros!$F$22*('Plan mensual'!H92+IF(parametros_carros!$H$22="Todos",'Plan mensual'!H96,0))+parametros_carros!$G$22*('Plan mensual'!H93+IF(parametros_carros!$H$22="Todos",'Plan mensual'!H97,0)))/60</f>
        <v>13.4663204985033</v>
      </c>
      <c r="G165" s="41" t="n">
        <f aca="false">(parametros_carros!$D$22*('Plan mensual'!I90+IF(parametros_carros!$H$22="Todos",'Plan mensual'!I94,0))+parametros_carros!$E$22*('Plan mensual'!I91+IF(parametros_carros!$H$22="Todos",'Plan mensual'!I95,0))+parametros_carros!$F$22*('Plan mensual'!I92+IF(parametros_carros!$H$22="Todos",'Plan mensual'!I96,0))+parametros_carros!$G$22*('Plan mensual'!I93+IF(parametros_carros!$H$22="Todos",'Plan mensual'!I97,0)))/60</f>
        <v>11.9700626653362</v>
      </c>
      <c r="H165" s="41" t="n">
        <f aca="false">(parametros_carros!$D$22*('Plan mensual'!J90+IF(parametros_carros!$H$22="Todos",'Plan mensual'!J94,0))+parametros_carros!$E$22*('Plan mensual'!J91+IF(parametros_carros!$H$22="Todos",'Plan mensual'!J95,0))+parametros_carros!$F$22*('Plan mensual'!J92+IF(parametros_carros!$H$22="Todos",'Plan mensual'!J96,0))+parametros_carros!$G$22*('Plan mensual'!J93+IF(parametros_carros!$H$22="Todos",'Plan mensual'!J97,0)))/60</f>
        <v>13.4663204985033</v>
      </c>
      <c r="I165" s="41" t="n">
        <f aca="false">(parametros_carros!$D$22*('Plan mensual'!K90+IF(parametros_carros!$H$22="Todos",'Plan mensual'!K94,0))+parametros_carros!$E$22*('Plan mensual'!K91+IF(parametros_carros!$H$22="Todos",'Plan mensual'!K95,0))+parametros_carros!$F$22*('Plan mensual'!K92+IF(parametros_carros!$H$22="Todos",'Plan mensual'!K96,0))+parametros_carros!$G$22*('Plan mensual'!K93+IF(parametros_carros!$H$22="Todos",'Plan mensual'!K97,0)))/60</f>
        <v>13.4663204985033</v>
      </c>
      <c r="J165" s="41" t="n">
        <f aca="false">(parametros_carros!$D$22*('Plan mensual'!L90+IF(parametros_carros!$H$22="Todos",'Plan mensual'!L94,0))+parametros_carros!$E$22*('Plan mensual'!L91+IF(parametros_carros!$H$22="Todos",'Plan mensual'!L95,0))+parametros_carros!$F$22*('Plan mensual'!L92+IF(parametros_carros!$H$22="Todos",'Plan mensual'!L96,0))+parametros_carros!$G$22*('Plan mensual'!L93+IF(parametros_carros!$H$22="Todos",'Plan mensual'!L97,0)))/60</f>
        <v>12.7181915819197</v>
      </c>
      <c r="K165" s="41" t="n">
        <f aca="false">(parametros_carros!$D$22*('Plan mensual'!M90+IF(parametros_carros!$H$22="Todos",'Plan mensual'!M94,0))+parametros_carros!$E$22*('Plan mensual'!M91+IF(parametros_carros!$H$22="Todos",'Plan mensual'!M95,0))+parametros_carros!$F$22*('Plan mensual'!M92+IF(parametros_carros!$H$22="Todos",'Plan mensual'!M96,0))+parametros_carros!$G$22*('Plan mensual'!M93+IF(parametros_carros!$H$22="Todos",'Plan mensual'!M97,0)))/60</f>
        <v>11.2219337487527</v>
      </c>
      <c r="L165" s="41" t="n">
        <f aca="false">(parametros_carros!$D$22*('Plan mensual'!N90+IF(parametros_carros!$H$22="Todos",'Plan mensual'!N94,0))+parametros_carros!$E$22*('Plan mensual'!N91+IF(parametros_carros!$H$22="Todos",'Plan mensual'!N95,0))+parametros_carros!$F$22*('Plan mensual'!N92+IF(parametros_carros!$H$22="Todos",'Plan mensual'!N96,0))+parametros_carros!$G$22*('Plan mensual'!N93+IF(parametros_carros!$H$22="Todos",'Plan mensual'!N97,0)))/60</f>
        <v>10.4738048321692</v>
      </c>
      <c r="M165" s="41" t="n">
        <f aca="false">(parametros_carros!$D$22*('Plan mensual'!O90+IF(parametros_carros!$H$22="Todos",'Plan mensual'!O94,0))+parametros_carros!$E$22*('Plan mensual'!O91+IF(parametros_carros!$H$22="Todos",'Plan mensual'!O95,0))+parametros_carros!$F$22*('Plan mensual'!O92+IF(parametros_carros!$H$22="Todos",'Plan mensual'!O96,0))+parametros_carros!$G$22*('Plan mensual'!O93+IF(parametros_carros!$H$22="Todos",'Plan mensual'!O97,0)))/60</f>
        <v>11.9700626653362</v>
      </c>
      <c r="N165" s="41" t="n">
        <f aca="false">SUM(B165:M165)</f>
        <v>149.625783316703</v>
      </c>
      <c r="O165" s="41" t="n">
        <f aca="false">MAX(B165:M165)</f>
        <v>13.4663204985033</v>
      </c>
      <c r="P165" s="45" t="n">
        <f aca="false">IF(parametros_carros!$B$7=0,0,(O165+parametros_carros!$G$48)/parametros_carros!$B$7)</f>
        <v>0.129775469990022</v>
      </c>
      <c r="Q165" s="29" t="str">
        <f aca="false">IF(O165=0,"-",INDEX($B$161:$M$161,MATCH(O165,B165:M165,0)))</f>
        <v>Mar</v>
      </c>
    </row>
    <row r="166" customFormat="false" ht="14.25" hidden="false" customHeight="true" outlineLevel="0" collapsed="false">
      <c r="A166" s="12" t="str">
        <f aca="false">parametros_carros!$B$23</f>
        <v>Punteo del cuerpo</v>
      </c>
      <c r="B166" s="41" t="n">
        <f aca="false">(parametros_carros!$D$23*('Plan mensual'!D90+IF(parametros_carros!$H$23="Todos",'Plan mensual'!D94,0))+parametros_carros!$E$23*('Plan mensual'!D91+IF(parametros_carros!$H$23="Todos",'Plan mensual'!D95,0))+parametros_carros!$F$23*('Plan mensual'!D92+IF(parametros_carros!$H$23="Todos",'Plan mensual'!D96,0))+parametros_carros!$G$23*('Plan mensual'!D93+IF(parametros_carros!$H$23="Todos",'Plan mensual'!D97,0)))/60</f>
        <v>18.8556662590931</v>
      </c>
      <c r="C166" s="41" t="n">
        <f aca="false">(parametros_carros!$D$23*('Plan mensual'!E90+IF(parametros_carros!$H$23="Todos",'Plan mensual'!E94,0))+parametros_carros!$E$23*('Plan mensual'!E91+IF(parametros_carros!$H$23="Todos",'Plan mensual'!E95,0))+parametros_carros!$F$23*('Plan mensual'!E92+IF(parametros_carros!$H$23="Todos",'Plan mensual'!E96,0))+parametros_carros!$G$23*('Plan mensual'!E93+IF(parametros_carros!$H$23="Todos",'Plan mensual'!E97,0)))/60</f>
        <v>16.6373525815527</v>
      </c>
      <c r="D166" s="41" t="n">
        <f aca="false">(parametros_carros!$D$23*('Plan mensual'!F90+IF(parametros_carros!$H$23="Todos",'Plan mensual'!F94,0))+parametros_carros!$E$23*('Plan mensual'!F91+IF(parametros_carros!$H$23="Todos",'Plan mensual'!F95,0))+parametros_carros!$F$23*('Plan mensual'!F92+IF(parametros_carros!$H$23="Todos",'Plan mensual'!F96,0))+parametros_carros!$G$23*('Plan mensual'!F93+IF(parametros_carros!$H$23="Todos",'Plan mensual'!F97,0)))/60</f>
        <v>19.9648230978633</v>
      </c>
      <c r="E166" s="41" t="n">
        <f aca="false">(parametros_carros!$D$23*('Plan mensual'!G90+IF(parametros_carros!$H$23="Todos",'Plan mensual'!G94,0))+parametros_carros!$E$23*('Plan mensual'!G91+IF(parametros_carros!$H$23="Todos",'Plan mensual'!G95,0))+parametros_carros!$F$23*('Plan mensual'!G92+IF(parametros_carros!$H$23="Todos",'Plan mensual'!G96,0))+parametros_carros!$G$23*('Plan mensual'!G93+IF(parametros_carros!$H$23="Todos",'Plan mensual'!G97,0)))/60</f>
        <v>19.9648230978633</v>
      </c>
      <c r="F166" s="41" t="n">
        <f aca="false">(parametros_carros!$D$23*('Plan mensual'!H90+IF(parametros_carros!$H$23="Todos",'Plan mensual'!H94,0))+parametros_carros!$E$23*('Plan mensual'!H91+IF(parametros_carros!$H$23="Todos",'Plan mensual'!H95,0))+parametros_carros!$F$23*('Plan mensual'!H92+IF(parametros_carros!$H$23="Todos",'Plan mensual'!H96,0))+parametros_carros!$G$23*('Plan mensual'!H93+IF(parametros_carros!$H$23="Todos",'Plan mensual'!H97,0)))/60</f>
        <v>19.9648230978633</v>
      </c>
      <c r="G166" s="41" t="n">
        <f aca="false">(parametros_carros!$D$23*('Plan mensual'!I90+IF(parametros_carros!$H$23="Todos",'Plan mensual'!I94,0))+parametros_carros!$E$23*('Plan mensual'!I91+IF(parametros_carros!$H$23="Todos",'Plan mensual'!I95,0))+parametros_carros!$F$23*('Plan mensual'!I92+IF(parametros_carros!$H$23="Todos",'Plan mensual'!I96,0))+parametros_carros!$G$23*('Plan mensual'!I93+IF(parametros_carros!$H$23="Todos",'Plan mensual'!I97,0)))/60</f>
        <v>17.7465094203229</v>
      </c>
      <c r="H166" s="41" t="n">
        <f aca="false">(parametros_carros!$D$23*('Plan mensual'!J90+IF(parametros_carros!$H$23="Todos",'Plan mensual'!J94,0))+parametros_carros!$E$23*('Plan mensual'!J91+IF(parametros_carros!$H$23="Todos",'Plan mensual'!J95,0))+parametros_carros!$F$23*('Plan mensual'!J92+IF(parametros_carros!$H$23="Todos",'Plan mensual'!J96,0))+parametros_carros!$G$23*('Plan mensual'!J93+IF(parametros_carros!$H$23="Todos",'Plan mensual'!J97,0)))/60</f>
        <v>19.9648230978633</v>
      </c>
      <c r="I166" s="41" t="n">
        <f aca="false">(parametros_carros!$D$23*('Plan mensual'!K90+IF(parametros_carros!$H$23="Todos",'Plan mensual'!K94,0))+parametros_carros!$E$23*('Plan mensual'!K91+IF(parametros_carros!$H$23="Todos",'Plan mensual'!K95,0))+parametros_carros!$F$23*('Plan mensual'!K92+IF(parametros_carros!$H$23="Todos",'Plan mensual'!K96,0))+parametros_carros!$G$23*('Plan mensual'!K93+IF(parametros_carros!$H$23="Todos",'Plan mensual'!K97,0)))/60</f>
        <v>19.9648230978633</v>
      </c>
      <c r="J166" s="41" t="n">
        <f aca="false">(parametros_carros!$D$23*('Plan mensual'!L90+IF(parametros_carros!$H$23="Todos",'Plan mensual'!L94,0))+parametros_carros!$E$23*('Plan mensual'!L91+IF(parametros_carros!$H$23="Todos",'Plan mensual'!L95,0))+parametros_carros!$F$23*('Plan mensual'!L92+IF(parametros_carros!$H$23="Todos",'Plan mensual'!L96,0))+parametros_carros!$G$23*('Plan mensual'!L93+IF(parametros_carros!$H$23="Todos",'Plan mensual'!L97,0)))/60</f>
        <v>18.8556662590931</v>
      </c>
      <c r="K166" s="41" t="n">
        <f aca="false">(parametros_carros!$D$23*('Plan mensual'!M90+IF(parametros_carros!$H$23="Todos",'Plan mensual'!M94,0))+parametros_carros!$E$23*('Plan mensual'!M91+IF(parametros_carros!$H$23="Todos",'Plan mensual'!M95,0))+parametros_carros!$F$23*('Plan mensual'!M92+IF(parametros_carros!$H$23="Todos",'Plan mensual'!M96,0))+parametros_carros!$G$23*('Plan mensual'!M93+IF(parametros_carros!$H$23="Todos",'Plan mensual'!M97,0)))/60</f>
        <v>16.6373525815527</v>
      </c>
      <c r="L166" s="41" t="n">
        <f aca="false">(parametros_carros!$D$23*('Plan mensual'!N90+IF(parametros_carros!$H$23="Todos",'Plan mensual'!N94,0))+parametros_carros!$E$23*('Plan mensual'!N91+IF(parametros_carros!$H$23="Todos",'Plan mensual'!N95,0))+parametros_carros!$F$23*('Plan mensual'!N92+IF(parametros_carros!$H$23="Todos",'Plan mensual'!N96,0))+parametros_carros!$G$23*('Plan mensual'!N93+IF(parametros_carros!$H$23="Todos",'Plan mensual'!N97,0)))/60</f>
        <v>15.5281957427825</v>
      </c>
      <c r="M166" s="41" t="n">
        <f aca="false">(parametros_carros!$D$23*('Plan mensual'!O90+IF(parametros_carros!$H$23="Todos",'Plan mensual'!O94,0))+parametros_carros!$E$23*('Plan mensual'!O91+IF(parametros_carros!$H$23="Todos",'Plan mensual'!O95,0))+parametros_carros!$F$23*('Plan mensual'!O92+IF(parametros_carros!$H$23="Todos",'Plan mensual'!O96,0))+parametros_carros!$G$23*('Plan mensual'!O93+IF(parametros_carros!$H$23="Todos",'Plan mensual'!O97,0)))/60</f>
        <v>17.7465094203229</v>
      </c>
      <c r="N166" s="41" t="n">
        <f aca="false">SUM(B166:M166)</f>
        <v>221.831367754036</v>
      </c>
      <c r="O166" s="41" t="n">
        <f aca="false">MAX(B166:M166)</f>
        <v>19.9648230978633</v>
      </c>
      <c r="P166" s="45" t="n">
        <f aca="false">IF(parametros_carros!$B$7=0,0,(O166+parametros_carros!$G$49)/parametros_carros!$B$7)</f>
        <v>0.144209931763533</v>
      </c>
      <c r="Q166" s="29" t="str">
        <f aca="false">IF(O166=0,"-",INDEX($B$161:$M$161,MATCH(O166,B166:M166,0)))</f>
        <v>Mar</v>
      </c>
    </row>
    <row r="167" customFormat="false" ht="14.25" hidden="false" customHeight="true" outlineLevel="0" collapsed="false">
      <c r="A167" s="12" t="str">
        <f aca="false">parametros_carros!$B$24</f>
        <v>Soldadura longitudinal</v>
      </c>
      <c r="B167" s="41" t="n">
        <f aca="false">(parametros_carros!$D$24*('Plan mensual'!D90+IF(parametros_carros!$H$24="Todos",'Plan mensual'!D94,0))+parametros_carros!$E$24*('Plan mensual'!D91+IF(parametros_carros!$H$24="Todos",'Plan mensual'!D95,0))+parametros_carros!$F$24*('Plan mensual'!D92+IF(parametros_carros!$H$24="Todos",'Plan mensual'!D96,0))+parametros_carros!$G$24*('Plan mensual'!D93+IF(parametros_carros!$H$24="Todos",'Plan mensual'!D97,0)))/60</f>
        <v>12.9554214292733</v>
      </c>
      <c r="C167" s="41" t="n">
        <f aca="false">(parametros_carros!$D$24*('Plan mensual'!E90+IF(parametros_carros!$H$24="Todos",'Plan mensual'!E94,0))+parametros_carros!$E$24*('Plan mensual'!E91+IF(parametros_carros!$H$24="Todos",'Plan mensual'!E95,0))+parametros_carros!$F$24*('Plan mensual'!E92+IF(parametros_carros!$H$24="Todos",'Plan mensual'!E96,0))+parametros_carros!$G$24*('Plan mensual'!E93+IF(parametros_carros!$H$24="Todos",'Plan mensual'!E97,0)))/60</f>
        <v>11.4312542023</v>
      </c>
      <c r="D167" s="41" t="n">
        <f aca="false">(parametros_carros!$D$24*('Plan mensual'!F90+IF(parametros_carros!$H$24="Todos",'Plan mensual'!F94,0))+parametros_carros!$E$24*('Plan mensual'!F91+IF(parametros_carros!$H$24="Todos",'Plan mensual'!F95,0))+parametros_carros!$F$24*('Plan mensual'!F92+IF(parametros_carros!$H$24="Todos",'Plan mensual'!F96,0))+parametros_carros!$G$24*('Plan mensual'!F93+IF(parametros_carros!$H$24="Todos",'Plan mensual'!F97,0)))/60</f>
        <v>13.71750504276</v>
      </c>
      <c r="E167" s="41" t="n">
        <f aca="false">(parametros_carros!$D$24*('Plan mensual'!G90+IF(parametros_carros!$H$24="Todos",'Plan mensual'!G94,0))+parametros_carros!$E$24*('Plan mensual'!G91+IF(parametros_carros!$H$24="Todos",'Plan mensual'!G95,0))+parametros_carros!$F$24*('Plan mensual'!G92+IF(parametros_carros!$H$24="Todos",'Plan mensual'!G96,0))+parametros_carros!$G$24*('Plan mensual'!G93+IF(parametros_carros!$H$24="Todos",'Plan mensual'!G97,0)))/60</f>
        <v>13.71750504276</v>
      </c>
      <c r="F167" s="41" t="n">
        <f aca="false">(parametros_carros!$D$24*('Plan mensual'!H90+IF(parametros_carros!$H$24="Todos",'Plan mensual'!H94,0))+parametros_carros!$E$24*('Plan mensual'!H91+IF(parametros_carros!$H$24="Todos",'Plan mensual'!H95,0))+parametros_carros!$F$24*('Plan mensual'!H92+IF(parametros_carros!$H$24="Todos",'Plan mensual'!H96,0))+parametros_carros!$G$24*('Plan mensual'!H93+IF(parametros_carros!$H$24="Todos",'Plan mensual'!H97,0)))/60</f>
        <v>13.71750504276</v>
      </c>
      <c r="G167" s="41" t="n">
        <f aca="false">(parametros_carros!$D$24*('Plan mensual'!I90+IF(parametros_carros!$H$24="Todos",'Plan mensual'!I94,0))+parametros_carros!$E$24*('Plan mensual'!I91+IF(parametros_carros!$H$24="Todos",'Plan mensual'!I95,0))+parametros_carros!$F$24*('Plan mensual'!I92+IF(parametros_carros!$H$24="Todos",'Plan mensual'!I96,0))+parametros_carros!$G$24*('Plan mensual'!I93+IF(parametros_carros!$H$24="Todos",'Plan mensual'!I97,0)))/60</f>
        <v>12.1933378157867</v>
      </c>
      <c r="H167" s="41" t="n">
        <f aca="false">(parametros_carros!$D$24*('Plan mensual'!J90+IF(parametros_carros!$H$24="Todos",'Plan mensual'!J94,0))+parametros_carros!$E$24*('Plan mensual'!J91+IF(parametros_carros!$H$24="Todos",'Plan mensual'!J95,0))+parametros_carros!$F$24*('Plan mensual'!J92+IF(parametros_carros!$H$24="Todos",'Plan mensual'!J96,0))+parametros_carros!$G$24*('Plan mensual'!J93+IF(parametros_carros!$H$24="Todos",'Plan mensual'!J97,0)))/60</f>
        <v>13.71750504276</v>
      </c>
      <c r="I167" s="41" t="n">
        <f aca="false">(parametros_carros!$D$24*('Plan mensual'!K90+IF(parametros_carros!$H$24="Todos",'Plan mensual'!K94,0))+parametros_carros!$E$24*('Plan mensual'!K91+IF(parametros_carros!$H$24="Todos",'Plan mensual'!K95,0))+parametros_carros!$F$24*('Plan mensual'!K92+IF(parametros_carros!$H$24="Todos",'Plan mensual'!K96,0))+parametros_carros!$G$24*('Plan mensual'!K93+IF(parametros_carros!$H$24="Todos",'Plan mensual'!K97,0)))/60</f>
        <v>13.71750504276</v>
      </c>
      <c r="J167" s="41" t="n">
        <f aca="false">(parametros_carros!$D$24*('Plan mensual'!L90+IF(parametros_carros!$H$24="Todos",'Plan mensual'!L94,0))+parametros_carros!$E$24*('Plan mensual'!L91+IF(parametros_carros!$H$24="Todos",'Plan mensual'!L95,0))+parametros_carros!$F$24*('Plan mensual'!L92+IF(parametros_carros!$H$24="Todos",'Plan mensual'!L96,0))+parametros_carros!$G$24*('Plan mensual'!L93+IF(parametros_carros!$H$24="Todos",'Plan mensual'!L97,0)))/60</f>
        <v>12.9554214292733</v>
      </c>
      <c r="K167" s="41" t="n">
        <f aca="false">(parametros_carros!$D$24*('Plan mensual'!M90+IF(parametros_carros!$H$24="Todos",'Plan mensual'!M94,0))+parametros_carros!$E$24*('Plan mensual'!M91+IF(parametros_carros!$H$24="Todos",'Plan mensual'!M95,0))+parametros_carros!$F$24*('Plan mensual'!M92+IF(parametros_carros!$H$24="Todos",'Plan mensual'!M96,0))+parametros_carros!$G$24*('Plan mensual'!M93+IF(parametros_carros!$H$24="Todos",'Plan mensual'!M97,0)))/60</f>
        <v>11.4312542023</v>
      </c>
      <c r="L167" s="41" t="n">
        <f aca="false">(parametros_carros!$D$24*('Plan mensual'!N90+IF(parametros_carros!$H$24="Todos",'Plan mensual'!N94,0))+parametros_carros!$E$24*('Plan mensual'!N91+IF(parametros_carros!$H$24="Todos",'Plan mensual'!N95,0))+parametros_carros!$F$24*('Plan mensual'!N92+IF(parametros_carros!$H$24="Todos",'Plan mensual'!N96,0))+parametros_carros!$G$24*('Plan mensual'!N93+IF(parametros_carros!$H$24="Todos",'Plan mensual'!N97,0)))/60</f>
        <v>10.6691705888133</v>
      </c>
      <c r="M167" s="41" t="n">
        <f aca="false">(parametros_carros!$D$24*('Plan mensual'!O90+IF(parametros_carros!$H$24="Todos",'Plan mensual'!O94,0))+parametros_carros!$E$24*('Plan mensual'!O91+IF(parametros_carros!$H$24="Todos",'Plan mensual'!O95,0))+parametros_carros!$F$24*('Plan mensual'!O92+IF(parametros_carros!$H$24="Todos",'Plan mensual'!O96,0))+parametros_carros!$G$24*('Plan mensual'!O93+IF(parametros_carros!$H$24="Todos",'Plan mensual'!O97,0)))/60</f>
        <v>12.1933378157867</v>
      </c>
      <c r="N167" s="41" t="n">
        <f aca="false">SUM(B167:M167)</f>
        <v>152.416722697333</v>
      </c>
      <c r="O167" s="41" t="n">
        <f aca="false">MAX(B167:M167)</f>
        <v>13.71750504276</v>
      </c>
      <c r="P167" s="45" t="n">
        <f aca="false">IF(parametros_carros!$B$7=0,0,(O167+parametros_carros!$G$50)/parametros_carros!$B$7)</f>
        <v>0.109227811396178</v>
      </c>
      <c r="Q167" s="29" t="str">
        <f aca="false">IF(O167=0,"-",INDEX($B$161:$M$161,MATCH(O167,B167:M167,0)))</f>
        <v>Mar</v>
      </c>
    </row>
    <row r="168" customFormat="false" ht="14.25" hidden="false" customHeight="true" outlineLevel="0" collapsed="false">
      <c r="A168" s="12" t="str">
        <f aca="false">parametros_carros!$B$25</f>
        <v>Soldadura de cupla en la cúpula</v>
      </c>
      <c r="B168" s="41" t="n">
        <f aca="false">(parametros_carros!$D$25*('Plan mensual'!D90+IF(parametros_carros!$H$25="Todos",'Plan mensual'!D94,0))+parametros_carros!$E$25*('Plan mensual'!D91+IF(parametros_carros!$H$25="Todos",'Plan mensual'!D95,0))+parametros_carros!$F$25*('Plan mensual'!D92+IF(parametros_carros!$H$25="Todos",'Plan mensual'!D96,0))+parametros_carros!$G$25*('Plan mensual'!D93+IF(parametros_carros!$H$25="Todos",'Plan mensual'!D97,0)))/60</f>
        <v>12.8001166597133</v>
      </c>
      <c r="C168" s="41" t="n">
        <f aca="false">(parametros_carros!$D$25*('Plan mensual'!E90+IF(parametros_carros!$H$25="Todos",'Plan mensual'!E94,0))+parametros_carros!$E$25*('Plan mensual'!E91+IF(parametros_carros!$H$25="Todos",'Plan mensual'!E95,0))+parametros_carros!$F$25*('Plan mensual'!E92+IF(parametros_carros!$H$25="Todos",'Plan mensual'!E96,0))+parametros_carros!$G$25*('Plan mensual'!E93+IF(parametros_carros!$H$25="Todos",'Plan mensual'!E97,0)))/60</f>
        <v>11.2942205821</v>
      </c>
      <c r="D168" s="41" t="n">
        <f aca="false">(parametros_carros!$D$25*('Plan mensual'!F90+IF(parametros_carros!$H$25="Todos",'Plan mensual'!F94,0))+parametros_carros!$E$25*('Plan mensual'!F91+IF(parametros_carros!$H$25="Todos",'Plan mensual'!F95,0))+parametros_carros!$F$25*('Plan mensual'!F92+IF(parametros_carros!$H$25="Todos",'Plan mensual'!F96,0))+parametros_carros!$G$25*('Plan mensual'!F93+IF(parametros_carros!$H$25="Todos",'Plan mensual'!F97,0)))/60</f>
        <v>13.55306469852</v>
      </c>
      <c r="E168" s="41" t="n">
        <f aca="false">(parametros_carros!$D$25*('Plan mensual'!G90+IF(parametros_carros!$H$25="Todos",'Plan mensual'!G94,0))+parametros_carros!$E$25*('Plan mensual'!G91+IF(parametros_carros!$H$25="Todos",'Plan mensual'!G95,0))+parametros_carros!$F$25*('Plan mensual'!G92+IF(parametros_carros!$H$25="Todos",'Plan mensual'!G96,0))+parametros_carros!$G$25*('Plan mensual'!G93+IF(parametros_carros!$H$25="Todos",'Plan mensual'!G97,0)))/60</f>
        <v>13.55306469852</v>
      </c>
      <c r="F168" s="41" t="n">
        <f aca="false">(parametros_carros!$D$25*('Plan mensual'!H90+IF(parametros_carros!$H$25="Todos",'Plan mensual'!H94,0))+parametros_carros!$E$25*('Plan mensual'!H91+IF(parametros_carros!$H$25="Todos",'Plan mensual'!H95,0))+parametros_carros!$F$25*('Plan mensual'!H92+IF(parametros_carros!$H$25="Todos",'Plan mensual'!H96,0))+parametros_carros!$G$25*('Plan mensual'!H93+IF(parametros_carros!$H$25="Todos",'Plan mensual'!H97,0)))/60</f>
        <v>13.55306469852</v>
      </c>
      <c r="G168" s="41" t="n">
        <f aca="false">(parametros_carros!$D$25*('Plan mensual'!I90+IF(parametros_carros!$H$25="Todos",'Plan mensual'!I94,0))+parametros_carros!$E$25*('Plan mensual'!I91+IF(parametros_carros!$H$25="Todos",'Plan mensual'!I95,0))+parametros_carros!$F$25*('Plan mensual'!I92+IF(parametros_carros!$H$25="Todos",'Plan mensual'!I96,0))+parametros_carros!$G$25*('Plan mensual'!I93+IF(parametros_carros!$H$25="Todos",'Plan mensual'!I97,0)))/60</f>
        <v>12.0471686209067</v>
      </c>
      <c r="H168" s="41" t="n">
        <f aca="false">(parametros_carros!$D$25*('Plan mensual'!J90+IF(parametros_carros!$H$25="Todos",'Plan mensual'!J94,0))+parametros_carros!$E$25*('Plan mensual'!J91+IF(parametros_carros!$H$25="Todos",'Plan mensual'!J95,0))+parametros_carros!$F$25*('Plan mensual'!J92+IF(parametros_carros!$H$25="Todos",'Plan mensual'!J96,0))+parametros_carros!$G$25*('Plan mensual'!J93+IF(parametros_carros!$H$25="Todos",'Plan mensual'!J97,0)))/60</f>
        <v>13.55306469852</v>
      </c>
      <c r="I168" s="41" t="n">
        <f aca="false">(parametros_carros!$D$25*('Plan mensual'!K90+IF(parametros_carros!$H$25="Todos",'Plan mensual'!K94,0))+parametros_carros!$E$25*('Plan mensual'!K91+IF(parametros_carros!$H$25="Todos",'Plan mensual'!K95,0))+parametros_carros!$F$25*('Plan mensual'!K92+IF(parametros_carros!$H$25="Todos",'Plan mensual'!K96,0))+parametros_carros!$G$25*('Plan mensual'!K93+IF(parametros_carros!$H$25="Todos",'Plan mensual'!K97,0)))/60</f>
        <v>13.55306469852</v>
      </c>
      <c r="J168" s="41" t="n">
        <f aca="false">(parametros_carros!$D$25*('Plan mensual'!L90+IF(parametros_carros!$H$25="Todos",'Plan mensual'!L94,0))+parametros_carros!$E$25*('Plan mensual'!L91+IF(parametros_carros!$H$25="Todos",'Plan mensual'!L95,0))+parametros_carros!$F$25*('Plan mensual'!L92+IF(parametros_carros!$H$25="Todos",'Plan mensual'!L96,0))+parametros_carros!$G$25*('Plan mensual'!L93+IF(parametros_carros!$H$25="Todos",'Plan mensual'!L97,0)))/60</f>
        <v>12.8001166597133</v>
      </c>
      <c r="K168" s="41" t="n">
        <f aca="false">(parametros_carros!$D$25*('Plan mensual'!M90+IF(parametros_carros!$H$25="Todos",'Plan mensual'!M94,0))+parametros_carros!$E$25*('Plan mensual'!M91+IF(parametros_carros!$H$25="Todos",'Plan mensual'!M95,0))+parametros_carros!$F$25*('Plan mensual'!M92+IF(parametros_carros!$H$25="Todos",'Plan mensual'!M96,0))+parametros_carros!$G$25*('Plan mensual'!M93+IF(parametros_carros!$H$25="Todos",'Plan mensual'!M97,0)))/60</f>
        <v>11.2942205821</v>
      </c>
      <c r="L168" s="41" t="n">
        <f aca="false">(parametros_carros!$D$25*('Plan mensual'!N90+IF(parametros_carros!$H$25="Todos",'Plan mensual'!N94,0))+parametros_carros!$E$25*('Plan mensual'!N91+IF(parametros_carros!$H$25="Todos",'Plan mensual'!N95,0))+parametros_carros!$F$25*('Plan mensual'!N92+IF(parametros_carros!$H$25="Todos",'Plan mensual'!N96,0))+parametros_carros!$G$25*('Plan mensual'!N93+IF(parametros_carros!$H$25="Todos",'Plan mensual'!N97,0)))/60</f>
        <v>10.5412725432933</v>
      </c>
      <c r="M168" s="41" t="n">
        <f aca="false">(parametros_carros!$D$25*('Plan mensual'!O90+IF(parametros_carros!$H$25="Todos",'Plan mensual'!O94,0))+parametros_carros!$E$25*('Plan mensual'!O91+IF(parametros_carros!$H$25="Todos",'Plan mensual'!O95,0))+parametros_carros!$F$25*('Plan mensual'!O92+IF(parametros_carros!$H$25="Todos",'Plan mensual'!O96,0))+parametros_carros!$G$25*('Plan mensual'!O93+IF(parametros_carros!$H$25="Todos",'Plan mensual'!O97,0)))/60</f>
        <v>12.0471686209067</v>
      </c>
      <c r="N168" s="41" t="n">
        <f aca="false">SUM(B168:M168)</f>
        <v>150.589607761333</v>
      </c>
      <c r="O168" s="41" t="n">
        <f aca="false">MAX(B168:M168)</f>
        <v>13.55306469852</v>
      </c>
      <c r="P168" s="45" t="n">
        <f aca="false">IF(parametros_carros!$B$7=0,0,(O168+parametros_carros!$G$51)/parametros_carros!$B$7)</f>
        <v>0.1103537646568</v>
      </c>
      <c r="Q168" s="29" t="str">
        <f aca="false">IF(O168=0,"-",INDEX($B$161:$M$161,MATCH(O168,B168:M168,0)))</f>
        <v>Mar</v>
      </c>
    </row>
    <row r="169" customFormat="false" ht="14.25" hidden="false" customHeight="true" outlineLevel="0" collapsed="false">
      <c r="A169" s="12" t="str">
        <f aca="false">parametros_carros!$B$26</f>
        <v>Armado y soldadura circunferencial</v>
      </c>
      <c r="B169" s="41" t="n">
        <f aca="false">(parametros_carros!$D$26*('Plan mensual'!D90+IF(parametros_carros!$H$26="Todos",'Plan mensual'!D94,0))+parametros_carros!$E$26*('Plan mensual'!D91+IF(parametros_carros!$H$26="Todos",'Plan mensual'!D95,0))+parametros_carros!$F$26*('Plan mensual'!D92+IF(parametros_carros!$H$26="Todos",'Plan mensual'!D96,0))+parametros_carros!$G$26*('Plan mensual'!D93+IF(parametros_carros!$H$26="Todos",'Plan mensual'!D97,0)))/60</f>
        <v>60.5343799254617</v>
      </c>
      <c r="C169" s="41" t="n">
        <f aca="false">(parametros_carros!$D$26*('Plan mensual'!E90+IF(parametros_carros!$H$26="Todos",'Plan mensual'!E94,0))+parametros_carros!$E$26*('Plan mensual'!E91+IF(parametros_carros!$H$26="Todos",'Plan mensual'!E95,0))+parametros_carros!$F$26*('Plan mensual'!E92+IF(parametros_carros!$H$26="Todos",'Plan mensual'!E96,0))+parametros_carros!$G$26*('Plan mensual'!E93+IF(parametros_carros!$H$26="Todos",'Plan mensual'!E97,0)))/60</f>
        <v>53.412688169525</v>
      </c>
      <c r="D169" s="41" t="n">
        <f aca="false">(parametros_carros!$D$26*('Plan mensual'!F90+IF(parametros_carros!$H$26="Todos",'Plan mensual'!F94,0))+parametros_carros!$E$26*('Plan mensual'!F91+IF(parametros_carros!$H$26="Todos",'Plan mensual'!F95,0))+parametros_carros!$F$26*('Plan mensual'!F92+IF(parametros_carros!$H$26="Todos",'Plan mensual'!F96,0))+parametros_carros!$G$26*('Plan mensual'!F93+IF(parametros_carros!$H$26="Todos",'Plan mensual'!F97,0)))/60</f>
        <v>64.09522580343</v>
      </c>
      <c r="E169" s="41" t="n">
        <f aca="false">(parametros_carros!$D$26*('Plan mensual'!G90+IF(parametros_carros!$H$26="Todos",'Plan mensual'!G94,0))+parametros_carros!$E$26*('Plan mensual'!G91+IF(parametros_carros!$H$26="Todos",'Plan mensual'!G95,0))+parametros_carros!$F$26*('Plan mensual'!G92+IF(parametros_carros!$H$26="Todos",'Plan mensual'!G96,0))+parametros_carros!$G$26*('Plan mensual'!G93+IF(parametros_carros!$H$26="Todos",'Plan mensual'!G97,0)))/60</f>
        <v>64.09522580343</v>
      </c>
      <c r="F169" s="41" t="n">
        <f aca="false">(parametros_carros!$D$26*('Plan mensual'!H90+IF(parametros_carros!$H$26="Todos",'Plan mensual'!H94,0))+parametros_carros!$E$26*('Plan mensual'!H91+IF(parametros_carros!$H$26="Todos",'Plan mensual'!H95,0))+parametros_carros!$F$26*('Plan mensual'!H92+IF(parametros_carros!$H$26="Todos",'Plan mensual'!H96,0))+parametros_carros!$G$26*('Plan mensual'!H93+IF(parametros_carros!$H$26="Todos",'Plan mensual'!H97,0)))/60</f>
        <v>64.09522580343</v>
      </c>
      <c r="G169" s="41" t="n">
        <f aca="false">(parametros_carros!$D$26*('Plan mensual'!I90+IF(parametros_carros!$H$26="Todos",'Plan mensual'!I94,0))+parametros_carros!$E$26*('Plan mensual'!I91+IF(parametros_carros!$H$26="Todos",'Plan mensual'!I95,0))+parametros_carros!$F$26*('Plan mensual'!I92+IF(parametros_carros!$H$26="Todos",'Plan mensual'!I96,0))+parametros_carros!$G$26*('Plan mensual'!I93+IF(parametros_carros!$H$26="Todos",'Plan mensual'!I97,0)))/60</f>
        <v>56.9735340474933</v>
      </c>
      <c r="H169" s="41" t="n">
        <f aca="false">(parametros_carros!$D$26*('Plan mensual'!J90+IF(parametros_carros!$H$26="Todos",'Plan mensual'!J94,0))+parametros_carros!$E$26*('Plan mensual'!J91+IF(parametros_carros!$H$26="Todos",'Plan mensual'!J95,0))+parametros_carros!$F$26*('Plan mensual'!J92+IF(parametros_carros!$H$26="Todos",'Plan mensual'!J96,0))+parametros_carros!$G$26*('Plan mensual'!J93+IF(parametros_carros!$H$26="Todos",'Plan mensual'!J97,0)))/60</f>
        <v>64.09522580343</v>
      </c>
      <c r="I169" s="41" t="n">
        <f aca="false">(parametros_carros!$D$26*('Plan mensual'!K90+IF(parametros_carros!$H$26="Todos",'Plan mensual'!K94,0))+parametros_carros!$E$26*('Plan mensual'!K91+IF(parametros_carros!$H$26="Todos",'Plan mensual'!K95,0))+parametros_carros!$F$26*('Plan mensual'!K92+IF(parametros_carros!$H$26="Todos",'Plan mensual'!K96,0))+parametros_carros!$G$26*('Plan mensual'!K93+IF(parametros_carros!$H$26="Todos",'Plan mensual'!K97,0)))/60</f>
        <v>64.09522580343</v>
      </c>
      <c r="J169" s="41" t="n">
        <f aca="false">(parametros_carros!$D$26*('Plan mensual'!L90+IF(parametros_carros!$H$26="Todos",'Plan mensual'!L94,0))+parametros_carros!$E$26*('Plan mensual'!L91+IF(parametros_carros!$H$26="Todos",'Plan mensual'!L95,0))+parametros_carros!$F$26*('Plan mensual'!L92+IF(parametros_carros!$H$26="Todos",'Plan mensual'!L96,0))+parametros_carros!$G$26*('Plan mensual'!L93+IF(parametros_carros!$H$26="Todos",'Plan mensual'!L97,0)))/60</f>
        <v>60.5343799254617</v>
      </c>
      <c r="K169" s="41" t="n">
        <f aca="false">(parametros_carros!$D$26*('Plan mensual'!M90+IF(parametros_carros!$H$26="Todos",'Plan mensual'!M94,0))+parametros_carros!$E$26*('Plan mensual'!M91+IF(parametros_carros!$H$26="Todos",'Plan mensual'!M95,0))+parametros_carros!$F$26*('Plan mensual'!M92+IF(parametros_carros!$H$26="Todos",'Plan mensual'!M96,0))+parametros_carros!$G$26*('Plan mensual'!M93+IF(parametros_carros!$H$26="Todos",'Plan mensual'!M97,0)))/60</f>
        <v>53.412688169525</v>
      </c>
      <c r="L169" s="41" t="n">
        <f aca="false">(parametros_carros!$D$26*('Plan mensual'!N90+IF(parametros_carros!$H$26="Todos",'Plan mensual'!N94,0))+parametros_carros!$E$26*('Plan mensual'!N91+IF(parametros_carros!$H$26="Todos",'Plan mensual'!N95,0))+parametros_carros!$F$26*('Plan mensual'!N92+IF(parametros_carros!$H$26="Todos",'Plan mensual'!N96,0))+parametros_carros!$G$26*('Plan mensual'!N93+IF(parametros_carros!$H$26="Todos",'Plan mensual'!N97,0)))/60</f>
        <v>49.8518422915567</v>
      </c>
      <c r="M169" s="41" t="n">
        <f aca="false">(parametros_carros!$D$26*('Plan mensual'!O90+IF(parametros_carros!$H$26="Todos",'Plan mensual'!O94,0))+parametros_carros!$E$26*('Plan mensual'!O91+IF(parametros_carros!$H$26="Todos",'Plan mensual'!O95,0))+parametros_carros!$F$26*('Plan mensual'!O92+IF(parametros_carros!$H$26="Todos",'Plan mensual'!O96,0))+parametros_carros!$G$26*('Plan mensual'!O93+IF(parametros_carros!$H$26="Todos",'Plan mensual'!O97,0)))/60</f>
        <v>56.9735340474933</v>
      </c>
      <c r="N169" s="41" t="n">
        <f aca="false">SUM(B169:M169)</f>
        <v>712.169175593667</v>
      </c>
      <c r="O169" s="41" t="n">
        <f aca="false">MAX(B169:M169)</f>
        <v>64.09522580343</v>
      </c>
      <c r="P169" s="45" t="n">
        <f aca="false">IF(parametros_carros!$B$7=0,0,(O169+parametros_carros!$G$52)/parametros_carros!$B$7)</f>
        <v>0.4473015053562</v>
      </c>
      <c r="Q169" s="29" t="str">
        <f aca="false">IF(O169=0,"-",INDEX($B$161:$M$161,MATCH(O169,B169:M169,0)))</f>
        <v>Mar</v>
      </c>
    </row>
    <row r="170" customFormat="false" ht="14.25" hidden="false" customHeight="true" outlineLevel="0" collapsed="false">
      <c r="A170" s="12" t="str">
        <f aca="false">parametros_carros!$B$27</f>
        <v>Soldadura de accesorios</v>
      </c>
      <c r="B170" s="41" t="n">
        <f aca="false">(parametros_carros!$D$27*('Plan mensual'!D90+IF(parametros_carros!$H$27="Todos",'Plan mensual'!D94,0))+parametros_carros!$E$27*('Plan mensual'!D91+IF(parametros_carros!$H$27="Todos",'Plan mensual'!D95,0))+parametros_carros!$F$27*('Plan mensual'!D92+IF(parametros_carros!$H$27="Todos",'Plan mensual'!D96,0))+parametros_carros!$G$27*('Plan mensual'!D93+IF(parametros_carros!$H$27="Todos",'Plan mensual'!D97,0)))/60</f>
        <v>61.6770475319108</v>
      </c>
      <c r="C170" s="41" t="n">
        <f aca="false">(parametros_carros!$D$27*('Plan mensual'!E90+IF(parametros_carros!$H$27="Todos",'Plan mensual'!E94,0))+parametros_carros!$E$27*('Plan mensual'!E91+IF(parametros_carros!$H$27="Todos",'Plan mensual'!E95,0))+parametros_carros!$F$27*('Plan mensual'!E92+IF(parametros_carros!$H$27="Todos",'Plan mensual'!E96,0))+parametros_carros!$G$27*('Plan mensual'!E93+IF(parametros_carros!$H$27="Todos",'Plan mensual'!E97,0)))/60</f>
        <v>54.4209242928625</v>
      </c>
      <c r="D170" s="41" t="n">
        <f aca="false">(parametros_carros!$D$27*('Plan mensual'!F90+IF(parametros_carros!$H$27="Todos",'Plan mensual'!F94,0))+parametros_carros!$E$27*('Plan mensual'!F91+IF(parametros_carros!$H$27="Todos",'Plan mensual'!F95,0))+parametros_carros!$F$27*('Plan mensual'!F92+IF(parametros_carros!$H$27="Todos",'Plan mensual'!F96,0))+parametros_carros!$G$27*('Plan mensual'!F93+IF(parametros_carros!$H$27="Todos",'Plan mensual'!F97,0)))/60</f>
        <v>65.305109151435</v>
      </c>
      <c r="E170" s="41" t="n">
        <f aca="false">(parametros_carros!$D$27*('Plan mensual'!G90+IF(parametros_carros!$H$27="Todos",'Plan mensual'!G94,0))+parametros_carros!$E$27*('Plan mensual'!G91+IF(parametros_carros!$H$27="Todos",'Plan mensual'!G95,0))+parametros_carros!$F$27*('Plan mensual'!G92+IF(parametros_carros!$H$27="Todos",'Plan mensual'!G96,0))+parametros_carros!$G$27*('Plan mensual'!G93+IF(parametros_carros!$H$27="Todos",'Plan mensual'!G97,0)))/60</f>
        <v>65.305109151435</v>
      </c>
      <c r="F170" s="41" t="n">
        <f aca="false">(parametros_carros!$D$27*('Plan mensual'!H90+IF(parametros_carros!$H$27="Todos",'Plan mensual'!H94,0))+parametros_carros!$E$27*('Plan mensual'!H91+IF(parametros_carros!$H$27="Todos",'Plan mensual'!H95,0))+parametros_carros!$F$27*('Plan mensual'!H92+IF(parametros_carros!$H$27="Todos",'Plan mensual'!H96,0))+parametros_carros!$G$27*('Plan mensual'!H93+IF(parametros_carros!$H$27="Todos",'Plan mensual'!H97,0)))/60</f>
        <v>65.305109151435</v>
      </c>
      <c r="G170" s="41" t="n">
        <f aca="false">(parametros_carros!$D$27*('Plan mensual'!I90+IF(parametros_carros!$H$27="Todos",'Plan mensual'!I94,0))+parametros_carros!$E$27*('Plan mensual'!I91+IF(parametros_carros!$H$27="Todos",'Plan mensual'!I95,0))+parametros_carros!$F$27*('Plan mensual'!I92+IF(parametros_carros!$H$27="Todos",'Plan mensual'!I96,0))+parametros_carros!$G$27*('Plan mensual'!I93+IF(parametros_carros!$H$27="Todos",'Plan mensual'!I97,0)))/60</f>
        <v>58.0489859123867</v>
      </c>
      <c r="H170" s="41" t="n">
        <f aca="false">(parametros_carros!$D$27*('Plan mensual'!J90+IF(parametros_carros!$H$27="Todos",'Plan mensual'!J94,0))+parametros_carros!$E$27*('Plan mensual'!J91+IF(parametros_carros!$H$27="Todos",'Plan mensual'!J95,0))+parametros_carros!$F$27*('Plan mensual'!J92+IF(parametros_carros!$H$27="Todos",'Plan mensual'!J96,0))+parametros_carros!$G$27*('Plan mensual'!J93+IF(parametros_carros!$H$27="Todos",'Plan mensual'!J97,0)))/60</f>
        <v>65.305109151435</v>
      </c>
      <c r="I170" s="41" t="n">
        <f aca="false">(parametros_carros!$D$27*('Plan mensual'!K90+IF(parametros_carros!$H$27="Todos",'Plan mensual'!K94,0))+parametros_carros!$E$27*('Plan mensual'!K91+IF(parametros_carros!$H$27="Todos",'Plan mensual'!K95,0))+parametros_carros!$F$27*('Plan mensual'!K92+IF(parametros_carros!$H$27="Todos",'Plan mensual'!K96,0))+parametros_carros!$G$27*('Plan mensual'!K93+IF(parametros_carros!$H$27="Todos",'Plan mensual'!K97,0)))/60</f>
        <v>65.305109151435</v>
      </c>
      <c r="J170" s="41" t="n">
        <f aca="false">(parametros_carros!$D$27*('Plan mensual'!L90+IF(parametros_carros!$H$27="Todos",'Plan mensual'!L94,0))+parametros_carros!$E$27*('Plan mensual'!L91+IF(parametros_carros!$H$27="Todos",'Plan mensual'!L95,0))+parametros_carros!$F$27*('Plan mensual'!L92+IF(parametros_carros!$H$27="Todos",'Plan mensual'!L96,0))+parametros_carros!$G$27*('Plan mensual'!L93+IF(parametros_carros!$H$27="Todos",'Plan mensual'!L97,0)))/60</f>
        <v>61.6770475319108</v>
      </c>
      <c r="K170" s="41" t="n">
        <f aca="false">(parametros_carros!$D$27*('Plan mensual'!M90+IF(parametros_carros!$H$27="Todos",'Plan mensual'!M94,0))+parametros_carros!$E$27*('Plan mensual'!M91+IF(parametros_carros!$H$27="Todos",'Plan mensual'!M95,0))+parametros_carros!$F$27*('Plan mensual'!M92+IF(parametros_carros!$H$27="Todos",'Plan mensual'!M96,0))+parametros_carros!$G$27*('Plan mensual'!M93+IF(parametros_carros!$H$27="Todos",'Plan mensual'!M97,0)))/60</f>
        <v>54.4209242928625</v>
      </c>
      <c r="L170" s="41" t="n">
        <f aca="false">(parametros_carros!$D$27*('Plan mensual'!N90+IF(parametros_carros!$H$27="Todos",'Plan mensual'!N94,0))+parametros_carros!$E$27*('Plan mensual'!N91+IF(parametros_carros!$H$27="Todos",'Plan mensual'!N95,0))+parametros_carros!$F$27*('Plan mensual'!N92+IF(parametros_carros!$H$27="Todos",'Plan mensual'!N96,0))+parametros_carros!$G$27*('Plan mensual'!N93+IF(parametros_carros!$H$27="Todos",'Plan mensual'!N97,0)))/60</f>
        <v>50.7928626733383</v>
      </c>
      <c r="M170" s="41" t="n">
        <f aca="false">(parametros_carros!$D$27*('Plan mensual'!O90+IF(parametros_carros!$H$27="Todos",'Plan mensual'!O94,0))+parametros_carros!$E$27*('Plan mensual'!O91+IF(parametros_carros!$H$27="Todos",'Plan mensual'!O95,0))+parametros_carros!$F$27*('Plan mensual'!O92+IF(parametros_carros!$H$27="Todos",'Plan mensual'!O96,0))+parametros_carros!$G$27*('Plan mensual'!O93+IF(parametros_carros!$H$27="Todos",'Plan mensual'!O97,0)))/60</f>
        <v>58.0489859123867</v>
      </c>
      <c r="N170" s="41" t="n">
        <f aca="false">SUM(B170:M170)</f>
        <v>725.612323904833</v>
      </c>
      <c r="O170" s="41" t="n">
        <f aca="false">MAX(B170:M170)</f>
        <v>65.305109151435</v>
      </c>
      <c r="P170" s="45" t="n">
        <f aca="false">IF(parametros_carros!$B$7=0,0,(O170+parametros_carros!$G$53)/parametros_carros!$B$7)</f>
        <v>0.4553673943429</v>
      </c>
      <c r="Q170" s="29" t="str">
        <f aca="false">IF(O170=0,"-",INDEX($B$161:$M$161,MATCH(O170,B170:M170,0)))</f>
        <v>Mar</v>
      </c>
    </row>
    <row r="171" customFormat="false" ht="14.25" hidden="false" customHeight="true" outlineLevel="0" collapsed="false">
      <c r="A171" s="12" t="str">
        <f aca="false">parametros_carros!$B$28</f>
        <v>Fabricación de accesorios</v>
      </c>
      <c r="B171" s="41" t="n">
        <f aca="false">(parametros_carros!$D$28*('Plan mensual'!D90+IF(parametros_carros!$H$28="Todos",'Plan mensual'!D94,0))+parametros_carros!$E$28*('Plan mensual'!D91+IF(parametros_carros!$H$28="Todos",'Plan mensual'!D95,0))+parametros_carros!$F$28*('Plan mensual'!D92+IF(parametros_carros!$H$28="Todos",'Plan mensual'!D96,0))+parametros_carros!$G$28*('Plan mensual'!D93+IF(parametros_carros!$H$28="Todos",'Plan mensual'!D97,0)))/60</f>
        <v>41.9052922390667</v>
      </c>
      <c r="C171" s="41" t="n">
        <f aca="false">(parametros_carros!$D$28*('Plan mensual'!E90+IF(parametros_carros!$H$28="Todos",'Plan mensual'!E94,0))+parametros_carros!$E$28*('Plan mensual'!E91+IF(parametros_carros!$H$28="Todos",'Plan mensual'!E95,0))+parametros_carros!$F$28*('Plan mensual'!E92+IF(parametros_carros!$H$28="Todos",'Plan mensual'!E96,0))+parametros_carros!$G$28*('Plan mensual'!E93+IF(parametros_carros!$H$28="Todos",'Plan mensual'!E97,0)))/60</f>
        <v>36.975257858</v>
      </c>
      <c r="D171" s="41" t="n">
        <f aca="false">(parametros_carros!$D$28*('Plan mensual'!F90+IF(parametros_carros!$H$28="Todos",'Plan mensual'!F94,0))+parametros_carros!$E$28*('Plan mensual'!F91+IF(parametros_carros!$H$28="Todos",'Plan mensual'!F95,0))+parametros_carros!$F$28*('Plan mensual'!F92+IF(parametros_carros!$H$28="Todos",'Plan mensual'!F96,0))+parametros_carros!$G$28*('Plan mensual'!F93+IF(parametros_carros!$H$28="Todos",'Plan mensual'!F97,0)))/60</f>
        <v>44.3703094296</v>
      </c>
      <c r="E171" s="41" t="n">
        <f aca="false">(parametros_carros!$D$28*('Plan mensual'!G90+IF(parametros_carros!$H$28="Todos",'Plan mensual'!G94,0))+parametros_carros!$E$28*('Plan mensual'!G91+IF(parametros_carros!$H$28="Todos",'Plan mensual'!G95,0))+parametros_carros!$F$28*('Plan mensual'!G92+IF(parametros_carros!$H$28="Todos",'Plan mensual'!G96,0))+parametros_carros!$G$28*('Plan mensual'!G93+IF(parametros_carros!$H$28="Todos",'Plan mensual'!G97,0)))/60</f>
        <v>44.3703094296</v>
      </c>
      <c r="F171" s="41" t="n">
        <f aca="false">(parametros_carros!$D$28*('Plan mensual'!H90+IF(parametros_carros!$H$28="Todos",'Plan mensual'!H94,0))+parametros_carros!$E$28*('Plan mensual'!H91+IF(parametros_carros!$H$28="Todos",'Plan mensual'!H95,0))+parametros_carros!$F$28*('Plan mensual'!H92+IF(parametros_carros!$H$28="Todos",'Plan mensual'!H96,0))+parametros_carros!$G$28*('Plan mensual'!H93+IF(parametros_carros!$H$28="Todos",'Plan mensual'!H97,0)))/60</f>
        <v>44.3703094296</v>
      </c>
      <c r="G171" s="41" t="n">
        <f aca="false">(parametros_carros!$D$28*('Plan mensual'!I90+IF(parametros_carros!$H$28="Todos",'Plan mensual'!I94,0))+parametros_carros!$E$28*('Plan mensual'!I91+IF(parametros_carros!$H$28="Todos",'Plan mensual'!I95,0))+parametros_carros!$F$28*('Plan mensual'!I92+IF(parametros_carros!$H$28="Todos",'Plan mensual'!I96,0))+parametros_carros!$G$28*('Plan mensual'!I93+IF(parametros_carros!$H$28="Todos",'Plan mensual'!I97,0)))/60</f>
        <v>39.4402750485333</v>
      </c>
      <c r="H171" s="41" t="n">
        <f aca="false">(parametros_carros!$D$28*('Plan mensual'!J90+IF(parametros_carros!$H$28="Todos",'Plan mensual'!J94,0))+parametros_carros!$E$28*('Plan mensual'!J91+IF(parametros_carros!$H$28="Todos",'Plan mensual'!J95,0))+parametros_carros!$F$28*('Plan mensual'!J92+IF(parametros_carros!$H$28="Todos",'Plan mensual'!J96,0))+parametros_carros!$G$28*('Plan mensual'!J93+IF(parametros_carros!$H$28="Todos",'Plan mensual'!J97,0)))/60</f>
        <v>44.3703094296</v>
      </c>
      <c r="I171" s="41" t="n">
        <f aca="false">(parametros_carros!$D$28*('Plan mensual'!K90+IF(parametros_carros!$H$28="Todos",'Plan mensual'!K94,0))+parametros_carros!$E$28*('Plan mensual'!K91+IF(parametros_carros!$H$28="Todos",'Plan mensual'!K95,0))+parametros_carros!$F$28*('Plan mensual'!K92+IF(parametros_carros!$H$28="Todos",'Plan mensual'!K96,0))+parametros_carros!$G$28*('Plan mensual'!K93+IF(parametros_carros!$H$28="Todos",'Plan mensual'!K97,0)))/60</f>
        <v>44.3703094296</v>
      </c>
      <c r="J171" s="41" t="n">
        <f aca="false">(parametros_carros!$D$28*('Plan mensual'!L90+IF(parametros_carros!$H$28="Todos",'Plan mensual'!L94,0))+parametros_carros!$E$28*('Plan mensual'!L91+IF(parametros_carros!$H$28="Todos",'Plan mensual'!L95,0))+parametros_carros!$F$28*('Plan mensual'!L92+IF(parametros_carros!$H$28="Todos",'Plan mensual'!L96,0))+parametros_carros!$G$28*('Plan mensual'!L93+IF(parametros_carros!$H$28="Todos",'Plan mensual'!L97,0)))/60</f>
        <v>41.9052922390667</v>
      </c>
      <c r="K171" s="41" t="n">
        <f aca="false">(parametros_carros!$D$28*('Plan mensual'!M90+IF(parametros_carros!$H$28="Todos",'Plan mensual'!M94,0))+parametros_carros!$E$28*('Plan mensual'!M91+IF(parametros_carros!$H$28="Todos",'Plan mensual'!M95,0))+parametros_carros!$F$28*('Plan mensual'!M92+IF(parametros_carros!$H$28="Todos",'Plan mensual'!M96,0))+parametros_carros!$G$28*('Plan mensual'!M93+IF(parametros_carros!$H$28="Todos",'Plan mensual'!M97,0)))/60</f>
        <v>36.975257858</v>
      </c>
      <c r="L171" s="41" t="n">
        <f aca="false">(parametros_carros!$D$28*('Plan mensual'!N90+IF(parametros_carros!$H$28="Todos",'Plan mensual'!N94,0))+parametros_carros!$E$28*('Plan mensual'!N91+IF(parametros_carros!$H$28="Todos",'Plan mensual'!N95,0))+parametros_carros!$F$28*('Plan mensual'!N92+IF(parametros_carros!$H$28="Todos",'Plan mensual'!N96,0))+parametros_carros!$G$28*('Plan mensual'!N93+IF(parametros_carros!$H$28="Todos",'Plan mensual'!N97,0)))/60</f>
        <v>34.5102406674667</v>
      </c>
      <c r="M171" s="41" t="n">
        <f aca="false">(parametros_carros!$D$28*('Plan mensual'!O90+IF(parametros_carros!$H$28="Todos",'Plan mensual'!O94,0))+parametros_carros!$E$28*('Plan mensual'!O91+IF(parametros_carros!$H$28="Todos",'Plan mensual'!O95,0))+parametros_carros!$F$28*('Plan mensual'!O92+IF(parametros_carros!$H$28="Todos",'Plan mensual'!O96,0))+parametros_carros!$G$28*('Plan mensual'!O93+IF(parametros_carros!$H$28="Todos",'Plan mensual'!O97,0)))/60</f>
        <v>39.4402750485333</v>
      </c>
      <c r="N171" s="41" t="n">
        <f aca="false">SUM(B171:M171)</f>
        <v>493.003438106667</v>
      </c>
      <c r="O171" s="41" t="n">
        <f aca="false">MAX(B171:M171)</f>
        <v>44.3703094296</v>
      </c>
      <c r="P171" s="45" t="n">
        <f aca="false">IF(parametros_carros!$B$7=0,0,(O171+parametros_carros!$G$54)/parametros_carros!$B$7)</f>
        <v>0.329135396197333</v>
      </c>
      <c r="Q171" s="29" t="str">
        <f aca="false">IF(O171=0,"-",INDEX($B$161:$M$161,MATCH(O171,B171:M171,0)))</f>
        <v>Mar</v>
      </c>
    </row>
    <row r="172" customFormat="false" ht="14.25" hidden="false" customHeight="true" outlineLevel="0" collapsed="false">
      <c r="A172" s="12" t="str">
        <f aca="false">parametros_carros!$B$29</f>
        <v>Prueba hidráulica</v>
      </c>
      <c r="B172" s="41" t="n">
        <f aca="false">(parametros_carros!$D$29*('Plan mensual'!D90+IF(parametros_carros!$H$29="Todos",'Plan mensual'!D94,0))+parametros_carros!$E$29*('Plan mensual'!D91+IF(parametros_carros!$H$29="Todos",'Plan mensual'!D95,0))+parametros_carros!$F$29*('Plan mensual'!D92+IF(parametros_carros!$H$29="Todos",'Plan mensual'!D96,0))+parametros_carros!$G$29*('Plan mensual'!D93+IF(parametros_carros!$H$29="Todos",'Plan mensual'!D97,0)))/60</f>
        <v>34.2106480884987</v>
      </c>
      <c r="C172" s="41" t="n">
        <f aca="false">(parametros_carros!$D$29*('Plan mensual'!E90+IF(parametros_carros!$H$29="Todos",'Plan mensual'!E94,0))+parametros_carros!$E$29*('Plan mensual'!E91+IF(parametros_carros!$H$29="Todos",'Plan mensual'!E95,0))+parametros_carros!$F$29*('Plan mensual'!E92+IF(parametros_carros!$H$29="Todos",'Plan mensual'!E96,0))+parametros_carros!$G$29*('Plan mensual'!E93+IF(parametros_carros!$H$29="Todos",'Plan mensual'!E97,0)))/60</f>
        <v>30.18586596044</v>
      </c>
      <c r="D172" s="41" t="n">
        <f aca="false">(parametros_carros!$D$29*('Plan mensual'!F90+IF(parametros_carros!$H$29="Todos",'Plan mensual'!F94,0))+parametros_carros!$E$29*('Plan mensual'!F91+IF(parametros_carros!$H$29="Todos",'Plan mensual'!F95,0))+parametros_carros!$F$29*('Plan mensual'!F92+IF(parametros_carros!$H$29="Todos",'Plan mensual'!F96,0))+parametros_carros!$G$29*('Plan mensual'!F93+IF(parametros_carros!$H$29="Todos",'Plan mensual'!F97,0)))/60</f>
        <v>36.223039152528</v>
      </c>
      <c r="E172" s="41" t="n">
        <f aca="false">(parametros_carros!$D$29*('Plan mensual'!G90+IF(parametros_carros!$H$29="Todos",'Plan mensual'!G94,0))+parametros_carros!$E$29*('Plan mensual'!G91+IF(parametros_carros!$H$29="Todos",'Plan mensual'!G95,0))+parametros_carros!$F$29*('Plan mensual'!G92+IF(parametros_carros!$H$29="Todos",'Plan mensual'!G96,0))+parametros_carros!$G$29*('Plan mensual'!G93+IF(parametros_carros!$H$29="Todos",'Plan mensual'!G97,0)))/60</f>
        <v>36.223039152528</v>
      </c>
      <c r="F172" s="41" t="n">
        <f aca="false">(parametros_carros!$D$29*('Plan mensual'!H90+IF(parametros_carros!$H$29="Todos",'Plan mensual'!H94,0))+parametros_carros!$E$29*('Plan mensual'!H91+IF(parametros_carros!$H$29="Todos",'Plan mensual'!H95,0))+parametros_carros!$F$29*('Plan mensual'!H92+IF(parametros_carros!$H$29="Todos",'Plan mensual'!H96,0))+parametros_carros!$G$29*('Plan mensual'!H93+IF(parametros_carros!$H$29="Todos",'Plan mensual'!H97,0)))/60</f>
        <v>36.223039152528</v>
      </c>
      <c r="G172" s="41" t="n">
        <f aca="false">(parametros_carros!$D$29*('Plan mensual'!I90+IF(parametros_carros!$H$29="Todos",'Plan mensual'!I94,0))+parametros_carros!$E$29*('Plan mensual'!I91+IF(parametros_carros!$H$29="Todos",'Plan mensual'!I95,0))+parametros_carros!$F$29*('Plan mensual'!I92+IF(parametros_carros!$H$29="Todos",'Plan mensual'!I96,0))+parametros_carros!$G$29*('Plan mensual'!I93+IF(parametros_carros!$H$29="Todos",'Plan mensual'!I97,0)))/60</f>
        <v>32.1982570244693</v>
      </c>
      <c r="H172" s="41" t="n">
        <f aca="false">(parametros_carros!$D$29*('Plan mensual'!J90+IF(parametros_carros!$H$29="Todos",'Plan mensual'!J94,0))+parametros_carros!$E$29*('Plan mensual'!J91+IF(parametros_carros!$H$29="Todos",'Plan mensual'!J95,0))+parametros_carros!$F$29*('Plan mensual'!J92+IF(parametros_carros!$H$29="Todos",'Plan mensual'!J96,0))+parametros_carros!$G$29*('Plan mensual'!J93+IF(parametros_carros!$H$29="Todos",'Plan mensual'!J97,0)))/60</f>
        <v>36.223039152528</v>
      </c>
      <c r="I172" s="41" t="n">
        <f aca="false">(parametros_carros!$D$29*('Plan mensual'!K90+IF(parametros_carros!$H$29="Todos",'Plan mensual'!K94,0))+parametros_carros!$E$29*('Plan mensual'!K91+IF(parametros_carros!$H$29="Todos",'Plan mensual'!K95,0))+parametros_carros!$F$29*('Plan mensual'!K92+IF(parametros_carros!$H$29="Todos",'Plan mensual'!K96,0))+parametros_carros!$G$29*('Plan mensual'!K93+IF(parametros_carros!$H$29="Todos",'Plan mensual'!K97,0)))/60</f>
        <v>36.223039152528</v>
      </c>
      <c r="J172" s="41" t="n">
        <f aca="false">(parametros_carros!$D$29*('Plan mensual'!L90+IF(parametros_carros!$H$29="Todos",'Plan mensual'!L94,0))+parametros_carros!$E$29*('Plan mensual'!L91+IF(parametros_carros!$H$29="Todos",'Plan mensual'!L95,0))+parametros_carros!$F$29*('Plan mensual'!L92+IF(parametros_carros!$H$29="Todos",'Plan mensual'!L96,0))+parametros_carros!$G$29*('Plan mensual'!L93+IF(parametros_carros!$H$29="Todos",'Plan mensual'!L97,0)))/60</f>
        <v>34.2106480884987</v>
      </c>
      <c r="K172" s="41" t="n">
        <f aca="false">(parametros_carros!$D$29*('Plan mensual'!M90+IF(parametros_carros!$H$29="Todos",'Plan mensual'!M94,0))+parametros_carros!$E$29*('Plan mensual'!M91+IF(parametros_carros!$H$29="Todos",'Plan mensual'!M95,0))+parametros_carros!$F$29*('Plan mensual'!M92+IF(parametros_carros!$H$29="Todos",'Plan mensual'!M96,0))+parametros_carros!$G$29*('Plan mensual'!M93+IF(parametros_carros!$H$29="Todos",'Plan mensual'!M97,0)))/60</f>
        <v>30.18586596044</v>
      </c>
      <c r="L172" s="41" t="n">
        <f aca="false">(parametros_carros!$D$29*('Plan mensual'!N90+IF(parametros_carros!$H$29="Todos",'Plan mensual'!N94,0))+parametros_carros!$E$29*('Plan mensual'!N91+IF(parametros_carros!$H$29="Todos",'Plan mensual'!N95,0))+parametros_carros!$F$29*('Plan mensual'!N92+IF(parametros_carros!$H$29="Todos",'Plan mensual'!N96,0))+parametros_carros!$G$29*('Plan mensual'!N93+IF(parametros_carros!$H$29="Todos",'Plan mensual'!N97,0)))/60</f>
        <v>28.1734748964107</v>
      </c>
      <c r="M172" s="41" t="n">
        <f aca="false">(parametros_carros!$D$29*('Plan mensual'!O90+IF(parametros_carros!$H$29="Todos",'Plan mensual'!O94,0))+parametros_carros!$E$29*('Plan mensual'!O91+IF(parametros_carros!$H$29="Todos",'Plan mensual'!O95,0))+parametros_carros!$F$29*('Plan mensual'!O92+IF(parametros_carros!$H$29="Todos",'Plan mensual'!O96,0))+parametros_carros!$G$29*('Plan mensual'!O93+IF(parametros_carros!$H$29="Todos",'Plan mensual'!O97,0)))/60</f>
        <v>32.1982570244693</v>
      </c>
      <c r="N172" s="41" t="n">
        <f aca="false">SUM(B172:M172)</f>
        <v>402.478212805867</v>
      </c>
      <c r="O172" s="41" t="n">
        <f aca="false">MAX(B172:M172)</f>
        <v>36.223039152528</v>
      </c>
      <c r="P172" s="45" t="n">
        <f aca="false">IF(parametros_carros!$B$7=0,0,(O172+parametros_carros!$G$55)/parametros_carros!$B$7)</f>
        <v>0.263709149905742</v>
      </c>
      <c r="Q172" s="29" t="str">
        <f aca="false">IF(O172=0,"-",INDEX($B$161:$M$161,MATCH(O172,B172:M172,0)))</f>
        <v>Mar</v>
      </c>
    </row>
    <row r="173" customFormat="false" ht="14.25" hidden="false" customHeight="true" outlineLevel="0" collapsed="false">
      <c r="A173" s="12" t="str">
        <f aca="false">parametros_carros!$B$30</f>
        <v>Secado</v>
      </c>
      <c r="B173" s="41" t="n">
        <f aca="false">(parametros_carros!$D$30*('Plan mensual'!D90+IF(parametros_carros!$H$30="Todos",'Plan mensual'!D94,0))+parametros_carros!$E$30*('Plan mensual'!D91+IF(parametros_carros!$H$30="Todos",'Plan mensual'!D95,0))+parametros_carros!$F$30*('Plan mensual'!D92+IF(parametros_carros!$H$30="Todos",'Plan mensual'!D96,0))+parametros_carros!$G$30*('Plan mensual'!D93+IF(parametros_carros!$H$30="Todos",'Plan mensual'!D97,0)))/60</f>
        <v>38.3226002053833</v>
      </c>
      <c r="C173" s="41" t="n">
        <f aca="false">(parametros_carros!$D$30*('Plan mensual'!E90+IF(parametros_carros!$H$30="Todos",'Plan mensual'!E94,0))+parametros_carros!$E$30*('Plan mensual'!E91+IF(parametros_carros!$H$30="Todos",'Plan mensual'!E95,0))+parametros_carros!$F$30*('Plan mensual'!E92+IF(parametros_carros!$H$30="Todos",'Plan mensual'!E96,0))+parametros_carros!$G$30*('Plan mensual'!E93+IF(parametros_carros!$H$30="Todos",'Plan mensual'!E97,0)))/60</f>
        <v>33.81405900475</v>
      </c>
      <c r="D173" s="41" t="n">
        <f aca="false">(parametros_carros!$D$30*('Plan mensual'!F90+IF(parametros_carros!$H$30="Todos",'Plan mensual'!F94,0))+parametros_carros!$E$30*('Plan mensual'!F91+IF(parametros_carros!$H$30="Todos",'Plan mensual'!F95,0))+parametros_carros!$F$30*('Plan mensual'!F92+IF(parametros_carros!$H$30="Todos",'Plan mensual'!F96,0))+parametros_carros!$G$30*('Plan mensual'!F93+IF(parametros_carros!$H$30="Todos",'Plan mensual'!F97,0)))/60</f>
        <v>40.5768708057</v>
      </c>
      <c r="E173" s="41" t="n">
        <f aca="false">(parametros_carros!$D$30*('Plan mensual'!G90+IF(parametros_carros!$H$30="Todos",'Plan mensual'!G94,0))+parametros_carros!$E$30*('Plan mensual'!G91+IF(parametros_carros!$H$30="Todos",'Plan mensual'!G95,0))+parametros_carros!$F$30*('Plan mensual'!G92+IF(parametros_carros!$H$30="Todos",'Plan mensual'!G96,0))+parametros_carros!$G$30*('Plan mensual'!G93+IF(parametros_carros!$H$30="Todos",'Plan mensual'!G97,0)))/60</f>
        <v>40.5768708057</v>
      </c>
      <c r="F173" s="41" t="n">
        <f aca="false">(parametros_carros!$D$30*('Plan mensual'!H90+IF(parametros_carros!$H$30="Todos",'Plan mensual'!H94,0))+parametros_carros!$E$30*('Plan mensual'!H91+IF(parametros_carros!$H$30="Todos",'Plan mensual'!H95,0))+parametros_carros!$F$30*('Plan mensual'!H92+IF(parametros_carros!$H$30="Todos",'Plan mensual'!H96,0))+parametros_carros!$G$30*('Plan mensual'!H93+IF(parametros_carros!$H$30="Todos",'Plan mensual'!H97,0)))/60</f>
        <v>40.5768708057</v>
      </c>
      <c r="G173" s="41" t="n">
        <f aca="false">(parametros_carros!$D$30*('Plan mensual'!I90+IF(parametros_carros!$H$30="Todos",'Plan mensual'!I94,0))+parametros_carros!$E$30*('Plan mensual'!I91+IF(parametros_carros!$H$30="Todos",'Plan mensual'!I95,0))+parametros_carros!$F$30*('Plan mensual'!I92+IF(parametros_carros!$H$30="Todos",'Plan mensual'!I96,0))+parametros_carros!$G$30*('Plan mensual'!I93+IF(parametros_carros!$H$30="Todos",'Plan mensual'!I97,0)))/60</f>
        <v>36.0683296050667</v>
      </c>
      <c r="H173" s="41" t="n">
        <f aca="false">(parametros_carros!$D$30*('Plan mensual'!J90+IF(parametros_carros!$H$30="Todos",'Plan mensual'!J94,0))+parametros_carros!$E$30*('Plan mensual'!J91+IF(parametros_carros!$H$30="Todos",'Plan mensual'!J95,0))+parametros_carros!$F$30*('Plan mensual'!J92+IF(parametros_carros!$H$30="Todos",'Plan mensual'!J96,0))+parametros_carros!$G$30*('Plan mensual'!J93+IF(parametros_carros!$H$30="Todos",'Plan mensual'!J97,0)))/60</f>
        <v>40.5768708057</v>
      </c>
      <c r="I173" s="41" t="n">
        <f aca="false">(parametros_carros!$D$30*('Plan mensual'!K90+IF(parametros_carros!$H$30="Todos",'Plan mensual'!K94,0))+parametros_carros!$E$30*('Plan mensual'!K91+IF(parametros_carros!$H$30="Todos",'Plan mensual'!K95,0))+parametros_carros!$F$30*('Plan mensual'!K92+IF(parametros_carros!$H$30="Todos",'Plan mensual'!K96,0))+parametros_carros!$G$30*('Plan mensual'!K93+IF(parametros_carros!$H$30="Todos",'Plan mensual'!K97,0)))/60</f>
        <v>40.5768708057</v>
      </c>
      <c r="J173" s="41" t="n">
        <f aca="false">(parametros_carros!$D$30*('Plan mensual'!L90+IF(parametros_carros!$H$30="Todos",'Plan mensual'!L94,0))+parametros_carros!$E$30*('Plan mensual'!L91+IF(parametros_carros!$H$30="Todos",'Plan mensual'!L95,0))+parametros_carros!$F$30*('Plan mensual'!L92+IF(parametros_carros!$H$30="Todos",'Plan mensual'!L96,0))+parametros_carros!$G$30*('Plan mensual'!L93+IF(parametros_carros!$H$30="Todos",'Plan mensual'!L97,0)))/60</f>
        <v>38.3226002053833</v>
      </c>
      <c r="K173" s="41" t="n">
        <f aca="false">(parametros_carros!$D$30*('Plan mensual'!M90+IF(parametros_carros!$H$30="Todos",'Plan mensual'!M94,0))+parametros_carros!$E$30*('Plan mensual'!M91+IF(parametros_carros!$H$30="Todos",'Plan mensual'!M95,0))+parametros_carros!$F$30*('Plan mensual'!M92+IF(parametros_carros!$H$30="Todos",'Plan mensual'!M96,0))+parametros_carros!$G$30*('Plan mensual'!M93+IF(parametros_carros!$H$30="Todos",'Plan mensual'!M97,0)))/60</f>
        <v>33.81405900475</v>
      </c>
      <c r="L173" s="41" t="n">
        <f aca="false">(parametros_carros!$D$30*('Plan mensual'!N90+IF(parametros_carros!$H$30="Todos",'Plan mensual'!N94,0))+parametros_carros!$E$30*('Plan mensual'!N91+IF(parametros_carros!$H$30="Todos",'Plan mensual'!N95,0))+parametros_carros!$F$30*('Plan mensual'!N92+IF(parametros_carros!$H$30="Todos",'Plan mensual'!N96,0))+parametros_carros!$G$30*('Plan mensual'!N93+IF(parametros_carros!$H$30="Todos",'Plan mensual'!N97,0)))/60</f>
        <v>31.5597884044333</v>
      </c>
      <c r="M173" s="41" t="n">
        <f aca="false">(parametros_carros!$D$30*('Plan mensual'!O90+IF(parametros_carros!$H$30="Todos",'Plan mensual'!O94,0))+parametros_carros!$E$30*('Plan mensual'!O91+IF(parametros_carros!$H$30="Todos",'Plan mensual'!O95,0))+parametros_carros!$F$30*('Plan mensual'!O92+IF(parametros_carros!$H$30="Todos",'Plan mensual'!O96,0))+parametros_carros!$G$30*('Plan mensual'!O93+IF(parametros_carros!$H$30="Todos",'Plan mensual'!O97,0)))/60</f>
        <v>36.0683296050667</v>
      </c>
      <c r="N173" s="41" t="n">
        <f aca="false">SUM(B173:M173)</f>
        <v>450.854120063333</v>
      </c>
      <c r="O173" s="41" t="n">
        <f aca="false">MAX(B173:M173)</f>
        <v>40.5768708057</v>
      </c>
      <c r="P173" s="45" t="n">
        <f aca="false">IF(parametros_carros!$B$7=0,0,(O173+parametros_carros!$G$56)/parametros_carros!$B$7)</f>
        <v>0.270512472038</v>
      </c>
      <c r="Q173" s="29" t="str">
        <f aca="false">IF(O173=0,"-",INDEX($B$161:$M$161,MATCH(O173,B173:M173,0)))</f>
        <v>Mar</v>
      </c>
    </row>
    <row r="174" customFormat="false" ht="14.25" hidden="false" customHeight="true" outlineLevel="0" collapsed="false">
      <c r="A174" s="12" t="str">
        <f aca="false">parametros_carros!$B$31</f>
        <v>Pulmón de despacho y carga a pintura</v>
      </c>
      <c r="B174" s="41" t="n">
        <f aca="false">(parametros_carros!$D$31*('Plan mensual'!D90+IF(parametros_carros!$H$31="Todos",'Plan mensual'!D94,0))+parametros_carros!$E$31*('Plan mensual'!D91+IF(parametros_carros!$H$31="Todos",'Plan mensual'!D95,0))+parametros_carros!$F$31*('Plan mensual'!D92+IF(parametros_carros!$H$31="Todos",'Plan mensual'!D96,0))+parametros_carros!$G$31*('Plan mensual'!D93+IF(parametros_carros!$H$31="Todos",'Plan mensual'!D97,0)))/60</f>
        <v>6.09527273479458</v>
      </c>
      <c r="C174" s="41" t="n">
        <f aca="false">(parametros_carros!$D$31*('Plan mensual'!E90+IF(parametros_carros!$H$31="Todos",'Plan mensual'!E94,0))+parametros_carros!$E$31*('Plan mensual'!E91+IF(parametros_carros!$H$31="Todos",'Plan mensual'!E95,0))+parametros_carros!$F$31*('Plan mensual'!E92+IF(parametros_carros!$H$31="Todos",'Plan mensual'!E96,0))+parametros_carros!$G$31*('Plan mensual'!E93+IF(parametros_carros!$H$31="Todos",'Plan mensual'!E97,0)))/60</f>
        <v>5.37818182481875</v>
      </c>
      <c r="D174" s="41" t="n">
        <f aca="false">(parametros_carros!$D$31*('Plan mensual'!F90+IF(parametros_carros!$H$31="Todos",'Plan mensual'!F94,0))+parametros_carros!$E$31*('Plan mensual'!F91+IF(parametros_carros!$H$31="Todos",'Plan mensual'!F95,0))+parametros_carros!$F$31*('Plan mensual'!F92+IF(parametros_carros!$H$31="Todos",'Plan mensual'!F96,0))+parametros_carros!$G$31*('Plan mensual'!F93+IF(parametros_carros!$H$31="Todos",'Plan mensual'!F97,0)))/60</f>
        <v>6.4538181897825</v>
      </c>
      <c r="E174" s="41" t="n">
        <f aca="false">(parametros_carros!$D$31*('Plan mensual'!G90+IF(parametros_carros!$H$31="Todos",'Plan mensual'!G94,0))+parametros_carros!$E$31*('Plan mensual'!G91+IF(parametros_carros!$H$31="Todos",'Plan mensual'!G95,0))+parametros_carros!$F$31*('Plan mensual'!G92+IF(parametros_carros!$H$31="Todos",'Plan mensual'!G96,0))+parametros_carros!$G$31*('Plan mensual'!G93+IF(parametros_carros!$H$31="Todos",'Plan mensual'!G97,0)))/60</f>
        <v>6.4538181897825</v>
      </c>
      <c r="F174" s="41" t="n">
        <f aca="false">(parametros_carros!$D$31*('Plan mensual'!H90+IF(parametros_carros!$H$31="Todos",'Plan mensual'!H94,0))+parametros_carros!$E$31*('Plan mensual'!H91+IF(parametros_carros!$H$31="Todos",'Plan mensual'!H95,0))+parametros_carros!$F$31*('Plan mensual'!H92+IF(parametros_carros!$H$31="Todos",'Plan mensual'!H96,0))+parametros_carros!$G$31*('Plan mensual'!H93+IF(parametros_carros!$H$31="Todos",'Plan mensual'!H97,0)))/60</f>
        <v>6.4538181897825</v>
      </c>
      <c r="G174" s="41" t="n">
        <f aca="false">(parametros_carros!$D$31*('Plan mensual'!I90+IF(parametros_carros!$H$31="Todos",'Plan mensual'!I94,0))+parametros_carros!$E$31*('Plan mensual'!I91+IF(parametros_carros!$H$31="Todos",'Plan mensual'!I95,0))+parametros_carros!$F$31*('Plan mensual'!I92+IF(parametros_carros!$H$31="Todos",'Plan mensual'!I96,0))+parametros_carros!$G$31*('Plan mensual'!I93+IF(parametros_carros!$H$31="Todos",'Plan mensual'!I97,0)))/60</f>
        <v>5.73672727980667</v>
      </c>
      <c r="H174" s="41" t="n">
        <f aca="false">(parametros_carros!$D$31*('Plan mensual'!J90+IF(parametros_carros!$H$31="Todos",'Plan mensual'!J94,0))+parametros_carros!$E$31*('Plan mensual'!J91+IF(parametros_carros!$H$31="Todos",'Plan mensual'!J95,0))+parametros_carros!$F$31*('Plan mensual'!J92+IF(parametros_carros!$H$31="Todos",'Plan mensual'!J96,0))+parametros_carros!$G$31*('Plan mensual'!J93+IF(parametros_carros!$H$31="Todos",'Plan mensual'!J97,0)))/60</f>
        <v>6.4538181897825</v>
      </c>
      <c r="I174" s="41" t="n">
        <f aca="false">(parametros_carros!$D$31*('Plan mensual'!K90+IF(parametros_carros!$H$31="Todos",'Plan mensual'!K94,0))+parametros_carros!$E$31*('Plan mensual'!K91+IF(parametros_carros!$H$31="Todos",'Plan mensual'!K95,0))+parametros_carros!$F$31*('Plan mensual'!K92+IF(parametros_carros!$H$31="Todos",'Plan mensual'!K96,0))+parametros_carros!$G$31*('Plan mensual'!K93+IF(parametros_carros!$H$31="Todos",'Plan mensual'!K97,0)))/60</f>
        <v>6.4538181897825</v>
      </c>
      <c r="J174" s="41" t="n">
        <f aca="false">(parametros_carros!$D$31*('Plan mensual'!L90+IF(parametros_carros!$H$31="Todos",'Plan mensual'!L94,0))+parametros_carros!$E$31*('Plan mensual'!L91+IF(parametros_carros!$H$31="Todos",'Plan mensual'!L95,0))+parametros_carros!$F$31*('Plan mensual'!L92+IF(parametros_carros!$H$31="Todos",'Plan mensual'!L96,0))+parametros_carros!$G$31*('Plan mensual'!L93+IF(parametros_carros!$H$31="Todos",'Plan mensual'!L97,0)))/60</f>
        <v>6.09527273479458</v>
      </c>
      <c r="K174" s="41" t="n">
        <f aca="false">(parametros_carros!$D$31*('Plan mensual'!M90+IF(parametros_carros!$H$31="Todos",'Plan mensual'!M94,0))+parametros_carros!$E$31*('Plan mensual'!M91+IF(parametros_carros!$H$31="Todos",'Plan mensual'!M95,0))+parametros_carros!$F$31*('Plan mensual'!M92+IF(parametros_carros!$H$31="Todos",'Plan mensual'!M96,0))+parametros_carros!$G$31*('Plan mensual'!M93+IF(parametros_carros!$H$31="Todos",'Plan mensual'!M97,0)))/60</f>
        <v>5.37818182481875</v>
      </c>
      <c r="L174" s="41" t="n">
        <f aca="false">(parametros_carros!$D$31*('Plan mensual'!N90+IF(parametros_carros!$H$31="Todos",'Plan mensual'!N94,0))+parametros_carros!$E$31*('Plan mensual'!N91+IF(parametros_carros!$H$31="Todos",'Plan mensual'!N95,0))+parametros_carros!$F$31*('Plan mensual'!N92+IF(parametros_carros!$H$31="Todos",'Plan mensual'!N96,0))+parametros_carros!$G$31*('Plan mensual'!N93+IF(parametros_carros!$H$31="Todos",'Plan mensual'!N97,0)))/60</f>
        <v>5.01963636983083</v>
      </c>
      <c r="M174" s="41" t="n">
        <f aca="false">(parametros_carros!$D$31*('Plan mensual'!O90+IF(parametros_carros!$H$31="Todos",'Plan mensual'!O94,0))+parametros_carros!$E$31*('Plan mensual'!O91+IF(parametros_carros!$H$31="Todos",'Plan mensual'!O95,0))+parametros_carros!$F$31*('Plan mensual'!O92+IF(parametros_carros!$H$31="Todos",'Plan mensual'!O96,0))+parametros_carros!$G$31*('Plan mensual'!O93+IF(parametros_carros!$H$31="Todos",'Plan mensual'!O97,0)))/60</f>
        <v>5.73672727980667</v>
      </c>
      <c r="N174" s="41" t="n">
        <f aca="false">SUM(B174:M174)</f>
        <v>71.7090909975833</v>
      </c>
      <c r="O174" s="41" t="n">
        <f aca="false">MAX(B174:M174)</f>
        <v>6.4538181897825</v>
      </c>
      <c r="P174" s="45" t="n">
        <f aca="false">IF(parametros_carros!$B$7=0,0,(O174+parametros_carros!$G$57)/parametros_carros!$B$7)</f>
        <v>0.0519143434874389</v>
      </c>
      <c r="Q174" s="29" t="str">
        <f aca="false">IF(O174=0,"-",INDEX($B$161:$M$161,MATCH(O174,B174:M174,0)))</f>
        <v>Mar</v>
      </c>
    </row>
    <row r="175" customFormat="false" ht="14.25" hidden="false" customHeight="true" outlineLevel="0" collapsed="false">
      <c r="A175" s="12" t="str">
        <f aca="false">parametros_carros!$B$32</f>
        <v>Recepción de pintados y cambio de juego</v>
      </c>
      <c r="B175" s="41" t="n">
        <f aca="false">(parametros_carros!$D$32*('Plan mensual'!D90+IF(parametros_carros!$H$32="Todos",'Plan mensual'!D94,0))+parametros_carros!$E$32*('Plan mensual'!D91+IF(parametros_carros!$H$32="Todos",'Plan mensual'!D95,0))+parametros_carros!$F$32*('Plan mensual'!D92+IF(parametros_carros!$H$32="Todos",'Plan mensual'!D96,0))+parametros_carros!$G$32*('Plan mensual'!D93+IF(parametros_carros!$H$32="Todos",'Plan mensual'!D97,0)))/60</f>
        <v>11.9239094280508</v>
      </c>
      <c r="C175" s="41" t="n">
        <f aca="false">(parametros_carros!$D$32*('Plan mensual'!E90+IF(parametros_carros!$H$32="Todos",'Plan mensual'!E94,0))+parametros_carros!$E$32*('Plan mensual'!E91+IF(parametros_carros!$H$32="Todos",'Plan mensual'!E95,0))+parametros_carros!$F$32*('Plan mensual'!E92+IF(parametros_carros!$H$32="Todos",'Plan mensual'!E96,0))+parametros_carros!$G$32*('Plan mensual'!E93+IF(parametros_carros!$H$32="Todos",'Plan mensual'!E97,0)))/60</f>
        <v>10.5210965541625</v>
      </c>
      <c r="D175" s="41" t="n">
        <f aca="false">(parametros_carros!$D$32*('Plan mensual'!F90+IF(parametros_carros!$H$32="Todos",'Plan mensual'!F94,0))+parametros_carros!$E$32*('Plan mensual'!F91+IF(parametros_carros!$H$32="Todos",'Plan mensual'!F95,0))+parametros_carros!$F$32*('Plan mensual'!F92+IF(parametros_carros!$H$32="Todos",'Plan mensual'!F96,0))+parametros_carros!$G$32*('Plan mensual'!F93+IF(parametros_carros!$H$32="Todos",'Plan mensual'!F97,0)))/60</f>
        <v>12.625315864995</v>
      </c>
      <c r="E175" s="41" t="n">
        <f aca="false">(parametros_carros!$D$32*('Plan mensual'!G90+IF(parametros_carros!$H$32="Todos",'Plan mensual'!G94,0))+parametros_carros!$E$32*('Plan mensual'!G91+IF(parametros_carros!$H$32="Todos",'Plan mensual'!G95,0))+parametros_carros!$F$32*('Plan mensual'!G92+IF(parametros_carros!$H$32="Todos",'Plan mensual'!G96,0))+parametros_carros!$G$32*('Plan mensual'!G93+IF(parametros_carros!$H$32="Todos",'Plan mensual'!G97,0)))/60</f>
        <v>12.625315864995</v>
      </c>
      <c r="F175" s="41" t="n">
        <f aca="false">(parametros_carros!$D$32*('Plan mensual'!H90+IF(parametros_carros!$H$32="Todos",'Plan mensual'!H94,0))+parametros_carros!$E$32*('Plan mensual'!H91+IF(parametros_carros!$H$32="Todos",'Plan mensual'!H95,0))+parametros_carros!$F$32*('Plan mensual'!H92+IF(parametros_carros!$H$32="Todos",'Plan mensual'!H96,0))+parametros_carros!$G$32*('Plan mensual'!H93+IF(parametros_carros!$H$32="Todos",'Plan mensual'!H97,0)))/60</f>
        <v>12.625315864995</v>
      </c>
      <c r="G175" s="41" t="n">
        <f aca="false">(parametros_carros!$D$32*('Plan mensual'!I90+IF(parametros_carros!$H$32="Todos",'Plan mensual'!I94,0))+parametros_carros!$E$32*('Plan mensual'!I91+IF(parametros_carros!$H$32="Todos",'Plan mensual'!I95,0))+parametros_carros!$F$32*('Plan mensual'!I92+IF(parametros_carros!$H$32="Todos",'Plan mensual'!I96,0))+parametros_carros!$G$32*('Plan mensual'!I93+IF(parametros_carros!$H$32="Todos",'Plan mensual'!I97,0)))/60</f>
        <v>11.2225029911067</v>
      </c>
      <c r="H175" s="41" t="n">
        <f aca="false">(parametros_carros!$D$32*('Plan mensual'!J90+IF(parametros_carros!$H$32="Todos",'Plan mensual'!J94,0))+parametros_carros!$E$32*('Plan mensual'!J91+IF(parametros_carros!$H$32="Todos",'Plan mensual'!J95,0))+parametros_carros!$F$32*('Plan mensual'!J92+IF(parametros_carros!$H$32="Todos",'Plan mensual'!J96,0))+parametros_carros!$G$32*('Plan mensual'!J93+IF(parametros_carros!$H$32="Todos",'Plan mensual'!J97,0)))/60</f>
        <v>12.625315864995</v>
      </c>
      <c r="I175" s="41" t="n">
        <f aca="false">(parametros_carros!$D$32*('Plan mensual'!K90+IF(parametros_carros!$H$32="Todos",'Plan mensual'!K94,0))+parametros_carros!$E$32*('Plan mensual'!K91+IF(parametros_carros!$H$32="Todos",'Plan mensual'!K95,0))+parametros_carros!$F$32*('Plan mensual'!K92+IF(parametros_carros!$H$32="Todos",'Plan mensual'!K96,0))+parametros_carros!$G$32*('Plan mensual'!K93+IF(parametros_carros!$H$32="Todos",'Plan mensual'!K97,0)))/60</f>
        <v>12.625315864995</v>
      </c>
      <c r="J175" s="41" t="n">
        <f aca="false">(parametros_carros!$D$32*('Plan mensual'!L90+IF(parametros_carros!$H$32="Todos",'Plan mensual'!L94,0))+parametros_carros!$E$32*('Plan mensual'!L91+IF(parametros_carros!$H$32="Todos",'Plan mensual'!L95,0))+parametros_carros!$F$32*('Plan mensual'!L92+IF(parametros_carros!$H$32="Todos",'Plan mensual'!L96,0))+parametros_carros!$G$32*('Plan mensual'!L93+IF(parametros_carros!$H$32="Todos",'Plan mensual'!L97,0)))/60</f>
        <v>11.9239094280508</v>
      </c>
      <c r="K175" s="41" t="n">
        <f aca="false">(parametros_carros!$D$32*('Plan mensual'!M90+IF(parametros_carros!$H$32="Todos",'Plan mensual'!M94,0))+parametros_carros!$E$32*('Plan mensual'!M91+IF(parametros_carros!$H$32="Todos",'Plan mensual'!M95,0))+parametros_carros!$F$32*('Plan mensual'!M92+IF(parametros_carros!$H$32="Todos",'Plan mensual'!M96,0))+parametros_carros!$G$32*('Plan mensual'!M93+IF(parametros_carros!$H$32="Todos",'Plan mensual'!M97,0)))/60</f>
        <v>10.5210965541625</v>
      </c>
      <c r="L175" s="41" t="n">
        <f aca="false">(parametros_carros!$D$32*('Plan mensual'!N90+IF(parametros_carros!$H$32="Todos",'Plan mensual'!N94,0))+parametros_carros!$E$32*('Plan mensual'!N91+IF(parametros_carros!$H$32="Todos",'Plan mensual'!N95,0))+parametros_carros!$F$32*('Plan mensual'!N92+IF(parametros_carros!$H$32="Todos",'Plan mensual'!N96,0))+parametros_carros!$G$32*('Plan mensual'!N93+IF(parametros_carros!$H$32="Todos",'Plan mensual'!N97,0)))/60</f>
        <v>9.81969011721833</v>
      </c>
      <c r="M175" s="41" t="n">
        <f aca="false">(parametros_carros!$D$32*('Plan mensual'!O90+IF(parametros_carros!$H$32="Todos",'Plan mensual'!O94,0))+parametros_carros!$E$32*('Plan mensual'!O91+IF(parametros_carros!$H$32="Todos",'Plan mensual'!O95,0))+parametros_carros!$F$32*('Plan mensual'!O92+IF(parametros_carros!$H$32="Todos",'Plan mensual'!O96,0))+parametros_carros!$G$32*('Plan mensual'!O93+IF(parametros_carros!$H$32="Todos",'Plan mensual'!O97,0)))/60</f>
        <v>11.2225029911067</v>
      </c>
      <c r="N175" s="41" t="n">
        <f aca="false">SUM(B175:M175)</f>
        <v>140.281287388833</v>
      </c>
      <c r="O175" s="41" t="n">
        <f aca="false">MAX(B175:M175)</f>
        <v>12.625315864995</v>
      </c>
      <c r="P175" s="45" t="n">
        <f aca="false">IF(parametros_carros!$B$7=0,0,(O175+parametros_carros!$G$58)/parametros_carros!$B$7)</f>
        <v>0.0930576613221889</v>
      </c>
      <c r="Q175" s="29" t="str">
        <f aca="false">IF(O175=0,"-",INDEX($B$161:$M$161,MATCH(O175,B175:M175,0)))</f>
        <v>Mar</v>
      </c>
    </row>
    <row r="176" customFormat="false" ht="14.25" hidden="false" customHeight="true" outlineLevel="0" collapsed="false">
      <c r="A176" s="12" t="str">
        <f aca="false">parametros_carros!$B$33</f>
        <v>Carga de polvo y presurización</v>
      </c>
      <c r="B176" s="41" t="n">
        <f aca="false">(parametros_carros!$D$33*('Plan mensual'!D90+IF(parametros_carros!$H$33="Todos",'Plan mensual'!D94,0))+parametros_carros!$E$33*('Plan mensual'!D91+IF(parametros_carros!$H$33="Todos",'Plan mensual'!D95,0))+parametros_carros!$F$33*('Plan mensual'!D92+IF(parametros_carros!$H$33="Todos",'Plan mensual'!D96,0))+parametros_carros!$G$33*('Plan mensual'!D93+IF(parametros_carros!$H$33="Todos",'Plan mensual'!D97,0)))/60</f>
        <v>25.3310291730158</v>
      </c>
      <c r="C176" s="41" t="n">
        <f aca="false">(parametros_carros!$D$33*('Plan mensual'!E90+IF(parametros_carros!$H$33="Todos",'Plan mensual'!E94,0))+parametros_carros!$E$33*('Plan mensual'!E91+IF(parametros_carros!$H$33="Todos",'Plan mensual'!E95,0))+parametros_carros!$F$33*('Plan mensual'!E92+IF(parametros_carros!$H$33="Todos",'Plan mensual'!E96,0))+parametros_carros!$G$33*('Plan mensual'!E93+IF(parametros_carros!$H$33="Todos",'Plan mensual'!E97,0)))/60</f>
        <v>22.3509080938375</v>
      </c>
      <c r="D176" s="41" t="n">
        <f aca="false">(parametros_carros!$D$33*('Plan mensual'!F90+IF(parametros_carros!$H$33="Todos",'Plan mensual'!F94,0))+parametros_carros!$E$33*('Plan mensual'!F91+IF(parametros_carros!$H$33="Todos",'Plan mensual'!F95,0))+parametros_carros!$F$33*('Plan mensual'!F92+IF(parametros_carros!$H$33="Todos",'Plan mensual'!F96,0))+parametros_carros!$G$33*('Plan mensual'!F93+IF(parametros_carros!$H$33="Todos",'Plan mensual'!F97,0)))/60</f>
        <v>26.821089712605</v>
      </c>
      <c r="E176" s="41" t="n">
        <f aca="false">(parametros_carros!$D$33*('Plan mensual'!G90+IF(parametros_carros!$H$33="Todos",'Plan mensual'!G94,0))+parametros_carros!$E$33*('Plan mensual'!G91+IF(parametros_carros!$H$33="Todos",'Plan mensual'!G95,0))+parametros_carros!$F$33*('Plan mensual'!G92+IF(parametros_carros!$H$33="Todos",'Plan mensual'!G96,0))+parametros_carros!$G$33*('Plan mensual'!G93+IF(parametros_carros!$H$33="Todos",'Plan mensual'!G97,0)))/60</f>
        <v>26.821089712605</v>
      </c>
      <c r="F176" s="41" t="n">
        <f aca="false">(parametros_carros!$D$33*('Plan mensual'!H90+IF(parametros_carros!$H$33="Todos",'Plan mensual'!H94,0))+parametros_carros!$E$33*('Plan mensual'!H91+IF(parametros_carros!$H$33="Todos",'Plan mensual'!H95,0))+parametros_carros!$F$33*('Plan mensual'!H92+IF(parametros_carros!$H$33="Todos",'Plan mensual'!H96,0))+parametros_carros!$G$33*('Plan mensual'!H93+IF(parametros_carros!$H$33="Todos",'Plan mensual'!H97,0)))/60</f>
        <v>26.821089712605</v>
      </c>
      <c r="G176" s="41" t="n">
        <f aca="false">(parametros_carros!$D$33*('Plan mensual'!I90+IF(parametros_carros!$H$33="Todos",'Plan mensual'!I94,0))+parametros_carros!$E$33*('Plan mensual'!I91+IF(parametros_carros!$H$33="Todos",'Plan mensual'!I95,0))+parametros_carros!$F$33*('Plan mensual'!I92+IF(parametros_carros!$H$33="Todos",'Plan mensual'!I96,0))+parametros_carros!$G$33*('Plan mensual'!I93+IF(parametros_carros!$H$33="Todos",'Plan mensual'!I97,0)))/60</f>
        <v>23.8409686334267</v>
      </c>
      <c r="H176" s="41" t="n">
        <f aca="false">(parametros_carros!$D$33*('Plan mensual'!J90+IF(parametros_carros!$H$33="Todos",'Plan mensual'!J94,0))+parametros_carros!$E$33*('Plan mensual'!J91+IF(parametros_carros!$H$33="Todos",'Plan mensual'!J95,0))+parametros_carros!$F$33*('Plan mensual'!J92+IF(parametros_carros!$H$33="Todos",'Plan mensual'!J96,0))+parametros_carros!$G$33*('Plan mensual'!J93+IF(parametros_carros!$H$33="Todos",'Plan mensual'!J97,0)))/60</f>
        <v>26.821089712605</v>
      </c>
      <c r="I176" s="41" t="n">
        <f aca="false">(parametros_carros!$D$33*('Plan mensual'!K90+IF(parametros_carros!$H$33="Todos",'Plan mensual'!K94,0))+parametros_carros!$E$33*('Plan mensual'!K91+IF(parametros_carros!$H$33="Todos",'Plan mensual'!K95,0))+parametros_carros!$F$33*('Plan mensual'!K92+IF(parametros_carros!$H$33="Todos",'Plan mensual'!K96,0))+parametros_carros!$G$33*('Plan mensual'!K93+IF(parametros_carros!$H$33="Todos",'Plan mensual'!K97,0)))/60</f>
        <v>26.821089712605</v>
      </c>
      <c r="J176" s="41" t="n">
        <f aca="false">(parametros_carros!$D$33*('Plan mensual'!L90+IF(parametros_carros!$H$33="Todos",'Plan mensual'!L94,0))+parametros_carros!$E$33*('Plan mensual'!L91+IF(parametros_carros!$H$33="Todos",'Plan mensual'!L95,0))+parametros_carros!$F$33*('Plan mensual'!L92+IF(parametros_carros!$H$33="Todos",'Plan mensual'!L96,0))+parametros_carros!$G$33*('Plan mensual'!L93+IF(parametros_carros!$H$33="Todos",'Plan mensual'!L97,0)))/60</f>
        <v>25.3310291730158</v>
      </c>
      <c r="K176" s="41" t="n">
        <f aca="false">(parametros_carros!$D$33*('Plan mensual'!M90+IF(parametros_carros!$H$33="Todos",'Plan mensual'!M94,0))+parametros_carros!$E$33*('Plan mensual'!M91+IF(parametros_carros!$H$33="Todos",'Plan mensual'!M95,0))+parametros_carros!$F$33*('Plan mensual'!M92+IF(parametros_carros!$H$33="Todos",'Plan mensual'!M96,0))+parametros_carros!$G$33*('Plan mensual'!M93+IF(parametros_carros!$H$33="Todos",'Plan mensual'!M97,0)))/60</f>
        <v>22.3509080938375</v>
      </c>
      <c r="L176" s="41" t="n">
        <f aca="false">(parametros_carros!$D$33*('Plan mensual'!N90+IF(parametros_carros!$H$33="Todos",'Plan mensual'!N94,0))+parametros_carros!$E$33*('Plan mensual'!N91+IF(parametros_carros!$H$33="Todos",'Plan mensual'!N95,0))+parametros_carros!$F$33*('Plan mensual'!N92+IF(parametros_carros!$H$33="Todos",'Plan mensual'!N96,0))+parametros_carros!$G$33*('Plan mensual'!N93+IF(parametros_carros!$H$33="Todos",'Plan mensual'!N97,0)))/60</f>
        <v>20.8608475542483</v>
      </c>
      <c r="M176" s="41" t="n">
        <f aca="false">(parametros_carros!$D$33*('Plan mensual'!O90+IF(parametros_carros!$H$33="Todos",'Plan mensual'!O94,0))+parametros_carros!$E$33*('Plan mensual'!O91+IF(parametros_carros!$H$33="Todos",'Plan mensual'!O95,0))+parametros_carros!$F$33*('Plan mensual'!O92+IF(parametros_carros!$H$33="Todos",'Plan mensual'!O96,0))+parametros_carros!$G$33*('Plan mensual'!O93+IF(parametros_carros!$H$33="Todos",'Plan mensual'!O97,0)))/60</f>
        <v>23.8409686334267</v>
      </c>
      <c r="N176" s="41" t="n">
        <f aca="false">SUM(B176:M176)</f>
        <v>298.012107917833</v>
      </c>
      <c r="O176" s="41" t="n">
        <f aca="false">MAX(B176:M176)</f>
        <v>26.821089712605</v>
      </c>
      <c r="P176" s="45" t="n">
        <f aca="false">IF(parametros_carros!$B$7=0,0,(O176+parametros_carros!$G$59)/parametros_carros!$B$7)</f>
        <v>0.285473931417367</v>
      </c>
      <c r="Q176" s="29" t="str">
        <f aca="false">IF(O176=0,"-",INDEX($B$161:$M$161,MATCH(O176,B176:M176,0)))</f>
        <v>Mar</v>
      </c>
    </row>
    <row r="177" customFormat="false" ht="14.25" hidden="false" customHeight="true" outlineLevel="0" collapsed="false">
      <c r="A177" s="12" t="str">
        <f aca="false">parametros_carros!$B$34</f>
        <v>Montaje, manga, precinto y etiquetado</v>
      </c>
      <c r="B177" s="41" t="n">
        <f aca="false">(parametros_carros!$D$34*('Plan mensual'!D90+IF(parametros_carros!$H$34="Todos",'Plan mensual'!D94,0))+parametros_carros!$E$34*('Plan mensual'!D91+IF(parametros_carros!$H$34="Todos",'Plan mensual'!D95,0))+parametros_carros!$F$34*('Plan mensual'!D92+IF(parametros_carros!$H$34="Todos",'Plan mensual'!D96,0))+parametros_carros!$G$34*('Plan mensual'!D93+IF(parametros_carros!$H$34="Todos",'Plan mensual'!D97,0)))/60</f>
        <v>14.1283728440525</v>
      </c>
      <c r="C177" s="41" t="n">
        <f aca="false">(parametros_carros!$D$34*('Plan mensual'!E90+IF(parametros_carros!$H$34="Todos",'Plan mensual'!E94,0))+parametros_carros!$E$34*('Plan mensual'!E91+IF(parametros_carros!$H$34="Todos",'Plan mensual'!E95,0))+parametros_carros!$F$34*('Plan mensual'!E92+IF(parametros_carros!$H$34="Todos",'Plan mensual'!E96,0))+parametros_carros!$G$34*('Plan mensual'!E93+IF(parametros_carros!$H$34="Todos",'Plan mensual'!E97,0)))/60</f>
        <v>12.4662113329875</v>
      </c>
      <c r="D177" s="41" t="n">
        <f aca="false">(parametros_carros!$D$34*('Plan mensual'!F90+IF(parametros_carros!$H$34="Todos",'Plan mensual'!F94,0))+parametros_carros!$E$34*('Plan mensual'!F91+IF(parametros_carros!$H$34="Todos",'Plan mensual'!F95,0))+parametros_carros!$F$34*('Plan mensual'!F92+IF(parametros_carros!$H$34="Todos",'Plan mensual'!F96,0))+parametros_carros!$G$34*('Plan mensual'!F93+IF(parametros_carros!$H$34="Todos",'Plan mensual'!F97,0)))/60</f>
        <v>14.959453599585</v>
      </c>
      <c r="E177" s="41" t="n">
        <f aca="false">(parametros_carros!$D$34*('Plan mensual'!G90+IF(parametros_carros!$H$34="Todos",'Plan mensual'!G94,0))+parametros_carros!$E$34*('Plan mensual'!G91+IF(parametros_carros!$H$34="Todos",'Plan mensual'!G95,0))+parametros_carros!$F$34*('Plan mensual'!G92+IF(parametros_carros!$H$34="Todos",'Plan mensual'!G96,0))+parametros_carros!$G$34*('Plan mensual'!G93+IF(parametros_carros!$H$34="Todos",'Plan mensual'!G97,0)))/60</f>
        <v>14.959453599585</v>
      </c>
      <c r="F177" s="41" t="n">
        <f aca="false">(parametros_carros!$D$34*('Plan mensual'!H90+IF(parametros_carros!$H$34="Todos",'Plan mensual'!H94,0))+parametros_carros!$E$34*('Plan mensual'!H91+IF(parametros_carros!$H$34="Todos",'Plan mensual'!H95,0))+parametros_carros!$F$34*('Plan mensual'!H92+IF(parametros_carros!$H$34="Todos",'Plan mensual'!H96,0))+parametros_carros!$G$34*('Plan mensual'!H93+IF(parametros_carros!$H$34="Todos",'Plan mensual'!H97,0)))/60</f>
        <v>14.959453599585</v>
      </c>
      <c r="G177" s="41" t="n">
        <f aca="false">(parametros_carros!$D$34*('Plan mensual'!I90+IF(parametros_carros!$H$34="Todos",'Plan mensual'!I94,0))+parametros_carros!$E$34*('Plan mensual'!I91+IF(parametros_carros!$H$34="Todos",'Plan mensual'!I95,0))+parametros_carros!$F$34*('Plan mensual'!I92+IF(parametros_carros!$H$34="Todos",'Plan mensual'!I96,0))+parametros_carros!$G$34*('Plan mensual'!I93+IF(parametros_carros!$H$34="Todos",'Plan mensual'!I97,0)))/60</f>
        <v>13.29729208852</v>
      </c>
      <c r="H177" s="41" t="n">
        <f aca="false">(parametros_carros!$D$34*('Plan mensual'!J90+IF(parametros_carros!$H$34="Todos",'Plan mensual'!J94,0))+parametros_carros!$E$34*('Plan mensual'!J91+IF(parametros_carros!$H$34="Todos",'Plan mensual'!J95,0))+parametros_carros!$F$34*('Plan mensual'!J92+IF(parametros_carros!$H$34="Todos",'Plan mensual'!J96,0))+parametros_carros!$G$34*('Plan mensual'!J93+IF(parametros_carros!$H$34="Todos",'Plan mensual'!J97,0)))/60</f>
        <v>14.959453599585</v>
      </c>
      <c r="I177" s="41" t="n">
        <f aca="false">(parametros_carros!$D$34*('Plan mensual'!K90+IF(parametros_carros!$H$34="Todos",'Plan mensual'!K94,0))+parametros_carros!$E$34*('Plan mensual'!K91+IF(parametros_carros!$H$34="Todos",'Plan mensual'!K95,0))+parametros_carros!$F$34*('Plan mensual'!K92+IF(parametros_carros!$H$34="Todos",'Plan mensual'!K96,0))+parametros_carros!$G$34*('Plan mensual'!K93+IF(parametros_carros!$H$34="Todos",'Plan mensual'!K97,0)))/60</f>
        <v>14.959453599585</v>
      </c>
      <c r="J177" s="41" t="n">
        <f aca="false">(parametros_carros!$D$34*('Plan mensual'!L90+IF(parametros_carros!$H$34="Todos",'Plan mensual'!L94,0))+parametros_carros!$E$34*('Plan mensual'!L91+IF(parametros_carros!$H$34="Todos",'Plan mensual'!L95,0))+parametros_carros!$F$34*('Plan mensual'!L92+IF(parametros_carros!$H$34="Todos",'Plan mensual'!L96,0))+parametros_carros!$G$34*('Plan mensual'!L93+IF(parametros_carros!$H$34="Todos",'Plan mensual'!L97,0)))/60</f>
        <v>14.1283728440525</v>
      </c>
      <c r="K177" s="41" t="n">
        <f aca="false">(parametros_carros!$D$34*('Plan mensual'!M90+IF(parametros_carros!$H$34="Todos",'Plan mensual'!M94,0))+parametros_carros!$E$34*('Plan mensual'!M91+IF(parametros_carros!$H$34="Todos",'Plan mensual'!M95,0))+parametros_carros!$F$34*('Plan mensual'!M92+IF(parametros_carros!$H$34="Todos",'Plan mensual'!M96,0))+parametros_carros!$G$34*('Plan mensual'!M93+IF(parametros_carros!$H$34="Todos",'Plan mensual'!M97,0)))/60</f>
        <v>12.4662113329875</v>
      </c>
      <c r="L177" s="41" t="n">
        <f aca="false">(parametros_carros!$D$34*('Plan mensual'!N90+IF(parametros_carros!$H$34="Todos",'Plan mensual'!N94,0))+parametros_carros!$E$34*('Plan mensual'!N91+IF(parametros_carros!$H$34="Todos",'Plan mensual'!N95,0))+parametros_carros!$F$34*('Plan mensual'!N92+IF(parametros_carros!$H$34="Todos",'Plan mensual'!N96,0))+parametros_carros!$G$34*('Plan mensual'!N93+IF(parametros_carros!$H$34="Todos",'Plan mensual'!N97,0)))/60</f>
        <v>11.635130577455</v>
      </c>
      <c r="M177" s="41" t="n">
        <f aca="false">(parametros_carros!$D$34*('Plan mensual'!O90+IF(parametros_carros!$H$34="Todos",'Plan mensual'!O94,0))+parametros_carros!$E$34*('Plan mensual'!O91+IF(parametros_carros!$H$34="Todos",'Plan mensual'!O95,0))+parametros_carros!$F$34*('Plan mensual'!O92+IF(parametros_carros!$H$34="Todos",'Plan mensual'!O96,0))+parametros_carros!$G$34*('Plan mensual'!O93+IF(parametros_carros!$H$34="Todos",'Plan mensual'!O97,0)))/60</f>
        <v>13.29729208852</v>
      </c>
      <c r="N177" s="41" t="n">
        <f aca="false">SUM(B177:M177)</f>
        <v>166.2161511065</v>
      </c>
      <c r="O177" s="41" t="n">
        <f aca="false">MAX(B177:M177)</f>
        <v>14.959453599585</v>
      </c>
      <c r="P177" s="45" t="n">
        <f aca="false">IF(parametros_carros!$B$7=0,0,(O177+parametros_carros!$G$60)/parametros_carros!$B$7)</f>
        <v>0.146396357330567</v>
      </c>
      <c r="Q177" s="29" t="str">
        <f aca="false">IF(O177=0,"-",INDEX($B$161:$M$161,MATCH(O177,B177:M177,0)))</f>
        <v>Mar</v>
      </c>
    </row>
    <row r="178" customFormat="false" ht="14.25" hidden="false" customHeight="true" outlineLevel="0" collapsed="false">
      <c r="A178" s="12" t="str">
        <f aca="false">parametros_carros!$B$35</f>
        <v>Calidad: pérdidas, inspección final, liberación y ensayos de lote</v>
      </c>
      <c r="B178" s="41" t="n">
        <f aca="false">(parametros_carros!$D$35*('Plan mensual'!D90+IF(parametros_carros!$H$35="Todos",'Plan mensual'!D94,0))+parametros_carros!$E$35*('Plan mensual'!D91+IF(parametros_carros!$H$35="Todos",'Plan mensual'!D95,0))+parametros_carros!$F$35*('Plan mensual'!D92+IF(parametros_carros!$H$35="Todos",'Plan mensual'!D96,0))+parametros_carros!$G$35*('Plan mensual'!D93+IF(parametros_carros!$H$35="Todos",'Plan mensual'!D97,0)))/60</f>
        <v>10.707703417436</v>
      </c>
      <c r="C178" s="41" t="n">
        <f aca="false">(parametros_carros!$D$35*('Plan mensual'!E90+IF(parametros_carros!$H$35="Todos",'Plan mensual'!E94,0))+parametros_carros!$E$35*('Plan mensual'!E91+IF(parametros_carros!$H$35="Todos",'Plan mensual'!E95,0))+parametros_carros!$F$35*('Plan mensual'!E92+IF(parametros_carros!$H$35="Todos",'Plan mensual'!E96,0))+parametros_carros!$G$35*('Plan mensual'!E93+IF(parametros_carros!$H$35="Todos",'Plan mensual'!E97,0)))/60</f>
        <v>9.44797360362</v>
      </c>
      <c r="D178" s="41" t="n">
        <f aca="false">(parametros_carros!$D$35*('Plan mensual'!F90+IF(parametros_carros!$H$35="Todos",'Plan mensual'!F94,0))+parametros_carros!$E$35*('Plan mensual'!F91+IF(parametros_carros!$H$35="Todos",'Plan mensual'!F95,0))+parametros_carros!$F$35*('Plan mensual'!F92+IF(parametros_carros!$H$35="Todos",'Plan mensual'!F96,0))+parametros_carros!$G$35*('Plan mensual'!F93+IF(parametros_carros!$H$35="Todos",'Plan mensual'!F97,0)))/60</f>
        <v>11.337568324344</v>
      </c>
      <c r="E178" s="41" t="n">
        <f aca="false">(parametros_carros!$D$35*('Plan mensual'!G90+IF(parametros_carros!$H$35="Todos",'Plan mensual'!G94,0))+parametros_carros!$E$35*('Plan mensual'!G91+IF(parametros_carros!$H$35="Todos",'Plan mensual'!G95,0))+parametros_carros!$F$35*('Plan mensual'!G92+IF(parametros_carros!$H$35="Todos",'Plan mensual'!G96,0))+parametros_carros!$G$35*('Plan mensual'!G93+IF(parametros_carros!$H$35="Todos",'Plan mensual'!G97,0)))/60</f>
        <v>11.337568324344</v>
      </c>
      <c r="F178" s="41" t="n">
        <f aca="false">(parametros_carros!$D$35*('Plan mensual'!H90+IF(parametros_carros!$H$35="Todos",'Plan mensual'!H94,0))+parametros_carros!$E$35*('Plan mensual'!H91+IF(parametros_carros!$H$35="Todos",'Plan mensual'!H95,0))+parametros_carros!$F$35*('Plan mensual'!H92+IF(parametros_carros!$H$35="Todos",'Plan mensual'!H96,0))+parametros_carros!$G$35*('Plan mensual'!H93+IF(parametros_carros!$H$35="Todos",'Plan mensual'!H97,0)))/60</f>
        <v>11.337568324344</v>
      </c>
      <c r="G178" s="41" t="n">
        <f aca="false">(parametros_carros!$D$35*('Plan mensual'!I90+IF(parametros_carros!$H$35="Todos",'Plan mensual'!I94,0))+parametros_carros!$E$35*('Plan mensual'!I91+IF(parametros_carros!$H$35="Todos",'Plan mensual'!I95,0))+parametros_carros!$F$35*('Plan mensual'!I92+IF(parametros_carros!$H$35="Todos",'Plan mensual'!I96,0))+parametros_carros!$G$35*('Plan mensual'!I93+IF(parametros_carros!$H$35="Todos",'Plan mensual'!I97,0)))/60</f>
        <v>10.077838510528</v>
      </c>
      <c r="H178" s="41" t="n">
        <f aca="false">(parametros_carros!$D$35*('Plan mensual'!J90+IF(parametros_carros!$H$35="Todos",'Plan mensual'!J94,0))+parametros_carros!$E$35*('Plan mensual'!J91+IF(parametros_carros!$H$35="Todos",'Plan mensual'!J95,0))+parametros_carros!$F$35*('Plan mensual'!J92+IF(parametros_carros!$H$35="Todos",'Plan mensual'!J96,0))+parametros_carros!$G$35*('Plan mensual'!J93+IF(parametros_carros!$H$35="Todos",'Plan mensual'!J97,0)))/60</f>
        <v>11.337568324344</v>
      </c>
      <c r="I178" s="41" t="n">
        <f aca="false">(parametros_carros!$D$35*('Plan mensual'!K90+IF(parametros_carros!$H$35="Todos",'Plan mensual'!K94,0))+parametros_carros!$E$35*('Plan mensual'!K91+IF(parametros_carros!$H$35="Todos",'Plan mensual'!K95,0))+parametros_carros!$F$35*('Plan mensual'!K92+IF(parametros_carros!$H$35="Todos",'Plan mensual'!K96,0))+parametros_carros!$G$35*('Plan mensual'!K93+IF(parametros_carros!$H$35="Todos",'Plan mensual'!K97,0)))/60</f>
        <v>11.337568324344</v>
      </c>
      <c r="J178" s="41" t="n">
        <f aca="false">(parametros_carros!$D$35*('Plan mensual'!L90+IF(parametros_carros!$H$35="Todos",'Plan mensual'!L94,0))+parametros_carros!$E$35*('Plan mensual'!L91+IF(parametros_carros!$H$35="Todos",'Plan mensual'!L95,0))+parametros_carros!$F$35*('Plan mensual'!L92+IF(parametros_carros!$H$35="Todos",'Plan mensual'!L96,0))+parametros_carros!$G$35*('Plan mensual'!L93+IF(parametros_carros!$H$35="Todos",'Plan mensual'!L97,0)))/60</f>
        <v>10.707703417436</v>
      </c>
      <c r="K178" s="41" t="n">
        <f aca="false">(parametros_carros!$D$35*('Plan mensual'!M90+IF(parametros_carros!$H$35="Todos",'Plan mensual'!M94,0))+parametros_carros!$E$35*('Plan mensual'!M91+IF(parametros_carros!$H$35="Todos",'Plan mensual'!M95,0))+parametros_carros!$F$35*('Plan mensual'!M92+IF(parametros_carros!$H$35="Todos",'Plan mensual'!M96,0))+parametros_carros!$G$35*('Plan mensual'!M93+IF(parametros_carros!$H$35="Todos",'Plan mensual'!M97,0)))/60</f>
        <v>9.44797360362</v>
      </c>
      <c r="L178" s="41" t="n">
        <f aca="false">(parametros_carros!$D$35*('Plan mensual'!N90+IF(parametros_carros!$H$35="Todos",'Plan mensual'!N94,0))+parametros_carros!$E$35*('Plan mensual'!N91+IF(parametros_carros!$H$35="Todos",'Plan mensual'!N95,0))+parametros_carros!$F$35*('Plan mensual'!N92+IF(parametros_carros!$H$35="Todos",'Plan mensual'!N96,0))+parametros_carros!$G$35*('Plan mensual'!N93+IF(parametros_carros!$H$35="Todos",'Plan mensual'!N97,0)))/60</f>
        <v>8.818108696712</v>
      </c>
      <c r="M178" s="41" t="n">
        <f aca="false">(parametros_carros!$D$35*('Plan mensual'!O90+IF(parametros_carros!$H$35="Todos",'Plan mensual'!O94,0))+parametros_carros!$E$35*('Plan mensual'!O91+IF(parametros_carros!$H$35="Todos",'Plan mensual'!O95,0))+parametros_carros!$F$35*('Plan mensual'!O92+IF(parametros_carros!$H$35="Todos",'Plan mensual'!O96,0))+parametros_carros!$G$35*('Plan mensual'!O93+IF(parametros_carros!$H$35="Todos",'Plan mensual'!O97,0)))/60</f>
        <v>10.077838510528</v>
      </c>
      <c r="N178" s="41" t="n">
        <f aca="false">SUM(B178:M178)</f>
        <v>125.9729813816</v>
      </c>
      <c r="O178" s="41" t="n">
        <f aca="false">MAX(B178:M178)</f>
        <v>11.337568324344</v>
      </c>
      <c r="P178" s="45" t="n">
        <f aca="false">IF(parametros_carros!$B$7=0,0,(O178+parametros_carros!$G$61)/parametros_carros!$B$7)</f>
        <v>0.445806011051182</v>
      </c>
      <c r="Q178" s="29" t="str">
        <f aca="false">IF(O178=0,"-",INDEX($B$161:$M$161,MATCH(O178,B178:M178,0)))</f>
        <v>Mar</v>
      </c>
    </row>
    <row r="179" customFormat="false" ht="14.25" hidden="false" customHeight="true" outlineLevel="0" collapsed="false">
      <c r="A179" s="12" t="str">
        <f aca="false">parametros_carros!$B$36</f>
        <v>Depósito de producto terminado y despacho</v>
      </c>
      <c r="B179" s="41" t="n">
        <f aca="false">(parametros_carros!$D$36*('Plan mensual'!D90+IF(parametros_carros!$H$36="Todos",'Plan mensual'!D94,0))+parametros_carros!$E$36*('Plan mensual'!D91+IF(parametros_carros!$H$36="Todos",'Plan mensual'!D95,0))+parametros_carros!$F$36*('Plan mensual'!D92+IF(parametros_carros!$H$36="Todos",'Plan mensual'!D96,0))+parametros_carros!$G$36*('Plan mensual'!D93+IF(parametros_carros!$H$36="Todos",'Plan mensual'!D97,0)))/60</f>
        <v>5.18097261624667</v>
      </c>
      <c r="C179" s="41" t="n">
        <f aca="false">(parametros_carros!$D$36*('Plan mensual'!E90+IF(parametros_carros!$H$36="Todos",'Plan mensual'!E94,0))+parametros_carros!$E$36*('Plan mensual'!E91+IF(parametros_carros!$H$36="Todos",'Plan mensual'!E95,0))+parametros_carros!$F$36*('Plan mensual'!E92+IF(parametros_carros!$H$36="Todos",'Plan mensual'!E96,0))+parametros_carros!$G$36*('Plan mensual'!E93+IF(parametros_carros!$H$36="Todos",'Plan mensual'!E97,0)))/60</f>
        <v>4.5714464261</v>
      </c>
      <c r="D179" s="41" t="n">
        <f aca="false">(parametros_carros!$D$36*('Plan mensual'!F90+IF(parametros_carros!$H$36="Todos",'Plan mensual'!F94,0))+parametros_carros!$E$36*('Plan mensual'!F91+IF(parametros_carros!$H$36="Todos",'Plan mensual'!F95,0))+parametros_carros!$F$36*('Plan mensual'!F92+IF(parametros_carros!$H$36="Todos",'Plan mensual'!F96,0))+parametros_carros!$G$36*('Plan mensual'!F93+IF(parametros_carros!$H$36="Todos",'Plan mensual'!F97,0)))/60</f>
        <v>5.48573571132</v>
      </c>
      <c r="E179" s="41" t="n">
        <f aca="false">(parametros_carros!$D$36*('Plan mensual'!G90+IF(parametros_carros!$H$36="Todos",'Plan mensual'!G94,0))+parametros_carros!$E$36*('Plan mensual'!G91+IF(parametros_carros!$H$36="Todos",'Plan mensual'!G95,0))+parametros_carros!$F$36*('Plan mensual'!G92+IF(parametros_carros!$H$36="Todos",'Plan mensual'!G96,0))+parametros_carros!$G$36*('Plan mensual'!G93+IF(parametros_carros!$H$36="Todos",'Plan mensual'!G97,0)))/60</f>
        <v>5.48573571132</v>
      </c>
      <c r="F179" s="41" t="n">
        <f aca="false">(parametros_carros!$D$36*('Plan mensual'!H90+IF(parametros_carros!$H$36="Todos",'Plan mensual'!H94,0))+parametros_carros!$E$36*('Plan mensual'!H91+IF(parametros_carros!$H$36="Todos",'Plan mensual'!H95,0))+parametros_carros!$F$36*('Plan mensual'!H92+IF(parametros_carros!$H$36="Todos",'Plan mensual'!H96,0))+parametros_carros!$G$36*('Plan mensual'!H93+IF(parametros_carros!$H$36="Todos",'Plan mensual'!H97,0)))/60</f>
        <v>5.48573571132</v>
      </c>
      <c r="G179" s="41" t="n">
        <f aca="false">(parametros_carros!$D$36*('Plan mensual'!I90+IF(parametros_carros!$H$36="Todos",'Plan mensual'!I94,0))+parametros_carros!$E$36*('Plan mensual'!I91+IF(parametros_carros!$H$36="Todos",'Plan mensual'!I95,0))+parametros_carros!$F$36*('Plan mensual'!I92+IF(parametros_carros!$H$36="Todos",'Plan mensual'!I96,0))+parametros_carros!$G$36*('Plan mensual'!I93+IF(parametros_carros!$H$36="Todos",'Plan mensual'!I97,0)))/60</f>
        <v>4.87620952117333</v>
      </c>
      <c r="H179" s="41" t="n">
        <f aca="false">(parametros_carros!$D$36*('Plan mensual'!J90+IF(parametros_carros!$H$36="Todos",'Plan mensual'!J94,0))+parametros_carros!$E$36*('Plan mensual'!J91+IF(parametros_carros!$H$36="Todos",'Plan mensual'!J95,0))+parametros_carros!$F$36*('Plan mensual'!J92+IF(parametros_carros!$H$36="Todos",'Plan mensual'!J96,0))+parametros_carros!$G$36*('Plan mensual'!J93+IF(parametros_carros!$H$36="Todos",'Plan mensual'!J97,0)))/60</f>
        <v>5.48573571132</v>
      </c>
      <c r="I179" s="41" t="n">
        <f aca="false">(parametros_carros!$D$36*('Plan mensual'!K90+IF(parametros_carros!$H$36="Todos",'Plan mensual'!K94,0))+parametros_carros!$E$36*('Plan mensual'!K91+IF(parametros_carros!$H$36="Todos",'Plan mensual'!K95,0))+parametros_carros!$F$36*('Plan mensual'!K92+IF(parametros_carros!$H$36="Todos",'Plan mensual'!K96,0))+parametros_carros!$G$36*('Plan mensual'!K93+IF(parametros_carros!$H$36="Todos",'Plan mensual'!K97,0)))/60</f>
        <v>5.48573571132</v>
      </c>
      <c r="J179" s="41" t="n">
        <f aca="false">(parametros_carros!$D$36*('Plan mensual'!L90+IF(parametros_carros!$H$36="Todos",'Plan mensual'!L94,0))+parametros_carros!$E$36*('Plan mensual'!L91+IF(parametros_carros!$H$36="Todos",'Plan mensual'!L95,0))+parametros_carros!$F$36*('Plan mensual'!L92+IF(parametros_carros!$H$36="Todos",'Plan mensual'!L96,0))+parametros_carros!$G$36*('Plan mensual'!L93+IF(parametros_carros!$H$36="Todos",'Plan mensual'!L97,0)))/60</f>
        <v>5.18097261624667</v>
      </c>
      <c r="K179" s="41" t="n">
        <f aca="false">(parametros_carros!$D$36*('Plan mensual'!M90+IF(parametros_carros!$H$36="Todos",'Plan mensual'!M94,0))+parametros_carros!$E$36*('Plan mensual'!M91+IF(parametros_carros!$H$36="Todos",'Plan mensual'!M95,0))+parametros_carros!$F$36*('Plan mensual'!M92+IF(parametros_carros!$H$36="Todos",'Plan mensual'!M96,0))+parametros_carros!$G$36*('Plan mensual'!M93+IF(parametros_carros!$H$36="Todos",'Plan mensual'!M97,0)))/60</f>
        <v>4.5714464261</v>
      </c>
      <c r="L179" s="41" t="n">
        <f aca="false">(parametros_carros!$D$36*('Plan mensual'!N90+IF(parametros_carros!$H$36="Todos",'Plan mensual'!N94,0))+parametros_carros!$E$36*('Plan mensual'!N91+IF(parametros_carros!$H$36="Todos",'Plan mensual'!N95,0))+parametros_carros!$F$36*('Plan mensual'!N92+IF(parametros_carros!$H$36="Todos",'Plan mensual'!N96,0))+parametros_carros!$G$36*('Plan mensual'!N93+IF(parametros_carros!$H$36="Todos",'Plan mensual'!N97,0)))/60</f>
        <v>4.26668333102667</v>
      </c>
      <c r="M179" s="41" t="n">
        <f aca="false">(parametros_carros!$D$36*('Plan mensual'!O90+IF(parametros_carros!$H$36="Todos",'Plan mensual'!O94,0))+parametros_carros!$E$36*('Plan mensual'!O91+IF(parametros_carros!$H$36="Todos",'Plan mensual'!O95,0))+parametros_carros!$F$36*('Plan mensual'!O92+IF(parametros_carros!$H$36="Todos",'Plan mensual'!O96,0))+parametros_carros!$G$36*('Plan mensual'!O93+IF(parametros_carros!$H$36="Todos",'Plan mensual'!O97,0)))/60</f>
        <v>4.87620952117333</v>
      </c>
      <c r="N179" s="41" t="n">
        <f aca="false">SUM(B179:M179)</f>
        <v>60.9526190146667</v>
      </c>
      <c r="O179" s="41" t="n">
        <f aca="false">MAX(B179:M179)</f>
        <v>5.48573571132</v>
      </c>
      <c r="P179" s="45" t="n">
        <f aca="false">IF(parametros_carros!$B$7=0,0,(O179+parametros_carros!$G$62)/parametros_carros!$B$7)</f>
        <v>0.0587937936310222</v>
      </c>
      <c r="Q179" s="29" t="str">
        <f aca="false">IF(O179=0,"-",INDEX($B$161:$M$161,MATCH(O179,B179:M179,0)))</f>
        <v>Mar</v>
      </c>
    </row>
    <row r="180" customFormat="false" ht="14.25" hidden="false" customHeight="true" outlineLevel="0" collapsed="false"/>
    <row r="181" customFormat="false" ht="45" hidden="false" customHeight="true" outlineLevel="0" collapsed="false">
      <c r="A181" s="11" t="s">
        <v>259</v>
      </c>
      <c r="B181" s="11" t="s">
        <v>17</v>
      </c>
      <c r="C181" s="11" t="s">
        <v>18</v>
      </c>
      <c r="D181" s="11" t="s">
        <v>19</v>
      </c>
      <c r="E181" s="11" t="s">
        <v>20</v>
      </c>
      <c r="F181" s="11" t="s">
        <v>21</v>
      </c>
      <c r="G181" s="11" t="s">
        <v>22</v>
      </c>
      <c r="H181" s="11" t="s">
        <v>23</v>
      </c>
      <c r="I181" s="11" t="s">
        <v>24</v>
      </c>
      <c r="J181" s="11" t="s">
        <v>25</v>
      </c>
      <c r="K181" s="11" t="s">
        <v>26</v>
      </c>
      <c r="L181" s="11" t="s">
        <v>27</v>
      </c>
      <c r="M181" s="11" t="s">
        <v>28</v>
      </c>
      <c r="N181" s="11" t="s">
        <v>247</v>
      </c>
      <c r="O181" s="11" t="s">
        <v>248</v>
      </c>
      <c r="P181" s="11" t="s">
        <v>249</v>
      </c>
      <c r="Q181" s="11" t="s">
        <v>250</v>
      </c>
    </row>
    <row r="182" customFormat="false" ht="14.25" hidden="false" customHeight="true" outlineLevel="0" collapsed="false">
      <c r="A182" s="12" t="str">
        <f aca="false">parametros_carros!$B$19</f>
        <v>Recepción de materia prima</v>
      </c>
      <c r="B182" s="41" t="n">
        <f aca="false">(parametros_carros!$D$19*('Plan mensual'!D101+IF(parametros_carros!$H$19="Todos",'Plan mensual'!D105,0))+parametros_carros!$E$19*('Plan mensual'!D102+IF(parametros_carros!$H$19="Todos",'Plan mensual'!D106,0))+parametros_carros!$F$19*('Plan mensual'!D103+IF(parametros_carros!$H$19="Todos",'Plan mensual'!D107,0))+parametros_carros!$G$19*('Plan mensual'!D104+IF(parametros_carros!$H$19="Todos",'Plan mensual'!D108,0)))/60</f>
        <v>7.84916095268352</v>
      </c>
      <c r="C182" s="41" t="n">
        <f aca="false">(parametros_carros!$D$19*('Plan mensual'!E101+IF(parametros_carros!$H$19="Todos",'Plan mensual'!E105,0))+parametros_carros!$E$19*('Plan mensual'!E102+IF(parametros_carros!$H$19="Todos",'Plan mensual'!E106,0))+parametros_carros!$F$19*('Plan mensual'!E103+IF(parametros_carros!$H$19="Todos",'Plan mensual'!E107,0))+parametros_carros!$G$19*('Plan mensual'!E104+IF(parametros_carros!$H$19="Todos",'Plan mensual'!E108,0)))/60</f>
        <v>6.92573025236781</v>
      </c>
      <c r="D182" s="41" t="n">
        <f aca="false">(parametros_carros!$D$19*('Plan mensual'!F101+IF(parametros_carros!$H$19="Todos",'Plan mensual'!F105,0))+parametros_carros!$E$19*('Plan mensual'!F102+IF(parametros_carros!$H$19="Todos",'Plan mensual'!F106,0))+parametros_carros!$F$19*('Plan mensual'!F103+IF(parametros_carros!$H$19="Todos",'Plan mensual'!F107,0))+parametros_carros!$G$19*('Plan mensual'!F104+IF(parametros_carros!$H$19="Todos",'Plan mensual'!F108,0)))/60</f>
        <v>8.31087630284138</v>
      </c>
      <c r="E182" s="41" t="n">
        <f aca="false">(parametros_carros!$D$19*('Plan mensual'!G101+IF(parametros_carros!$H$19="Todos",'Plan mensual'!G105,0))+parametros_carros!$E$19*('Plan mensual'!G102+IF(parametros_carros!$H$19="Todos",'Plan mensual'!G106,0))+parametros_carros!$F$19*('Plan mensual'!G103+IF(parametros_carros!$H$19="Todos",'Plan mensual'!G107,0))+parametros_carros!$G$19*('Plan mensual'!G104+IF(parametros_carros!$H$19="Todos",'Plan mensual'!G108,0)))/60</f>
        <v>8.31087630284138</v>
      </c>
      <c r="F182" s="41" t="n">
        <f aca="false">(parametros_carros!$D$19*('Plan mensual'!H101+IF(parametros_carros!$H$19="Todos",'Plan mensual'!H105,0))+parametros_carros!$E$19*('Plan mensual'!H102+IF(parametros_carros!$H$19="Todos",'Plan mensual'!H106,0))+parametros_carros!$F$19*('Plan mensual'!H103+IF(parametros_carros!$H$19="Todos",'Plan mensual'!H107,0))+parametros_carros!$G$19*('Plan mensual'!H104+IF(parametros_carros!$H$19="Todos",'Plan mensual'!H108,0)))/60</f>
        <v>8.31087630284138</v>
      </c>
      <c r="G182" s="41" t="n">
        <f aca="false">(parametros_carros!$D$19*('Plan mensual'!I101+IF(parametros_carros!$H$19="Todos",'Plan mensual'!I105,0))+parametros_carros!$E$19*('Plan mensual'!I102+IF(parametros_carros!$H$19="Todos",'Plan mensual'!I106,0))+parametros_carros!$F$19*('Plan mensual'!I103+IF(parametros_carros!$H$19="Todos",'Plan mensual'!I107,0))+parametros_carros!$G$19*('Plan mensual'!I104+IF(parametros_carros!$H$19="Todos",'Plan mensual'!I108,0)))/60</f>
        <v>7.38744560252567</v>
      </c>
      <c r="H182" s="41" t="n">
        <f aca="false">(parametros_carros!$D$19*('Plan mensual'!J101+IF(parametros_carros!$H$19="Todos",'Plan mensual'!J105,0))+parametros_carros!$E$19*('Plan mensual'!J102+IF(parametros_carros!$H$19="Todos",'Plan mensual'!J106,0))+parametros_carros!$F$19*('Plan mensual'!J103+IF(parametros_carros!$H$19="Todos",'Plan mensual'!J107,0))+parametros_carros!$G$19*('Plan mensual'!J104+IF(parametros_carros!$H$19="Todos",'Plan mensual'!J108,0)))/60</f>
        <v>8.31087630284138</v>
      </c>
      <c r="I182" s="41" t="n">
        <f aca="false">(parametros_carros!$D$19*('Plan mensual'!K101+IF(parametros_carros!$H$19="Todos",'Plan mensual'!K105,0))+parametros_carros!$E$19*('Plan mensual'!K102+IF(parametros_carros!$H$19="Todos",'Plan mensual'!K106,0))+parametros_carros!$F$19*('Plan mensual'!K103+IF(parametros_carros!$H$19="Todos",'Plan mensual'!K107,0))+parametros_carros!$G$19*('Plan mensual'!K104+IF(parametros_carros!$H$19="Todos",'Plan mensual'!K108,0)))/60</f>
        <v>8.31087630284138</v>
      </c>
      <c r="J182" s="41" t="n">
        <f aca="false">(parametros_carros!$D$19*('Plan mensual'!L101+IF(parametros_carros!$H$19="Todos",'Plan mensual'!L105,0))+parametros_carros!$E$19*('Plan mensual'!L102+IF(parametros_carros!$H$19="Todos",'Plan mensual'!L106,0))+parametros_carros!$F$19*('Plan mensual'!L103+IF(parametros_carros!$H$19="Todos",'Plan mensual'!L107,0))+parametros_carros!$G$19*('Plan mensual'!L104+IF(parametros_carros!$H$19="Todos",'Plan mensual'!L108,0)))/60</f>
        <v>7.84916095268352</v>
      </c>
      <c r="K182" s="41" t="n">
        <f aca="false">(parametros_carros!$D$19*('Plan mensual'!M101+IF(parametros_carros!$H$19="Todos",'Plan mensual'!M105,0))+parametros_carros!$E$19*('Plan mensual'!M102+IF(parametros_carros!$H$19="Todos",'Plan mensual'!M106,0))+parametros_carros!$F$19*('Plan mensual'!M103+IF(parametros_carros!$H$19="Todos",'Plan mensual'!M107,0))+parametros_carros!$G$19*('Plan mensual'!M104+IF(parametros_carros!$H$19="Todos",'Plan mensual'!M108,0)))/60</f>
        <v>6.92573025236781</v>
      </c>
      <c r="L182" s="41" t="n">
        <f aca="false">(parametros_carros!$D$19*('Plan mensual'!N101+IF(parametros_carros!$H$19="Todos",'Plan mensual'!N105,0))+parametros_carros!$E$19*('Plan mensual'!N102+IF(parametros_carros!$H$19="Todos",'Plan mensual'!N106,0))+parametros_carros!$F$19*('Plan mensual'!N103+IF(parametros_carros!$H$19="Todos",'Plan mensual'!N107,0))+parametros_carros!$G$19*('Plan mensual'!N104+IF(parametros_carros!$H$19="Todos",'Plan mensual'!N108,0)))/60</f>
        <v>6.46401490220996</v>
      </c>
      <c r="M182" s="41" t="n">
        <f aca="false">(parametros_carros!$D$19*('Plan mensual'!O101+IF(parametros_carros!$H$19="Todos",'Plan mensual'!O105,0))+parametros_carros!$E$19*('Plan mensual'!O102+IF(parametros_carros!$H$19="Todos",'Plan mensual'!O106,0))+parametros_carros!$F$19*('Plan mensual'!O103+IF(parametros_carros!$H$19="Todos",'Plan mensual'!O107,0))+parametros_carros!$G$19*('Plan mensual'!O104+IF(parametros_carros!$H$19="Todos",'Plan mensual'!O108,0)))/60</f>
        <v>7.38744560252567</v>
      </c>
      <c r="N182" s="41" t="n">
        <f aca="false">SUM(B182:M182)</f>
        <v>92.3430700315708</v>
      </c>
      <c r="O182" s="41" t="n">
        <f aca="false">MAX(B182:M182)</f>
        <v>8.31087630284138</v>
      </c>
      <c r="P182" s="45" t="n">
        <f aca="false">IF(parametros_carros!$B$7=0,0,(O182+parametros_carros!$G$45)/parametros_carros!$B$7)</f>
        <v>0.103516953130054</v>
      </c>
      <c r="Q182" s="29" t="str">
        <f aca="false">IF(O182=0,"-",INDEX($B$181:$M$181,MATCH(O182,B182:M182,0)))</f>
        <v>Mar</v>
      </c>
    </row>
    <row r="183" customFormat="false" ht="14.25" hidden="false" customHeight="true" outlineLevel="0" collapsed="false">
      <c r="A183" s="12" t="str">
        <f aca="false">parametros_carros!$B$20</f>
        <v>Corte de chapa (guillotina)</v>
      </c>
      <c r="B183" s="41" t="n">
        <f aca="false">(parametros_carros!$D$20*('Plan mensual'!D101+IF(parametros_carros!$H$20="Todos",'Plan mensual'!D105,0))+parametros_carros!$E$20*('Plan mensual'!D102+IF(parametros_carros!$H$20="Todos",'Plan mensual'!D106,0))+parametros_carros!$F$20*('Plan mensual'!D103+IF(parametros_carros!$H$20="Todos",'Plan mensual'!D107,0))+parametros_carros!$G$20*('Plan mensual'!D104+IF(parametros_carros!$H$20="Todos",'Plan mensual'!D108,0)))/60</f>
        <v>17.2510901291021</v>
      </c>
      <c r="C183" s="41" t="n">
        <f aca="false">(parametros_carros!$D$20*('Plan mensual'!E101+IF(parametros_carros!$H$20="Todos",'Plan mensual'!E105,0))+parametros_carros!$E$20*('Plan mensual'!E102+IF(parametros_carros!$H$20="Todos",'Plan mensual'!E106,0))+parametros_carros!$F$20*('Plan mensual'!E103+IF(parametros_carros!$H$20="Todos",'Plan mensual'!E107,0))+parametros_carros!$G$20*('Plan mensual'!E104+IF(parametros_carros!$H$20="Todos",'Plan mensual'!E108,0)))/60</f>
        <v>15.2215501139136</v>
      </c>
      <c r="D183" s="41" t="n">
        <f aca="false">(parametros_carros!$D$20*('Plan mensual'!F101+IF(parametros_carros!$H$20="Todos",'Plan mensual'!F105,0))+parametros_carros!$E$20*('Plan mensual'!F102+IF(parametros_carros!$H$20="Todos",'Plan mensual'!F106,0))+parametros_carros!$F$20*('Plan mensual'!F103+IF(parametros_carros!$H$20="Todos",'Plan mensual'!F107,0))+parametros_carros!$G$20*('Plan mensual'!F104+IF(parametros_carros!$H$20="Todos",'Plan mensual'!F108,0)))/60</f>
        <v>18.2658601366963</v>
      </c>
      <c r="E183" s="41" t="n">
        <f aca="false">(parametros_carros!$D$20*('Plan mensual'!G101+IF(parametros_carros!$H$20="Todos",'Plan mensual'!G105,0))+parametros_carros!$E$20*('Plan mensual'!G102+IF(parametros_carros!$H$20="Todos",'Plan mensual'!G106,0))+parametros_carros!$F$20*('Plan mensual'!G103+IF(parametros_carros!$H$20="Todos",'Plan mensual'!G107,0))+parametros_carros!$G$20*('Plan mensual'!G104+IF(parametros_carros!$H$20="Todos",'Plan mensual'!G108,0)))/60</f>
        <v>18.2658601366963</v>
      </c>
      <c r="F183" s="41" t="n">
        <f aca="false">(parametros_carros!$D$20*('Plan mensual'!H101+IF(parametros_carros!$H$20="Todos",'Plan mensual'!H105,0))+parametros_carros!$E$20*('Plan mensual'!H102+IF(parametros_carros!$H$20="Todos",'Plan mensual'!H106,0))+parametros_carros!$F$20*('Plan mensual'!H103+IF(parametros_carros!$H$20="Todos",'Plan mensual'!H107,0))+parametros_carros!$G$20*('Plan mensual'!H104+IF(parametros_carros!$H$20="Todos",'Plan mensual'!H108,0)))/60</f>
        <v>18.2658601366963</v>
      </c>
      <c r="G183" s="41" t="n">
        <f aca="false">(parametros_carros!$D$20*('Plan mensual'!I101+IF(parametros_carros!$H$20="Todos",'Plan mensual'!I105,0))+parametros_carros!$E$20*('Plan mensual'!I102+IF(parametros_carros!$H$20="Todos",'Plan mensual'!I106,0))+parametros_carros!$F$20*('Plan mensual'!I103+IF(parametros_carros!$H$20="Todos",'Plan mensual'!I107,0))+parametros_carros!$G$20*('Plan mensual'!I104+IF(parametros_carros!$H$20="Todos",'Plan mensual'!I108,0)))/60</f>
        <v>16.2363201215078</v>
      </c>
      <c r="H183" s="41" t="n">
        <f aca="false">(parametros_carros!$D$20*('Plan mensual'!J101+IF(parametros_carros!$H$20="Todos",'Plan mensual'!J105,0))+parametros_carros!$E$20*('Plan mensual'!J102+IF(parametros_carros!$H$20="Todos",'Plan mensual'!J106,0))+parametros_carros!$F$20*('Plan mensual'!J103+IF(parametros_carros!$H$20="Todos",'Plan mensual'!J107,0))+parametros_carros!$G$20*('Plan mensual'!J104+IF(parametros_carros!$H$20="Todos",'Plan mensual'!J108,0)))/60</f>
        <v>18.2658601366963</v>
      </c>
      <c r="I183" s="41" t="n">
        <f aca="false">(parametros_carros!$D$20*('Plan mensual'!K101+IF(parametros_carros!$H$20="Todos",'Plan mensual'!K105,0))+parametros_carros!$E$20*('Plan mensual'!K102+IF(parametros_carros!$H$20="Todos",'Plan mensual'!K106,0))+parametros_carros!$F$20*('Plan mensual'!K103+IF(parametros_carros!$H$20="Todos",'Plan mensual'!K107,0))+parametros_carros!$G$20*('Plan mensual'!K104+IF(parametros_carros!$H$20="Todos",'Plan mensual'!K108,0)))/60</f>
        <v>18.2658601366963</v>
      </c>
      <c r="J183" s="41" t="n">
        <f aca="false">(parametros_carros!$D$20*('Plan mensual'!L101+IF(parametros_carros!$H$20="Todos",'Plan mensual'!L105,0))+parametros_carros!$E$20*('Plan mensual'!L102+IF(parametros_carros!$H$20="Todos",'Plan mensual'!L106,0))+parametros_carros!$F$20*('Plan mensual'!L103+IF(parametros_carros!$H$20="Todos",'Plan mensual'!L107,0))+parametros_carros!$G$20*('Plan mensual'!L104+IF(parametros_carros!$H$20="Todos",'Plan mensual'!L108,0)))/60</f>
        <v>17.2510901291021</v>
      </c>
      <c r="K183" s="41" t="n">
        <f aca="false">(parametros_carros!$D$20*('Plan mensual'!M101+IF(parametros_carros!$H$20="Todos",'Plan mensual'!M105,0))+parametros_carros!$E$20*('Plan mensual'!M102+IF(parametros_carros!$H$20="Todos",'Plan mensual'!M106,0))+parametros_carros!$F$20*('Plan mensual'!M103+IF(parametros_carros!$H$20="Todos",'Plan mensual'!M107,0))+parametros_carros!$G$20*('Plan mensual'!M104+IF(parametros_carros!$H$20="Todos",'Plan mensual'!M108,0)))/60</f>
        <v>15.2215501139136</v>
      </c>
      <c r="L183" s="41" t="n">
        <f aca="false">(parametros_carros!$D$20*('Plan mensual'!N101+IF(parametros_carros!$H$20="Todos",'Plan mensual'!N105,0))+parametros_carros!$E$20*('Plan mensual'!N102+IF(parametros_carros!$H$20="Todos",'Plan mensual'!N106,0))+parametros_carros!$F$20*('Plan mensual'!N103+IF(parametros_carros!$H$20="Todos",'Plan mensual'!N107,0))+parametros_carros!$G$20*('Plan mensual'!N104+IF(parametros_carros!$H$20="Todos",'Plan mensual'!N108,0)))/60</f>
        <v>14.2067801063194</v>
      </c>
      <c r="M183" s="41" t="n">
        <f aca="false">(parametros_carros!$D$20*('Plan mensual'!O101+IF(parametros_carros!$H$20="Todos",'Plan mensual'!O105,0))+parametros_carros!$E$20*('Plan mensual'!O102+IF(parametros_carros!$H$20="Todos",'Plan mensual'!O106,0))+parametros_carros!$F$20*('Plan mensual'!O103+IF(parametros_carros!$H$20="Todos",'Plan mensual'!O107,0))+parametros_carros!$G$20*('Plan mensual'!O104+IF(parametros_carros!$H$20="Todos",'Plan mensual'!O108,0)))/60</f>
        <v>16.2363201215078</v>
      </c>
      <c r="N183" s="41" t="n">
        <f aca="false">SUM(B183:M183)</f>
        <v>202.954001518848</v>
      </c>
      <c r="O183" s="41" t="n">
        <f aca="false">MAX(B183:M183)</f>
        <v>18.2658601366963</v>
      </c>
      <c r="P183" s="45" t="n">
        <f aca="false">IF(parametros_carros!$B$7=0,0,(O183+parametros_carros!$G$46)/parametros_carros!$B$7)</f>
        <v>0.183994623133531</v>
      </c>
      <c r="Q183" s="29" t="str">
        <f aca="false">IF(O183=0,"-",INDEX($B$181:$M$181,MATCH(O183,B183:M183,0)))</f>
        <v>Mar</v>
      </c>
    </row>
    <row r="184" customFormat="false" ht="14.25" hidden="false" customHeight="true" outlineLevel="0" collapsed="false">
      <c r="A184" s="12" t="str">
        <f aca="false">parametros_carros!$B$21</f>
        <v>Marcado del cuerpo</v>
      </c>
      <c r="B184" s="41" t="n">
        <f aca="false">(parametros_carros!$D$21*('Plan mensual'!D101+IF(parametros_carros!$H$21="Todos",'Plan mensual'!D105,0))+parametros_carros!$E$21*('Plan mensual'!D102+IF(parametros_carros!$H$21="Todos",'Plan mensual'!D106,0))+parametros_carros!$F$21*('Plan mensual'!D103+IF(parametros_carros!$H$21="Todos",'Plan mensual'!D107,0))+parametros_carros!$G$21*('Plan mensual'!D104+IF(parametros_carros!$H$21="Todos",'Plan mensual'!D108,0)))/60</f>
        <v>6.8693545137175</v>
      </c>
      <c r="C184" s="41" t="n">
        <f aca="false">(parametros_carros!$D$21*('Plan mensual'!E101+IF(parametros_carros!$H$21="Todos",'Plan mensual'!E105,0))+parametros_carros!$E$21*('Plan mensual'!E102+IF(parametros_carros!$H$21="Todos",'Plan mensual'!E106,0))+parametros_carros!$F$21*('Plan mensual'!E103+IF(parametros_carros!$H$21="Todos",'Plan mensual'!E107,0))+parametros_carros!$G$21*('Plan mensual'!E104+IF(parametros_carros!$H$21="Todos",'Plan mensual'!E108,0)))/60</f>
        <v>6.0611951591625</v>
      </c>
      <c r="D184" s="41" t="n">
        <f aca="false">(parametros_carros!$D$21*('Plan mensual'!F101+IF(parametros_carros!$H$21="Todos",'Plan mensual'!F105,0))+parametros_carros!$E$21*('Plan mensual'!F102+IF(parametros_carros!$H$21="Todos",'Plan mensual'!F106,0))+parametros_carros!$F$21*('Plan mensual'!F103+IF(parametros_carros!$H$21="Todos",'Plan mensual'!F107,0))+parametros_carros!$G$21*('Plan mensual'!F104+IF(parametros_carros!$H$21="Todos",'Plan mensual'!F108,0)))/60</f>
        <v>7.273434190995</v>
      </c>
      <c r="E184" s="41" t="n">
        <f aca="false">(parametros_carros!$D$21*('Plan mensual'!G101+IF(parametros_carros!$H$21="Todos",'Plan mensual'!G105,0))+parametros_carros!$E$21*('Plan mensual'!G102+IF(parametros_carros!$H$21="Todos",'Plan mensual'!G106,0))+parametros_carros!$F$21*('Plan mensual'!G103+IF(parametros_carros!$H$21="Todos",'Plan mensual'!G107,0))+parametros_carros!$G$21*('Plan mensual'!G104+IF(parametros_carros!$H$21="Todos",'Plan mensual'!G108,0)))/60</f>
        <v>7.273434190995</v>
      </c>
      <c r="F184" s="41" t="n">
        <f aca="false">(parametros_carros!$D$21*('Plan mensual'!H101+IF(parametros_carros!$H$21="Todos",'Plan mensual'!H105,0))+parametros_carros!$E$21*('Plan mensual'!H102+IF(parametros_carros!$H$21="Todos",'Plan mensual'!H106,0))+parametros_carros!$F$21*('Plan mensual'!H103+IF(parametros_carros!$H$21="Todos",'Plan mensual'!H107,0))+parametros_carros!$G$21*('Plan mensual'!H104+IF(parametros_carros!$H$21="Todos",'Plan mensual'!H108,0)))/60</f>
        <v>7.273434190995</v>
      </c>
      <c r="G184" s="41" t="n">
        <f aca="false">(parametros_carros!$D$21*('Plan mensual'!I101+IF(parametros_carros!$H$21="Todos",'Plan mensual'!I105,0))+parametros_carros!$E$21*('Plan mensual'!I102+IF(parametros_carros!$H$21="Todos",'Plan mensual'!I106,0))+parametros_carros!$F$21*('Plan mensual'!I103+IF(parametros_carros!$H$21="Todos",'Plan mensual'!I107,0))+parametros_carros!$G$21*('Plan mensual'!I104+IF(parametros_carros!$H$21="Todos",'Plan mensual'!I108,0)))/60</f>
        <v>6.46527483644</v>
      </c>
      <c r="H184" s="41" t="n">
        <f aca="false">(parametros_carros!$D$21*('Plan mensual'!J101+IF(parametros_carros!$H$21="Todos",'Plan mensual'!J105,0))+parametros_carros!$E$21*('Plan mensual'!J102+IF(parametros_carros!$H$21="Todos",'Plan mensual'!J106,0))+parametros_carros!$F$21*('Plan mensual'!J103+IF(parametros_carros!$H$21="Todos",'Plan mensual'!J107,0))+parametros_carros!$G$21*('Plan mensual'!J104+IF(parametros_carros!$H$21="Todos",'Plan mensual'!J108,0)))/60</f>
        <v>7.273434190995</v>
      </c>
      <c r="I184" s="41" t="n">
        <f aca="false">(parametros_carros!$D$21*('Plan mensual'!K101+IF(parametros_carros!$H$21="Todos",'Plan mensual'!K105,0))+parametros_carros!$E$21*('Plan mensual'!K102+IF(parametros_carros!$H$21="Todos",'Plan mensual'!K106,0))+parametros_carros!$F$21*('Plan mensual'!K103+IF(parametros_carros!$H$21="Todos",'Plan mensual'!K107,0))+parametros_carros!$G$21*('Plan mensual'!K104+IF(parametros_carros!$H$21="Todos",'Plan mensual'!K108,0)))/60</f>
        <v>7.273434190995</v>
      </c>
      <c r="J184" s="41" t="n">
        <f aca="false">(parametros_carros!$D$21*('Plan mensual'!L101+IF(parametros_carros!$H$21="Todos",'Plan mensual'!L105,0))+parametros_carros!$E$21*('Plan mensual'!L102+IF(parametros_carros!$H$21="Todos",'Plan mensual'!L106,0))+parametros_carros!$F$21*('Plan mensual'!L103+IF(parametros_carros!$H$21="Todos",'Plan mensual'!L107,0))+parametros_carros!$G$21*('Plan mensual'!L104+IF(parametros_carros!$H$21="Todos",'Plan mensual'!L108,0)))/60</f>
        <v>6.8693545137175</v>
      </c>
      <c r="K184" s="41" t="n">
        <f aca="false">(parametros_carros!$D$21*('Plan mensual'!M101+IF(parametros_carros!$H$21="Todos",'Plan mensual'!M105,0))+parametros_carros!$E$21*('Plan mensual'!M102+IF(parametros_carros!$H$21="Todos",'Plan mensual'!M106,0))+parametros_carros!$F$21*('Plan mensual'!M103+IF(parametros_carros!$H$21="Todos",'Plan mensual'!M107,0))+parametros_carros!$G$21*('Plan mensual'!M104+IF(parametros_carros!$H$21="Todos",'Plan mensual'!M108,0)))/60</f>
        <v>6.0611951591625</v>
      </c>
      <c r="L184" s="41" t="n">
        <f aca="false">(parametros_carros!$D$21*('Plan mensual'!N101+IF(parametros_carros!$H$21="Todos",'Plan mensual'!N105,0))+parametros_carros!$E$21*('Plan mensual'!N102+IF(parametros_carros!$H$21="Todos",'Plan mensual'!N106,0))+parametros_carros!$F$21*('Plan mensual'!N103+IF(parametros_carros!$H$21="Todos",'Plan mensual'!N107,0))+parametros_carros!$G$21*('Plan mensual'!N104+IF(parametros_carros!$H$21="Todos",'Plan mensual'!N108,0)))/60</f>
        <v>5.657115481885</v>
      </c>
      <c r="M184" s="41" t="n">
        <f aca="false">(parametros_carros!$D$21*('Plan mensual'!O101+IF(parametros_carros!$H$21="Todos",'Plan mensual'!O105,0))+parametros_carros!$E$21*('Plan mensual'!O102+IF(parametros_carros!$H$21="Todos",'Plan mensual'!O106,0))+parametros_carros!$F$21*('Plan mensual'!O103+IF(parametros_carros!$H$21="Todos",'Plan mensual'!O107,0))+parametros_carros!$G$21*('Plan mensual'!O104+IF(parametros_carros!$H$21="Todos",'Plan mensual'!O108,0)))/60</f>
        <v>6.46527483644</v>
      </c>
      <c r="N184" s="41" t="n">
        <f aca="false">SUM(B184:M184)</f>
        <v>80.8159354555</v>
      </c>
      <c r="O184" s="41" t="n">
        <f aca="false">MAX(B184:M184)</f>
        <v>7.273434190995</v>
      </c>
      <c r="P184" s="45" t="n">
        <f aca="false">IF(parametros_carros!$B$7=0,0,(O184+parametros_carros!$G$47)/parametros_carros!$B$7)</f>
        <v>0.0607117834955222</v>
      </c>
      <c r="Q184" s="29" t="str">
        <f aca="false">IF(O184=0,"-",INDEX($B$181:$M$181,MATCH(O184,B184:M184,0)))</f>
        <v>Mar</v>
      </c>
    </row>
    <row r="185" customFormat="false" ht="14.25" hidden="false" customHeight="true" outlineLevel="0" collapsed="false">
      <c r="A185" s="12" t="str">
        <f aca="false">parametros_carros!$B$22</f>
        <v>Cilindrado</v>
      </c>
      <c r="B185" s="41" t="n">
        <f aca="false">(parametros_carros!$D$22*('Plan mensual'!D101+IF(parametros_carros!$H$22="Todos",'Plan mensual'!D105,0))+parametros_carros!$E$22*('Plan mensual'!D102+IF(parametros_carros!$H$22="Todos",'Plan mensual'!D106,0))+parametros_carros!$F$22*('Plan mensual'!D103+IF(parametros_carros!$H$22="Todos",'Plan mensual'!D107,0))+parametros_carros!$G$22*('Plan mensual'!D104+IF(parametros_carros!$H$22="Todos",'Plan mensual'!D108,0)))/60</f>
        <v>14.700529799887</v>
      </c>
      <c r="C185" s="41" t="n">
        <f aca="false">(parametros_carros!$D$22*('Plan mensual'!E101+IF(parametros_carros!$H$22="Todos",'Plan mensual'!E105,0))+parametros_carros!$E$22*('Plan mensual'!E102+IF(parametros_carros!$H$22="Todos",'Plan mensual'!E106,0))+parametros_carros!$F$22*('Plan mensual'!E103+IF(parametros_carros!$H$22="Todos",'Plan mensual'!E107,0))+parametros_carros!$G$22*('Plan mensual'!E104+IF(parametros_carros!$H$22="Todos",'Plan mensual'!E108,0)))/60</f>
        <v>12.9710557057826</v>
      </c>
      <c r="D185" s="41" t="n">
        <f aca="false">(parametros_carros!$D$22*('Plan mensual'!F101+IF(parametros_carros!$H$22="Todos",'Plan mensual'!F105,0))+parametros_carros!$E$22*('Plan mensual'!F102+IF(parametros_carros!$H$22="Todos",'Plan mensual'!F106,0))+parametros_carros!$F$22*('Plan mensual'!F103+IF(parametros_carros!$H$22="Todos",'Plan mensual'!F107,0))+parametros_carros!$G$22*('Plan mensual'!F104+IF(parametros_carros!$H$22="Todos",'Plan mensual'!F108,0)))/60</f>
        <v>15.5652668469391</v>
      </c>
      <c r="E185" s="41" t="n">
        <f aca="false">(parametros_carros!$D$22*('Plan mensual'!G101+IF(parametros_carros!$H$22="Todos",'Plan mensual'!G105,0))+parametros_carros!$E$22*('Plan mensual'!G102+IF(parametros_carros!$H$22="Todos",'Plan mensual'!G106,0))+parametros_carros!$F$22*('Plan mensual'!G103+IF(parametros_carros!$H$22="Todos",'Plan mensual'!G107,0))+parametros_carros!$G$22*('Plan mensual'!G104+IF(parametros_carros!$H$22="Todos",'Plan mensual'!G108,0)))/60</f>
        <v>15.5652668469391</v>
      </c>
      <c r="F185" s="41" t="n">
        <f aca="false">(parametros_carros!$D$22*('Plan mensual'!H101+IF(parametros_carros!$H$22="Todos",'Plan mensual'!H105,0))+parametros_carros!$E$22*('Plan mensual'!H102+IF(parametros_carros!$H$22="Todos",'Plan mensual'!H106,0))+parametros_carros!$F$22*('Plan mensual'!H103+IF(parametros_carros!$H$22="Todos",'Plan mensual'!H107,0))+parametros_carros!$G$22*('Plan mensual'!H104+IF(parametros_carros!$H$22="Todos",'Plan mensual'!H108,0)))/60</f>
        <v>15.5652668469391</v>
      </c>
      <c r="G185" s="41" t="n">
        <f aca="false">(parametros_carros!$D$22*('Plan mensual'!I101+IF(parametros_carros!$H$22="Todos",'Plan mensual'!I105,0))+parametros_carros!$E$22*('Plan mensual'!I102+IF(parametros_carros!$H$22="Todos",'Plan mensual'!I106,0))+parametros_carros!$F$22*('Plan mensual'!I103+IF(parametros_carros!$H$22="Todos",'Plan mensual'!I107,0))+parametros_carros!$G$22*('Plan mensual'!I104+IF(parametros_carros!$H$22="Todos",'Plan mensual'!I108,0)))/60</f>
        <v>13.8357927528348</v>
      </c>
      <c r="H185" s="41" t="n">
        <f aca="false">(parametros_carros!$D$22*('Plan mensual'!J101+IF(parametros_carros!$H$22="Todos",'Plan mensual'!J105,0))+parametros_carros!$E$22*('Plan mensual'!J102+IF(parametros_carros!$H$22="Todos",'Plan mensual'!J106,0))+parametros_carros!$F$22*('Plan mensual'!J103+IF(parametros_carros!$H$22="Todos",'Plan mensual'!J107,0))+parametros_carros!$G$22*('Plan mensual'!J104+IF(parametros_carros!$H$22="Todos",'Plan mensual'!J108,0)))/60</f>
        <v>15.5652668469391</v>
      </c>
      <c r="I185" s="41" t="n">
        <f aca="false">(parametros_carros!$D$22*('Plan mensual'!K101+IF(parametros_carros!$H$22="Todos",'Plan mensual'!K105,0))+parametros_carros!$E$22*('Plan mensual'!K102+IF(parametros_carros!$H$22="Todos",'Plan mensual'!K106,0))+parametros_carros!$F$22*('Plan mensual'!K103+IF(parametros_carros!$H$22="Todos",'Plan mensual'!K107,0))+parametros_carros!$G$22*('Plan mensual'!K104+IF(parametros_carros!$H$22="Todos",'Plan mensual'!K108,0)))/60</f>
        <v>15.5652668469391</v>
      </c>
      <c r="J185" s="41" t="n">
        <f aca="false">(parametros_carros!$D$22*('Plan mensual'!L101+IF(parametros_carros!$H$22="Todos",'Plan mensual'!L105,0))+parametros_carros!$E$22*('Plan mensual'!L102+IF(parametros_carros!$H$22="Todos",'Plan mensual'!L106,0))+parametros_carros!$F$22*('Plan mensual'!L103+IF(parametros_carros!$H$22="Todos",'Plan mensual'!L107,0))+parametros_carros!$G$22*('Plan mensual'!L104+IF(parametros_carros!$H$22="Todos",'Plan mensual'!L108,0)))/60</f>
        <v>14.700529799887</v>
      </c>
      <c r="K185" s="41" t="n">
        <f aca="false">(parametros_carros!$D$22*('Plan mensual'!M101+IF(parametros_carros!$H$22="Todos",'Plan mensual'!M105,0))+parametros_carros!$E$22*('Plan mensual'!M102+IF(parametros_carros!$H$22="Todos",'Plan mensual'!M106,0))+parametros_carros!$F$22*('Plan mensual'!M103+IF(parametros_carros!$H$22="Todos",'Plan mensual'!M107,0))+parametros_carros!$G$22*('Plan mensual'!M104+IF(parametros_carros!$H$22="Todos",'Plan mensual'!M108,0)))/60</f>
        <v>12.9710557057826</v>
      </c>
      <c r="L185" s="41" t="n">
        <f aca="false">(parametros_carros!$D$22*('Plan mensual'!N101+IF(parametros_carros!$H$22="Todos",'Plan mensual'!N105,0))+parametros_carros!$E$22*('Plan mensual'!N102+IF(parametros_carros!$H$22="Todos",'Plan mensual'!N106,0))+parametros_carros!$F$22*('Plan mensual'!N103+IF(parametros_carros!$H$22="Todos",'Plan mensual'!N107,0))+parametros_carros!$G$22*('Plan mensual'!N104+IF(parametros_carros!$H$22="Todos",'Plan mensual'!N108,0)))/60</f>
        <v>12.1063186587304</v>
      </c>
      <c r="M185" s="41" t="n">
        <f aca="false">(parametros_carros!$D$22*('Plan mensual'!O101+IF(parametros_carros!$H$22="Todos",'Plan mensual'!O105,0))+parametros_carros!$E$22*('Plan mensual'!O102+IF(parametros_carros!$H$22="Todos",'Plan mensual'!O106,0))+parametros_carros!$F$22*('Plan mensual'!O103+IF(parametros_carros!$H$22="Todos",'Plan mensual'!O107,0))+parametros_carros!$G$22*('Plan mensual'!O104+IF(parametros_carros!$H$22="Todos",'Plan mensual'!O108,0)))/60</f>
        <v>13.8357927528348</v>
      </c>
      <c r="N185" s="41" t="n">
        <f aca="false">SUM(B185:M185)</f>
        <v>172.947409410435</v>
      </c>
      <c r="O185" s="41" t="n">
        <f aca="false">MAX(B185:M185)</f>
        <v>15.5652668469391</v>
      </c>
      <c r="P185" s="45" t="n">
        <f aca="false">IF(parametros_carros!$B$7=0,0,(O185+parametros_carros!$G$48)/parametros_carros!$B$7)</f>
        <v>0.143768445646261</v>
      </c>
      <c r="Q185" s="29" t="str">
        <f aca="false">IF(O185=0,"-",INDEX($B$181:$M$181,MATCH(O185,B185:M185,0)))</f>
        <v>Mar</v>
      </c>
    </row>
    <row r="186" customFormat="false" ht="14.25" hidden="false" customHeight="true" outlineLevel="0" collapsed="false">
      <c r="A186" s="12" t="str">
        <f aca="false">parametros_carros!$B$23</f>
        <v>Punteo del cuerpo</v>
      </c>
      <c r="B186" s="41" t="n">
        <f aca="false">(parametros_carros!$D$23*('Plan mensual'!D101+IF(parametros_carros!$H$23="Todos",'Plan mensual'!D105,0))+parametros_carros!$E$23*('Plan mensual'!D102+IF(parametros_carros!$H$23="Todos",'Plan mensual'!D106,0))+parametros_carros!$F$23*('Plan mensual'!D103+IF(parametros_carros!$H$23="Todos",'Plan mensual'!D107,0))+parametros_carros!$G$23*('Plan mensual'!D104+IF(parametros_carros!$H$23="Todos",'Plan mensual'!D108,0)))/60</f>
        <v>21.7942604978795</v>
      </c>
      <c r="C186" s="41" t="n">
        <f aca="false">(parametros_carros!$D$23*('Plan mensual'!E101+IF(parametros_carros!$H$23="Todos",'Plan mensual'!E105,0))+parametros_carros!$E$23*('Plan mensual'!E102+IF(parametros_carros!$H$23="Todos",'Plan mensual'!E106,0))+parametros_carros!$F$23*('Plan mensual'!E103+IF(parametros_carros!$H$23="Todos",'Plan mensual'!E107,0))+parametros_carros!$G$23*('Plan mensual'!E104+IF(parametros_carros!$H$23="Todos",'Plan mensual'!E108,0)))/60</f>
        <v>19.2302298510701</v>
      </c>
      <c r="D186" s="41" t="n">
        <f aca="false">(parametros_carros!$D$23*('Plan mensual'!F101+IF(parametros_carros!$H$23="Todos",'Plan mensual'!F105,0))+parametros_carros!$E$23*('Plan mensual'!F102+IF(parametros_carros!$H$23="Todos",'Plan mensual'!F106,0))+parametros_carros!$F$23*('Plan mensual'!F103+IF(parametros_carros!$H$23="Todos",'Plan mensual'!F107,0))+parametros_carros!$G$23*('Plan mensual'!F104+IF(parametros_carros!$H$23="Todos",'Plan mensual'!F108,0)))/60</f>
        <v>23.0762758212841</v>
      </c>
      <c r="E186" s="41" t="n">
        <f aca="false">(parametros_carros!$D$23*('Plan mensual'!G101+IF(parametros_carros!$H$23="Todos",'Plan mensual'!G105,0))+parametros_carros!$E$23*('Plan mensual'!G102+IF(parametros_carros!$H$23="Todos",'Plan mensual'!G106,0))+parametros_carros!$F$23*('Plan mensual'!G103+IF(parametros_carros!$H$23="Todos",'Plan mensual'!G107,0))+parametros_carros!$G$23*('Plan mensual'!G104+IF(parametros_carros!$H$23="Todos",'Plan mensual'!G108,0)))/60</f>
        <v>23.0762758212841</v>
      </c>
      <c r="F186" s="41" t="n">
        <f aca="false">(parametros_carros!$D$23*('Plan mensual'!H101+IF(parametros_carros!$H$23="Todos",'Plan mensual'!H105,0))+parametros_carros!$E$23*('Plan mensual'!H102+IF(parametros_carros!$H$23="Todos",'Plan mensual'!H106,0))+parametros_carros!$F$23*('Plan mensual'!H103+IF(parametros_carros!$H$23="Todos",'Plan mensual'!H107,0))+parametros_carros!$G$23*('Plan mensual'!H104+IF(parametros_carros!$H$23="Todos",'Plan mensual'!H108,0)))/60</f>
        <v>23.0762758212841</v>
      </c>
      <c r="G186" s="41" t="n">
        <f aca="false">(parametros_carros!$D$23*('Plan mensual'!I101+IF(parametros_carros!$H$23="Todos",'Plan mensual'!I105,0))+parametros_carros!$E$23*('Plan mensual'!I102+IF(parametros_carros!$H$23="Todos",'Plan mensual'!I106,0))+parametros_carros!$F$23*('Plan mensual'!I103+IF(parametros_carros!$H$23="Todos",'Plan mensual'!I107,0))+parametros_carros!$G$23*('Plan mensual'!I104+IF(parametros_carros!$H$23="Todos",'Plan mensual'!I108,0)))/60</f>
        <v>20.5122451744748</v>
      </c>
      <c r="H186" s="41" t="n">
        <f aca="false">(parametros_carros!$D$23*('Plan mensual'!J101+IF(parametros_carros!$H$23="Todos",'Plan mensual'!J105,0))+parametros_carros!$E$23*('Plan mensual'!J102+IF(parametros_carros!$H$23="Todos",'Plan mensual'!J106,0))+parametros_carros!$F$23*('Plan mensual'!J103+IF(parametros_carros!$H$23="Todos",'Plan mensual'!J107,0))+parametros_carros!$G$23*('Plan mensual'!J104+IF(parametros_carros!$H$23="Todos",'Plan mensual'!J108,0)))/60</f>
        <v>23.0762758212841</v>
      </c>
      <c r="I186" s="41" t="n">
        <f aca="false">(parametros_carros!$D$23*('Plan mensual'!K101+IF(parametros_carros!$H$23="Todos",'Plan mensual'!K105,0))+parametros_carros!$E$23*('Plan mensual'!K102+IF(parametros_carros!$H$23="Todos",'Plan mensual'!K106,0))+parametros_carros!$F$23*('Plan mensual'!K103+IF(parametros_carros!$H$23="Todos",'Plan mensual'!K107,0))+parametros_carros!$G$23*('Plan mensual'!K104+IF(parametros_carros!$H$23="Todos",'Plan mensual'!K108,0)))/60</f>
        <v>23.0762758212841</v>
      </c>
      <c r="J186" s="41" t="n">
        <f aca="false">(parametros_carros!$D$23*('Plan mensual'!L101+IF(parametros_carros!$H$23="Todos",'Plan mensual'!L105,0))+parametros_carros!$E$23*('Plan mensual'!L102+IF(parametros_carros!$H$23="Todos",'Plan mensual'!L106,0))+parametros_carros!$F$23*('Plan mensual'!L103+IF(parametros_carros!$H$23="Todos",'Plan mensual'!L107,0))+parametros_carros!$G$23*('Plan mensual'!L104+IF(parametros_carros!$H$23="Todos",'Plan mensual'!L108,0)))/60</f>
        <v>21.7942604978795</v>
      </c>
      <c r="K186" s="41" t="n">
        <f aca="false">(parametros_carros!$D$23*('Plan mensual'!M101+IF(parametros_carros!$H$23="Todos",'Plan mensual'!M105,0))+parametros_carros!$E$23*('Plan mensual'!M102+IF(parametros_carros!$H$23="Todos",'Plan mensual'!M106,0))+parametros_carros!$F$23*('Plan mensual'!M103+IF(parametros_carros!$H$23="Todos",'Plan mensual'!M107,0))+parametros_carros!$G$23*('Plan mensual'!M104+IF(parametros_carros!$H$23="Todos",'Plan mensual'!M108,0)))/60</f>
        <v>19.2302298510701</v>
      </c>
      <c r="L186" s="41" t="n">
        <f aca="false">(parametros_carros!$D$23*('Plan mensual'!N101+IF(parametros_carros!$H$23="Todos",'Plan mensual'!N105,0))+parametros_carros!$E$23*('Plan mensual'!N102+IF(parametros_carros!$H$23="Todos",'Plan mensual'!N106,0))+parametros_carros!$F$23*('Plan mensual'!N103+IF(parametros_carros!$H$23="Todos",'Plan mensual'!N107,0))+parametros_carros!$G$23*('Plan mensual'!N104+IF(parametros_carros!$H$23="Todos",'Plan mensual'!N108,0)))/60</f>
        <v>17.9482145276654</v>
      </c>
      <c r="M186" s="41" t="n">
        <f aca="false">(parametros_carros!$D$23*('Plan mensual'!O101+IF(parametros_carros!$H$23="Todos",'Plan mensual'!O105,0))+parametros_carros!$E$23*('Plan mensual'!O102+IF(parametros_carros!$H$23="Todos",'Plan mensual'!O106,0))+parametros_carros!$F$23*('Plan mensual'!O103+IF(parametros_carros!$H$23="Todos",'Plan mensual'!O107,0))+parametros_carros!$G$23*('Plan mensual'!O104+IF(parametros_carros!$H$23="Todos",'Plan mensual'!O108,0)))/60</f>
        <v>20.5122451744748</v>
      </c>
      <c r="N186" s="41" t="n">
        <f aca="false">SUM(B186:M186)</f>
        <v>256.403064680935</v>
      </c>
      <c r="O186" s="41" t="n">
        <f aca="false">MAX(B186:M186)</f>
        <v>23.0762758212841</v>
      </c>
      <c r="P186" s="45" t="n">
        <f aca="false">IF(parametros_carros!$B$7=0,0,(O186+parametros_carros!$G$49)/parametros_carros!$B$7)</f>
        <v>0.164952949919672</v>
      </c>
      <c r="Q186" s="29" t="str">
        <f aca="false">IF(O186=0,"-",INDEX($B$181:$M$181,MATCH(O186,B186:M186,0)))</f>
        <v>Mar</v>
      </c>
    </row>
    <row r="187" customFormat="false" ht="14.25" hidden="false" customHeight="true" outlineLevel="0" collapsed="false">
      <c r="A187" s="12" t="str">
        <f aca="false">parametros_carros!$B$24</f>
        <v>Soldadura longitudinal</v>
      </c>
      <c r="B187" s="41" t="n">
        <f aca="false">(parametros_carros!$D$24*('Plan mensual'!D101+IF(parametros_carros!$H$24="Todos",'Plan mensual'!D105,0))+parametros_carros!$E$24*('Plan mensual'!D102+IF(parametros_carros!$H$24="Todos",'Plan mensual'!D106,0))+parametros_carros!$F$24*('Plan mensual'!D103+IF(parametros_carros!$H$24="Todos",'Plan mensual'!D107,0))+parametros_carros!$G$24*('Plan mensual'!D104+IF(parametros_carros!$H$24="Todos",'Plan mensual'!D108,0)))/60</f>
        <v>14.9747734731525</v>
      </c>
      <c r="C187" s="41" t="n">
        <f aca="false">(parametros_carros!$D$24*('Plan mensual'!E101+IF(parametros_carros!$H$24="Todos",'Plan mensual'!E105,0))+parametros_carros!$E$24*('Plan mensual'!E102+IF(parametros_carros!$H$24="Todos",'Plan mensual'!E106,0))+parametros_carros!$F$24*('Plan mensual'!E103+IF(parametros_carros!$H$24="Todos",'Plan mensual'!E107,0))+parametros_carros!$G$24*('Plan mensual'!E104+IF(parametros_carros!$H$24="Todos",'Plan mensual'!E108,0)))/60</f>
        <v>13.2130354174875</v>
      </c>
      <c r="D187" s="41" t="n">
        <f aca="false">(parametros_carros!$D$24*('Plan mensual'!F101+IF(parametros_carros!$H$24="Todos",'Plan mensual'!F105,0))+parametros_carros!$E$24*('Plan mensual'!F102+IF(parametros_carros!$H$24="Todos",'Plan mensual'!F106,0))+parametros_carros!$F$24*('Plan mensual'!F103+IF(parametros_carros!$H$24="Todos",'Plan mensual'!F107,0))+parametros_carros!$G$24*('Plan mensual'!F104+IF(parametros_carros!$H$24="Todos",'Plan mensual'!F108,0)))/60</f>
        <v>15.855642500985</v>
      </c>
      <c r="E187" s="41" t="n">
        <f aca="false">(parametros_carros!$D$24*('Plan mensual'!G101+IF(parametros_carros!$H$24="Todos",'Plan mensual'!G105,0))+parametros_carros!$E$24*('Plan mensual'!G102+IF(parametros_carros!$H$24="Todos",'Plan mensual'!G106,0))+parametros_carros!$F$24*('Plan mensual'!G103+IF(parametros_carros!$H$24="Todos",'Plan mensual'!G107,0))+parametros_carros!$G$24*('Plan mensual'!G104+IF(parametros_carros!$H$24="Todos",'Plan mensual'!G108,0)))/60</f>
        <v>15.855642500985</v>
      </c>
      <c r="F187" s="41" t="n">
        <f aca="false">(parametros_carros!$D$24*('Plan mensual'!H101+IF(parametros_carros!$H$24="Todos",'Plan mensual'!H105,0))+parametros_carros!$E$24*('Plan mensual'!H102+IF(parametros_carros!$H$24="Todos",'Plan mensual'!H106,0))+parametros_carros!$F$24*('Plan mensual'!H103+IF(parametros_carros!$H$24="Todos",'Plan mensual'!H107,0))+parametros_carros!$G$24*('Plan mensual'!H104+IF(parametros_carros!$H$24="Todos",'Plan mensual'!H108,0)))/60</f>
        <v>15.855642500985</v>
      </c>
      <c r="G187" s="41" t="n">
        <f aca="false">(parametros_carros!$D$24*('Plan mensual'!I101+IF(parametros_carros!$H$24="Todos",'Plan mensual'!I105,0))+parametros_carros!$E$24*('Plan mensual'!I102+IF(parametros_carros!$H$24="Todos",'Plan mensual'!I106,0))+parametros_carros!$F$24*('Plan mensual'!I103+IF(parametros_carros!$H$24="Todos",'Plan mensual'!I107,0))+parametros_carros!$G$24*('Plan mensual'!I104+IF(parametros_carros!$H$24="Todos",'Plan mensual'!I108,0)))/60</f>
        <v>14.09390444532</v>
      </c>
      <c r="H187" s="41" t="n">
        <f aca="false">(parametros_carros!$D$24*('Plan mensual'!J101+IF(parametros_carros!$H$24="Todos",'Plan mensual'!J105,0))+parametros_carros!$E$24*('Plan mensual'!J102+IF(parametros_carros!$H$24="Todos",'Plan mensual'!J106,0))+parametros_carros!$F$24*('Plan mensual'!J103+IF(parametros_carros!$H$24="Todos",'Plan mensual'!J107,0))+parametros_carros!$G$24*('Plan mensual'!J104+IF(parametros_carros!$H$24="Todos",'Plan mensual'!J108,0)))/60</f>
        <v>15.855642500985</v>
      </c>
      <c r="I187" s="41" t="n">
        <f aca="false">(parametros_carros!$D$24*('Plan mensual'!K101+IF(parametros_carros!$H$24="Todos",'Plan mensual'!K105,0))+parametros_carros!$E$24*('Plan mensual'!K102+IF(parametros_carros!$H$24="Todos",'Plan mensual'!K106,0))+parametros_carros!$F$24*('Plan mensual'!K103+IF(parametros_carros!$H$24="Todos",'Plan mensual'!K107,0))+parametros_carros!$G$24*('Plan mensual'!K104+IF(parametros_carros!$H$24="Todos",'Plan mensual'!K108,0)))/60</f>
        <v>15.855642500985</v>
      </c>
      <c r="J187" s="41" t="n">
        <f aca="false">(parametros_carros!$D$24*('Plan mensual'!L101+IF(parametros_carros!$H$24="Todos",'Plan mensual'!L105,0))+parametros_carros!$E$24*('Plan mensual'!L102+IF(parametros_carros!$H$24="Todos",'Plan mensual'!L106,0))+parametros_carros!$F$24*('Plan mensual'!L103+IF(parametros_carros!$H$24="Todos",'Plan mensual'!L107,0))+parametros_carros!$G$24*('Plan mensual'!L104+IF(parametros_carros!$H$24="Todos",'Plan mensual'!L108,0)))/60</f>
        <v>14.9747734731525</v>
      </c>
      <c r="K187" s="41" t="n">
        <f aca="false">(parametros_carros!$D$24*('Plan mensual'!M101+IF(parametros_carros!$H$24="Todos",'Plan mensual'!M105,0))+parametros_carros!$E$24*('Plan mensual'!M102+IF(parametros_carros!$H$24="Todos",'Plan mensual'!M106,0))+parametros_carros!$F$24*('Plan mensual'!M103+IF(parametros_carros!$H$24="Todos",'Plan mensual'!M107,0))+parametros_carros!$G$24*('Plan mensual'!M104+IF(parametros_carros!$H$24="Todos",'Plan mensual'!M108,0)))/60</f>
        <v>13.2130354174875</v>
      </c>
      <c r="L187" s="41" t="n">
        <f aca="false">(parametros_carros!$D$24*('Plan mensual'!N101+IF(parametros_carros!$H$24="Todos",'Plan mensual'!N105,0))+parametros_carros!$E$24*('Plan mensual'!N102+IF(parametros_carros!$H$24="Todos",'Plan mensual'!N106,0))+parametros_carros!$F$24*('Plan mensual'!N103+IF(parametros_carros!$H$24="Todos",'Plan mensual'!N107,0))+parametros_carros!$G$24*('Plan mensual'!N104+IF(parametros_carros!$H$24="Todos",'Plan mensual'!N108,0)))/60</f>
        <v>12.332166389655</v>
      </c>
      <c r="M187" s="41" t="n">
        <f aca="false">(parametros_carros!$D$24*('Plan mensual'!O101+IF(parametros_carros!$H$24="Todos",'Plan mensual'!O105,0))+parametros_carros!$E$24*('Plan mensual'!O102+IF(parametros_carros!$H$24="Todos",'Plan mensual'!O106,0))+parametros_carros!$F$24*('Plan mensual'!O103+IF(parametros_carros!$H$24="Todos",'Plan mensual'!O107,0))+parametros_carros!$G$24*('Plan mensual'!O104+IF(parametros_carros!$H$24="Todos",'Plan mensual'!O108,0)))/60</f>
        <v>14.09390444532</v>
      </c>
      <c r="N187" s="41" t="n">
        <f aca="false">SUM(B187:M187)</f>
        <v>176.1738055665</v>
      </c>
      <c r="O187" s="41" t="n">
        <f aca="false">MAX(B187:M187)</f>
        <v>15.855642500985</v>
      </c>
      <c r="P187" s="45" t="n">
        <f aca="false">IF(parametros_carros!$B$7=0,0,(O187+parametros_carros!$G$50)/parametros_carros!$B$7)</f>
        <v>0.123482061117678</v>
      </c>
      <c r="Q187" s="29" t="str">
        <f aca="false">IF(O187=0,"-",INDEX($B$181:$M$181,MATCH(O187,B187:M187,0)))</f>
        <v>Mar</v>
      </c>
    </row>
    <row r="188" customFormat="false" ht="14.25" hidden="false" customHeight="true" outlineLevel="0" collapsed="false">
      <c r="A188" s="12" t="str">
        <f aca="false">parametros_carros!$B$25</f>
        <v>Soldadura de cupla en la cúpula</v>
      </c>
      <c r="B188" s="41" t="n">
        <f aca="false">(parametros_carros!$D$25*('Plan mensual'!D101+IF(parametros_carros!$H$25="Todos",'Plan mensual'!D105,0))+parametros_carros!$E$25*('Plan mensual'!D102+IF(parametros_carros!$H$25="Todos",'Plan mensual'!D106,0))+parametros_carros!$F$25*('Plan mensual'!D103+IF(parametros_carros!$H$25="Todos",'Plan mensual'!D107,0))+parametros_carros!$G$25*('Plan mensual'!D104+IF(parametros_carros!$H$25="Todos",'Plan mensual'!D108,0)))/60</f>
        <v>14.7955136192933</v>
      </c>
      <c r="C188" s="41" t="n">
        <f aca="false">(parametros_carros!$D$25*('Plan mensual'!E101+IF(parametros_carros!$H$25="Todos",'Plan mensual'!E105,0))+parametros_carros!$E$25*('Plan mensual'!E102+IF(parametros_carros!$H$25="Todos",'Plan mensual'!E106,0))+parametros_carros!$F$25*('Plan mensual'!E103+IF(parametros_carros!$H$25="Todos",'Plan mensual'!E107,0))+parametros_carros!$G$25*('Plan mensual'!E104+IF(parametros_carros!$H$25="Todos",'Plan mensual'!E108,0)))/60</f>
        <v>13.0548649582</v>
      </c>
      <c r="D188" s="41" t="n">
        <f aca="false">(parametros_carros!$D$25*('Plan mensual'!F101+IF(parametros_carros!$H$25="Todos",'Plan mensual'!F105,0))+parametros_carros!$E$25*('Plan mensual'!F102+IF(parametros_carros!$H$25="Todos",'Plan mensual'!F106,0))+parametros_carros!$F$25*('Plan mensual'!F103+IF(parametros_carros!$H$25="Todos",'Plan mensual'!F107,0))+parametros_carros!$G$25*('Plan mensual'!F104+IF(parametros_carros!$H$25="Todos",'Plan mensual'!F108,0)))/60</f>
        <v>15.66583794984</v>
      </c>
      <c r="E188" s="41" t="n">
        <f aca="false">(parametros_carros!$D$25*('Plan mensual'!G101+IF(parametros_carros!$H$25="Todos",'Plan mensual'!G105,0))+parametros_carros!$E$25*('Plan mensual'!G102+IF(parametros_carros!$H$25="Todos",'Plan mensual'!G106,0))+parametros_carros!$F$25*('Plan mensual'!G103+IF(parametros_carros!$H$25="Todos",'Plan mensual'!G107,0))+parametros_carros!$G$25*('Plan mensual'!G104+IF(parametros_carros!$H$25="Todos",'Plan mensual'!G108,0)))/60</f>
        <v>15.66583794984</v>
      </c>
      <c r="F188" s="41" t="n">
        <f aca="false">(parametros_carros!$D$25*('Plan mensual'!H101+IF(parametros_carros!$H$25="Todos",'Plan mensual'!H105,0))+parametros_carros!$E$25*('Plan mensual'!H102+IF(parametros_carros!$H$25="Todos",'Plan mensual'!H106,0))+parametros_carros!$F$25*('Plan mensual'!H103+IF(parametros_carros!$H$25="Todos",'Plan mensual'!H107,0))+parametros_carros!$G$25*('Plan mensual'!H104+IF(parametros_carros!$H$25="Todos",'Plan mensual'!H108,0)))/60</f>
        <v>15.66583794984</v>
      </c>
      <c r="G188" s="41" t="n">
        <f aca="false">(parametros_carros!$D$25*('Plan mensual'!I101+IF(parametros_carros!$H$25="Todos",'Plan mensual'!I105,0))+parametros_carros!$E$25*('Plan mensual'!I102+IF(parametros_carros!$H$25="Todos",'Plan mensual'!I106,0))+parametros_carros!$F$25*('Plan mensual'!I103+IF(parametros_carros!$H$25="Todos",'Plan mensual'!I107,0))+parametros_carros!$G$25*('Plan mensual'!I104+IF(parametros_carros!$H$25="Todos",'Plan mensual'!I108,0)))/60</f>
        <v>13.9251892887467</v>
      </c>
      <c r="H188" s="41" t="n">
        <f aca="false">(parametros_carros!$D$25*('Plan mensual'!J101+IF(parametros_carros!$H$25="Todos",'Plan mensual'!J105,0))+parametros_carros!$E$25*('Plan mensual'!J102+IF(parametros_carros!$H$25="Todos",'Plan mensual'!J106,0))+parametros_carros!$F$25*('Plan mensual'!J103+IF(parametros_carros!$H$25="Todos",'Plan mensual'!J107,0))+parametros_carros!$G$25*('Plan mensual'!J104+IF(parametros_carros!$H$25="Todos",'Plan mensual'!J108,0)))/60</f>
        <v>15.66583794984</v>
      </c>
      <c r="I188" s="41" t="n">
        <f aca="false">(parametros_carros!$D$25*('Plan mensual'!K101+IF(parametros_carros!$H$25="Todos",'Plan mensual'!K105,0))+parametros_carros!$E$25*('Plan mensual'!K102+IF(parametros_carros!$H$25="Todos",'Plan mensual'!K106,0))+parametros_carros!$F$25*('Plan mensual'!K103+IF(parametros_carros!$H$25="Todos",'Plan mensual'!K107,0))+parametros_carros!$G$25*('Plan mensual'!K104+IF(parametros_carros!$H$25="Todos",'Plan mensual'!K108,0)))/60</f>
        <v>15.66583794984</v>
      </c>
      <c r="J188" s="41" t="n">
        <f aca="false">(parametros_carros!$D$25*('Plan mensual'!L101+IF(parametros_carros!$H$25="Todos",'Plan mensual'!L105,0))+parametros_carros!$E$25*('Plan mensual'!L102+IF(parametros_carros!$H$25="Todos",'Plan mensual'!L106,0))+parametros_carros!$F$25*('Plan mensual'!L103+IF(parametros_carros!$H$25="Todos",'Plan mensual'!L107,0))+parametros_carros!$G$25*('Plan mensual'!L104+IF(parametros_carros!$H$25="Todos",'Plan mensual'!L108,0)))/60</f>
        <v>14.7955136192933</v>
      </c>
      <c r="K188" s="41" t="n">
        <f aca="false">(parametros_carros!$D$25*('Plan mensual'!M101+IF(parametros_carros!$H$25="Todos",'Plan mensual'!M105,0))+parametros_carros!$E$25*('Plan mensual'!M102+IF(parametros_carros!$H$25="Todos",'Plan mensual'!M106,0))+parametros_carros!$F$25*('Plan mensual'!M103+IF(parametros_carros!$H$25="Todos",'Plan mensual'!M107,0))+parametros_carros!$G$25*('Plan mensual'!M104+IF(parametros_carros!$H$25="Todos",'Plan mensual'!M108,0)))/60</f>
        <v>13.0548649582</v>
      </c>
      <c r="L188" s="41" t="n">
        <f aca="false">(parametros_carros!$D$25*('Plan mensual'!N101+IF(parametros_carros!$H$25="Todos",'Plan mensual'!N105,0))+parametros_carros!$E$25*('Plan mensual'!N102+IF(parametros_carros!$H$25="Todos",'Plan mensual'!N106,0))+parametros_carros!$F$25*('Plan mensual'!N103+IF(parametros_carros!$H$25="Todos",'Plan mensual'!N107,0))+parametros_carros!$G$25*('Plan mensual'!N104+IF(parametros_carros!$H$25="Todos",'Plan mensual'!N108,0)))/60</f>
        <v>12.1845406276533</v>
      </c>
      <c r="M188" s="41" t="n">
        <f aca="false">(parametros_carros!$D$25*('Plan mensual'!O101+IF(parametros_carros!$H$25="Todos",'Plan mensual'!O105,0))+parametros_carros!$E$25*('Plan mensual'!O102+IF(parametros_carros!$H$25="Todos",'Plan mensual'!O106,0))+parametros_carros!$F$25*('Plan mensual'!O103+IF(parametros_carros!$H$25="Todos",'Plan mensual'!O107,0))+parametros_carros!$G$25*('Plan mensual'!O104+IF(parametros_carros!$H$25="Todos",'Plan mensual'!O108,0)))/60</f>
        <v>13.9251892887467</v>
      </c>
      <c r="N188" s="41" t="n">
        <f aca="false">SUM(B188:M188)</f>
        <v>174.064866109333</v>
      </c>
      <c r="O188" s="41" t="n">
        <f aca="false">MAX(B188:M188)</f>
        <v>15.66583794984</v>
      </c>
      <c r="P188" s="45" t="n">
        <f aca="false">IF(parametros_carros!$B$7=0,0,(O188+parametros_carros!$G$51)/parametros_carros!$B$7)</f>
        <v>0.1244389196656</v>
      </c>
      <c r="Q188" s="29" t="str">
        <f aca="false">IF(O188=0,"-",INDEX($B$181:$M$181,MATCH(O188,B188:M188,0)))</f>
        <v>Mar</v>
      </c>
    </row>
    <row r="189" customFormat="false" ht="14.25" hidden="false" customHeight="true" outlineLevel="0" collapsed="false">
      <c r="A189" s="12" t="str">
        <f aca="false">parametros_carros!$B$26</f>
        <v>Armado y soldadura circunferencial</v>
      </c>
      <c r="B189" s="41" t="n">
        <f aca="false">(parametros_carros!$D$26*('Plan mensual'!D101+IF(parametros_carros!$H$26="Todos",'Plan mensual'!D105,0))+parametros_carros!$E$26*('Plan mensual'!D102+IF(parametros_carros!$H$26="Todos",'Plan mensual'!D106,0))+parametros_carros!$F$26*('Plan mensual'!D103+IF(parametros_carros!$H$26="Todos",'Plan mensual'!D107,0))+parametros_carros!$G$26*('Plan mensual'!D104+IF(parametros_carros!$H$26="Todos",'Plan mensual'!D108,0)))/60</f>
        <v>69.9702023801633</v>
      </c>
      <c r="C189" s="41" t="n">
        <f aca="false">(parametros_carros!$D$26*('Plan mensual'!E101+IF(parametros_carros!$H$26="Todos",'Plan mensual'!E105,0))+parametros_carros!$E$26*('Plan mensual'!E102+IF(parametros_carros!$H$26="Todos",'Plan mensual'!E106,0))+parametros_carros!$F$26*('Plan mensual'!E103+IF(parametros_carros!$H$26="Todos",'Plan mensual'!E107,0))+parametros_carros!$G$26*('Plan mensual'!E104+IF(parametros_carros!$H$26="Todos",'Plan mensual'!E108,0)))/60</f>
        <v>61.73841386485</v>
      </c>
      <c r="D189" s="41" t="n">
        <f aca="false">(parametros_carros!$D$26*('Plan mensual'!F101+IF(parametros_carros!$H$26="Todos",'Plan mensual'!F105,0))+parametros_carros!$E$26*('Plan mensual'!F102+IF(parametros_carros!$H$26="Todos",'Plan mensual'!F106,0))+parametros_carros!$F$26*('Plan mensual'!F103+IF(parametros_carros!$H$26="Todos",'Plan mensual'!F107,0))+parametros_carros!$G$26*('Plan mensual'!F104+IF(parametros_carros!$H$26="Todos",'Plan mensual'!F108,0)))/60</f>
        <v>74.08609663782</v>
      </c>
      <c r="E189" s="41" t="n">
        <f aca="false">(parametros_carros!$D$26*('Plan mensual'!G101+IF(parametros_carros!$H$26="Todos",'Plan mensual'!G105,0))+parametros_carros!$E$26*('Plan mensual'!G102+IF(parametros_carros!$H$26="Todos",'Plan mensual'!G106,0))+parametros_carros!$F$26*('Plan mensual'!G103+IF(parametros_carros!$H$26="Todos",'Plan mensual'!G107,0))+parametros_carros!$G$26*('Plan mensual'!G104+IF(parametros_carros!$H$26="Todos",'Plan mensual'!G108,0)))/60</f>
        <v>74.08609663782</v>
      </c>
      <c r="F189" s="41" t="n">
        <f aca="false">(parametros_carros!$D$26*('Plan mensual'!H101+IF(parametros_carros!$H$26="Todos",'Plan mensual'!H105,0))+parametros_carros!$E$26*('Plan mensual'!H102+IF(parametros_carros!$H$26="Todos",'Plan mensual'!H106,0))+parametros_carros!$F$26*('Plan mensual'!H103+IF(parametros_carros!$H$26="Todos",'Plan mensual'!H107,0))+parametros_carros!$G$26*('Plan mensual'!H104+IF(parametros_carros!$H$26="Todos",'Plan mensual'!H108,0)))/60</f>
        <v>74.08609663782</v>
      </c>
      <c r="G189" s="41" t="n">
        <f aca="false">(parametros_carros!$D$26*('Plan mensual'!I101+IF(parametros_carros!$H$26="Todos",'Plan mensual'!I105,0))+parametros_carros!$E$26*('Plan mensual'!I102+IF(parametros_carros!$H$26="Todos",'Plan mensual'!I106,0))+parametros_carros!$F$26*('Plan mensual'!I103+IF(parametros_carros!$H$26="Todos",'Plan mensual'!I107,0))+parametros_carros!$G$26*('Plan mensual'!I104+IF(parametros_carros!$H$26="Todos",'Plan mensual'!I108,0)))/60</f>
        <v>65.8543081225067</v>
      </c>
      <c r="H189" s="41" t="n">
        <f aca="false">(parametros_carros!$D$26*('Plan mensual'!J101+IF(parametros_carros!$H$26="Todos",'Plan mensual'!J105,0))+parametros_carros!$E$26*('Plan mensual'!J102+IF(parametros_carros!$H$26="Todos",'Plan mensual'!J106,0))+parametros_carros!$F$26*('Plan mensual'!J103+IF(parametros_carros!$H$26="Todos",'Plan mensual'!J107,0))+parametros_carros!$G$26*('Plan mensual'!J104+IF(parametros_carros!$H$26="Todos",'Plan mensual'!J108,0)))/60</f>
        <v>74.08609663782</v>
      </c>
      <c r="I189" s="41" t="n">
        <f aca="false">(parametros_carros!$D$26*('Plan mensual'!K101+IF(parametros_carros!$H$26="Todos",'Plan mensual'!K105,0))+parametros_carros!$E$26*('Plan mensual'!K102+IF(parametros_carros!$H$26="Todos",'Plan mensual'!K106,0))+parametros_carros!$F$26*('Plan mensual'!K103+IF(parametros_carros!$H$26="Todos",'Plan mensual'!K107,0))+parametros_carros!$G$26*('Plan mensual'!K104+IF(parametros_carros!$H$26="Todos",'Plan mensual'!K108,0)))/60</f>
        <v>74.08609663782</v>
      </c>
      <c r="J189" s="41" t="n">
        <f aca="false">(parametros_carros!$D$26*('Plan mensual'!L101+IF(parametros_carros!$H$26="Todos",'Plan mensual'!L105,0))+parametros_carros!$E$26*('Plan mensual'!L102+IF(parametros_carros!$H$26="Todos",'Plan mensual'!L106,0))+parametros_carros!$F$26*('Plan mensual'!L103+IF(parametros_carros!$H$26="Todos",'Plan mensual'!L107,0))+parametros_carros!$G$26*('Plan mensual'!L104+IF(parametros_carros!$H$26="Todos",'Plan mensual'!L108,0)))/60</f>
        <v>69.9702023801633</v>
      </c>
      <c r="K189" s="41" t="n">
        <f aca="false">(parametros_carros!$D$26*('Plan mensual'!M101+IF(parametros_carros!$H$26="Todos",'Plan mensual'!M105,0))+parametros_carros!$E$26*('Plan mensual'!M102+IF(parametros_carros!$H$26="Todos",'Plan mensual'!M106,0))+parametros_carros!$F$26*('Plan mensual'!M103+IF(parametros_carros!$H$26="Todos",'Plan mensual'!M107,0))+parametros_carros!$G$26*('Plan mensual'!M104+IF(parametros_carros!$H$26="Todos",'Plan mensual'!M108,0)))/60</f>
        <v>61.73841386485</v>
      </c>
      <c r="L189" s="41" t="n">
        <f aca="false">(parametros_carros!$D$26*('Plan mensual'!N101+IF(parametros_carros!$H$26="Todos",'Plan mensual'!N105,0))+parametros_carros!$E$26*('Plan mensual'!N102+IF(parametros_carros!$H$26="Todos",'Plan mensual'!N106,0))+parametros_carros!$F$26*('Plan mensual'!N103+IF(parametros_carros!$H$26="Todos",'Plan mensual'!N107,0))+parametros_carros!$G$26*('Plan mensual'!N104+IF(parametros_carros!$H$26="Todos",'Plan mensual'!N108,0)))/60</f>
        <v>57.6225196071933</v>
      </c>
      <c r="M189" s="41" t="n">
        <f aca="false">(parametros_carros!$D$26*('Plan mensual'!O101+IF(parametros_carros!$H$26="Todos",'Plan mensual'!O105,0))+parametros_carros!$E$26*('Plan mensual'!O102+IF(parametros_carros!$H$26="Todos",'Plan mensual'!O106,0))+parametros_carros!$F$26*('Plan mensual'!O103+IF(parametros_carros!$H$26="Todos",'Plan mensual'!O107,0))+parametros_carros!$G$26*('Plan mensual'!O104+IF(parametros_carros!$H$26="Todos",'Plan mensual'!O108,0)))/60</f>
        <v>65.8543081225067</v>
      </c>
      <c r="N189" s="41" t="n">
        <f aca="false">SUM(B189:M189)</f>
        <v>823.178851531333</v>
      </c>
      <c r="O189" s="41" t="n">
        <f aca="false">MAX(B189:M189)</f>
        <v>74.08609663782</v>
      </c>
      <c r="P189" s="45" t="n">
        <f aca="false">IF(parametros_carros!$B$7=0,0,(O189+parametros_carros!$G$52)/parametros_carros!$B$7)</f>
        <v>0.5139073109188</v>
      </c>
      <c r="Q189" s="29" t="str">
        <f aca="false">IF(O189=0,"-",INDEX($B$181:$M$181,MATCH(O189,B189:M189,0)))</f>
        <v>Mar</v>
      </c>
    </row>
    <row r="190" customFormat="false" ht="14.25" hidden="false" customHeight="true" outlineLevel="0" collapsed="false">
      <c r="A190" s="12" t="str">
        <f aca="false">parametros_carros!$B$27</f>
        <v>Soldadura de accesorios</v>
      </c>
      <c r="B190" s="41" t="n">
        <f aca="false">(parametros_carros!$D$27*('Plan mensual'!D101+IF(parametros_carros!$H$27="Todos",'Plan mensual'!D105,0))+parametros_carros!$E$27*('Plan mensual'!D102+IF(parametros_carros!$H$27="Todos",'Plan mensual'!D106,0))+parametros_carros!$F$27*('Plan mensual'!D103+IF(parametros_carros!$H$27="Todos",'Plan mensual'!D107,0))+parametros_carros!$G$27*('Plan mensual'!D104+IF(parametros_carros!$H$27="Todos",'Plan mensual'!D108,0)))/60</f>
        <v>71.2916812865608</v>
      </c>
      <c r="C190" s="41" t="n">
        <f aca="false">(parametros_carros!$D$27*('Plan mensual'!E101+IF(parametros_carros!$H$27="Todos",'Plan mensual'!E105,0))+parametros_carros!$E$27*('Plan mensual'!E102+IF(parametros_carros!$H$27="Todos",'Plan mensual'!E106,0))+parametros_carros!$F$27*('Plan mensual'!E103+IF(parametros_carros!$H$27="Todos",'Plan mensual'!E107,0))+parametros_carros!$G$27*('Plan mensual'!E104+IF(parametros_carros!$H$27="Todos",'Plan mensual'!E108,0)))/60</f>
        <v>62.9044246646125</v>
      </c>
      <c r="D190" s="41" t="n">
        <f aca="false">(parametros_carros!$D$27*('Plan mensual'!F101+IF(parametros_carros!$H$27="Todos",'Plan mensual'!F105,0))+parametros_carros!$E$27*('Plan mensual'!F102+IF(parametros_carros!$H$27="Todos",'Plan mensual'!F106,0))+parametros_carros!$F$27*('Plan mensual'!F103+IF(parametros_carros!$H$27="Todos",'Plan mensual'!F107,0))+parametros_carros!$G$27*('Plan mensual'!F104+IF(parametros_carros!$H$27="Todos",'Plan mensual'!F108,0)))/60</f>
        <v>75.485309597535</v>
      </c>
      <c r="E190" s="41" t="n">
        <f aca="false">(parametros_carros!$D$27*('Plan mensual'!G101+IF(parametros_carros!$H$27="Todos",'Plan mensual'!G105,0))+parametros_carros!$E$27*('Plan mensual'!G102+IF(parametros_carros!$H$27="Todos",'Plan mensual'!G106,0))+parametros_carros!$F$27*('Plan mensual'!G103+IF(parametros_carros!$H$27="Todos",'Plan mensual'!G107,0))+parametros_carros!$G$27*('Plan mensual'!G104+IF(parametros_carros!$H$27="Todos",'Plan mensual'!G108,0)))/60</f>
        <v>75.485309597535</v>
      </c>
      <c r="F190" s="41" t="n">
        <f aca="false">(parametros_carros!$D$27*('Plan mensual'!H101+IF(parametros_carros!$H$27="Todos",'Plan mensual'!H105,0))+parametros_carros!$E$27*('Plan mensual'!H102+IF(parametros_carros!$H$27="Todos",'Plan mensual'!H106,0))+parametros_carros!$F$27*('Plan mensual'!H103+IF(parametros_carros!$H$27="Todos",'Plan mensual'!H107,0))+parametros_carros!$G$27*('Plan mensual'!H104+IF(parametros_carros!$H$27="Todos",'Plan mensual'!H108,0)))/60</f>
        <v>75.485309597535</v>
      </c>
      <c r="G190" s="41" t="n">
        <f aca="false">(parametros_carros!$D$27*('Plan mensual'!I101+IF(parametros_carros!$H$27="Todos",'Plan mensual'!I105,0))+parametros_carros!$E$27*('Plan mensual'!I102+IF(parametros_carros!$H$27="Todos",'Plan mensual'!I106,0))+parametros_carros!$F$27*('Plan mensual'!I103+IF(parametros_carros!$H$27="Todos",'Plan mensual'!I107,0))+parametros_carros!$G$27*('Plan mensual'!I104+IF(parametros_carros!$H$27="Todos",'Plan mensual'!I108,0)))/60</f>
        <v>67.0980529755867</v>
      </c>
      <c r="H190" s="41" t="n">
        <f aca="false">(parametros_carros!$D$27*('Plan mensual'!J101+IF(parametros_carros!$H$27="Todos",'Plan mensual'!J105,0))+parametros_carros!$E$27*('Plan mensual'!J102+IF(parametros_carros!$H$27="Todos",'Plan mensual'!J106,0))+parametros_carros!$F$27*('Plan mensual'!J103+IF(parametros_carros!$H$27="Todos",'Plan mensual'!J107,0))+parametros_carros!$G$27*('Plan mensual'!J104+IF(parametros_carros!$H$27="Todos",'Plan mensual'!J108,0)))/60</f>
        <v>75.485309597535</v>
      </c>
      <c r="I190" s="41" t="n">
        <f aca="false">(parametros_carros!$D$27*('Plan mensual'!K101+IF(parametros_carros!$H$27="Todos",'Plan mensual'!K105,0))+parametros_carros!$E$27*('Plan mensual'!K102+IF(parametros_carros!$H$27="Todos",'Plan mensual'!K106,0))+parametros_carros!$F$27*('Plan mensual'!K103+IF(parametros_carros!$H$27="Todos",'Plan mensual'!K107,0))+parametros_carros!$G$27*('Plan mensual'!K104+IF(parametros_carros!$H$27="Todos",'Plan mensual'!K108,0)))/60</f>
        <v>75.485309597535</v>
      </c>
      <c r="J190" s="41" t="n">
        <f aca="false">(parametros_carros!$D$27*('Plan mensual'!L101+IF(parametros_carros!$H$27="Todos",'Plan mensual'!L105,0))+parametros_carros!$E$27*('Plan mensual'!L102+IF(parametros_carros!$H$27="Todos",'Plan mensual'!L106,0))+parametros_carros!$F$27*('Plan mensual'!L103+IF(parametros_carros!$H$27="Todos",'Plan mensual'!L107,0))+parametros_carros!$G$27*('Plan mensual'!L104+IF(parametros_carros!$H$27="Todos",'Plan mensual'!L108,0)))/60</f>
        <v>71.2916812865608</v>
      </c>
      <c r="K190" s="41" t="n">
        <f aca="false">(parametros_carros!$D$27*('Plan mensual'!M101+IF(parametros_carros!$H$27="Todos",'Plan mensual'!M105,0))+parametros_carros!$E$27*('Plan mensual'!M102+IF(parametros_carros!$H$27="Todos",'Plan mensual'!M106,0))+parametros_carros!$F$27*('Plan mensual'!M103+IF(parametros_carros!$H$27="Todos",'Plan mensual'!M107,0))+parametros_carros!$G$27*('Plan mensual'!M104+IF(parametros_carros!$H$27="Todos",'Plan mensual'!M108,0)))/60</f>
        <v>62.9044246646125</v>
      </c>
      <c r="L190" s="41" t="n">
        <f aca="false">(parametros_carros!$D$27*('Plan mensual'!N101+IF(parametros_carros!$H$27="Todos",'Plan mensual'!N105,0))+parametros_carros!$E$27*('Plan mensual'!N102+IF(parametros_carros!$H$27="Todos",'Plan mensual'!N106,0))+parametros_carros!$F$27*('Plan mensual'!N103+IF(parametros_carros!$H$27="Todos",'Plan mensual'!N107,0))+parametros_carros!$G$27*('Plan mensual'!N104+IF(parametros_carros!$H$27="Todos",'Plan mensual'!N108,0)))/60</f>
        <v>58.7107963536383</v>
      </c>
      <c r="M190" s="41" t="n">
        <f aca="false">(parametros_carros!$D$27*('Plan mensual'!O101+IF(parametros_carros!$H$27="Todos",'Plan mensual'!O105,0))+parametros_carros!$E$27*('Plan mensual'!O102+IF(parametros_carros!$H$27="Todos",'Plan mensual'!O106,0))+parametros_carros!$F$27*('Plan mensual'!O103+IF(parametros_carros!$H$27="Todos",'Plan mensual'!O107,0))+parametros_carros!$G$27*('Plan mensual'!O104+IF(parametros_carros!$H$27="Todos",'Plan mensual'!O108,0)))/60</f>
        <v>67.0980529755867</v>
      </c>
      <c r="N190" s="41" t="n">
        <f aca="false">SUM(B190:M190)</f>
        <v>838.725662194833</v>
      </c>
      <c r="O190" s="41" t="n">
        <f aca="false">MAX(B190:M190)</f>
        <v>75.485309597535</v>
      </c>
      <c r="P190" s="45" t="n">
        <f aca="false">IF(parametros_carros!$B$7=0,0,(O190+parametros_carros!$G$53)/parametros_carros!$B$7)</f>
        <v>0.5232353973169</v>
      </c>
      <c r="Q190" s="29" t="str">
        <f aca="false">IF(O190=0,"-",INDEX($B$181:$M$181,MATCH(O190,B190:M190,0)))</f>
        <v>Mar</v>
      </c>
    </row>
    <row r="191" customFormat="false" ht="14.25" hidden="false" customHeight="true" outlineLevel="0" collapsed="false">
      <c r="A191" s="12" t="str">
        <f aca="false">parametros_carros!$B$28</f>
        <v>Fabricación de accesorios</v>
      </c>
      <c r="B191" s="41" t="n">
        <f aca="false">(parametros_carros!$D$28*('Plan mensual'!D101+IF(parametros_carros!$H$28="Todos",'Plan mensual'!D105,0))+parametros_carros!$E$28*('Plan mensual'!D102+IF(parametros_carros!$H$28="Todos",'Plan mensual'!D106,0))+parametros_carros!$F$28*('Plan mensual'!D103+IF(parametros_carros!$H$28="Todos",'Plan mensual'!D107,0))+parametros_carros!$G$28*('Plan mensual'!D104+IF(parametros_carros!$H$28="Todos",'Plan mensual'!D108,0)))/60</f>
        <v>48.4380199043583</v>
      </c>
      <c r="C191" s="41" t="n">
        <f aca="false">(parametros_carros!$D$28*('Plan mensual'!E101+IF(parametros_carros!$H$28="Todos",'Plan mensual'!E105,0))+parametros_carros!$E$28*('Plan mensual'!E102+IF(parametros_carros!$H$28="Todos",'Plan mensual'!E106,0))+parametros_carros!$F$28*('Plan mensual'!E103+IF(parametros_carros!$H$28="Todos",'Plan mensual'!E107,0))+parametros_carros!$G$28*('Plan mensual'!E104+IF(parametros_carros!$H$28="Todos",'Plan mensual'!E108,0)))/60</f>
        <v>42.739429327375</v>
      </c>
      <c r="D191" s="41" t="n">
        <f aca="false">(parametros_carros!$D$28*('Plan mensual'!F101+IF(parametros_carros!$H$28="Todos",'Plan mensual'!F105,0))+parametros_carros!$E$28*('Plan mensual'!F102+IF(parametros_carros!$H$28="Todos",'Plan mensual'!F106,0))+parametros_carros!$F$28*('Plan mensual'!F103+IF(parametros_carros!$H$28="Todos",'Plan mensual'!F107,0))+parametros_carros!$G$28*('Plan mensual'!F104+IF(parametros_carros!$H$28="Todos",'Plan mensual'!F108,0)))/60</f>
        <v>51.28731519285</v>
      </c>
      <c r="E191" s="41" t="n">
        <f aca="false">(parametros_carros!$D$28*('Plan mensual'!G101+IF(parametros_carros!$H$28="Todos",'Plan mensual'!G105,0))+parametros_carros!$E$28*('Plan mensual'!G102+IF(parametros_carros!$H$28="Todos",'Plan mensual'!G106,0))+parametros_carros!$F$28*('Plan mensual'!G103+IF(parametros_carros!$H$28="Todos",'Plan mensual'!G107,0))+parametros_carros!$G$28*('Plan mensual'!G104+IF(parametros_carros!$H$28="Todos",'Plan mensual'!G108,0)))/60</f>
        <v>51.28731519285</v>
      </c>
      <c r="F191" s="41" t="n">
        <f aca="false">(parametros_carros!$D$28*('Plan mensual'!H101+IF(parametros_carros!$H$28="Todos",'Plan mensual'!H105,0))+parametros_carros!$E$28*('Plan mensual'!H102+IF(parametros_carros!$H$28="Todos",'Plan mensual'!H106,0))+parametros_carros!$F$28*('Plan mensual'!H103+IF(parametros_carros!$H$28="Todos",'Plan mensual'!H107,0))+parametros_carros!$G$28*('Plan mensual'!H104+IF(parametros_carros!$H$28="Todos",'Plan mensual'!H108,0)))/60</f>
        <v>51.28731519285</v>
      </c>
      <c r="G191" s="41" t="n">
        <f aca="false">(parametros_carros!$D$28*('Plan mensual'!I101+IF(parametros_carros!$H$28="Todos",'Plan mensual'!I105,0))+parametros_carros!$E$28*('Plan mensual'!I102+IF(parametros_carros!$H$28="Todos",'Plan mensual'!I106,0))+parametros_carros!$F$28*('Plan mensual'!I103+IF(parametros_carros!$H$28="Todos",'Plan mensual'!I107,0))+parametros_carros!$G$28*('Plan mensual'!I104+IF(parametros_carros!$H$28="Todos",'Plan mensual'!I108,0)))/60</f>
        <v>45.5887246158667</v>
      </c>
      <c r="H191" s="41" t="n">
        <f aca="false">(parametros_carros!$D$28*('Plan mensual'!J101+IF(parametros_carros!$H$28="Todos",'Plan mensual'!J105,0))+parametros_carros!$E$28*('Plan mensual'!J102+IF(parametros_carros!$H$28="Todos",'Plan mensual'!J106,0))+parametros_carros!$F$28*('Plan mensual'!J103+IF(parametros_carros!$H$28="Todos",'Plan mensual'!J107,0))+parametros_carros!$G$28*('Plan mensual'!J104+IF(parametros_carros!$H$28="Todos",'Plan mensual'!J108,0)))/60</f>
        <v>51.28731519285</v>
      </c>
      <c r="I191" s="41" t="n">
        <f aca="false">(parametros_carros!$D$28*('Plan mensual'!K101+IF(parametros_carros!$H$28="Todos",'Plan mensual'!K105,0))+parametros_carros!$E$28*('Plan mensual'!K102+IF(parametros_carros!$H$28="Todos",'Plan mensual'!K106,0))+parametros_carros!$F$28*('Plan mensual'!K103+IF(parametros_carros!$H$28="Todos",'Plan mensual'!K107,0))+parametros_carros!$G$28*('Plan mensual'!K104+IF(parametros_carros!$H$28="Todos",'Plan mensual'!K108,0)))/60</f>
        <v>51.28731519285</v>
      </c>
      <c r="J191" s="41" t="n">
        <f aca="false">(parametros_carros!$D$28*('Plan mensual'!L101+IF(parametros_carros!$H$28="Todos",'Plan mensual'!L105,0))+parametros_carros!$E$28*('Plan mensual'!L102+IF(parametros_carros!$H$28="Todos",'Plan mensual'!L106,0))+parametros_carros!$F$28*('Plan mensual'!L103+IF(parametros_carros!$H$28="Todos",'Plan mensual'!L107,0))+parametros_carros!$G$28*('Plan mensual'!L104+IF(parametros_carros!$H$28="Todos",'Plan mensual'!L108,0)))/60</f>
        <v>48.4380199043583</v>
      </c>
      <c r="K191" s="41" t="n">
        <f aca="false">(parametros_carros!$D$28*('Plan mensual'!M101+IF(parametros_carros!$H$28="Todos",'Plan mensual'!M105,0))+parametros_carros!$E$28*('Plan mensual'!M102+IF(parametros_carros!$H$28="Todos",'Plan mensual'!M106,0))+parametros_carros!$F$28*('Plan mensual'!M103+IF(parametros_carros!$H$28="Todos",'Plan mensual'!M107,0))+parametros_carros!$G$28*('Plan mensual'!M104+IF(parametros_carros!$H$28="Todos",'Plan mensual'!M108,0)))/60</f>
        <v>42.739429327375</v>
      </c>
      <c r="L191" s="41" t="n">
        <f aca="false">(parametros_carros!$D$28*('Plan mensual'!N101+IF(parametros_carros!$H$28="Todos",'Plan mensual'!N105,0))+parametros_carros!$E$28*('Plan mensual'!N102+IF(parametros_carros!$H$28="Todos",'Plan mensual'!N106,0))+parametros_carros!$F$28*('Plan mensual'!N103+IF(parametros_carros!$H$28="Todos",'Plan mensual'!N107,0))+parametros_carros!$G$28*('Plan mensual'!N104+IF(parametros_carros!$H$28="Todos",'Plan mensual'!N108,0)))/60</f>
        <v>39.8901340388833</v>
      </c>
      <c r="M191" s="41" t="n">
        <f aca="false">(parametros_carros!$D$28*('Plan mensual'!O101+IF(parametros_carros!$H$28="Todos",'Plan mensual'!O105,0))+parametros_carros!$E$28*('Plan mensual'!O102+IF(parametros_carros!$H$28="Todos",'Plan mensual'!O106,0))+parametros_carros!$F$28*('Plan mensual'!O103+IF(parametros_carros!$H$28="Todos",'Plan mensual'!O107,0))+parametros_carros!$G$28*('Plan mensual'!O104+IF(parametros_carros!$H$28="Todos",'Plan mensual'!O108,0)))/60</f>
        <v>45.5887246158667</v>
      </c>
      <c r="N191" s="41" t="n">
        <f aca="false">SUM(B191:M191)</f>
        <v>569.859057698333</v>
      </c>
      <c r="O191" s="41" t="n">
        <f aca="false">MAX(B191:M191)</f>
        <v>51.28731519285</v>
      </c>
      <c r="P191" s="45" t="n">
        <f aca="false">IF(parametros_carros!$B$7=0,0,(O191+parametros_carros!$G$54)/parametros_carros!$B$7)</f>
        <v>0.375248767952333</v>
      </c>
      <c r="Q191" s="29" t="str">
        <f aca="false">IF(O191=0,"-",INDEX($B$181:$M$181,MATCH(O191,B191:M191,0)))</f>
        <v>Mar</v>
      </c>
    </row>
    <row r="192" customFormat="false" ht="14.25" hidden="false" customHeight="true" outlineLevel="0" collapsed="false">
      <c r="A192" s="12" t="str">
        <f aca="false">parametros_carros!$B$29</f>
        <v>Prueba hidráulica</v>
      </c>
      <c r="B192" s="41" t="n">
        <f aca="false">(parametros_carros!$D$29*('Plan mensual'!D101+IF(parametros_carros!$H$29="Todos",'Plan mensual'!D105,0))+parametros_carros!$E$29*('Plan mensual'!D102+IF(parametros_carros!$H$29="Todos",'Plan mensual'!D106,0))+parametros_carros!$F$29*('Plan mensual'!D103+IF(parametros_carros!$H$29="Todos",'Plan mensual'!D107,0))+parametros_carros!$G$29*('Plan mensual'!D104+IF(parametros_carros!$H$29="Todos",'Plan mensual'!D108,0)))/60</f>
        <v>39.5427774007378</v>
      </c>
      <c r="C192" s="41" t="n">
        <f aca="false">(parametros_carros!$D$29*('Plan mensual'!E101+IF(parametros_carros!$H$29="Todos",'Plan mensual'!E105,0))+parametros_carros!$E$29*('Plan mensual'!E102+IF(parametros_carros!$H$29="Todos",'Plan mensual'!E106,0))+parametros_carros!$F$29*('Plan mensual'!E103+IF(parametros_carros!$H$29="Todos",'Plan mensual'!E107,0))+parametros_carros!$G$29*('Plan mensual'!E104+IF(parametros_carros!$H$29="Todos",'Plan mensual'!E108,0)))/60</f>
        <v>34.8906859418275</v>
      </c>
      <c r="D192" s="41" t="n">
        <f aca="false">(parametros_carros!$D$29*('Plan mensual'!F101+IF(parametros_carros!$H$29="Todos",'Plan mensual'!F105,0))+parametros_carros!$E$29*('Plan mensual'!F102+IF(parametros_carros!$H$29="Todos",'Plan mensual'!F106,0))+parametros_carros!$F$29*('Plan mensual'!F103+IF(parametros_carros!$H$29="Todos",'Plan mensual'!F107,0))+parametros_carros!$G$29*('Plan mensual'!F104+IF(parametros_carros!$H$29="Todos",'Plan mensual'!F108,0)))/60</f>
        <v>41.868823130193</v>
      </c>
      <c r="E192" s="41" t="n">
        <f aca="false">(parametros_carros!$D$29*('Plan mensual'!G101+IF(parametros_carros!$H$29="Todos",'Plan mensual'!G105,0))+parametros_carros!$E$29*('Plan mensual'!G102+IF(parametros_carros!$H$29="Todos",'Plan mensual'!G106,0))+parametros_carros!$F$29*('Plan mensual'!G103+IF(parametros_carros!$H$29="Todos",'Plan mensual'!G107,0))+parametros_carros!$G$29*('Plan mensual'!G104+IF(parametros_carros!$H$29="Todos",'Plan mensual'!G108,0)))/60</f>
        <v>41.868823130193</v>
      </c>
      <c r="F192" s="41" t="n">
        <f aca="false">(parametros_carros!$D$29*('Plan mensual'!H101+IF(parametros_carros!$H$29="Todos",'Plan mensual'!H105,0))+parametros_carros!$E$29*('Plan mensual'!H102+IF(parametros_carros!$H$29="Todos",'Plan mensual'!H106,0))+parametros_carros!$F$29*('Plan mensual'!H103+IF(parametros_carros!$H$29="Todos",'Plan mensual'!H107,0))+parametros_carros!$G$29*('Plan mensual'!H104+IF(parametros_carros!$H$29="Todos",'Plan mensual'!H108,0)))/60</f>
        <v>41.868823130193</v>
      </c>
      <c r="G192" s="41" t="n">
        <f aca="false">(parametros_carros!$D$29*('Plan mensual'!I101+IF(parametros_carros!$H$29="Todos",'Plan mensual'!I105,0))+parametros_carros!$E$29*('Plan mensual'!I102+IF(parametros_carros!$H$29="Todos",'Plan mensual'!I106,0))+parametros_carros!$F$29*('Plan mensual'!I103+IF(parametros_carros!$H$29="Todos",'Plan mensual'!I107,0))+parametros_carros!$G$29*('Plan mensual'!I104+IF(parametros_carros!$H$29="Todos",'Plan mensual'!I108,0)))/60</f>
        <v>37.2167316712827</v>
      </c>
      <c r="H192" s="41" t="n">
        <f aca="false">(parametros_carros!$D$29*('Plan mensual'!J101+IF(parametros_carros!$H$29="Todos",'Plan mensual'!J105,0))+parametros_carros!$E$29*('Plan mensual'!J102+IF(parametros_carros!$H$29="Todos",'Plan mensual'!J106,0))+parametros_carros!$F$29*('Plan mensual'!J103+IF(parametros_carros!$H$29="Todos",'Plan mensual'!J107,0))+parametros_carros!$G$29*('Plan mensual'!J104+IF(parametros_carros!$H$29="Todos",'Plan mensual'!J108,0)))/60</f>
        <v>41.868823130193</v>
      </c>
      <c r="I192" s="41" t="n">
        <f aca="false">(parametros_carros!$D$29*('Plan mensual'!K101+IF(parametros_carros!$H$29="Todos",'Plan mensual'!K105,0))+parametros_carros!$E$29*('Plan mensual'!K102+IF(parametros_carros!$H$29="Todos",'Plan mensual'!K106,0))+parametros_carros!$F$29*('Plan mensual'!K103+IF(parametros_carros!$H$29="Todos",'Plan mensual'!K107,0))+parametros_carros!$G$29*('Plan mensual'!K104+IF(parametros_carros!$H$29="Todos",'Plan mensual'!K108,0)))/60</f>
        <v>41.868823130193</v>
      </c>
      <c r="J192" s="41" t="n">
        <f aca="false">(parametros_carros!$D$29*('Plan mensual'!L101+IF(parametros_carros!$H$29="Todos",'Plan mensual'!L105,0))+parametros_carros!$E$29*('Plan mensual'!L102+IF(parametros_carros!$H$29="Todos",'Plan mensual'!L106,0))+parametros_carros!$F$29*('Plan mensual'!L103+IF(parametros_carros!$H$29="Todos",'Plan mensual'!L107,0))+parametros_carros!$G$29*('Plan mensual'!L104+IF(parametros_carros!$H$29="Todos",'Plan mensual'!L108,0)))/60</f>
        <v>39.5427774007378</v>
      </c>
      <c r="K192" s="41" t="n">
        <f aca="false">(parametros_carros!$D$29*('Plan mensual'!M101+IF(parametros_carros!$H$29="Todos",'Plan mensual'!M105,0))+parametros_carros!$E$29*('Plan mensual'!M102+IF(parametros_carros!$H$29="Todos",'Plan mensual'!M106,0))+parametros_carros!$F$29*('Plan mensual'!M103+IF(parametros_carros!$H$29="Todos",'Plan mensual'!M107,0))+parametros_carros!$G$29*('Plan mensual'!M104+IF(parametros_carros!$H$29="Todos",'Plan mensual'!M108,0)))/60</f>
        <v>34.8906859418275</v>
      </c>
      <c r="L192" s="41" t="n">
        <f aca="false">(parametros_carros!$D$29*('Plan mensual'!N101+IF(parametros_carros!$H$29="Todos",'Plan mensual'!N105,0))+parametros_carros!$E$29*('Plan mensual'!N102+IF(parametros_carros!$H$29="Todos",'Plan mensual'!N106,0))+parametros_carros!$F$29*('Plan mensual'!N103+IF(parametros_carros!$H$29="Todos",'Plan mensual'!N107,0))+parametros_carros!$G$29*('Plan mensual'!N104+IF(parametros_carros!$H$29="Todos",'Plan mensual'!N108,0)))/60</f>
        <v>32.5646402123723</v>
      </c>
      <c r="M192" s="41" t="n">
        <f aca="false">(parametros_carros!$D$29*('Plan mensual'!O101+IF(parametros_carros!$H$29="Todos",'Plan mensual'!O105,0))+parametros_carros!$E$29*('Plan mensual'!O102+IF(parametros_carros!$H$29="Todos",'Plan mensual'!O106,0))+parametros_carros!$F$29*('Plan mensual'!O103+IF(parametros_carros!$H$29="Todos",'Plan mensual'!O107,0))+parametros_carros!$G$29*('Plan mensual'!O104+IF(parametros_carros!$H$29="Todos",'Plan mensual'!O108,0)))/60</f>
        <v>37.2167316712827</v>
      </c>
      <c r="N192" s="41" t="n">
        <f aca="false">SUM(B192:M192)</f>
        <v>465.209145891033</v>
      </c>
      <c r="O192" s="41" t="n">
        <f aca="false">MAX(B192:M192)</f>
        <v>41.868823130193</v>
      </c>
      <c r="P192" s="45" t="n">
        <f aca="false">IF(parametros_carros!$B$7=0,0,(O192+parametros_carros!$G$55)/parametros_carros!$B$7)</f>
        <v>0.301347709756842</v>
      </c>
      <c r="Q192" s="29" t="str">
        <f aca="false">IF(O192=0,"-",INDEX($B$181:$M$181,MATCH(O192,B192:M192,0)))</f>
        <v>Mar</v>
      </c>
    </row>
    <row r="193" customFormat="false" ht="14.25" hidden="false" customHeight="true" outlineLevel="0" collapsed="false">
      <c r="A193" s="12" t="str">
        <f aca="false">parametros_carros!$B$30</f>
        <v>Secado</v>
      </c>
      <c r="B193" s="41" t="n">
        <f aca="false">(parametros_carros!$D$30*('Plan mensual'!D101+IF(parametros_carros!$H$30="Todos",'Plan mensual'!D105,0))+parametros_carros!$E$30*('Plan mensual'!D102+IF(parametros_carros!$H$30="Todos",'Plan mensual'!D106,0))+parametros_carros!$F$30*('Plan mensual'!D103+IF(parametros_carros!$H$30="Todos",'Plan mensual'!D107,0))+parametros_carros!$G$30*('Plan mensual'!D104+IF(parametros_carros!$H$30="Todos",'Plan mensual'!D108,0)))/60</f>
        <v>44.29441553075</v>
      </c>
      <c r="C193" s="41" t="n">
        <f aca="false">(parametros_carros!$D$30*('Plan mensual'!E101+IF(parametros_carros!$H$30="Todos",'Plan mensual'!E105,0))+parametros_carros!$E$30*('Plan mensual'!E102+IF(parametros_carros!$H$30="Todos",'Plan mensual'!E106,0))+parametros_carros!$F$30*('Plan mensual'!E103+IF(parametros_carros!$H$30="Todos",'Plan mensual'!E107,0))+parametros_carros!$G$30*('Plan mensual'!E104+IF(parametros_carros!$H$30="Todos",'Plan mensual'!E108,0)))/60</f>
        <v>39.08330782125</v>
      </c>
      <c r="D193" s="41" t="n">
        <f aca="false">(parametros_carros!$D$30*('Plan mensual'!F101+IF(parametros_carros!$H$30="Todos",'Plan mensual'!F105,0))+parametros_carros!$E$30*('Plan mensual'!F102+IF(parametros_carros!$H$30="Todos",'Plan mensual'!F106,0))+parametros_carros!$F$30*('Plan mensual'!F103+IF(parametros_carros!$H$30="Todos",'Plan mensual'!F107,0))+parametros_carros!$G$30*('Plan mensual'!F104+IF(parametros_carros!$H$30="Todos",'Plan mensual'!F108,0)))/60</f>
        <v>46.8999693855</v>
      </c>
      <c r="E193" s="41" t="n">
        <f aca="false">(parametros_carros!$D$30*('Plan mensual'!G101+IF(parametros_carros!$H$30="Todos",'Plan mensual'!G105,0))+parametros_carros!$E$30*('Plan mensual'!G102+IF(parametros_carros!$H$30="Todos",'Plan mensual'!G106,0))+parametros_carros!$F$30*('Plan mensual'!G103+IF(parametros_carros!$H$30="Todos",'Plan mensual'!G107,0))+parametros_carros!$G$30*('Plan mensual'!G104+IF(parametros_carros!$H$30="Todos",'Plan mensual'!G108,0)))/60</f>
        <v>46.8999693855</v>
      </c>
      <c r="F193" s="41" t="n">
        <f aca="false">(parametros_carros!$D$30*('Plan mensual'!H101+IF(parametros_carros!$H$30="Todos",'Plan mensual'!H105,0))+parametros_carros!$E$30*('Plan mensual'!H102+IF(parametros_carros!$H$30="Todos",'Plan mensual'!H106,0))+parametros_carros!$F$30*('Plan mensual'!H103+IF(parametros_carros!$H$30="Todos",'Plan mensual'!H107,0))+parametros_carros!$G$30*('Plan mensual'!H104+IF(parametros_carros!$H$30="Todos",'Plan mensual'!H108,0)))/60</f>
        <v>46.8999693855</v>
      </c>
      <c r="G193" s="41" t="n">
        <f aca="false">(parametros_carros!$D$30*('Plan mensual'!I101+IF(parametros_carros!$H$30="Todos",'Plan mensual'!I105,0))+parametros_carros!$E$30*('Plan mensual'!I102+IF(parametros_carros!$H$30="Todos",'Plan mensual'!I106,0))+parametros_carros!$F$30*('Plan mensual'!I103+IF(parametros_carros!$H$30="Todos",'Plan mensual'!I107,0))+parametros_carros!$G$30*('Plan mensual'!I104+IF(parametros_carros!$H$30="Todos",'Plan mensual'!I108,0)))/60</f>
        <v>41.688861676</v>
      </c>
      <c r="H193" s="41" t="n">
        <f aca="false">(parametros_carros!$D$30*('Plan mensual'!J101+IF(parametros_carros!$H$30="Todos",'Plan mensual'!J105,0))+parametros_carros!$E$30*('Plan mensual'!J102+IF(parametros_carros!$H$30="Todos",'Plan mensual'!J106,0))+parametros_carros!$F$30*('Plan mensual'!J103+IF(parametros_carros!$H$30="Todos",'Plan mensual'!J107,0))+parametros_carros!$G$30*('Plan mensual'!J104+IF(parametros_carros!$H$30="Todos",'Plan mensual'!J108,0)))/60</f>
        <v>46.8999693855</v>
      </c>
      <c r="I193" s="41" t="n">
        <f aca="false">(parametros_carros!$D$30*('Plan mensual'!K101+IF(parametros_carros!$H$30="Todos",'Plan mensual'!K105,0))+parametros_carros!$E$30*('Plan mensual'!K102+IF(parametros_carros!$H$30="Todos",'Plan mensual'!K106,0))+parametros_carros!$F$30*('Plan mensual'!K103+IF(parametros_carros!$H$30="Todos",'Plan mensual'!K107,0))+parametros_carros!$G$30*('Plan mensual'!K104+IF(parametros_carros!$H$30="Todos",'Plan mensual'!K108,0)))/60</f>
        <v>46.8999693855</v>
      </c>
      <c r="J193" s="41" t="n">
        <f aca="false">(parametros_carros!$D$30*('Plan mensual'!L101+IF(parametros_carros!$H$30="Todos",'Plan mensual'!L105,0))+parametros_carros!$E$30*('Plan mensual'!L102+IF(parametros_carros!$H$30="Todos",'Plan mensual'!L106,0))+parametros_carros!$F$30*('Plan mensual'!L103+IF(parametros_carros!$H$30="Todos",'Plan mensual'!L107,0))+parametros_carros!$G$30*('Plan mensual'!L104+IF(parametros_carros!$H$30="Todos",'Plan mensual'!L108,0)))/60</f>
        <v>44.29441553075</v>
      </c>
      <c r="K193" s="41" t="n">
        <f aca="false">(parametros_carros!$D$30*('Plan mensual'!M101+IF(parametros_carros!$H$30="Todos",'Plan mensual'!M105,0))+parametros_carros!$E$30*('Plan mensual'!M102+IF(parametros_carros!$H$30="Todos",'Plan mensual'!M106,0))+parametros_carros!$F$30*('Plan mensual'!M103+IF(parametros_carros!$H$30="Todos",'Plan mensual'!M107,0))+parametros_carros!$G$30*('Plan mensual'!M104+IF(parametros_carros!$H$30="Todos",'Plan mensual'!M108,0)))/60</f>
        <v>39.08330782125</v>
      </c>
      <c r="L193" s="41" t="n">
        <f aca="false">(parametros_carros!$D$30*('Plan mensual'!N101+IF(parametros_carros!$H$30="Todos",'Plan mensual'!N105,0))+parametros_carros!$E$30*('Plan mensual'!N102+IF(parametros_carros!$H$30="Todos",'Plan mensual'!N106,0))+parametros_carros!$F$30*('Plan mensual'!N103+IF(parametros_carros!$H$30="Todos",'Plan mensual'!N107,0))+parametros_carros!$G$30*('Plan mensual'!N104+IF(parametros_carros!$H$30="Todos",'Plan mensual'!N108,0)))/60</f>
        <v>36.4777539665</v>
      </c>
      <c r="M193" s="41" t="n">
        <f aca="false">(parametros_carros!$D$30*('Plan mensual'!O101+IF(parametros_carros!$H$30="Todos",'Plan mensual'!O105,0))+parametros_carros!$E$30*('Plan mensual'!O102+IF(parametros_carros!$H$30="Todos",'Plan mensual'!O106,0))+parametros_carros!$F$30*('Plan mensual'!O103+IF(parametros_carros!$H$30="Todos",'Plan mensual'!O107,0))+parametros_carros!$G$30*('Plan mensual'!O104+IF(parametros_carros!$H$30="Todos",'Plan mensual'!O108,0)))/60</f>
        <v>41.688861676</v>
      </c>
      <c r="N193" s="41" t="n">
        <f aca="false">SUM(B193:M193)</f>
        <v>521.11077095</v>
      </c>
      <c r="O193" s="41" t="n">
        <f aca="false">MAX(B193:M193)</f>
        <v>46.8999693855</v>
      </c>
      <c r="P193" s="45" t="n">
        <f aca="false">IF(parametros_carros!$B$7=0,0,(O193+parametros_carros!$G$56)/parametros_carros!$B$7)</f>
        <v>0.31266646257</v>
      </c>
      <c r="Q193" s="29" t="str">
        <f aca="false">IF(O193=0,"-",INDEX($B$181:$M$181,MATCH(O193,B193:M193,0)))</f>
        <v>Mar</v>
      </c>
    </row>
    <row r="194" customFormat="false" ht="14.25" hidden="false" customHeight="true" outlineLevel="0" collapsed="false">
      <c r="A194" s="12" t="str">
        <f aca="false">parametros_carros!$B$31</f>
        <v>Pulmón de despacho y carga a pintura</v>
      </c>
      <c r="B194" s="41" t="n">
        <f aca="false">(parametros_carros!$D$31*('Plan mensual'!D101+IF(parametros_carros!$H$31="Todos",'Plan mensual'!D105,0))+parametros_carros!$E$31*('Plan mensual'!D102+IF(parametros_carros!$H$31="Todos",'Plan mensual'!D106,0))+parametros_carros!$F$31*('Plan mensual'!D103+IF(parametros_carros!$H$31="Todos",'Plan mensual'!D107,0))+parametros_carros!$G$31*('Plan mensual'!D104+IF(parametros_carros!$H$31="Todos",'Plan mensual'!D108,0)))/60</f>
        <v>7.04543666792792</v>
      </c>
      <c r="C194" s="41" t="n">
        <f aca="false">(parametros_carros!$D$31*('Plan mensual'!E101+IF(parametros_carros!$H$31="Todos",'Plan mensual'!E105,0))+parametros_carros!$E$31*('Plan mensual'!E102+IF(parametros_carros!$H$31="Todos",'Plan mensual'!E106,0))+parametros_carros!$F$31*('Plan mensual'!E103+IF(parametros_carros!$H$31="Todos",'Plan mensual'!E107,0))+parametros_carros!$G$31*('Plan mensual'!E104+IF(parametros_carros!$H$31="Todos",'Plan mensual'!E108,0)))/60</f>
        <v>6.21656176581875</v>
      </c>
      <c r="D194" s="41" t="n">
        <f aca="false">(parametros_carros!$D$31*('Plan mensual'!F101+IF(parametros_carros!$H$31="Todos",'Plan mensual'!F105,0))+parametros_carros!$E$31*('Plan mensual'!F102+IF(parametros_carros!$H$31="Todos",'Plan mensual'!F106,0))+parametros_carros!$F$31*('Plan mensual'!F103+IF(parametros_carros!$H$31="Todos",'Plan mensual'!F107,0))+parametros_carros!$G$31*('Plan mensual'!F104+IF(parametros_carros!$H$31="Todos",'Plan mensual'!F108,0)))/60</f>
        <v>7.4598741189825</v>
      </c>
      <c r="E194" s="41" t="n">
        <f aca="false">(parametros_carros!$D$31*('Plan mensual'!G101+IF(parametros_carros!$H$31="Todos",'Plan mensual'!G105,0))+parametros_carros!$E$31*('Plan mensual'!G102+IF(parametros_carros!$H$31="Todos",'Plan mensual'!G106,0))+parametros_carros!$F$31*('Plan mensual'!G103+IF(parametros_carros!$H$31="Todos",'Plan mensual'!G107,0))+parametros_carros!$G$31*('Plan mensual'!G104+IF(parametros_carros!$H$31="Todos",'Plan mensual'!G108,0)))/60</f>
        <v>7.4598741189825</v>
      </c>
      <c r="F194" s="41" t="n">
        <f aca="false">(parametros_carros!$D$31*('Plan mensual'!H101+IF(parametros_carros!$H$31="Todos",'Plan mensual'!H105,0))+parametros_carros!$E$31*('Plan mensual'!H102+IF(parametros_carros!$H$31="Todos",'Plan mensual'!H106,0))+parametros_carros!$F$31*('Plan mensual'!H103+IF(parametros_carros!$H$31="Todos",'Plan mensual'!H107,0))+parametros_carros!$G$31*('Plan mensual'!H104+IF(parametros_carros!$H$31="Todos",'Plan mensual'!H108,0)))/60</f>
        <v>7.4598741189825</v>
      </c>
      <c r="G194" s="41" t="n">
        <f aca="false">(parametros_carros!$D$31*('Plan mensual'!I101+IF(parametros_carros!$H$31="Todos",'Plan mensual'!I105,0))+parametros_carros!$E$31*('Plan mensual'!I102+IF(parametros_carros!$H$31="Todos",'Plan mensual'!I106,0))+parametros_carros!$F$31*('Plan mensual'!I103+IF(parametros_carros!$H$31="Todos",'Plan mensual'!I107,0))+parametros_carros!$G$31*('Plan mensual'!I104+IF(parametros_carros!$H$31="Todos",'Plan mensual'!I108,0)))/60</f>
        <v>6.63099921687333</v>
      </c>
      <c r="H194" s="41" t="n">
        <f aca="false">(parametros_carros!$D$31*('Plan mensual'!J101+IF(parametros_carros!$H$31="Todos",'Plan mensual'!J105,0))+parametros_carros!$E$31*('Plan mensual'!J102+IF(parametros_carros!$H$31="Todos",'Plan mensual'!J106,0))+parametros_carros!$F$31*('Plan mensual'!J103+IF(parametros_carros!$H$31="Todos",'Plan mensual'!J107,0))+parametros_carros!$G$31*('Plan mensual'!J104+IF(parametros_carros!$H$31="Todos",'Plan mensual'!J108,0)))/60</f>
        <v>7.4598741189825</v>
      </c>
      <c r="I194" s="41" t="n">
        <f aca="false">(parametros_carros!$D$31*('Plan mensual'!K101+IF(parametros_carros!$H$31="Todos",'Plan mensual'!K105,0))+parametros_carros!$E$31*('Plan mensual'!K102+IF(parametros_carros!$H$31="Todos",'Plan mensual'!K106,0))+parametros_carros!$F$31*('Plan mensual'!K103+IF(parametros_carros!$H$31="Todos",'Plan mensual'!K107,0))+parametros_carros!$G$31*('Plan mensual'!K104+IF(parametros_carros!$H$31="Todos",'Plan mensual'!K108,0)))/60</f>
        <v>7.4598741189825</v>
      </c>
      <c r="J194" s="41" t="n">
        <f aca="false">(parametros_carros!$D$31*('Plan mensual'!L101+IF(parametros_carros!$H$31="Todos",'Plan mensual'!L105,0))+parametros_carros!$E$31*('Plan mensual'!L102+IF(parametros_carros!$H$31="Todos",'Plan mensual'!L106,0))+parametros_carros!$F$31*('Plan mensual'!L103+IF(parametros_carros!$H$31="Todos",'Plan mensual'!L107,0))+parametros_carros!$G$31*('Plan mensual'!L104+IF(parametros_carros!$H$31="Todos",'Plan mensual'!L108,0)))/60</f>
        <v>7.04543666792792</v>
      </c>
      <c r="K194" s="41" t="n">
        <f aca="false">(parametros_carros!$D$31*('Plan mensual'!M101+IF(parametros_carros!$H$31="Todos",'Plan mensual'!M105,0))+parametros_carros!$E$31*('Plan mensual'!M102+IF(parametros_carros!$H$31="Todos",'Plan mensual'!M106,0))+parametros_carros!$F$31*('Plan mensual'!M103+IF(parametros_carros!$H$31="Todos",'Plan mensual'!M107,0))+parametros_carros!$G$31*('Plan mensual'!M104+IF(parametros_carros!$H$31="Todos",'Plan mensual'!M108,0)))/60</f>
        <v>6.21656176581875</v>
      </c>
      <c r="L194" s="41" t="n">
        <f aca="false">(parametros_carros!$D$31*('Plan mensual'!N101+IF(parametros_carros!$H$31="Todos",'Plan mensual'!N105,0))+parametros_carros!$E$31*('Plan mensual'!N102+IF(parametros_carros!$H$31="Todos",'Plan mensual'!N106,0))+parametros_carros!$F$31*('Plan mensual'!N103+IF(parametros_carros!$H$31="Todos",'Plan mensual'!N107,0))+parametros_carros!$G$31*('Plan mensual'!N104+IF(parametros_carros!$H$31="Todos",'Plan mensual'!N108,0)))/60</f>
        <v>5.80212431476417</v>
      </c>
      <c r="M194" s="41" t="n">
        <f aca="false">(parametros_carros!$D$31*('Plan mensual'!O101+IF(parametros_carros!$H$31="Todos",'Plan mensual'!O105,0))+parametros_carros!$E$31*('Plan mensual'!O102+IF(parametros_carros!$H$31="Todos",'Plan mensual'!O106,0))+parametros_carros!$F$31*('Plan mensual'!O103+IF(parametros_carros!$H$31="Todos",'Plan mensual'!O107,0))+parametros_carros!$G$31*('Plan mensual'!O104+IF(parametros_carros!$H$31="Todos",'Plan mensual'!O108,0)))/60</f>
        <v>6.63099921687333</v>
      </c>
      <c r="N194" s="41" t="n">
        <f aca="false">SUM(B194:M194)</f>
        <v>82.8874902109167</v>
      </c>
      <c r="O194" s="41" t="n">
        <f aca="false">MAX(B194:M194)</f>
        <v>7.4598741189825</v>
      </c>
      <c r="P194" s="45" t="n">
        <f aca="false">IF(parametros_carros!$B$7=0,0,(O194+parametros_carros!$G$57)/parametros_carros!$B$7)</f>
        <v>0.0586213830154389</v>
      </c>
      <c r="Q194" s="29" t="str">
        <f aca="false">IF(O194=0,"-",INDEX($B$181:$M$181,MATCH(O194,B194:M194,0)))</f>
        <v>Mar</v>
      </c>
    </row>
    <row r="195" customFormat="false" ht="14.25" hidden="false" customHeight="true" outlineLevel="0" collapsed="false">
      <c r="A195" s="12" t="str">
        <f aca="false">parametros_carros!$B$32</f>
        <v>Recepción de pintados y cambio de juego</v>
      </c>
      <c r="B195" s="41" t="n">
        <f aca="false">(parametros_carros!$D$32*('Plan mensual'!D101+IF(parametros_carros!$H$32="Todos",'Plan mensual'!D105,0))+parametros_carros!$E$32*('Plan mensual'!D102+IF(parametros_carros!$H$32="Todos",'Plan mensual'!D106,0))+parametros_carros!$F$32*('Plan mensual'!D103+IF(parametros_carros!$H$32="Todos",'Plan mensual'!D107,0))+parametros_carros!$G$32*('Plan mensual'!D104+IF(parametros_carros!$H$32="Todos",'Plan mensual'!D108,0)))/60</f>
        <v>13.7827061909929</v>
      </c>
      <c r="C195" s="41" t="n">
        <f aca="false">(parametros_carros!$D$32*('Plan mensual'!E101+IF(parametros_carros!$H$32="Todos",'Plan mensual'!E105,0))+parametros_carros!$E$32*('Plan mensual'!E102+IF(parametros_carros!$H$32="Todos",'Plan mensual'!E106,0))+parametros_carros!$F$32*('Plan mensual'!E103+IF(parametros_carros!$H$32="Todos",'Plan mensual'!E107,0))+parametros_carros!$G$32*('Plan mensual'!E104+IF(parametros_carros!$H$32="Todos",'Plan mensual'!E108,0)))/60</f>
        <v>12.1612113449938</v>
      </c>
      <c r="D195" s="41" t="n">
        <f aca="false">(parametros_carros!$D$32*('Plan mensual'!F101+IF(parametros_carros!$H$32="Todos",'Plan mensual'!F105,0))+parametros_carros!$E$32*('Plan mensual'!F102+IF(parametros_carros!$H$32="Todos",'Plan mensual'!F106,0))+parametros_carros!$F$32*('Plan mensual'!F103+IF(parametros_carros!$H$32="Todos",'Plan mensual'!F107,0))+parametros_carros!$G$32*('Plan mensual'!F104+IF(parametros_carros!$H$32="Todos",'Plan mensual'!F108,0)))/60</f>
        <v>14.5934536139925</v>
      </c>
      <c r="E195" s="41" t="n">
        <f aca="false">(parametros_carros!$D$32*('Plan mensual'!G101+IF(parametros_carros!$H$32="Todos",'Plan mensual'!G105,0))+parametros_carros!$E$32*('Plan mensual'!G102+IF(parametros_carros!$H$32="Todos",'Plan mensual'!G106,0))+parametros_carros!$F$32*('Plan mensual'!G103+IF(parametros_carros!$H$32="Todos",'Plan mensual'!G107,0))+parametros_carros!$G$32*('Plan mensual'!G104+IF(parametros_carros!$H$32="Todos",'Plan mensual'!G108,0)))/60</f>
        <v>14.5934536139925</v>
      </c>
      <c r="F195" s="41" t="n">
        <f aca="false">(parametros_carros!$D$32*('Plan mensual'!H101+IF(parametros_carros!$H$32="Todos",'Plan mensual'!H105,0))+parametros_carros!$E$32*('Plan mensual'!H102+IF(parametros_carros!$H$32="Todos",'Plan mensual'!H106,0))+parametros_carros!$F$32*('Plan mensual'!H103+IF(parametros_carros!$H$32="Todos",'Plan mensual'!H107,0))+parametros_carros!$G$32*('Plan mensual'!H104+IF(parametros_carros!$H$32="Todos",'Plan mensual'!H108,0)))/60</f>
        <v>14.5934536139925</v>
      </c>
      <c r="G195" s="41" t="n">
        <f aca="false">(parametros_carros!$D$32*('Plan mensual'!I101+IF(parametros_carros!$H$32="Todos",'Plan mensual'!I105,0))+parametros_carros!$E$32*('Plan mensual'!I102+IF(parametros_carros!$H$32="Todos",'Plan mensual'!I106,0))+parametros_carros!$F$32*('Plan mensual'!I103+IF(parametros_carros!$H$32="Todos",'Plan mensual'!I107,0))+parametros_carros!$G$32*('Plan mensual'!I104+IF(parametros_carros!$H$32="Todos",'Plan mensual'!I108,0)))/60</f>
        <v>12.9719587679933</v>
      </c>
      <c r="H195" s="41" t="n">
        <f aca="false">(parametros_carros!$D$32*('Plan mensual'!J101+IF(parametros_carros!$H$32="Todos",'Plan mensual'!J105,0))+parametros_carros!$E$32*('Plan mensual'!J102+IF(parametros_carros!$H$32="Todos",'Plan mensual'!J106,0))+parametros_carros!$F$32*('Plan mensual'!J103+IF(parametros_carros!$H$32="Todos",'Plan mensual'!J107,0))+parametros_carros!$G$32*('Plan mensual'!J104+IF(parametros_carros!$H$32="Todos",'Plan mensual'!J108,0)))/60</f>
        <v>14.5934536139925</v>
      </c>
      <c r="I195" s="41" t="n">
        <f aca="false">(parametros_carros!$D$32*('Plan mensual'!K101+IF(parametros_carros!$H$32="Todos",'Plan mensual'!K105,0))+parametros_carros!$E$32*('Plan mensual'!K102+IF(parametros_carros!$H$32="Todos",'Plan mensual'!K106,0))+parametros_carros!$F$32*('Plan mensual'!K103+IF(parametros_carros!$H$32="Todos",'Plan mensual'!K107,0))+parametros_carros!$G$32*('Plan mensual'!K104+IF(parametros_carros!$H$32="Todos",'Plan mensual'!K108,0)))/60</f>
        <v>14.5934536139925</v>
      </c>
      <c r="J195" s="41" t="n">
        <f aca="false">(parametros_carros!$D$32*('Plan mensual'!L101+IF(parametros_carros!$H$32="Todos",'Plan mensual'!L105,0))+parametros_carros!$E$32*('Plan mensual'!L102+IF(parametros_carros!$H$32="Todos",'Plan mensual'!L106,0))+parametros_carros!$F$32*('Plan mensual'!L103+IF(parametros_carros!$H$32="Todos",'Plan mensual'!L107,0))+parametros_carros!$G$32*('Plan mensual'!L104+IF(parametros_carros!$H$32="Todos",'Plan mensual'!L108,0)))/60</f>
        <v>13.7827061909929</v>
      </c>
      <c r="K195" s="41" t="n">
        <f aca="false">(parametros_carros!$D$32*('Plan mensual'!M101+IF(parametros_carros!$H$32="Todos",'Plan mensual'!M105,0))+parametros_carros!$E$32*('Plan mensual'!M102+IF(parametros_carros!$H$32="Todos",'Plan mensual'!M106,0))+parametros_carros!$F$32*('Plan mensual'!M103+IF(parametros_carros!$H$32="Todos",'Plan mensual'!M107,0))+parametros_carros!$G$32*('Plan mensual'!M104+IF(parametros_carros!$H$32="Todos",'Plan mensual'!M108,0)))/60</f>
        <v>12.1612113449938</v>
      </c>
      <c r="L195" s="41" t="n">
        <f aca="false">(parametros_carros!$D$32*('Plan mensual'!N101+IF(parametros_carros!$H$32="Todos",'Plan mensual'!N105,0))+parametros_carros!$E$32*('Plan mensual'!N102+IF(parametros_carros!$H$32="Todos",'Plan mensual'!N106,0))+parametros_carros!$F$32*('Plan mensual'!N103+IF(parametros_carros!$H$32="Todos",'Plan mensual'!N107,0))+parametros_carros!$G$32*('Plan mensual'!N104+IF(parametros_carros!$H$32="Todos",'Plan mensual'!N108,0)))/60</f>
        <v>11.3504639219942</v>
      </c>
      <c r="M195" s="41" t="n">
        <f aca="false">(parametros_carros!$D$32*('Plan mensual'!O101+IF(parametros_carros!$H$32="Todos",'Plan mensual'!O105,0))+parametros_carros!$E$32*('Plan mensual'!O102+IF(parametros_carros!$H$32="Todos",'Plan mensual'!O106,0))+parametros_carros!$F$32*('Plan mensual'!O103+IF(parametros_carros!$H$32="Todos",'Plan mensual'!O107,0))+parametros_carros!$G$32*('Plan mensual'!O104+IF(parametros_carros!$H$32="Todos",'Plan mensual'!O108,0)))/60</f>
        <v>12.9719587679933</v>
      </c>
      <c r="N195" s="41" t="n">
        <f aca="false">SUM(B195:M195)</f>
        <v>162.149484599917</v>
      </c>
      <c r="O195" s="41" t="n">
        <f aca="false">MAX(B195:M195)</f>
        <v>14.5934536139925</v>
      </c>
      <c r="P195" s="45" t="n">
        <f aca="false">IF(parametros_carros!$B$7=0,0,(O195+parametros_carros!$G$58)/parametros_carros!$B$7)</f>
        <v>0.106178579648839</v>
      </c>
      <c r="Q195" s="29" t="str">
        <f aca="false">IF(O195=0,"-",INDEX($B$181:$M$181,MATCH(O195,B195:M195,0)))</f>
        <v>Mar</v>
      </c>
    </row>
    <row r="196" customFormat="false" ht="14.25" hidden="false" customHeight="true" outlineLevel="0" collapsed="false">
      <c r="A196" s="12" t="str">
        <f aca="false">parametros_carros!$B$33</f>
        <v>Carga de polvo y presurización</v>
      </c>
      <c r="B196" s="41" t="n">
        <f aca="false">(parametros_carros!$D$33*('Plan mensual'!D101+IF(parametros_carros!$H$33="Todos",'Plan mensual'!D105,0))+parametros_carros!$E$33*('Plan mensual'!D102+IF(parametros_carros!$H$33="Todos",'Plan mensual'!D106,0))+parametros_carros!$F$33*('Plan mensual'!D103+IF(parametros_carros!$H$33="Todos",'Plan mensual'!D107,0))+parametros_carros!$G$33*('Plan mensual'!D104+IF(parametros_carros!$H$33="Todos",'Plan mensual'!D108,0)))/60</f>
        <v>29.1436108015075</v>
      </c>
      <c r="C196" s="41" t="n">
        <f aca="false">(parametros_carros!$D$33*('Plan mensual'!E101+IF(parametros_carros!$H$33="Todos",'Plan mensual'!E105,0))+parametros_carros!$E$33*('Plan mensual'!E102+IF(parametros_carros!$H$33="Todos",'Plan mensual'!E106,0))+parametros_carros!$F$33*('Plan mensual'!E103+IF(parametros_carros!$H$33="Todos",'Plan mensual'!E107,0))+parametros_carros!$G$33*('Plan mensual'!E104+IF(parametros_carros!$H$33="Todos",'Plan mensual'!E108,0)))/60</f>
        <v>25.7149507072125</v>
      </c>
      <c r="D196" s="41" t="n">
        <f aca="false">(parametros_carros!$D$33*('Plan mensual'!F101+IF(parametros_carros!$H$33="Todos",'Plan mensual'!F105,0))+parametros_carros!$E$33*('Plan mensual'!F102+IF(parametros_carros!$H$33="Todos",'Plan mensual'!F106,0))+parametros_carros!$F$33*('Plan mensual'!F103+IF(parametros_carros!$H$33="Todos",'Plan mensual'!F107,0))+parametros_carros!$G$33*('Plan mensual'!F104+IF(parametros_carros!$H$33="Todos",'Plan mensual'!F108,0)))/60</f>
        <v>30.857940848655</v>
      </c>
      <c r="E196" s="41" t="n">
        <f aca="false">(parametros_carros!$D$33*('Plan mensual'!G101+IF(parametros_carros!$H$33="Todos",'Plan mensual'!G105,0))+parametros_carros!$E$33*('Plan mensual'!G102+IF(parametros_carros!$H$33="Todos",'Plan mensual'!G106,0))+parametros_carros!$F$33*('Plan mensual'!G103+IF(parametros_carros!$H$33="Todos",'Plan mensual'!G107,0))+parametros_carros!$G$33*('Plan mensual'!G104+IF(parametros_carros!$H$33="Todos",'Plan mensual'!G108,0)))/60</f>
        <v>30.857940848655</v>
      </c>
      <c r="F196" s="41" t="n">
        <f aca="false">(parametros_carros!$D$33*('Plan mensual'!H101+IF(parametros_carros!$H$33="Todos",'Plan mensual'!H105,0))+parametros_carros!$E$33*('Plan mensual'!H102+IF(parametros_carros!$H$33="Todos",'Plan mensual'!H106,0))+parametros_carros!$F$33*('Plan mensual'!H103+IF(parametros_carros!$H$33="Todos",'Plan mensual'!H107,0))+parametros_carros!$G$33*('Plan mensual'!H104+IF(parametros_carros!$H$33="Todos",'Plan mensual'!H108,0)))/60</f>
        <v>30.857940848655</v>
      </c>
      <c r="G196" s="41" t="n">
        <f aca="false">(parametros_carros!$D$33*('Plan mensual'!I101+IF(parametros_carros!$H$33="Todos",'Plan mensual'!I105,0))+parametros_carros!$E$33*('Plan mensual'!I102+IF(parametros_carros!$H$33="Todos",'Plan mensual'!I106,0))+parametros_carros!$F$33*('Plan mensual'!I103+IF(parametros_carros!$H$33="Todos",'Plan mensual'!I107,0))+parametros_carros!$G$33*('Plan mensual'!I104+IF(parametros_carros!$H$33="Todos",'Plan mensual'!I108,0)))/60</f>
        <v>27.42928075436</v>
      </c>
      <c r="H196" s="41" t="n">
        <f aca="false">(parametros_carros!$D$33*('Plan mensual'!J101+IF(parametros_carros!$H$33="Todos",'Plan mensual'!J105,0))+parametros_carros!$E$33*('Plan mensual'!J102+IF(parametros_carros!$H$33="Todos",'Plan mensual'!J106,0))+parametros_carros!$F$33*('Plan mensual'!J103+IF(parametros_carros!$H$33="Todos",'Plan mensual'!J107,0))+parametros_carros!$G$33*('Plan mensual'!J104+IF(parametros_carros!$H$33="Todos",'Plan mensual'!J108,0)))/60</f>
        <v>30.857940848655</v>
      </c>
      <c r="I196" s="41" t="n">
        <f aca="false">(parametros_carros!$D$33*('Plan mensual'!K101+IF(parametros_carros!$H$33="Todos",'Plan mensual'!K105,0))+parametros_carros!$E$33*('Plan mensual'!K102+IF(parametros_carros!$H$33="Todos",'Plan mensual'!K106,0))+parametros_carros!$F$33*('Plan mensual'!K103+IF(parametros_carros!$H$33="Todos",'Plan mensual'!K107,0))+parametros_carros!$G$33*('Plan mensual'!K104+IF(parametros_carros!$H$33="Todos",'Plan mensual'!K108,0)))/60</f>
        <v>30.857940848655</v>
      </c>
      <c r="J196" s="41" t="n">
        <f aca="false">(parametros_carros!$D$33*('Plan mensual'!L101+IF(parametros_carros!$H$33="Todos",'Plan mensual'!L105,0))+parametros_carros!$E$33*('Plan mensual'!L102+IF(parametros_carros!$H$33="Todos",'Plan mensual'!L106,0))+parametros_carros!$F$33*('Plan mensual'!L103+IF(parametros_carros!$H$33="Todos",'Plan mensual'!L107,0))+parametros_carros!$G$33*('Plan mensual'!L104+IF(parametros_carros!$H$33="Todos",'Plan mensual'!L108,0)))/60</f>
        <v>29.1436108015075</v>
      </c>
      <c r="K196" s="41" t="n">
        <f aca="false">(parametros_carros!$D$33*('Plan mensual'!M101+IF(parametros_carros!$H$33="Todos",'Plan mensual'!M105,0))+parametros_carros!$E$33*('Plan mensual'!M102+IF(parametros_carros!$H$33="Todos",'Plan mensual'!M106,0))+parametros_carros!$F$33*('Plan mensual'!M103+IF(parametros_carros!$H$33="Todos",'Plan mensual'!M107,0))+parametros_carros!$G$33*('Plan mensual'!M104+IF(parametros_carros!$H$33="Todos",'Plan mensual'!M108,0)))/60</f>
        <v>25.7149507072125</v>
      </c>
      <c r="L196" s="41" t="n">
        <f aca="false">(parametros_carros!$D$33*('Plan mensual'!N101+IF(parametros_carros!$H$33="Todos",'Plan mensual'!N105,0))+parametros_carros!$E$33*('Plan mensual'!N102+IF(parametros_carros!$H$33="Todos",'Plan mensual'!N106,0))+parametros_carros!$F$33*('Plan mensual'!N103+IF(parametros_carros!$H$33="Todos",'Plan mensual'!N107,0))+parametros_carros!$G$33*('Plan mensual'!N104+IF(parametros_carros!$H$33="Todos",'Plan mensual'!N108,0)))/60</f>
        <v>24.000620660065</v>
      </c>
      <c r="M196" s="41" t="n">
        <f aca="false">(parametros_carros!$D$33*('Plan mensual'!O101+IF(parametros_carros!$H$33="Todos",'Plan mensual'!O105,0))+parametros_carros!$E$33*('Plan mensual'!O102+IF(parametros_carros!$H$33="Todos",'Plan mensual'!O106,0))+parametros_carros!$F$33*('Plan mensual'!O103+IF(parametros_carros!$H$33="Todos",'Plan mensual'!O107,0))+parametros_carros!$G$33*('Plan mensual'!O104+IF(parametros_carros!$H$33="Todos",'Plan mensual'!O108,0)))/60</f>
        <v>27.42928075436</v>
      </c>
      <c r="N196" s="41" t="n">
        <f aca="false">SUM(B196:M196)</f>
        <v>342.8660094295</v>
      </c>
      <c r="O196" s="41" t="n">
        <f aca="false">MAX(B196:M196)</f>
        <v>30.857940848655</v>
      </c>
      <c r="P196" s="45" t="n">
        <f aca="false">IF(parametros_carros!$B$7=0,0,(O196+parametros_carros!$G$59)/parametros_carros!$B$7)</f>
        <v>0.312386272324367</v>
      </c>
      <c r="Q196" s="29" t="str">
        <f aca="false">IF(O196=0,"-",INDEX($B$181:$M$181,MATCH(O196,B196:M196,0)))</f>
        <v>Mar</v>
      </c>
    </row>
    <row r="197" customFormat="false" ht="14.25" hidden="false" customHeight="true" outlineLevel="0" collapsed="false">
      <c r="A197" s="12" t="str">
        <f aca="false">parametros_carros!$B$34</f>
        <v>Montaje, manga, precinto y etiquetado</v>
      </c>
      <c r="B197" s="41" t="n">
        <f aca="false">(parametros_carros!$D$34*('Plan mensual'!D101+IF(parametros_carros!$H$34="Todos",'Plan mensual'!D105,0))+parametros_carros!$E$34*('Plan mensual'!D102+IF(parametros_carros!$H$34="Todos",'Plan mensual'!D106,0))+parametros_carros!$F$34*('Plan mensual'!D103+IF(parametros_carros!$H$34="Todos",'Plan mensual'!D107,0))+parametros_carros!$G$34*('Plan mensual'!D104+IF(parametros_carros!$H$34="Todos",'Plan mensual'!D108,0)))/60</f>
        <v>16.2562203632058</v>
      </c>
      <c r="C197" s="41" t="n">
        <f aca="false">(parametros_carros!$D$34*('Plan mensual'!E101+IF(parametros_carros!$H$34="Todos",'Plan mensual'!E105,0))+parametros_carros!$E$34*('Plan mensual'!E102+IF(parametros_carros!$H$34="Todos",'Plan mensual'!E106,0))+parametros_carros!$F$34*('Plan mensual'!E103+IF(parametros_carros!$H$34="Todos",'Plan mensual'!E107,0))+parametros_carros!$G$34*('Plan mensual'!E104+IF(parametros_carros!$H$34="Todos",'Plan mensual'!E108,0)))/60</f>
        <v>14.3437238498875</v>
      </c>
      <c r="D197" s="41" t="n">
        <f aca="false">(parametros_carros!$D$34*('Plan mensual'!F101+IF(parametros_carros!$H$34="Todos",'Plan mensual'!F105,0))+parametros_carros!$E$34*('Plan mensual'!F102+IF(parametros_carros!$H$34="Todos",'Plan mensual'!F106,0))+parametros_carros!$F$34*('Plan mensual'!F103+IF(parametros_carros!$H$34="Todos",'Plan mensual'!F107,0))+parametros_carros!$G$34*('Plan mensual'!F104+IF(parametros_carros!$H$34="Todos",'Plan mensual'!F108,0)))/60</f>
        <v>17.212468619865</v>
      </c>
      <c r="E197" s="41" t="n">
        <f aca="false">(parametros_carros!$D$34*('Plan mensual'!G101+IF(parametros_carros!$H$34="Todos",'Plan mensual'!G105,0))+parametros_carros!$E$34*('Plan mensual'!G102+IF(parametros_carros!$H$34="Todos",'Plan mensual'!G106,0))+parametros_carros!$F$34*('Plan mensual'!G103+IF(parametros_carros!$H$34="Todos",'Plan mensual'!G107,0))+parametros_carros!$G$34*('Plan mensual'!G104+IF(parametros_carros!$H$34="Todos",'Plan mensual'!G108,0)))/60</f>
        <v>17.212468619865</v>
      </c>
      <c r="F197" s="41" t="n">
        <f aca="false">(parametros_carros!$D$34*('Plan mensual'!H101+IF(parametros_carros!$H$34="Todos",'Plan mensual'!H105,0))+parametros_carros!$E$34*('Plan mensual'!H102+IF(parametros_carros!$H$34="Todos",'Plan mensual'!H106,0))+parametros_carros!$F$34*('Plan mensual'!H103+IF(parametros_carros!$H$34="Todos",'Plan mensual'!H107,0))+parametros_carros!$G$34*('Plan mensual'!H104+IF(parametros_carros!$H$34="Todos",'Plan mensual'!H108,0)))/60</f>
        <v>17.212468619865</v>
      </c>
      <c r="G197" s="41" t="n">
        <f aca="false">(parametros_carros!$D$34*('Plan mensual'!I101+IF(parametros_carros!$H$34="Todos",'Plan mensual'!I105,0))+parametros_carros!$E$34*('Plan mensual'!I102+IF(parametros_carros!$H$34="Todos",'Plan mensual'!I106,0))+parametros_carros!$F$34*('Plan mensual'!I103+IF(parametros_carros!$H$34="Todos",'Plan mensual'!I107,0))+parametros_carros!$G$34*('Plan mensual'!I104+IF(parametros_carros!$H$34="Todos",'Plan mensual'!I108,0)))/60</f>
        <v>15.2999721065467</v>
      </c>
      <c r="H197" s="41" t="n">
        <f aca="false">(parametros_carros!$D$34*('Plan mensual'!J101+IF(parametros_carros!$H$34="Todos",'Plan mensual'!J105,0))+parametros_carros!$E$34*('Plan mensual'!J102+IF(parametros_carros!$H$34="Todos",'Plan mensual'!J106,0))+parametros_carros!$F$34*('Plan mensual'!J103+IF(parametros_carros!$H$34="Todos",'Plan mensual'!J107,0))+parametros_carros!$G$34*('Plan mensual'!J104+IF(parametros_carros!$H$34="Todos",'Plan mensual'!J108,0)))/60</f>
        <v>17.212468619865</v>
      </c>
      <c r="I197" s="41" t="n">
        <f aca="false">(parametros_carros!$D$34*('Plan mensual'!K101+IF(parametros_carros!$H$34="Todos",'Plan mensual'!K105,0))+parametros_carros!$E$34*('Plan mensual'!K102+IF(parametros_carros!$H$34="Todos",'Plan mensual'!K106,0))+parametros_carros!$F$34*('Plan mensual'!K103+IF(parametros_carros!$H$34="Todos",'Plan mensual'!K107,0))+parametros_carros!$G$34*('Plan mensual'!K104+IF(parametros_carros!$H$34="Todos",'Plan mensual'!K108,0)))/60</f>
        <v>17.212468619865</v>
      </c>
      <c r="J197" s="41" t="n">
        <f aca="false">(parametros_carros!$D$34*('Plan mensual'!L101+IF(parametros_carros!$H$34="Todos",'Plan mensual'!L105,0))+parametros_carros!$E$34*('Plan mensual'!L102+IF(parametros_carros!$H$34="Todos",'Plan mensual'!L106,0))+parametros_carros!$F$34*('Plan mensual'!L103+IF(parametros_carros!$H$34="Todos",'Plan mensual'!L107,0))+parametros_carros!$G$34*('Plan mensual'!L104+IF(parametros_carros!$H$34="Todos",'Plan mensual'!L108,0)))/60</f>
        <v>16.2562203632058</v>
      </c>
      <c r="K197" s="41" t="n">
        <f aca="false">(parametros_carros!$D$34*('Plan mensual'!M101+IF(parametros_carros!$H$34="Todos",'Plan mensual'!M105,0))+parametros_carros!$E$34*('Plan mensual'!M102+IF(parametros_carros!$H$34="Todos",'Plan mensual'!M106,0))+parametros_carros!$F$34*('Plan mensual'!M103+IF(parametros_carros!$H$34="Todos",'Plan mensual'!M107,0))+parametros_carros!$G$34*('Plan mensual'!M104+IF(parametros_carros!$H$34="Todos",'Plan mensual'!M108,0)))/60</f>
        <v>14.3437238498875</v>
      </c>
      <c r="L197" s="41" t="n">
        <f aca="false">(parametros_carros!$D$34*('Plan mensual'!N101+IF(parametros_carros!$H$34="Todos",'Plan mensual'!N105,0))+parametros_carros!$E$34*('Plan mensual'!N102+IF(parametros_carros!$H$34="Todos",'Plan mensual'!N106,0))+parametros_carros!$F$34*('Plan mensual'!N103+IF(parametros_carros!$H$34="Todos",'Plan mensual'!N107,0))+parametros_carros!$G$34*('Plan mensual'!N104+IF(parametros_carros!$H$34="Todos",'Plan mensual'!N108,0)))/60</f>
        <v>13.3874755932283</v>
      </c>
      <c r="M197" s="41" t="n">
        <f aca="false">(parametros_carros!$D$34*('Plan mensual'!O101+IF(parametros_carros!$H$34="Todos",'Plan mensual'!O105,0))+parametros_carros!$E$34*('Plan mensual'!O102+IF(parametros_carros!$H$34="Todos",'Plan mensual'!O106,0))+parametros_carros!$F$34*('Plan mensual'!O103+IF(parametros_carros!$H$34="Todos",'Plan mensual'!O107,0))+parametros_carros!$G$34*('Plan mensual'!O104+IF(parametros_carros!$H$34="Todos",'Plan mensual'!O108,0)))/60</f>
        <v>15.2999721065467</v>
      </c>
      <c r="N197" s="41" t="n">
        <f aca="false">SUM(B197:M197)</f>
        <v>191.249651331833</v>
      </c>
      <c r="O197" s="41" t="n">
        <f aca="false">MAX(B197:M197)</f>
        <v>17.212468619865</v>
      </c>
      <c r="P197" s="45" t="n">
        <f aca="false">IF(parametros_carros!$B$7=0,0,(O197+parametros_carros!$G$60)/parametros_carros!$B$7)</f>
        <v>0.161416457465767</v>
      </c>
      <c r="Q197" s="29" t="str">
        <f aca="false">IF(O197=0,"-",INDEX($B$181:$M$181,MATCH(O197,B197:M197,0)))</f>
        <v>Mar</v>
      </c>
    </row>
    <row r="198" customFormat="false" ht="14.25" hidden="false" customHeight="true" outlineLevel="0" collapsed="false">
      <c r="A198" s="12" t="str">
        <f aca="false">parametros_carros!$B$35</f>
        <v>Calidad: pérdidas, inspección final, liberación y ensayos de lote</v>
      </c>
      <c r="B198" s="41" t="n">
        <f aca="false">(parametros_carros!$D$35*('Plan mensual'!D101+IF(parametros_carros!$H$35="Todos",'Plan mensual'!D105,0))+parametros_carros!$E$35*('Plan mensual'!D102+IF(parametros_carros!$H$35="Todos",'Plan mensual'!D106,0))+parametros_carros!$F$35*('Plan mensual'!D103+IF(parametros_carros!$H$35="Todos",'Plan mensual'!D107,0))+parametros_carros!$G$35*('Plan mensual'!D104+IF(parametros_carros!$H$35="Todos",'Plan mensual'!D108,0)))/60</f>
        <v>12.3209163401706</v>
      </c>
      <c r="C198" s="41" t="n">
        <f aca="false">(parametros_carros!$D$35*('Plan mensual'!E101+IF(parametros_carros!$H$35="Todos",'Plan mensual'!E105,0))+parametros_carros!$E$35*('Plan mensual'!E102+IF(parametros_carros!$H$35="Todos",'Plan mensual'!E106,0))+parametros_carros!$F$35*('Plan mensual'!E103+IF(parametros_carros!$H$35="Todos",'Plan mensual'!E107,0))+parametros_carros!$G$35*('Plan mensual'!E104+IF(parametros_carros!$H$35="Todos",'Plan mensual'!E108,0)))/60</f>
        <v>10.8713967707388</v>
      </c>
      <c r="D198" s="41" t="n">
        <f aca="false">(parametros_carros!$D$35*('Plan mensual'!F101+IF(parametros_carros!$H$35="Todos",'Plan mensual'!F105,0))+parametros_carros!$E$35*('Plan mensual'!F102+IF(parametros_carros!$H$35="Todos",'Plan mensual'!F106,0))+parametros_carros!$F$35*('Plan mensual'!F103+IF(parametros_carros!$H$35="Todos",'Plan mensual'!F107,0))+parametros_carros!$G$35*('Plan mensual'!F104+IF(parametros_carros!$H$35="Todos",'Plan mensual'!F108,0)))/60</f>
        <v>13.0456761248865</v>
      </c>
      <c r="E198" s="41" t="n">
        <f aca="false">(parametros_carros!$D$35*('Plan mensual'!G101+IF(parametros_carros!$H$35="Todos",'Plan mensual'!G105,0))+parametros_carros!$E$35*('Plan mensual'!G102+IF(parametros_carros!$H$35="Todos",'Plan mensual'!G106,0))+parametros_carros!$F$35*('Plan mensual'!G103+IF(parametros_carros!$H$35="Todos",'Plan mensual'!G107,0))+parametros_carros!$G$35*('Plan mensual'!G104+IF(parametros_carros!$H$35="Todos",'Plan mensual'!G108,0)))/60</f>
        <v>13.0456761248865</v>
      </c>
      <c r="F198" s="41" t="n">
        <f aca="false">(parametros_carros!$D$35*('Plan mensual'!H101+IF(parametros_carros!$H$35="Todos",'Plan mensual'!H105,0))+parametros_carros!$E$35*('Plan mensual'!H102+IF(parametros_carros!$H$35="Todos",'Plan mensual'!H106,0))+parametros_carros!$F$35*('Plan mensual'!H103+IF(parametros_carros!$H$35="Todos",'Plan mensual'!H107,0))+parametros_carros!$G$35*('Plan mensual'!H104+IF(parametros_carros!$H$35="Todos",'Plan mensual'!H108,0)))/60</f>
        <v>13.0456761248865</v>
      </c>
      <c r="G198" s="41" t="n">
        <f aca="false">(parametros_carros!$D$35*('Plan mensual'!I101+IF(parametros_carros!$H$35="Todos",'Plan mensual'!I105,0))+parametros_carros!$E$35*('Plan mensual'!I102+IF(parametros_carros!$H$35="Todos",'Plan mensual'!I106,0))+parametros_carros!$F$35*('Plan mensual'!I103+IF(parametros_carros!$H$35="Todos",'Plan mensual'!I107,0))+parametros_carros!$G$35*('Plan mensual'!I104+IF(parametros_carros!$H$35="Todos",'Plan mensual'!I108,0)))/60</f>
        <v>11.5961565554547</v>
      </c>
      <c r="H198" s="41" t="n">
        <f aca="false">(parametros_carros!$D$35*('Plan mensual'!J101+IF(parametros_carros!$H$35="Todos",'Plan mensual'!J105,0))+parametros_carros!$E$35*('Plan mensual'!J102+IF(parametros_carros!$H$35="Todos",'Plan mensual'!J106,0))+parametros_carros!$F$35*('Plan mensual'!J103+IF(parametros_carros!$H$35="Todos",'Plan mensual'!J107,0))+parametros_carros!$G$35*('Plan mensual'!J104+IF(parametros_carros!$H$35="Todos",'Plan mensual'!J108,0)))/60</f>
        <v>13.0456761248865</v>
      </c>
      <c r="I198" s="41" t="n">
        <f aca="false">(parametros_carros!$D$35*('Plan mensual'!K101+IF(parametros_carros!$H$35="Todos",'Plan mensual'!K105,0))+parametros_carros!$E$35*('Plan mensual'!K102+IF(parametros_carros!$H$35="Todos",'Plan mensual'!K106,0))+parametros_carros!$F$35*('Plan mensual'!K103+IF(parametros_carros!$H$35="Todos",'Plan mensual'!K107,0))+parametros_carros!$G$35*('Plan mensual'!K104+IF(parametros_carros!$H$35="Todos",'Plan mensual'!K108,0)))/60</f>
        <v>13.0456761248865</v>
      </c>
      <c r="J198" s="41" t="n">
        <f aca="false">(parametros_carros!$D$35*('Plan mensual'!L101+IF(parametros_carros!$H$35="Todos",'Plan mensual'!L105,0))+parametros_carros!$E$35*('Plan mensual'!L102+IF(parametros_carros!$H$35="Todos",'Plan mensual'!L106,0))+parametros_carros!$F$35*('Plan mensual'!L103+IF(parametros_carros!$H$35="Todos",'Plan mensual'!L107,0))+parametros_carros!$G$35*('Plan mensual'!L104+IF(parametros_carros!$H$35="Todos",'Plan mensual'!L108,0)))/60</f>
        <v>12.3209163401706</v>
      </c>
      <c r="K198" s="41" t="n">
        <f aca="false">(parametros_carros!$D$35*('Plan mensual'!M101+IF(parametros_carros!$H$35="Todos",'Plan mensual'!M105,0))+parametros_carros!$E$35*('Plan mensual'!M102+IF(parametros_carros!$H$35="Todos",'Plan mensual'!M106,0))+parametros_carros!$F$35*('Plan mensual'!M103+IF(parametros_carros!$H$35="Todos",'Plan mensual'!M107,0))+parametros_carros!$G$35*('Plan mensual'!M104+IF(parametros_carros!$H$35="Todos",'Plan mensual'!M108,0)))/60</f>
        <v>10.8713967707388</v>
      </c>
      <c r="L198" s="41" t="n">
        <f aca="false">(parametros_carros!$D$35*('Plan mensual'!N101+IF(parametros_carros!$H$35="Todos",'Plan mensual'!N105,0))+parametros_carros!$E$35*('Plan mensual'!N102+IF(parametros_carros!$H$35="Todos",'Plan mensual'!N106,0))+parametros_carros!$F$35*('Plan mensual'!N103+IF(parametros_carros!$H$35="Todos",'Plan mensual'!N107,0))+parametros_carros!$G$35*('Plan mensual'!N104+IF(parametros_carros!$H$35="Todos",'Plan mensual'!N108,0)))/60</f>
        <v>10.1466369860228</v>
      </c>
      <c r="M198" s="41" t="n">
        <f aca="false">(parametros_carros!$D$35*('Plan mensual'!O101+IF(parametros_carros!$H$35="Todos",'Plan mensual'!O105,0))+parametros_carros!$E$35*('Plan mensual'!O102+IF(parametros_carros!$H$35="Todos",'Plan mensual'!O106,0))+parametros_carros!$F$35*('Plan mensual'!O103+IF(parametros_carros!$H$35="Todos",'Plan mensual'!O107,0))+parametros_carros!$G$35*('Plan mensual'!O104+IF(parametros_carros!$H$35="Todos",'Plan mensual'!O108,0)))/60</f>
        <v>11.5961565554547</v>
      </c>
      <c r="N198" s="41" t="n">
        <f aca="false">SUM(B198:M198)</f>
        <v>144.951956943183</v>
      </c>
      <c r="O198" s="41" t="n">
        <f aca="false">MAX(B198:M198)</f>
        <v>13.0456761248865</v>
      </c>
      <c r="P198" s="45" t="n">
        <f aca="false">IF(parametros_carros!$B$7=0,0,(O198+parametros_carros!$G$61)/parametros_carros!$B$7)</f>
        <v>0.457193396388132</v>
      </c>
      <c r="Q198" s="29" t="str">
        <f aca="false">IF(O198=0,"-",INDEX($B$181:$M$181,MATCH(O198,B198:M198,0)))</f>
        <v>Mar</v>
      </c>
    </row>
    <row r="199" customFormat="false" ht="14.25" hidden="false" customHeight="true" outlineLevel="0" collapsed="false">
      <c r="A199" s="12" t="str">
        <f aca="false">parametros_carros!$B$36</f>
        <v>Depósito de producto terminado y despacho</v>
      </c>
      <c r="B199" s="41" t="n">
        <f aca="false">(parametros_carros!$D$36*('Plan mensual'!D101+IF(parametros_carros!$H$36="Todos",'Plan mensual'!D105,0))+parametros_carros!$E$36*('Plan mensual'!D102+IF(parametros_carros!$H$36="Todos",'Plan mensual'!D106,0))+parametros_carros!$F$36*('Plan mensual'!D103+IF(parametros_carros!$H$36="Todos",'Plan mensual'!D107,0))+parametros_carros!$G$36*('Plan mensual'!D104+IF(parametros_carros!$H$36="Todos",'Plan mensual'!D108,0)))/60</f>
        <v>5.98860090941</v>
      </c>
      <c r="C199" s="41" t="n">
        <f aca="false">(parametros_carros!$D$36*('Plan mensual'!E101+IF(parametros_carros!$H$36="Todos",'Plan mensual'!E105,0))+parametros_carros!$E$36*('Plan mensual'!E102+IF(parametros_carros!$H$36="Todos",'Plan mensual'!E106,0))+parametros_carros!$F$36*('Plan mensual'!E103+IF(parametros_carros!$H$36="Todos",'Plan mensual'!E107,0))+parametros_carros!$G$36*('Plan mensual'!E104+IF(parametros_carros!$H$36="Todos",'Plan mensual'!E108,0)))/60</f>
        <v>5.28405962595</v>
      </c>
      <c r="D199" s="41" t="n">
        <f aca="false">(parametros_carros!$D$36*('Plan mensual'!F101+IF(parametros_carros!$H$36="Todos",'Plan mensual'!F105,0))+parametros_carros!$E$36*('Plan mensual'!F102+IF(parametros_carros!$H$36="Todos",'Plan mensual'!F106,0))+parametros_carros!$F$36*('Plan mensual'!F103+IF(parametros_carros!$H$36="Todos",'Plan mensual'!F107,0))+parametros_carros!$G$36*('Plan mensual'!F104+IF(parametros_carros!$H$36="Todos",'Plan mensual'!F108,0)))/60</f>
        <v>6.34087155114</v>
      </c>
      <c r="E199" s="41" t="n">
        <f aca="false">(parametros_carros!$D$36*('Plan mensual'!G101+IF(parametros_carros!$H$36="Todos",'Plan mensual'!G105,0))+parametros_carros!$E$36*('Plan mensual'!G102+IF(parametros_carros!$H$36="Todos",'Plan mensual'!G106,0))+parametros_carros!$F$36*('Plan mensual'!G103+IF(parametros_carros!$H$36="Todos",'Plan mensual'!G107,0))+parametros_carros!$G$36*('Plan mensual'!G104+IF(parametros_carros!$H$36="Todos",'Plan mensual'!G108,0)))/60</f>
        <v>6.34087155114</v>
      </c>
      <c r="F199" s="41" t="n">
        <f aca="false">(parametros_carros!$D$36*('Plan mensual'!H101+IF(parametros_carros!$H$36="Todos",'Plan mensual'!H105,0))+parametros_carros!$E$36*('Plan mensual'!H102+IF(parametros_carros!$H$36="Todos",'Plan mensual'!H106,0))+parametros_carros!$F$36*('Plan mensual'!H103+IF(parametros_carros!$H$36="Todos",'Plan mensual'!H107,0))+parametros_carros!$G$36*('Plan mensual'!H104+IF(parametros_carros!$H$36="Todos",'Plan mensual'!H108,0)))/60</f>
        <v>6.34087155114</v>
      </c>
      <c r="G199" s="41" t="n">
        <f aca="false">(parametros_carros!$D$36*('Plan mensual'!I101+IF(parametros_carros!$H$36="Todos",'Plan mensual'!I105,0))+parametros_carros!$E$36*('Plan mensual'!I102+IF(parametros_carros!$H$36="Todos",'Plan mensual'!I106,0))+parametros_carros!$F$36*('Plan mensual'!I103+IF(parametros_carros!$H$36="Todos",'Plan mensual'!I107,0))+parametros_carros!$G$36*('Plan mensual'!I104+IF(parametros_carros!$H$36="Todos",'Plan mensual'!I108,0)))/60</f>
        <v>5.63633026768</v>
      </c>
      <c r="H199" s="41" t="n">
        <f aca="false">(parametros_carros!$D$36*('Plan mensual'!J101+IF(parametros_carros!$H$36="Todos",'Plan mensual'!J105,0))+parametros_carros!$E$36*('Plan mensual'!J102+IF(parametros_carros!$H$36="Todos",'Plan mensual'!J106,0))+parametros_carros!$F$36*('Plan mensual'!J103+IF(parametros_carros!$H$36="Todos",'Plan mensual'!J107,0))+parametros_carros!$G$36*('Plan mensual'!J104+IF(parametros_carros!$H$36="Todos",'Plan mensual'!J108,0)))/60</f>
        <v>6.34087155114</v>
      </c>
      <c r="I199" s="41" t="n">
        <f aca="false">(parametros_carros!$D$36*('Plan mensual'!K101+IF(parametros_carros!$H$36="Todos",'Plan mensual'!K105,0))+parametros_carros!$E$36*('Plan mensual'!K102+IF(parametros_carros!$H$36="Todos",'Plan mensual'!K106,0))+parametros_carros!$F$36*('Plan mensual'!K103+IF(parametros_carros!$H$36="Todos",'Plan mensual'!K107,0))+parametros_carros!$G$36*('Plan mensual'!K104+IF(parametros_carros!$H$36="Todos",'Plan mensual'!K108,0)))/60</f>
        <v>6.34087155114</v>
      </c>
      <c r="J199" s="41" t="n">
        <f aca="false">(parametros_carros!$D$36*('Plan mensual'!L101+IF(parametros_carros!$H$36="Todos",'Plan mensual'!L105,0))+parametros_carros!$E$36*('Plan mensual'!L102+IF(parametros_carros!$H$36="Todos",'Plan mensual'!L106,0))+parametros_carros!$F$36*('Plan mensual'!L103+IF(parametros_carros!$H$36="Todos",'Plan mensual'!L107,0))+parametros_carros!$G$36*('Plan mensual'!L104+IF(parametros_carros!$H$36="Todos",'Plan mensual'!L108,0)))/60</f>
        <v>5.98860090941</v>
      </c>
      <c r="K199" s="41" t="n">
        <f aca="false">(parametros_carros!$D$36*('Plan mensual'!M101+IF(parametros_carros!$H$36="Todos",'Plan mensual'!M105,0))+parametros_carros!$E$36*('Plan mensual'!M102+IF(parametros_carros!$H$36="Todos",'Plan mensual'!M106,0))+parametros_carros!$F$36*('Plan mensual'!M103+IF(parametros_carros!$H$36="Todos",'Plan mensual'!M107,0))+parametros_carros!$G$36*('Plan mensual'!M104+IF(parametros_carros!$H$36="Todos",'Plan mensual'!M108,0)))/60</f>
        <v>5.28405962595</v>
      </c>
      <c r="L199" s="41" t="n">
        <f aca="false">(parametros_carros!$D$36*('Plan mensual'!N101+IF(parametros_carros!$H$36="Todos",'Plan mensual'!N105,0))+parametros_carros!$E$36*('Plan mensual'!N102+IF(parametros_carros!$H$36="Todos",'Plan mensual'!N106,0))+parametros_carros!$F$36*('Plan mensual'!N103+IF(parametros_carros!$H$36="Todos",'Plan mensual'!N107,0))+parametros_carros!$G$36*('Plan mensual'!N104+IF(parametros_carros!$H$36="Todos",'Plan mensual'!N108,0)))/60</f>
        <v>4.93178898422</v>
      </c>
      <c r="M199" s="41" t="n">
        <f aca="false">(parametros_carros!$D$36*('Plan mensual'!O101+IF(parametros_carros!$H$36="Todos",'Plan mensual'!O105,0))+parametros_carros!$E$36*('Plan mensual'!O102+IF(parametros_carros!$H$36="Todos",'Plan mensual'!O106,0))+parametros_carros!$F$36*('Plan mensual'!O103+IF(parametros_carros!$H$36="Todos",'Plan mensual'!O107,0))+parametros_carros!$G$36*('Plan mensual'!O104+IF(parametros_carros!$H$36="Todos",'Plan mensual'!O108,0)))/60</f>
        <v>5.63633026768</v>
      </c>
      <c r="N199" s="41" t="n">
        <f aca="false">SUM(B199:M199)</f>
        <v>70.454128346</v>
      </c>
      <c r="O199" s="41" t="n">
        <f aca="false">MAX(B199:M199)</f>
        <v>6.34087155114</v>
      </c>
      <c r="P199" s="45" t="n">
        <f aca="false">IF(parametros_carros!$B$7=0,0,(O199+parametros_carros!$G$62)/parametros_carros!$B$7)</f>
        <v>0.0644946992298222</v>
      </c>
      <c r="Q199" s="29" t="str">
        <f aca="false">IF(O199=0,"-",INDEX($B$181:$M$181,MATCH(O199,B199:M199,0)))</f>
        <v>Mar</v>
      </c>
    </row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11" min="2" style="1" width="9"/>
    <col collapsed="false" customWidth="true" hidden="false" outlineLevel="0" max="12" min="12" style="1" width="3"/>
    <col collapsed="false" customWidth="true" hidden="false" outlineLevel="0" max="13" min="13" style="1" width="32"/>
    <col collapsed="false" customWidth="true" hidden="false" outlineLevel="0" max="25" min="14" style="1" width="8.86"/>
  </cols>
  <sheetData>
    <row r="1" customFormat="false" ht="14.25" hidden="false" customHeight="true" outlineLevel="0" collapsed="false">
      <c r="A1" s="11" t="s">
        <v>260</v>
      </c>
      <c r="B1" s="11" t="n">
        <v>2026</v>
      </c>
      <c r="C1" s="11" t="n">
        <v>2027</v>
      </c>
      <c r="D1" s="11" t="n">
        <v>2028</v>
      </c>
      <c r="E1" s="11" t="n">
        <v>2029</v>
      </c>
      <c r="F1" s="11" t="n">
        <v>2030</v>
      </c>
      <c r="G1" s="11" t="n">
        <v>2031</v>
      </c>
      <c r="H1" s="11" t="n">
        <v>2032</v>
      </c>
      <c r="I1" s="11" t="n">
        <v>2033</v>
      </c>
      <c r="J1" s="11" t="n">
        <v>2034</v>
      </c>
      <c r="K1" s="11" t="n">
        <v>2035</v>
      </c>
      <c r="L1" s="11" t="s">
        <v>261</v>
      </c>
      <c r="M1" s="16" t="s">
        <v>262</v>
      </c>
    </row>
    <row r="2" customFormat="false" ht="14.25" hidden="false" customHeight="true" outlineLevel="0" collapsed="false">
      <c r="A2" s="12" t="str">
        <f aca="false">parametros_carros!$B$19</f>
        <v>Recepción de materia prima</v>
      </c>
      <c r="B2" s="46" t="n">
        <f aca="false">IF(B23*B44=0,0,'Demanda por puesto'!$P$2/(B23*B44))</f>
        <v>0.0506816038352574</v>
      </c>
      <c r="C2" s="46" t="n">
        <f aca="false">IF(C23*C44=0,0,'Demanda por puesto'!$P$22/(C23*C44))</f>
        <v>0.0523086952246526</v>
      </c>
      <c r="D2" s="46" t="n">
        <f aca="false">IF(D23*D44=0,0,'Demanda por puesto'!$P$42/(D23*D44))</f>
        <v>0.0546057240123981</v>
      </c>
      <c r="E2" s="46" t="n">
        <f aca="false">IF(E23*E44=0,0,'Demanda por puesto'!$P$62/(E23*E44))</f>
        <v>0.0590314086255549</v>
      </c>
      <c r="F2" s="46" t="n">
        <f aca="false">IF(F23*F44=0,0,'Demanda por puesto'!$P$82/(F23*F44))</f>
        <v>0.0660834171604829</v>
      </c>
      <c r="G2" s="46" t="n">
        <f aca="false">IF(G23*G44=0,0,'Demanda por puesto'!$P$102/(G23*G44))</f>
        <v>0.0730500317288689</v>
      </c>
      <c r="H2" s="46" t="n">
        <f aca="false">IF(H23*H44=0,0,'Demanda por puesto'!$P$122/(H23*H44))</f>
        <v>0.0813239511348844</v>
      </c>
      <c r="I2" s="46" t="n">
        <f aca="false">IF(I23*I44=0,0,'Demanda por puesto'!$P$142/(I23*I44))</f>
        <v>0.0899641163320211</v>
      </c>
      <c r="J2" s="46" t="n">
        <f aca="false">IF(J23*J44=0,0,'Demanda por puesto'!$P$162/(J23*J44))</f>
        <v>0.0960444908433911</v>
      </c>
      <c r="K2" s="46" t="n">
        <f aca="false">IF(K23*K44=0,0,'Demanda por puesto'!$P$182/(K23*K44))</f>
        <v>0.103516953130054</v>
      </c>
      <c r="L2" s="12" t="s">
        <v>263</v>
      </c>
      <c r="M2" s="47" t="s">
        <v>264</v>
      </c>
    </row>
    <row r="3" customFormat="false" ht="14.25" hidden="false" customHeight="true" outlineLevel="0" collapsed="false">
      <c r="A3" s="12" t="str">
        <f aca="false">parametros_carros!$B$20</f>
        <v>Corte de chapa (guillotina)</v>
      </c>
      <c r="B3" s="46" t="n">
        <f aca="false">IF(B24*B45=0,0,'Demanda por puesto'!$P$3/(B24*B45))</f>
        <v>0.067960590703139</v>
      </c>
      <c r="C3" s="46" t="n">
        <f aca="false">IF(C24*C45=0,0,'Demanda por puesto'!$P$23/(C24*C45))</f>
        <v>0.0714499165216971</v>
      </c>
      <c r="D3" s="46" t="n">
        <f aca="false">IF(D24*D45=0,0,'Demanda por puesto'!$P$43/(D24*D45))</f>
        <v>0.0764705118416559</v>
      </c>
      <c r="E3" s="46" t="n">
        <f aca="false">IF(E24*E45=0,0,'Demanda por puesto'!$P$63/(E24*E45))</f>
        <v>0.0862033503790282</v>
      </c>
      <c r="F3" s="46" t="n">
        <f aca="false">IF(F24*F45=0,0,'Demanda por puesto'!$P$83/(F24*F45))</f>
        <v>0.101775775894643</v>
      </c>
      <c r="G3" s="46" t="n">
        <f aca="false">IF(G24*G45=0,0,'Demanda por puesto'!$P$103/(G24*G45))</f>
        <v>0.117021618092835</v>
      </c>
      <c r="H3" s="46" t="n">
        <f aca="false">IF(H24*H45=0,0,'Demanda por puesto'!$P$123/(H24*H45))</f>
        <v>0.135253743408366</v>
      </c>
      <c r="I3" s="46" t="n">
        <f aca="false">IF(I24*I45=0,0,'Demanda por puesto'!$P$143/(I24*I45))</f>
        <v>0.154152577164154</v>
      </c>
      <c r="J3" s="46" t="n">
        <f aca="false">IF(J24*J45=0,0,'Demanda por puesto'!$P$163/(J24*J45))</f>
        <v>0.167579392188531</v>
      </c>
      <c r="K3" s="46" t="n">
        <f aca="false">IF(K24*K45=0,0,'Demanda por puesto'!$P$183/(K24*K45))</f>
        <v>0.183994623133531</v>
      </c>
      <c r="L3" s="12" t="s">
        <v>265</v>
      </c>
      <c r="M3" s="48" t="s">
        <v>266</v>
      </c>
    </row>
    <row r="4" customFormat="false" ht="14.25" hidden="false" customHeight="true" outlineLevel="0" collapsed="false">
      <c r="A4" s="12" t="str">
        <f aca="false">parametros_carros!$B$21</f>
        <v>Marcado del cuerpo</v>
      </c>
      <c r="B4" s="46" t="n">
        <f aca="false">IF(B25*B46=0,0,'Demanda por puesto'!$P$4/(B25*B46))</f>
        <v>0.0144790540032422</v>
      </c>
      <c r="C4" s="46" t="n">
        <f aca="false">IF(C25*C46=0,0,'Demanda por puesto'!$P$24/(C25*C46))</f>
        <v>0.0158958202234322</v>
      </c>
      <c r="D4" s="46" t="n">
        <f aca="false">IF(D25*D46=0,0,'Demanda por puesto'!$P$44/(D25*D46))</f>
        <v>0.0179037951175622</v>
      </c>
      <c r="E4" s="46" t="n">
        <f aca="false">IF(E25*E46=0,0,'Demanda por puesto'!$P$64/(E25*E46))</f>
        <v>0.0217782450455222</v>
      </c>
      <c r="F4" s="46" t="n">
        <f aca="false">IF(F25*F46=0,0,'Demanda por puesto'!$P$84/(F25*F46))</f>
        <v>0.0279548848404422</v>
      </c>
      <c r="G4" s="46" t="n">
        <f aca="false">IF(G25*G46=0,0,'Demanda por puesto'!$P$104/(G25*G46))</f>
        <v>0.0340468539437822</v>
      </c>
      <c r="H4" s="46" t="n">
        <f aca="false">IF(H25*H46=0,0,'Demanda por puesto'!$P$124/(H25*H46))</f>
        <v>0.0412916799709022</v>
      </c>
      <c r="I4" s="46" t="n">
        <f aca="false">IF(I25*I46=0,0,'Demanda por puesto'!$P$144/(I25*I46))</f>
        <v>0.0488466192737222</v>
      </c>
      <c r="J4" s="46" t="n">
        <f aca="false">IF(J25*J46=0,0,'Demanda por puesto'!$P$164/(J25*J46))</f>
        <v>0.0541722129557222</v>
      </c>
      <c r="K4" s="46" t="n">
        <f aca="false">IF(K25*K46=0,0,'Demanda por puesto'!$P$184/(K25*K46))</f>
        <v>0.0607117834955222</v>
      </c>
      <c r="L4" s="12" t="s">
        <v>265</v>
      </c>
      <c r="M4" s="49" t="s">
        <v>267</v>
      </c>
    </row>
    <row r="5" customFormat="false" ht="14.25" hidden="false" customHeight="true" outlineLevel="0" collapsed="false">
      <c r="A5" s="12" t="str">
        <f aca="false">parametros_carros!$B$22</f>
        <v>Cilindrado</v>
      </c>
      <c r="B5" s="46" t="n">
        <f aca="false">IF(B26*B47=0,0,'Demanda por puesto'!$P$5/(B26*B47))</f>
        <v>0.0448872818412883</v>
      </c>
      <c r="C5" s="46" t="n">
        <f aca="false">IF(C26*C47=0,0,'Demanda por puesto'!$P$25/(C26*C47))</f>
        <v>0.0478626718316217</v>
      </c>
      <c r="D5" s="46" t="n">
        <f aca="false">IF(D26*D47=0,0,'Demanda por puesto'!$P$45/(D26*D47))</f>
        <v>0.0521421996271909</v>
      </c>
      <c r="E5" s="46" t="n">
        <f aca="false">IF(E26*E47=0,0,'Demanda por puesto'!$P$65/(E26*E47))</f>
        <v>0.0604386024471544</v>
      </c>
      <c r="F5" s="46" t="n">
        <f aca="false">IF(F26*F47=0,0,'Demanda por puesto'!$P$85/(F26*F47))</f>
        <v>0.0736984214059935</v>
      </c>
      <c r="G5" s="46" t="n">
        <f aca="false">IF(G26*G47=0,0,'Demanda por puesto'!$P$105/(G26*G47))</f>
        <v>0.0866998259614522</v>
      </c>
      <c r="H5" s="46" t="n">
        <f aca="false">IF(H26*H47=0,0,'Demanda por puesto'!$P$125/(H26*H47))</f>
        <v>0.102231220214852</v>
      </c>
      <c r="I5" s="46" t="n">
        <f aca="false">IF(I26*I47=0,0,'Demanda por puesto'!$P$145/(I26*I47))</f>
        <v>0.118344790299196</v>
      </c>
      <c r="J5" s="46" t="n">
        <f aca="false">IF(J26*J47=0,0,'Demanda por puesto'!$P$165/(J26*J47))</f>
        <v>0.129775469990022</v>
      </c>
      <c r="K5" s="46" t="n">
        <f aca="false">IF(K26*K47=0,0,'Demanda por puesto'!$P$185/(K26*K47))</f>
        <v>0.143768445646261</v>
      </c>
      <c r="L5" s="12" t="s">
        <v>265</v>
      </c>
      <c r="M5" s="50" t="s">
        <v>268</v>
      </c>
    </row>
    <row r="6" customFormat="false" ht="14.25" hidden="false" customHeight="true" outlineLevel="0" collapsed="false">
      <c r="A6" s="12" t="str">
        <f aca="false">parametros_carros!$B$23</f>
        <v>Punteo del cuerpo</v>
      </c>
      <c r="B6" s="46" t="n">
        <f aca="false">IF(B27*B48=0,0,'Demanda por puesto'!$P$6/(B27*B48))</f>
        <v>0.0184566903877894</v>
      </c>
      <c r="C6" s="46" t="n">
        <f aca="false">IF(C27*C48=0,0,'Demanda por puesto'!$P$26/(C27*C48))</f>
        <v>0.0227672037250729</v>
      </c>
      <c r="D6" s="46" t="n">
        <f aca="false">IF(D27*D48=0,0,'Demanda por puesto'!$P$46/(D27*D48))</f>
        <v>0.029078869054592</v>
      </c>
      <c r="E6" s="46" t="n">
        <f aca="false">IF(E27*E48=0,0,'Demanda por puesto'!$P$66/(E27*E48))</f>
        <v>0.0413982972815955</v>
      </c>
      <c r="F6" s="46" t="n">
        <f aca="false">IF(F27*F48=0,0,'Demanda por puesto'!$P$86/(F27*F48))</f>
        <v>0.0611258221820146</v>
      </c>
      <c r="G6" s="46" t="n">
        <f aca="false">IF(G27*G48=0,0,'Demanda por puesto'!$P$106/(G27*G48))</f>
        <v>0.0803257551386633</v>
      </c>
      <c r="H6" s="46" t="n">
        <f aca="false">IF(H27*H48=0,0,'Demanda por puesto'!$P$126/(H27*H48))</f>
        <v>0.103406672269563</v>
      </c>
      <c r="I6" s="46" t="n">
        <f aca="false">IF(I27*I48=0,0,'Demanda por puesto'!$P$146/(I27*I48))</f>
        <v>0.127201829746807</v>
      </c>
      <c r="J6" s="46" t="n">
        <f aca="false">IF(J27*J48=0,0,'Demanda por puesto'!$P$166/(J27*J48))</f>
        <v>0.144209931763533</v>
      </c>
      <c r="K6" s="46" t="n">
        <f aca="false">IF(K27*K48=0,0,'Demanda por puesto'!$P$186/(K27*K48))</f>
        <v>0.164952949919672</v>
      </c>
      <c r="L6" s="12" t="s">
        <v>263</v>
      </c>
      <c r="M6" s="51" t="s">
        <v>269</v>
      </c>
    </row>
    <row r="7" customFormat="false" ht="14.25" hidden="false" customHeight="true" outlineLevel="0" collapsed="false">
      <c r="A7" s="12" t="str">
        <f aca="false">parametros_carros!$B$24</f>
        <v>Soldadura longitudinal</v>
      </c>
      <c r="B7" s="46" t="n">
        <f aca="false">IF(B28*B49=0,0,'Demanda por puesto'!$P$7/(B28*B49))</f>
        <v>0.0227061834747678</v>
      </c>
      <c r="C7" s="46" t="n">
        <f aca="false">IF(C28*C49=0,0,'Demanda por puesto'!$P$27/(C28*C49))</f>
        <v>0.0257876483176378</v>
      </c>
      <c r="D7" s="46" t="n">
        <f aca="false">IF(D28*D49=0,0,'Demanda por puesto'!$P$47/(D28*D49))</f>
        <v>0.0301634675579278</v>
      </c>
      <c r="E7" s="46" t="n">
        <f aca="false">IF(E28*E49=0,0,'Demanda por puesto'!$P$67/(E28*E49))</f>
        <v>0.0386041389715078</v>
      </c>
      <c r="F7" s="46" t="n">
        <f aca="false">IF(F28*F49=0,0,'Demanda por puesto'!$P$87/(F28*F49))</f>
        <v>0.0520783092935278</v>
      </c>
      <c r="G7" s="46" t="n">
        <f aca="false">IF(G28*G49=0,0,'Demanda por puesto'!$P$107/(G28*G49))</f>
        <v>0.0653586248066978</v>
      </c>
      <c r="H7" s="46" t="n">
        <f aca="false">IF(H28*H49=0,0,'Demanda por puesto'!$P$127/(H28*H49))</f>
        <v>0.0811529242156378</v>
      </c>
      <c r="I7" s="46" t="n">
        <f aca="false">IF(I28*I49=0,0,'Demanda por puesto'!$P$147/(I28*I49))</f>
        <v>0.0976129509392778</v>
      </c>
      <c r="J7" s="46" t="n">
        <f aca="false">IF(J28*J49=0,0,'Demanda por puesto'!$P$167/(J28*J49))</f>
        <v>0.109227811396178</v>
      </c>
      <c r="K7" s="46" t="n">
        <f aca="false">IF(K28*K49=0,0,'Demanda por puesto'!$P$187/(K28*K49))</f>
        <v>0.123482061117678</v>
      </c>
      <c r="L7" s="12" t="s">
        <v>265</v>
      </c>
    </row>
    <row r="8" customFormat="false" ht="14.25" hidden="false" customHeight="true" outlineLevel="0" collapsed="false">
      <c r="A8" s="12" t="str">
        <f aca="false">parametros_carros!$B$25</f>
        <v>Soldadura de cupla en la cúpula</v>
      </c>
      <c r="B8" s="46" t="n">
        <f aca="false">IF(B29*B50=0,0,'Demanda por puesto'!$P$8/(B29*B50))</f>
        <v>0.02486456075912</v>
      </c>
      <c r="C8" s="46" t="n">
        <f aca="false">IF(C29*C50=0,0,'Demanda por puesto'!$P$28/(C29*C50))</f>
        <v>0.027912352618</v>
      </c>
      <c r="D8" s="46" t="n">
        <f aca="false">IF(D29*D50=0,0,'Demanda por puesto'!$P$48/(D29*D50))</f>
        <v>0.03223602777456</v>
      </c>
      <c r="E8" s="46" t="n">
        <f aca="false">IF(E29*E50=0,0,'Demanda por puesto'!$P$68/(E29*E50))</f>
        <v>0.0405816122348</v>
      </c>
      <c r="F8" s="46" t="n">
        <f aca="false">IF(F29*F50=0,0,'Demanda por puesto'!$P$88/(F29*F50))</f>
        <v>0.05388765487</v>
      </c>
      <c r="G8" s="46" t="n">
        <f aca="false">IF(G29*G50=0,0,'Demanda por puesto'!$P$108/(G29*G50))</f>
        <v>0.0670062344772</v>
      </c>
      <c r="H8" s="46" t="n">
        <f aca="false">IF(H29*H50=0,0,'Demanda por puesto'!$P$128/(H29*H50))</f>
        <v>0.0826123705356</v>
      </c>
      <c r="I8" s="46" t="n">
        <f aca="false">IF(I29*I50=0,0,'Demanda por puesto'!$P$148/(I29*I50))</f>
        <v>0.0988811013416</v>
      </c>
      <c r="J8" s="46" t="n">
        <f aca="false">IF(J29*J50=0,0,'Demanda por puesto'!$P$168/(J29*J50))</f>
        <v>0.1103537646568</v>
      </c>
      <c r="K8" s="46" t="n">
        <f aca="false">IF(K29*K50=0,0,'Demanda por puesto'!$P$188/(K29*K50))</f>
        <v>0.1244389196656</v>
      </c>
      <c r="L8" s="12" t="s">
        <v>265</v>
      </c>
      <c r="M8" s="8" t="s">
        <v>110</v>
      </c>
      <c r="N8" s="52" t="n">
        <f aca="false">parametros_carros!$B$8</f>
        <v>0.9</v>
      </c>
    </row>
    <row r="9" customFormat="false" ht="14.25" hidden="false" customHeight="true" outlineLevel="0" collapsed="false">
      <c r="A9" s="12" t="str">
        <f aca="false">parametros_carros!$B$26</f>
        <v>Armado y soldadura circunferencial</v>
      </c>
      <c r="B9" s="46" t="n">
        <f aca="false">IF(B30*B51=0,0,'Demanda por puesto'!$P$9/(B30*B51))</f>
        <v>0.04301531859002</v>
      </c>
      <c r="C9" s="46" t="n">
        <f aca="false">IF(C30*C51=0,0,'Demanda por puesto'!$P$29/(C30*C51))</f>
        <v>0.05742030092268</v>
      </c>
      <c r="D9" s="46" t="n">
        <f aca="false">IF(D30*D51=0,0,'Demanda por puesto'!$P$49/(D30*D51))</f>
        <v>0.0778648680172</v>
      </c>
      <c r="E9" s="46" t="n">
        <f aca="false">IF(E30*E51=0,0,'Demanda por puesto'!$P$69/(E30*E51))</f>
        <v>0.1173274145273</v>
      </c>
      <c r="F9" s="46" t="n">
        <f aca="false">IF(F30*F51=0,0,'Demanda por puesto'!$P$89/(F30*F51))</f>
        <v>0.18026982782266</v>
      </c>
      <c r="G9" s="46" t="n">
        <f aca="false">IF(G30*G51=0,0,'Demanda por puesto'!$P$109/(G30*G51))</f>
        <v>0.24229971721518</v>
      </c>
      <c r="H9" s="46" t="n">
        <f aca="false">IF(H30*H51=0,0,'Demanda por puesto'!$P$129/(H30*H51))</f>
        <v>0.31610976899094</v>
      </c>
      <c r="I9" s="46" t="n">
        <f aca="false">IF(I30*I51=0,0,'Demanda por puesto'!$P$149/(I30*I51))</f>
        <v>0.3930314950944</v>
      </c>
      <c r="J9" s="46" t="n">
        <f aca="false">IF(J30*J51=0,0,'Demanda por puesto'!$P$169/(J30*J51))</f>
        <v>0.4473015053562</v>
      </c>
      <c r="K9" s="46" t="n">
        <f aca="false">IF(K30*K51=0,0,'Demanda por puesto'!$P$189/(K30*K51))</f>
        <v>0.5139073109188</v>
      </c>
      <c r="L9" s="12" t="s">
        <v>265</v>
      </c>
      <c r="M9" s="53" t="s">
        <v>270</v>
      </c>
    </row>
    <row r="10" customFormat="false" ht="14.25" hidden="false" customHeight="true" outlineLevel="0" collapsed="false">
      <c r="A10" s="12" t="str">
        <f aca="false">parametros_carros!$B$27</f>
        <v>Soldadura de accesorios</v>
      </c>
      <c r="B10" s="46" t="n">
        <f aca="false">IF(B31*B52=0,0,'Demanda por puesto'!$P$10/(B31*B52))</f>
        <v>0.04338794008636</v>
      </c>
      <c r="C10" s="46" t="n">
        <f aca="false">IF(C31*C52=0,0,'Demanda por puesto'!$P$30/(C31*C52))</f>
        <v>0.05812596669197</v>
      </c>
      <c r="D10" s="46" t="n">
        <f aca="false">IF(D31*D52=0,0,'Demanda por puesto'!$P$50/(D31*D52))</f>
        <v>0.07897625049734</v>
      </c>
      <c r="E10" s="46" t="n">
        <f aca="false">IF(E31*E52=0,0,'Demanda por puesto'!$P$70/(E31*E52))</f>
        <v>0.1191781727624</v>
      </c>
      <c r="F10" s="46" t="n">
        <f aca="false">IF(F31*F52=0,0,'Demanda por puesto'!$P$90/(F31*F52))</f>
        <v>0.18326057986484</v>
      </c>
      <c r="G10" s="46" t="n">
        <f aca="false">IF(G31*G52=0,0,'Demanda por puesto'!$P$110/(G31*G52))</f>
        <v>0.24650701100782</v>
      </c>
      <c r="H10" s="46" t="n">
        <f aca="false">IF(H31*H52=0,0,'Demanda por puesto'!$P$130/(H31*H52))</f>
        <v>0.32167818778926</v>
      </c>
      <c r="I10" s="46" t="n">
        <f aca="false">IF(I31*I52=0,0,'Demanda por puesto'!$P$150/(I31*I52))</f>
        <v>0.4001143991443</v>
      </c>
      <c r="J10" s="46" t="n">
        <f aca="false">IF(J31*J52=0,0,'Demanda por puesto'!$P$170/(J31*J52))</f>
        <v>0.4553673943429</v>
      </c>
      <c r="K10" s="46" t="n">
        <f aca="false">IF(K31*K52=0,0,'Demanda por puesto'!$P$190/(K31*K52))</f>
        <v>0.5232353973169</v>
      </c>
      <c r="L10" s="12" t="s">
        <v>263</v>
      </c>
    </row>
    <row r="11" customFormat="false" ht="14.25" hidden="false" customHeight="true" outlineLevel="0" collapsed="false">
      <c r="A11" s="12" t="str">
        <f aca="false">parametros_carros!$B$28</f>
        <v>Fabricación de accesorios</v>
      </c>
      <c r="B11" s="46" t="n">
        <f aca="false">IF(B32*B53=0,0,'Demanda por puesto'!$P$11/(B32*B53))</f>
        <v>0.0491961215328333</v>
      </c>
      <c r="C11" s="46" t="n">
        <f aca="false">IF(C32*C53=0,0,'Demanda por puesto'!$P$31/(C32*C53))</f>
        <v>0.0592370782135333</v>
      </c>
      <c r="D11" s="46" t="n">
        <f aca="false">IF(D32*D53=0,0,'Demanda por puesto'!$P$51/(D32*D53))</f>
        <v>0.0734122909289333</v>
      </c>
      <c r="E11" s="46" t="n">
        <f aca="false">IF(E32*E53=0,0,'Demanda por puesto'!$P$71/(E32*E53))</f>
        <v>0.100723668625833</v>
      </c>
      <c r="F11" s="46" t="n">
        <f aca="false">IF(F32*F53=0,0,'Demanda por puesto'!$P$91/(F32*F53))</f>
        <v>0.144242374872233</v>
      </c>
      <c r="G11" s="46" t="n">
        <f aca="false">IF(G32*G53=0,0,'Demanda por puesto'!$P$111/(G32*G53))</f>
        <v>0.187234105729033</v>
      </c>
      <c r="H11" s="46" t="n">
        <f aca="false">IF(H32*H53=0,0,'Demanda por puesto'!$P$131/(H32*H53))</f>
        <v>0.238293355920433</v>
      </c>
      <c r="I11" s="46" t="n">
        <f aca="false">IF(I32*I53=0,0,'Demanda por puesto'!$P$151/(I32*I53))</f>
        <v>0.291612748441333</v>
      </c>
      <c r="J11" s="46" t="n">
        <f aca="false">IF(J32*J53=0,0,'Demanda por puesto'!$P$171/(J32*J53))</f>
        <v>0.329135396197333</v>
      </c>
      <c r="K11" s="46" t="n">
        <f aca="false">IF(K32*K53=0,0,'Demanda por puesto'!$P$191/(K32*K53))</f>
        <v>0.375248767952333</v>
      </c>
      <c r="L11" s="12" t="s">
        <v>263</v>
      </c>
    </row>
    <row r="12" customFormat="false" ht="14.25" hidden="false" customHeight="true" outlineLevel="0" collapsed="false">
      <c r="A12" s="12" t="str">
        <f aca="false">parametros_carros!$B$29</f>
        <v>Prueba hidráulica</v>
      </c>
      <c r="B12" s="46" t="n">
        <f aca="false">IF(B33*B54=0,0,'Demanda por puesto'!$P$12/(B33*B54))</f>
        <v>0.0351720256796522</v>
      </c>
      <c r="C12" s="46" t="n">
        <f aca="false">IF(C33*C54=0,0,'Demanda por puesto'!$P$32/(C33*C54))</f>
        <v>0.0433710975880982</v>
      </c>
      <c r="D12" s="46" t="n">
        <f aca="false">IF(D33*D54=0,0,'Demanda por puesto'!$P$52/(D33*D54))</f>
        <v>0.0549437857867102</v>
      </c>
      <c r="E12" s="46" t="n">
        <f aca="false">IF(E33*E54=0,0,'Demanda por puesto'!$P$72/(E33*E54))</f>
        <v>0.0772307613976722</v>
      </c>
      <c r="F12" s="46" t="n">
        <f aca="false">IF(F33*F54=0,0,'Demanda por puesto'!$P$92/(F33*F54))</f>
        <v>0.112770010678504</v>
      </c>
      <c r="G12" s="46" t="n">
        <f aca="false">IF(G33*G54=0,0,'Demanda por puesto'!$P$112/(G33*G54))</f>
        <v>0.147862816414488</v>
      </c>
      <c r="H12" s="46" t="n">
        <f aca="false">IF(H33*H54=0,0,'Demanda por puesto'!$P$132/(H33*H54))</f>
        <v>0.18954693157022</v>
      </c>
      <c r="I12" s="46" t="n">
        <f aca="false">IF(I33*I54=0,0,'Demanda por puesto'!$P$152/(I33*I54))</f>
        <v>0.233066304737662</v>
      </c>
      <c r="J12" s="46" t="n">
        <f aca="false">IF(J33*J54=0,0,'Demanda por puesto'!$P$172/(J33*J54))</f>
        <v>0.263709149905742</v>
      </c>
      <c r="K12" s="46" t="n">
        <f aca="false">IF(K33*K54=0,0,'Demanda por puesto'!$P$192/(K33*K54))</f>
        <v>0.301347709756842</v>
      </c>
      <c r="L12" s="12" t="s">
        <v>265</v>
      </c>
    </row>
    <row r="13" customFormat="false" ht="14.25" hidden="false" customHeight="true" outlineLevel="0" collapsed="false">
      <c r="A13" s="12" t="str">
        <f aca="false">parametros_carros!$B$30</f>
        <v>Secado</v>
      </c>
      <c r="B13" s="46" t="n">
        <f aca="false">IF(B34*B55=0,0,'Demanda por puesto'!$P$13/(B34*B55))</f>
        <v>0.0145824408444</v>
      </c>
      <c r="C13" s="46" t="n">
        <f aca="false">IF(C34*C55=0,0,'Demanda por puesto'!$P$33/(C34*C55))</f>
        <v>0.0236955681362</v>
      </c>
      <c r="D13" s="46" t="n">
        <f aca="false">IF(D34*D55=0,0,'Demanda por puesto'!$P$53/(D34*D55))</f>
        <v>0.0366383164918</v>
      </c>
      <c r="E13" s="46" t="n">
        <f aca="false">IF(E34*E55=0,0,'Demanda por puesto'!$P$73/(E34*E55))</f>
        <v>0.0615940128228</v>
      </c>
      <c r="F13" s="46" t="n">
        <f aca="false">IF(F34*F55=0,0,'Demanda por puesto'!$P$93/(F34*F55))</f>
        <v>0.1014701038072</v>
      </c>
      <c r="G13" s="46" t="n">
        <f aca="false">IF(G34*G55=0,0,'Demanda por puesto'!$P$113/(G34*G55))</f>
        <v>0.1407432358458</v>
      </c>
      <c r="H13" s="46" t="n">
        <f aca="false">IF(H34*H55=0,0,'Demanda por puesto'!$P$133/(H34*H55))</f>
        <v>0.1874664970194</v>
      </c>
      <c r="I13" s="46" t="n">
        <f aca="false">IF(I34*I55=0,0,'Demanda por puesto'!$P$153/(I34*I55))</f>
        <v>0.236138305088</v>
      </c>
      <c r="J13" s="46" t="n">
        <f aca="false">IF(J34*J55=0,0,'Demanda por puesto'!$P$173/(J34*J55))</f>
        <v>0.270512472038</v>
      </c>
      <c r="K13" s="46" t="n">
        <f aca="false">IF(K34*K55=0,0,'Demanda por puesto'!$P$193/(K34*K55))</f>
        <v>0.31266646257</v>
      </c>
      <c r="L13" s="12" t="s">
        <v>265</v>
      </c>
    </row>
    <row r="14" customFormat="false" ht="14.25" hidden="false" customHeight="true" outlineLevel="0" collapsed="false">
      <c r="A14" s="12" t="str">
        <f aca="false">parametros_carros!$B$31</f>
        <v>Pulmón de despacho y carga a pintura</v>
      </c>
      <c r="B14" s="46" t="n">
        <f aca="false">IF(B35*B56=0,0,'Demanda por puesto'!$P$14/(B35*B56))</f>
        <v>0.0112142035360889</v>
      </c>
      <c r="C14" s="46" t="n">
        <f aca="false">IF(C35*C56=0,0,'Demanda por puesto'!$P$34/(C35*C56))</f>
        <v>0.0126566463260539</v>
      </c>
      <c r="D14" s="46" t="n">
        <f aca="false">IF(D35*D56=0,0,'Demanda por puesto'!$P$54/(D35*D56))</f>
        <v>0.0147126754481589</v>
      </c>
      <c r="E14" s="46" t="n">
        <f aca="false">IF(E35*E56=0,0,'Demanda por puesto'!$P$74/(E35*E56))</f>
        <v>0.0186882394768889</v>
      </c>
      <c r="F14" s="46" t="n">
        <f aca="false">IF(F35*F56=0,0,'Demanda por puesto'!$P$94/(F35*F56))</f>
        <v>0.0250304731126689</v>
      </c>
      <c r="G14" s="46" t="n">
        <f aca="false">IF(G35*G56=0,0,'Demanda por puesto'!$P$114/(G35*G56))</f>
        <v>0.0312712157827789</v>
      </c>
      <c r="H14" s="46" t="n">
        <f aca="false">IF(H35*H56=0,0,'Demanda por puesto'!$P$134/(H35*H56))</f>
        <v>0.0387072558105589</v>
      </c>
      <c r="I14" s="46" t="n">
        <f aca="false">IF(I35*I56=0,0,'Demanda por puesto'!$P$154/(I35*I56))</f>
        <v>0.0464460038132389</v>
      </c>
      <c r="J14" s="46" t="n">
        <f aca="false">IF(J35*J56=0,0,'Demanda por puesto'!$P$174/(J35*J56))</f>
        <v>0.0519143434874389</v>
      </c>
      <c r="K14" s="46" t="n">
        <f aca="false">IF(K35*K56=0,0,'Demanda por puesto'!$P$194/(K35*K56))</f>
        <v>0.0586213830154389</v>
      </c>
      <c r="L14" s="12" t="s">
        <v>263</v>
      </c>
    </row>
    <row r="15" customFormat="false" ht="14.25" hidden="false" customHeight="true" outlineLevel="0" collapsed="false">
      <c r="A15" s="12" t="str">
        <f aca="false">parametros_carros!$B$32</f>
        <v>Recepción de pintados y cambio de juego</v>
      </c>
      <c r="B15" s="46" t="n">
        <f aca="false">IF(B36*B57=0,0,'Demanda por puesto'!$P$15/(B36*B57))</f>
        <v>0.0134241731674739</v>
      </c>
      <c r="C15" s="46" t="n">
        <f aca="false">IF(C36*C57=0,0,'Demanda por puesto'!$P$35/(C36*C57))</f>
        <v>0.0162596097503089</v>
      </c>
      <c r="D15" s="46" t="n">
        <f aca="false">IF(D36*D57=0,0,'Demanda por puesto'!$P$55/(D36*D57))</f>
        <v>0.0202861180955289</v>
      </c>
      <c r="E15" s="46" t="n">
        <f aca="false">IF(E36*E57=0,0,'Demanda por puesto'!$P$75/(E36*E57))</f>
        <v>0.0280610464766639</v>
      </c>
      <c r="F15" s="46" t="n">
        <f aca="false">IF(F36*F57=0,0,'Demanda por puesto'!$P$95/(F36*F57))</f>
        <v>0.0404587845267039</v>
      </c>
      <c r="G15" s="46" t="n">
        <f aca="false">IF(G36*G57=0,0,'Demanda por puesto'!$P$115/(G36*G57))</f>
        <v>0.0526767661250839</v>
      </c>
      <c r="H15" s="46" t="n">
        <f aca="false">IF(H36*H57=0,0,'Demanda por puesto'!$P$135/(H36*H57))</f>
        <v>0.0672165316794739</v>
      </c>
      <c r="I15" s="46" t="n">
        <f aca="false">IF(I36*I57=0,0,'Demanda por puesto'!$P$155/(I36*I57))</f>
        <v>0.0823681624599889</v>
      </c>
      <c r="J15" s="46" t="n">
        <f aca="false">IF(J36*J57=0,0,'Demanda por puesto'!$P$175/(J36*J57))</f>
        <v>0.0930576613221889</v>
      </c>
      <c r="K15" s="46" t="n">
        <f aca="false">IF(K36*K57=0,0,'Demanda por puesto'!$P$195/(K36*K57))</f>
        <v>0.106178579648839</v>
      </c>
      <c r="L15" s="12" t="s">
        <v>263</v>
      </c>
    </row>
    <row r="16" customFormat="false" ht="14.25" hidden="false" customHeight="true" outlineLevel="0" collapsed="false">
      <c r="A16" s="12" t="str">
        <f aca="false">parametros_carros!$B$33</f>
        <v>Carga de polvo y presurización</v>
      </c>
      <c r="B16" s="46" t="n">
        <f aca="false">IF(B37*B58=0,0,'Demanda por puesto'!$P$16/(B37*B58))</f>
        <v>0.122605938512367</v>
      </c>
      <c r="C16" s="46" t="n">
        <f aca="false">IF(C37*C58=0,0,'Demanda por puesto'!$P$36/(C37*C58))</f>
        <v>0.133202271893727</v>
      </c>
      <c r="D16" s="46" t="n">
        <f aca="false">IF(D37*D58=0,0,'Demanda por puesto'!$P$56/(D37*D58))</f>
        <v>0.141017736989897</v>
      </c>
      <c r="E16" s="46" t="n">
        <f aca="false">IF(E37*E58=0,0,'Demanda por puesto'!$P$76/(E37*E58))</f>
        <v>0.152481436019067</v>
      </c>
      <c r="F16" s="46" t="n">
        <f aca="false">IF(F37*F58=0,0,'Demanda por puesto'!$P$96/(F37*F58))</f>
        <v>0.177830991451487</v>
      </c>
      <c r="G16" s="46" t="n">
        <f aca="false">IF(G37*G58=0,0,'Demanda por puesto'!$P$116/(G37*G58))</f>
        <v>0.203307454234677</v>
      </c>
      <c r="H16" s="46" t="n">
        <f aca="false">IF(H37*H58=0,0,'Demanda por puesto'!$P$136/(H37*H58))</f>
        <v>0.230388549929697</v>
      </c>
      <c r="I16" s="46" t="n">
        <f aca="false">IF(I37*I58=0,0,'Demanda por puesto'!$P$156/(I37*I58))</f>
        <v>0.260124324225567</v>
      </c>
      <c r="J16" s="46" t="n">
        <f aca="false">IF(J37*J58=0,0,'Demanda por puesto'!$P$176/(J37*J58))</f>
        <v>0.285473931417367</v>
      </c>
      <c r="K16" s="46" t="n">
        <f aca="false">IF(K37*K58=0,0,'Demanda por puesto'!$P$196/(K37*K58))</f>
        <v>0.312386272324367</v>
      </c>
      <c r="L16" s="12" t="s">
        <v>265</v>
      </c>
    </row>
    <row r="17" customFormat="false" ht="14.25" hidden="false" customHeight="true" outlineLevel="0" collapsed="false">
      <c r="A17" s="12" t="str">
        <f aca="false">parametros_carros!$B$34</f>
        <v>Montaje, manga, precinto y etiquetado</v>
      </c>
      <c r="B17" s="46" t="n">
        <f aca="false">IF(B38*B59=0,0,'Demanda por puesto'!$P$17/(B38*B59))</f>
        <v>0.0555429595231467</v>
      </c>
      <c r="C17" s="46" t="n">
        <f aca="false">IF(C38*C59=0,0,'Demanda por puesto'!$P$37/(C38*C59))</f>
        <v>0.0614673375433767</v>
      </c>
      <c r="D17" s="46" t="n">
        <f aca="false">IF(D38*D59=0,0,'Demanda por puesto'!$P$57/(D38*D59))</f>
        <v>0.0658228255759867</v>
      </c>
      <c r="E17" s="46" t="n">
        <f aca="false">IF(E38*E59=0,0,'Demanda por puesto'!$P$77/(E38*E59))</f>
        <v>0.0722338134892667</v>
      </c>
      <c r="F17" s="46" t="n">
        <f aca="false">IF(F38*F59=0,0,'Demanda por puesto'!$P$97/(F38*F59))</f>
        <v>0.0863640803507867</v>
      </c>
      <c r="G17" s="46" t="n">
        <f aca="false">IF(G38*G59=0,0,'Demanda por puesto'!$P$117/(G38*G59))</f>
        <v>0.100565743897627</v>
      </c>
      <c r="H17" s="46" t="n">
        <f aca="false">IF(H38*H59=0,0,'Demanda por puesto'!$P$137/(H38*H59))</f>
        <v>0.115679116007547</v>
      </c>
      <c r="I17" s="46" t="n">
        <f aca="false">IF(I38*I59=0,0,'Demanda por puesto'!$P$157/(I38*I59))</f>
        <v>0.132278730618967</v>
      </c>
      <c r="J17" s="46" t="n">
        <f aca="false">IF(J38*J59=0,0,'Demanda por puesto'!$P$177/(J38*J59))</f>
        <v>0.146396357330567</v>
      </c>
      <c r="K17" s="46" t="n">
        <f aca="false">IF(K38*K59=0,0,'Demanda por puesto'!$P$197/(K38*K59))</f>
        <v>0.161416457465767</v>
      </c>
      <c r="L17" s="12" t="s">
        <v>263</v>
      </c>
    </row>
    <row r="18" customFormat="false" ht="14.25" hidden="false" customHeight="true" outlineLevel="0" collapsed="false">
      <c r="A18" s="12" t="str">
        <f aca="false">parametros_carros!$B$35</f>
        <v>Calidad: pérdidas, inspección final, liberación y ensayos de lote</v>
      </c>
      <c r="B18" s="46" t="n">
        <f aca="false">IF(B39*B60=0,0,'Demanda por puesto'!$P$18/(B39*B60))</f>
        <v>0.376938145447277</v>
      </c>
      <c r="C18" s="46" t="n">
        <f aca="false">IF(C39*C60=0,0,'Demanda por puesto'!$P$38/(C39*C60))</f>
        <v>0.3814388976746</v>
      </c>
      <c r="D18" s="46" t="n">
        <f aca="false">IF(D39*D60=0,0,'Demanda por puesto'!$P$58/(D39*D60))</f>
        <v>0.384743306484306</v>
      </c>
      <c r="E18" s="46" t="n">
        <f aca="false">IF(E39*E60=0,0,'Demanda por puesto'!$P$78/(E39*E60))</f>
        <v>0.389602534045047</v>
      </c>
      <c r="F18" s="46" t="n">
        <f aca="false">IF(F39*F60=0,0,'Demanda por puesto'!$P$98/(F39*F60))</f>
        <v>0.400310320492343</v>
      </c>
      <c r="G18" s="46" t="n">
        <f aca="false">IF(G39*G60=0,0,'Demanda por puesto'!$P$118/(G39*G60))</f>
        <v>0.411066453110895</v>
      </c>
      <c r="H18" s="46" t="n">
        <f aca="false">IF(H39*H60=0,0,'Demanda por puesto'!$P$138/(H39*H60))</f>
        <v>0.422526767694241</v>
      </c>
      <c r="I18" s="46" t="n">
        <f aca="false">IF(I39*I60=0,0,'Demanda por puesto'!$P$158/(I39*I60))</f>
        <v>0.435111139528342</v>
      </c>
      <c r="J18" s="46" t="n">
        <f aca="false">IF(J39*J60=0,0,'Demanda por puesto'!$P$178/(J39*J60))</f>
        <v>0.445806011051182</v>
      </c>
      <c r="K18" s="46" t="n">
        <f aca="false">IF(K39*K60=0,0,'Demanda por puesto'!$P$198/(K39*K60))</f>
        <v>0.457193396388132</v>
      </c>
      <c r="L18" s="12" t="s">
        <v>263</v>
      </c>
    </row>
    <row r="19" customFormat="false" ht="14.25" hidden="false" customHeight="true" outlineLevel="0" collapsed="false">
      <c r="A19" s="12" t="str">
        <f aca="false">parametros_carros!$B$36</f>
        <v>Depósito de producto terminado y despacho</v>
      </c>
      <c r="B19" s="46" t="n">
        <f aca="false">IF(B40*B61=0,0,'Demanda por puesto'!$P$19/(B40*B61))</f>
        <v>0.0242026396723422</v>
      </c>
      <c r="C19" s="46" t="n">
        <f aca="false">IF(C40*C61=0,0,'Demanda por puesto'!$P$39/(C40*C61))</f>
        <v>0.0254248030438222</v>
      </c>
      <c r="D19" s="46" t="n">
        <f aca="false">IF(D40*D61=0,0,'Demanda por puesto'!$P$59/(D40*D61))</f>
        <v>0.0271711667975822</v>
      </c>
      <c r="E19" s="46" t="n">
        <f aca="false">IF(E40*E61=0,0,'Demanda por puesto'!$P$79/(E40*E61))</f>
        <v>0.0305510462220222</v>
      </c>
      <c r="F19" s="46" t="n">
        <f aca="false">IF(F40*F61=0,0,'Demanda por puesto'!$P$99/(F40*F61))</f>
        <v>0.0359445968124222</v>
      </c>
      <c r="G19" s="46" t="n">
        <f aca="false">IF(G40*G61=0,0,'Demanda por puesto'!$P$119/(G40*G61))</f>
        <v>0.0412464980820222</v>
      </c>
      <c r="H19" s="46" t="n">
        <f aca="false">IF(H40*H61=0,0,'Demanda por puesto'!$P$139/(H40*H61))</f>
        <v>0.0475691341056222</v>
      </c>
      <c r="I19" s="46" t="n">
        <f aca="false">IF(I40*I61=0,0,'Demanda por puesto'!$P$159/(I40*I61))</f>
        <v>0.0541434299078222</v>
      </c>
      <c r="J19" s="46" t="n">
        <f aca="false">IF(J40*J61=0,0,'Demanda por puesto'!$P$179/(J40*J61))</f>
        <v>0.0587937936310222</v>
      </c>
      <c r="K19" s="46" t="n">
        <f aca="false">IF(K40*K61=0,0,'Demanda por puesto'!$P$199/(K40*K61))</f>
        <v>0.0644946992298222</v>
      </c>
      <c r="L19" s="12" t="s">
        <v>263</v>
      </c>
    </row>
    <row r="20" customFormat="false" ht="14.25" hidden="false" customHeight="true" outlineLevel="0" collapsed="false">
      <c r="A20" s="14" t="s">
        <v>271</v>
      </c>
      <c r="B20" s="54" t="n">
        <f aca="false">MAX(B2:B19)</f>
        <v>0.376938145447277</v>
      </c>
      <c r="C20" s="54" t="n">
        <f aca="false">MAX(C2:C19)</f>
        <v>0.3814388976746</v>
      </c>
      <c r="D20" s="54" t="n">
        <f aca="false">MAX(D2:D19)</f>
        <v>0.384743306484306</v>
      </c>
      <c r="E20" s="54" t="n">
        <f aca="false">MAX(E2:E19)</f>
        <v>0.389602534045047</v>
      </c>
      <c r="F20" s="54" t="n">
        <f aca="false">MAX(F2:F19)</f>
        <v>0.400310320492343</v>
      </c>
      <c r="G20" s="54" t="n">
        <f aca="false">MAX(G2:G19)</f>
        <v>0.411066453110895</v>
      </c>
      <c r="H20" s="54" t="n">
        <f aca="false">MAX(H2:H19)</f>
        <v>0.422526767694241</v>
      </c>
      <c r="I20" s="54" t="n">
        <f aca="false">MAX(I2:I19)</f>
        <v>0.435111139528342</v>
      </c>
      <c r="J20" s="54" t="n">
        <f aca="false">MAX(J2:J19)</f>
        <v>0.4553673943429</v>
      </c>
      <c r="K20" s="54" t="n">
        <f aca="false">MAX(K2:K19)</f>
        <v>0.5232353973169</v>
      </c>
    </row>
    <row r="21" customFormat="false" ht="14.25" hidden="false" customHeight="true" outlineLevel="0" collapsed="false"/>
    <row r="22" customFormat="false" ht="14.25" hidden="false" customHeight="true" outlineLevel="0" collapsed="false">
      <c r="A22" s="11" t="s">
        <v>272</v>
      </c>
      <c r="B22" s="11" t="n">
        <v>2026</v>
      </c>
      <c r="C22" s="11" t="n">
        <v>2027</v>
      </c>
      <c r="D22" s="11" t="n">
        <v>2028</v>
      </c>
      <c r="E22" s="11" t="n">
        <v>2029</v>
      </c>
      <c r="F22" s="11" t="n">
        <v>2030</v>
      </c>
      <c r="G22" s="11" t="n">
        <v>2031</v>
      </c>
      <c r="H22" s="11" t="n">
        <v>2032</v>
      </c>
      <c r="I22" s="11" t="n">
        <v>2033</v>
      </c>
      <c r="J22" s="11" t="n">
        <v>2034</v>
      </c>
      <c r="K22" s="11" t="n">
        <v>2035</v>
      </c>
    </row>
    <row r="23" customFormat="false" ht="14.25" hidden="false" customHeight="true" outlineLevel="0" collapsed="false">
      <c r="A23" s="12" t="str">
        <f aca="false">parametros_carros!$B$19</f>
        <v>Recepción de materia prima</v>
      </c>
      <c r="B23" s="35" t="n">
        <v>1</v>
      </c>
      <c r="C23" s="35" t="n">
        <v>1</v>
      </c>
      <c r="D23" s="35" t="n">
        <v>1</v>
      </c>
      <c r="E23" s="35" t="n">
        <v>1</v>
      </c>
      <c r="F23" s="35" t="n">
        <v>1</v>
      </c>
      <c r="G23" s="35" t="n">
        <v>1</v>
      </c>
      <c r="H23" s="35" t="n">
        <v>1</v>
      </c>
      <c r="I23" s="35" t="n">
        <v>1</v>
      </c>
      <c r="J23" s="35" t="n">
        <v>1</v>
      </c>
      <c r="K23" s="35" t="n">
        <v>1</v>
      </c>
    </row>
    <row r="24" customFormat="false" ht="14.25" hidden="false" customHeight="true" outlineLevel="0" collapsed="false">
      <c r="A24" s="12" t="str">
        <f aca="false">parametros_carros!$B$20</f>
        <v>Corte de chapa (guillotina)</v>
      </c>
      <c r="B24" s="35" t="n">
        <v>1</v>
      </c>
      <c r="C24" s="35" t="n">
        <v>1</v>
      </c>
      <c r="D24" s="35" t="n">
        <v>1</v>
      </c>
      <c r="E24" s="35" t="n">
        <v>1</v>
      </c>
      <c r="F24" s="35" t="n">
        <v>1</v>
      </c>
      <c r="G24" s="35" t="n">
        <v>1</v>
      </c>
      <c r="H24" s="35" t="n">
        <v>1</v>
      </c>
      <c r="I24" s="35" t="n">
        <v>1</v>
      </c>
      <c r="J24" s="35" t="n">
        <v>1</v>
      </c>
      <c r="K24" s="35" t="n">
        <v>1</v>
      </c>
    </row>
    <row r="25" customFormat="false" ht="14.25" hidden="false" customHeight="true" outlineLevel="0" collapsed="false">
      <c r="A25" s="12" t="str">
        <f aca="false">parametros_carros!$B$21</f>
        <v>Marcado del cuerpo</v>
      </c>
      <c r="B25" s="35" t="n">
        <v>1</v>
      </c>
      <c r="C25" s="35" t="n">
        <v>1</v>
      </c>
      <c r="D25" s="35" t="n">
        <v>1</v>
      </c>
      <c r="E25" s="35" t="n">
        <v>1</v>
      </c>
      <c r="F25" s="35" t="n">
        <v>1</v>
      </c>
      <c r="G25" s="35" t="n">
        <v>1</v>
      </c>
      <c r="H25" s="35" t="n">
        <v>1</v>
      </c>
      <c r="I25" s="35" t="n">
        <v>1</v>
      </c>
      <c r="J25" s="35" t="n">
        <v>1</v>
      </c>
      <c r="K25" s="35" t="n">
        <v>1</v>
      </c>
    </row>
    <row r="26" customFormat="false" ht="14.25" hidden="false" customHeight="true" outlineLevel="0" collapsed="false">
      <c r="A26" s="12" t="str">
        <f aca="false">parametros_carros!$B$22</f>
        <v>Cilindrado</v>
      </c>
      <c r="B26" s="35" t="n">
        <v>1</v>
      </c>
      <c r="C26" s="35" t="n">
        <v>1</v>
      </c>
      <c r="D26" s="35" t="n">
        <v>1</v>
      </c>
      <c r="E26" s="35" t="n">
        <v>1</v>
      </c>
      <c r="F26" s="35" t="n">
        <v>1</v>
      </c>
      <c r="G26" s="35" t="n">
        <v>1</v>
      </c>
      <c r="H26" s="35" t="n">
        <v>1</v>
      </c>
      <c r="I26" s="35" t="n">
        <v>1</v>
      </c>
      <c r="J26" s="35" t="n">
        <v>1</v>
      </c>
      <c r="K26" s="35" t="n">
        <v>1</v>
      </c>
    </row>
    <row r="27" customFormat="false" ht="14.25" hidden="false" customHeight="true" outlineLevel="0" collapsed="false">
      <c r="A27" s="12" t="str">
        <f aca="false">parametros_carros!$B$23</f>
        <v>Punteo del cuerpo</v>
      </c>
      <c r="B27" s="35" t="n">
        <v>1</v>
      </c>
      <c r="C27" s="35" t="n">
        <v>1</v>
      </c>
      <c r="D27" s="35" t="n">
        <v>1</v>
      </c>
      <c r="E27" s="35" t="n">
        <v>1</v>
      </c>
      <c r="F27" s="35" t="n">
        <v>1</v>
      </c>
      <c r="G27" s="35" t="n">
        <v>1</v>
      </c>
      <c r="H27" s="35" t="n">
        <v>1</v>
      </c>
      <c r="I27" s="35" t="n">
        <v>1</v>
      </c>
      <c r="J27" s="35" t="n">
        <v>1</v>
      </c>
      <c r="K27" s="35" t="n">
        <v>1</v>
      </c>
    </row>
    <row r="28" customFormat="false" ht="14.25" hidden="false" customHeight="true" outlineLevel="0" collapsed="false">
      <c r="A28" s="12" t="str">
        <f aca="false">parametros_carros!$B$24</f>
        <v>Soldadura longitudinal</v>
      </c>
      <c r="B28" s="35" t="n">
        <v>1</v>
      </c>
      <c r="C28" s="35" t="n">
        <v>1</v>
      </c>
      <c r="D28" s="35" t="n">
        <v>1</v>
      </c>
      <c r="E28" s="35" t="n">
        <v>1</v>
      </c>
      <c r="F28" s="35" t="n">
        <v>1</v>
      </c>
      <c r="G28" s="35" t="n">
        <v>1</v>
      </c>
      <c r="H28" s="35" t="n">
        <v>1</v>
      </c>
      <c r="I28" s="35" t="n">
        <v>1</v>
      </c>
      <c r="J28" s="35" t="n">
        <v>1</v>
      </c>
      <c r="K28" s="35" t="n">
        <v>1</v>
      </c>
    </row>
    <row r="29" customFormat="false" ht="14.25" hidden="false" customHeight="true" outlineLevel="0" collapsed="false">
      <c r="A29" s="12" t="str">
        <f aca="false">parametros_carros!$B$25</f>
        <v>Soldadura de cupla en la cúpula</v>
      </c>
      <c r="B29" s="35" t="n">
        <v>1</v>
      </c>
      <c r="C29" s="35" t="n">
        <v>1</v>
      </c>
      <c r="D29" s="35" t="n">
        <v>1</v>
      </c>
      <c r="E29" s="35" t="n">
        <v>1</v>
      </c>
      <c r="F29" s="35" t="n">
        <v>1</v>
      </c>
      <c r="G29" s="35" t="n">
        <v>1</v>
      </c>
      <c r="H29" s="35" t="n">
        <v>1</v>
      </c>
      <c r="I29" s="35" t="n">
        <v>1</v>
      </c>
      <c r="J29" s="35" t="n">
        <v>1</v>
      </c>
      <c r="K29" s="35" t="n">
        <v>1</v>
      </c>
    </row>
    <row r="30" customFormat="false" ht="14.25" hidden="false" customHeight="true" outlineLevel="0" collapsed="false">
      <c r="A30" s="12" t="str">
        <f aca="false">parametros_carros!$B$26</f>
        <v>Armado y soldadura circunferencial</v>
      </c>
      <c r="B30" s="35" t="n">
        <v>1</v>
      </c>
      <c r="C30" s="35" t="n">
        <v>1</v>
      </c>
      <c r="D30" s="35" t="n">
        <v>1</v>
      </c>
      <c r="E30" s="35" t="n">
        <v>1</v>
      </c>
      <c r="F30" s="35" t="n">
        <v>1</v>
      </c>
      <c r="G30" s="35" t="n">
        <v>1</v>
      </c>
      <c r="H30" s="35" t="n">
        <v>1</v>
      </c>
      <c r="I30" s="35" t="n">
        <v>1</v>
      </c>
      <c r="J30" s="35" t="n">
        <v>1</v>
      </c>
      <c r="K30" s="35" t="n">
        <v>1</v>
      </c>
    </row>
    <row r="31" customFormat="false" ht="14.25" hidden="false" customHeight="true" outlineLevel="0" collapsed="false">
      <c r="A31" s="12" t="str">
        <f aca="false">parametros_carros!$B$27</f>
        <v>Soldadura de accesorios</v>
      </c>
      <c r="B31" s="35" t="n">
        <v>1</v>
      </c>
      <c r="C31" s="35" t="n">
        <v>1</v>
      </c>
      <c r="D31" s="35" t="n">
        <v>1</v>
      </c>
      <c r="E31" s="35" t="n">
        <v>1</v>
      </c>
      <c r="F31" s="35" t="n">
        <v>1</v>
      </c>
      <c r="G31" s="35" t="n">
        <v>1</v>
      </c>
      <c r="H31" s="35" t="n">
        <v>1</v>
      </c>
      <c r="I31" s="35" t="n">
        <v>1</v>
      </c>
      <c r="J31" s="35" t="n">
        <v>1</v>
      </c>
      <c r="K31" s="35" t="n">
        <v>1</v>
      </c>
    </row>
    <row r="32" customFormat="false" ht="14.25" hidden="false" customHeight="true" outlineLevel="0" collapsed="false">
      <c r="A32" s="12" t="str">
        <f aca="false">parametros_carros!$B$28</f>
        <v>Fabricación de accesorios</v>
      </c>
      <c r="B32" s="35" t="n">
        <v>1</v>
      </c>
      <c r="C32" s="35" t="n">
        <v>1</v>
      </c>
      <c r="D32" s="35" t="n">
        <v>1</v>
      </c>
      <c r="E32" s="35" t="n">
        <v>1</v>
      </c>
      <c r="F32" s="35" t="n">
        <v>1</v>
      </c>
      <c r="G32" s="35" t="n">
        <v>1</v>
      </c>
      <c r="H32" s="35" t="n">
        <v>1</v>
      </c>
      <c r="I32" s="35" t="n">
        <v>1</v>
      </c>
      <c r="J32" s="35" t="n">
        <v>1</v>
      </c>
      <c r="K32" s="35" t="n">
        <v>1</v>
      </c>
    </row>
    <row r="33" customFormat="false" ht="14.25" hidden="false" customHeight="true" outlineLevel="0" collapsed="false">
      <c r="A33" s="12" t="str">
        <f aca="false">parametros_carros!$B$29</f>
        <v>Prueba hidráulica</v>
      </c>
      <c r="B33" s="35" t="n">
        <v>1</v>
      </c>
      <c r="C33" s="35" t="n">
        <v>1</v>
      </c>
      <c r="D33" s="35" t="n">
        <v>1</v>
      </c>
      <c r="E33" s="35" t="n">
        <v>1</v>
      </c>
      <c r="F33" s="35" t="n">
        <v>1</v>
      </c>
      <c r="G33" s="35" t="n">
        <v>1</v>
      </c>
      <c r="H33" s="35" t="n">
        <v>1</v>
      </c>
      <c r="I33" s="35" t="n">
        <v>1</v>
      </c>
      <c r="J33" s="35" t="n">
        <v>1</v>
      </c>
      <c r="K33" s="35" t="n">
        <v>1</v>
      </c>
    </row>
    <row r="34" customFormat="false" ht="14.25" hidden="false" customHeight="true" outlineLevel="0" collapsed="false">
      <c r="A34" s="12" t="str">
        <f aca="false">parametros_carros!$B$30</f>
        <v>Secado</v>
      </c>
      <c r="B34" s="35" t="n">
        <v>1</v>
      </c>
      <c r="C34" s="35" t="n">
        <v>1</v>
      </c>
      <c r="D34" s="35" t="n">
        <v>1</v>
      </c>
      <c r="E34" s="35" t="n">
        <v>1</v>
      </c>
      <c r="F34" s="35" t="n">
        <v>1</v>
      </c>
      <c r="G34" s="35" t="n">
        <v>1</v>
      </c>
      <c r="H34" s="35" t="n">
        <v>1</v>
      </c>
      <c r="I34" s="35" t="n">
        <v>1</v>
      </c>
      <c r="J34" s="35" t="n">
        <v>1</v>
      </c>
      <c r="K34" s="35" t="n">
        <v>1</v>
      </c>
    </row>
    <row r="35" customFormat="false" ht="14.25" hidden="false" customHeight="true" outlineLevel="0" collapsed="false">
      <c r="A35" s="12" t="str">
        <f aca="false">parametros_carros!$B$31</f>
        <v>Pulmón de despacho y carga a pintura</v>
      </c>
      <c r="B35" s="35" t="n">
        <v>1</v>
      </c>
      <c r="C35" s="35" t="n">
        <v>1</v>
      </c>
      <c r="D35" s="35" t="n">
        <v>1</v>
      </c>
      <c r="E35" s="35" t="n">
        <v>1</v>
      </c>
      <c r="F35" s="35" t="n">
        <v>1</v>
      </c>
      <c r="G35" s="35" t="n">
        <v>1</v>
      </c>
      <c r="H35" s="35" t="n">
        <v>1</v>
      </c>
      <c r="I35" s="35" t="n">
        <v>1</v>
      </c>
      <c r="J35" s="35" t="n">
        <v>1</v>
      </c>
      <c r="K35" s="35" t="n">
        <v>1</v>
      </c>
    </row>
    <row r="36" customFormat="false" ht="14.25" hidden="false" customHeight="true" outlineLevel="0" collapsed="false">
      <c r="A36" s="12" t="str">
        <f aca="false">parametros_carros!$B$32</f>
        <v>Recepción de pintados y cambio de juego</v>
      </c>
      <c r="B36" s="35" t="n">
        <v>1</v>
      </c>
      <c r="C36" s="35" t="n">
        <v>1</v>
      </c>
      <c r="D36" s="35" t="n">
        <v>1</v>
      </c>
      <c r="E36" s="35" t="n">
        <v>1</v>
      </c>
      <c r="F36" s="35" t="n">
        <v>1</v>
      </c>
      <c r="G36" s="35" t="n">
        <v>1</v>
      </c>
      <c r="H36" s="35" t="n">
        <v>1</v>
      </c>
      <c r="I36" s="35" t="n">
        <v>1</v>
      </c>
      <c r="J36" s="35" t="n">
        <v>1</v>
      </c>
      <c r="K36" s="35" t="n">
        <v>1</v>
      </c>
    </row>
    <row r="37" customFormat="false" ht="14.25" hidden="false" customHeight="true" outlineLevel="0" collapsed="false">
      <c r="A37" s="12" t="str">
        <f aca="false">parametros_carros!$B$33</f>
        <v>Carga de polvo y presurización</v>
      </c>
      <c r="B37" s="35" t="n">
        <v>1</v>
      </c>
      <c r="C37" s="35" t="n">
        <v>1</v>
      </c>
      <c r="D37" s="35" t="n">
        <v>1</v>
      </c>
      <c r="E37" s="35" t="n">
        <v>1</v>
      </c>
      <c r="F37" s="35" t="n">
        <v>1</v>
      </c>
      <c r="G37" s="35" t="n">
        <v>1</v>
      </c>
      <c r="H37" s="35" t="n">
        <v>1</v>
      </c>
      <c r="I37" s="35" t="n">
        <v>1</v>
      </c>
      <c r="J37" s="35" t="n">
        <v>1</v>
      </c>
      <c r="K37" s="35" t="n">
        <v>1</v>
      </c>
    </row>
    <row r="38" customFormat="false" ht="14.25" hidden="false" customHeight="true" outlineLevel="0" collapsed="false">
      <c r="A38" s="12" t="str">
        <f aca="false">parametros_carros!$B$34</f>
        <v>Montaje, manga, precinto y etiquetado</v>
      </c>
      <c r="B38" s="35" t="n">
        <v>1</v>
      </c>
      <c r="C38" s="35" t="n">
        <v>1</v>
      </c>
      <c r="D38" s="35" t="n">
        <v>1</v>
      </c>
      <c r="E38" s="35" t="n">
        <v>1</v>
      </c>
      <c r="F38" s="35" t="n">
        <v>1</v>
      </c>
      <c r="G38" s="35" t="n">
        <v>1</v>
      </c>
      <c r="H38" s="35" t="n">
        <v>1</v>
      </c>
      <c r="I38" s="35" t="n">
        <v>1</v>
      </c>
      <c r="J38" s="35" t="n">
        <v>1</v>
      </c>
      <c r="K38" s="35" t="n">
        <v>1</v>
      </c>
    </row>
    <row r="39" customFormat="false" ht="14.25" hidden="false" customHeight="true" outlineLevel="0" collapsed="false">
      <c r="A39" s="12" t="str">
        <f aca="false">parametros_carros!$B$35</f>
        <v>Calidad: pérdidas, inspección final, liberación y ensayos de lote</v>
      </c>
      <c r="B39" s="35" t="n">
        <v>1</v>
      </c>
      <c r="C39" s="35" t="n">
        <v>1</v>
      </c>
      <c r="D39" s="35" t="n">
        <v>1</v>
      </c>
      <c r="E39" s="35" t="n">
        <v>1</v>
      </c>
      <c r="F39" s="35" t="n">
        <v>1</v>
      </c>
      <c r="G39" s="35" t="n">
        <v>1</v>
      </c>
      <c r="H39" s="35" t="n">
        <v>1</v>
      </c>
      <c r="I39" s="35" t="n">
        <v>1</v>
      </c>
      <c r="J39" s="35" t="n">
        <v>1</v>
      </c>
      <c r="K39" s="35" t="n">
        <v>1</v>
      </c>
    </row>
    <row r="40" customFormat="false" ht="14.25" hidden="false" customHeight="true" outlineLevel="0" collapsed="false">
      <c r="A40" s="12" t="str">
        <f aca="false">parametros_carros!$B$36</f>
        <v>Depósito de producto terminado y despacho</v>
      </c>
      <c r="B40" s="35" t="n">
        <v>1</v>
      </c>
      <c r="C40" s="35" t="n">
        <v>1</v>
      </c>
      <c r="D40" s="35" t="n">
        <v>1</v>
      </c>
      <c r="E40" s="35" t="n">
        <v>1</v>
      </c>
      <c r="F40" s="35" t="n">
        <v>1</v>
      </c>
      <c r="G40" s="35" t="n">
        <v>1</v>
      </c>
      <c r="H40" s="35" t="n">
        <v>1</v>
      </c>
      <c r="I40" s="35" t="n">
        <v>1</v>
      </c>
      <c r="J40" s="35" t="n">
        <v>1</v>
      </c>
      <c r="K40" s="35" t="n">
        <v>1</v>
      </c>
    </row>
    <row r="41" customFormat="false" ht="14.25" hidden="false" customHeight="true" outlineLevel="0" collapsed="false">
      <c r="A41" s="14" t="s">
        <v>273</v>
      </c>
      <c r="B41" s="55" t="n">
        <f aca="false">SUM(B23:B40)</f>
        <v>18</v>
      </c>
      <c r="C41" s="55" t="n">
        <f aca="false">SUM(C23:C40)</f>
        <v>18</v>
      </c>
      <c r="D41" s="55" t="n">
        <f aca="false">SUM(D23:D40)</f>
        <v>18</v>
      </c>
      <c r="E41" s="55" t="n">
        <f aca="false">SUM(E23:E40)</f>
        <v>18</v>
      </c>
      <c r="F41" s="55" t="n">
        <f aca="false">SUM(F23:F40)</f>
        <v>18</v>
      </c>
      <c r="G41" s="55" t="n">
        <f aca="false">SUM(G23:G40)</f>
        <v>18</v>
      </c>
      <c r="H41" s="55" t="n">
        <f aca="false">SUM(H23:H40)</f>
        <v>18</v>
      </c>
      <c r="I41" s="55" t="n">
        <f aca="false">SUM(I23:I40)</f>
        <v>18</v>
      </c>
      <c r="J41" s="55" t="n">
        <f aca="false">SUM(J23:J40)</f>
        <v>18</v>
      </c>
      <c r="K41" s="55" t="n">
        <f aca="false">SUM(K23:K40)</f>
        <v>18</v>
      </c>
    </row>
    <row r="42" customFormat="false" ht="14.25" hidden="false" customHeight="true" outlineLevel="0" collapsed="false"/>
    <row r="43" customFormat="false" ht="14.25" hidden="false" customHeight="true" outlineLevel="0" collapsed="false">
      <c r="A43" s="11" t="s">
        <v>274</v>
      </c>
      <c r="B43" s="11" t="n">
        <v>2026</v>
      </c>
      <c r="C43" s="11" t="n">
        <v>2027</v>
      </c>
      <c r="D43" s="11" t="n">
        <v>2028</v>
      </c>
      <c r="E43" s="11" t="n">
        <v>2029</v>
      </c>
      <c r="F43" s="11" t="n">
        <v>2030</v>
      </c>
      <c r="G43" s="11" t="n">
        <v>2031</v>
      </c>
      <c r="H43" s="11" t="n">
        <v>2032</v>
      </c>
      <c r="I43" s="11" t="n">
        <v>2033</v>
      </c>
      <c r="J43" s="11" t="n">
        <v>2034</v>
      </c>
      <c r="K43" s="11" t="n">
        <v>2035</v>
      </c>
    </row>
    <row r="44" customFormat="false" ht="14.25" hidden="false" customHeight="true" outlineLevel="0" collapsed="false">
      <c r="A44" s="12" t="str">
        <f aca="false">parametros_carros!$B$19</f>
        <v>Recepción de materia prima</v>
      </c>
      <c r="B44" s="35" t="n">
        <v>1</v>
      </c>
      <c r="C44" s="35" t="n">
        <v>1</v>
      </c>
      <c r="D44" s="35" t="n">
        <v>1</v>
      </c>
      <c r="E44" s="35" t="n">
        <v>1</v>
      </c>
      <c r="F44" s="35" t="n">
        <v>1</v>
      </c>
      <c r="G44" s="35" t="n">
        <v>1</v>
      </c>
      <c r="H44" s="35" t="n">
        <v>1</v>
      </c>
      <c r="I44" s="35" t="n">
        <v>1</v>
      </c>
      <c r="J44" s="35" t="n">
        <v>1</v>
      </c>
      <c r="K44" s="35" t="n">
        <v>1</v>
      </c>
    </row>
    <row r="45" customFormat="false" ht="14.25" hidden="false" customHeight="true" outlineLevel="0" collapsed="false">
      <c r="A45" s="12" t="str">
        <f aca="false">parametros_carros!$B$20</f>
        <v>Corte de chapa (guillotina)</v>
      </c>
      <c r="B45" s="35" t="n">
        <v>1</v>
      </c>
      <c r="C45" s="35" t="n">
        <v>1</v>
      </c>
      <c r="D45" s="35" t="n">
        <v>1</v>
      </c>
      <c r="E45" s="35" t="n">
        <v>1</v>
      </c>
      <c r="F45" s="35" t="n">
        <v>1</v>
      </c>
      <c r="G45" s="35" t="n">
        <v>1</v>
      </c>
      <c r="H45" s="35" t="n">
        <v>1</v>
      </c>
      <c r="I45" s="35" t="n">
        <v>1</v>
      </c>
      <c r="J45" s="35" t="n">
        <v>1</v>
      </c>
      <c r="K45" s="35" t="n">
        <v>1</v>
      </c>
    </row>
    <row r="46" customFormat="false" ht="14.25" hidden="false" customHeight="true" outlineLevel="0" collapsed="false">
      <c r="A46" s="12" t="str">
        <f aca="false">parametros_carros!$B$21</f>
        <v>Marcado del cuerpo</v>
      </c>
      <c r="B46" s="35" t="n">
        <v>1</v>
      </c>
      <c r="C46" s="35" t="n">
        <v>1</v>
      </c>
      <c r="D46" s="35" t="n">
        <v>1</v>
      </c>
      <c r="E46" s="35" t="n">
        <v>1</v>
      </c>
      <c r="F46" s="35" t="n">
        <v>1</v>
      </c>
      <c r="G46" s="35" t="n">
        <v>1</v>
      </c>
      <c r="H46" s="35" t="n">
        <v>1</v>
      </c>
      <c r="I46" s="35" t="n">
        <v>1</v>
      </c>
      <c r="J46" s="35" t="n">
        <v>1</v>
      </c>
      <c r="K46" s="35" t="n">
        <v>1</v>
      </c>
    </row>
    <row r="47" customFormat="false" ht="14.25" hidden="false" customHeight="true" outlineLevel="0" collapsed="false">
      <c r="A47" s="12" t="str">
        <f aca="false">parametros_carros!$B$22</f>
        <v>Cilindrado</v>
      </c>
      <c r="B47" s="35" t="n">
        <v>1</v>
      </c>
      <c r="C47" s="35" t="n">
        <v>1</v>
      </c>
      <c r="D47" s="35" t="n">
        <v>1</v>
      </c>
      <c r="E47" s="35" t="n">
        <v>1</v>
      </c>
      <c r="F47" s="35" t="n">
        <v>1</v>
      </c>
      <c r="G47" s="35" t="n">
        <v>1</v>
      </c>
      <c r="H47" s="35" t="n">
        <v>1</v>
      </c>
      <c r="I47" s="35" t="n">
        <v>1</v>
      </c>
      <c r="J47" s="35" t="n">
        <v>1</v>
      </c>
      <c r="K47" s="35" t="n">
        <v>1</v>
      </c>
    </row>
    <row r="48" customFormat="false" ht="14.25" hidden="false" customHeight="true" outlineLevel="0" collapsed="false">
      <c r="A48" s="12" t="str">
        <f aca="false">parametros_carros!$B$23</f>
        <v>Punteo del cuerpo</v>
      </c>
      <c r="B48" s="35" t="n">
        <v>1</v>
      </c>
      <c r="C48" s="35" t="n">
        <v>1</v>
      </c>
      <c r="D48" s="35" t="n">
        <v>1</v>
      </c>
      <c r="E48" s="35" t="n">
        <v>1</v>
      </c>
      <c r="F48" s="35" t="n">
        <v>1</v>
      </c>
      <c r="G48" s="35" t="n">
        <v>1</v>
      </c>
      <c r="H48" s="35" t="n">
        <v>1</v>
      </c>
      <c r="I48" s="35" t="n">
        <v>1</v>
      </c>
      <c r="J48" s="35" t="n">
        <v>1</v>
      </c>
      <c r="K48" s="35" t="n">
        <v>1</v>
      </c>
    </row>
    <row r="49" customFormat="false" ht="14.25" hidden="false" customHeight="true" outlineLevel="0" collapsed="false">
      <c r="A49" s="12" t="str">
        <f aca="false">parametros_carros!$B$24</f>
        <v>Soldadura longitudinal</v>
      </c>
      <c r="B49" s="35" t="n">
        <v>1</v>
      </c>
      <c r="C49" s="35" t="n">
        <v>1</v>
      </c>
      <c r="D49" s="35" t="n">
        <v>1</v>
      </c>
      <c r="E49" s="35" t="n">
        <v>1</v>
      </c>
      <c r="F49" s="35" t="n">
        <v>1</v>
      </c>
      <c r="G49" s="35" t="n">
        <v>1</v>
      </c>
      <c r="H49" s="35" t="n">
        <v>1</v>
      </c>
      <c r="I49" s="35" t="n">
        <v>1</v>
      </c>
      <c r="J49" s="35" t="n">
        <v>1</v>
      </c>
      <c r="K49" s="35" t="n">
        <v>1</v>
      </c>
    </row>
    <row r="50" customFormat="false" ht="14.25" hidden="false" customHeight="true" outlineLevel="0" collapsed="false">
      <c r="A50" s="12" t="str">
        <f aca="false">parametros_carros!$B$25</f>
        <v>Soldadura de cupla en la cúpula</v>
      </c>
      <c r="B50" s="35" t="n">
        <v>1</v>
      </c>
      <c r="C50" s="35" t="n">
        <v>1</v>
      </c>
      <c r="D50" s="35" t="n">
        <v>1</v>
      </c>
      <c r="E50" s="35" t="n">
        <v>1</v>
      </c>
      <c r="F50" s="35" t="n">
        <v>1</v>
      </c>
      <c r="G50" s="35" t="n">
        <v>1</v>
      </c>
      <c r="H50" s="35" t="n">
        <v>1</v>
      </c>
      <c r="I50" s="35" t="n">
        <v>1</v>
      </c>
      <c r="J50" s="35" t="n">
        <v>1</v>
      </c>
      <c r="K50" s="35" t="n">
        <v>1</v>
      </c>
    </row>
    <row r="51" customFormat="false" ht="14.25" hidden="false" customHeight="true" outlineLevel="0" collapsed="false">
      <c r="A51" s="12" t="str">
        <f aca="false">parametros_carros!$B$26</f>
        <v>Armado y soldadura circunferencial</v>
      </c>
      <c r="B51" s="35" t="n">
        <v>1</v>
      </c>
      <c r="C51" s="35" t="n">
        <v>1</v>
      </c>
      <c r="D51" s="35" t="n">
        <v>1</v>
      </c>
      <c r="E51" s="35" t="n">
        <v>1</v>
      </c>
      <c r="F51" s="35" t="n">
        <v>1</v>
      </c>
      <c r="G51" s="35" t="n">
        <v>1</v>
      </c>
      <c r="H51" s="35" t="n">
        <v>1</v>
      </c>
      <c r="I51" s="35" t="n">
        <v>1</v>
      </c>
      <c r="J51" s="35" t="n">
        <v>1</v>
      </c>
      <c r="K51" s="35" t="n">
        <v>1</v>
      </c>
    </row>
    <row r="52" customFormat="false" ht="14.25" hidden="false" customHeight="true" outlineLevel="0" collapsed="false">
      <c r="A52" s="12" t="str">
        <f aca="false">parametros_carros!$B$27</f>
        <v>Soldadura de accesorios</v>
      </c>
      <c r="B52" s="35" t="n">
        <v>1</v>
      </c>
      <c r="C52" s="35" t="n">
        <v>1</v>
      </c>
      <c r="D52" s="35" t="n">
        <v>1</v>
      </c>
      <c r="E52" s="35" t="n">
        <v>1</v>
      </c>
      <c r="F52" s="35" t="n">
        <v>1</v>
      </c>
      <c r="G52" s="35" t="n">
        <v>1</v>
      </c>
      <c r="H52" s="35" t="n">
        <v>1</v>
      </c>
      <c r="I52" s="35" t="n">
        <v>1</v>
      </c>
      <c r="J52" s="35" t="n">
        <v>1</v>
      </c>
      <c r="K52" s="35" t="n">
        <v>1</v>
      </c>
    </row>
    <row r="53" customFormat="false" ht="14.25" hidden="false" customHeight="true" outlineLevel="0" collapsed="false">
      <c r="A53" s="12" t="str">
        <f aca="false">parametros_carros!$B$28</f>
        <v>Fabricación de accesorios</v>
      </c>
      <c r="B53" s="35" t="n">
        <v>1</v>
      </c>
      <c r="C53" s="35" t="n">
        <v>1</v>
      </c>
      <c r="D53" s="35" t="n">
        <v>1</v>
      </c>
      <c r="E53" s="35" t="n">
        <v>1</v>
      </c>
      <c r="F53" s="35" t="n">
        <v>1</v>
      </c>
      <c r="G53" s="35" t="n">
        <v>1</v>
      </c>
      <c r="H53" s="35" t="n">
        <v>1</v>
      </c>
      <c r="I53" s="35" t="n">
        <v>1</v>
      </c>
      <c r="J53" s="35" t="n">
        <v>1</v>
      </c>
      <c r="K53" s="35" t="n">
        <v>1</v>
      </c>
    </row>
    <row r="54" customFormat="false" ht="14.25" hidden="false" customHeight="true" outlineLevel="0" collapsed="false">
      <c r="A54" s="12" t="str">
        <f aca="false">parametros_carros!$B$29</f>
        <v>Prueba hidráulica</v>
      </c>
      <c r="B54" s="35" t="n">
        <v>1</v>
      </c>
      <c r="C54" s="35" t="n">
        <v>1</v>
      </c>
      <c r="D54" s="35" t="n">
        <v>1</v>
      </c>
      <c r="E54" s="35" t="n">
        <v>1</v>
      </c>
      <c r="F54" s="35" t="n">
        <v>1</v>
      </c>
      <c r="G54" s="35" t="n">
        <v>1</v>
      </c>
      <c r="H54" s="35" t="n">
        <v>1</v>
      </c>
      <c r="I54" s="35" t="n">
        <v>1</v>
      </c>
      <c r="J54" s="35" t="n">
        <v>1</v>
      </c>
      <c r="K54" s="35" t="n">
        <v>1</v>
      </c>
    </row>
    <row r="55" customFormat="false" ht="14.25" hidden="false" customHeight="true" outlineLevel="0" collapsed="false">
      <c r="A55" s="12" t="str">
        <f aca="false">parametros_carros!$B$30</f>
        <v>Secado</v>
      </c>
      <c r="B55" s="35" t="n">
        <v>1</v>
      </c>
      <c r="C55" s="35" t="n">
        <v>1</v>
      </c>
      <c r="D55" s="35" t="n">
        <v>1</v>
      </c>
      <c r="E55" s="35" t="n">
        <v>1</v>
      </c>
      <c r="F55" s="35" t="n">
        <v>1</v>
      </c>
      <c r="G55" s="35" t="n">
        <v>1</v>
      </c>
      <c r="H55" s="35" t="n">
        <v>1</v>
      </c>
      <c r="I55" s="35" t="n">
        <v>1</v>
      </c>
      <c r="J55" s="35" t="n">
        <v>1</v>
      </c>
      <c r="K55" s="35" t="n">
        <v>1</v>
      </c>
    </row>
    <row r="56" customFormat="false" ht="14.25" hidden="false" customHeight="true" outlineLevel="0" collapsed="false">
      <c r="A56" s="12" t="str">
        <f aca="false">parametros_carros!$B$31</f>
        <v>Pulmón de despacho y carga a pintura</v>
      </c>
      <c r="B56" s="35" t="n">
        <v>1</v>
      </c>
      <c r="C56" s="35" t="n">
        <v>1</v>
      </c>
      <c r="D56" s="35" t="n">
        <v>1</v>
      </c>
      <c r="E56" s="35" t="n">
        <v>1</v>
      </c>
      <c r="F56" s="35" t="n">
        <v>1</v>
      </c>
      <c r="G56" s="35" t="n">
        <v>1</v>
      </c>
      <c r="H56" s="35" t="n">
        <v>1</v>
      </c>
      <c r="I56" s="35" t="n">
        <v>1</v>
      </c>
      <c r="J56" s="35" t="n">
        <v>1</v>
      </c>
      <c r="K56" s="35" t="n">
        <v>1</v>
      </c>
    </row>
    <row r="57" customFormat="false" ht="14.25" hidden="false" customHeight="true" outlineLevel="0" collapsed="false">
      <c r="A57" s="12" t="str">
        <f aca="false">parametros_carros!$B$32</f>
        <v>Recepción de pintados y cambio de juego</v>
      </c>
      <c r="B57" s="35" t="n">
        <v>1</v>
      </c>
      <c r="C57" s="35" t="n">
        <v>1</v>
      </c>
      <c r="D57" s="35" t="n">
        <v>1</v>
      </c>
      <c r="E57" s="35" t="n">
        <v>1</v>
      </c>
      <c r="F57" s="35" t="n">
        <v>1</v>
      </c>
      <c r="G57" s="35" t="n">
        <v>1</v>
      </c>
      <c r="H57" s="35" t="n">
        <v>1</v>
      </c>
      <c r="I57" s="35" t="n">
        <v>1</v>
      </c>
      <c r="J57" s="35" t="n">
        <v>1</v>
      </c>
      <c r="K57" s="35" t="n">
        <v>1</v>
      </c>
    </row>
    <row r="58" customFormat="false" ht="14.25" hidden="false" customHeight="true" outlineLevel="0" collapsed="false">
      <c r="A58" s="12" t="str">
        <f aca="false">parametros_carros!$B$33</f>
        <v>Carga de polvo y presurización</v>
      </c>
      <c r="B58" s="35" t="n">
        <v>1</v>
      </c>
      <c r="C58" s="35" t="n">
        <v>1</v>
      </c>
      <c r="D58" s="35" t="n">
        <v>1</v>
      </c>
      <c r="E58" s="35" t="n">
        <v>1</v>
      </c>
      <c r="F58" s="35" t="n">
        <v>1</v>
      </c>
      <c r="G58" s="35" t="n">
        <v>1</v>
      </c>
      <c r="H58" s="35" t="n">
        <v>1</v>
      </c>
      <c r="I58" s="35" t="n">
        <v>1</v>
      </c>
      <c r="J58" s="35" t="n">
        <v>1</v>
      </c>
      <c r="K58" s="35" t="n">
        <v>1</v>
      </c>
    </row>
    <row r="59" customFormat="false" ht="14.25" hidden="false" customHeight="true" outlineLevel="0" collapsed="false">
      <c r="A59" s="12" t="str">
        <f aca="false">parametros_carros!$B$34</f>
        <v>Montaje, manga, precinto y etiquetado</v>
      </c>
      <c r="B59" s="35" t="n">
        <v>1</v>
      </c>
      <c r="C59" s="35" t="n">
        <v>1</v>
      </c>
      <c r="D59" s="35" t="n">
        <v>1</v>
      </c>
      <c r="E59" s="35" t="n">
        <v>1</v>
      </c>
      <c r="F59" s="35" t="n">
        <v>1</v>
      </c>
      <c r="G59" s="35" t="n">
        <v>1</v>
      </c>
      <c r="H59" s="35" t="n">
        <v>1</v>
      </c>
      <c r="I59" s="35" t="n">
        <v>1</v>
      </c>
      <c r="J59" s="35" t="n">
        <v>1</v>
      </c>
      <c r="K59" s="35" t="n">
        <v>1</v>
      </c>
    </row>
    <row r="60" customFormat="false" ht="14.25" hidden="false" customHeight="true" outlineLevel="0" collapsed="false">
      <c r="A60" s="12" t="str">
        <f aca="false">parametros_carros!$B$35</f>
        <v>Calidad: pérdidas, inspección final, liberación y ensayos de lote</v>
      </c>
      <c r="B60" s="35" t="n">
        <v>1</v>
      </c>
      <c r="C60" s="35" t="n">
        <v>1</v>
      </c>
      <c r="D60" s="35" t="n">
        <v>1</v>
      </c>
      <c r="E60" s="35" t="n">
        <v>1</v>
      </c>
      <c r="F60" s="35" t="n">
        <v>1</v>
      </c>
      <c r="G60" s="35" t="n">
        <v>1</v>
      </c>
      <c r="H60" s="35" t="n">
        <v>1</v>
      </c>
      <c r="I60" s="35" t="n">
        <v>1</v>
      </c>
      <c r="J60" s="35" t="n">
        <v>1</v>
      </c>
      <c r="K60" s="35" t="n">
        <v>1</v>
      </c>
    </row>
    <row r="61" customFormat="false" ht="14.25" hidden="false" customHeight="true" outlineLevel="0" collapsed="false">
      <c r="A61" s="12" t="str">
        <f aca="false">parametros_carros!$B$36</f>
        <v>Depósito de producto terminado y despacho</v>
      </c>
      <c r="B61" s="35" t="n">
        <v>1</v>
      </c>
      <c r="C61" s="35" t="n">
        <v>1</v>
      </c>
      <c r="D61" s="35" t="n">
        <v>1</v>
      </c>
      <c r="E61" s="35" t="n">
        <v>1</v>
      </c>
      <c r="F61" s="35" t="n">
        <v>1</v>
      </c>
      <c r="G61" s="35" t="n">
        <v>1</v>
      </c>
      <c r="H61" s="35" t="n">
        <v>1</v>
      </c>
      <c r="I61" s="35" t="n">
        <v>1</v>
      </c>
      <c r="J61" s="35" t="n">
        <v>1</v>
      </c>
      <c r="K61" s="35" t="n">
        <v>1</v>
      </c>
    </row>
    <row r="62" customFormat="false" ht="14.25" hidden="false" customHeight="true" outlineLevel="0" collapsed="false">
      <c r="A62" s="14" t="s">
        <v>275</v>
      </c>
      <c r="B62" s="55" t="n">
        <f aca="false">MAX(B44:B61)</f>
        <v>1</v>
      </c>
      <c r="C62" s="55" t="n">
        <f aca="false">MAX(C44:C61)</f>
        <v>1</v>
      </c>
      <c r="D62" s="55" t="n">
        <f aca="false">MAX(D44:D61)</f>
        <v>1</v>
      </c>
      <c r="E62" s="55" t="n">
        <f aca="false">MAX(E44:E61)</f>
        <v>1</v>
      </c>
      <c r="F62" s="55" t="n">
        <f aca="false">MAX(F44:F61)</f>
        <v>1</v>
      </c>
      <c r="G62" s="55" t="n">
        <f aca="false">MAX(G44:G61)</f>
        <v>1</v>
      </c>
      <c r="H62" s="55" t="n">
        <f aca="false">MAX(H44:H61)</f>
        <v>1</v>
      </c>
      <c r="I62" s="55" t="n">
        <f aca="false">MAX(I44:I61)</f>
        <v>1</v>
      </c>
      <c r="J62" s="55" t="n">
        <f aca="false">MAX(J44:J61)</f>
        <v>1</v>
      </c>
      <c r="K62" s="55" t="n">
        <f aca="false">MAX(K44:K61)</f>
        <v>1</v>
      </c>
    </row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conditionalFormatting sqref="B2:B19">
    <cfRule type="expression" priority="2" aboveAverage="0" equalAverage="0" bottom="0" percent="0" rank="0" text="" dxfId="0">
      <formula>B2&gt;$N$8</formula>
    </cfRule>
    <cfRule type="expression" priority="3" aboveAverage="0" equalAverage="0" bottom="0" percent="0" rank="0" text="" dxfId="1">
      <formula>B23=0</formula>
    </cfRule>
    <cfRule type="expression" priority="4" aboveAverage="0" equalAverage="0" bottom="0" percent="0" rank="0" text="" dxfId="2">
      <formula>B44&gt;1</formula>
    </cfRule>
    <cfRule type="expression" priority="5" aboveAverage="0" equalAverage="0" bottom="0" percent="0" rank="0" text="" dxfId="3">
      <formula>AND(B23&gt;1,$L2&lt;&gt;"Manual")</formula>
    </cfRule>
    <cfRule type="expression" priority="6" aboveAverage="0" equalAverage="0" bottom="0" percent="0" rank="0" text="" dxfId="4">
      <formula>AND(B23&gt;1,$L2="Manual")</formula>
    </cfRule>
  </conditionalFormatting>
  <conditionalFormatting sqref="C2:K19">
    <cfRule type="expression" priority="7" aboveAverage="0" equalAverage="0" bottom="0" percent="0" rank="0" text="" dxfId="0">
      <formula>C2&gt;$N$8</formula>
    </cfRule>
    <cfRule type="expression" priority="8" aboveAverage="0" equalAverage="0" bottom="0" percent="0" rank="0" text="" dxfId="1">
      <formula>C23=0</formula>
    </cfRule>
    <cfRule type="expression" priority="9" aboveAverage="0" equalAverage="0" bottom="0" percent="0" rank="0" text="" dxfId="2">
      <formula>C44&gt;B44</formula>
    </cfRule>
    <cfRule type="expression" priority="10" aboveAverage="0" equalAverage="0" bottom="0" percent="0" rank="0" text="" dxfId="3">
      <formula>AND(C23&gt;B23,$L2&lt;&gt;"Manual")</formula>
    </cfRule>
    <cfRule type="expression" priority="11" aboveAverage="0" equalAverage="0" bottom="0" percent="0" rank="0" text="" dxfId="4">
      <formula>AND(C23&gt;B23,$L2="Manual")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55"/>
    <col collapsed="false" customWidth="true" hidden="false" outlineLevel="0" max="5" min="4" style="1" width="34"/>
    <col collapsed="false" customWidth="true" hidden="false" outlineLevel="0" max="6" min="6" style="1" width="42"/>
    <col collapsed="false" customWidth="true" hidden="false" outlineLevel="0" max="7" min="7" style="1" width="24"/>
    <col collapsed="false" customWidth="true" hidden="false" outlineLevel="0" max="9" min="8" style="1" width="20"/>
    <col collapsed="false" customWidth="true" hidden="false" outlineLevel="0" max="10" min="10" style="1" width="16"/>
    <col collapsed="false" customWidth="true" hidden="false" outlineLevel="0" max="11" min="11" style="1" width="32"/>
    <col collapsed="false" customWidth="true" hidden="false" outlineLevel="0" max="26" min="12" style="1" width="8.86"/>
  </cols>
  <sheetData>
    <row r="1" customFormat="false" ht="14.25" hidden="false" customHeight="true" outlineLevel="0" collapsed="false">
      <c r="A1" s="56" t="s">
        <v>276</v>
      </c>
    </row>
    <row r="2" customFormat="false" ht="45" hidden="false" customHeight="true" outlineLevel="0" collapsed="false">
      <c r="A2" s="36" t="s">
        <v>277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customFormat="false" ht="14.25" hidden="false" customHeight="true" outlineLevel="0" collapsed="false"/>
    <row r="4" customFormat="false" ht="30" hidden="false" customHeight="true" outlineLevel="0" collapsed="false">
      <c r="A4" s="11" t="s">
        <v>122</v>
      </c>
      <c r="B4" s="11" t="s">
        <v>123</v>
      </c>
      <c r="C4" s="11" t="s">
        <v>278</v>
      </c>
      <c r="D4" s="11" t="s">
        <v>279</v>
      </c>
      <c r="E4" s="11" t="s">
        <v>280</v>
      </c>
      <c r="F4" s="11" t="s">
        <v>281</v>
      </c>
      <c r="G4" s="11" t="s">
        <v>282</v>
      </c>
      <c r="H4" s="11" t="s">
        <v>283</v>
      </c>
      <c r="I4" s="11" t="s">
        <v>284</v>
      </c>
      <c r="J4" s="11" t="s">
        <v>285</v>
      </c>
      <c r="K4" s="11" t="s">
        <v>286</v>
      </c>
    </row>
    <row r="5" customFormat="false" ht="105" hidden="false" customHeight="true" outlineLevel="0" collapsed="false">
      <c r="A5" s="29" t="s">
        <v>137</v>
      </c>
      <c r="B5" s="30" t="s">
        <v>138</v>
      </c>
      <c r="C5" s="21" t="s">
        <v>287</v>
      </c>
      <c r="D5" s="21" t="s">
        <v>288</v>
      </c>
      <c r="E5" s="21" t="s">
        <v>289</v>
      </c>
      <c r="F5" s="21" t="s">
        <v>290</v>
      </c>
      <c r="G5" s="21" t="s">
        <v>291</v>
      </c>
      <c r="H5" s="21" t="s">
        <v>292</v>
      </c>
      <c r="I5" s="21" t="s">
        <v>293</v>
      </c>
      <c r="J5" s="21" t="s">
        <v>294</v>
      </c>
      <c r="K5" s="21" t="s">
        <v>295</v>
      </c>
    </row>
    <row r="6" customFormat="false" ht="90" hidden="false" customHeight="true" outlineLevel="0" collapsed="false">
      <c r="A6" s="29" t="s">
        <v>142</v>
      </c>
      <c r="B6" s="30" t="s">
        <v>296</v>
      </c>
      <c r="C6" s="21" t="s">
        <v>297</v>
      </c>
      <c r="D6" s="21" t="s">
        <v>298</v>
      </c>
      <c r="E6" s="21" t="s">
        <v>299</v>
      </c>
      <c r="F6" s="21" t="s">
        <v>300</v>
      </c>
      <c r="G6" s="21" t="s">
        <v>301</v>
      </c>
      <c r="H6" s="21" t="s">
        <v>302</v>
      </c>
      <c r="I6" s="21" t="s">
        <v>303</v>
      </c>
      <c r="J6" s="21" t="s">
        <v>304</v>
      </c>
      <c r="K6" s="21" t="s">
        <v>305</v>
      </c>
    </row>
    <row r="7" customFormat="false" ht="45" hidden="false" customHeight="true" outlineLevel="0" collapsed="false">
      <c r="A7" s="29" t="s">
        <v>146</v>
      </c>
      <c r="B7" s="30" t="s">
        <v>147</v>
      </c>
      <c r="C7" s="21" t="s">
        <v>306</v>
      </c>
      <c r="D7" s="21" t="s">
        <v>307</v>
      </c>
      <c r="E7" s="21" t="s">
        <v>308</v>
      </c>
      <c r="F7" s="21" t="s">
        <v>309</v>
      </c>
      <c r="G7" s="21" t="s">
        <v>310</v>
      </c>
      <c r="H7" s="21" t="s">
        <v>311</v>
      </c>
      <c r="I7" s="21" t="s">
        <v>312</v>
      </c>
      <c r="J7" s="21" t="s">
        <v>313</v>
      </c>
      <c r="K7" s="21" t="s">
        <v>314</v>
      </c>
    </row>
    <row r="8" customFormat="false" ht="60" hidden="false" customHeight="true" outlineLevel="0" collapsed="false">
      <c r="A8" s="29" t="s">
        <v>150</v>
      </c>
      <c r="B8" s="30" t="s">
        <v>151</v>
      </c>
      <c r="C8" s="21" t="s">
        <v>315</v>
      </c>
      <c r="D8" s="21" t="s">
        <v>316</v>
      </c>
      <c r="E8" s="21" t="s">
        <v>317</v>
      </c>
      <c r="F8" s="21" t="s">
        <v>318</v>
      </c>
      <c r="G8" s="21" t="s">
        <v>319</v>
      </c>
      <c r="H8" s="21" t="s">
        <v>320</v>
      </c>
      <c r="I8" s="21" t="s">
        <v>321</v>
      </c>
      <c r="J8" s="21" t="s">
        <v>322</v>
      </c>
      <c r="K8" s="21" t="s">
        <v>323</v>
      </c>
    </row>
    <row r="9" customFormat="false" ht="60" hidden="false" customHeight="true" outlineLevel="0" collapsed="false">
      <c r="A9" s="29" t="s">
        <v>154</v>
      </c>
      <c r="B9" s="30" t="s">
        <v>155</v>
      </c>
      <c r="C9" s="21" t="s">
        <v>324</v>
      </c>
      <c r="D9" s="21" t="s">
        <v>325</v>
      </c>
      <c r="E9" s="21" t="s">
        <v>326</v>
      </c>
      <c r="F9" s="21" t="s">
        <v>327</v>
      </c>
      <c r="G9" s="21" t="s">
        <v>328</v>
      </c>
      <c r="H9" s="21" t="s">
        <v>329</v>
      </c>
      <c r="I9" s="21" t="s">
        <v>330</v>
      </c>
      <c r="J9" s="21" t="s">
        <v>331</v>
      </c>
      <c r="K9" s="21" t="s">
        <v>332</v>
      </c>
    </row>
    <row r="10" customFormat="false" ht="60" hidden="false" customHeight="true" outlineLevel="0" collapsed="false">
      <c r="A10" s="29" t="s">
        <v>158</v>
      </c>
      <c r="B10" s="30" t="s">
        <v>159</v>
      </c>
      <c r="C10" s="21" t="s">
        <v>333</v>
      </c>
      <c r="D10" s="21" t="s">
        <v>334</v>
      </c>
      <c r="E10" s="21" t="s">
        <v>335</v>
      </c>
      <c r="F10" s="21" t="s">
        <v>336</v>
      </c>
      <c r="G10" s="21" t="s">
        <v>328</v>
      </c>
      <c r="H10" s="21" t="s">
        <v>337</v>
      </c>
      <c r="I10" s="21" t="s">
        <v>338</v>
      </c>
      <c r="J10" s="21" t="s">
        <v>339</v>
      </c>
      <c r="K10" s="21" t="s">
        <v>340</v>
      </c>
    </row>
    <row r="11" customFormat="false" ht="60" hidden="false" customHeight="true" outlineLevel="0" collapsed="false">
      <c r="A11" s="29" t="s">
        <v>162</v>
      </c>
      <c r="B11" s="30" t="s">
        <v>163</v>
      </c>
      <c r="C11" s="21" t="s">
        <v>341</v>
      </c>
      <c r="D11" s="21" t="s">
        <v>342</v>
      </c>
      <c r="E11" s="21" t="s">
        <v>343</v>
      </c>
      <c r="F11" s="21" t="s">
        <v>344</v>
      </c>
      <c r="G11" s="21" t="s">
        <v>345</v>
      </c>
      <c r="H11" s="21" t="s">
        <v>346</v>
      </c>
      <c r="I11" s="21" t="s">
        <v>347</v>
      </c>
      <c r="J11" s="21" t="s">
        <v>348</v>
      </c>
      <c r="K11" s="21" t="s">
        <v>349</v>
      </c>
    </row>
    <row r="12" customFormat="false" ht="60" hidden="false" customHeight="true" outlineLevel="0" collapsed="false">
      <c r="A12" s="29" t="s">
        <v>166</v>
      </c>
      <c r="B12" s="30" t="s">
        <v>167</v>
      </c>
      <c r="C12" s="21" t="s">
        <v>350</v>
      </c>
      <c r="D12" s="21" t="s">
        <v>351</v>
      </c>
      <c r="E12" s="21" t="s">
        <v>352</v>
      </c>
      <c r="F12" s="21" t="s">
        <v>353</v>
      </c>
      <c r="G12" s="21" t="s">
        <v>354</v>
      </c>
      <c r="H12" s="21" t="s">
        <v>355</v>
      </c>
      <c r="I12" s="21" t="s">
        <v>356</v>
      </c>
      <c r="J12" s="21" t="s">
        <v>331</v>
      </c>
      <c r="K12" s="21" t="s">
        <v>357</v>
      </c>
    </row>
    <row r="13" customFormat="false" ht="60" hidden="false" customHeight="true" outlineLevel="0" collapsed="false">
      <c r="A13" s="29" t="s">
        <v>170</v>
      </c>
      <c r="B13" s="30" t="s">
        <v>171</v>
      </c>
      <c r="C13" s="21" t="s">
        <v>358</v>
      </c>
      <c r="D13" s="21" t="s">
        <v>359</v>
      </c>
      <c r="E13" s="21" t="s">
        <v>360</v>
      </c>
      <c r="F13" s="21" t="s">
        <v>361</v>
      </c>
      <c r="G13" s="21" t="s">
        <v>362</v>
      </c>
      <c r="H13" s="21" t="s">
        <v>363</v>
      </c>
      <c r="I13" s="21" t="s">
        <v>364</v>
      </c>
      <c r="J13" s="21" t="s">
        <v>365</v>
      </c>
      <c r="K13" s="21" t="s">
        <v>366</v>
      </c>
    </row>
    <row r="14" customFormat="false" ht="60" hidden="false" customHeight="true" outlineLevel="0" collapsed="false">
      <c r="A14" s="29" t="s">
        <v>174</v>
      </c>
      <c r="B14" s="30" t="s">
        <v>175</v>
      </c>
      <c r="C14" s="21" t="s">
        <v>367</v>
      </c>
      <c r="D14" s="21" t="s">
        <v>368</v>
      </c>
      <c r="E14" s="21" t="s">
        <v>369</v>
      </c>
      <c r="F14" s="21" t="s">
        <v>370</v>
      </c>
      <c r="G14" s="21" t="s">
        <v>371</v>
      </c>
      <c r="H14" s="21" t="s">
        <v>372</v>
      </c>
      <c r="I14" s="21" t="s">
        <v>373</v>
      </c>
      <c r="J14" s="21" t="s">
        <v>374</v>
      </c>
      <c r="K14" s="21" t="s">
        <v>375</v>
      </c>
    </row>
    <row r="15" customFormat="false" ht="60" hidden="false" customHeight="true" outlineLevel="0" collapsed="false">
      <c r="A15" s="29" t="s">
        <v>178</v>
      </c>
      <c r="B15" s="30" t="s">
        <v>179</v>
      </c>
      <c r="C15" s="21" t="s">
        <v>376</v>
      </c>
      <c r="D15" s="21" t="s">
        <v>377</v>
      </c>
      <c r="E15" s="21" t="s">
        <v>378</v>
      </c>
      <c r="F15" s="21" t="s">
        <v>379</v>
      </c>
      <c r="G15" s="21" t="s">
        <v>380</v>
      </c>
      <c r="H15" s="21" t="s">
        <v>381</v>
      </c>
      <c r="I15" s="21" t="s">
        <v>382</v>
      </c>
      <c r="J15" s="21" t="s">
        <v>339</v>
      </c>
      <c r="K15" s="21" t="s">
        <v>383</v>
      </c>
    </row>
    <row r="16" customFormat="false" ht="45" hidden="false" customHeight="true" outlineLevel="0" collapsed="false">
      <c r="A16" s="29" t="s">
        <v>182</v>
      </c>
      <c r="B16" s="30" t="s">
        <v>183</v>
      </c>
      <c r="C16" s="21" t="s">
        <v>384</v>
      </c>
      <c r="D16" s="21" t="s">
        <v>385</v>
      </c>
      <c r="E16" s="21" t="s">
        <v>386</v>
      </c>
      <c r="F16" s="21" t="s">
        <v>387</v>
      </c>
      <c r="G16" s="21" t="s">
        <v>380</v>
      </c>
      <c r="H16" s="21" t="s">
        <v>388</v>
      </c>
      <c r="I16" s="21" t="s">
        <v>389</v>
      </c>
      <c r="J16" s="21" t="s">
        <v>390</v>
      </c>
      <c r="K16" s="21" t="s">
        <v>391</v>
      </c>
    </row>
    <row r="17" customFormat="false" ht="45" hidden="false" customHeight="true" outlineLevel="0" collapsed="false">
      <c r="A17" s="29" t="s">
        <v>186</v>
      </c>
      <c r="B17" s="30" t="s">
        <v>392</v>
      </c>
      <c r="C17" s="21" t="s">
        <v>393</v>
      </c>
      <c r="D17" s="21" t="s">
        <v>394</v>
      </c>
      <c r="E17" s="21" t="s">
        <v>395</v>
      </c>
      <c r="F17" s="21" t="s">
        <v>396</v>
      </c>
      <c r="G17" s="21" t="s">
        <v>397</v>
      </c>
      <c r="H17" s="21" t="s">
        <v>398</v>
      </c>
      <c r="I17" s="21" t="s">
        <v>399</v>
      </c>
      <c r="J17" s="21" t="s">
        <v>400</v>
      </c>
      <c r="K17" s="21" t="s">
        <v>401</v>
      </c>
    </row>
    <row r="18" customFormat="false" ht="60" hidden="false" customHeight="true" outlineLevel="0" collapsed="false">
      <c r="A18" s="29" t="s">
        <v>190</v>
      </c>
      <c r="B18" s="30" t="s">
        <v>402</v>
      </c>
      <c r="C18" s="21" t="s">
        <v>403</v>
      </c>
      <c r="D18" s="21" t="s">
        <v>404</v>
      </c>
      <c r="E18" s="21" t="s">
        <v>405</v>
      </c>
      <c r="F18" s="21" t="s">
        <v>406</v>
      </c>
      <c r="G18" s="21" t="s">
        <v>407</v>
      </c>
      <c r="H18" s="21" t="s">
        <v>408</v>
      </c>
      <c r="I18" s="21" t="s">
        <v>409</v>
      </c>
      <c r="J18" s="21" t="s">
        <v>410</v>
      </c>
      <c r="K18" s="21" t="s">
        <v>411</v>
      </c>
    </row>
    <row r="19" customFormat="false" ht="60" hidden="false" customHeight="true" outlineLevel="0" collapsed="false">
      <c r="A19" s="29" t="s">
        <v>412</v>
      </c>
      <c r="B19" s="30" t="s">
        <v>413</v>
      </c>
      <c r="C19" s="21" t="s">
        <v>414</v>
      </c>
      <c r="D19" s="21" t="s">
        <v>415</v>
      </c>
      <c r="E19" s="21" t="s">
        <v>416</v>
      </c>
      <c r="F19" s="21" t="s">
        <v>417</v>
      </c>
      <c r="G19" s="21" t="s">
        <v>418</v>
      </c>
      <c r="H19" s="21" t="s">
        <v>419</v>
      </c>
      <c r="I19" s="21" t="s">
        <v>420</v>
      </c>
      <c r="J19" s="21" t="s">
        <v>421</v>
      </c>
      <c r="K19" s="21" t="s">
        <v>422</v>
      </c>
    </row>
    <row r="20" customFormat="false" ht="30" hidden="false" customHeight="true" outlineLevel="0" collapsed="false">
      <c r="A20" s="29" t="s">
        <v>423</v>
      </c>
      <c r="B20" s="30" t="s">
        <v>424</v>
      </c>
      <c r="C20" s="21" t="s">
        <v>425</v>
      </c>
      <c r="D20" s="21" t="s">
        <v>426</v>
      </c>
      <c r="E20" s="21" t="s">
        <v>427</v>
      </c>
      <c r="F20" s="21" t="s">
        <v>428</v>
      </c>
      <c r="G20" s="21" t="s">
        <v>429</v>
      </c>
      <c r="H20" s="21" t="s">
        <v>430</v>
      </c>
      <c r="I20" s="21" t="s">
        <v>431</v>
      </c>
      <c r="J20" s="21" t="s">
        <v>432</v>
      </c>
      <c r="K20" s="21" t="s">
        <v>433</v>
      </c>
    </row>
    <row r="21" customFormat="false" ht="45" hidden="false" customHeight="true" outlineLevel="0" collapsed="false">
      <c r="A21" s="29" t="s">
        <v>434</v>
      </c>
      <c r="B21" s="30" t="s">
        <v>435</v>
      </c>
      <c r="C21" s="21" t="s">
        <v>436</v>
      </c>
      <c r="D21" s="21" t="s">
        <v>437</v>
      </c>
      <c r="E21" s="21" t="s">
        <v>438</v>
      </c>
      <c r="F21" s="21" t="s">
        <v>439</v>
      </c>
      <c r="G21" s="21" t="s">
        <v>440</v>
      </c>
      <c r="H21" s="21" t="s">
        <v>441</v>
      </c>
      <c r="I21" s="21" t="s">
        <v>442</v>
      </c>
      <c r="J21" s="21" t="s">
        <v>313</v>
      </c>
      <c r="K21" s="21" t="s">
        <v>443</v>
      </c>
    </row>
    <row r="22" customFormat="false" ht="45" hidden="false" customHeight="true" outlineLevel="0" collapsed="false">
      <c r="A22" s="29" t="s">
        <v>207</v>
      </c>
      <c r="B22" s="30" t="s">
        <v>444</v>
      </c>
      <c r="C22" s="21" t="s">
        <v>445</v>
      </c>
      <c r="D22" s="21" t="s">
        <v>446</v>
      </c>
      <c r="E22" s="21" t="s">
        <v>447</v>
      </c>
      <c r="F22" s="21" t="s">
        <v>448</v>
      </c>
      <c r="G22" s="21" t="s">
        <v>449</v>
      </c>
      <c r="H22" s="21" t="s">
        <v>450</v>
      </c>
      <c r="I22" s="21" t="s">
        <v>451</v>
      </c>
      <c r="J22" s="21" t="s">
        <v>452</v>
      </c>
      <c r="K22" s="21" t="s">
        <v>453</v>
      </c>
    </row>
    <row r="23" customFormat="false" ht="75" hidden="false" customHeight="true" outlineLevel="0" collapsed="false">
      <c r="A23" s="29" t="s">
        <v>454</v>
      </c>
      <c r="B23" s="30" t="s">
        <v>455</v>
      </c>
      <c r="C23" s="21" t="s">
        <v>456</v>
      </c>
      <c r="D23" s="21" t="s">
        <v>457</v>
      </c>
      <c r="E23" s="21" t="s">
        <v>458</v>
      </c>
      <c r="F23" s="21" t="s">
        <v>459</v>
      </c>
      <c r="G23" s="21" t="s">
        <v>460</v>
      </c>
      <c r="H23" s="21" t="s">
        <v>461</v>
      </c>
      <c r="I23" s="21" t="s">
        <v>462</v>
      </c>
      <c r="J23" s="21" t="s">
        <v>463</v>
      </c>
      <c r="K23" s="21" t="s">
        <v>464</v>
      </c>
    </row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>
      <c r="A26" s="26" t="s">
        <v>465</v>
      </c>
    </row>
    <row r="27" customFormat="false" ht="14.25" hidden="false" customHeight="true" outlineLevel="0" collapsed="false">
      <c r="A27" s="11"/>
      <c r="B27" s="11" t="s">
        <v>466</v>
      </c>
      <c r="C27" s="11" t="s">
        <v>467</v>
      </c>
      <c r="D27" s="11" t="s">
        <v>468</v>
      </c>
      <c r="E27" s="11" t="s">
        <v>469</v>
      </c>
    </row>
    <row r="28" customFormat="false" ht="30" hidden="false" customHeight="true" outlineLevel="0" collapsed="false">
      <c r="B28" s="21" t="s">
        <v>310</v>
      </c>
      <c r="C28" s="21" t="s">
        <v>470</v>
      </c>
      <c r="D28" s="29" t="s">
        <v>471</v>
      </c>
      <c r="E28" s="29" t="s">
        <v>472</v>
      </c>
    </row>
    <row r="29" customFormat="false" ht="30" hidden="false" customHeight="true" outlineLevel="0" collapsed="false">
      <c r="B29" s="21" t="s">
        <v>473</v>
      </c>
      <c r="C29" s="21" t="s">
        <v>474</v>
      </c>
      <c r="D29" s="29" t="s">
        <v>475</v>
      </c>
      <c r="E29" s="29" t="s">
        <v>476</v>
      </c>
    </row>
    <row r="30" customFormat="false" ht="30" hidden="false" customHeight="true" outlineLevel="0" collapsed="false">
      <c r="B30" s="21" t="s">
        <v>328</v>
      </c>
      <c r="C30" s="21" t="s">
        <v>477</v>
      </c>
      <c r="D30" s="29" t="s">
        <v>478</v>
      </c>
      <c r="E30" s="29" t="s">
        <v>479</v>
      </c>
    </row>
    <row r="31" customFormat="false" ht="30" hidden="false" customHeight="true" outlineLevel="0" collapsed="false">
      <c r="B31" s="21" t="s">
        <v>480</v>
      </c>
      <c r="C31" s="21" t="s">
        <v>166</v>
      </c>
      <c r="D31" s="29" t="s">
        <v>481</v>
      </c>
      <c r="E31" s="29" t="s">
        <v>482</v>
      </c>
    </row>
    <row r="32" customFormat="false" ht="30" hidden="false" customHeight="true" outlineLevel="0" collapsed="false">
      <c r="B32" s="21" t="s">
        <v>483</v>
      </c>
      <c r="C32" s="21" t="s">
        <v>170</v>
      </c>
      <c r="D32" s="29" t="s">
        <v>484</v>
      </c>
      <c r="E32" s="29" t="s">
        <v>485</v>
      </c>
    </row>
    <row r="33" customFormat="false" ht="30" hidden="false" customHeight="true" outlineLevel="0" collapsed="false">
      <c r="B33" s="21" t="s">
        <v>380</v>
      </c>
      <c r="C33" s="21" t="s">
        <v>486</v>
      </c>
      <c r="D33" s="29" t="s">
        <v>487</v>
      </c>
      <c r="E33" s="29" t="s">
        <v>488</v>
      </c>
    </row>
    <row r="34" customFormat="false" ht="30" hidden="false" customHeight="true" outlineLevel="0" collapsed="false">
      <c r="B34" s="21" t="s">
        <v>489</v>
      </c>
      <c r="C34" s="21" t="s">
        <v>490</v>
      </c>
      <c r="D34" s="29" t="s">
        <v>491</v>
      </c>
      <c r="E34" s="29" t="s">
        <v>492</v>
      </c>
    </row>
    <row r="35" customFormat="false" ht="30" hidden="false" customHeight="true" outlineLevel="0" collapsed="false">
      <c r="B35" s="21" t="s">
        <v>493</v>
      </c>
      <c r="C35" s="21" t="s">
        <v>494</v>
      </c>
      <c r="D35" s="29" t="s">
        <v>495</v>
      </c>
      <c r="E35" s="29" t="s">
        <v>496</v>
      </c>
    </row>
    <row r="36" customFormat="false" ht="30" hidden="false" customHeight="true" outlineLevel="0" collapsed="false">
      <c r="B36" s="21" t="s">
        <v>429</v>
      </c>
      <c r="C36" s="21" t="s">
        <v>497</v>
      </c>
      <c r="D36" s="29" t="s">
        <v>498</v>
      </c>
      <c r="E36" s="29" t="s">
        <v>485</v>
      </c>
    </row>
    <row r="37" customFormat="false" ht="30" hidden="false" customHeight="true" outlineLevel="0" collapsed="false">
      <c r="B37" s="21" t="s">
        <v>499</v>
      </c>
      <c r="C37" s="21" t="s">
        <v>500</v>
      </c>
      <c r="D37" s="29" t="s">
        <v>501</v>
      </c>
      <c r="E37" s="29" t="s">
        <v>502</v>
      </c>
    </row>
    <row r="38" customFormat="false" ht="14.25" hidden="false" customHeight="true" outlineLevel="0" collapsed="false">
      <c r="B38" s="19" t="s">
        <v>503</v>
      </c>
    </row>
    <row r="39" customFormat="false" ht="14.25" hidden="false" customHeight="true" outlineLevel="0" collapsed="false"/>
    <row r="40" customFormat="false" ht="14.25" hidden="false" customHeight="true" outlineLevel="0" collapsed="false">
      <c r="A40" s="26" t="s">
        <v>504</v>
      </c>
    </row>
    <row r="41" customFormat="false" ht="30" hidden="false" customHeight="true" outlineLevel="0" collapsed="false">
      <c r="B41" s="14" t="s">
        <v>505</v>
      </c>
      <c r="C41" s="21" t="s">
        <v>506</v>
      </c>
      <c r="D41" s="21"/>
      <c r="E41" s="21"/>
      <c r="F41" s="21"/>
    </row>
    <row r="42" customFormat="false" ht="30" hidden="false" customHeight="true" outlineLevel="0" collapsed="false">
      <c r="B42" s="14" t="s">
        <v>507</v>
      </c>
      <c r="C42" s="21" t="s">
        <v>508</v>
      </c>
      <c r="D42" s="21"/>
      <c r="E42" s="21"/>
      <c r="F42" s="21"/>
    </row>
    <row r="43" customFormat="false" ht="30" hidden="false" customHeight="true" outlineLevel="0" collapsed="false">
      <c r="B43" s="14" t="s">
        <v>509</v>
      </c>
      <c r="C43" s="21" t="s">
        <v>510</v>
      </c>
      <c r="D43" s="21"/>
      <c r="E43" s="21"/>
      <c r="F43" s="21"/>
    </row>
    <row r="44" customFormat="false" ht="30" hidden="false" customHeight="true" outlineLevel="0" collapsed="false">
      <c r="B44" s="14" t="s">
        <v>511</v>
      </c>
      <c r="C44" s="21" t="s">
        <v>512</v>
      </c>
      <c r="D44" s="21"/>
      <c r="E44" s="21"/>
      <c r="F44" s="21"/>
    </row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5">
    <mergeCell ref="A2:K2"/>
    <mergeCell ref="C41:F41"/>
    <mergeCell ref="C42:F42"/>
    <mergeCell ref="C43:F43"/>
    <mergeCell ref="C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2026-10-14T20:12:57Z</dcterms:created>
  <dc:creator>openpyxl</dc:creator>
  <dc:description/>
  <dc:language>en-US</dc:language>
  <cp:lastModifiedBy/>
  <dcterms:modified xsi:type="dcterms:W3CDTF">2026-10-21T02:13:41Z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