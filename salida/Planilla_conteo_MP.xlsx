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hapa" sheetId="2" state="visible" r:id="rId2"/>
    <sheet xmlns:r="http://schemas.openxmlformats.org/officeDocument/2006/relationships" name="Flejes" sheetId="3" state="visible" r:id="rId3"/>
    <sheet xmlns:r="http://schemas.openxmlformats.org/officeDocument/2006/relationships" name="Cantilever" sheetId="4" state="visible" r:id="rId4"/>
    <sheet xmlns:r="http://schemas.openxmlformats.org/officeDocument/2006/relationships" name="Polvo" sheetId="5" state="visible" r:id="rId5"/>
    <sheet xmlns:r="http://schemas.openxmlformats.org/officeDocument/2006/relationships" name="Embalaje" sheetId="6" state="visible" r:id="rId6"/>
    <sheet xmlns:r="http://schemas.openxmlformats.org/officeDocument/2006/relationships" name="Identificación" sheetId="7" state="visible" r:id="rId7"/>
    <sheet xmlns:r="http://schemas.openxmlformats.org/officeDocument/2006/relationships" name="Insumos manuales" sheetId="8" state="visible" r:id="rId8"/>
    <sheet xmlns:r="http://schemas.openxmlformats.org/officeDocument/2006/relationships" name="Insumos recargas" sheetId="9" state="visible" r:id="rId9"/>
    <sheet xmlns:r="http://schemas.openxmlformats.org/officeDocument/2006/relationships" name="Soldadura" sheetId="10" state="visible" r:id="rId10"/>
    <sheet xmlns:r="http://schemas.openxmlformats.org/officeDocument/2006/relationships" name="Gases" sheetId="11" state="visible" r:id="rId11"/>
    <sheet xmlns:r="http://schemas.openxmlformats.org/officeDocument/2006/relationships" name="Casquetes" sheetId="12" state="visible" r:id="rId12"/>
    <sheet xmlns:r="http://schemas.openxmlformats.org/officeDocument/2006/relationships" name="Insumos carros" sheetId="13" state="visible" r:id="rId13"/>
    <sheet xmlns:r="http://schemas.openxmlformats.org/officeDocument/2006/relationships" name="Reventa (PT)" sheetId="14" state="visible" r:id="rId14"/>
  </sheets>
  <definedNames>
    <definedName name="_xlnm.Print_Titles" localSheetId="1">'Chapa'!$5:$5</definedName>
    <definedName name="_xlnm.Print_Titles" localSheetId="2">'Flejes'!$5:$5</definedName>
    <definedName name="_xlnm.Print_Titles" localSheetId="3">'Cantilever'!$5:$5</definedName>
    <definedName name="_xlnm.Print_Titles" localSheetId="4">'Polvo'!$5:$5</definedName>
    <definedName name="_xlnm.Print_Titles" localSheetId="5">'Embalaje'!$5:$5</definedName>
    <definedName name="_xlnm.Print_Titles" localSheetId="6">'Identificación'!$5:$5</definedName>
    <definedName name="_xlnm.Print_Titles" localSheetId="7">'Insumos manuales'!$5:$5</definedName>
    <definedName name="_xlnm.Print_Titles" localSheetId="8">'Insumos recargas'!$5:$5</definedName>
    <definedName name="_xlnm.Print_Titles" localSheetId="9">'Soldadura'!$5:$5</definedName>
    <definedName name="_xlnm.Print_Titles" localSheetId="10">'Gases'!$5:$5</definedName>
    <definedName name="_xlnm.Print_Titles" localSheetId="11">'Casquetes'!$5:$5</definedName>
    <definedName name="_xlnm.Print_Titles" localSheetId="12">'Insumos carros'!$5:$5</definedName>
    <definedName name="_xlnm.Print_Titles" localSheetId="13">'Reventa (PT)'!$5:$5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"/>
    <numFmt numFmtId="166" formatCode="#,##0.000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color rgb="0059626D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E7E9EC"/>
      </patternFill>
    </fill>
  </fills>
  <borders count="5">
    <border>
      <left/>
      <right/>
      <top/>
      <bottom/>
      <diagonal/>
    </border>
    <border>
      <left style="thin">
        <color rgb="00B9BEC5"/>
      </left>
      <right style="thin">
        <color rgb="00B9BEC5"/>
      </right>
      <top style="thin">
        <color rgb="00B9BEC5"/>
      </top>
      <bottom style="thin">
        <color rgb="00B9BEC5"/>
      </bottom>
    </border>
    <border>
      <left/>
      <right/>
      <top style="thin">
        <color rgb="00B9BEC5"/>
      </top>
      <bottom/>
      <diagonal/>
    </border>
    <border>
      <left/>
      <right style="thin">
        <color rgb="00B9BEC5"/>
      </right>
      <top style="thin">
        <color rgb="00B9BEC5"/>
      </top>
      <bottom/>
      <diagonal/>
    </border>
    <border>
      <left/>
      <right style="thin">
        <color rgb="00B9BEC5"/>
      </right>
      <top style="thin">
        <color rgb="00B9BEC5"/>
      </top>
      <bottom style="thin">
        <color rgb="00B9BEC5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2" borderId="1" pivotButton="0" quotePrefix="0" xfId="0"/>
    <xf numFmtId="0" fontId="0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center" wrapText="1"/>
    </xf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165" fontId="2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Planilla de conteo del almacén de MP · FLAMA 2035</t>
        </is>
      </c>
    </row>
    <row r="2">
      <c r="A2" s="2" t="inlineStr"/>
    </row>
    <row r="3">
      <c r="A3" s="2" t="inlineStr">
        <is>
          <t>1. Imprimir la hoja del almacén que toca contar (o abrirla en la tablet).</t>
        </is>
      </c>
    </row>
    <row r="4">
      <c r="A4" s="2" t="inlineStr">
        <is>
          <t>2. Recorrer los lugares en el orden de la hoja y anotar en «Stock contado» lo que hay, en la unidad de la columna UM.</t>
        </is>
      </c>
    </row>
    <row r="5">
      <c r="A5" s="2" t="inlineStr">
        <is>
          <t>3. Completar la fecha y quién contó, arriba de la tabla.</t>
        </is>
      </c>
    </row>
    <row r="6">
      <c r="A6" s="2" t="inlineStr">
        <is>
          <t>4. En la app: Kanban de MP › Cargar planilla › elegir este archivo. La app lee todas las hojas y mueve las tarjetas.</t>
        </is>
      </c>
    </row>
    <row r="7">
      <c r="A7" s="2" t="inlineStr"/>
    </row>
    <row r="8">
      <c r="A8" s="2" t="inlineStr">
        <is>
          <t>Solo se completan las celdas amarillas. «Estado» se calcula solo contra la seguridad y el punto de pedido; «Días de</t>
        </is>
      </c>
    </row>
    <row r="9">
      <c r="A9" s="2" t="inlineStr">
        <is>
          <t>stock» = stock contado ÷ consumo por día (Stock_MP, col. G: consumo del año ÷ 240 días hábiles).</t>
        </is>
      </c>
    </row>
    <row r="10">
      <c r="A10" s="2" t="inlineStr">
        <is>
          <t>Cuándo se cuenta: en cada revisión periódica del proveedor (cada 10, 20 o 60 días hábiles según el código, Word de MP</t>
        </is>
      </c>
    </row>
    <row r="11">
      <c r="A11" s="2" t="inlineStr">
        <is>
          <t>sección 9) y siempre que un retiro deje una tarjeta cerca del punto de pedido.</t>
        </is>
      </c>
    </row>
    <row r="12">
      <c r="A12" s="2" t="inlineStr"/>
    </row>
    <row r="13">
      <c r="A13" s="2" t="inlineStr">
        <is>
          <t>Fuentes: MP-FLAMA2035.xlsx › Stock_MP (L seguridad, K consumo mientras llega, S máximo, U lugares) y Almacenes (lugares).</t>
        </is>
      </c>
    </row>
    <row r="14">
      <c r="A14" s="2" t="inlineStr">
        <is>
          <t>Punto de pedido = L + K. Lugar de cada código: criterio de reparto explicado en el Word de trazabilidad (sección 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7" customWidth="1" min="4" max="4"/>
    <col width="26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1" customWidth="1" min="11" max="11"/>
    <col width="16" customWidth="1" min="12" max="12"/>
    <col width="28" customWidth="1" min="13" max="13"/>
  </cols>
  <sheetData>
    <row r="1">
      <c r="A1" s="1" t="inlineStr">
        <is>
          <t>Conteo · Chapa (pilas en el piso)</t>
        </is>
      </c>
    </row>
    <row r="2">
      <c r="A2" s="3" t="inlineStr">
        <is>
          <t>Apilado en bloque · 7 lugares · Paquete sobre sus 3 tacos, una pila por formato hasta el alto que permiten el autoelevador, el piso y la estabilidad (Chapa_fleje sección 2). Se toma el de arriba; al recibir, el remanente pasa arriba (FIFO por colada)</t>
        </is>
      </c>
    </row>
    <row r="3">
      <c r="A3" s="4" t="inlineStr">
        <is>
          <t>Fecha del conteo</t>
        </is>
      </c>
      <c r="B3" s="5" t="n"/>
      <c r="C3" s="4" t="inlineStr">
        <is>
          <t>Contó</t>
        </is>
      </c>
      <c r="D3" s="6" t="n"/>
      <c r="E3" s="7" t="n"/>
    </row>
    <row r="5">
      <c r="A5" s="8" t="inlineStr">
        <is>
          <t>Lugar</t>
        </is>
      </c>
      <c r="B5" s="8" t="inlineStr">
        <is>
          <t>Código</t>
        </is>
      </c>
      <c r="C5" s="8" t="inlineStr">
        <is>
          <t>Material</t>
        </is>
      </c>
      <c r="D5" s="8" t="inlineStr">
        <is>
          <t>UM</t>
        </is>
      </c>
      <c r="E5" s="8" t="inlineStr">
        <is>
          <t>Se compra en</t>
        </is>
      </c>
      <c r="F5" s="8" t="inlineStr">
        <is>
          <t>Seguridad</t>
        </is>
      </c>
      <c r="G5" s="8" t="inlineStr">
        <is>
          <t>Punto de pedido</t>
        </is>
      </c>
      <c r="H5" s="8" t="inlineStr">
        <is>
          <t>Máximo</t>
        </is>
      </c>
      <c r="I5" s="8" t="inlineStr">
        <is>
          <t>Consumo por día</t>
        </is>
      </c>
      <c r="J5" s="8" t="inlineStr">
        <is>
          <t>Stock contado</t>
        </is>
      </c>
      <c r="K5" s="8" t="inlineStr">
        <is>
          <t>Días de stock</t>
        </is>
      </c>
      <c r="L5" s="8" t="inlineStr">
        <is>
          <t>Estado</t>
        </is>
      </c>
      <c r="M5" s="8" t="inlineStr">
        <is>
          <t>Observaciones</t>
        </is>
      </c>
    </row>
    <row r="6">
      <c r="A6" s="9" t="inlineStr">
        <is>
          <t>CH-01</t>
        </is>
      </c>
      <c r="B6" s="9" t="inlineStr">
        <is>
          <t>MP-01</t>
        </is>
      </c>
      <c r="C6" s="9" t="inlineStr">
        <is>
          <t>Hoja LAF 0,9 × 1220 × 2440 mm (cuerpo 1 kg)</t>
        </is>
      </c>
      <c r="D6" s="9" t="inlineStr">
        <is>
          <t>hoja</t>
        </is>
      </c>
      <c r="E6" s="9" t="inlineStr">
        <is>
          <t>Paquete de 21 hojas (1 tanda)</t>
        </is>
      </c>
      <c r="F6" s="10" t="n">
        <v>21</v>
      </c>
      <c r="G6" s="10" t="n">
        <v>208.6</v>
      </c>
      <c r="H6" s="10" t="n">
        <v>441</v>
      </c>
      <c r="I6" s="11" t="n">
        <v>18.7612</v>
      </c>
      <c r="J6" s="12" t="n"/>
      <c r="K6" s="10">
        <f>IFERROR(IF(OR(J6="",I6=0),"",J6/I6),"")</f>
        <v/>
      </c>
      <c r="L6" s="13">
        <f>IF(J6="","",IF(J6&lt;=F6,"BAJO SEGURIDAD",IF(J6&lt;=G6,"PEDIR","OK")))</f>
        <v/>
      </c>
      <c r="M6" s="9" t="n"/>
    </row>
    <row r="7">
      <c r="A7" s="9" t="inlineStr">
        <is>
          <t>CH-02</t>
        </is>
      </c>
      <c r="B7" s="9" t="inlineStr">
        <is>
          <t>MP-02</t>
        </is>
      </c>
      <c r="C7" s="9" t="inlineStr">
        <is>
          <t>Hoja LAF 1,25 × 1220 × 2440 mm</t>
        </is>
      </c>
      <c r="D7" s="9" t="inlineStr">
        <is>
          <t>hoja</t>
        </is>
      </c>
      <c r="E7" s="9" t="inlineStr">
        <is>
          <t>Paquete de 19 hojas (1 tanda)</t>
        </is>
      </c>
      <c r="F7" s="10" t="n">
        <v>19</v>
      </c>
      <c r="G7" s="10" t="n">
        <v>37.5</v>
      </c>
      <c r="H7" s="10" t="n">
        <v>76</v>
      </c>
      <c r="I7" s="11" t="n">
        <v>2.18</v>
      </c>
      <c r="J7" s="12" t="n"/>
      <c r="K7" s="10">
        <f>IFERROR(IF(OR(J7="",I7=0),"",J7/I7),"")</f>
        <v/>
      </c>
      <c r="L7" s="13">
        <f>IF(J7="","",IF(J7&lt;=F7,"BAJO SEGURIDAD",IF(J7&lt;=G7,"PEDIR","OK")))</f>
        <v/>
      </c>
      <c r="M7" s="9" t="n"/>
    </row>
    <row r="8">
      <c r="A8" s="9" t="inlineStr">
        <is>
          <t>CH-03, CH-04</t>
        </is>
      </c>
      <c r="B8" s="9" t="inlineStr">
        <is>
          <t>MP-03</t>
        </is>
      </c>
      <c r="C8" s="9" t="inlineStr">
        <is>
          <t>Hoja LAF 1,6 × 1000 × 2000 mm</t>
        </is>
      </c>
      <c r="D8" s="9" t="inlineStr">
        <is>
          <t>hoja</t>
        </is>
      </c>
      <c r="E8" s="9" t="inlineStr">
        <is>
          <t>Paquete de 24 hojas (1 tanda)</t>
        </is>
      </c>
      <c r="F8" s="10" t="n">
        <v>72</v>
      </c>
      <c r="G8" s="10" t="n">
        <v>260.5</v>
      </c>
      <c r="H8" s="10" t="n">
        <v>552</v>
      </c>
      <c r="I8" s="11" t="n">
        <v>22.1711</v>
      </c>
      <c r="J8" s="12" t="n"/>
      <c r="K8" s="10">
        <f>IFERROR(IF(OR(J8="",I8=0),"",J8/I8),"")</f>
        <v/>
      </c>
      <c r="L8" s="13">
        <f>IF(J8="","",IF(J8&lt;=F8,"BAJO SEGURIDAD",IF(J8&lt;=G8,"PEDIR","OK")))</f>
        <v/>
      </c>
      <c r="M8" s="9" t="n"/>
    </row>
    <row r="9">
      <c r="A9" s="9" t="inlineStr">
        <is>
          <t>CH-05</t>
        </is>
      </c>
      <c r="B9" s="9" t="inlineStr">
        <is>
          <t>MP-04</t>
        </is>
      </c>
      <c r="C9" s="9" t="inlineStr">
        <is>
          <t>Hoja LAF 2,0 × 1500 × 3000 mm</t>
        </is>
      </c>
      <c r="D9" s="9" t="inlineStr">
        <is>
          <t>hoja</t>
        </is>
      </c>
      <c r="E9" s="9" t="inlineStr">
        <is>
          <t>Paquete de 19 hojas (1 tanda)</t>
        </is>
      </c>
      <c r="F9" s="10" t="n">
        <v>19</v>
      </c>
      <c r="G9" s="10" t="n">
        <v>28.1</v>
      </c>
      <c r="H9" s="10" t="n">
        <v>57</v>
      </c>
      <c r="I9" s="11" t="n">
        <v>1.073</v>
      </c>
      <c r="J9" s="12" t="n"/>
      <c r="K9" s="10">
        <f>IFERROR(IF(OR(J9="",I9=0),"",J9/I9),"")</f>
        <v/>
      </c>
      <c r="L9" s="13">
        <f>IF(J9="","",IF(J9&lt;=F9,"BAJO SEGURIDAD",IF(J9&lt;=G9,"PEDIR","OK")))</f>
        <v/>
      </c>
      <c r="M9" s="9" t="n"/>
    </row>
    <row r="10">
      <c r="A10" s="9" t="inlineStr">
        <is>
          <t>CH-06</t>
        </is>
      </c>
      <c r="B10" s="9" t="inlineStr">
        <is>
          <t>MP-11</t>
        </is>
      </c>
      <c r="C10" s="9" t="inlineStr">
        <is>
          <t>Hoja LAC 3,2 × 1500 × 3000 mm</t>
        </is>
      </c>
      <c r="D10" s="9" t="inlineStr">
        <is>
          <t>hoja</t>
        </is>
      </c>
      <c r="E10" s="9" t="inlineStr">
        <is>
          <t>Paquete de 7 hojas (1 tanda)</t>
        </is>
      </c>
      <c r="F10" s="10" t="n">
        <v>7</v>
      </c>
      <c r="G10" s="10" t="n">
        <v>19.4</v>
      </c>
      <c r="H10" s="10" t="n">
        <v>42</v>
      </c>
      <c r="I10" s="11" t="n">
        <v>1.4563</v>
      </c>
      <c r="J10" s="12" t="n"/>
      <c r="K10" s="10">
        <f>IFERROR(IF(OR(J10="",I10=0),"",J10/I10),"")</f>
        <v/>
      </c>
      <c r="L10" s="13">
        <f>IF(J10="","",IF(J10&lt;=F10,"BAJO SEGURIDAD",IF(J10&lt;=G10,"PEDIR","OK")))</f>
        <v/>
      </c>
      <c r="M10" s="9" t="n"/>
    </row>
    <row r="11">
      <c r="A11" s="9" t="inlineStr">
        <is>
          <t>CH-07</t>
        </is>
      </c>
      <c r="B11" s="9" t="inlineStr">
        <is>
          <t>MP-12</t>
        </is>
      </c>
      <c r="C11" s="9" t="inlineStr">
        <is>
          <t>Hoja LAC 4,75 × 1500 × 3000 mm</t>
        </is>
      </c>
      <c r="D11" s="9" t="inlineStr">
        <is>
          <t>hoja</t>
        </is>
      </c>
      <c r="E11" s="9" t="inlineStr">
        <is>
          <t>Paquete de 3 hojas (1 tanda)</t>
        </is>
      </c>
      <c r="F11" s="10" t="n">
        <v>3</v>
      </c>
      <c r="G11" s="10" t="n">
        <v>8.9</v>
      </c>
      <c r="H11" s="10" t="n">
        <v>18</v>
      </c>
      <c r="I11" s="11" t="n">
        <v>0.6901</v>
      </c>
      <c r="J11" s="12" t="n"/>
      <c r="K11" s="10">
        <f>IFERROR(IF(OR(J11="",I11=0),"",J11/I11),"")</f>
        <v/>
      </c>
      <c r="L11" s="13">
        <f>IF(J11="","",IF(J11&lt;=F11,"BAJO SEGURIDAD",IF(J11&lt;=G11,"PEDIR","OK")))</f>
        <v/>
      </c>
      <c r="M11" s="9" t="n"/>
    </row>
  </sheetData>
  <mergeCells count="1">
    <mergeCell ref="D3:E3"/>
  </mergeCells>
  <dataValidations count="1">
    <dataValidation sqref="J6:J11" showDropDown="0" showInputMessage="0" showErrorMessage="0" allowBlank="1" error="El stock contado es un número mayor o igual a cero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7" customWidth="1" min="4" max="4"/>
    <col width="26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1" customWidth="1" min="11" max="11"/>
    <col width="16" customWidth="1" min="12" max="12"/>
    <col width="28" customWidth="1" min="13" max="13"/>
  </cols>
  <sheetData>
    <row r="1">
      <c r="A1" s="1" t="inlineStr">
        <is>
          <t>Conteo · Flejes (rack + volteador)</t>
        </is>
      </c>
    </row>
    <row r="2">
      <c r="A2" s="3" t="inlineStr">
        <is>
          <t>Rack selectivo 2.000 kg/nivel · 16 lugares · Rollos ojo al cielo, un código por pallet, con listones entre rollos. Los de más de 1.000 kg (5 kg) en el piso del rack; el resto arriba. La pinza giratoria arma el pallet en la zona de armado y el autoele</t>
        </is>
      </c>
    </row>
    <row r="3">
      <c r="A3" s="4" t="inlineStr">
        <is>
          <t>Fecha del conteo</t>
        </is>
      </c>
      <c r="B3" s="5" t="n"/>
      <c r="C3" s="4" t="inlineStr">
        <is>
          <t>Contó</t>
        </is>
      </c>
      <c r="D3" s="6" t="n"/>
      <c r="E3" s="7" t="n"/>
    </row>
    <row r="5">
      <c r="A5" s="8" t="inlineStr">
        <is>
          <t>Lugar</t>
        </is>
      </c>
      <c r="B5" s="8" t="inlineStr">
        <is>
          <t>Código</t>
        </is>
      </c>
      <c r="C5" s="8" t="inlineStr">
        <is>
          <t>Material</t>
        </is>
      </c>
      <c r="D5" s="8" t="inlineStr">
        <is>
          <t>UM</t>
        </is>
      </c>
      <c r="E5" s="8" t="inlineStr">
        <is>
          <t>Se compra en</t>
        </is>
      </c>
      <c r="F5" s="8" t="inlineStr">
        <is>
          <t>Seguridad</t>
        </is>
      </c>
      <c r="G5" s="8" t="inlineStr">
        <is>
          <t>Punto de pedido</t>
        </is>
      </c>
      <c r="H5" s="8" t="inlineStr">
        <is>
          <t>Máximo</t>
        </is>
      </c>
      <c r="I5" s="8" t="inlineStr">
        <is>
          <t>Consumo por día</t>
        </is>
      </c>
      <c r="J5" s="8" t="inlineStr">
        <is>
          <t>Stock contado</t>
        </is>
      </c>
      <c r="K5" s="8" t="inlineStr">
        <is>
          <t>Días de stock</t>
        </is>
      </c>
      <c r="L5" s="8" t="inlineStr">
        <is>
          <t>Estado</t>
        </is>
      </c>
      <c r="M5" s="8" t="inlineStr">
        <is>
          <t>Observaciones</t>
        </is>
      </c>
    </row>
    <row r="6">
      <c r="A6" s="9" t="inlineStr">
        <is>
          <t>FL01-1A, FL01-2A</t>
        </is>
      </c>
      <c r="B6" s="9" t="inlineStr">
        <is>
          <t>MP-05</t>
        </is>
      </c>
      <c r="C6" s="9" t="inlineStr">
        <is>
          <t>Fleje LAF 0,9 × 93,05 mm (cúpula 1 kg)</t>
        </is>
      </c>
      <c r="D6" s="9" t="inlineStr">
        <is>
          <t>kg</t>
        </is>
      </c>
      <c r="E6" s="9" t="inlineStr">
        <is>
          <t>Rollo de 218 kg (1 tanda)</t>
        </is>
      </c>
      <c r="F6" s="10" t="n">
        <v>217.7</v>
      </c>
      <c r="G6" s="10" t="n">
        <v>646.1</v>
      </c>
      <c r="H6" s="10" t="n">
        <v>1306.3</v>
      </c>
      <c r="I6" s="11" t="n">
        <v>50.3972</v>
      </c>
      <c r="J6" s="12" t="n"/>
      <c r="K6" s="10">
        <f>IFERROR(IF(OR(J6="",I6=0),"",J6/I6),"")</f>
        <v/>
      </c>
      <c r="L6" s="13">
        <f>IF(J6="","",IF(J6&lt;=F6,"BAJO SEGURIDAD",IF(J6&lt;=G6,"PEDIR","OK")))</f>
        <v/>
      </c>
      <c r="M6" s="9" t="n"/>
    </row>
    <row r="7">
      <c r="A7" s="9" t="inlineStr">
        <is>
          <t>FL01-3A, FL01-4A</t>
        </is>
      </c>
      <c r="B7" s="9" t="inlineStr">
        <is>
          <t>MP-13</t>
        </is>
      </c>
      <c r="C7" s="9" t="inlineStr">
        <is>
          <t>Fleje LAF 0,9 × 100,6 mm (fondo 1 kg)</t>
        </is>
      </c>
      <c r="D7" s="9" t="inlineStr">
        <is>
          <t>kg</t>
        </is>
      </c>
      <c r="E7" s="9" t="inlineStr">
        <is>
          <t>Rollo de 252 kg (1 tanda)</t>
        </is>
      </c>
      <c r="F7" s="10" t="n">
        <v>252.4</v>
      </c>
      <c r="G7" s="10" t="n">
        <v>749.1</v>
      </c>
      <c r="H7" s="10" t="n">
        <v>1514.7</v>
      </c>
      <c r="I7" s="11" t="n">
        <v>58.4358</v>
      </c>
      <c r="J7" s="12" t="n"/>
      <c r="K7" s="10">
        <f>IFERROR(IF(OR(J7="",I7=0),"",J7/I7),"")</f>
        <v/>
      </c>
      <c r="L7" s="13">
        <f>IF(J7="","",IF(J7&lt;=F7,"BAJO SEGURIDAD",IF(J7&lt;=G7,"PEDIR","OK")))</f>
        <v/>
      </c>
      <c r="M7" s="9" t="n"/>
    </row>
    <row r="8">
      <c r="A8" s="9" t="inlineStr">
        <is>
          <t>FL01-1B</t>
        </is>
      </c>
      <c r="B8" s="9" t="inlineStr">
        <is>
          <t>MP-06</t>
        </is>
      </c>
      <c r="C8" s="9" t="inlineStr">
        <is>
          <t>Fleje LAF 1,25 × 162,1 mm (cúpula 2,5 kg)</t>
        </is>
      </c>
      <c r="D8" s="9" t="inlineStr">
        <is>
          <t>kg</t>
        </is>
      </c>
      <c r="E8" s="9" t="inlineStr">
        <is>
          <t>Rollo de 258 kg (1 tanda)</t>
        </is>
      </c>
      <c r="F8" s="10" t="n">
        <v>257.5</v>
      </c>
      <c r="G8" s="10" t="n">
        <v>384.2</v>
      </c>
      <c r="H8" s="10" t="n">
        <v>515.1</v>
      </c>
      <c r="I8" s="11" t="n">
        <v>14.9043</v>
      </c>
      <c r="J8" s="12" t="n"/>
      <c r="K8" s="10">
        <f>IFERROR(IF(OR(J8="",I8=0),"",J8/I8),"")</f>
        <v/>
      </c>
      <c r="L8" s="13">
        <f>IF(J8="","",IF(J8&lt;=F8,"BAJO SEGURIDAD",IF(J8&lt;=G8,"PEDIR","OK")))</f>
        <v/>
      </c>
      <c r="M8" s="9" t="n"/>
    </row>
    <row r="9">
      <c r="A9" s="9" t="inlineStr">
        <is>
          <t>FL01-2B</t>
        </is>
      </c>
      <c r="B9" s="9" t="inlineStr">
        <is>
          <t>MP-14</t>
        </is>
      </c>
      <c r="C9" s="9" t="inlineStr">
        <is>
          <t>Fleje LAF 1,25 × 146,1 mm (fondo 2,5 kg)</t>
        </is>
      </c>
      <c r="D9" s="9" t="inlineStr">
        <is>
          <t>kg</t>
        </is>
      </c>
      <c r="E9" s="9" t="inlineStr">
        <is>
          <t>Rollo de 209 kg (1 tanda)</t>
        </is>
      </c>
      <c r="F9" s="10" t="n">
        <v>208.7</v>
      </c>
      <c r="G9" s="10" t="n">
        <v>311.3</v>
      </c>
      <c r="H9" s="10" t="n">
        <v>417.4</v>
      </c>
      <c r="I9" s="11" t="n">
        <v>12.0763</v>
      </c>
      <c r="J9" s="12" t="n"/>
      <c r="K9" s="10">
        <f>IFERROR(IF(OR(J9="",I9=0),"",J9/I9),"")</f>
        <v/>
      </c>
      <c r="L9" s="13">
        <f>IF(J9="","",IF(J9&lt;=F9,"BAJO SEGURIDAD",IF(J9&lt;=G9,"PEDIR","OK")))</f>
        <v/>
      </c>
      <c r="M9" s="9" t="n"/>
    </row>
    <row r="10">
      <c r="A10" s="9" t="inlineStr">
        <is>
          <t>FL01-3B, FL01-4B, FL02-1A</t>
        </is>
      </c>
      <c r="B10" s="9" t="inlineStr">
        <is>
          <t>MP-07</t>
        </is>
      </c>
      <c r="C10" s="9" t="inlineStr">
        <is>
          <t>Fleje LAF 1,6 × 204,2 mm (cúpula 5 kg)</t>
        </is>
      </c>
      <c r="D10" s="9" t="inlineStr">
        <is>
          <t>kg</t>
        </is>
      </c>
      <c r="E10" s="9" t="inlineStr">
        <is>
          <t>Rollo de 1,181 kg (1 tanda)</t>
        </is>
      </c>
      <c r="F10" s="10" t="n">
        <v>1181.5</v>
      </c>
      <c r="G10" s="10" t="n">
        <v>2343.8</v>
      </c>
      <c r="H10" s="10" t="n">
        <v>3544.5</v>
      </c>
      <c r="I10" s="11" t="n">
        <v>136.7462</v>
      </c>
      <c r="J10" s="12" t="n"/>
      <c r="K10" s="10">
        <f>IFERROR(IF(OR(J10="",I10=0),"",J10/I10),"")</f>
        <v/>
      </c>
      <c r="L10" s="13">
        <f>IF(J10="","",IF(J10&lt;=F10,"BAJO SEGURIDAD",IF(J10&lt;=G10,"PEDIR","OK")))</f>
        <v/>
      </c>
      <c r="M10" s="9" t="n"/>
    </row>
    <row r="11">
      <c r="A11" s="9" t="inlineStr">
        <is>
          <t>FL02-2A, FL02-3A, FL02-4A</t>
        </is>
      </c>
      <c r="B11" s="9" t="inlineStr">
        <is>
          <t>MP-08</t>
        </is>
      </c>
      <c r="C11" s="9" t="inlineStr">
        <is>
          <t>Fleje LAF 1,6 × 177,2 mm (fondo 5 kg)</t>
        </is>
      </c>
      <c r="D11" s="9" t="inlineStr">
        <is>
          <t>kg</t>
        </is>
      </c>
      <c r="E11" s="9" t="inlineStr">
        <is>
          <t>Rollo de 886 kg (1 tanda)</t>
        </is>
      </c>
      <c r="F11" s="10" t="n">
        <v>886.4</v>
      </c>
      <c r="G11" s="10" t="n">
        <v>1758.5</v>
      </c>
      <c r="H11" s="10" t="n">
        <v>2659.3</v>
      </c>
      <c r="I11" s="11" t="n">
        <v>102.5971</v>
      </c>
      <c r="J11" s="12" t="n"/>
      <c r="K11" s="10">
        <f>IFERROR(IF(OR(J11="",I11=0),"",J11/I11),"")</f>
        <v/>
      </c>
      <c r="L11" s="13">
        <f>IF(J11="","",IF(J11&lt;=F11,"BAJO SEGURIDAD",IF(J11&lt;=G11,"PEDIR","OK")))</f>
        <v/>
      </c>
      <c r="M11" s="9" t="n"/>
    </row>
    <row r="12">
      <c r="A12" s="9" t="inlineStr">
        <is>
          <t>FL02-1B</t>
        </is>
      </c>
      <c r="B12" s="9" t="inlineStr">
        <is>
          <t>MP-09</t>
        </is>
      </c>
      <c r="C12" s="9" t="inlineStr">
        <is>
          <t>Fleje LAF 2,0 × 238,7 mm (cúpula 10 kg)</t>
        </is>
      </c>
      <c r="D12" s="9" t="inlineStr">
        <is>
          <t>kg</t>
        </is>
      </c>
      <c r="E12" s="9" t="inlineStr">
        <is>
          <t>Rollo de 245 kg (1 tanda)</t>
        </is>
      </c>
      <c r="F12" s="10" t="n">
        <v>245</v>
      </c>
      <c r="G12" s="10" t="n">
        <v>365.6</v>
      </c>
      <c r="H12" s="10" t="n">
        <v>490</v>
      </c>
      <c r="I12" s="11" t="n">
        <v>14.1796</v>
      </c>
      <c r="J12" s="12" t="n"/>
      <c r="K12" s="10">
        <f>IFERROR(IF(OR(J12="",I12=0),"",J12/I12),"")</f>
        <v/>
      </c>
      <c r="L12" s="13">
        <f>IF(J12="","",IF(J12&lt;=F12,"BAJO SEGURIDAD",IF(J12&lt;=G12,"PEDIR","OK")))</f>
        <v/>
      </c>
      <c r="M12" s="9" t="n"/>
    </row>
    <row r="13">
      <c r="A13" s="9" t="inlineStr">
        <is>
          <t>FL02-2B</t>
        </is>
      </c>
      <c r="B13" s="9" t="inlineStr">
        <is>
          <t>MP-10</t>
        </is>
      </c>
      <c r="C13" s="9" t="inlineStr">
        <is>
          <t>Fleje LAF 2,0 × 205 mm (fondo 10 kg)</t>
        </is>
      </c>
      <c r="D13" s="9" t="inlineStr">
        <is>
          <t>kg</t>
        </is>
      </c>
      <c r="E13" s="9" t="inlineStr">
        <is>
          <t>Rollo de 179 kg (1 tanda)</t>
        </is>
      </c>
      <c r="F13" s="10" t="n">
        <v>179</v>
      </c>
      <c r="G13" s="10" t="n">
        <v>267.1</v>
      </c>
      <c r="H13" s="10" t="n">
        <v>358.1</v>
      </c>
      <c r="I13" s="11" t="n">
        <v>10.3607</v>
      </c>
      <c r="J13" s="12" t="n"/>
      <c r="K13" s="10">
        <f>IFERROR(IF(OR(J13="",I13=0),"",J13/I13),"")</f>
        <v/>
      </c>
      <c r="L13" s="13">
        <f>IF(J13="","",IF(J13&lt;=F13,"BAJO SEGURIDAD",IF(J13&lt;=G13,"PEDIR","OK")))</f>
        <v/>
      </c>
      <c r="M13" s="9" t="n"/>
    </row>
  </sheetData>
  <mergeCells count="1">
    <mergeCell ref="D3:E3"/>
  </mergeCells>
  <dataValidations count="1">
    <dataValidation sqref="J6:J13" showDropDown="0" showInputMessage="0" showErrorMessage="0" allowBlank="1" error="El stock contado es un número mayor o igual a cero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7" customWidth="1" min="4" max="4"/>
    <col width="26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1" customWidth="1" min="11" max="11"/>
    <col width="16" customWidth="1" min="12" max="12"/>
    <col width="28" customWidth="1" min="13" max="13"/>
  </cols>
  <sheetData>
    <row r="1">
      <c r="A1" s="1" t="inlineStr">
        <is>
          <t>Conteo · Cantilever de caños y barras</t>
        </is>
      </c>
    </row>
    <row r="2">
      <c r="A2" s="3" t="inlineStr">
        <is>
          <t>Cantilever (fabricación propia) · 2 lugares · Un atado por brazo y una medida por nivel; las barras de 6 m con los brazos a 1,5 m.</t>
        </is>
      </c>
    </row>
    <row r="3">
      <c r="A3" s="4" t="inlineStr">
        <is>
          <t>Fecha del conteo</t>
        </is>
      </c>
      <c r="B3" s="5" t="n"/>
      <c r="C3" s="4" t="inlineStr">
        <is>
          <t>Contó</t>
        </is>
      </c>
      <c r="D3" s="6" t="n"/>
      <c r="E3" s="7" t="n"/>
    </row>
    <row r="5">
      <c r="A5" s="8" t="inlineStr">
        <is>
          <t>Lugar</t>
        </is>
      </c>
      <c r="B5" s="8" t="inlineStr">
        <is>
          <t>Código</t>
        </is>
      </c>
      <c r="C5" s="8" t="inlineStr">
        <is>
          <t>Material</t>
        </is>
      </c>
      <c r="D5" s="8" t="inlineStr">
        <is>
          <t>UM</t>
        </is>
      </c>
      <c r="E5" s="8" t="inlineStr">
        <is>
          <t>Se compra en</t>
        </is>
      </c>
      <c r="F5" s="8" t="inlineStr">
        <is>
          <t>Seguridad</t>
        </is>
      </c>
      <c r="G5" s="8" t="inlineStr">
        <is>
          <t>Punto de pedido</t>
        </is>
      </c>
      <c r="H5" s="8" t="inlineStr">
        <is>
          <t>Máximo</t>
        </is>
      </c>
      <c r="I5" s="8" t="inlineStr">
        <is>
          <t>Consumo por día</t>
        </is>
      </c>
      <c r="J5" s="8" t="inlineStr">
        <is>
          <t>Stock contado</t>
        </is>
      </c>
      <c r="K5" s="8" t="inlineStr">
        <is>
          <t>Días de stock</t>
        </is>
      </c>
      <c r="L5" s="8" t="inlineStr">
        <is>
          <t>Estado</t>
        </is>
      </c>
      <c r="M5" s="8" t="inlineStr">
        <is>
          <t>Observaciones</t>
        </is>
      </c>
    </row>
    <row r="6">
      <c r="A6" s="9" t="inlineStr">
        <is>
          <t>CA-01</t>
        </is>
      </c>
      <c r="B6" s="9" t="inlineStr">
        <is>
          <t>MP-66</t>
        </is>
      </c>
      <c r="C6" s="9" t="inlineStr">
        <is>
          <t>Caño SAE 1010 1" × 2,0 × 6 m (manija; caño del eje 25 kg)</t>
        </is>
      </c>
      <c r="D6" s="9" t="inlineStr">
        <is>
          <t>barra</t>
        </is>
      </c>
      <c r="E6" s="9" t="inlineStr">
        <is>
          <t>Barra de 6 m (un atado por pedido)</t>
        </is>
      </c>
      <c r="F6" s="10" t="n">
        <v>0.9</v>
      </c>
      <c r="G6" s="10" t="n">
        <v>11.5</v>
      </c>
      <c r="H6" s="10" t="n">
        <v>46.9</v>
      </c>
      <c r="I6" s="11" t="n">
        <v>2.1258</v>
      </c>
      <c r="J6" s="12" t="n"/>
      <c r="K6" s="10">
        <f>IFERROR(IF(OR(J6="",I6=0),"",J6/I6),"")</f>
        <v/>
      </c>
      <c r="L6" s="13">
        <f>IF(J6="","",IF(J6&lt;=F6,"BAJO SEGURIDAD",IF(J6&lt;=G6,"PEDIR","OK")))</f>
        <v/>
      </c>
      <c r="M6" s="9" t="n"/>
    </row>
    <row r="7">
      <c r="A7" s="9" t="inlineStr">
        <is>
          <t>CA-01</t>
        </is>
      </c>
      <c r="B7" s="9" t="inlineStr">
        <is>
          <t>MP-69</t>
        </is>
      </c>
      <c r="C7" s="9" t="inlineStr">
        <is>
          <t>Barra trefilada SAE 1045 1" × 6 m (eje 50 a 100 kg)</t>
        </is>
      </c>
      <c r="D7" s="9" t="inlineStr">
        <is>
          <t>barra</t>
        </is>
      </c>
      <c r="E7" s="9" t="inlineStr">
        <is>
          <t>Barra de 6 m</t>
        </is>
      </c>
      <c r="F7" s="10" t="n">
        <v>0.7</v>
      </c>
      <c r="G7" s="10" t="n">
        <v>1.7</v>
      </c>
      <c r="H7" s="10" t="n">
        <v>12.7</v>
      </c>
      <c r="I7" s="11" t="n">
        <v>0.5293</v>
      </c>
      <c r="J7" s="12" t="n"/>
      <c r="K7" s="10">
        <f>IFERROR(IF(OR(J7="",I7=0),"",J7/I7),"")</f>
        <v/>
      </c>
      <c r="L7" s="13">
        <f>IF(J7="","",IF(J7&lt;=F7,"BAJO SEGURIDAD",IF(J7&lt;=G7,"PEDIR","OK")))</f>
        <v/>
      </c>
      <c r="M7" s="9" t="n"/>
    </row>
    <row r="8">
      <c r="A8" s="9" t="inlineStr">
        <is>
          <t>CA-02</t>
        </is>
      </c>
      <c r="B8" s="9" t="inlineStr">
        <is>
          <t>MP-67</t>
        </is>
      </c>
      <c r="C8" s="9" t="inlineStr">
        <is>
          <t>Caño SAE 1010 1¼" × 2,0 × 6 m (caño del eje 50 a 100 kg)</t>
        </is>
      </c>
      <c r="D8" s="9" t="inlineStr">
        <is>
          <t>barra</t>
        </is>
      </c>
      <c r="E8" s="9" t="inlineStr">
        <is>
          <t>Barra de 6 m (un atado por pedido)</t>
        </is>
      </c>
      <c r="F8" s="10" t="n">
        <v>0.1</v>
      </c>
      <c r="G8" s="10" t="n">
        <v>2</v>
      </c>
      <c r="H8" s="10" t="n">
        <v>9.1</v>
      </c>
      <c r="I8" s="11" t="n">
        <v>0.3734</v>
      </c>
      <c r="J8" s="12" t="n"/>
      <c r="K8" s="10">
        <f>IFERROR(IF(OR(J8="",I8=0),"",J8/I8),"")</f>
        <v/>
      </c>
      <c r="L8" s="13">
        <f>IF(J8="","",IF(J8&lt;=F8,"BAJO SEGURIDAD",IF(J8&lt;=G8,"PEDIR","OK")))</f>
        <v/>
      </c>
      <c r="M8" s="9" t="n"/>
    </row>
    <row r="9">
      <c r="A9" s="9" t="inlineStr">
        <is>
          <t>CA-02</t>
        </is>
      </c>
      <c r="B9" s="9" t="inlineStr">
        <is>
          <t>MP-68</t>
        </is>
      </c>
      <c r="C9" s="9" t="inlineStr">
        <is>
          <t>Barra trefilada SAE 1045 3/4" × 4 m (eje 25 kg)</t>
        </is>
      </c>
      <c r="D9" s="9" t="inlineStr">
        <is>
          <t>barra</t>
        </is>
      </c>
      <c r="E9" s="9" t="inlineStr">
        <is>
          <t>Barra de 4 m</t>
        </is>
      </c>
      <c r="F9" s="10" t="n">
        <v>0.3</v>
      </c>
      <c r="G9" s="10" t="n">
        <v>0.8</v>
      </c>
      <c r="H9" s="10" t="n">
        <v>6.3</v>
      </c>
      <c r="I9" s="11" t="n">
        <v>0.2363</v>
      </c>
      <c r="J9" s="12" t="n"/>
      <c r="K9" s="10">
        <f>IFERROR(IF(OR(J9="",I9=0),"",J9/I9),"")</f>
        <v/>
      </c>
      <c r="L9" s="13">
        <f>IF(J9="","",IF(J9&lt;=F9,"BAJO SEGURIDAD",IF(J9&lt;=G9,"PEDIR","OK")))</f>
        <v/>
      </c>
      <c r="M9" s="9" t="n"/>
    </row>
  </sheetData>
  <mergeCells count="1">
    <mergeCell ref="D3:E3"/>
  </mergeCells>
  <dataValidations count="1">
    <dataValidation sqref="J6:J9" showDropDown="0" showInputMessage="0" showErrorMessage="0" allowBlank="1" error="El stock contado es un número mayor o igual a cero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7" customWidth="1" min="4" max="4"/>
    <col width="26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1" customWidth="1" min="11" max="11"/>
    <col width="16" customWidth="1" min="12" max="12"/>
    <col width="28" customWidth="1" min="13" max="13"/>
  </cols>
  <sheetData>
    <row r="1">
      <c r="A1" s="1" t="inlineStr">
        <is>
          <t>Conteo · Depósito de polvo químico</t>
        </is>
      </c>
    </row>
    <row r="2">
      <c r="A2" s="3" t="inlineStr">
        <is>
          <t>Apilado en bloque · 8 lugares · Big bags de 1 × 1 m en el piso, de a 2, por fecha de llegada; bolsas de 25 kg y cajas de pintura sobre pallet plástico. Depósito seco.</t>
        </is>
      </c>
    </row>
    <row r="3">
      <c r="A3" s="4" t="inlineStr">
        <is>
          <t>Fecha del conteo</t>
        </is>
      </c>
      <c r="B3" s="5" t="n"/>
      <c r="C3" s="4" t="inlineStr">
        <is>
          <t>Contó</t>
        </is>
      </c>
      <c r="D3" s="6" t="n"/>
      <c r="E3" s="7" t="n"/>
    </row>
    <row r="5">
      <c r="A5" s="8" t="inlineStr">
        <is>
          <t>Lugar</t>
        </is>
      </c>
      <c r="B5" s="8" t="inlineStr">
        <is>
          <t>Código</t>
        </is>
      </c>
      <c r="C5" s="8" t="inlineStr">
        <is>
          <t>Material</t>
        </is>
      </c>
      <c r="D5" s="8" t="inlineStr">
        <is>
          <t>UM</t>
        </is>
      </c>
      <c r="E5" s="8" t="inlineStr">
        <is>
          <t>Se compra en</t>
        </is>
      </c>
      <c r="F5" s="8" t="inlineStr">
        <is>
          <t>Seguridad</t>
        </is>
      </c>
      <c r="G5" s="8" t="inlineStr">
        <is>
          <t>Punto de pedido</t>
        </is>
      </c>
      <c r="H5" s="8" t="inlineStr">
        <is>
          <t>Máximo</t>
        </is>
      </c>
      <c r="I5" s="8" t="inlineStr">
        <is>
          <t>Consumo por día</t>
        </is>
      </c>
      <c r="J5" s="8" t="inlineStr">
        <is>
          <t>Stock contado</t>
        </is>
      </c>
      <c r="K5" s="8" t="inlineStr">
        <is>
          <t>Días de stock</t>
        </is>
      </c>
      <c r="L5" s="8" t="inlineStr">
        <is>
          <t>Estado</t>
        </is>
      </c>
      <c r="M5" s="8" t="inlineStr">
        <is>
          <t>Observaciones</t>
        </is>
      </c>
    </row>
    <row r="6">
      <c r="A6" s="9" t="inlineStr">
        <is>
          <t>PQ-01, PQ-02, PQ-03, PQ-04, PQ-05, PQ-08</t>
        </is>
      </c>
      <c r="B6" s="9" t="inlineStr">
        <is>
          <t>MP-33</t>
        </is>
      </c>
      <c r="C6" s="9" t="inlineStr">
        <is>
          <t>Polvo ABC 60 (manuales y sus recargas)</t>
        </is>
      </c>
      <c r="D6" s="9" t="inlineStr">
        <is>
          <t>kg</t>
        </is>
      </c>
      <c r="E6" s="9" t="inlineStr">
        <is>
          <t>Big bag de 1.000 kg</t>
        </is>
      </c>
      <c r="F6" s="10" t="n">
        <v>3207.5</v>
      </c>
      <c r="G6" s="10" t="n">
        <v>8314.5</v>
      </c>
      <c r="H6" s="10" t="n">
        <v>10207.5</v>
      </c>
      <c r="I6" s="11" t="n">
        <v>1134.909</v>
      </c>
      <c r="J6" s="12" t="n"/>
      <c r="K6" s="10">
        <f>IFERROR(IF(OR(J6="",I6=0),"",J6/I6),"")</f>
        <v/>
      </c>
      <c r="L6" s="13">
        <f>IF(J6="","",IF(J6&lt;=F6,"BAJO SEGURIDAD",IF(J6&lt;=G6,"PEDIR","OK")))</f>
        <v/>
      </c>
      <c r="M6" s="9" t="n"/>
    </row>
    <row r="7">
      <c r="A7" s="9" t="inlineStr">
        <is>
          <t>PQ-06, PQ-07, PQ-08</t>
        </is>
      </c>
      <c r="B7" s="9" t="inlineStr">
        <is>
          <t>MP-33B</t>
        </is>
      </c>
      <c r="C7" s="9" t="inlineStr">
        <is>
          <t>Polvo ABC 90 (carros y sus recargas)</t>
        </is>
      </c>
      <c r="D7" s="9" t="inlineStr">
        <is>
          <t>kg</t>
        </is>
      </c>
      <c r="E7" s="9" t="inlineStr">
        <is>
          <t>Big bag de 1.000 kg</t>
        </is>
      </c>
      <c r="F7" s="10" t="n">
        <v>1207.4</v>
      </c>
      <c r="G7" s="10" t="n">
        <v>3129.9</v>
      </c>
      <c r="H7" s="10" t="n">
        <v>4207.4</v>
      </c>
      <c r="I7" s="11" t="n">
        <v>427.2206</v>
      </c>
      <c r="J7" s="12" t="n"/>
      <c r="K7" s="10">
        <f>IFERROR(IF(OR(J7="",I7=0),"",J7/I7),"")</f>
        <v/>
      </c>
      <c r="L7" s="13">
        <f>IF(J7="","",IF(J7&lt;=F7,"BAJO SEGURIDAD",IF(J7&lt;=G7,"PEDIR","OK")))</f>
        <v/>
      </c>
      <c r="M7" s="9" t="n"/>
    </row>
    <row r="8">
      <c r="A8" s="9" t="inlineStr">
        <is>
          <t>PQ-08</t>
        </is>
      </c>
      <c r="B8" s="9" t="inlineStr">
        <is>
          <t>MP-31</t>
        </is>
      </c>
      <c r="C8" s="9" t="inlineStr">
        <is>
          <t>Pintura en polvo poliéster rojo 03-1-050</t>
        </is>
      </c>
      <c r="D8" s="9" t="inlineStr">
        <is>
          <t>kg</t>
        </is>
      </c>
      <c r="E8" s="9" t="inlineStr">
        <is>
          <t>Caja de 25 kg</t>
        </is>
      </c>
      <c r="F8" s="10" t="n">
        <v>1.2</v>
      </c>
      <c r="G8" s="10" t="n">
        <v>16.1</v>
      </c>
      <c r="H8" s="10" t="n">
        <v>326.2</v>
      </c>
      <c r="I8" s="11" t="n">
        <v>14.9247</v>
      </c>
      <c r="J8" s="12" t="n"/>
      <c r="K8" s="10">
        <f>IFERROR(IF(OR(J8="",I8=0),"",J8/I8),"")</f>
        <v/>
      </c>
      <c r="L8" s="13">
        <f>IF(J8="","",IF(J8&lt;=F8,"BAJO SEGURIDAD",IF(J8&lt;=G8,"PEDIR","OK")))</f>
        <v/>
      </c>
      <c r="M8" s="9" t="n"/>
    </row>
    <row r="9">
      <c r="A9" s="9" t="inlineStr">
        <is>
          <t>PQ-08</t>
        </is>
      </c>
      <c r="B9" s="9" t="inlineStr">
        <is>
          <t>MP-35</t>
        </is>
      </c>
      <c r="C9" s="9" t="inlineStr">
        <is>
          <t>Polvo BC (recargas)</t>
        </is>
      </c>
      <c r="D9" s="9" t="inlineStr">
        <is>
          <t>kg</t>
        </is>
      </c>
      <c r="E9" s="9" t="inlineStr">
        <is>
          <t>Bolsa de 25 kg</t>
        </is>
      </c>
      <c r="F9" s="10" t="n">
        <v>8.6</v>
      </c>
      <c r="G9" s="10" t="n">
        <v>22.2</v>
      </c>
      <c r="H9" s="10" t="n">
        <v>83.59999999999999</v>
      </c>
      <c r="I9" s="11" t="n">
        <v>3.0333</v>
      </c>
      <c r="J9" s="12" t="n"/>
      <c r="K9" s="10">
        <f>IFERROR(IF(OR(J9="",I9=0),"",J9/I9),"")</f>
        <v/>
      </c>
      <c r="L9" s="13">
        <f>IF(J9="","",IF(J9&lt;=F9,"BAJO SEGURIDAD",IF(J9&lt;=G9,"PEDIR","OK")))</f>
        <v/>
      </c>
      <c r="M9" s="9" t="n"/>
    </row>
    <row r="10">
      <c r="A10" s="9" t="inlineStr">
        <is>
          <t>PQ-08</t>
        </is>
      </c>
      <c r="B10" s="9" t="inlineStr">
        <is>
          <t>MP-36</t>
        </is>
      </c>
      <c r="C10" s="9" t="inlineStr">
        <is>
          <t>Polvo clase D (recargas)</t>
        </is>
      </c>
      <c r="D10" s="9" t="inlineStr">
        <is>
          <t>kg</t>
        </is>
      </c>
      <c r="E10" s="9" t="inlineStr">
        <is>
          <t>Bolsa de 25 kg</t>
        </is>
      </c>
      <c r="F10" s="10" t="n">
        <v>13.8</v>
      </c>
      <c r="G10" s="10" t="n">
        <v>35.7</v>
      </c>
      <c r="H10" s="10" t="n">
        <v>138.8</v>
      </c>
      <c r="I10" s="11" t="n">
        <v>4.875</v>
      </c>
      <c r="J10" s="12" t="n"/>
      <c r="K10" s="10">
        <f>IFERROR(IF(OR(J10="",I10=0),"",J10/I10),"")</f>
        <v/>
      </c>
      <c r="L10" s="13">
        <f>IF(J10="","",IF(J10&lt;=F10,"BAJO SEGURIDAD",IF(J10&lt;=G10,"PEDIR","OK")))</f>
        <v/>
      </c>
      <c r="M10" s="9" t="n"/>
    </row>
  </sheetData>
  <mergeCells count="1">
    <mergeCell ref="D3:E3"/>
  </mergeCells>
  <dataValidations count="1">
    <dataValidation sqref="J6:J10" showDropDown="0" showInputMessage="0" showErrorMessage="0" allowBlank="1" error="El stock contado es un número mayor o igual a cero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7" customWidth="1" min="4" max="4"/>
    <col width="26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1" customWidth="1" min="11" max="11"/>
    <col width="16" customWidth="1" min="12" max="12"/>
    <col width="28" customWidth="1" min="13" max="13"/>
  </cols>
  <sheetData>
    <row r="1">
      <c r="A1" s="1" t="inlineStr">
        <is>
          <t>Conteo · Embalaje</t>
        </is>
      </c>
    </row>
    <row r="2">
      <c r="A2" s="3" t="inlineStr">
        <is>
          <t>Rack selectivo 500 kg/nivel · 27 lugares · Abajo el pallet que se está usando, arriba la entrega de la semana. La pila de pallets de madera va en el piso.</t>
        </is>
      </c>
    </row>
    <row r="3">
      <c r="A3" s="4" t="inlineStr">
        <is>
          <t>Fecha del conteo</t>
        </is>
      </c>
      <c r="B3" s="5" t="n"/>
      <c r="C3" s="4" t="inlineStr">
        <is>
          <t>Contó</t>
        </is>
      </c>
      <c r="D3" s="6" t="n"/>
      <c r="E3" s="7" t="n"/>
    </row>
    <row r="5">
      <c r="A5" s="8" t="inlineStr">
        <is>
          <t>Lugar</t>
        </is>
      </c>
      <c r="B5" s="8" t="inlineStr">
        <is>
          <t>Código</t>
        </is>
      </c>
      <c r="C5" s="8" t="inlineStr">
        <is>
          <t>Material</t>
        </is>
      </c>
      <c r="D5" s="8" t="inlineStr">
        <is>
          <t>UM</t>
        </is>
      </c>
      <c r="E5" s="8" t="inlineStr">
        <is>
          <t>Se compra en</t>
        </is>
      </c>
      <c r="F5" s="8" t="inlineStr">
        <is>
          <t>Seguridad</t>
        </is>
      </c>
      <c r="G5" s="8" t="inlineStr">
        <is>
          <t>Punto de pedido</t>
        </is>
      </c>
      <c r="H5" s="8" t="inlineStr">
        <is>
          <t>Máximo</t>
        </is>
      </c>
      <c r="I5" s="8" t="inlineStr">
        <is>
          <t>Consumo por día</t>
        </is>
      </c>
      <c r="J5" s="8" t="inlineStr">
        <is>
          <t>Stock contado</t>
        </is>
      </c>
      <c r="K5" s="8" t="inlineStr">
        <is>
          <t>Días de stock</t>
        </is>
      </c>
      <c r="L5" s="8" t="inlineStr">
        <is>
          <t>Estado</t>
        </is>
      </c>
      <c r="M5" s="8" t="inlineStr">
        <is>
          <t>Observaciones</t>
        </is>
      </c>
    </row>
    <row r="6">
      <c r="A6" s="9" t="inlineStr">
        <is>
          <t>EM01-1A, EM01-2A, EM01-3A, EM01-1B, EM01-2B, EM01-3B, EM02-1A, EM02-2A, EM02-3A, EM02-1B, EM02-2B, EM02-3B, EM03-1A, EM04-3B</t>
        </is>
      </c>
      <c r="B6" s="9" t="inlineStr">
        <is>
          <t>MP-59/ABC1</t>
        </is>
      </c>
      <c r="C6" s="9" t="inlineStr">
        <is>
          <t>Caja de cartón simple ABC 1 kg</t>
        </is>
      </c>
      <c r="D6" s="9" t="inlineStr">
        <is>
          <t>u</t>
        </is>
      </c>
      <c r="E6" s="9" t="inlineStr">
        <is>
          <t>Pallet de 600 cajas plegadas</t>
        </is>
      </c>
      <c r="F6" s="10" t="n">
        <v>3123.7</v>
      </c>
      <c r="G6" s="10" t="n">
        <v>13676.9</v>
      </c>
      <c r="H6" s="10" t="n">
        <v>7923.7</v>
      </c>
      <c r="I6" s="11" t="n">
        <v>844.2527</v>
      </c>
      <c r="J6" s="12" t="n"/>
      <c r="K6" s="10">
        <f>IFERROR(IF(OR(J6="",I6=0),"",J6/I6),"")</f>
        <v/>
      </c>
      <c r="L6" s="13">
        <f>IF(J6="","",IF(J6&lt;=F6,"BAJO SEGURIDAD",IF(J6&lt;=G6,"PEDIR","OK")))</f>
        <v/>
      </c>
      <c r="M6" s="9" t="n"/>
    </row>
    <row r="7">
      <c r="A7" s="9" t="inlineStr">
        <is>
          <t>EM03-2A, EM05-1A</t>
        </is>
      </c>
      <c r="B7" s="9" t="inlineStr">
        <is>
          <t>MP-59/ABC2.5</t>
        </is>
      </c>
      <c r="C7" s="9" t="inlineStr">
        <is>
          <t>Caja de cartón simple ABC 2,5 kg</t>
        </is>
      </c>
      <c r="D7" s="9" t="inlineStr">
        <is>
          <t>u</t>
        </is>
      </c>
      <c r="E7" s="9" t="inlineStr">
        <is>
          <t>Pallet de 600 cajas plegadas</t>
        </is>
      </c>
      <c r="F7" s="10" t="n">
        <v>217.8</v>
      </c>
      <c r="G7" s="10" t="n">
        <v>953.5</v>
      </c>
      <c r="H7" s="10" t="n">
        <v>817.8</v>
      </c>
      <c r="I7" s="11" t="n">
        <v>58.8597</v>
      </c>
      <c r="J7" s="12" t="n"/>
      <c r="K7" s="10">
        <f>IFERROR(IF(OR(J7="",I7=0),"",J7/I7),"")</f>
        <v/>
      </c>
      <c r="L7" s="13">
        <f>IF(J7="","",IF(J7&lt;=F7,"BAJO SEGURIDAD",IF(J7&lt;=G7,"PEDIR","OK")))</f>
        <v/>
      </c>
      <c r="M7" s="9" t="n"/>
    </row>
    <row r="8">
      <c r="A8" s="9" t="inlineStr">
        <is>
          <t>EM03-3A, EM03-1B, EM03-2B, EM03-3B, EM04-3B</t>
        </is>
      </c>
      <c r="B8" s="9" t="inlineStr">
        <is>
          <t>MP-59/ABC5</t>
        </is>
      </c>
      <c r="C8" s="9" t="inlineStr">
        <is>
          <t>Caja de cartón simple ABC 5 kg</t>
        </is>
      </c>
      <c r="D8" s="9" t="inlineStr">
        <is>
          <t>u</t>
        </is>
      </c>
      <c r="E8" s="9" t="inlineStr">
        <is>
          <t>Pallet de 600 cajas plegadas</t>
        </is>
      </c>
      <c r="F8" s="10" t="n">
        <v>984.4</v>
      </c>
      <c r="G8" s="10" t="n">
        <v>4310.1</v>
      </c>
      <c r="H8" s="10" t="n">
        <v>2784.4</v>
      </c>
      <c r="I8" s="11" t="n">
        <v>266.0527</v>
      </c>
      <c r="J8" s="12" t="n"/>
      <c r="K8" s="10">
        <f>IFERROR(IF(OR(J8="",I8=0),"",J8/I8),"")</f>
        <v/>
      </c>
      <c r="L8" s="13">
        <f>IF(J8="","",IF(J8&lt;=F8,"BAJO SEGURIDAD",IF(J8&lt;=G8,"PEDIR","OK")))</f>
        <v/>
      </c>
      <c r="M8" s="9" t="n"/>
    </row>
    <row r="9">
      <c r="A9" s="9" t="inlineStr">
        <is>
          <t>EM04-1A, EM05-3A</t>
        </is>
      </c>
      <c r="B9" s="9" t="inlineStr">
        <is>
          <t>MP-59/ABC10</t>
        </is>
      </c>
      <c r="C9" s="9" t="inlineStr">
        <is>
          <t>Caja de cartón doble ABC 10 kg</t>
        </is>
      </c>
      <c r="D9" s="9" t="inlineStr">
        <is>
          <t>u</t>
        </is>
      </c>
      <c r="E9" s="9" t="inlineStr">
        <is>
          <t>Pallet de 600 cajas plegadas</t>
        </is>
      </c>
      <c r="F9" s="10" t="n">
        <v>59.6</v>
      </c>
      <c r="G9" s="10" t="n">
        <v>260.7</v>
      </c>
      <c r="H9" s="10" t="n">
        <v>659.6</v>
      </c>
      <c r="I9" s="11" t="n">
        <v>16.0955</v>
      </c>
      <c r="J9" s="12" t="n"/>
      <c r="K9" s="10">
        <f>IFERROR(IF(OR(J9="",I9=0),"",J9/I9),"")</f>
        <v/>
      </c>
      <c r="L9" s="13">
        <f>IF(J9="","",IF(J9&lt;=F9,"BAJO SEGURIDAD",IF(J9&lt;=G9,"PEDIR","OK")))</f>
        <v/>
      </c>
      <c r="M9" s="9" t="n"/>
    </row>
    <row r="10">
      <c r="A10" s="9" t="inlineStr">
        <is>
          <t>EM04-2A, EM05-2A</t>
        </is>
      </c>
      <c r="B10" s="9" t="inlineStr">
        <is>
          <t>MP-89</t>
        </is>
      </c>
      <c r="C10" s="9" t="inlineStr">
        <is>
          <t>Etiqueta de caja</t>
        </is>
      </c>
      <c r="D10" s="9" t="inlineStr">
        <is>
          <t>u</t>
        </is>
      </c>
      <c r="E10" s="9" t="inlineStr">
        <is>
          <t>Rollo de 1.000 u</t>
        </is>
      </c>
      <c r="F10" s="10" t="n">
        <v>3034.3</v>
      </c>
      <c r="G10" s="10" t="n">
        <v>8960.6</v>
      </c>
      <c r="H10" s="10" t="n">
        <v>29034.3</v>
      </c>
      <c r="I10" s="11" t="n">
        <v>1185.2607</v>
      </c>
      <c r="J10" s="12" t="n"/>
      <c r="K10" s="10">
        <f>IFERROR(IF(OR(J10="",I10=0),"",J10/I10),"")</f>
        <v/>
      </c>
      <c r="L10" s="13">
        <f>IF(J10="","",IF(J10&lt;=F10,"BAJO SEGURIDAD",IF(J10&lt;=G10,"PEDIR","OK")))</f>
        <v/>
      </c>
      <c r="M10" s="9" t="n"/>
    </row>
    <row r="11">
      <c r="A11" s="9" t="inlineStr">
        <is>
          <t>EM04-3A, EM04-1B, EM04-2B, EM05-2A</t>
        </is>
      </c>
      <c r="B11" s="9" t="inlineStr">
        <is>
          <t>MP-60</t>
        </is>
      </c>
      <c r="C11" s="9" t="inlineStr">
        <is>
          <t>Pallet de madera 1200 × 1000</t>
        </is>
      </c>
      <c r="D11" s="9" t="inlineStr">
        <is>
          <t>u</t>
        </is>
      </c>
      <c r="E11" s="9" t="inlineStr">
        <is>
          <t>Pila de 15 pallets</t>
        </is>
      </c>
      <c r="F11" s="10" t="n">
        <v>7.9</v>
      </c>
      <c r="G11" s="10" t="n">
        <v>20.7</v>
      </c>
      <c r="H11" s="10" t="n">
        <v>52.9</v>
      </c>
      <c r="I11" s="11" t="n">
        <v>6.3863</v>
      </c>
      <c r="J11" s="12" t="n"/>
      <c r="K11" s="10">
        <f>IFERROR(IF(OR(J11="",I11=0),"",J11/I11),"")</f>
        <v/>
      </c>
      <c r="L11" s="13">
        <f>IF(J11="","",IF(J11&lt;=F11,"BAJO SEGURIDAD",IF(J11&lt;=G11,"PEDIR","OK")))</f>
        <v/>
      </c>
      <c r="M11" s="9" t="n"/>
    </row>
    <row r="12">
      <c r="A12" s="9" t="inlineStr">
        <is>
          <t>EM04-3B</t>
        </is>
      </c>
      <c r="B12" s="9" t="inlineStr">
        <is>
          <t>MP-62/M30</t>
        </is>
      </c>
      <c r="C12" s="9" t="inlineStr">
        <is>
          <t>Tapón protector de rosca M30</t>
        </is>
      </c>
      <c r="D12" s="9" t="inlineStr">
        <is>
          <t>u</t>
        </is>
      </c>
      <c r="E12" s="9" t="inlineStr">
        <is>
          <t>Caja de 5.000 u</t>
        </is>
      </c>
      <c r="F12" s="10" t="n">
        <v>766.5</v>
      </c>
      <c r="G12" s="10" t="n">
        <v>1925.1</v>
      </c>
      <c r="H12" s="10" t="n">
        <v>5766.5</v>
      </c>
      <c r="I12" s="11" t="n">
        <v>178.2485</v>
      </c>
      <c r="J12" s="12" t="n"/>
      <c r="K12" s="10">
        <f>IFERROR(IF(OR(J12="",I12=0),"",J12/I12),"")</f>
        <v/>
      </c>
      <c r="L12" s="13">
        <f>IF(J12="","",IF(J12&lt;=F12,"BAJO SEGURIDAD",IF(J12&lt;=G12,"PEDIR","OK")))</f>
        <v/>
      </c>
      <c r="M12" s="9" t="n"/>
    </row>
    <row r="13">
      <c r="A13" s="9" t="inlineStr">
        <is>
          <t>EM05-1A</t>
        </is>
      </c>
      <c r="B13" s="9" t="inlineStr">
        <is>
          <t>MP-62/M22</t>
        </is>
      </c>
      <c r="C13" s="9" t="inlineStr">
        <is>
          <t>Tapón protector de rosca M22</t>
        </is>
      </c>
      <c r="D13" s="9" t="inlineStr">
        <is>
          <t>u</t>
        </is>
      </c>
      <c r="E13" s="9" t="inlineStr">
        <is>
          <t>Caja de 5.000 u</t>
        </is>
      </c>
      <c r="F13" s="10" t="n">
        <v>3055.7</v>
      </c>
      <c r="G13" s="10" t="n">
        <v>7674.7</v>
      </c>
      <c r="H13" s="10" t="n">
        <v>23055.7</v>
      </c>
      <c r="I13" s="11" t="n">
        <v>710.6167</v>
      </c>
      <c r="J13" s="12" t="n"/>
      <c r="K13" s="10">
        <f>IFERROR(IF(OR(J13="",I13=0),"",J13/I13),"")</f>
        <v/>
      </c>
      <c r="L13" s="13">
        <f>IF(J13="","",IF(J13&lt;=F13,"BAJO SEGURIDAD",IF(J13&lt;=G13,"PEDIR","OK")))</f>
        <v/>
      </c>
      <c r="M13" s="9" t="n"/>
    </row>
    <row r="14">
      <c r="A14" s="9" t="inlineStr">
        <is>
          <t>EM05-1A</t>
        </is>
      </c>
      <c r="B14" s="9" t="inlineStr">
        <is>
          <t>MP-62/2½</t>
        </is>
      </c>
      <c r="C14" s="9" t="inlineStr">
        <is>
          <t>Tapón protector de rosca 2½"</t>
        </is>
      </c>
      <c r="D14" s="9" t="inlineStr">
        <is>
          <t>u</t>
        </is>
      </c>
      <c r="E14" s="9" t="inlineStr">
        <is>
          <t>Bolsa de 250 u</t>
        </is>
      </c>
      <c r="F14" s="10" t="n">
        <v>4.6</v>
      </c>
      <c r="G14" s="10" t="n">
        <v>11.6</v>
      </c>
      <c r="H14" s="10" t="n">
        <v>254.6</v>
      </c>
      <c r="I14" s="11" t="n">
        <v>1.0773</v>
      </c>
      <c r="J14" s="12" t="n"/>
      <c r="K14" s="10">
        <f>IFERROR(IF(OR(J14="",I14=0),"",J14/I14),"")</f>
        <v/>
      </c>
      <c r="L14" s="13">
        <f>IF(J14="","",IF(J14&lt;=F14,"BAJO SEGURIDAD",IF(J14&lt;=G14,"PEDIR","OK")))</f>
        <v/>
      </c>
      <c r="M14" s="9" t="n"/>
    </row>
    <row r="15">
      <c r="A15" s="9" t="inlineStr">
        <is>
          <t>EM05-1A</t>
        </is>
      </c>
      <c r="B15" s="9" t="inlineStr">
        <is>
          <t>MP-90</t>
        </is>
      </c>
      <c r="C15" s="9" t="inlineStr">
        <is>
          <t>Etiqueta de pallet</t>
        </is>
      </c>
      <c r="D15" s="9" t="inlineStr">
        <is>
          <t>u</t>
        </is>
      </c>
      <c r="E15" s="9" t="inlineStr">
        <is>
          <t>Rollo de 1.000 u</t>
        </is>
      </c>
      <c r="F15" s="10" t="n">
        <v>16.3</v>
      </c>
      <c r="G15" s="10" t="n">
        <v>48.3</v>
      </c>
      <c r="H15" s="10" t="n">
        <v>1016.3</v>
      </c>
      <c r="I15" s="11" t="n">
        <v>6.3863</v>
      </c>
      <c r="J15" s="12" t="n"/>
      <c r="K15" s="10">
        <f>IFERROR(IF(OR(J15="",I15=0),"",J15/I15),"")</f>
        <v/>
      </c>
      <c r="L15" s="13">
        <f>IF(J15="","",IF(J15&lt;=F15,"BAJO SEGURIDAD",IF(J15&lt;=G15,"PEDIR","OK")))</f>
        <v/>
      </c>
      <c r="M15" s="9" t="n"/>
    </row>
  </sheetData>
  <mergeCells count="1">
    <mergeCell ref="D3:E3"/>
  </mergeCells>
  <dataValidations count="1">
    <dataValidation sqref="J6:J15" showDropDown="0" showInputMessage="0" showErrorMessage="0" allowBlank="1" error="El stock contado es un número mayor o igual a cero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7" customWidth="1" min="4" max="4"/>
    <col width="26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1" customWidth="1" min="11" max="11"/>
    <col width="16" customWidth="1" min="12" max="12"/>
    <col width="28" customWidth="1" min="13" max="13"/>
  </cols>
  <sheetData>
    <row r="1">
      <c r="A1" s="1" t="inlineStr">
        <is>
          <t>Conteo · Identificación</t>
        </is>
      </c>
    </row>
    <row r="2">
      <c r="A2" s="3" t="inlineStr">
        <is>
          <t>Estantería liviana · 7 lugares · Un estante por familia; obleas y estampillas (valores) en estante con candado.</t>
        </is>
      </c>
    </row>
    <row r="3">
      <c r="A3" s="4" t="inlineStr">
        <is>
          <t>Fecha del conteo</t>
        </is>
      </c>
      <c r="B3" s="5" t="n"/>
      <c r="C3" s="4" t="inlineStr">
        <is>
          <t>Contó</t>
        </is>
      </c>
      <c r="D3" s="6" t="n"/>
      <c r="E3" s="7" t="n"/>
    </row>
    <row r="5">
      <c r="A5" s="8" t="inlineStr">
        <is>
          <t>Lugar</t>
        </is>
      </c>
      <c r="B5" s="8" t="inlineStr">
        <is>
          <t>Código</t>
        </is>
      </c>
      <c r="C5" s="8" t="inlineStr">
        <is>
          <t>Material</t>
        </is>
      </c>
      <c r="D5" s="8" t="inlineStr">
        <is>
          <t>UM</t>
        </is>
      </c>
      <c r="E5" s="8" t="inlineStr">
        <is>
          <t>Se compra en</t>
        </is>
      </c>
      <c r="F5" s="8" t="inlineStr">
        <is>
          <t>Seguridad</t>
        </is>
      </c>
      <c r="G5" s="8" t="inlineStr">
        <is>
          <t>Punto de pedido</t>
        </is>
      </c>
      <c r="H5" s="8" t="inlineStr">
        <is>
          <t>Máximo</t>
        </is>
      </c>
      <c r="I5" s="8" t="inlineStr">
        <is>
          <t>Consumo por día</t>
        </is>
      </c>
      <c r="J5" s="8" t="inlineStr">
        <is>
          <t>Stock contado</t>
        </is>
      </c>
      <c r="K5" s="8" t="inlineStr">
        <is>
          <t>Días de stock</t>
        </is>
      </c>
      <c r="L5" s="8" t="inlineStr">
        <is>
          <t>Estado</t>
        </is>
      </c>
      <c r="M5" s="8" t="inlineStr">
        <is>
          <t>Observaciones</t>
        </is>
      </c>
    </row>
    <row r="6">
      <c r="A6" s="9" t="inlineStr">
        <is>
          <t>ID-01, ID-07</t>
        </is>
      </c>
      <c r="B6" s="9" t="inlineStr">
        <is>
          <t>MP-88</t>
        </is>
      </c>
      <c r="C6" s="9" t="inlineStr">
        <is>
          <t>Etiqueta del cilindro suelto</t>
        </is>
      </c>
      <c r="D6" s="9" t="inlineStr">
        <is>
          <t>u</t>
        </is>
      </c>
      <c r="E6" s="9" t="inlineStr">
        <is>
          <t>Rollo de 1.000 u</t>
        </is>
      </c>
      <c r="F6" s="10" t="n">
        <v>2278.3</v>
      </c>
      <c r="G6" s="10" t="n">
        <v>6728</v>
      </c>
      <c r="H6" s="10" t="n">
        <v>22278.3</v>
      </c>
      <c r="I6" s="11" t="n">
        <v>889.9425</v>
      </c>
      <c r="J6" s="12" t="n"/>
      <c r="K6" s="10">
        <f>IFERROR(IF(OR(J6="",I6=0),"",J6/I6),"")</f>
        <v/>
      </c>
      <c r="L6" s="13">
        <f>IF(J6="","",IF(J6&lt;=F6,"BAJO SEGURIDAD",IF(J6&lt;=G6,"PEDIR","OK")))</f>
        <v/>
      </c>
      <c r="M6" s="9" t="n"/>
    </row>
    <row r="7">
      <c r="A7" s="9" t="inlineStr">
        <is>
          <t>ID-02, ID-03, ID-07</t>
        </is>
      </c>
      <c r="B7" s="9" t="inlineStr">
        <is>
          <t>MP-85</t>
        </is>
      </c>
      <c r="C7" s="9" t="inlineStr">
        <is>
          <t>Impresos (protocolo de ensayo, remito de préstamo)</t>
        </is>
      </c>
      <c r="D7" s="9" t="inlineStr">
        <is>
          <t>u</t>
        </is>
      </c>
      <c r="E7" s="9" t="inlineStr">
        <is>
          <t>Paquete de 500 u</t>
        </is>
      </c>
      <c r="F7" s="10" t="n">
        <v>1472.1</v>
      </c>
      <c r="G7" s="10" t="n">
        <v>3242.3</v>
      </c>
      <c r="H7" s="10" t="n">
        <v>23472.1</v>
      </c>
      <c r="I7" s="11" t="n">
        <v>885.1376</v>
      </c>
      <c r="J7" s="12" t="n"/>
      <c r="K7" s="10">
        <f>IFERROR(IF(OR(J7="",I7=0),"",J7/I7),"")</f>
        <v/>
      </c>
      <c r="L7" s="13">
        <f>IF(J7="","",IF(J7&lt;=F7,"BAJO SEGURIDAD",IF(J7&lt;=G7,"PEDIR","OK")))</f>
        <v/>
      </c>
      <c r="M7" s="9" t="n"/>
    </row>
    <row r="8">
      <c r="A8" s="9" t="inlineStr">
        <is>
          <t>ID-04</t>
        </is>
      </c>
      <c r="B8" s="9" t="inlineStr">
        <is>
          <t>MP-56/ABC1</t>
        </is>
      </c>
      <c r="C8" s="9" t="inlineStr">
        <is>
          <t>Etiqueta de características ABC 1 kg</t>
        </is>
      </c>
      <c r="D8" s="9" t="inlineStr">
        <is>
          <t>u</t>
        </is>
      </c>
      <c r="E8" s="9" t="inlineStr">
        <is>
          <t>Rollo de 1.000 u</t>
        </is>
      </c>
      <c r="F8" s="10" t="n">
        <v>342.1</v>
      </c>
      <c r="G8" s="10" t="n">
        <v>1010.3</v>
      </c>
      <c r="H8" s="10" t="n">
        <v>3342.1</v>
      </c>
      <c r="I8" s="11" t="n">
        <v>133.636</v>
      </c>
      <c r="J8" s="12" t="n"/>
      <c r="K8" s="10">
        <f>IFERROR(IF(OR(J8="",I8=0),"",J8/I8),"")</f>
        <v/>
      </c>
      <c r="L8" s="13">
        <f>IF(J8="","",IF(J8&lt;=F8,"BAJO SEGURIDAD",IF(J8&lt;=G8,"PEDIR","OK")))</f>
        <v/>
      </c>
      <c r="M8" s="9" t="n"/>
    </row>
    <row r="9">
      <c r="A9" s="9" t="inlineStr">
        <is>
          <t>ID-04</t>
        </is>
      </c>
      <c r="B9" s="9" t="inlineStr">
        <is>
          <t>MP-56/ABC2.5</t>
        </is>
      </c>
      <c r="C9" s="9" t="inlineStr">
        <is>
          <t>Etiqueta de características ABC 2,5 kg</t>
        </is>
      </c>
      <c r="D9" s="9" t="inlineStr">
        <is>
          <t>u</t>
        </is>
      </c>
      <c r="E9" s="9" t="inlineStr">
        <is>
          <t>Rollo de 1.000 u</t>
        </is>
      </c>
      <c r="F9" s="10" t="n">
        <v>79.3</v>
      </c>
      <c r="G9" s="10" t="n">
        <v>234.2</v>
      </c>
      <c r="H9" s="10" t="n">
        <v>1079.3</v>
      </c>
      <c r="I9" s="11" t="n">
        <v>30.9852</v>
      </c>
      <c r="J9" s="12" t="n"/>
      <c r="K9" s="10">
        <f>IFERROR(IF(OR(J9="",I9=0),"",J9/I9),"")</f>
        <v/>
      </c>
      <c r="L9" s="13">
        <f>IF(J9="","",IF(J9&lt;=F9,"BAJO SEGURIDAD",IF(J9&lt;=G9,"PEDIR","OK")))</f>
        <v/>
      </c>
      <c r="M9" s="9" t="n"/>
    </row>
    <row r="10">
      <c r="A10" s="9" t="inlineStr">
        <is>
          <t>ID-04</t>
        </is>
      </c>
      <c r="B10" s="9" t="inlineStr">
        <is>
          <t>MP-56/ABC25</t>
        </is>
      </c>
      <c r="C10" s="9" t="inlineStr">
        <is>
          <t>Etiqueta de características ABC 25 kg</t>
        </is>
      </c>
      <c r="D10" s="9" t="inlineStr">
        <is>
          <t>u</t>
        </is>
      </c>
      <c r="E10" s="9" t="inlineStr">
        <is>
          <t>Rollo de 500 u</t>
        </is>
      </c>
      <c r="F10" s="10" t="n">
        <v>1.2</v>
      </c>
      <c r="G10" s="10" t="n">
        <v>4.1</v>
      </c>
      <c r="H10" s="10" t="n">
        <v>501.2</v>
      </c>
      <c r="I10" s="11" t="n">
        <v>1.8903</v>
      </c>
      <c r="J10" s="12" t="n"/>
      <c r="K10" s="10">
        <f>IFERROR(IF(OR(J10="",I10=0),"",J10/I10),"")</f>
        <v/>
      </c>
      <c r="L10" s="13">
        <f>IF(J10="","",IF(J10&lt;=F10,"BAJO SEGURIDAD",IF(J10&lt;=G10,"PEDIR","OK")))</f>
        <v/>
      </c>
      <c r="M10" s="9" t="n"/>
    </row>
    <row r="11">
      <c r="A11" s="9" t="inlineStr">
        <is>
          <t>ID-04</t>
        </is>
      </c>
      <c r="B11" s="9" t="inlineStr">
        <is>
          <t>MP-79</t>
        </is>
      </c>
      <c r="C11" s="9" t="inlineStr">
        <is>
          <t>Estampilla IRAM de conformidad</t>
        </is>
      </c>
      <c r="D11" s="9" t="inlineStr">
        <is>
          <t>u</t>
        </is>
      </c>
      <c r="E11" s="9" t="inlineStr">
        <is>
          <t>Paquete de 500 u</t>
        </is>
      </c>
      <c r="F11" s="10" t="n">
        <v>517.9</v>
      </c>
      <c r="G11" s="10" t="n">
        <v>6991.5</v>
      </c>
      <c r="H11" s="10" t="n">
        <v>7517.9</v>
      </c>
      <c r="I11" s="11" t="n">
        <v>308.2654</v>
      </c>
      <c r="J11" s="12" t="n"/>
      <c r="K11" s="10">
        <f>IFERROR(IF(OR(J11="",I11=0),"",J11/I11),"")</f>
        <v/>
      </c>
      <c r="L11" s="13">
        <f>IF(J11="","",IF(J11&lt;=F11,"BAJO SEGURIDAD",IF(J11&lt;=G11,"PEDIR","OK")))</f>
        <v/>
      </c>
      <c r="M11" s="9" t="n"/>
    </row>
    <row r="12">
      <c r="A12" s="9" t="inlineStr">
        <is>
          <t>ID-05</t>
        </is>
      </c>
      <c r="B12" s="9" t="inlineStr">
        <is>
          <t>MP-56/ABC10</t>
        </is>
      </c>
      <c r="C12" s="9" t="inlineStr">
        <is>
          <t>Etiqueta de características ABC 10 kg</t>
        </is>
      </c>
      <c r="D12" s="9" t="inlineStr">
        <is>
          <t>u</t>
        </is>
      </c>
      <c r="E12" s="9" t="inlineStr">
        <is>
          <t>Rollo de 1.000 u</t>
        </is>
      </c>
      <c r="F12" s="10" t="n">
        <v>5.1</v>
      </c>
      <c r="G12" s="10" t="n">
        <v>16.6</v>
      </c>
      <c r="H12" s="10" t="n">
        <v>1005.1</v>
      </c>
      <c r="I12" s="11" t="n">
        <v>7.6872</v>
      </c>
      <c r="J12" s="12" t="n"/>
      <c r="K12" s="10">
        <f>IFERROR(IF(OR(J12="",I12=0),"",J12/I12),"")</f>
        <v/>
      </c>
      <c r="L12" s="13">
        <f>IF(J12="","",IF(J12&lt;=F12,"BAJO SEGURIDAD",IF(J12&lt;=G12,"PEDIR","OK")))</f>
        <v/>
      </c>
      <c r="M12" s="9" t="n"/>
    </row>
    <row r="13">
      <c r="A13" s="9" t="inlineStr">
        <is>
          <t>ID-05</t>
        </is>
      </c>
      <c r="B13" s="9" t="inlineStr">
        <is>
          <t>MP-78</t>
        </is>
      </c>
      <c r="C13" s="9" t="inlineStr">
        <is>
          <t>Oblea de fabricación (PBA)</t>
        </is>
      </c>
      <c r="D13" s="9" t="inlineStr">
        <is>
          <t>u</t>
        </is>
      </c>
      <c r="E13" s="9" t="inlineStr">
        <is>
          <t>Paquete de 500 u</t>
        </is>
      </c>
      <c r="F13" s="10" t="n">
        <v>18.8</v>
      </c>
      <c r="G13" s="10" t="n">
        <v>254.3</v>
      </c>
      <c r="H13" s="10" t="n">
        <v>5518.8</v>
      </c>
      <c r="I13" s="11" t="n">
        <v>235.4484</v>
      </c>
      <c r="J13" s="12" t="n"/>
      <c r="K13" s="10">
        <f>IFERROR(IF(OR(J13="",I13=0),"",J13/I13),"")</f>
        <v/>
      </c>
      <c r="L13" s="13">
        <f>IF(J13="","",IF(J13&lt;=F13,"BAJO SEGURIDAD",IF(J13&lt;=G13,"PEDIR","OK")))</f>
        <v/>
      </c>
      <c r="M13" s="9" t="n"/>
    </row>
    <row r="14">
      <c r="A14" s="9" t="inlineStr">
        <is>
          <t>ID-05</t>
        </is>
      </c>
      <c r="B14" s="9" t="inlineStr">
        <is>
          <t>MP-80</t>
        </is>
      </c>
      <c r="C14" s="9" t="inlineStr">
        <is>
          <t>Etiqueta de n° de serie GS1</t>
        </is>
      </c>
      <c r="D14" s="9" t="inlineStr">
        <is>
          <t>u</t>
        </is>
      </c>
      <c r="E14" s="9" t="inlineStr">
        <is>
          <t>Rollo de 1.000 u</t>
        </is>
      </c>
      <c r="F14" s="10" t="n">
        <v>789.2</v>
      </c>
      <c r="G14" s="10" t="n">
        <v>2330.5</v>
      </c>
      <c r="H14" s="10" t="n">
        <v>7789.2</v>
      </c>
      <c r="I14" s="11" t="n">
        <v>308.2654</v>
      </c>
      <c r="J14" s="12" t="n"/>
      <c r="K14" s="10">
        <f>IFERROR(IF(OR(J14="",I14=0),"",J14/I14),"")</f>
        <v/>
      </c>
      <c r="L14" s="13">
        <f>IF(J14="","",IF(J14&lt;=F14,"BAJO SEGURIDAD",IF(J14&lt;=G14,"PEDIR","OK")))</f>
        <v/>
      </c>
      <c r="M14" s="9" t="n"/>
    </row>
    <row r="15">
      <c r="A15" s="9" t="inlineStr">
        <is>
          <t>ID-06</t>
        </is>
      </c>
      <c r="B15" s="9" t="inlineStr">
        <is>
          <t>MP-56/ABC5</t>
        </is>
      </c>
      <c r="C15" s="9" t="inlineStr">
        <is>
          <t>Etiqueta de características ABC 5 kg</t>
        </is>
      </c>
      <c r="D15" s="9" t="inlineStr">
        <is>
          <t>u</t>
        </is>
      </c>
      <c r="E15" s="9" t="inlineStr">
        <is>
          <t>Rollo de 1.000 u</t>
        </is>
      </c>
      <c r="F15" s="10" t="n">
        <v>328.7</v>
      </c>
      <c r="G15" s="10" t="n">
        <v>970.7</v>
      </c>
      <c r="H15" s="10" t="n">
        <v>3328.7</v>
      </c>
      <c r="I15" s="11" t="n">
        <v>128.3957</v>
      </c>
      <c r="J15" s="12" t="n"/>
      <c r="K15" s="10">
        <f>IFERROR(IF(OR(J15="",I15=0),"",J15/I15),"")</f>
        <v/>
      </c>
      <c r="L15" s="13">
        <f>IF(J15="","",IF(J15&lt;=F15,"BAJO SEGURIDAD",IF(J15&lt;=G15,"PEDIR","OK")))</f>
        <v/>
      </c>
      <c r="M15" s="9" t="n"/>
    </row>
    <row r="16">
      <c r="A16" s="9" t="inlineStr">
        <is>
          <t>ID-06</t>
        </is>
      </c>
      <c r="B16" s="9" t="inlineStr">
        <is>
          <t>MP-56/ABC50</t>
        </is>
      </c>
      <c r="C16" s="9" t="inlineStr">
        <is>
          <t>Etiqueta de características ABC 50 kg</t>
        </is>
      </c>
      <c r="D16" s="9" t="inlineStr">
        <is>
          <t>u</t>
        </is>
      </c>
      <c r="E16" s="9" t="inlineStr">
        <is>
          <t>Rollo de 1.000 u</t>
        </is>
      </c>
      <c r="F16" s="10" t="n">
        <v>2.7</v>
      </c>
      <c r="G16" s="10" t="n">
        <v>9</v>
      </c>
      <c r="H16" s="10" t="n">
        <v>1002.7</v>
      </c>
      <c r="I16" s="11" t="n">
        <v>4.1583</v>
      </c>
      <c r="J16" s="12" t="n"/>
      <c r="K16" s="10">
        <f>IFERROR(IF(OR(J16="",I16=0),"",J16/I16),"")</f>
        <v/>
      </c>
      <c r="L16" s="13">
        <f>IF(J16="","",IF(J16&lt;=F16,"BAJO SEGURIDAD",IF(J16&lt;=G16,"PEDIR","OK")))</f>
        <v/>
      </c>
      <c r="M16" s="9" t="n"/>
    </row>
    <row r="17">
      <c r="A17" s="9" t="inlineStr">
        <is>
          <t>ID-06</t>
        </is>
      </c>
      <c r="B17" s="9" t="inlineStr">
        <is>
          <t>MP-56/ABC70</t>
        </is>
      </c>
      <c r="C17" s="9" t="inlineStr">
        <is>
          <t>Etiqueta de características ABC 70 kg</t>
        </is>
      </c>
      <c r="D17" s="9" t="inlineStr">
        <is>
          <t>u</t>
        </is>
      </c>
      <c r="E17" s="9" t="inlineStr">
        <is>
          <t>Rollo de 250 u</t>
        </is>
      </c>
      <c r="F17" s="10" t="n">
        <v>0.6</v>
      </c>
      <c r="G17" s="10" t="n">
        <v>2</v>
      </c>
      <c r="H17" s="10" t="n">
        <v>250.6</v>
      </c>
      <c r="I17" s="11" t="n">
        <v>0.9075</v>
      </c>
      <c r="J17" s="12" t="n"/>
      <c r="K17" s="10">
        <f>IFERROR(IF(OR(J17="",I17=0),"",J17/I17),"")</f>
        <v/>
      </c>
      <c r="L17" s="13">
        <f>IF(J17="","",IF(J17&lt;=F17,"BAJO SEGURIDAD",IF(J17&lt;=G17,"PEDIR","OK")))</f>
        <v/>
      </c>
      <c r="M17" s="9" t="n"/>
    </row>
    <row r="18">
      <c r="A18" s="9" t="inlineStr">
        <is>
          <t>ID-06</t>
        </is>
      </c>
      <c r="B18" s="9" t="inlineStr">
        <is>
          <t>MP-81</t>
        </is>
      </c>
      <c r="C18" s="9" t="inlineStr">
        <is>
          <t>Faja de garantía válvula-cuello</t>
        </is>
      </c>
      <c r="D18" s="9" t="inlineStr">
        <is>
          <t>u</t>
        </is>
      </c>
      <c r="E18" s="9" t="inlineStr">
        <is>
          <t>Rollo de 1.000 u</t>
        </is>
      </c>
      <c r="F18" s="10" t="n">
        <v>789.2</v>
      </c>
      <c r="G18" s="10" t="n">
        <v>2330.5</v>
      </c>
      <c r="H18" s="10" t="n">
        <v>7789.2</v>
      </c>
      <c r="I18" s="11" t="n">
        <v>308.2654</v>
      </c>
      <c r="J18" s="12" t="n"/>
      <c r="K18" s="10">
        <f>IFERROR(IF(OR(J18="",I18=0),"",J18/I18),"")</f>
        <v/>
      </c>
      <c r="L18" s="13">
        <f>IF(J18="","",IF(J18&lt;=F18,"BAJO SEGURIDAD",IF(J18&lt;=G18,"PEDIR","OK")))</f>
        <v/>
      </c>
      <c r="M18" s="9" t="n"/>
    </row>
    <row r="19">
      <c r="A19" s="9" t="inlineStr">
        <is>
          <t>ID-06</t>
        </is>
      </c>
      <c r="B19" s="9" t="inlineStr">
        <is>
          <t>MP-51</t>
        </is>
      </c>
      <c r="C19" s="9" t="inlineStr">
        <is>
          <t>Precinto de fábrica</t>
        </is>
      </c>
      <c r="D19" s="9" t="inlineStr">
        <is>
          <t>u</t>
        </is>
      </c>
      <c r="E19" s="9" t="inlineStr">
        <is>
          <t>Bolsa de 1.000 u</t>
        </is>
      </c>
      <c r="F19" s="10" t="n">
        <v>431.6</v>
      </c>
      <c r="G19" s="10" t="n">
        <v>1664.6</v>
      </c>
      <c r="H19" s="10" t="n">
        <v>7431.6</v>
      </c>
      <c r="I19" s="11" t="n">
        <v>308.2654</v>
      </c>
      <c r="J19" s="12" t="n"/>
      <c r="K19" s="10">
        <f>IFERROR(IF(OR(J19="",I19=0),"",J19/I19),"")</f>
        <v/>
      </c>
      <c r="L19" s="13">
        <f>IF(J19="","",IF(J19&lt;=F19,"BAJO SEGURIDAD",IF(J19&lt;=G19,"PEDIR","OK")))</f>
        <v/>
      </c>
      <c r="M19" s="9" t="n"/>
    </row>
    <row r="20">
      <c r="A20" s="9" t="inlineStr">
        <is>
          <t>ID-07</t>
        </is>
      </c>
      <c r="B20" s="9" t="inlineStr">
        <is>
          <t>MP-56/ABC100</t>
        </is>
      </c>
      <c r="C20" s="9" t="inlineStr">
        <is>
          <t>Etiqueta de características ABC 100 kg</t>
        </is>
      </c>
      <c r="D20" s="9" t="inlineStr">
        <is>
          <t>u</t>
        </is>
      </c>
      <c r="E20" s="9" t="inlineStr">
        <is>
          <t>Rollo de 250 u</t>
        </is>
      </c>
      <c r="F20" s="10" t="n">
        <v>0.4</v>
      </c>
      <c r="G20" s="10" t="n">
        <v>1.3</v>
      </c>
      <c r="H20" s="10" t="n">
        <v>250.4</v>
      </c>
      <c r="I20" s="11" t="n">
        <v>0.605</v>
      </c>
      <c r="J20" s="12" t="n"/>
      <c r="K20" s="10">
        <f>IFERROR(IF(OR(J20="",I20=0),"",J20/I20),"")</f>
        <v/>
      </c>
      <c r="L20" s="13">
        <f>IF(J20="","",IF(J20&lt;=F20,"BAJO SEGURIDAD",IF(J20&lt;=G20,"PEDIR","OK")))</f>
        <v/>
      </c>
      <c r="M20" s="9" t="n"/>
    </row>
    <row r="21">
      <c r="A21" s="9" t="inlineStr">
        <is>
          <t>ID-07</t>
        </is>
      </c>
      <c r="B21" s="9" t="inlineStr">
        <is>
          <t>MP-77</t>
        </is>
      </c>
      <c r="C21" s="9" t="inlineStr">
        <is>
          <t>Tarjeta de identificación AGC (CABA)</t>
        </is>
      </c>
      <c r="D21" s="9" t="inlineStr">
        <is>
          <t>u</t>
        </is>
      </c>
      <c r="E21" s="9" t="inlineStr">
        <is>
          <t>Paquete de 500 u</t>
        </is>
      </c>
      <c r="F21" s="10" t="n">
        <v>12.2</v>
      </c>
      <c r="G21" s="10" t="n">
        <v>164.5</v>
      </c>
      <c r="H21" s="10" t="n">
        <v>3512.2</v>
      </c>
      <c r="I21" s="11" t="n">
        <v>152.3182</v>
      </c>
      <c r="J21" s="12" t="n"/>
      <c r="K21" s="10">
        <f>IFERROR(IF(OR(J21="",I21=0),"",J21/I21),"")</f>
        <v/>
      </c>
      <c r="L21" s="13">
        <f>IF(J21="","",IF(J21&lt;=F21,"BAJO SEGURIDAD",IF(J21&lt;=G21,"PEDIR","OK")))</f>
        <v/>
      </c>
      <c r="M21" s="9" t="n"/>
    </row>
  </sheetData>
  <mergeCells count="1">
    <mergeCell ref="D3:E3"/>
  </mergeCells>
  <dataValidations count="1">
    <dataValidation sqref="J6:J21" showDropDown="0" showInputMessage="0" showErrorMessage="0" allowBlank="1" error="El stock contado es un número mayor o igual a cero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7" customWidth="1" min="4" max="4"/>
    <col width="26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1" customWidth="1" min="11" max="11"/>
    <col width="16" customWidth="1" min="12" max="12"/>
    <col width="28" customWidth="1" min="13" max="13"/>
  </cols>
  <sheetData>
    <row r="1">
      <c r="A1" s="1" t="inlineStr">
        <is>
          <t>Conteo · Insumos de montaje (manuales)</t>
        </is>
      </c>
    </row>
    <row r="2">
      <c r="A2" s="3" t="inlineStr">
        <is>
          <t>Rack selectivo 1.000 kg/nivel · 19 lugares · Abajo el pallet o la caja en uso (de ahí sale el carro de abastecimiento), arriba la reposición del pedido mensual.</t>
        </is>
      </c>
    </row>
    <row r="3">
      <c r="A3" s="4" t="inlineStr">
        <is>
          <t>Fecha del conteo</t>
        </is>
      </c>
      <c r="B3" s="5" t="n"/>
      <c r="C3" s="4" t="inlineStr">
        <is>
          <t>Contó</t>
        </is>
      </c>
      <c r="D3" s="6" t="n"/>
      <c r="E3" s="7" t="n"/>
    </row>
    <row r="5">
      <c r="A5" s="8" t="inlineStr">
        <is>
          <t>Lugar</t>
        </is>
      </c>
      <c r="B5" s="8" t="inlineStr">
        <is>
          <t>Código</t>
        </is>
      </c>
      <c r="C5" s="8" t="inlineStr">
        <is>
          <t>Material</t>
        </is>
      </c>
      <c r="D5" s="8" t="inlineStr">
        <is>
          <t>UM</t>
        </is>
      </c>
      <c r="E5" s="8" t="inlineStr">
        <is>
          <t>Se compra en</t>
        </is>
      </c>
      <c r="F5" s="8" t="inlineStr">
        <is>
          <t>Seguridad</t>
        </is>
      </c>
      <c r="G5" s="8" t="inlineStr">
        <is>
          <t>Punto de pedido</t>
        </is>
      </c>
      <c r="H5" s="8" t="inlineStr">
        <is>
          <t>Máximo</t>
        </is>
      </c>
      <c r="I5" s="8" t="inlineStr">
        <is>
          <t>Consumo por día</t>
        </is>
      </c>
      <c r="J5" s="8" t="inlineStr">
        <is>
          <t>Stock contado</t>
        </is>
      </c>
      <c r="K5" s="8" t="inlineStr">
        <is>
          <t>Días de stock</t>
        </is>
      </c>
      <c r="L5" s="8" t="inlineStr">
        <is>
          <t>Estado</t>
        </is>
      </c>
      <c r="M5" s="8" t="inlineStr">
        <is>
          <t>Observaciones</t>
        </is>
      </c>
    </row>
    <row r="6">
      <c r="A6" s="9" t="inlineStr">
        <is>
          <t>IM01-1A, IM03-3A</t>
        </is>
      </c>
      <c r="B6" s="9" t="inlineStr">
        <is>
          <t>MP-18</t>
        </is>
      </c>
      <c r="C6" s="9" t="inlineStr">
        <is>
          <t>Asiento de válvula M22 × 1,5 (1 kg)</t>
        </is>
      </c>
      <c r="D6" s="9" t="inlineStr">
        <is>
          <t>u</t>
        </is>
      </c>
      <c r="E6" s="9" t="inlineStr">
        <is>
          <t>Caja de 500 u (≈ 16 kg, un turno)</t>
        </is>
      </c>
      <c r="F6" s="10" t="n">
        <v>3647.2</v>
      </c>
      <c r="G6" s="10" t="n">
        <v>26442</v>
      </c>
      <c r="H6" s="10" t="n">
        <v>22147.2</v>
      </c>
      <c r="I6" s="11" t="n">
        <v>844.2527</v>
      </c>
      <c r="J6" s="12" t="n"/>
      <c r="K6" s="10">
        <f>IFERROR(IF(OR(J6="",I6=0),"",J6/I6),"")</f>
        <v/>
      </c>
      <c r="L6" s="13">
        <f>IF(J6="","",IF(J6&lt;=F6,"BAJO SEGURIDAD",IF(J6&lt;=G6,"PEDIR","OK")))</f>
        <v/>
      </c>
      <c r="M6" s="9" t="n"/>
    </row>
    <row r="7">
      <c r="A7" s="9" t="inlineStr">
        <is>
          <t>IM01-2A, IM03-3B</t>
        </is>
      </c>
      <c r="B7" s="9" t="inlineStr">
        <is>
          <t>MP-19</t>
        </is>
      </c>
      <c r="C7" s="9" t="inlineStr">
        <is>
          <t>Asiento de válvula M30 × 1,5 (2,5 a 10 kg)</t>
        </is>
      </c>
      <c r="D7" s="9" t="inlineStr">
        <is>
          <t>u</t>
        </is>
      </c>
      <c r="E7" s="9" t="inlineStr">
        <is>
          <t>Caja de 500 u (≈ 15 kg)</t>
        </is>
      </c>
      <c r="F7" s="10" t="n">
        <v>1473.2</v>
      </c>
      <c r="G7" s="10" t="n">
        <v>10680.4</v>
      </c>
      <c r="H7" s="10" t="n">
        <v>8973.200000000001</v>
      </c>
      <c r="I7" s="11" t="n">
        <v>341.008</v>
      </c>
      <c r="J7" s="12" t="n"/>
      <c r="K7" s="10">
        <f>IFERROR(IF(OR(J7="",I7=0),"",J7/I7),"")</f>
        <v/>
      </c>
      <c r="L7" s="13">
        <f>IF(J7="","",IF(J7&lt;=F7,"BAJO SEGURIDAD",IF(J7&lt;=G7,"PEDIR","OK")))</f>
        <v/>
      </c>
      <c r="M7" s="9" t="n"/>
    </row>
    <row r="8">
      <c r="A8" s="9" t="inlineStr">
        <is>
          <t>IM01-3A, IM04-1A</t>
        </is>
      </c>
      <c r="B8" s="9" t="inlineStr">
        <is>
          <t>MP-42</t>
        </is>
      </c>
      <c r="C8" s="9" t="inlineStr">
        <is>
          <t>Válvula HZ M-22 con tubo de pesca (1 kg)</t>
        </is>
      </c>
      <c r="D8" s="9" t="inlineStr">
        <is>
          <t>u</t>
        </is>
      </c>
      <c r="E8" s="9" t="inlineStr">
        <is>
          <t>Pallet de 3.000 u</t>
        </is>
      </c>
      <c r="F8" s="10" t="n">
        <v>275.3</v>
      </c>
      <c r="G8" s="10" t="n">
        <v>1010.3</v>
      </c>
      <c r="H8" s="10" t="n">
        <v>3275.3</v>
      </c>
      <c r="I8" s="11" t="n">
        <v>133.636</v>
      </c>
      <c r="J8" s="12" t="n"/>
      <c r="K8" s="10">
        <f>IFERROR(IF(OR(J8="",I8=0),"",J8/I8),"")</f>
        <v/>
      </c>
      <c r="L8" s="13">
        <f>IF(J8="","",IF(J8&lt;=F8,"BAJO SEGURIDAD",IF(J8&lt;=G8,"PEDIR","OK")))</f>
        <v/>
      </c>
      <c r="M8" s="9" t="n"/>
    </row>
    <row r="9">
      <c r="A9" s="9" t="inlineStr">
        <is>
          <t>IM01-1B, IM01-2B, IM01-3B, IM03-3B</t>
        </is>
      </c>
      <c r="B9" s="9" t="inlineStr">
        <is>
          <t>MP-43</t>
        </is>
      </c>
      <c r="C9" s="9" t="inlineStr">
        <is>
          <t>Válvula HZ M-30 con resorte, sin tubo pescante (2,5 a 10 kg)</t>
        </is>
      </c>
      <c r="D9" s="9" t="inlineStr">
        <is>
          <t>u</t>
        </is>
      </c>
      <c r="E9" s="9" t="inlineStr">
        <is>
          <t>Pallet de 1.500 u</t>
        </is>
      </c>
      <c r="F9" s="10" t="n">
        <v>344.2</v>
      </c>
      <c r="G9" s="10" t="n">
        <v>1263</v>
      </c>
      <c r="H9" s="10" t="n">
        <v>4844.2</v>
      </c>
      <c r="I9" s="11" t="n">
        <v>167.0682</v>
      </c>
      <c r="J9" s="12" t="n"/>
      <c r="K9" s="10">
        <f>IFERROR(IF(OR(J9="",I9=0),"",J9/I9),"")</f>
        <v/>
      </c>
      <c r="L9" s="13">
        <f>IF(J9="","",IF(J9&lt;=F9,"BAJO SEGURIDAD",IF(J9&lt;=G9,"PEDIR","OK")))</f>
        <v/>
      </c>
      <c r="M9" s="9" t="n"/>
    </row>
    <row r="10">
      <c r="A10" s="9" t="inlineStr">
        <is>
          <t>IM02-1A, IM02-2A, IM03-1B</t>
        </is>
      </c>
      <c r="B10" s="9" t="inlineStr">
        <is>
          <t>MP-45</t>
        </is>
      </c>
      <c r="C10" s="9" t="inlineStr">
        <is>
          <t>Manómetro 1,4 MPa</t>
        </is>
      </c>
      <c r="D10" s="9" t="inlineStr">
        <is>
          <t>u</t>
        </is>
      </c>
      <c r="E10" s="9" t="inlineStr">
        <is>
          <t>Caja de 100 u</t>
        </is>
      </c>
      <c r="F10" s="10" t="n">
        <v>635</v>
      </c>
      <c r="G10" s="10" t="n">
        <v>2330.5</v>
      </c>
      <c r="H10" s="10" t="n">
        <v>7335</v>
      </c>
      <c r="I10" s="11" t="n">
        <v>308.2654</v>
      </c>
      <c r="J10" s="12" t="n"/>
      <c r="K10" s="10">
        <f>IFERROR(IF(OR(J10="",I10=0),"",J10/I10),"")</f>
        <v/>
      </c>
      <c r="L10" s="13">
        <f>IF(J10="","",IF(J10&lt;=F10,"BAJO SEGURIDAD",IF(J10&lt;=G10,"PEDIR","OK")))</f>
        <v/>
      </c>
      <c r="M10" s="9" t="n"/>
    </row>
    <row r="11">
      <c r="A11" s="9" t="inlineStr">
        <is>
          <t>IM02-3A, IM02-1B, IM04-1A</t>
        </is>
      </c>
      <c r="B11" s="9" t="inlineStr">
        <is>
          <t>MP-48/ABC1</t>
        </is>
      </c>
      <c r="C11" s="9" t="inlineStr">
        <is>
          <t>Tobera ABC 1 kg</t>
        </is>
      </c>
      <c r="D11" s="9" t="inlineStr">
        <is>
          <t>u</t>
        </is>
      </c>
      <c r="E11" s="9" t="inlineStr">
        <is>
          <t>Caja de 50 u</t>
        </is>
      </c>
      <c r="F11" s="10" t="n">
        <v>275.3</v>
      </c>
      <c r="G11" s="10" t="n">
        <v>1010.3</v>
      </c>
      <c r="H11" s="10" t="n">
        <v>3175.3</v>
      </c>
      <c r="I11" s="11" t="n">
        <v>133.636</v>
      </c>
      <c r="J11" s="12" t="n"/>
      <c r="K11" s="10">
        <f>IFERROR(IF(OR(J11="",I11=0),"",J11/I11),"")</f>
        <v/>
      </c>
      <c r="L11" s="13">
        <f>IF(J11="","",IF(J11&lt;=F11,"BAJO SEGURIDAD",IF(J11&lt;=G11,"PEDIR","OK")))</f>
        <v/>
      </c>
      <c r="M11" s="9" t="n"/>
    </row>
    <row r="12">
      <c r="A12" s="9" t="inlineStr">
        <is>
          <t>IM02-2B, IM02-3B, IM03-1B</t>
        </is>
      </c>
      <c r="B12" s="9" t="inlineStr">
        <is>
          <t>MP-48/ABC5</t>
        </is>
      </c>
      <c r="C12" s="9" t="inlineStr">
        <is>
          <t>Manguera con tobera ABC 5 kg</t>
        </is>
      </c>
      <c r="D12" s="9" t="inlineStr">
        <is>
          <t>u</t>
        </is>
      </c>
      <c r="E12" s="9" t="inlineStr">
        <is>
          <t>Caja de 50 u</t>
        </is>
      </c>
      <c r="F12" s="10" t="n">
        <v>264.5</v>
      </c>
      <c r="G12" s="10" t="n">
        <v>970.7</v>
      </c>
      <c r="H12" s="10" t="n">
        <v>3064.5</v>
      </c>
      <c r="I12" s="11" t="n">
        <v>128.3957</v>
      </c>
      <c r="J12" s="12" t="n"/>
      <c r="K12" s="10">
        <f>IFERROR(IF(OR(J12="",I12=0),"",J12/I12),"")</f>
        <v/>
      </c>
      <c r="L12" s="13">
        <f>IF(J12="","",IF(J12&lt;=F12,"BAJO SEGURIDAD",IF(J12&lt;=G12,"PEDIR","OK")))</f>
        <v/>
      </c>
      <c r="M12" s="9" t="n"/>
    </row>
    <row r="13">
      <c r="A13" s="9" t="inlineStr">
        <is>
          <t>IM03-1A, IM03-2B</t>
        </is>
      </c>
      <c r="B13" s="9" t="inlineStr">
        <is>
          <t>MP-52/ABC5</t>
        </is>
      </c>
      <c r="C13" s="9" t="inlineStr">
        <is>
          <t>Soporte de pared ABC 5 kg</t>
        </is>
      </c>
      <c r="D13" s="9" t="inlineStr">
        <is>
          <t>u</t>
        </is>
      </c>
      <c r="E13" s="9" t="inlineStr">
        <is>
          <t>Caja de 100 u</t>
        </is>
      </c>
      <c r="F13" s="10" t="n">
        <v>328.7</v>
      </c>
      <c r="G13" s="10" t="n">
        <v>970.7</v>
      </c>
      <c r="H13" s="10" t="n">
        <v>3128.7</v>
      </c>
      <c r="I13" s="11" t="n">
        <v>128.3957</v>
      </c>
      <c r="J13" s="12" t="n"/>
      <c r="K13" s="10">
        <f>IFERROR(IF(OR(J13="",I13=0),"",J13/I13),"")</f>
        <v/>
      </c>
      <c r="L13" s="13">
        <f>IF(J13="","",IF(J13&lt;=F13,"BAJO SEGURIDAD",IF(J13&lt;=G13,"PEDIR","OK")))</f>
        <v/>
      </c>
      <c r="M13" s="9" t="n"/>
    </row>
    <row r="14">
      <c r="A14" s="9" t="inlineStr">
        <is>
          <t>IM03-2A, IM04-1A</t>
        </is>
      </c>
      <c r="B14" s="9" t="inlineStr">
        <is>
          <t>MP-87</t>
        </is>
      </c>
      <c r="C14" s="9" t="inlineStr">
        <is>
          <t>Soporte vehicular (1 kg)</t>
        </is>
      </c>
      <c r="D14" s="9" t="inlineStr">
        <is>
          <t>u</t>
        </is>
      </c>
      <c r="E14" s="9" t="inlineStr">
        <is>
          <t>Caja de 100 u</t>
        </is>
      </c>
      <c r="F14" s="10" t="n">
        <v>342.1</v>
      </c>
      <c r="G14" s="10" t="n">
        <v>1010.3</v>
      </c>
      <c r="H14" s="10" t="n">
        <v>3242.1</v>
      </c>
      <c r="I14" s="11" t="n">
        <v>133.636</v>
      </c>
      <c r="J14" s="12" t="n"/>
      <c r="K14" s="10">
        <f>IFERROR(IF(OR(J14="",I14=0),"",J14/I14),"")</f>
        <v/>
      </c>
      <c r="L14" s="13">
        <f>IF(J14="","",IF(J14&lt;=F14,"BAJO SEGURIDAD",IF(J14&lt;=G14,"PEDIR","OK")))</f>
        <v/>
      </c>
      <c r="M14" s="9" t="n"/>
    </row>
    <row r="15">
      <c r="A15" s="9" t="inlineStr">
        <is>
          <t>IM03-3A</t>
        </is>
      </c>
      <c r="B15" s="9" t="inlineStr">
        <is>
          <t>MP-46/ABC2.5</t>
        </is>
      </c>
      <c r="C15" s="9" t="inlineStr">
        <is>
          <t>Tubo pescante de PVC rígido, ABC 2,5 kg</t>
        </is>
      </c>
      <c r="D15" s="9" t="inlineStr">
        <is>
          <t>u</t>
        </is>
      </c>
      <c r="E15" s="9" t="inlineStr">
        <is>
          <t>Caja de 200 u</t>
        </is>
      </c>
      <c r="F15" s="10" t="n">
        <v>63.8</v>
      </c>
      <c r="G15" s="10" t="n">
        <v>234.2</v>
      </c>
      <c r="H15" s="10" t="n">
        <v>863.8</v>
      </c>
      <c r="I15" s="11" t="n">
        <v>30.9852</v>
      </c>
      <c r="J15" s="12" t="n"/>
      <c r="K15" s="10">
        <f>IFERROR(IF(OR(J15="",I15=0),"",J15/I15),"")</f>
        <v/>
      </c>
      <c r="L15" s="13">
        <f>IF(J15="","",IF(J15&lt;=F15,"BAJO SEGURIDAD",IF(J15&lt;=G15,"PEDIR","OK")))</f>
        <v/>
      </c>
      <c r="M15" s="9" t="n"/>
    </row>
    <row r="16">
      <c r="A16" s="9" t="inlineStr">
        <is>
          <t>IM03-1B</t>
        </is>
      </c>
      <c r="B16" s="9" t="inlineStr">
        <is>
          <t>MP-46/ABC5</t>
        </is>
      </c>
      <c r="C16" s="9" t="inlineStr">
        <is>
          <t>Tubo pescante de PVC rígido, ABC 5 kg</t>
        </is>
      </c>
      <c r="D16" s="9" t="inlineStr">
        <is>
          <t>u</t>
        </is>
      </c>
      <c r="E16" s="9" t="inlineStr">
        <is>
          <t>Caja de 200 u</t>
        </is>
      </c>
      <c r="F16" s="10" t="n">
        <v>264.5</v>
      </c>
      <c r="G16" s="10" t="n">
        <v>970.7</v>
      </c>
      <c r="H16" s="10" t="n">
        <v>3064.5</v>
      </c>
      <c r="I16" s="11" t="n">
        <v>128.3957</v>
      </c>
      <c r="J16" s="12" t="n"/>
      <c r="K16" s="10">
        <f>IFERROR(IF(OR(J16="",I16=0),"",J16/I16),"")</f>
        <v/>
      </c>
      <c r="L16" s="13">
        <f>IF(J16="","",IF(J16&lt;=F16,"BAJO SEGURIDAD",IF(J16&lt;=G16,"PEDIR","OK")))</f>
        <v/>
      </c>
      <c r="M16" s="9" t="n"/>
    </row>
    <row r="17">
      <c r="A17" s="9" t="inlineStr">
        <is>
          <t>IM03-2B</t>
        </is>
      </c>
      <c r="B17" s="9" t="inlineStr">
        <is>
          <t>MP-48/ABC2.5</t>
        </is>
      </c>
      <c r="C17" s="9" t="inlineStr">
        <is>
          <t>Manguera con tobera ABC 2,5 kg</t>
        </is>
      </c>
      <c r="D17" s="9" t="inlineStr">
        <is>
          <t>u</t>
        </is>
      </c>
      <c r="E17" s="9" t="inlineStr">
        <is>
          <t>Caja de 50 u</t>
        </is>
      </c>
      <c r="F17" s="10" t="n">
        <v>63.8</v>
      </c>
      <c r="G17" s="10" t="n">
        <v>234.2</v>
      </c>
      <c r="H17" s="10" t="n">
        <v>763.8</v>
      </c>
      <c r="I17" s="11" t="n">
        <v>30.9852</v>
      </c>
      <c r="J17" s="12" t="n"/>
      <c r="K17" s="10">
        <f>IFERROR(IF(OR(J17="",I17=0),"",J17/I17),"")</f>
        <v/>
      </c>
      <c r="L17" s="13">
        <f>IF(J17="","",IF(J17&lt;=F17,"BAJO SEGURIDAD",IF(J17&lt;=G17,"PEDIR","OK")))</f>
        <v/>
      </c>
      <c r="M17" s="9" t="n"/>
    </row>
    <row r="18">
      <c r="A18" s="9" t="inlineStr">
        <is>
          <t>IM03-2B</t>
        </is>
      </c>
      <c r="B18" s="9" t="inlineStr">
        <is>
          <t>MP-86</t>
        </is>
      </c>
      <c r="C18" s="9" t="inlineStr">
        <is>
          <t>Tornillo y tarugo de fijación</t>
        </is>
      </c>
      <c r="D18" s="9" t="inlineStr">
        <is>
          <t>u</t>
        </is>
      </c>
      <c r="E18" s="9" t="inlineStr">
        <is>
          <t>Bolsa de 1.000 u</t>
        </is>
      </c>
      <c r="F18" s="10" t="n">
        <v>467.8</v>
      </c>
      <c r="G18" s="10" t="n">
        <v>1804.3</v>
      </c>
      <c r="H18" s="10" t="n">
        <v>8467.799999999999</v>
      </c>
      <c r="I18" s="11" t="n">
        <v>334.1364</v>
      </c>
      <c r="J18" s="12" t="n"/>
      <c r="K18" s="10">
        <f>IFERROR(IF(OR(J18="",I18=0),"",J18/I18),"")</f>
        <v/>
      </c>
      <c r="L18" s="13">
        <f>IF(J18="","",IF(J18&lt;=F18,"BAJO SEGURIDAD",IF(J18&lt;=G18,"PEDIR","OK")))</f>
        <v/>
      </c>
      <c r="M18" s="9" t="n"/>
    </row>
    <row r="19">
      <c r="A19" s="9" t="inlineStr">
        <is>
          <t>IM03-3B</t>
        </is>
      </c>
      <c r="B19" s="9" t="inlineStr">
        <is>
          <t>MP-50/M22</t>
        </is>
      </c>
      <c r="C19" s="9" t="inlineStr">
        <is>
          <t>Junta tórica del cuello M22</t>
        </is>
      </c>
      <c r="D19" s="9" t="inlineStr">
        <is>
          <t>u</t>
        </is>
      </c>
      <c r="E19" s="9" t="inlineStr">
        <is>
          <t>Bolsa de 1.000 u</t>
        </is>
      </c>
      <c r="F19" s="10" t="n">
        <v>187.1</v>
      </c>
      <c r="G19" s="10" t="n">
        <v>721.6</v>
      </c>
      <c r="H19" s="10" t="n">
        <v>3187.1</v>
      </c>
      <c r="I19" s="11" t="n">
        <v>133.636</v>
      </c>
      <c r="J19" s="12" t="n"/>
      <c r="K19" s="10">
        <f>IFERROR(IF(OR(J19="",I19=0),"",J19/I19),"")</f>
        <v/>
      </c>
      <c r="L19" s="13">
        <f>IF(J19="","",IF(J19&lt;=F19,"BAJO SEGURIDAD",IF(J19&lt;=G19,"PEDIR","OK")))</f>
        <v/>
      </c>
      <c r="M19" s="9" t="n"/>
    </row>
    <row r="20">
      <c r="A20" s="9" t="inlineStr">
        <is>
          <t>IM03-3B</t>
        </is>
      </c>
      <c r="B20" s="9" t="inlineStr">
        <is>
          <t>MP-50/M30</t>
        </is>
      </c>
      <c r="C20" s="9" t="inlineStr">
        <is>
          <t>Junta tórica del cuello M30</t>
        </is>
      </c>
      <c r="D20" s="9" t="inlineStr">
        <is>
          <t>u</t>
        </is>
      </c>
      <c r="E20" s="9" t="inlineStr">
        <is>
          <t>Bolsa de 1.000 u</t>
        </is>
      </c>
      <c r="F20" s="10" t="n">
        <v>242.4</v>
      </c>
      <c r="G20" s="10" t="n">
        <v>934.8</v>
      </c>
      <c r="H20" s="10" t="n">
        <v>4242.4</v>
      </c>
      <c r="I20" s="11" t="n">
        <v>173.1168</v>
      </c>
      <c r="J20" s="12" t="n"/>
      <c r="K20" s="10">
        <f>IFERROR(IF(OR(J20="",I20=0),"",J20/I20),"")</f>
        <v/>
      </c>
      <c r="L20" s="13">
        <f>IF(J20="","",IF(J20&lt;=F20,"BAJO SEGURIDAD",IF(J20&lt;=G20,"PEDIR","OK")))</f>
        <v/>
      </c>
      <c r="M20" s="9" t="n"/>
    </row>
    <row r="21">
      <c r="A21" s="9" t="inlineStr">
        <is>
          <t>IM03-3B</t>
        </is>
      </c>
      <c r="B21" s="9" t="inlineStr">
        <is>
          <t>MP-52/ABC2.5</t>
        </is>
      </c>
      <c r="C21" s="9" t="inlineStr">
        <is>
          <t>Soporte de pared ABC 2,5 kg</t>
        </is>
      </c>
      <c r="D21" s="9" t="inlineStr">
        <is>
          <t>u</t>
        </is>
      </c>
      <c r="E21" s="9" t="inlineStr">
        <is>
          <t>Caja de 100 u</t>
        </is>
      </c>
      <c r="F21" s="10" t="n">
        <v>79.3</v>
      </c>
      <c r="G21" s="10" t="n">
        <v>234.2</v>
      </c>
      <c r="H21" s="10" t="n">
        <v>779.3</v>
      </c>
      <c r="I21" s="11" t="n">
        <v>30.9852</v>
      </c>
      <c r="J21" s="12" t="n"/>
      <c r="K21" s="10">
        <f>IFERROR(IF(OR(J21="",I21=0),"",J21/I21),"")</f>
        <v/>
      </c>
      <c r="L21" s="13">
        <f>IF(J21="","",IF(J21&lt;=F21,"BAJO SEGURIDAD",IF(J21&lt;=G21,"PEDIR","OK")))</f>
        <v/>
      </c>
      <c r="M21" s="9" t="n"/>
    </row>
    <row r="22">
      <c r="A22" s="9" t="inlineStr">
        <is>
          <t>IM04-1A</t>
        </is>
      </c>
      <c r="B22" s="9" t="inlineStr">
        <is>
          <t>MP-46/ABC10</t>
        </is>
      </c>
      <c r="C22" s="9" t="inlineStr">
        <is>
          <t>Tubo pescante de PVC rígido, ABC 10 kg</t>
        </is>
      </c>
      <c r="D22" s="9" t="inlineStr">
        <is>
          <t>u</t>
        </is>
      </c>
      <c r="E22" s="9" t="inlineStr">
        <is>
          <t>Caja de 200 u</t>
        </is>
      </c>
      <c r="F22" s="10" t="n">
        <v>15.8</v>
      </c>
      <c r="G22" s="10" t="n">
        <v>58.1</v>
      </c>
      <c r="H22" s="10" t="n">
        <v>215.8</v>
      </c>
      <c r="I22" s="11" t="n">
        <v>7.6872</v>
      </c>
      <c r="J22" s="12" t="n"/>
      <c r="K22" s="10">
        <f>IFERROR(IF(OR(J22="",I22=0),"",J22/I22),"")</f>
        <v/>
      </c>
      <c r="L22" s="13">
        <f>IF(J22="","",IF(J22&lt;=F22,"BAJO SEGURIDAD",IF(J22&lt;=G22,"PEDIR","OK")))</f>
        <v/>
      </c>
      <c r="M22" s="9" t="n"/>
    </row>
    <row r="23">
      <c r="A23" s="9" t="inlineStr">
        <is>
          <t>IM04-1A</t>
        </is>
      </c>
      <c r="B23" s="9" t="inlineStr">
        <is>
          <t>MP-48/ABC10</t>
        </is>
      </c>
      <c r="C23" s="9" t="inlineStr">
        <is>
          <t>Manguera con tobera ABC 10 kg</t>
        </is>
      </c>
      <c r="D23" s="9" t="inlineStr">
        <is>
          <t>u</t>
        </is>
      </c>
      <c r="E23" s="9" t="inlineStr">
        <is>
          <t>Caja de 50 u</t>
        </is>
      </c>
      <c r="F23" s="10" t="n">
        <v>15.8</v>
      </c>
      <c r="G23" s="10" t="n">
        <v>58.1</v>
      </c>
      <c r="H23" s="10" t="n">
        <v>215.8</v>
      </c>
      <c r="I23" s="11" t="n">
        <v>7.6872</v>
      </c>
      <c r="J23" s="12" t="n"/>
      <c r="K23" s="10">
        <f>IFERROR(IF(OR(J23="",I23=0),"",J23/I23),"")</f>
        <v/>
      </c>
      <c r="L23" s="13">
        <f>IF(J23="","",IF(J23&lt;=F23,"BAJO SEGURIDAD",IF(J23&lt;=G23,"PEDIR","OK")))</f>
        <v/>
      </c>
      <c r="M23" s="9" t="n"/>
    </row>
    <row r="24">
      <c r="A24" s="9" t="inlineStr">
        <is>
          <t>IM04-1A</t>
        </is>
      </c>
      <c r="B24" s="9" t="inlineStr">
        <is>
          <t>MP-52/ABC10</t>
        </is>
      </c>
      <c r="C24" s="9" t="inlineStr">
        <is>
          <t>Soporte de pared ABC 10 kg</t>
        </is>
      </c>
      <c r="D24" s="9" t="inlineStr">
        <is>
          <t>u</t>
        </is>
      </c>
      <c r="E24" s="9" t="inlineStr">
        <is>
          <t>Caja de 100 u</t>
        </is>
      </c>
      <c r="F24" s="10" t="n">
        <v>19.7</v>
      </c>
      <c r="G24" s="10" t="n">
        <v>58.1</v>
      </c>
      <c r="H24" s="10" t="n">
        <v>219.7</v>
      </c>
      <c r="I24" s="11" t="n">
        <v>7.6872</v>
      </c>
      <c r="J24" s="12" t="n"/>
      <c r="K24" s="10">
        <f>IFERROR(IF(OR(J24="",I24=0),"",J24/I24),"")</f>
        <v/>
      </c>
      <c r="L24" s="13">
        <f>IF(J24="","",IF(J24&lt;=F24,"BAJO SEGURIDAD",IF(J24&lt;=G24,"PEDIR","OK")))</f>
        <v/>
      </c>
      <c r="M24" s="9" t="n"/>
    </row>
  </sheetData>
  <mergeCells count="1">
    <mergeCell ref="D3:E3"/>
  </mergeCells>
  <dataValidations count="1">
    <dataValidation sqref="J6:J24" showDropDown="0" showInputMessage="0" showErrorMessage="0" allowBlank="1" error="El stock contado es un número mayor o igual a cero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1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7" customWidth="1" min="4" max="4"/>
    <col width="26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1" customWidth="1" min="11" max="11"/>
    <col width="16" customWidth="1" min="12" max="12"/>
    <col width="28" customWidth="1" min="13" max="13"/>
  </cols>
  <sheetData>
    <row r="1">
      <c r="A1" s="1" t="inlineStr">
        <is>
          <t>Conteo · Insumos de recargas</t>
        </is>
      </c>
    </row>
    <row r="2">
      <c r="A2" s="3" t="inlineStr">
        <is>
          <t>Rack selectivo 1.000 kg/nivel · 7 lugares · Tambores de 200 L en el piso sobre pallet antiderrame; bidones en bandeja; cajas en los niveles.</t>
        </is>
      </c>
    </row>
    <row r="3">
      <c r="A3" s="4" t="inlineStr">
        <is>
          <t>Fecha del conteo</t>
        </is>
      </c>
      <c r="B3" s="5" t="n"/>
      <c r="C3" s="4" t="inlineStr">
        <is>
          <t>Contó</t>
        </is>
      </c>
      <c r="D3" s="6" t="n"/>
      <c r="E3" s="7" t="n"/>
    </row>
    <row r="5">
      <c r="A5" s="8" t="inlineStr">
        <is>
          <t>Lugar</t>
        </is>
      </c>
      <c r="B5" s="8" t="inlineStr">
        <is>
          <t>Código</t>
        </is>
      </c>
      <c r="C5" s="8" t="inlineStr">
        <is>
          <t>Material</t>
        </is>
      </c>
      <c r="D5" s="8" t="inlineStr">
        <is>
          <t>UM</t>
        </is>
      </c>
      <c r="E5" s="8" t="inlineStr">
        <is>
          <t>Se compra en</t>
        </is>
      </c>
      <c r="F5" s="8" t="inlineStr">
        <is>
          <t>Seguridad</t>
        </is>
      </c>
      <c r="G5" s="8" t="inlineStr">
        <is>
          <t>Punto de pedido</t>
        </is>
      </c>
      <c r="H5" s="8" t="inlineStr">
        <is>
          <t>Máximo</t>
        </is>
      </c>
      <c r="I5" s="8" t="inlineStr">
        <is>
          <t>Consumo por día</t>
        </is>
      </c>
      <c r="J5" s="8" t="inlineStr">
        <is>
          <t>Stock contado</t>
        </is>
      </c>
      <c r="K5" s="8" t="inlineStr">
        <is>
          <t>Días de stock</t>
        </is>
      </c>
      <c r="L5" s="8" t="inlineStr">
        <is>
          <t>Estado</t>
        </is>
      </c>
      <c r="M5" s="8" t="inlineStr">
        <is>
          <t>Observaciones</t>
        </is>
      </c>
    </row>
    <row r="6">
      <c r="A6" s="9" t="inlineStr">
        <is>
          <t>IR01-1A, IR01-2A</t>
        </is>
      </c>
      <c r="B6" s="9" t="inlineStr">
        <is>
          <t>MP-38</t>
        </is>
      </c>
      <c r="C6" s="9" t="inlineStr">
        <is>
          <t>Agente limpio HCFC-123 (recargas)</t>
        </is>
      </c>
      <c r="D6" s="9" t="inlineStr">
        <is>
          <t>kg</t>
        </is>
      </c>
      <c r="E6" s="9" t="inlineStr">
        <is>
          <t>Cilindro de 50 kg</t>
        </is>
      </c>
      <c r="F6" s="10" t="n">
        <v>2.2</v>
      </c>
      <c r="G6" s="10" t="n">
        <v>5.7</v>
      </c>
      <c r="H6" s="10" t="n">
        <v>52.2</v>
      </c>
      <c r="I6" s="11" t="n">
        <v>0.7763</v>
      </c>
      <c r="J6" s="12" t="n"/>
      <c r="K6" s="10">
        <f>IFERROR(IF(OR(J6="",I6=0),"",J6/I6),"")</f>
        <v/>
      </c>
      <c r="L6" s="13">
        <f>IF(J6="","",IF(J6&lt;=F6,"BAJO SEGURIDAD",IF(J6&lt;=G6,"PEDIR","OK")))</f>
        <v/>
      </c>
      <c r="M6" s="9" t="n"/>
    </row>
    <row r="7">
      <c r="A7" s="9" t="inlineStr">
        <is>
          <t>IR01-2A</t>
        </is>
      </c>
      <c r="B7" s="9" t="inlineStr">
        <is>
          <t>MP-40</t>
        </is>
      </c>
      <c r="C7" s="9" t="inlineStr">
        <is>
          <t>Concentrado AFFF 3 % (recargas)</t>
        </is>
      </c>
      <c r="D7" s="9" t="inlineStr">
        <is>
          <t>L</t>
        </is>
      </c>
      <c r="E7" s="9" t="inlineStr">
        <is>
          <t>Bidón de 20 L</t>
        </is>
      </c>
      <c r="F7" s="10" t="n">
        <v>0.5</v>
      </c>
      <c r="G7" s="10" t="n">
        <v>2.6</v>
      </c>
      <c r="H7" s="10" t="n">
        <v>60.5</v>
      </c>
      <c r="I7" s="11" t="n">
        <v>2.111</v>
      </c>
      <c r="J7" s="12" t="n"/>
      <c r="K7" s="10">
        <f>IFERROR(IF(OR(J7="",I7=0),"",J7/I7),"")</f>
        <v/>
      </c>
      <c r="L7" s="13">
        <f>IF(J7="","",IF(J7&lt;=F7,"BAJO SEGURIDAD",IF(J7&lt;=G7,"PEDIR","OK")))</f>
        <v/>
      </c>
      <c r="M7" s="9" t="n"/>
    </row>
    <row r="8">
      <c r="A8" s="9" t="inlineStr">
        <is>
          <t>IR01-2A, IR01-3A</t>
        </is>
      </c>
      <c r="B8" s="9" t="inlineStr">
        <is>
          <t>MP-41</t>
        </is>
      </c>
      <c r="C8" s="9" t="inlineStr">
        <is>
          <t>Acetato de potasio Gastro K (recargas)</t>
        </is>
      </c>
      <c r="D8" s="9" t="inlineStr">
        <is>
          <t>L</t>
        </is>
      </c>
      <c r="E8" s="9" t="inlineStr">
        <is>
          <t>Tambor de 200 L (4 por pallet)</t>
        </is>
      </c>
      <c r="F8" s="10" t="n">
        <v>87.40000000000001</v>
      </c>
      <c r="G8" s="10" t="n">
        <v>226.5</v>
      </c>
      <c r="H8" s="10" t="n">
        <v>887.4</v>
      </c>
      <c r="I8" s="11" t="n">
        <v>30.9129</v>
      </c>
      <c r="J8" s="12" t="n"/>
      <c r="K8" s="10">
        <f>IFERROR(IF(OR(J8="",I8=0),"",J8/I8),"")</f>
        <v/>
      </c>
      <c r="L8" s="13">
        <f>IF(J8="","",IF(J8&lt;=F8,"BAJO SEGURIDAD",IF(J8&lt;=G8,"PEDIR","OK")))</f>
        <v/>
      </c>
      <c r="M8" s="9" t="n"/>
    </row>
    <row r="9">
      <c r="A9" s="9" t="inlineStr">
        <is>
          <t>IR01-3A</t>
        </is>
      </c>
      <c r="B9" s="9" t="inlineStr">
        <is>
          <t>MP-50/OT</t>
        </is>
      </c>
      <c r="C9" s="9" t="inlineStr">
        <is>
          <t>Junta tórica del cuello (recargas, surtido por medida)</t>
        </is>
      </c>
      <c r="D9" s="9" t="inlineStr">
        <is>
          <t>u</t>
        </is>
      </c>
      <c r="E9" s="9" t="inlineStr">
        <is>
          <t>Bolsa de 1.000 u (surtido por medida)</t>
        </is>
      </c>
      <c r="F9" s="10" t="n">
        <v>893.7</v>
      </c>
      <c r="G9" s="10" t="n">
        <v>2591.8</v>
      </c>
      <c r="H9" s="10" t="n">
        <v>11893.7</v>
      </c>
      <c r="I9" s="11" t="n">
        <v>424.5315</v>
      </c>
      <c r="J9" s="12" t="n"/>
      <c r="K9" s="10">
        <f>IFERROR(IF(OR(J9="",I9=0),"",J9/I9),"")</f>
        <v/>
      </c>
      <c r="L9" s="13">
        <f>IF(J9="","",IF(J9&lt;=F9,"BAJO SEGURIDAD",IF(J9&lt;=G9,"PEDIR","OK")))</f>
        <v/>
      </c>
      <c r="M9" s="9" t="n"/>
    </row>
    <row r="10">
      <c r="A10" s="9" t="inlineStr">
        <is>
          <t>IR01-3A, IR01-1B</t>
        </is>
      </c>
      <c r="B10" s="9" t="inlineStr">
        <is>
          <t>MP-55</t>
        </is>
      </c>
      <c r="C10" s="9" t="inlineStr">
        <is>
          <t>Conjunto de seguridad de CO₂ (recargas)</t>
        </is>
      </c>
      <c r="D10" s="9" t="inlineStr">
        <is>
          <t>u</t>
        </is>
      </c>
      <c r="E10" s="9" t="inlineStr">
        <is>
          <t>Bolsa de 100 u</t>
        </is>
      </c>
      <c r="F10" s="10" t="n">
        <v>39.6</v>
      </c>
      <c r="G10" s="10" t="n">
        <v>111.2</v>
      </c>
      <c r="H10" s="10" t="n">
        <v>439.6</v>
      </c>
      <c r="I10" s="11" t="n">
        <v>13.0074</v>
      </c>
      <c r="J10" s="12" t="n"/>
      <c r="K10" s="10">
        <f>IFERROR(IF(OR(J10="",I10=0),"",J10/I10),"")</f>
        <v/>
      </c>
      <c r="L10" s="13">
        <f>IF(J10="","",IF(J10&lt;=F10,"BAJO SEGURIDAD",IF(J10&lt;=G10,"PEDIR","OK")))</f>
        <v/>
      </c>
      <c r="M10" s="9" t="n"/>
    </row>
    <row r="11">
      <c r="A11" s="9" t="inlineStr">
        <is>
          <t>IR01-1B</t>
        </is>
      </c>
      <c r="B11" s="9" t="inlineStr">
        <is>
          <t>MP-57</t>
        </is>
      </c>
      <c r="C11" s="9" t="inlineStr">
        <is>
          <t>Marbete del año</t>
        </is>
      </c>
      <c r="D11" s="9" t="inlineStr">
        <is>
          <t>u</t>
        </is>
      </c>
      <c r="E11" s="9" t="inlineStr">
        <is>
          <t>Paquete de 1.000 u</t>
        </is>
      </c>
      <c r="F11" s="10" t="n">
        <v>1595.2</v>
      </c>
      <c r="G11" s="10" t="n">
        <v>3843.7</v>
      </c>
      <c r="H11" s="10" t="n">
        <v>12595.2</v>
      </c>
      <c r="I11" s="11" t="n">
        <v>449.6974</v>
      </c>
      <c r="J11" s="12" t="n"/>
      <c r="K11" s="10">
        <f>IFERROR(IF(OR(J11="",I11=0),"",J11/I11),"")</f>
        <v/>
      </c>
      <c r="L11" s="13">
        <f>IF(J11="","",IF(J11&lt;=F11,"BAJO SEGURIDAD",IF(J11&lt;=G11,"PEDIR","OK")))</f>
        <v/>
      </c>
      <c r="M11" s="9" t="n"/>
    </row>
    <row r="12">
      <c r="A12" s="9" t="inlineStr">
        <is>
          <t>IR01-1B, IR01-2B</t>
        </is>
      </c>
      <c r="B12" s="9" t="inlineStr">
        <is>
          <t>MP-97</t>
        </is>
      </c>
      <c r="C12" s="9" t="inlineStr">
        <is>
          <t>Precinto del recargador</t>
        </is>
      </c>
      <c r="D12" s="9" t="inlineStr">
        <is>
          <t>u</t>
        </is>
      </c>
      <c r="E12" s="9" t="inlineStr">
        <is>
          <t>Bolsa de 1.000 u</t>
        </is>
      </c>
      <c r="F12" s="10" t="n">
        <v>946.7</v>
      </c>
      <c r="G12" s="10" t="n">
        <v>2745.5</v>
      </c>
      <c r="H12" s="10" t="n">
        <v>11946.7</v>
      </c>
      <c r="I12" s="11" t="n">
        <v>449.6974</v>
      </c>
      <c r="J12" s="12" t="n"/>
      <c r="K12" s="10">
        <f>IFERROR(IF(OR(J12="",I12=0),"",J12/I12),"")</f>
        <v/>
      </c>
      <c r="L12" s="13">
        <f>IF(J12="","",IF(J12&lt;=F12,"BAJO SEGURIDAD",IF(J12&lt;=G12,"PEDIR","OK")))</f>
        <v/>
      </c>
      <c r="M12" s="9" t="n"/>
    </row>
    <row r="13">
      <c r="A13" s="9" t="inlineStr">
        <is>
          <t>IR01-2B</t>
        </is>
      </c>
      <c r="B13" s="9" t="inlineStr">
        <is>
          <t>MP-72</t>
        </is>
      </c>
      <c r="C13" s="9" t="inlineStr">
        <is>
          <t>Etiqueta de servicio</t>
        </is>
      </c>
      <c r="D13" s="9" t="inlineStr">
        <is>
          <t>u</t>
        </is>
      </c>
      <c r="E13" s="9" t="inlineStr">
        <is>
          <t>Rollo de 1.000 u</t>
        </is>
      </c>
      <c r="F13" s="10" t="n">
        <v>1595.2</v>
      </c>
      <c r="G13" s="10" t="n">
        <v>3843.7</v>
      </c>
      <c r="H13" s="10" t="n">
        <v>12595.2</v>
      </c>
      <c r="I13" s="11" t="n">
        <v>449.6974</v>
      </c>
      <c r="J13" s="12" t="n"/>
      <c r="K13" s="10">
        <f>IFERROR(IF(OR(J13="",I13=0),"",J13/I13),"")</f>
        <v/>
      </c>
      <c r="L13" s="13">
        <f>IF(J13="","",IF(J13&lt;=F13,"BAJO SEGURIDAD",IF(J13&lt;=G13,"PEDIR","OK")))</f>
        <v/>
      </c>
      <c r="M13" s="9" t="n"/>
    </row>
    <row r="14">
      <c r="A14" s="9" t="inlineStr">
        <is>
          <t>IR01-2B, IR01-3B</t>
        </is>
      </c>
      <c r="B14" s="9" t="inlineStr">
        <is>
          <t>MP-75</t>
        </is>
      </c>
      <c r="C14" s="9" t="inlineStr">
        <is>
          <t>Estampilla y oblea de recarga (PBA)</t>
        </is>
      </c>
      <c r="D14" s="9" t="inlineStr">
        <is>
          <t>u</t>
        </is>
      </c>
      <c r="E14" s="9" t="inlineStr">
        <is>
          <t>Paquete de 500 u</t>
        </is>
      </c>
      <c r="F14" s="10" t="n">
        <v>78.8</v>
      </c>
      <c r="G14" s="10" t="n">
        <v>435.1</v>
      </c>
      <c r="H14" s="10" t="n">
        <v>9078.799999999999</v>
      </c>
      <c r="I14" s="11" t="n">
        <v>356.3724</v>
      </c>
      <c r="J14" s="12" t="n"/>
      <c r="K14" s="10">
        <f>IFERROR(IF(OR(J14="",I14=0),"",J14/I14),"")</f>
        <v/>
      </c>
      <c r="L14" s="13">
        <f>IF(J14="","",IF(J14&lt;=F14,"BAJO SEGURIDAD",IF(J14&lt;=G14,"PEDIR","OK")))</f>
        <v/>
      </c>
      <c r="M14" s="9" t="n"/>
    </row>
    <row r="15">
      <c r="A15" s="9" t="inlineStr">
        <is>
          <t>IR01-3B, IR02-1A</t>
        </is>
      </c>
      <c r="B15" s="9" t="inlineStr">
        <is>
          <t>MP-76</t>
        </is>
      </c>
      <c r="C15" s="9" t="inlineStr">
        <is>
          <t>Tarjeta de identificación DPS (PBA)</t>
        </is>
      </c>
      <c r="D15" s="9" t="inlineStr">
        <is>
          <t>u</t>
        </is>
      </c>
      <c r="E15" s="9" t="inlineStr">
        <is>
          <t>Paquete de 500 u</t>
        </is>
      </c>
      <c r="F15" s="10" t="n">
        <v>78.8</v>
      </c>
      <c r="G15" s="10" t="n">
        <v>435.1</v>
      </c>
      <c r="H15" s="10" t="n">
        <v>9078.799999999999</v>
      </c>
      <c r="I15" s="11" t="n">
        <v>356.3724</v>
      </c>
      <c r="J15" s="12" t="n"/>
      <c r="K15" s="10">
        <f>IFERROR(IF(OR(J15="",I15=0),"",J15/I15),"")</f>
        <v/>
      </c>
      <c r="L15" s="13">
        <f>IF(J15="","",IF(J15&lt;=F15,"BAJO SEGURIDAD",IF(J15&lt;=G15,"PEDIR","OK")))</f>
        <v/>
      </c>
      <c r="M15" s="9" t="n"/>
    </row>
    <row r="16">
      <c r="A16" s="9" t="inlineStr">
        <is>
          <t>IR02-1A</t>
        </is>
      </c>
      <c r="B16" s="9" t="inlineStr">
        <is>
          <t>MP-82</t>
        </is>
      </c>
      <c r="C16" s="9" t="inlineStr">
        <is>
          <t>Faja amarilla de sustituto</t>
        </is>
      </c>
      <c r="D16" s="9" t="inlineStr">
        <is>
          <t>u</t>
        </is>
      </c>
      <c r="E16" s="9" t="inlineStr">
        <is>
          <t>Rollo de 100 u</t>
        </is>
      </c>
      <c r="F16" s="10" t="n">
        <v>2.1</v>
      </c>
      <c r="G16" s="10" t="n">
        <v>5</v>
      </c>
      <c r="H16" s="10" t="n">
        <v>102.1</v>
      </c>
      <c r="I16" s="11" t="n">
        <v>0.5810999999999999</v>
      </c>
      <c r="J16" s="12" t="n"/>
      <c r="K16" s="10">
        <f>IFERROR(IF(OR(J16="",I16=0),"",J16/I16),"")</f>
        <v/>
      </c>
      <c r="L16" s="13">
        <f>IF(J16="","",IF(J16&lt;=F16,"BAJO SEGURIDAD",IF(J16&lt;=G16,"PEDIR","OK")))</f>
        <v/>
      </c>
      <c r="M16" s="9" t="n"/>
    </row>
    <row r="17">
      <c r="A17" s="9" t="inlineStr">
        <is>
          <t>IR02-1A</t>
        </is>
      </c>
      <c r="B17" s="9" t="inlineStr">
        <is>
          <t>MP-83</t>
        </is>
      </c>
      <c r="C17" s="9" t="inlineStr">
        <is>
          <t>Tarjeta DPS «sustituto habilitado»</t>
        </is>
      </c>
      <c r="D17" s="9" t="inlineStr">
        <is>
          <t>u</t>
        </is>
      </c>
      <c r="E17" s="9" t="inlineStr">
        <is>
          <t>Paquete de 100 u</t>
        </is>
      </c>
      <c r="F17" s="10" t="n">
        <v>0.1</v>
      </c>
      <c r="G17" s="10" t="n">
        <v>0.6</v>
      </c>
      <c r="H17" s="10" t="n">
        <v>100.1</v>
      </c>
      <c r="I17" s="11" t="n">
        <v>0.4605</v>
      </c>
      <c r="J17" s="12" t="n"/>
      <c r="K17" s="10">
        <f>IFERROR(IF(OR(J17="",I17=0),"",J17/I17),"")</f>
        <v/>
      </c>
      <c r="L17" s="13">
        <f>IF(J17="","",IF(J17&lt;=F17,"BAJO SEGURIDAD",IF(J17&lt;=G17,"PEDIR","OK")))</f>
        <v/>
      </c>
      <c r="M17" s="9" t="n"/>
    </row>
    <row r="18">
      <c r="A18" s="9" t="inlineStr">
        <is>
          <t>IR02-1A</t>
        </is>
      </c>
      <c r="B18" s="9" t="inlineStr">
        <is>
          <t>MP-84</t>
        </is>
      </c>
      <c r="C18" s="9" t="inlineStr">
        <is>
          <t>Tarjeta AGC «es sustituto»</t>
        </is>
      </c>
      <c r="D18" s="9" t="inlineStr">
        <is>
          <t>u</t>
        </is>
      </c>
      <c r="E18" s="9" t="inlineStr">
        <is>
          <t>Paquete de 50 u</t>
        </is>
      </c>
      <c r="F18" s="10" t="n">
        <v>0</v>
      </c>
      <c r="G18" s="10" t="n">
        <v>0.1</v>
      </c>
      <c r="H18" s="10" t="n">
        <v>50</v>
      </c>
      <c r="I18" s="11" t="n">
        <v>0.1206</v>
      </c>
      <c r="J18" s="12" t="n"/>
      <c r="K18" s="10">
        <f>IFERROR(IF(OR(J18="",I18=0),"",J18/I18),"")</f>
        <v/>
      </c>
      <c r="L18" s="13">
        <f>IF(J18="","",IF(J18&lt;=F18,"BAJO SEGURIDAD",IF(J18&lt;=G18,"PEDIR","OK")))</f>
        <v/>
      </c>
      <c r="M18" s="9" t="n"/>
    </row>
    <row r="19">
      <c r="A19" s="9" t="inlineStr">
        <is>
          <t>IR02-1A</t>
        </is>
      </c>
      <c r="B19" s="9" t="inlineStr">
        <is>
          <t>MP-65</t>
        </is>
      </c>
      <c r="C19" s="9" t="inlineStr">
        <is>
          <t>Esmalte sintético rojo RAL 3000 (recargas)</t>
        </is>
      </c>
      <c r="D19" s="9" t="inlineStr">
        <is>
          <t>L</t>
        </is>
      </c>
      <c r="E19" s="9" t="inlineStr">
        <is>
          <t>Lata de 4 L</t>
        </is>
      </c>
      <c r="F19" s="10" t="n">
        <v>7.2</v>
      </c>
      <c r="G19" s="10" t="n">
        <v>14.1</v>
      </c>
      <c r="H19" s="10" t="n">
        <v>39.2</v>
      </c>
      <c r="I19" s="11" t="n">
        <v>1.1533</v>
      </c>
      <c r="J19" s="12" t="n"/>
      <c r="K19" s="10">
        <f>IFERROR(IF(OR(J19="",I19=0),"",J19/I19),"")</f>
        <v/>
      </c>
      <c r="L19" s="13">
        <f>IF(J19="","",IF(J19&lt;=F19,"BAJO SEGURIDAD",IF(J19&lt;=G19,"PEDIR","OK")))</f>
        <v/>
      </c>
      <c r="M19" s="9" t="n"/>
    </row>
  </sheetData>
  <mergeCells count="1">
    <mergeCell ref="D3:E3"/>
  </mergeCells>
  <dataValidations count="1">
    <dataValidation sqref="J6:J19" showDropDown="0" showInputMessage="0" showErrorMessage="0" allowBlank="1" error="El stock contado es un número mayor o igual a cero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7" customWidth="1" min="4" max="4"/>
    <col width="26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1" customWidth="1" min="11" max="11"/>
    <col width="16" customWidth="1" min="12" max="12"/>
    <col width="28" customWidth="1" min="13" max="13"/>
  </cols>
  <sheetData>
    <row r="1">
      <c r="A1" s="1" t="inlineStr">
        <is>
          <t>Conteo · Insumos de soldadura y superficie</t>
        </is>
      </c>
    </row>
    <row r="2">
      <c r="A2" s="3" t="inlineStr">
        <is>
          <t>Rack selectivo 1.000 kg/nivel · 5 lugares · Granalla en el piso del rack; alambre y pintura arriba; insumos chicos en caja.</t>
        </is>
      </c>
    </row>
    <row r="3">
      <c r="A3" s="4" t="inlineStr">
        <is>
          <t>Fecha del conteo</t>
        </is>
      </c>
      <c r="B3" s="5" t="n"/>
      <c r="C3" s="4" t="inlineStr">
        <is>
          <t>Contó</t>
        </is>
      </c>
      <c r="D3" s="6" t="n"/>
      <c r="E3" s="7" t="n"/>
    </row>
    <row r="5">
      <c r="A5" s="8" t="inlineStr">
        <is>
          <t>Lugar</t>
        </is>
      </c>
      <c r="B5" s="8" t="inlineStr">
        <is>
          <t>Código</t>
        </is>
      </c>
      <c r="C5" s="8" t="inlineStr">
        <is>
          <t>Material</t>
        </is>
      </c>
      <c r="D5" s="8" t="inlineStr">
        <is>
          <t>UM</t>
        </is>
      </c>
      <c r="E5" s="8" t="inlineStr">
        <is>
          <t>Se compra en</t>
        </is>
      </c>
      <c r="F5" s="8" t="inlineStr">
        <is>
          <t>Seguridad</t>
        </is>
      </c>
      <c r="G5" s="8" t="inlineStr">
        <is>
          <t>Punto de pedido</t>
        </is>
      </c>
      <c r="H5" s="8" t="inlineStr">
        <is>
          <t>Máximo</t>
        </is>
      </c>
      <c r="I5" s="8" t="inlineStr">
        <is>
          <t>Consumo por día</t>
        </is>
      </c>
      <c r="J5" s="8" t="inlineStr">
        <is>
          <t>Stock contado</t>
        </is>
      </c>
      <c r="K5" s="8" t="inlineStr">
        <is>
          <t>Días de stock</t>
        </is>
      </c>
      <c r="L5" s="8" t="inlineStr">
        <is>
          <t>Estado</t>
        </is>
      </c>
      <c r="M5" s="8" t="inlineStr">
        <is>
          <t>Observaciones</t>
        </is>
      </c>
    </row>
    <row r="6">
      <c r="A6" s="9" t="inlineStr">
        <is>
          <t>SO01-1A, SO01-2B</t>
        </is>
      </c>
      <c r="B6" s="9" t="inlineStr">
        <is>
          <t>MP-23</t>
        </is>
      </c>
      <c r="C6" s="9" t="inlineStr">
        <is>
          <t>Alambre MAG ER70S-6 Ø0,9 mm (manuales)</t>
        </is>
      </c>
      <c r="D6" s="9" t="inlineStr">
        <is>
          <t>kg</t>
        </is>
      </c>
      <c r="E6" s="9" t="inlineStr">
        <is>
          <t>Pallet de 60 bobinas de 15 kg (900 kg)</t>
        </is>
      </c>
      <c r="F6" s="10" t="n">
        <v>22.5</v>
      </c>
      <c r="G6" s="10" t="n">
        <v>134.8</v>
      </c>
      <c r="H6" s="10" t="n">
        <v>922.5</v>
      </c>
      <c r="I6" s="11" t="n">
        <v>24.9585</v>
      </c>
      <c r="J6" s="12" t="n"/>
      <c r="K6" s="10">
        <f>IFERROR(IF(OR(J6="",I6=0),"",J6/I6),"")</f>
        <v/>
      </c>
      <c r="L6" s="13">
        <f>IF(J6="","",IF(J6&lt;=F6,"BAJO SEGURIDAD",IF(J6&lt;=G6,"PEDIR","OK")))</f>
        <v/>
      </c>
      <c r="M6" s="9" t="n"/>
    </row>
    <row r="7">
      <c r="A7" s="9" t="inlineStr">
        <is>
          <t>SO01-2A, SO01-3A, SO01-1B</t>
        </is>
      </c>
      <c r="B7" s="9" t="inlineStr">
        <is>
          <t>MP-28</t>
        </is>
      </c>
      <c r="C7" s="9" t="inlineStr">
        <is>
          <t>Granalla de acero S330 / S390</t>
        </is>
      </c>
      <c r="D7" s="9" t="inlineStr">
        <is>
          <t>kg</t>
        </is>
      </c>
      <c r="E7" s="9" t="inlineStr">
        <is>
          <t>Pallet de 1.000 kg (40 bolsas de 25 kg)</t>
        </is>
      </c>
      <c r="F7" s="10" t="n">
        <v>7.6</v>
      </c>
      <c r="G7" s="10" t="n">
        <v>102.4</v>
      </c>
      <c r="H7" s="10" t="n">
        <v>3007.6</v>
      </c>
      <c r="I7" s="11" t="n">
        <v>94.82089999999999</v>
      </c>
      <c r="J7" s="12" t="n"/>
      <c r="K7" s="10">
        <f>IFERROR(IF(OR(J7="",I7=0),"",J7/I7),"")</f>
        <v/>
      </c>
      <c r="L7" s="13">
        <f>IF(J7="","",IF(J7&lt;=F7,"BAJO SEGURIDAD",IF(J7&lt;=G7,"PEDIR","OK")))</f>
        <v/>
      </c>
      <c r="M7" s="9" t="n"/>
    </row>
    <row r="8">
      <c r="A8" s="9" t="inlineStr">
        <is>
          <t>SO01-2B</t>
        </is>
      </c>
      <c r="B8" s="9" t="inlineStr">
        <is>
          <t>MP-29</t>
        </is>
      </c>
      <c r="C8" s="9" t="inlineStr">
        <is>
          <t>Electrodo de tungsteno lantanado 2 % (WL20) Ø2,4 × 175 mm</t>
        </is>
      </c>
      <c r="D8" s="9" t="inlineStr">
        <is>
          <t>u</t>
        </is>
      </c>
      <c r="E8" s="9" t="inlineStr">
        <is>
          <t>Caja de 10 u</t>
        </is>
      </c>
      <c r="F8" s="10" t="n">
        <v>1</v>
      </c>
      <c r="G8" s="10" t="n">
        <v>3.7</v>
      </c>
      <c r="H8" s="10" t="n">
        <v>21</v>
      </c>
      <c r="I8" s="11" t="n">
        <v>0.6943</v>
      </c>
      <c r="J8" s="12" t="n"/>
      <c r="K8" s="10">
        <f>IFERROR(IF(OR(J8="",I8=0),"",J8/I8),"")</f>
        <v/>
      </c>
      <c r="L8" s="13">
        <f>IF(J8="","",IF(J8&lt;=F8,"BAJO SEGURIDAD",IF(J8&lt;=G8,"PEDIR","OK")))</f>
        <v/>
      </c>
      <c r="M8" s="9" t="n"/>
    </row>
    <row r="9">
      <c r="A9" s="9" t="inlineStr">
        <is>
          <t>SO01-2B</t>
        </is>
      </c>
      <c r="B9" s="9" t="inlineStr">
        <is>
          <t>MP-92</t>
        </is>
      </c>
      <c r="C9" s="9" t="inlineStr">
        <is>
          <t>Disco de sensitiva 355 mm</t>
        </is>
      </c>
      <c r="D9" s="9" t="inlineStr">
        <is>
          <t>u</t>
        </is>
      </c>
      <c r="E9" s="9" t="inlineStr">
        <is>
          <t>Caja de 10 u</t>
        </is>
      </c>
      <c r="F9" s="10" t="n">
        <v>0.2</v>
      </c>
      <c r="G9" s="10" t="n">
        <v>0.6</v>
      </c>
      <c r="H9" s="10" t="n">
        <v>10.2</v>
      </c>
      <c r="I9" s="11" t="n">
        <v>0.1134</v>
      </c>
      <c r="J9" s="12" t="n"/>
      <c r="K9" s="10">
        <f>IFERROR(IF(OR(J9="",I9=0),"",J9/I9),"")</f>
        <v/>
      </c>
      <c r="L9" s="13">
        <f>IF(J9="","",IF(J9&lt;=F9,"BAJO SEGURIDAD",IF(J9&lt;=G9,"PEDIR","OK")))</f>
        <v/>
      </c>
      <c r="M9" s="9" t="n"/>
    </row>
    <row r="10">
      <c r="A10" s="9" t="inlineStr">
        <is>
          <t>SO01-2B</t>
        </is>
      </c>
      <c r="B10" s="9" t="inlineStr">
        <is>
          <t>MP-27</t>
        </is>
      </c>
      <c r="C10" s="9" t="inlineStr">
        <is>
          <t>Disco de corte 115 × 1,0 mm</t>
        </is>
      </c>
      <c r="D10" s="9" t="inlineStr">
        <is>
          <t>u</t>
        </is>
      </c>
      <c r="E10" s="9" t="inlineStr">
        <is>
          <t>Caja de 25 u</t>
        </is>
      </c>
      <c r="F10" s="10" t="n">
        <v>0</v>
      </c>
      <c r="G10" s="10" t="n">
        <v>0.4</v>
      </c>
      <c r="H10" s="10" t="n">
        <v>50</v>
      </c>
      <c r="I10" s="11" t="n">
        <v>0.4156</v>
      </c>
      <c r="J10" s="12" t="n"/>
      <c r="K10" s="10">
        <f>IFERROR(IF(OR(J10="",I10=0),"",J10/I10),"")</f>
        <v/>
      </c>
      <c r="L10" s="13">
        <f>IF(J10="","",IF(J10&lt;=F10,"BAJO SEGURIDAD",IF(J10&lt;=G10,"PEDIR","OK")))</f>
        <v/>
      </c>
      <c r="M10" s="9" t="n"/>
    </row>
    <row r="11">
      <c r="A11" s="9" t="inlineStr">
        <is>
          <t>SO01-2B</t>
        </is>
      </c>
      <c r="B11" s="9" t="inlineStr">
        <is>
          <t>MP-93</t>
        </is>
      </c>
      <c r="C11" s="9" t="inlineStr">
        <is>
          <t>Disco flap 115 mm grano 60</t>
        </is>
      </c>
      <c r="D11" s="9" t="inlineStr">
        <is>
          <t>u</t>
        </is>
      </c>
      <c r="E11" s="9" t="inlineStr">
        <is>
          <t>Caja de 10 u</t>
        </is>
      </c>
      <c r="F11" s="10" t="n">
        <v>0.1</v>
      </c>
      <c r="G11" s="10" t="n">
        <v>0.5</v>
      </c>
      <c r="H11" s="10" t="n">
        <v>10.1</v>
      </c>
      <c r="I11" s="11" t="n">
        <v>0.0945</v>
      </c>
      <c r="J11" s="12" t="n"/>
      <c r="K11" s="10">
        <f>IFERROR(IF(OR(J11="",I11=0),"",J11/I11),"")</f>
        <v/>
      </c>
      <c r="L11" s="13">
        <f>IF(J11="","",IF(J11&lt;=F11,"BAJO SEGURIDAD",IF(J11&lt;=G11,"PEDIR","OK")))</f>
        <v/>
      </c>
      <c r="M11" s="9" t="n"/>
    </row>
    <row r="12">
      <c r="A12" s="9" t="inlineStr">
        <is>
          <t>SO01-2B</t>
        </is>
      </c>
      <c r="B12" s="9" t="inlineStr">
        <is>
          <t>MP-94</t>
        </is>
      </c>
      <c r="C12" s="9" t="inlineStr">
        <is>
          <t>Mecha de acero rápido 4,5 mm</t>
        </is>
      </c>
      <c r="D12" s="9" t="inlineStr">
        <is>
          <t>u</t>
        </is>
      </c>
      <c r="E12" s="9" t="inlineStr">
        <is>
          <t>Caja de 10 u</t>
        </is>
      </c>
      <c r="F12" s="10" t="n">
        <v>0</v>
      </c>
      <c r="G12" s="10" t="n">
        <v>0.1</v>
      </c>
      <c r="H12" s="10" t="n">
        <v>10</v>
      </c>
      <c r="I12" s="11" t="n">
        <v>0.0756</v>
      </c>
      <c r="J12" s="12" t="n"/>
      <c r="K12" s="10">
        <f>IFERROR(IF(OR(J12="",I12=0),"",J12/I12),"")</f>
        <v/>
      </c>
      <c r="L12" s="13">
        <f>IF(J12="","",IF(J12&lt;=F12,"BAJO SEGURIDAD",IF(J12&lt;=G12,"PEDIR","OK")))</f>
        <v/>
      </c>
      <c r="M12" s="9" t="n"/>
    </row>
    <row r="13">
      <c r="A13" s="9" t="inlineStr">
        <is>
          <t>SO01-2B</t>
        </is>
      </c>
      <c r="B13" s="9" t="inlineStr">
        <is>
          <t>MP-95</t>
        </is>
      </c>
      <c r="C13" s="9" t="inlineStr">
        <is>
          <t>Spray antiproyecciones 400 ml</t>
        </is>
      </c>
      <c r="D13" s="9" t="inlineStr">
        <is>
          <t>u</t>
        </is>
      </c>
      <c r="E13" s="9" t="inlineStr">
        <is>
          <t>Unidad (aerosol de 400 ml)</t>
        </is>
      </c>
      <c r="F13" s="10" t="n">
        <v>0</v>
      </c>
      <c r="G13" s="10" t="n">
        <v>0.2</v>
      </c>
      <c r="H13" s="10" t="n">
        <v>3</v>
      </c>
      <c r="I13" s="11" t="n">
        <v>0.0324</v>
      </c>
      <c r="J13" s="12" t="n"/>
      <c r="K13" s="10">
        <f>IFERROR(IF(OR(J13="",I13=0),"",J13/I13),"")</f>
        <v/>
      </c>
      <c r="L13" s="13">
        <f>IF(J13="","",IF(J13&lt;=F13,"BAJO SEGURIDAD",IF(J13&lt;=G13,"PEDIR","OK")))</f>
        <v/>
      </c>
      <c r="M13" s="9" t="n"/>
    </row>
  </sheetData>
  <mergeCells count="1">
    <mergeCell ref="D3:E3"/>
  </mergeCells>
  <dataValidations count="1">
    <dataValidation sqref="J6:J13" showDropDown="0" showInputMessage="0" showErrorMessage="0" allowBlank="1" error="El stock contado es un número mayor o igual a cero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7" customWidth="1" min="4" max="4"/>
    <col width="26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1" customWidth="1" min="11" max="11"/>
    <col width="16" customWidth="1" min="12" max="12"/>
    <col width="28" customWidth="1" min="13" max="13"/>
  </cols>
  <sheetData>
    <row r="1">
      <c r="A1" s="1" t="inlineStr">
        <is>
          <t>Conteo · Jaula de gases</t>
        </is>
      </c>
    </row>
    <row r="2">
      <c r="A2" s="3" t="inlineStr">
        <is>
          <t>Jaula exterior ventilada · 7 lugares · Baterías y pack con manifold conectados a la cañería; cilindros sueltos encadenados en gabinete.</t>
        </is>
      </c>
    </row>
    <row r="3">
      <c r="A3" s="4" t="inlineStr">
        <is>
          <t>Fecha del conteo</t>
        </is>
      </c>
      <c r="B3" s="5" t="n"/>
      <c r="C3" s="4" t="inlineStr">
        <is>
          <t>Contó</t>
        </is>
      </c>
      <c r="D3" s="6" t="n"/>
      <c r="E3" s="7" t="n"/>
    </row>
    <row r="5">
      <c r="A5" s="8" t="inlineStr">
        <is>
          <t>Lugar</t>
        </is>
      </c>
      <c r="B5" s="8" t="inlineStr">
        <is>
          <t>Código</t>
        </is>
      </c>
      <c r="C5" s="8" t="inlineStr">
        <is>
          <t>Material</t>
        </is>
      </c>
      <c r="D5" s="8" t="inlineStr">
        <is>
          <t>UM</t>
        </is>
      </c>
      <c r="E5" s="8" t="inlineStr">
        <is>
          <t>Se compra en</t>
        </is>
      </c>
      <c r="F5" s="8" t="inlineStr">
        <is>
          <t>Seguridad</t>
        </is>
      </c>
      <c r="G5" s="8" t="inlineStr">
        <is>
          <t>Punto de pedido</t>
        </is>
      </c>
      <c r="H5" s="8" t="inlineStr">
        <is>
          <t>Máximo</t>
        </is>
      </c>
      <c r="I5" s="8" t="inlineStr">
        <is>
          <t>Consumo por día</t>
        </is>
      </c>
      <c r="J5" s="8" t="inlineStr">
        <is>
          <t>Stock contado</t>
        </is>
      </c>
      <c r="K5" s="8" t="inlineStr">
        <is>
          <t>Días de stock</t>
        </is>
      </c>
      <c r="L5" s="8" t="inlineStr">
        <is>
          <t>Estado</t>
        </is>
      </c>
      <c r="M5" s="8" t="inlineStr">
        <is>
          <t>Observaciones</t>
        </is>
      </c>
    </row>
    <row r="6">
      <c r="A6" s="9" t="inlineStr">
        <is>
          <t>GA-01, GA-02, GA-07</t>
        </is>
      </c>
      <c r="B6" s="9" t="inlineStr">
        <is>
          <t>MP-25</t>
        </is>
      </c>
      <c r="C6" s="9" t="inlineStr">
        <is>
          <t>Gas MAG Ar + 8 % CO₂ (Arcal 21)</t>
        </is>
      </c>
      <c r="D6" s="9" t="inlineStr">
        <is>
          <t>m³</t>
        </is>
      </c>
      <c r="E6" s="9" t="inlineStr">
        <is>
          <t>Batería de 11 cilindros con manifold (115,5 m³)</t>
        </is>
      </c>
      <c r="F6" s="10" t="n">
        <v>2.7</v>
      </c>
      <c r="G6" s="10" t="n">
        <v>35.8</v>
      </c>
      <c r="H6" s="10" t="n">
        <v>233.7</v>
      </c>
      <c r="I6" s="11" t="n">
        <v>33.1652</v>
      </c>
      <c r="J6" s="12" t="n"/>
      <c r="K6" s="10">
        <f>IFERROR(IF(OR(J6="",I6=0),"",J6/I6),"")</f>
        <v/>
      </c>
      <c r="L6" s="13">
        <f>IF(J6="","",IF(J6&lt;=F6,"BAJO SEGURIDAD",IF(J6&lt;=G6,"PEDIR","OK")))</f>
        <v/>
      </c>
      <c r="M6" s="9" t="n"/>
    </row>
    <row r="7">
      <c r="A7" s="9" t="inlineStr">
        <is>
          <t>GA-03, GA-07</t>
        </is>
      </c>
      <c r="B7" s="9" t="inlineStr">
        <is>
          <t>MP-34</t>
        </is>
      </c>
      <c r="C7" s="9" t="inlineStr">
        <is>
          <t>Nitrógeno seco</t>
        </is>
      </c>
      <c r="D7" s="9" t="inlineStr">
        <is>
          <t>m³</t>
        </is>
      </c>
      <c r="E7" s="9" t="inlineStr">
        <is>
          <t>Pack de 12 cilindros con manifold (110 m³)</t>
        </is>
      </c>
      <c r="F7" s="10" t="n">
        <v>3.4</v>
      </c>
      <c r="G7" s="10" t="n">
        <v>18.6</v>
      </c>
      <c r="H7" s="10" t="n">
        <v>113.4</v>
      </c>
      <c r="I7" s="11" t="n">
        <v>15.2178</v>
      </c>
      <c r="J7" s="12" t="n"/>
      <c r="K7" s="10">
        <f>IFERROR(IF(OR(J7="",I7=0),"",J7/I7),"")</f>
        <v/>
      </c>
      <c r="L7" s="13">
        <f>IF(J7="","",IF(J7&lt;=F7,"BAJO SEGURIDAD",IF(J7&lt;=G7,"PEDIR","OK")))</f>
        <v/>
      </c>
      <c r="M7" s="9" t="n"/>
    </row>
    <row r="8">
      <c r="A8" s="9" t="inlineStr">
        <is>
          <t>GA-04, GA-05, GA-06, GA-07</t>
        </is>
      </c>
      <c r="B8" s="9" t="inlineStr">
        <is>
          <t>MP-37</t>
        </is>
      </c>
      <c r="C8" s="9" t="inlineStr">
        <is>
          <t>CO₂ líquido (recargas)</t>
        </is>
      </c>
      <c r="D8" s="9" t="inlineStr">
        <is>
          <t>kg</t>
        </is>
      </c>
      <c r="E8" s="9" t="inlineStr">
        <is>
          <t>Cilindro de 25 kg</t>
        </is>
      </c>
      <c r="F8" s="10" t="n">
        <v>2.3</v>
      </c>
      <c r="G8" s="10" t="n">
        <v>12.5</v>
      </c>
      <c r="H8" s="10" t="n">
        <v>77.3</v>
      </c>
      <c r="I8" s="11" t="n">
        <v>10.2709</v>
      </c>
      <c r="J8" s="12" t="n"/>
      <c r="K8" s="10">
        <f>IFERROR(IF(OR(J8="",I8=0),"",J8/I8),"")</f>
        <v/>
      </c>
      <c r="L8" s="13">
        <f>IF(J8="","",IF(J8&lt;=F8,"BAJO SEGURIDAD",IF(J8&lt;=G8,"PEDIR","OK")))</f>
        <v/>
      </c>
      <c r="M8" s="9" t="n"/>
    </row>
    <row r="9">
      <c r="A9" s="9" t="inlineStr">
        <is>
          <t>GA-07</t>
        </is>
      </c>
      <c r="B9" s="9" t="inlineStr">
        <is>
          <t>MP-26</t>
        </is>
      </c>
      <c r="C9" s="9" t="inlineStr">
        <is>
          <t>Argón puro EN ISO 14175 I1 (costura longitudinal TIG del 1 kg)</t>
        </is>
      </c>
      <c r="D9" s="9" t="inlineStr">
        <is>
          <t>m³</t>
        </is>
      </c>
      <c r="E9" s="9" t="inlineStr">
        <is>
          <t>Cilindro de 10,5 m³</t>
        </is>
      </c>
      <c r="F9" s="10" t="n">
        <v>0.3</v>
      </c>
      <c r="G9" s="10" t="n">
        <v>3.6</v>
      </c>
      <c r="H9" s="10" t="n">
        <v>21.3</v>
      </c>
      <c r="I9" s="11" t="n">
        <v>3.3356</v>
      </c>
      <c r="J9" s="12" t="n"/>
      <c r="K9" s="10">
        <f>IFERROR(IF(OR(J9="",I9=0),"",J9/I9),"")</f>
        <v/>
      </c>
      <c r="L9" s="13">
        <f>IF(J9="","",IF(J9&lt;=F9,"BAJO SEGURIDAD",IF(J9&lt;=G9,"PEDIR","OK")))</f>
        <v/>
      </c>
      <c r="M9" s="9" t="n"/>
    </row>
  </sheetData>
  <mergeCells count="1">
    <mergeCell ref="D3:E3"/>
  </mergeCells>
  <dataValidations count="1">
    <dataValidation sqref="J6:J9" showDropDown="0" showInputMessage="0" showErrorMessage="0" allowBlank="1" error="El stock contado es un número mayor o igual a cero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7" customWidth="1" min="4" max="4"/>
    <col width="26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1" customWidth="1" min="11" max="11"/>
    <col width="16" customWidth="1" min="12" max="12"/>
    <col width="28" customWidth="1" min="13" max="13"/>
  </cols>
  <sheetData>
    <row r="1">
      <c r="A1" s="1" t="inlineStr">
        <is>
          <t>Conteo · Rack de casquetes y cuplas (carros)</t>
        </is>
      </c>
    </row>
    <row r="2">
      <c r="A2" s="3" t="inlineStr">
        <is>
          <t>Rack selectivo 2.000 kg/nivel · 6 lugares · Un contenedor por medida de casquete (cúpulas y fondos en columnas separadas); el que está en uso en el piso; cajas de cuplas arriba.</t>
        </is>
      </c>
    </row>
    <row r="3">
      <c r="A3" s="4" t="inlineStr">
        <is>
          <t>Fecha del conteo</t>
        </is>
      </c>
      <c r="B3" s="5" t="n"/>
      <c r="C3" s="4" t="inlineStr">
        <is>
          <t>Contó</t>
        </is>
      </c>
      <c r="D3" s="6" t="n"/>
      <c r="E3" s="7" t="n"/>
    </row>
    <row r="5">
      <c r="A5" s="8" t="inlineStr">
        <is>
          <t>Lugar</t>
        </is>
      </c>
      <c r="B5" s="8" t="inlineStr">
        <is>
          <t>Código</t>
        </is>
      </c>
      <c r="C5" s="8" t="inlineStr">
        <is>
          <t>Material</t>
        </is>
      </c>
      <c r="D5" s="8" t="inlineStr">
        <is>
          <t>UM</t>
        </is>
      </c>
      <c r="E5" s="8" t="inlineStr">
        <is>
          <t>Se compra en</t>
        </is>
      </c>
      <c r="F5" s="8" t="inlineStr">
        <is>
          <t>Seguridad</t>
        </is>
      </c>
      <c r="G5" s="8" t="inlineStr">
        <is>
          <t>Punto de pedido</t>
        </is>
      </c>
      <c r="H5" s="8" t="inlineStr">
        <is>
          <t>Máximo</t>
        </is>
      </c>
      <c r="I5" s="8" t="inlineStr">
        <is>
          <t>Consumo por día</t>
        </is>
      </c>
      <c r="J5" s="8" t="inlineStr">
        <is>
          <t>Stock contado</t>
        </is>
      </c>
      <c r="K5" s="8" t="inlineStr">
        <is>
          <t>Días de stock</t>
        </is>
      </c>
      <c r="L5" s="8" t="inlineStr">
        <is>
          <t>Estado</t>
        </is>
      </c>
      <c r="M5" s="8" t="inlineStr">
        <is>
          <t>Observaciones</t>
        </is>
      </c>
    </row>
    <row r="6">
      <c r="A6" s="9" t="inlineStr">
        <is>
          <t>CC01-1A, CC01-3B</t>
        </is>
      </c>
      <c r="B6" s="9" t="inlineStr">
        <is>
          <t>MP-15</t>
        </is>
      </c>
      <c r="C6" s="9" t="inlineStr">
        <is>
          <t>Casquete 10" × 3,2 mm (carro 25 kg)</t>
        </is>
      </c>
      <c r="D6" s="9" t="inlineStr">
        <is>
          <t>u</t>
        </is>
      </c>
      <c r="E6" s="9" t="inlineStr">
        <is>
          <t>Contenedor de 360 u (180 cúpulas + 180 fondos, ≈ 1000 kg)</t>
        </is>
      </c>
      <c r="F6" s="10" t="n">
        <v>39.3</v>
      </c>
      <c r="G6" s="10" t="n">
        <v>223.9</v>
      </c>
      <c r="H6" s="10" t="n">
        <v>399.3</v>
      </c>
      <c r="I6" s="11" t="n">
        <v>6.4776</v>
      </c>
      <c r="J6" s="12" t="n"/>
      <c r="K6" s="10">
        <f>IFERROR(IF(OR(J6="",I6=0),"",J6/I6),"")</f>
        <v/>
      </c>
      <c r="L6" s="13">
        <f>IF(J6="","",IF(J6&lt;=F6,"BAJO SEGURIDAD",IF(J6&lt;=G6,"PEDIR","OK")))</f>
        <v/>
      </c>
      <c r="M6" s="9" t="n"/>
    </row>
    <row r="7">
      <c r="A7" s="9" t="inlineStr">
        <is>
          <t>CC01-2A, CC01-3A, CC01-2B</t>
        </is>
      </c>
      <c r="B7" s="9" t="inlineStr">
        <is>
          <t>MP-16</t>
        </is>
      </c>
      <c r="C7" s="9" t="inlineStr">
        <is>
          <t>Casquete 12" × 3,2 mm (carro 50 kg)</t>
        </is>
      </c>
      <c r="D7" s="9" t="inlineStr">
        <is>
          <t>u</t>
        </is>
      </c>
      <c r="E7" s="9" t="inlineStr">
        <is>
          <t>Contenedor de 260 u (130 cúpulas + 130 fondos, ≈ 990 kg)</t>
        </is>
      </c>
      <c r="F7" s="10" t="n">
        <v>86.3</v>
      </c>
      <c r="G7" s="10" t="n">
        <v>492</v>
      </c>
      <c r="H7" s="10" t="n">
        <v>606.3</v>
      </c>
      <c r="I7" s="11" t="n">
        <v>14.237</v>
      </c>
      <c r="J7" s="12" t="n"/>
      <c r="K7" s="10">
        <f>IFERROR(IF(OR(J7="",I7=0),"",J7/I7),"")</f>
        <v/>
      </c>
      <c r="L7" s="13">
        <f>IF(J7="","",IF(J7&lt;=F7,"BAJO SEGURIDAD",IF(J7&lt;=G7,"PEDIR","OK")))</f>
        <v/>
      </c>
      <c r="M7" s="9" t="n"/>
    </row>
    <row r="8">
      <c r="A8" s="9" t="inlineStr">
        <is>
          <t>CC01-1B, CC01-3B</t>
        </is>
      </c>
      <c r="B8" s="9" t="inlineStr">
        <is>
          <t>MP-17</t>
        </is>
      </c>
      <c r="C8" s="9" t="inlineStr">
        <is>
          <t>Casquete 15" × 4,75 mm (carros 70 y 100 kg)</t>
        </is>
      </c>
      <c r="D8" s="9" t="inlineStr">
        <is>
          <t>u</t>
        </is>
      </c>
      <c r="E8" s="9" t="inlineStr">
        <is>
          <t>Contenedor de 116 u (58 cúpulas + 58 fondos, ≈ 890 kg)</t>
        </is>
      </c>
      <c r="F8" s="10" t="n">
        <v>31.4</v>
      </c>
      <c r="G8" s="10" t="n">
        <v>179</v>
      </c>
      <c r="H8" s="10" t="n">
        <v>147.4</v>
      </c>
      <c r="I8" s="11" t="n">
        <v>5.1798</v>
      </c>
      <c r="J8" s="12" t="n"/>
      <c r="K8" s="10">
        <f>IFERROR(IF(OR(J8="",I8=0),"",J8/I8),"")</f>
        <v/>
      </c>
      <c r="L8" s="13">
        <f>IF(J8="","",IF(J8&lt;=F8,"BAJO SEGURIDAD",IF(J8&lt;=G8,"PEDIR","OK")))</f>
        <v/>
      </c>
      <c r="M8" s="9" t="n"/>
    </row>
    <row r="9">
      <c r="A9" s="9" t="inlineStr">
        <is>
          <t>CC01-2B</t>
        </is>
      </c>
      <c r="B9" s="9" t="inlineStr">
        <is>
          <t>MP-20</t>
        </is>
      </c>
      <c r="C9" s="9" t="inlineStr">
        <is>
          <t>Cupla M30 × 1,5 (carros 25 y 50 kg)</t>
        </is>
      </c>
      <c r="D9" s="9" t="inlineStr">
        <is>
          <t>u</t>
        </is>
      </c>
      <c r="E9" s="9" t="inlineStr">
        <is>
          <t>Caja de 100 u (25 kg)</t>
        </is>
      </c>
      <c r="F9" s="10" t="n">
        <v>44.7</v>
      </c>
      <c r="G9" s="10" t="n">
        <v>324.4</v>
      </c>
      <c r="H9" s="10" t="n">
        <v>344.7</v>
      </c>
      <c r="I9" s="11" t="n">
        <v>10.3573</v>
      </c>
      <c r="J9" s="12" t="n"/>
      <c r="K9" s="10">
        <f>IFERROR(IF(OR(J9="",I9=0),"",J9/I9),"")</f>
        <v/>
      </c>
      <c r="L9" s="13">
        <f>IF(J9="","",IF(J9&lt;=F9,"BAJO SEGURIDAD",IF(J9&lt;=G9,"PEDIR","OK")))</f>
        <v/>
      </c>
      <c r="M9" s="9" t="n"/>
    </row>
    <row r="10">
      <c r="A10" s="9" t="inlineStr">
        <is>
          <t>CC01-3B</t>
        </is>
      </c>
      <c r="B10" s="9" t="inlineStr">
        <is>
          <t>MP-21</t>
        </is>
      </c>
      <c r="C10" s="9" t="inlineStr">
        <is>
          <t>Cupla 2½" BSP (carros 70 y 100 kg)</t>
        </is>
      </c>
      <c r="D10" s="9" t="inlineStr">
        <is>
          <t>u</t>
        </is>
      </c>
      <c r="E10" s="9" t="inlineStr">
        <is>
          <t>Caja de 40 u (24 kg)</t>
        </is>
      </c>
      <c r="F10" s="10" t="n">
        <v>11.2</v>
      </c>
      <c r="G10" s="10" t="n">
        <v>81.09999999999999</v>
      </c>
      <c r="H10" s="10" t="n">
        <v>91.2</v>
      </c>
      <c r="I10" s="11" t="n">
        <v>2.5899</v>
      </c>
      <c r="J10" s="12" t="n"/>
      <c r="K10" s="10">
        <f>IFERROR(IF(OR(J10="",I10=0),"",J10/I10),"")</f>
        <v/>
      </c>
      <c r="L10" s="13">
        <f>IF(J10="","",IF(J10&lt;=F10,"BAJO SEGURIDAD",IF(J10&lt;=G10,"PEDIR","OK")))</f>
        <v/>
      </c>
      <c r="M10" s="9" t="n"/>
    </row>
  </sheetData>
  <mergeCells count="1">
    <mergeCell ref="D3:E3"/>
  </mergeCells>
  <dataValidations count="1">
    <dataValidation sqref="J6:J10" showDropDown="0" showInputMessage="0" showErrorMessage="0" allowBlank="1" error="El stock contado es un número mayor o igual a cero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M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7" customWidth="1" min="4" max="4"/>
    <col width="26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1" customWidth="1" min="11" max="11"/>
    <col width="16" customWidth="1" min="12" max="12"/>
    <col width="28" customWidth="1" min="13" max="13"/>
  </cols>
  <sheetData>
    <row r="1">
      <c r="A1" s="1" t="inlineStr">
        <is>
          <t>Conteo · Rack de insumos de montaje (carros)</t>
        </is>
      </c>
    </row>
    <row r="2">
      <c r="A2" s="3" t="inlineStr">
        <is>
          <t>Rack selectivo 500 kg/nivel · 8 lugares · Ruedas en pallet abajo; cajas arriba.</t>
        </is>
      </c>
    </row>
    <row r="3">
      <c r="A3" s="4" t="inlineStr">
        <is>
          <t>Fecha del conteo</t>
        </is>
      </c>
      <c r="B3" s="5" t="n"/>
      <c r="C3" s="4" t="inlineStr">
        <is>
          <t>Contó</t>
        </is>
      </c>
      <c r="D3" s="6" t="n"/>
      <c r="E3" s="7" t="n"/>
    </row>
    <row r="5">
      <c r="A5" s="8" t="inlineStr">
        <is>
          <t>Lugar</t>
        </is>
      </c>
      <c r="B5" s="8" t="inlineStr">
        <is>
          <t>Código</t>
        </is>
      </c>
      <c r="C5" s="8" t="inlineStr">
        <is>
          <t>Material</t>
        </is>
      </c>
      <c r="D5" s="8" t="inlineStr">
        <is>
          <t>UM</t>
        </is>
      </c>
      <c r="E5" s="8" t="inlineStr">
        <is>
          <t>Se compra en</t>
        </is>
      </c>
      <c r="F5" s="8" t="inlineStr">
        <is>
          <t>Seguridad</t>
        </is>
      </c>
      <c r="G5" s="8" t="inlineStr">
        <is>
          <t>Punto de pedido</t>
        </is>
      </c>
      <c r="H5" s="8" t="inlineStr">
        <is>
          <t>Máximo</t>
        </is>
      </c>
      <c r="I5" s="8" t="inlineStr">
        <is>
          <t>Consumo por día</t>
        </is>
      </c>
      <c r="J5" s="8" t="inlineStr">
        <is>
          <t>Stock contado</t>
        </is>
      </c>
      <c r="K5" s="8" t="inlineStr">
        <is>
          <t>Días de stock</t>
        </is>
      </c>
      <c r="L5" s="8" t="inlineStr">
        <is>
          <t>Estado</t>
        </is>
      </c>
      <c r="M5" s="8" t="inlineStr">
        <is>
          <t>Observaciones</t>
        </is>
      </c>
    </row>
    <row r="6">
      <c r="A6" s="9" t="inlineStr">
        <is>
          <t>IC01-1A, IC01-2B</t>
        </is>
      </c>
      <c r="B6" s="9" t="inlineStr">
        <is>
          <t>MP-54/300</t>
        </is>
      </c>
      <c r="C6" s="9" t="inlineStr">
        <is>
          <t>Rueda Ø300 × 50, buje 3/4" (carro 25 kg)</t>
        </is>
      </c>
      <c r="D6" s="9" t="inlineStr">
        <is>
          <t>u</t>
        </is>
      </c>
      <c r="E6" s="9" t="inlineStr">
        <is>
          <t>Pallet de 72 u</t>
        </is>
      </c>
      <c r="F6" s="10" t="n">
        <v>5.3</v>
      </c>
      <c r="G6" s="10" t="n">
        <v>20.4</v>
      </c>
      <c r="H6" s="10" t="n">
        <v>149.3</v>
      </c>
      <c r="I6" s="11" t="n">
        <v>3.7806</v>
      </c>
      <c r="J6" s="12" t="n"/>
      <c r="K6" s="10">
        <f>IFERROR(IF(OR(J6="",I6=0),"",J6/I6),"")</f>
        <v/>
      </c>
      <c r="L6" s="13">
        <f>IF(J6="","",IF(J6&lt;=F6,"BAJO SEGURIDAD",IF(J6&lt;=G6,"PEDIR","OK")))</f>
        <v/>
      </c>
      <c r="M6" s="9" t="n"/>
    </row>
    <row r="7">
      <c r="A7" s="9" t="inlineStr">
        <is>
          <t>IC01-2A, IC01-2B</t>
        </is>
      </c>
      <c r="B7" s="9" t="inlineStr">
        <is>
          <t>MP-54/350</t>
        </is>
      </c>
      <c r="C7" s="9" t="inlineStr">
        <is>
          <t>Rueda Ø350 × 60, buje 1" (carro 50 kg)</t>
        </is>
      </c>
      <c r="D7" s="9" t="inlineStr">
        <is>
          <t>u</t>
        </is>
      </c>
      <c r="E7" s="9" t="inlineStr">
        <is>
          <t>Pallet de 72 u</t>
        </is>
      </c>
      <c r="F7" s="10" t="n">
        <v>11.6</v>
      </c>
      <c r="G7" s="10" t="n">
        <v>44.9</v>
      </c>
      <c r="H7" s="10" t="n">
        <v>227.6</v>
      </c>
      <c r="I7" s="11" t="n">
        <v>8.316599999999999</v>
      </c>
      <c r="J7" s="12" t="n"/>
      <c r="K7" s="10">
        <f>IFERROR(IF(OR(J7="",I7=0),"",J7/I7),"")</f>
        <v/>
      </c>
      <c r="L7" s="13">
        <f>IF(J7="","",IF(J7&lt;=F7,"BAJO SEGURIDAD",IF(J7&lt;=G7,"PEDIR","OK")))</f>
        <v/>
      </c>
      <c r="M7" s="9" t="n"/>
    </row>
    <row r="8">
      <c r="A8" s="9" t="inlineStr">
        <is>
          <t>IC01-3A</t>
        </is>
      </c>
      <c r="B8" s="9" t="inlineStr">
        <is>
          <t>MP-49/ABC50</t>
        </is>
      </c>
      <c r="C8" s="9" t="inlineStr">
        <is>
          <t>Manguera con válvula esférica y tobera, carro 50 kg</t>
        </is>
      </c>
      <c r="D8" s="9" t="inlineStr">
        <is>
          <t>u</t>
        </is>
      </c>
      <c r="E8" s="9" t="inlineStr">
        <is>
          <t>Caja de 10 u</t>
        </is>
      </c>
      <c r="F8" s="10" t="n">
        <v>8.6</v>
      </c>
      <c r="G8" s="10" t="n">
        <v>31.4</v>
      </c>
      <c r="H8" s="10" t="n">
        <v>98.59999999999999</v>
      </c>
      <c r="I8" s="11" t="n">
        <v>4.1583</v>
      </c>
      <c r="J8" s="12" t="n"/>
      <c r="K8" s="10">
        <f>IFERROR(IF(OR(J8="",I8=0),"",J8/I8),"")</f>
        <v/>
      </c>
      <c r="L8" s="13">
        <f>IF(J8="","",IF(J8&lt;=F8,"BAJO SEGURIDAD",IF(J8&lt;=G8,"PEDIR","OK")))</f>
        <v/>
      </c>
      <c r="M8" s="9" t="n"/>
    </row>
    <row r="9">
      <c r="A9" s="9" t="inlineStr">
        <is>
          <t>IC01-3A</t>
        </is>
      </c>
      <c r="B9" s="9" t="inlineStr">
        <is>
          <t>MP-49/ABC100</t>
        </is>
      </c>
      <c r="C9" s="9" t="inlineStr">
        <is>
          <t>Manguera con válvula esférica y tobera, carro 100 kg</t>
        </is>
      </c>
      <c r="D9" s="9" t="inlineStr">
        <is>
          <t>u</t>
        </is>
      </c>
      <c r="E9" s="9" t="inlineStr">
        <is>
          <t>Caja de 10 u</t>
        </is>
      </c>
      <c r="F9" s="10" t="n">
        <v>1.2</v>
      </c>
      <c r="G9" s="10" t="n">
        <v>4.6</v>
      </c>
      <c r="H9" s="10" t="n">
        <v>21.2</v>
      </c>
      <c r="I9" s="11" t="n">
        <v>0.605</v>
      </c>
      <c r="J9" s="12" t="n"/>
      <c r="K9" s="10">
        <f>IFERROR(IF(OR(J9="",I9=0),"",J9/I9),"")</f>
        <v/>
      </c>
      <c r="L9" s="13">
        <f>IF(J9="","",IF(J9&lt;=F9,"BAJO SEGURIDAD",IF(J9&lt;=G9,"PEDIR","OK")))</f>
        <v/>
      </c>
      <c r="M9" s="9" t="n"/>
    </row>
    <row r="10">
      <c r="A10" s="9" t="inlineStr">
        <is>
          <t>IC01-1B</t>
        </is>
      </c>
      <c r="B10" s="9" t="inlineStr">
        <is>
          <t>MP-44/25</t>
        </is>
      </c>
      <c r="C10" s="9" t="inlineStr">
        <is>
          <t>Válvula HZ de carro 25 kg, sin tubo pescante</t>
        </is>
      </c>
      <c r="D10" s="9" t="inlineStr">
        <is>
          <t>u</t>
        </is>
      </c>
      <c r="E10" s="9" t="inlineStr">
        <is>
          <t>Caja de 10 u</t>
        </is>
      </c>
      <c r="F10" s="10" t="n">
        <v>3.9</v>
      </c>
      <c r="G10" s="10" t="n">
        <v>14.3</v>
      </c>
      <c r="H10" s="10" t="n">
        <v>53.9</v>
      </c>
      <c r="I10" s="11" t="n">
        <v>1.8903</v>
      </c>
      <c r="J10" s="12" t="n"/>
      <c r="K10" s="10">
        <f>IFERROR(IF(OR(J10="",I10=0),"",J10/I10),"")</f>
        <v/>
      </c>
      <c r="L10" s="13">
        <f>IF(J10="","",IF(J10&lt;=F10,"BAJO SEGURIDAD",IF(J10&lt;=G10,"PEDIR","OK")))</f>
        <v/>
      </c>
      <c r="M10" s="9" t="n"/>
    </row>
    <row r="11">
      <c r="A11" s="9" t="inlineStr">
        <is>
          <t>IC01-1B</t>
        </is>
      </c>
      <c r="B11" s="9" t="inlineStr">
        <is>
          <t>MP-44/50</t>
        </is>
      </c>
      <c r="C11" s="9" t="inlineStr">
        <is>
          <t>Válvula HZ de carro 50-70-100 kg, sin tubo pescante</t>
        </is>
      </c>
      <c r="D11" s="9" t="inlineStr">
        <is>
          <t>u</t>
        </is>
      </c>
      <c r="E11" s="9" t="inlineStr">
        <is>
          <t>Caja de 10 u</t>
        </is>
      </c>
      <c r="F11" s="10" t="n">
        <v>11.7</v>
      </c>
      <c r="G11" s="10" t="n">
        <v>42.9</v>
      </c>
      <c r="H11" s="10" t="n">
        <v>141.7</v>
      </c>
      <c r="I11" s="11" t="n">
        <v>5.6709</v>
      </c>
      <c r="J11" s="12" t="n"/>
      <c r="K11" s="10">
        <f>IFERROR(IF(OR(J11="",I11=0),"",J11/I11),"")</f>
        <v/>
      </c>
      <c r="L11" s="13">
        <f>IF(J11="","",IF(J11&lt;=F11,"BAJO SEGURIDAD",IF(J11&lt;=G11,"PEDIR","OK")))</f>
        <v/>
      </c>
      <c r="M11" s="9" t="n"/>
    </row>
    <row r="12">
      <c r="A12" s="9" t="inlineStr">
        <is>
          <t>IC01-1B</t>
        </is>
      </c>
      <c r="B12" s="9" t="inlineStr">
        <is>
          <t>MP-50/2½</t>
        </is>
      </c>
      <c r="C12" s="9" t="inlineStr">
        <is>
          <t>Junta tórica del cuello 2½"</t>
        </is>
      </c>
      <c r="D12" s="9" t="inlineStr">
        <is>
          <t>u</t>
        </is>
      </c>
      <c r="E12" s="9" t="inlineStr">
        <is>
          <t>Bolsa de 100 u</t>
        </is>
      </c>
      <c r="F12" s="10" t="n">
        <v>2.1</v>
      </c>
      <c r="G12" s="10" t="n">
        <v>8.199999999999999</v>
      </c>
      <c r="H12" s="10" t="n">
        <v>102.1</v>
      </c>
      <c r="I12" s="11" t="n">
        <v>1.5126</v>
      </c>
      <c r="J12" s="12" t="n"/>
      <c r="K12" s="10">
        <f>IFERROR(IF(OR(J12="",I12=0),"",J12/I12),"")</f>
        <v/>
      </c>
      <c r="L12" s="13">
        <f>IF(J12="","",IF(J12&lt;=F12,"BAJO SEGURIDAD",IF(J12&lt;=G12,"PEDIR","OK")))</f>
        <v/>
      </c>
      <c r="M12" s="9" t="n"/>
    </row>
    <row r="13">
      <c r="A13" s="9" t="inlineStr">
        <is>
          <t>IC01-2B</t>
        </is>
      </c>
      <c r="B13" s="9" t="inlineStr">
        <is>
          <t>MP-70</t>
        </is>
      </c>
      <c r="C13" s="9" t="inlineStr">
        <is>
          <t>Arandela de tope del eje</t>
        </is>
      </c>
      <c r="D13" s="9" t="inlineStr">
        <is>
          <t>u</t>
        </is>
      </c>
      <c r="E13" s="9" t="inlineStr">
        <is>
          <t>Bolsa de 1.000 u</t>
        </is>
      </c>
      <c r="F13" s="10" t="n">
        <v>42.3</v>
      </c>
      <c r="G13" s="10" t="n">
        <v>163.3</v>
      </c>
      <c r="H13" s="10" t="n">
        <v>1042.3</v>
      </c>
      <c r="I13" s="11" t="n">
        <v>30.2447</v>
      </c>
      <c r="J13" s="12" t="n"/>
      <c r="K13" s="10">
        <f>IFERROR(IF(OR(J13="",I13=0),"",J13/I13),"")</f>
        <v/>
      </c>
      <c r="L13" s="13">
        <f>IF(J13="","",IF(J13&lt;=F13,"BAJO SEGURIDAD",IF(J13&lt;=G13,"PEDIR","OK")))</f>
        <v/>
      </c>
      <c r="M13" s="9" t="n"/>
    </row>
    <row r="14">
      <c r="A14" s="9" t="inlineStr">
        <is>
          <t>IC01-2B</t>
        </is>
      </c>
      <c r="B14" s="9" t="inlineStr">
        <is>
          <t>MP-47/ABC25</t>
        </is>
      </c>
      <c r="C14" s="9" t="inlineStr">
        <is>
          <t>Tubo pescante de acero SAE 1010, carro 25 kg</t>
        </is>
      </c>
      <c r="D14" s="9" t="inlineStr">
        <is>
          <t>u</t>
        </is>
      </c>
      <c r="E14" s="9" t="inlineStr">
        <is>
          <t>Caja de 20 u</t>
        </is>
      </c>
      <c r="F14" s="10" t="n">
        <v>3.9</v>
      </c>
      <c r="G14" s="10" t="n">
        <v>14.3</v>
      </c>
      <c r="H14" s="10" t="n">
        <v>63.9</v>
      </c>
      <c r="I14" s="11" t="n">
        <v>1.8903</v>
      </c>
      <c r="J14" s="12" t="n"/>
      <c r="K14" s="10">
        <f>IFERROR(IF(OR(J14="",I14=0),"",J14/I14),"")</f>
        <v/>
      </c>
      <c r="L14" s="13">
        <f>IF(J14="","",IF(J14&lt;=F14,"BAJO SEGURIDAD",IF(J14&lt;=G14,"PEDIR","OK")))</f>
        <v/>
      </c>
      <c r="M14" s="9" t="n"/>
    </row>
    <row r="15">
      <c r="A15" s="9" t="inlineStr">
        <is>
          <t>IC01-3B</t>
        </is>
      </c>
      <c r="B15" s="9" t="inlineStr">
        <is>
          <t>MP-47/ABC50</t>
        </is>
      </c>
      <c r="C15" s="9" t="inlineStr">
        <is>
          <t>Tubo pescante de acero SAE 1010, carro 50 kg</t>
        </is>
      </c>
      <c r="D15" s="9" t="inlineStr">
        <is>
          <t>u</t>
        </is>
      </c>
      <c r="E15" s="9" t="inlineStr">
        <is>
          <t>Caja de 20 u</t>
        </is>
      </c>
      <c r="F15" s="10" t="n">
        <v>8.6</v>
      </c>
      <c r="G15" s="10" t="n">
        <v>31.4</v>
      </c>
      <c r="H15" s="10" t="n">
        <v>108.6</v>
      </c>
      <c r="I15" s="11" t="n">
        <v>4.1583</v>
      </c>
      <c r="J15" s="12" t="n"/>
      <c r="K15" s="10">
        <f>IFERROR(IF(OR(J15="",I15=0),"",J15/I15),"")</f>
        <v/>
      </c>
      <c r="L15" s="13">
        <f>IF(J15="","",IF(J15&lt;=F15,"BAJO SEGURIDAD",IF(J15&lt;=G15,"PEDIR","OK")))</f>
        <v/>
      </c>
      <c r="M15" s="9" t="n"/>
    </row>
    <row r="16">
      <c r="A16" s="9" t="inlineStr">
        <is>
          <t>IC01-3B</t>
        </is>
      </c>
      <c r="B16" s="9" t="inlineStr">
        <is>
          <t>MP-49/ABC25</t>
        </is>
      </c>
      <c r="C16" s="9" t="inlineStr">
        <is>
          <t>Manguera con válvula esférica y tobera, carro 25 kg</t>
        </is>
      </c>
      <c r="D16" s="9" t="inlineStr">
        <is>
          <t>u</t>
        </is>
      </c>
      <c r="E16" s="9" t="inlineStr">
        <is>
          <t>Caja de 10 u</t>
        </is>
      </c>
      <c r="F16" s="10" t="n">
        <v>3.9</v>
      </c>
      <c r="G16" s="10" t="n">
        <v>14.3</v>
      </c>
      <c r="H16" s="10" t="n">
        <v>53.9</v>
      </c>
      <c r="I16" s="11" t="n">
        <v>1.8903</v>
      </c>
      <c r="J16" s="12" t="n"/>
      <c r="K16" s="10">
        <f>IFERROR(IF(OR(J16="",I16=0),"",J16/I16),"")</f>
        <v/>
      </c>
      <c r="L16" s="13">
        <f>IF(J16="","",IF(J16&lt;=F16,"BAJO SEGURIDAD",IF(J16&lt;=G16,"PEDIR","OK")))</f>
        <v/>
      </c>
      <c r="M16" s="9" t="n"/>
    </row>
    <row r="17">
      <c r="A17" s="9" t="inlineStr">
        <is>
          <t>IC02-1A</t>
        </is>
      </c>
      <c r="B17" s="9" t="inlineStr">
        <is>
          <t>MP-54/400</t>
        </is>
      </c>
      <c r="C17" s="9" t="inlineStr">
        <is>
          <t>Rueda Ø400 × 60, buje 1" (carros 70 y 100 kg)</t>
        </is>
      </c>
      <c r="D17" s="9" t="inlineStr">
        <is>
          <t>u</t>
        </is>
      </c>
      <c r="E17" s="9" t="inlineStr">
        <is>
          <t>Pallet de 72 u</t>
        </is>
      </c>
      <c r="F17" s="10" t="n">
        <v>4.2</v>
      </c>
      <c r="G17" s="10" t="n">
        <v>16.3</v>
      </c>
      <c r="H17" s="10" t="n">
        <v>76.2</v>
      </c>
      <c r="I17" s="11" t="n">
        <v>3.0251</v>
      </c>
      <c r="J17" s="12" t="n"/>
      <c r="K17" s="10">
        <f>IFERROR(IF(OR(J17="",I17=0),"",J17/I17),"")</f>
        <v/>
      </c>
      <c r="L17" s="13">
        <f>IF(J17="","",IF(J17&lt;=F17,"BAJO SEGURIDAD",IF(J17&lt;=G17,"PEDIR","OK")))</f>
        <v/>
      </c>
      <c r="M17" s="9" t="n"/>
    </row>
    <row r="18">
      <c r="A18" s="9" t="inlineStr">
        <is>
          <t>IC02-1A</t>
        </is>
      </c>
      <c r="B18" s="9" t="inlineStr">
        <is>
          <t>MP-24</t>
        </is>
      </c>
      <c r="C18" s="9" t="inlineStr">
        <is>
          <t>Alambre MAG ER70S-6 Ø1,0 mm (carros)</t>
        </is>
      </c>
      <c r="D18" s="9" t="inlineStr">
        <is>
          <t>kg</t>
        </is>
      </c>
      <c r="E18" s="9" t="inlineStr">
        <is>
          <t>Bobina de 15 kg</t>
        </is>
      </c>
      <c r="F18" s="10" t="n">
        <v>5.2</v>
      </c>
      <c r="G18" s="10" t="n">
        <v>31.3</v>
      </c>
      <c r="H18" s="10" t="n">
        <v>140.2</v>
      </c>
      <c r="I18" s="11" t="n">
        <v>5.7942</v>
      </c>
      <c r="J18" s="12" t="n"/>
      <c r="K18" s="10">
        <f>IFERROR(IF(OR(J18="",I18=0),"",J18/I18),"")</f>
        <v/>
      </c>
      <c r="L18" s="13">
        <f>IF(J18="","",IF(J18&lt;=F18,"BAJO SEGURIDAD",IF(J18&lt;=G18,"PEDIR","OK")))</f>
        <v/>
      </c>
      <c r="M18" s="9" t="n"/>
    </row>
    <row r="19">
      <c r="A19" s="9" t="inlineStr">
        <is>
          <t>IC02-1A</t>
        </is>
      </c>
      <c r="B19" s="9" t="inlineStr">
        <is>
          <t>MP-47/ABC70</t>
        </is>
      </c>
      <c r="C19" s="9" t="inlineStr">
        <is>
          <t>Tubo pescante de acero SAE 1010, carro 70 kg</t>
        </is>
      </c>
      <c r="D19" s="9" t="inlineStr">
        <is>
          <t>u</t>
        </is>
      </c>
      <c r="E19" s="9" t="inlineStr">
        <is>
          <t>Caja de 20 u</t>
        </is>
      </c>
      <c r="F19" s="10" t="n">
        <v>1.9</v>
      </c>
      <c r="G19" s="10" t="n">
        <v>6.9</v>
      </c>
      <c r="H19" s="10" t="n">
        <v>21.9</v>
      </c>
      <c r="I19" s="11" t="n">
        <v>0.9075</v>
      </c>
      <c r="J19" s="12" t="n"/>
      <c r="K19" s="10">
        <f>IFERROR(IF(OR(J19="",I19=0),"",J19/I19),"")</f>
        <v/>
      </c>
      <c r="L19" s="13">
        <f>IF(J19="","",IF(J19&lt;=F19,"BAJO SEGURIDAD",IF(J19&lt;=G19,"PEDIR","OK")))</f>
        <v/>
      </c>
      <c r="M19" s="9" t="n"/>
    </row>
    <row r="20">
      <c r="A20" s="9" t="inlineStr">
        <is>
          <t>IC02-1A</t>
        </is>
      </c>
      <c r="B20" s="9" t="inlineStr">
        <is>
          <t>MP-49/ABC70</t>
        </is>
      </c>
      <c r="C20" s="9" t="inlineStr">
        <is>
          <t>Manguera con válvula esférica y tobera, carro 70 kg</t>
        </is>
      </c>
      <c r="D20" s="9" t="inlineStr">
        <is>
          <t>u</t>
        </is>
      </c>
      <c r="E20" s="9" t="inlineStr">
        <is>
          <t>Caja de 10 u</t>
        </is>
      </c>
      <c r="F20" s="10" t="n">
        <v>1.9</v>
      </c>
      <c r="G20" s="10" t="n">
        <v>6.9</v>
      </c>
      <c r="H20" s="10" t="n">
        <v>21.9</v>
      </c>
      <c r="I20" s="11" t="n">
        <v>0.9075</v>
      </c>
      <c r="J20" s="12" t="n"/>
      <c r="K20" s="10">
        <f>IFERROR(IF(OR(J20="",I20=0),"",J20/I20),"")</f>
        <v/>
      </c>
      <c r="L20" s="13">
        <f>IF(J20="","",IF(J20&lt;=F20,"BAJO SEGURIDAD",IF(J20&lt;=G20,"PEDIR","OK")))</f>
        <v/>
      </c>
      <c r="M20" s="9" t="n"/>
    </row>
    <row r="21">
      <c r="A21" s="9" t="inlineStr">
        <is>
          <t>IC02-2A</t>
        </is>
      </c>
      <c r="B21" s="9" t="inlineStr">
        <is>
          <t>MP-71</t>
        </is>
      </c>
      <c r="C21" s="9" t="inlineStr">
        <is>
          <t>Pasador partido del eje</t>
        </is>
      </c>
      <c r="D21" s="9" t="inlineStr">
        <is>
          <t>u</t>
        </is>
      </c>
      <c r="E21" s="9" t="inlineStr">
        <is>
          <t>Bolsa de 1.000 u</t>
        </is>
      </c>
      <c r="F21" s="10" t="n">
        <v>21.2</v>
      </c>
      <c r="G21" s="10" t="n">
        <v>81.7</v>
      </c>
      <c r="H21" s="10" t="n">
        <v>1021.2</v>
      </c>
      <c r="I21" s="11" t="n">
        <v>15.1224</v>
      </c>
      <c r="J21" s="12" t="n"/>
      <c r="K21" s="10">
        <f>IFERROR(IF(OR(J21="",I21=0),"",J21/I21),"")</f>
        <v/>
      </c>
      <c r="L21" s="13">
        <f>IF(J21="","",IF(J21&lt;=F21,"BAJO SEGURIDAD",IF(J21&lt;=G21,"PEDIR","OK")))</f>
        <v/>
      </c>
      <c r="M21" s="9" t="n"/>
    </row>
    <row r="22">
      <c r="A22" s="9" t="inlineStr">
        <is>
          <t>IC02-2A</t>
        </is>
      </c>
      <c r="B22" s="9" t="inlineStr">
        <is>
          <t>MP-47/ABC100</t>
        </is>
      </c>
      <c r="C22" s="9" t="inlineStr">
        <is>
          <t>Tubo pescante de acero SAE 1010, carro 100 kg</t>
        </is>
      </c>
      <c r="D22" s="9" t="inlineStr">
        <is>
          <t>u</t>
        </is>
      </c>
      <c r="E22" s="9" t="inlineStr">
        <is>
          <t>Caja de 20 u</t>
        </is>
      </c>
      <c r="F22" s="10" t="n">
        <v>1.2</v>
      </c>
      <c r="G22" s="10" t="n">
        <v>4.6</v>
      </c>
      <c r="H22" s="10" t="n">
        <v>21.2</v>
      </c>
      <c r="I22" s="11" t="n">
        <v>0.605</v>
      </c>
      <c r="J22" s="12" t="n"/>
      <c r="K22" s="10">
        <f>IFERROR(IF(OR(J22="",I22=0),"",J22/I22),"")</f>
        <v/>
      </c>
      <c r="L22" s="13">
        <f>IF(J22="","",IF(J22&lt;=F22,"BAJO SEGURIDAD",IF(J22&lt;=G22,"PEDIR","OK")))</f>
        <v/>
      </c>
      <c r="M22" s="9" t="n"/>
    </row>
  </sheetData>
  <mergeCells count="1">
    <mergeCell ref="D3:E3"/>
  </mergeCells>
  <dataValidations count="1">
    <dataValidation sqref="J6:J22" showDropDown="0" showInputMessage="0" showErrorMessage="0" allowBlank="1" error="El stock contado es un número mayor o igual a cero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  <col width="7" customWidth="1" min="4" max="4"/>
    <col width="26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1" customWidth="1" min="11" max="11"/>
    <col width="16" customWidth="1" min="12" max="12"/>
    <col width="28" customWidth="1" min="13" max="13"/>
  </cols>
  <sheetData>
    <row r="1">
      <c r="A1" s="1" t="inlineStr">
        <is>
          <t>Conteo · Almacén de producto terminado</t>
        </is>
      </c>
    </row>
    <row r="2">
      <c r="A2" s="3" t="inlineStr">
        <is>
          <t>— (va en el almacén de PT) · 13 lugares · En el almacén de producto terminado (Balanceo2035, Pulmones sección 6).</t>
        </is>
      </c>
    </row>
    <row r="3">
      <c r="A3" s="4" t="inlineStr">
        <is>
          <t>Fecha del conteo</t>
        </is>
      </c>
      <c r="B3" s="5" t="n"/>
      <c r="C3" s="4" t="inlineStr">
        <is>
          <t>Contó</t>
        </is>
      </c>
      <c r="D3" s="6" t="n"/>
      <c r="E3" s="7" t="n"/>
    </row>
    <row r="5">
      <c r="A5" s="8" t="inlineStr">
        <is>
          <t>Lugar</t>
        </is>
      </c>
      <c r="B5" s="8" t="inlineStr">
        <is>
          <t>Código</t>
        </is>
      </c>
      <c r="C5" s="8" t="inlineStr">
        <is>
          <t>Material</t>
        </is>
      </c>
      <c r="D5" s="8" t="inlineStr">
        <is>
          <t>UM</t>
        </is>
      </c>
      <c r="E5" s="8" t="inlineStr">
        <is>
          <t>Se compra en</t>
        </is>
      </c>
      <c r="F5" s="8" t="inlineStr">
        <is>
          <t>Seguridad</t>
        </is>
      </c>
      <c r="G5" s="8" t="inlineStr">
        <is>
          <t>Punto de pedido</t>
        </is>
      </c>
      <c r="H5" s="8" t="inlineStr">
        <is>
          <t>Máximo</t>
        </is>
      </c>
      <c r="I5" s="8" t="inlineStr">
        <is>
          <t>Consumo por día</t>
        </is>
      </c>
      <c r="J5" s="8" t="inlineStr">
        <is>
          <t>Stock contado</t>
        </is>
      </c>
      <c r="K5" s="8" t="inlineStr">
        <is>
          <t>Días de stock</t>
        </is>
      </c>
      <c r="L5" s="8" t="inlineStr">
        <is>
          <t>Estado</t>
        </is>
      </c>
      <c r="M5" s="8" t="inlineStr">
        <is>
          <t>Observaciones</t>
        </is>
      </c>
    </row>
    <row r="6">
      <c r="A6" s="9" t="inlineStr">
        <is>
          <t>RV-01, RV-02, RV-11</t>
        </is>
      </c>
      <c r="B6" s="9" t="inlineStr">
        <is>
          <t>RV-AGUA_10l</t>
        </is>
      </c>
      <c r="C6" s="9" t="inlineStr">
        <is>
          <t>Matafuego Agua 10 l (reventa)</t>
        </is>
      </c>
      <c r="D6" s="9" t="inlineStr">
        <is>
          <t>u</t>
        </is>
      </c>
      <c r="E6" s="9" t="inlineStr">
        <is>
          <t>Unidad</t>
        </is>
      </c>
      <c r="F6" s="10" t="n">
        <v>51.4</v>
      </c>
      <c r="G6" s="10" t="n">
        <v>112</v>
      </c>
      <c r="H6" s="10" t="n">
        <v>371.4</v>
      </c>
      <c r="I6" s="11" t="n">
        <v>12.1176</v>
      </c>
      <c r="J6" s="12" t="n"/>
      <c r="K6" s="10">
        <f>IFERROR(IF(OR(J6="",I6=0),"",J6/I6),"")</f>
        <v/>
      </c>
      <c r="L6" s="13">
        <f>IF(J6="","",IF(J6&lt;=F6,"BAJO SEGURIDAD",IF(J6&lt;=G6,"PEDIR","OK")))</f>
        <v/>
      </c>
      <c r="M6" s="9" t="n"/>
    </row>
    <row r="7">
      <c r="A7" s="9" t="inlineStr">
        <is>
          <t>RV-03, RV-12</t>
        </is>
      </c>
      <c r="B7" s="9" t="inlineStr">
        <is>
          <t>RV-SALESK_6l</t>
        </is>
      </c>
      <c r="C7" s="9" t="inlineStr">
        <is>
          <t>Matafuego Clase K 6 l (reventa)</t>
        </is>
      </c>
      <c r="D7" s="9" t="inlineStr">
        <is>
          <t>u</t>
        </is>
      </c>
      <c r="E7" s="9" t="inlineStr">
        <is>
          <t>Unidad</t>
        </is>
      </c>
      <c r="F7" s="10" t="n">
        <v>7.8</v>
      </c>
      <c r="G7" s="10" t="n">
        <v>18.2</v>
      </c>
      <c r="H7" s="10" t="n">
        <v>189.8</v>
      </c>
      <c r="I7" s="11" t="n">
        <v>6.8778</v>
      </c>
      <c r="J7" s="12" t="n"/>
      <c r="K7" s="10">
        <f>IFERROR(IF(OR(J7="",I7=0),"",J7/I7),"")</f>
        <v/>
      </c>
      <c r="L7" s="13">
        <f>IF(J7="","",IF(J7&lt;=F7,"BAJO SEGURIDAD",IF(J7&lt;=G7,"PEDIR","OK")))</f>
        <v/>
      </c>
      <c r="M7" s="9" t="n"/>
    </row>
    <row r="8">
      <c r="A8" s="9" t="inlineStr">
        <is>
          <t>RV-04, RV-05, RV-06, RV-07, RV-10</t>
        </is>
      </c>
      <c r="B8" s="9" t="inlineStr">
        <is>
          <t>RV-CO2_2kg</t>
        </is>
      </c>
      <c r="C8" s="9" t="inlineStr">
        <is>
          <t>Matafuego CO₂ 2 kg (reventa)</t>
        </is>
      </c>
      <c r="D8" s="9" t="inlineStr">
        <is>
          <t>u</t>
        </is>
      </c>
      <c r="E8" s="9" t="inlineStr">
        <is>
          <t>Unidad</t>
        </is>
      </c>
      <c r="F8" s="10" t="n">
        <v>123.8</v>
      </c>
      <c r="G8" s="10" t="n">
        <v>269.7</v>
      </c>
      <c r="H8" s="10" t="n">
        <v>894.8</v>
      </c>
      <c r="I8" s="11" t="n">
        <v>29.1887</v>
      </c>
      <c r="J8" s="12" t="n"/>
      <c r="K8" s="10">
        <f>IFERROR(IF(OR(J8="",I8=0),"",J8/I8),"")</f>
        <v/>
      </c>
      <c r="L8" s="13">
        <f>IF(J8="","",IF(J8&lt;=F8,"BAJO SEGURIDAD",IF(J8&lt;=G8,"PEDIR","OK")))</f>
        <v/>
      </c>
      <c r="M8" s="9" t="n"/>
    </row>
    <row r="9">
      <c r="A9" s="9" t="inlineStr">
        <is>
          <t>RV-08, RV-09, RV-13</t>
        </is>
      </c>
      <c r="B9" s="9" t="inlineStr">
        <is>
          <t>RV-CO2_5kg</t>
        </is>
      </c>
      <c r="C9" s="9" t="inlineStr">
        <is>
          <t>Matafuego CO₂ 5 kg (reventa)</t>
        </is>
      </c>
      <c r="D9" s="9" t="inlineStr">
        <is>
          <t>u</t>
        </is>
      </c>
      <c r="E9" s="9" t="inlineStr">
        <is>
          <t>Unidad</t>
        </is>
      </c>
      <c r="F9" s="10" t="n">
        <v>17.9</v>
      </c>
      <c r="G9" s="10" t="n">
        <v>41.5</v>
      </c>
      <c r="H9" s="10" t="n">
        <v>433.9</v>
      </c>
      <c r="I9" s="11" t="n">
        <v>15.7356</v>
      </c>
      <c r="J9" s="12" t="n"/>
      <c r="K9" s="10">
        <f>IFERROR(IF(OR(J9="",I9=0),"",J9/I9),"")</f>
        <v/>
      </c>
      <c r="L9" s="13">
        <f>IF(J9="","",IF(J9&lt;=F9,"BAJO SEGURIDAD",IF(J9&lt;=G9,"PEDIR","OK")))</f>
        <v/>
      </c>
      <c r="M9" s="9" t="n"/>
    </row>
    <row r="10">
      <c r="A10" s="9" t="inlineStr">
        <is>
          <t>RV-11</t>
        </is>
      </c>
      <c r="B10" s="9" t="inlineStr">
        <is>
          <t>RV-AFFF_50l</t>
        </is>
      </c>
      <c r="C10" s="9" t="inlineStr">
        <is>
          <t>Matafuego AFFF 50 l (reventa)</t>
        </is>
      </c>
      <c r="D10" s="9" t="inlineStr">
        <is>
          <t>u</t>
        </is>
      </c>
      <c r="E10" s="9" t="inlineStr">
        <is>
          <t>Unidad</t>
        </is>
      </c>
      <c r="F10" s="10" t="n">
        <v>4.4</v>
      </c>
      <c r="G10" s="10" t="n">
        <v>13.1</v>
      </c>
      <c r="H10" s="10" t="n">
        <v>42.4</v>
      </c>
      <c r="I10" s="11" t="n">
        <v>1.734</v>
      </c>
      <c r="J10" s="12" t="n"/>
      <c r="K10" s="10">
        <f>IFERROR(IF(OR(J10="",I10=0),"",J10/I10),"")</f>
        <v/>
      </c>
      <c r="L10" s="13">
        <f>IF(J10="","",IF(J10&lt;=F10,"BAJO SEGURIDAD",IF(J10&lt;=G10,"PEDIR","OK")))</f>
        <v/>
      </c>
      <c r="M10" s="9" t="n"/>
    </row>
    <row r="11">
      <c r="A11" s="9" t="inlineStr">
        <is>
          <t>RV-11</t>
        </is>
      </c>
      <c r="B11" s="9" t="inlineStr">
        <is>
          <t>RV-BC_5kg</t>
        </is>
      </c>
      <c r="C11" s="9" t="inlineStr">
        <is>
          <t>Matafuego BC 5 kg (reventa)</t>
        </is>
      </c>
      <c r="D11" s="9" t="inlineStr">
        <is>
          <t>u</t>
        </is>
      </c>
      <c r="E11" s="9" t="inlineStr">
        <is>
          <t>Unidad</t>
        </is>
      </c>
      <c r="F11" s="10" t="n">
        <v>4.9</v>
      </c>
      <c r="G11" s="10" t="n">
        <v>10.7</v>
      </c>
      <c r="H11" s="10" t="n">
        <v>35.9</v>
      </c>
      <c r="I11" s="11" t="n">
        <v>1.156</v>
      </c>
      <c r="J11" s="12" t="n"/>
      <c r="K11" s="10">
        <f>IFERROR(IF(OR(J11="",I11=0),"",J11/I11),"")</f>
        <v/>
      </c>
      <c r="L11" s="13">
        <f>IF(J11="","",IF(J11&lt;=F11,"BAJO SEGURIDAD",IF(J11&lt;=G11,"PEDIR","OK")))</f>
        <v/>
      </c>
      <c r="M11" s="9" t="n"/>
    </row>
    <row r="12">
      <c r="A12" s="9" t="inlineStr">
        <is>
          <t>RV-12</t>
        </is>
      </c>
      <c r="B12" s="9" t="inlineStr">
        <is>
          <t>RV-AFFF_10l</t>
        </is>
      </c>
      <c r="C12" s="9" t="inlineStr">
        <is>
          <t>Matafuego AFFF 10 l (reventa)</t>
        </is>
      </c>
      <c r="D12" s="9" t="inlineStr">
        <is>
          <t>u</t>
        </is>
      </c>
      <c r="E12" s="9" t="inlineStr">
        <is>
          <t>Unidad</t>
        </is>
      </c>
      <c r="F12" s="10" t="n">
        <v>17.2</v>
      </c>
      <c r="G12" s="10" t="n">
        <v>37.4</v>
      </c>
      <c r="H12" s="10" t="n">
        <v>124.2</v>
      </c>
      <c r="I12" s="11" t="n">
        <v>4.0469</v>
      </c>
      <c r="J12" s="12" t="n"/>
      <c r="K12" s="10">
        <f>IFERROR(IF(OR(J12="",I12=0),"",J12/I12),"")</f>
        <v/>
      </c>
      <c r="L12" s="13">
        <f>IF(J12="","",IF(J12&lt;=F12,"BAJO SEGURIDAD",IF(J12&lt;=G12,"PEDIR","OK")))</f>
        <v/>
      </c>
      <c r="M12" s="9" t="n"/>
    </row>
    <row r="13">
      <c r="A13" s="9" t="inlineStr">
        <is>
          <t>RV-12</t>
        </is>
      </c>
      <c r="B13" s="9" t="inlineStr">
        <is>
          <t>RV-CLASED_9l</t>
        </is>
      </c>
      <c r="C13" s="9" t="inlineStr">
        <is>
          <t>Matafuego Clase D 9 l (reventa)</t>
        </is>
      </c>
      <c r="D13" s="9" t="inlineStr">
        <is>
          <t>u</t>
        </is>
      </c>
      <c r="E13" s="9" t="inlineStr">
        <is>
          <t>Unidad</t>
        </is>
      </c>
      <c r="F13" s="10" t="n">
        <v>4.9</v>
      </c>
      <c r="G13" s="10" t="n">
        <v>10.7</v>
      </c>
      <c r="H13" s="10" t="n">
        <v>35.9</v>
      </c>
      <c r="I13" s="11" t="n">
        <v>1.1571</v>
      </c>
      <c r="J13" s="12" t="n"/>
      <c r="K13" s="10">
        <f>IFERROR(IF(OR(J13="",I13=0),"",J13/I13),"")</f>
        <v/>
      </c>
      <c r="L13" s="13">
        <f>IF(J13="","",IF(J13&lt;=F13,"BAJO SEGURIDAD",IF(J13&lt;=G13,"PEDIR","OK")))</f>
        <v/>
      </c>
      <c r="M13" s="9" t="n"/>
    </row>
    <row r="14">
      <c r="A14" s="9" t="inlineStr">
        <is>
          <t>RV-13</t>
        </is>
      </c>
      <c r="B14" s="9" t="inlineStr">
        <is>
          <t>RV-HCFC-HFC_5kg</t>
        </is>
      </c>
      <c r="C14" s="9" t="inlineStr">
        <is>
          <t>Matafuego HCFC 5 kg (reventa)</t>
        </is>
      </c>
      <c r="D14" s="9" t="inlineStr">
        <is>
          <t>u</t>
        </is>
      </c>
      <c r="E14" s="9" t="inlineStr">
        <is>
          <t>Unidad</t>
        </is>
      </c>
      <c r="F14" s="10" t="n">
        <v>3.5</v>
      </c>
      <c r="G14" s="10" t="n">
        <v>8.199999999999999</v>
      </c>
      <c r="H14" s="10" t="n">
        <v>85.5</v>
      </c>
      <c r="I14" s="11" t="n">
        <v>3.1006</v>
      </c>
      <c r="J14" s="12" t="n"/>
      <c r="K14" s="10">
        <f>IFERROR(IF(OR(J14="",I14=0),"",J14/I14),"")</f>
        <v/>
      </c>
      <c r="L14" s="13">
        <f>IF(J14="","",IF(J14&lt;=F14,"BAJO SEGURIDAD",IF(J14&lt;=G14,"PEDIR","OK")))</f>
        <v/>
      </c>
      <c r="M14" s="9" t="n"/>
    </row>
  </sheetData>
  <mergeCells count="1">
    <mergeCell ref="D3:E3"/>
  </mergeCells>
  <dataValidations count="1">
    <dataValidation sqref="J6:J14" showDropDown="0" showInputMessage="0" showErrorMessage="0" allowBlank="1" error="El stock contado es un número mayor o igual a cero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2026-10-23T23:52:54Z</dcterms:created>
  <dcterms:modified xmlns:dcterms="http://purl.org/dc/terms/" xmlns:xsi="http://www.w3.org/2001/XMLSchema-instance" xsi:type="dcterms:W3CDTF">2026-10-23T23:52:54Z</dcterms:modified>
</cp:coreProperties>
</file>