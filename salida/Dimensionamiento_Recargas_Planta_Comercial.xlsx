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ROY_Indexado" sheetId="1" state="visible" r:id="rId3"/>
    <sheet name="datos_base" sheetId="2" state="visible" r:id="rId4"/>
    <sheet name="parametros_recargas" sheetId="3" state="visible" r:id="rId5"/>
    <sheet name="Plan mensual" sheetId="4" state="visible" r:id="rId6"/>
    <sheet name="Demanda por puesto" sheetId="5" state="visible" r:id="rId7"/>
    <sheet name="Resumen Capacidad" sheetId="6" state="visible" r:id="rId8"/>
    <sheet name="sobrestock_sustitut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<sst xmlns="http://schemas.openxmlformats.org/spreadsheetml/2006/main" count="941" uniqueCount="330">
  <si>
    <t xml:space="preserve">Proyecciones — Indexado Dim Técnico (valores copiados)</t>
  </si>
  <si>
    <t xml:space="preserve">Para actualizar: pegar valores de Proyecciones, Indexado Dim Técnico A27:K43 y U61:U74, o reemplazar por IMPORTRANGE. Celdas gris oscuro = datos.</t>
  </si>
  <si>
    <t xml:space="preserve">Recargas por tipo</t>
  </si>
  <si>
    <t xml:space="preserve">ABC 1 kg</t>
  </si>
  <si>
    <t xml:space="preserve">ABC 2,5 kg</t>
  </si>
  <si>
    <t xml:space="preserve">ABC 5 kg</t>
  </si>
  <si>
    <t xml:space="preserve">ABC 10 kg</t>
  </si>
  <si>
    <t xml:space="preserve">Agua 10 l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</si>
  <si>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</si>
  <si>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</si>
  <si>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</si>
  <si>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</si>
  <si>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</si>
  <si>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</si>
  <si>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</si>
  <si>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</si>
  <si>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</si>
  <si>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</si>
  <si>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</si>
  <si>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</si>
  <si>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Recargas total</t>
  </si>
  <si>
    <t xml:space="preserve">Recargas por zona y planta (% zonal 2035, columna U; planta según V61 y V63)</t>
  </si>
  <si>
    <t xml:space="preserve">Zona</t>
  </si>
  <si>
    <t xml:space="preserve">% zonal 2035</t>
  </si>
  <si>
    <t xml:space="preserve">Planta</t>
  </si>
  <si>
    <t xml:space="preserve">CABA Norte</t>
  </si>
  <si>
    <t xml:space="preserve">Comercial</t>
  </si>
  <si>
    <t xml:space="preserve">CABA Este</t>
  </si>
  <si>
    <t xml:space="preserve">CABA Sur</t>
  </si>
  <si>
    <t xml:space="preserve">Industrial</t>
  </si>
  <si>
    <t xml:space="preserve">CABA Oeste</t>
  </si>
  <si>
    <t xml:space="preserve">PBA Sur 1er (Avellaneda)</t>
  </si>
  <si>
    <t xml:space="preserve">PBA Sur 2do cordón</t>
  </si>
  <si>
    <t xml:space="preserve">PBA Sur 3er cordón</t>
  </si>
  <si>
    <t xml:space="preserve">PBA Norte 1er cordón</t>
  </si>
  <si>
    <t xml:space="preserve">PBA Norte 2do cordón</t>
  </si>
  <si>
    <t xml:space="preserve">PBA Norte 3er cordón</t>
  </si>
  <si>
    <t xml:space="preserve">PBA Oeste 1er cordón</t>
  </si>
  <si>
    <t xml:space="preserve">PBA Oeste 2do cordón</t>
  </si>
  <si>
    <t xml:space="preserve">PBA Oeste 3er cordón</t>
  </si>
  <si>
    <t xml:space="preserve">PBA Interior</t>
  </si>
  <si>
    <t xml:space="preserve">% planta comercial</t>
  </si>
  <si>
    <t xml:space="preserve">% planta industrial</t>
  </si>
  <si>
    <t xml:space="preserve">Control (tiene que dar 100 %)</t>
  </si>
  <si>
    <t xml:space="preserve">Tasas de Proyecciones (hojas PROYECCION por rubro; iguales para todos los tipos)</t>
  </si>
  <si>
    <t xml:space="preserve">Concepto</t>
  </si>
  <si>
    <t xml:space="preserve">Valor</t>
  </si>
  <si>
    <t xml:space="preserve">Uso en este archivo</t>
  </si>
  <si>
    <t xml:space="preserve">Mat Usados ÷ RECARGAS An</t>
  </si>
  <si>
    <t xml:space="preserve">Se usa: equipos que llegan descargados por uso</t>
  </si>
  <si>
    <t xml:space="preserve">Mat PH ÷ RECARGAS An</t>
  </si>
  <si>
    <t xml:space="preserve">Se usa: equipos que no pasan la PH y se inutilizan</t>
  </si>
  <si>
    <t xml:space="preserve">Mat Rot ÷ RECARGAS An</t>
  </si>
  <si>
    <t xml:space="preserve">Se usa: equipos rotos que se inutilizan</t>
  </si>
  <si>
    <t xml:space="preserve">Mat Fin VU ÷ RECARGAS An</t>
  </si>
  <si>
    <t xml:space="preserve">No se usa: Proyecciones aplica la misma vida útil a todos los tipos; acá va la del Anexo E (20 años, CO₂ 30)</t>
  </si>
  <si>
    <t xml:space="preserve">Planta de este archivo</t>
  </si>
  <si>
    <t xml:space="preserve">% de recargas de esta planta</t>
  </si>
  <si>
    <t xml:space="preserve">Tipo de matafuego</t>
  </si>
  <si>
    <t xml:space="preserve">Recargas Total</t>
  </si>
  <si>
    <t xml:space="preserve">Recargas de la planta = recargas del Indexado × % de esta planta (PROY_Indexado B53).</t>
  </si>
  <si>
    <t xml:space="preserve">Parámetro</t>
  </si>
  <si>
    <t xml:space="preserve">Fuente / criterio</t>
  </si>
  <si>
    <t xml:space="preserve">Días hábiles por mes</t>
  </si>
  <si>
    <t xml:space="preserve">240 días hábiles por año ÷ 12 (dato del usuario)</t>
  </si>
  <si>
    <t xml:space="preserve">Horas por día (1 turno)</t>
  </si>
  <si>
    <t xml:space="preserve">Criterio: jornada de 8 h</t>
  </si>
  <si>
    <t xml:space="preserve">Refrigerio (min/turno)</t>
  </si>
  <si>
    <t xml:space="preserve">Criterio</t>
  </si>
  <si>
    <t xml:space="preserve">Horas productivas por turno</t>
  </si>
  <si>
    <t xml:space="preserve">Horas productivas por mes (1 turno)</t>
  </si>
  <si>
    <t xml:space="preserve">Umbral de aprovechamiento</t>
  </si>
  <si>
    <t xml:space="preserve">Criterio (Dimensionamiento Técnico V2): 10 % de holgura para variabilidad, averías y mantenimiento</t>
  </si>
  <si>
    <t xml:space="preserve">Turnos máximos por día</t>
  </si>
  <si>
    <t xml:space="preserve">Criterio: hasta 2 turnos de 8 h; después se agrega máquina</t>
  </si>
  <si>
    <t xml:space="preserve">Equivalencia de un rodante (u. equivalentes)</t>
  </si>
  <si>
    <t xml:space="preserve">Criterio (Dimensionamiento Técnico V2): traslado en carro, morsa y manipuleo del porte</t>
  </si>
  <si>
    <t xml:space="preserve">CRITERIOS DE RUTA — PLANTA COMERCIAL (IRAM 3517-2:2020 y Proyecciones)</t>
  </si>
  <si>
    <t xml:space="preserve">Intervalo máximo de PH — polvos, CO₂ y halogenados (años)</t>
  </si>
  <si>
    <t xml:space="preserve">IRAM 3517-2:2020, Anexo E (IRAM 3523, 3550, 3509, 3565 y 3504)</t>
  </si>
  <si>
    <t xml:space="preserve">Intervalo máximo de PH — agua, AFFF y sales K (años)</t>
  </si>
  <si>
    <t xml:space="preserve">IRAM 3517-2:2020, Anexo E (IRAM 3525, 3527, 3537, 3541, 3693 y 3694)</t>
  </si>
  <si>
    <t xml:space="preserve">% con PH — polvos, CO₂ y halogenados</t>
  </si>
  <si>
    <t xml:space="preserve">En régimen vence la PH de 1 de cada 5 equipos por año</t>
  </si>
  <si>
    <t xml:space="preserve">% con PH — agua, AFFF y sales K</t>
  </si>
  <si>
    <t xml:space="preserve">En régimen vence la PH de 1 de cada 2 equipos por año</t>
  </si>
  <si>
    <t xml:space="preserve">Vida útil — CO₂ (años)</t>
  </si>
  <si>
    <t xml:space="preserve">IRAM 3517-2:2020, Anexo E (IRAM 3509; IRAM 3565 hasta 10 kg)</t>
  </si>
  <si>
    <t xml:space="preserve">Vida útil — resto de los tipos (años)</t>
  </si>
  <si>
    <t xml:space="preserve">IRAM 3517-2:2020, Anexo E</t>
  </si>
  <si>
    <t xml:space="preserve">% fin de vida útil — CO₂</t>
  </si>
  <si>
    <t xml:space="preserve">En régimen llega al fin de su vida 1 de cada 30</t>
  </si>
  <si>
    <t xml:space="preserve">% fin de vida útil — resto</t>
  </si>
  <si>
    <t xml:space="preserve">En régimen llega al fin de su vida 1 de cada 20</t>
  </si>
  <si>
    <t xml:space="preserve">% que no pasan la PH</t>
  </si>
  <si>
    <t xml:space="preserve">Proyecciones (Mat PH). La norma manda inutilizarlos (9.12) pero no fija el %</t>
  </si>
  <si>
    <t xml:space="preserve">% rotos</t>
  </si>
  <si>
    <t xml:space="preserve">Proyecciones (Mat Rot)</t>
  </si>
  <si>
    <t xml:space="preserve">% inutilizados — CO₂</t>
  </si>
  <si>
    <t xml:space="preserve">Fin de vida útil + no pasan la PH + rotos</t>
  </si>
  <si>
    <t xml:space="preserve">% inutilizados — resto</t>
  </si>
  <si>
    <t xml:space="preserve">% que llegan descargados por uso</t>
  </si>
  <si>
    <t xml:space="preserve">Proyecciones (Mat Usados). 9.2.2: se recarga después de usarlo; la norma no fija el %</t>
  </si>
  <si>
    <t xml:space="preserve">Dígitos posibles del año de fabricación</t>
  </si>
  <si>
    <t xml:space="preserve">9.9.4 a): se cambia el polvo ABC cuando el último dígito del año de fabricación coincide con el del año del mantenimiento</t>
  </si>
  <si>
    <t xml:space="preserve">% ABC con cambio de polvo (a descarte)</t>
  </si>
  <si>
    <t xml:space="preserve">1 de cada 10 equipos por año</t>
  </si>
  <si>
    <t xml:space="preserve">% agua, AFFF y sales K que se vacían y recargan</t>
  </si>
  <si>
    <t xml:space="preserve">Anexo E: el agente se cambia cada año; 9.9.1.9 (sales K) y 9.9.1.10 (AFFF)</t>
  </si>
  <si>
    <t xml:space="preserve">% CO₂ que se abren por daño o cambio de piezas</t>
  </si>
  <si>
    <t xml:space="preserve">Criterio sin fuente, a validar con una recargadora. 9.7.1.2: el dañado se examina y va a PH</t>
  </si>
  <si>
    <t xml:space="preserve">% que se pintan</t>
  </si>
  <si>
    <t xml:space="preserve">Criterio sin fuente. 9.10 pide pintar los deteriorados; no fija %</t>
  </si>
  <si>
    <t xml:space="preserve">% polvos con humedad en el desarme (secado extra)</t>
  </si>
  <si>
    <t xml:space="preserve">Criterio sin fuente</t>
  </si>
  <si>
    <t xml:space="preserve">Ensayos de laboratorio por recipiente de polvo</t>
  </si>
  <si>
    <t xml:space="preserve">Criterio. 9.9.3.1: el ensayo se hace cuando hay dudas sobre el polvo</t>
  </si>
  <si>
    <t xml:space="preserve">PERFIL MENSUAL POR AÑO (plano, 1/12 por mes)</t>
  </si>
  <si>
    <t xml:space="preserve">IRAM 3517-2:2020 9.2.1 (mantenimiento como mínimo anual) y 9.4.14 a) (la etiqueta fija el mes y año del próximo): cada equipo vuelve en su mes y la norma no fija ningún mes del calendario. El crecimiento se toma entre años (Proyecciones es anual).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</si>
  <si>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</si>
  <si>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</si>
  <si>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</si>
  <si>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</si>
  <si>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</si>
  <si>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</si>
  <si>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</si>
  <si>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</si>
  <si>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</si>
  <si>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</si>
  <si>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</si>
  <si>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</si>
  <si>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</si>
  <si>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</si>
  <si>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TIPOS DE MATAFUEGO</t>
  </si>
  <si>
    <t xml:space="preserve">Tipo</t>
  </si>
  <si>
    <t xml:space="preserve">Agente (ruta)</t>
  </si>
  <si>
    <t xml:space="preserve">u. equivalentes por recipiente</t>
  </si>
  <si>
    <t xml:space="preserve">Manguera con PH anual (1 = sí)</t>
  </si>
  <si>
    <t xml:space="preserve">Fuente de la manguera</t>
  </si>
  <si>
    <t xml:space="preserve">ABC</t>
  </si>
  <si>
    <t xml:space="preserve">No: tobera sin manguera</t>
  </si>
  <si>
    <t xml:space="preserve">No: la manguera no tiene cierre en el extremo</t>
  </si>
  <si>
    <t xml:space="preserve">Agua</t>
  </si>
  <si>
    <t xml:space="preserve">AFFF</t>
  </si>
  <si>
    <t xml:space="preserve">Sí, 9.7.1.4 a): lanza con cierre (rodante, IRAM 3541)</t>
  </si>
  <si>
    <t xml:space="preserve">BC</t>
  </si>
  <si>
    <t xml:space="preserve">Sales K</t>
  </si>
  <si>
    <t xml:space="preserve">CO₂</t>
  </si>
  <si>
    <t xml:space="preserve">No: difusor de brazo, sin manguera (catálogo FLAMA)</t>
  </si>
  <si>
    <t xml:space="preserve">Sí, 9.7.1.4 b): manguera de CO₂ (difusor con manga)</t>
  </si>
  <si>
    <t xml:space="preserve">Halogenado</t>
  </si>
  <si>
    <t xml:space="preserve">Clase D</t>
  </si>
  <si>
    <t xml:space="preserve">Sí, 9.7.1.4 a): válvula de cierre en la manguera (rodante, IRAM 3550)</t>
  </si>
  <si>
    <t xml:space="preserve">CAPACIDAD POR PUESTO (fracción de cada agente que pasa por el puesto)</t>
  </si>
  <si>
    <t xml:space="preserve">N°</t>
  </si>
  <si>
    <t xml:space="preserve">Puesto / operación</t>
  </si>
  <si>
    <t xml:space="preserve">Máquina / equipo</t>
  </si>
  <si>
    <t xml:space="preserve">Recurso</t>
  </si>
  <si>
    <t xml:space="preserve">Tiempo tipo (s/u)</t>
  </si>
  <si>
    <t xml:space="preserve">Cap. real (u/h)</t>
  </si>
  <si>
    <t xml:space="preserve">Cap. real (u/mes, 1 turno)</t>
  </si>
  <si>
    <t xml:space="preserve">Desglose del tiempo (s)</t>
  </si>
  <si>
    <t xml:space="preserve">Nota</t>
  </si>
  <si>
    <t xml:space="preserve">Recepción y registro</t>
  </si>
  <si>
    <t xml:space="preserve">Autoelevador + tablet e impresora de etiquetas; jaulas A y B</t>
  </si>
  <si>
    <t xml:space="preserve">Manual</t>
  </si>
  <si>
    <t xml:space="preserve">Cargar jaulas 12,5 + descargar y controlar contra remito 12,5 + datos en el sistema 40 + separar por agente 10. Lo que se hace en el cliente no cuenta.</t>
  </si>
  <si>
    <t xml:space="preserve">Inspección visual</t>
  </si>
  <si>
    <t xml:space="preserve">Mesa con goma, lámpara con lupa, PC</t>
  </si>
  <si>
    <t xml:space="preserve">Escanear 5 + exterior 30 + válvula, manómetro y manguera 25 + fecha PH 10 + registro 15 + bandeja 5</t>
  </si>
  <si>
    <t xml:space="preserve">Antes 70 s; los pasos suman 90 s</t>
  </si>
  <si>
    <t xml:space="preserve">Descarga ABC — ruta recuperable</t>
  </si>
  <si>
    <t xml:space="preserve">Máquina neumática Yukon (tolva 240 kg)</t>
  </si>
  <si>
    <t xml:space="preserve">Máquina</t>
  </si>
  <si>
    <t xml:space="preserve">Escanear y agitado 15 + descargar mirando el visor 60 + tapar 10 (el retiro de válvula se cuenta en Desarme)</t>
  </si>
  <si>
    <t xml:space="preserve">Descarga ABC — ruta descarte</t>
  </si>
  <si>
    <t xml:space="preserve">Tambor Yukon M-000030</t>
  </si>
  <si>
    <t xml:space="preserve">Igual que la ruta recuperable, al tambor</t>
  </si>
  <si>
    <t xml:space="preserve">Descarga BC</t>
  </si>
  <si>
    <t xml:space="preserve">Tambor Yukon M-000030 dedicado BC</t>
  </si>
  <si>
    <t xml:space="preserve">Igual que ABC; todo a descarte</t>
  </si>
  <si>
    <t xml:space="preserve">Descarga de agua / AFFF / sales K</t>
  </si>
  <si>
    <t xml:space="preserve">IBC 1.000 l (AFFF) y tanque 600 l (agua)</t>
  </si>
  <si>
    <t xml:space="preserve">Escanear 10 + quitar lanza 10 + acoplar 15 + vaciar 60 + llevar a desarme 10</t>
  </si>
  <si>
    <t xml:space="preserve">Antes 180 s; los pasos suman 105 s. Sales K: misma ruta que agua y AFFF</t>
  </si>
  <si>
    <t xml:space="preserve">Recuperación de CO₂</t>
  </si>
  <si>
    <t xml:space="preserve">Trasvasadora CO₂ 103/D1 (misma máquina que la carga)</t>
  </si>
  <si>
    <t xml:space="preserve">Pesar 20 + conectar 20 + bombear 120 + verificar y pesar 20 + desconectar 15 + registrar 10</t>
  </si>
  <si>
    <t xml:space="preserve">Recuperación de halogenado</t>
  </si>
  <si>
    <t xml:space="preserve">Unidad THB/BP (misma máquina que la carga)</t>
  </si>
  <si>
    <t xml:space="preserve">Preparar y verificar cilindro de paso 60 + pesar 20 + conectar 30 + recuperar 300 + pesar ambos 40 + anotar 15</t>
  </si>
  <si>
    <t xml:space="preserve">Desarme y limpieza — recinto</t>
  </si>
  <si>
    <t xml:space="preserve">Lanza de soplado + aspiradora industrial + llaves</t>
  </si>
  <si>
    <t xml:space="preserve">Verificar 5 + retirar válvula 30 + marbete 5 + bandeja 10 + soplar 20 + limpieza profunda 120 × % con PH + tapar 5</t>
  </si>
  <si>
    <t xml:space="preserve">Antes 90 s con 25 % de PH; los pasos suman 99 s con 20 %</t>
  </si>
  <si>
    <t xml:space="preserve">Desarme e inspección interior — zona general</t>
  </si>
  <si>
    <t xml:space="preserve">Boroscopio Klein ET19 + llaves</t>
  </si>
  <si>
    <t xml:space="preserve">Confirmar vacío 10 + retirar válvula 40 + boroscopio 60 + enjuague 90 × 40 % + foto 15 + tapar 15</t>
  </si>
  <si>
    <t xml:space="preserve">Laboratorio — Puffer y mufla</t>
  </si>
  <si>
    <t xml:space="preserve">Puffer Yukon M-100150 + mufla ORL-0</t>
  </si>
  <si>
    <t xml:space="preserve">Tiempo por ENSAYO: registro 300 + mufla 600 + Puffer 1.800 + dictamen 60 + carga 120 + liberar tolva 300</t>
  </si>
  <si>
    <t xml:space="preserve">Prueba hidráulica</t>
  </si>
  <si>
    <t xml:space="preserve">Máquina PH Yukon 300 kg/cm²</t>
  </si>
  <si>
    <t xml:space="preserve">Verificar con patrón 12 + escanear 20 + llenar y conectar 90 + ensayo 90 + vaciar y retirar 75 + registrar 15. CO₂ lleva además ultrasonido y acuñado</t>
  </si>
  <si>
    <t xml:space="preserve">Secado</t>
  </si>
  <si>
    <t xml:space="preserve">Secadora Yukon de 6 recipientes</t>
  </si>
  <si>
    <t xml:space="preserve">Colocar 15 + 15 min ÷ 6 recipientes = 150 + retirar 15</t>
  </si>
  <si>
    <t xml:space="preserve">Agua, AFFF y sales K no se secan: se vuelven a llenar</t>
  </si>
  <si>
    <t xml:space="preserve">Inspección interior con videoscopio</t>
  </si>
  <si>
    <t xml:space="preserve">Videoscopio + mesa con soporte en V</t>
  </si>
  <si>
    <t xml:space="preserve">Recorrer con la sonda 60 + guardar foto 15 + tapar 10</t>
  </si>
  <si>
    <t xml:space="preserve">Pintura</t>
  </si>
  <si>
    <t xml:space="preserve">Cabina con extracción, HVLP, lámparas IR, amoladora</t>
  </si>
  <si>
    <t xml:space="preserve">Sin desglose de pasos en el original</t>
  </si>
  <si>
    <t xml:space="preserve">Carga de polvo ABC</t>
  </si>
  <si>
    <t xml:space="preserve">Máquina neumática Yukon con corte por peso</t>
  </si>
  <si>
    <t xml:space="preserve">Contraste por turno 6 + tara 15 + carga 45 + pesar 15 + rosca 15 + registrar 10</t>
  </si>
  <si>
    <t xml:space="preserve">Antes 90 s; los pasos suman 106 s</t>
  </si>
  <si>
    <t xml:space="preserve">Carga de polvo BC</t>
  </si>
  <si>
    <t xml:space="preserve">Cargadora portátil Yukon dedicada BC</t>
  </si>
  <si>
    <t xml:space="preserve">Contraste 10 + tara 15 + carga portátil 75 + pesar 15 + rosca 15 + registrar 10</t>
  </si>
  <si>
    <t xml:space="preserve">Descarga y carga Clase D</t>
  </si>
  <si>
    <t xml:space="preserve">Recipiente exclusivo + embudo + balanza</t>
  </si>
  <si>
    <t xml:space="preserve">Descarga manual 180 + tara 15 + carga con embudo 240 + ajuste 30 + rosca 15 + registro 10</t>
  </si>
  <si>
    <t xml:space="preserve">Supuesto del original (no está en el documento de procesos)</t>
  </si>
  <si>
    <t xml:space="preserve">Carga de agua / AFFF / sales K</t>
  </si>
  <si>
    <t xml:space="preserve">Red + tanque de premezcla con bomba 40 l/min + balanza</t>
  </si>
  <si>
    <t xml:space="preserve">Contraste y premezcla 20 + tara 10 + cargar 30 + corregir 15 + rosca 15 + registrar 10</t>
  </si>
  <si>
    <t xml:space="preserve">Carga de CO₂</t>
  </si>
  <si>
    <t xml:space="preserve">Trasvasadora CO₂ 103/D1 + manifold</t>
  </si>
  <si>
    <t xml:space="preserve">Tarar y programar 30 + elegir origen 10 + abrir manifold 15 + llenar 150 + pesar 25 + registrar 10</t>
  </si>
  <si>
    <t xml:space="preserve">Ensamblaje y marbete — recinto</t>
  </si>
  <si>
    <t xml:space="preserve">Morsa + llave dinamométrica</t>
  </si>
  <si>
    <t xml:space="preserve">Escanear 10 + revisar piezas 30 + o-ring 20 + marbete 10 + enroscar 30 + manguera y repuestos 20</t>
  </si>
  <si>
    <t xml:space="preserve">Presurización — recinto</t>
  </si>
  <si>
    <t xml:space="preserve">Pinza Yukon M-000150 + regulador</t>
  </si>
  <si>
    <t xml:space="preserve">Contraste por turno 3 + fijar presión 15 + colocar 10 + presurizar 20 + pasador 15 + registrar 10</t>
  </si>
  <si>
    <t xml:space="preserve">Ensamblaje y presurización — zona general</t>
  </si>
  <si>
    <t xml:space="preserve">Morsa + dinamométrica + pinza Yukon</t>
  </si>
  <si>
    <t xml:space="preserve">Ensamblaje 120 + presurización 50. CO₂ no se presuriza y halogenados se presurizan en la carga</t>
  </si>
  <si>
    <t xml:space="preserve">Carga y presurización de halogenado</t>
  </si>
  <si>
    <t xml:space="preserve">Unidad THB/BP + pinza</t>
  </si>
  <si>
    <t xml:space="preserve">Cargar 300 + presurizar 40 + agitar y repetir 60 + pesar y registrar 30</t>
  </si>
  <si>
    <t xml:space="preserve">Control de peso (CO₂ y halogenados sin recarga)</t>
  </si>
  <si>
    <t xml:space="preserve">Balanza</t>
  </si>
  <si>
    <t xml:space="preserve">Pesar y comparar 30 + registrar 10</t>
  </si>
  <si>
    <t xml:space="preserve">Anexo E: control anual de la masa</t>
  </si>
  <si>
    <t xml:space="preserve">Ensayo de pérdidas</t>
  </si>
  <si>
    <t xml:space="preserve">Tanque de inmersión inox (6 posiciones); spray en rodantes</t>
  </si>
  <si>
    <t xml:space="preserve">Preparar por turno 5 + bajar y observar en tandas de 6: 45 + sacar 10 + secar 10 + registrar 10</t>
  </si>
  <si>
    <t xml:space="preserve">Precinto, etiqueta y despacho</t>
  </si>
  <si>
    <t xml:space="preserve">Dispensador + impresora + jaulas</t>
  </si>
  <si>
    <t xml:space="preserve">Precinto 15 + etiqueta 25 + revisión final 15 + cerrar OT 10 + jaula 15 + remito 6</t>
  </si>
  <si>
    <t xml:space="preserve">Antes 80 s; los pasos suman 86 s</t>
  </si>
  <si>
    <t xml:space="preserve">Inutilización y disposición final</t>
  </si>
  <si>
    <t xml:space="preserve">Taladro de columna con prensa en V</t>
  </si>
  <si>
    <t xml:space="preserve">Confirmar 30 + perforar 120 + desarmar y cortar manguera 90 + residuos 60 + foto y acta 90</t>
  </si>
  <si>
    <t xml:space="preserve">9.12 y Anexo G: acta de inutilización</t>
  </si>
  <si>
    <t xml:space="preserve">PH de mangueras (CO₂ y rodantes)</t>
  </si>
  <si>
    <t xml:space="preserve">Máquina PH Yukon 300 kg/cm² (misma que la PH de recipientes)</t>
  </si>
  <si>
    <t xml:space="preserve">—</t>
  </si>
  <si>
    <t xml:space="preserve">Mismos pasos que la PH del recipiente: patrón 12 + escanear 20 + llenar y conectar 90 + ensayo 90 + vaciar y retirar 75 + registrar 15</t>
  </si>
  <si>
    <t xml:space="preserve">9.7.1.4: PH anual de mangueras de CO₂ y con cierre en el extremo (tabla 5). Demanda = fila Mangueras del Plan mensual. Criterio: tiempo igual al de la PH del recipiente; falta el rótulo plástico</t>
  </si>
  <si>
    <t xml:space="preserve">PH Firesafer (alternativa, no entra en el cálculo)</t>
  </si>
  <si>
    <t xml:space="preserve">Banco Firesafer FS-JD12A</t>
  </si>
  <si>
    <t xml:space="preserve">El original copia el desglose de la Yukon (302 s) con 60 s: revisar antes de usarla</t>
  </si>
  <si>
    <t xml:space="preserve">Agente</t>
  </si>
  <si>
    <t xml:space="preserve">u. equiv.</t>
  </si>
  <si>
    <t xml:space="preserve">Incluye mant. de sustitutos (u./año)</t>
  </si>
  <si>
    <t xml:space="preserve">Total recipientes</t>
  </si>
  <si>
    <t xml:space="preserve">Por agente (u. equivalentes)</t>
  </si>
  <si>
    <t xml:space="preserve">Mangueras con PH anual (u.)</t>
  </si>
  <si>
    <t xml:space="preserve">Año 2026</t>
  </si>
  <si>
    <t xml:space="preserve">Total anual</t>
  </si>
  <si>
    <t xml:space="preserve">Demanda mes pico (u/mes)</t>
  </si>
  <si>
    <t xml:space="preserve">Demanda (u/h, 1 turno)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</si>
  <si>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</si>
  <si>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</si>
  <si>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</si>
  <si>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</si>
  <si>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</si>
  <si>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</si>
  <si>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</si>
  <si>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</si>
  <si>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</si>
  <si>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por puesto</t>
  </si>
  <si>
    <t xml:space="preserve">Acciones (lista)</t>
  </si>
  <si>
    <t xml:space="preserve">Cuándo</t>
  </si>
  <si>
    <t xml:space="preserve">OK</t>
  </si>
  <si>
    <t xml:space="preserve">Aprovechamiento dentro del umbral</t>
  </si>
  <si>
    <t xml:space="preserve">Agrega turno</t>
  </si>
  <si>
    <t xml:space="preserve">Hay turnos disponibles (menos que el máximo por día)</t>
  </si>
  <si>
    <t xml:space="preserve">Agrega máquina</t>
  </si>
  <si>
    <t xml:space="preserve">Ya está en el máximo de turnos y el puesto es de máquina</t>
  </si>
  <si>
    <t xml:space="preserve">Agrega operario (puesto manual)</t>
  </si>
  <si>
    <t xml:space="preserve">Ya está en el máximo de turnos y el puesto es manual</t>
  </si>
  <si>
    <t xml:space="preserve">Tercerizado</t>
  </si>
  <si>
    <t xml:space="preserve">Recurso cargado como Tercerizado en parametros_recargas</t>
  </si>
  <si>
    <t xml:space="preserve">Revisar</t>
  </si>
  <si>
    <t xml:space="preserve">Hay demanda y el puesto no tiene tiempo tipo</t>
  </si>
  <si>
    <t xml:space="preserve">Máquinas y turnos: celdas gris oscuro, cargar a mano.</t>
  </si>
  <si>
    <t xml:space="preserve">Aprovechamiento máximo</t>
  </si>
  <si>
    <t xml:space="preserve">Máquinas en el puesto (cargar a mano)</t>
  </si>
  <si>
    <t xml:space="preserve">TOTAL máquinas / puestos</t>
  </si>
  <si>
    <t xml:space="preserve">Turnos del puesto (cargar a mano)</t>
  </si>
  <si>
    <t xml:space="preserve">Turnos de la planta (máximo)</t>
  </si>
  <si>
    <t xml:space="preserve">Máquina × turno necesarios al umbral</t>
  </si>
  <si>
    <t xml:space="preserve">TOTAL máquina × turno necesarios</t>
  </si>
  <si>
    <t xml:space="preserve">Acción sugerida</t>
  </si>
  <si>
    <t xml:space="preserve">SOBRESTOCK DE SUSTITUTOS (IRAM 3517-2 9.4.5)</t>
  </si>
  <si>
    <t xml:space="preserve">Equipos afuera = retiros por día del mes pico × días afuera (ley de Little); depende de las recargas, no de la cantidad de clientes. El mantenimiento anual del stock entra al Plan mensual del año siguiente y suma al aprovechamiento.</t>
  </si>
  <si>
    <t xml:space="preserve">Días de ruta (retiro y devolución)</t>
  </si>
  <si>
    <t xml:space="preserve">Criterio (a confirmar): se retira hoy, se recarga y vuelve en la ruta del día siguiente. El camión entrega los recargados y retira en la misma visita (Word de procesos, Recepción)</t>
  </si>
  <si>
    <t xml:space="preserve">1. Tipo y sustituto equivalente (igual clasificación y por lo menos igual capacidad)</t>
  </si>
  <si>
    <t xml:space="preserve">Lleva sustituto (1 = sí)</t>
  </si>
  <si>
    <t xml:space="preserve">Sustituto equivalente</t>
  </si>
  <si>
    <t xml:space="preserve">Fuente</t>
  </si>
  <si>
    <t xml:space="preserve">Automotor: sin canje, vuelve el mismo equipo (criterio del usuario)</t>
  </si>
  <si>
    <t xml:space="preserve">Proyecciones, Reservas y Sustitutos, filas 54 a 65; 9.4.5</t>
  </si>
  <si>
    <t xml:space="preserve">2. Retiros por día hábil en el mes pico (recargas de clientes × mes pico ÷ días del mes)</t>
  </si>
  <si>
    <t xml:space="preserve">3a. Aprovechamiento máximo de los puestos de la ruta (mes pico, Resumen Capacidad)</t>
  </si>
  <si>
    <t xml:space="preserve">3b. Días de cola = (aprovechamiento − 1) × días del mes, si pasa el 100 %</t>
  </si>
  <si>
    <t xml:space="preserve">4. Días afuera = días de ruta + días de cola del agente</t>
  </si>
  <si>
    <t xml:space="preserve">5. Equipos afuera en el mes pico = retiros por día × días afuera</t>
  </si>
  <si>
    <t xml:space="preserve">6. Stock de sustitutos por equivalente (redondeado hacia arriba)</t>
  </si>
  <si>
    <t xml:space="preserve">7. Equipos afuera en un mes promedio (recargas del año ÷ 240 × días afuera)</t>
  </si>
  <si>
    <t xml:space="preserve">8. Sobrestock = stock − equipos afuera en un mes promedio (lo que sobra fuera del pico)</t>
  </si>
  <si>
    <t xml:space="preserve">9. Alta anual de sustitutos = lo que crece el stock + reposición de inutilizados</t>
  </si>
  <si>
    <t xml:space="preserve">10. Mantenimiento anual de sustitutos = stock del año anterior (9.4.5 y 9.2.1); entra al Plan mensual parejo en los 12 meses</t>
  </si>
  <si>
    <t xml:space="preserve">Criterio: el mantenimiento del stock propio se programa parejo en el año (1/12 por mes).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</si>
</sst>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0.00"/>
    <numFmt numFmtId="169" formatCode="0%"/>
    <numFmt numFmtId="170" formatCode="0.000"/>
    <numFmt numFmtId="171" formatCode="0.0"/>
    <numFmt numFmtId="172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sz val="10"/>
      </font>
      <fill>
        <patternFill>
          <bgColor rgb="FFA6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  <col collapsed="false" customWidth="true" hidden="false" outlineLevel="0" max="12" min="12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2026</v>
      </c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  <c r="H4" s="3" t="n">
        <v>2032</v>
      </c>
      <c r="I4" s="3" t="n">
        <v>2033</v>
      </c>
      <c r="J4" s="3" t="n">
        <v>2034</v>
      </c>
      <c r="K4" s="3" t="n">
        <v>2035</v>
      </c>
    </row>
    <row r="5" customFormat="false" ht="15" hidden="false" customHeight="false" outlineLevel="0" collapsed="false">
      <c r="A5" s="4" t="s">
        <v>3</v>
      </c>
      <c r="B5" s="5" t="n">
        <v>3477.482124</v>
      </c>
      <c r="C5" s="5" t="n">
        <v>16970.58564</v>
      </c>
      <c r="D5" s="5" t="n">
        <v>30546.08951</v>
      </c>
      <c r="E5" s="5" t="n">
        <v>56048.31106</v>
      </c>
      <c r="F5" s="5" t="n">
        <v>84270.22613</v>
      </c>
      <c r="G5" s="5" t="n">
        <v>117407.8231</v>
      </c>
      <c r="H5" s="5" t="n">
        <v>147610.6356</v>
      </c>
      <c r="I5" s="5" t="n">
        <v>171404.3607</v>
      </c>
      <c r="J5" s="5" t="n">
        <v>183690.566</v>
      </c>
      <c r="K5" s="5" t="n">
        <v>196282.6907</v>
      </c>
    </row>
    <row r="6" customFormat="false" ht="15" hidden="false" customHeight="false" outlineLevel="0" collapsed="false">
      <c r="A6" s="4" t="s">
        <v>4</v>
      </c>
      <c r="B6" s="5" t="n">
        <v>329.996668</v>
      </c>
      <c r="C6" s="5" t="n">
        <v>1287.414024</v>
      </c>
      <c r="D6" s="5" t="n">
        <v>2947.169216</v>
      </c>
      <c r="E6" s="5" t="n">
        <v>5426.043269</v>
      </c>
      <c r="F6" s="5" t="n">
        <v>7850.875806</v>
      </c>
      <c r="G6" s="5" t="n">
        <v>10423.94365</v>
      </c>
      <c r="H6" s="5" t="n">
        <v>12809.89571</v>
      </c>
      <c r="I6" s="5" t="n">
        <v>14263.06831</v>
      </c>
      <c r="J6" s="5" t="n">
        <v>15432.86983</v>
      </c>
      <c r="K6" s="5" t="n">
        <v>16620.76117</v>
      </c>
    </row>
    <row r="7" customFormat="false" ht="15" hidden="false" customHeight="false" outlineLevel="0" collapsed="false">
      <c r="A7" s="4" t="s">
        <v>5</v>
      </c>
      <c r="B7" s="5" t="n">
        <v>1950.394097</v>
      </c>
      <c r="C7" s="5" t="n">
        <v>7852.61852</v>
      </c>
      <c r="D7" s="5" t="n">
        <v>17775.85701</v>
      </c>
      <c r="E7" s="5" t="n">
        <v>33605.56835</v>
      </c>
      <c r="F7" s="5" t="n">
        <v>48407.57189</v>
      </c>
      <c r="G7" s="5" t="n">
        <v>64323.04276</v>
      </c>
      <c r="H7" s="5" t="n">
        <v>78721.10039</v>
      </c>
      <c r="I7" s="5" t="n">
        <v>87237.2124</v>
      </c>
      <c r="J7" s="5" t="n">
        <v>94103.66761</v>
      </c>
      <c r="K7" s="5" t="n">
        <v>101095.1762</v>
      </c>
    </row>
    <row r="8" customFormat="false" ht="15" hidden="false" customHeight="false" outlineLevel="0" collapsed="false">
      <c r="A8" s="4" t="s">
        <v>6</v>
      </c>
      <c r="B8" s="5" t="n">
        <v>118.343632</v>
      </c>
      <c r="C8" s="5" t="n">
        <v>437.716578</v>
      </c>
      <c r="D8" s="5" t="n">
        <v>1024.974821</v>
      </c>
      <c r="E8" s="5" t="n">
        <v>1960.409862</v>
      </c>
      <c r="F8" s="5" t="n">
        <v>2844.976846</v>
      </c>
      <c r="G8" s="5" t="n">
        <v>3810.390622</v>
      </c>
      <c r="H8" s="5" t="n">
        <v>4663.67807</v>
      </c>
      <c r="I8" s="5" t="n">
        <v>5164.514584</v>
      </c>
      <c r="J8" s="5" t="n">
        <v>5571.544328</v>
      </c>
      <c r="K8" s="5" t="n">
        <v>5985.950855</v>
      </c>
    </row>
    <row r="9" customFormat="false" ht="15" hidden="false" customHeight="false" outlineLevel="0" collapsed="false">
      <c r="A9" s="4" t="s">
        <v>7</v>
      </c>
      <c r="B9" s="5" t="n">
        <v>159.308736</v>
      </c>
      <c r="C9" s="5" t="n">
        <v>643.423542</v>
      </c>
      <c r="D9" s="5" t="n">
        <v>1474.362741</v>
      </c>
      <c r="E9" s="5" t="n">
        <v>2766.451205</v>
      </c>
      <c r="F9" s="5" t="n">
        <v>3991.465221</v>
      </c>
      <c r="G9" s="5" t="n">
        <v>5335.75578</v>
      </c>
      <c r="H9" s="5" t="n">
        <v>6538.958887</v>
      </c>
      <c r="I9" s="5" t="n">
        <v>7269.819681</v>
      </c>
      <c r="J9" s="5" t="n">
        <v>7855.44139</v>
      </c>
      <c r="K9" s="5" t="n">
        <v>8450.814081</v>
      </c>
    </row>
    <row r="10" customFormat="false" ht="15" hidden="false" customHeight="false" outlineLevel="0" collapsed="false">
      <c r="A10" s="4" t="s">
        <v>8</v>
      </c>
      <c r="B10" s="5" t="n">
        <v>22.758391</v>
      </c>
      <c r="C10" s="5" t="n">
        <v>161.315751</v>
      </c>
      <c r="D10" s="5" t="n">
        <v>316.607276</v>
      </c>
      <c r="E10" s="5" t="n">
        <v>527.39462</v>
      </c>
      <c r="F10" s="5" t="n">
        <v>743.788946</v>
      </c>
      <c r="G10" s="5" t="n">
        <v>962.874335</v>
      </c>
      <c r="H10" s="5" t="n">
        <v>1194.942207</v>
      </c>
      <c r="I10" s="5" t="n">
        <v>1351.617183</v>
      </c>
      <c r="J10" s="5" t="n">
        <v>1477.54886</v>
      </c>
      <c r="K10" s="5" t="n">
        <v>1604.441422</v>
      </c>
    </row>
    <row r="11" customFormat="false" ht="15" hidden="false" customHeight="false" outlineLevel="0" collapsed="false">
      <c r="A11" s="4" t="s">
        <v>9</v>
      </c>
      <c r="B11" s="5" t="n">
        <v>11.379195</v>
      </c>
      <c r="C11" s="5" t="n">
        <v>83.22352</v>
      </c>
      <c r="D11" s="5" t="n">
        <v>164.463834</v>
      </c>
      <c r="E11" s="5" t="n">
        <v>281.341145</v>
      </c>
      <c r="F11" s="5" t="n">
        <v>398.902509</v>
      </c>
      <c r="G11" s="5" t="n">
        <v>514.527284</v>
      </c>
      <c r="H11" s="5" t="n">
        <v>629.065505</v>
      </c>
      <c r="I11" s="5" t="n">
        <v>711.178024</v>
      </c>
      <c r="J11" s="5" t="n">
        <v>773.41098</v>
      </c>
      <c r="K11" s="5" t="n">
        <v>836.350805</v>
      </c>
    </row>
    <row r="12" customFormat="false" ht="15" hidden="false" customHeight="false" outlineLevel="0" collapsed="false">
      <c r="A12" s="4" t="s">
        <v>10</v>
      </c>
      <c r="B12" s="5" t="n">
        <v>6.827517</v>
      </c>
      <c r="C12" s="5" t="n">
        <v>47.073112</v>
      </c>
      <c r="D12" s="5" t="n">
        <v>88.889676</v>
      </c>
      <c r="E12" s="5" t="n">
        <v>159.502491</v>
      </c>
      <c r="F12" s="5" t="n">
        <v>219.796202</v>
      </c>
      <c r="G12" s="5" t="n">
        <v>291.869853</v>
      </c>
      <c r="H12" s="5" t="n">
        <v>368.844169</v>
      </c>
      <c r="I12" s="5" t="n">
        <v>408.408953</v>
      </c>
      <c r="J12" s="5" t="n">
        <v>445.781944</v>
      </c>
      <c r="K12" s="5" t="n">
        <v>483.479203</v>
      </c>
    </row>
    <row r="13" customFormat="false" ht="15" hidden="false" customHeight="false" outlineLevel="0" collapsed="false">
      <c r="A13" s="4" t="s">
        <v>11</v>
      </c>
      <c r="B13" s="5" t="n">
        <v>81.930207</v>
      </c>
      <c r="C13" s="5" t="n">
        <v>335.398855</v>
      </c>
      <c r="D13" s="5" t="n">
        <v>746.598352</v>
      </c>
      <c r="E13" s="5" t="n">
        <v>1358.899837</v>
      </c>
      <c r="F13" s="5" t="n">
        <v>1961.125522</v>
      </c>
      <c r="G13" s="5" t="n">
        <v>2598.541412</v>
      </c>
      <c r="H13" s="5" t="n">
        <v>3197.263477</v>
      </c>
      <c r="I13" s="5" t="n">
        <v>3578.539452</v>
      </c>
      <c r="J13" s="5" t="n">
        <v>3870.747997</v>
      </c>
      <c r="K13" s="5" t="n">
        <v>4167.559622</v>
      </c>
    </row>
    <row r="14" customFormat="false" ht="15" hidden="false" customHeight="false" outlineLevel="0" collapsed="false">
      <c r="A14" s="4" t="s">
        <v>12</v>
      </c>
      <c r="B14" s="5" t="n">
        <v>450.616139</v>
      </c>
      <c r="C14" s="5" t="n">
        <v>1697.18149</v>
      </c>
      <c r="D14" s="5" t="n">
        <v>3955.196858</v>
      </c>
      <c r="E14" s="5" t="n">
        <v>7561.26033</v>
      </c>
      <c r="F14" s="5" t="n">
        <v>10920.14481</v>
      </c>
      <c r="G14" s="5" t="n">
        <v>14514.88522</v>
      </c>
      <c r="H14" s="5" t="n">
        <v>17746.49927</v>
      </c>
      <c r="I14" s="5" t="n">
        <v>19617.20546</v>
      </c>
      <c r="J14" s="5" t="n">
        <v>21161.80625</v>
      </c>
      <c r="K14" s="5" t="n">
        <v>22734.50171</v>
      </c>
    </row>
    <row r="15" customFormat="false" ht="15" hidden="false" customHeight="false" outlineLevel="0" collapsed="false">
      <c r="A15" s="4" t="s">
        <v>13</v>
      </c>
      <c r="B15" s="5" t="n">
        <v>125.17115</v>
      </c>
      <c r="C15" s="5" t="n">
        <v>643.630371</v>
      </c>
      <c r="D15" s="5" t="n">
        <v>1375.626719</v>
      </c>
      <c r="E15" s="5" t="n">
        <v>2460.284265</v>
      </c>
      <c r="F15" s="5" t="n">
        <v>3545.257683</v>
      </c>
      <c r="G15" s="5" t="n">
        <v>4723.461784</v>
      </c>
      <c r="H15" s="5" t="n">
        <v>5853.905178</v>
      </c>
      <c r="I15" s="5" t="n">
        <v>6608.459909</v>
      </c>
      <c r="J15" s="5" t="n">
        <v>7185.708397</v>
      </c>
      <c r="K15" s="5" t="n">
        <v>7769.577127</v>
      </c>
    </row>
    <row r="16" customFormat="false" ht="15" hidden="false" customHeight="false" outlineLevel="0" collapsed="false">
      <c r="A16" s="4" t="s">
        <v>14</v>
      </c>
      <c r="B16" s="5" t="n">
        <v>18.206713</v>
      </c>
      <c r="C16" s="5" t="n">
        <v>112.075122</v>
      </c>
      <c r="D16" s="5" t="n">
        <v>230.854041</v>
      </c>
      <c r="E16" s="5" t="n">
        <v>400.715334</v>
      </c>
      <c r="F16" s="5" t="n">
        <v>574.507789</v>
      </c>
      <c r="G16" s="5" t="n">
        <v>754.345623</v>
      </c>
      <c r="H16" s="5" t="n">
        <v>944.84884</v>
      </c>
      <c r="I16" s="5" t="n">
        <v>1072.234671</v>
      </c>
      <c r="J16" s="5" t="n">
        <v>1171.695753</v>
      </c>
      <c r="K16" s="5" t="n">
        <v>1271.941099</v>
      </c>
    </row>
    <row r="17" customFormat="false" ht="15" hidden="false" customHeight="false" outlineLevel="0" collapsed="false">
      <c r="A17" s="4" t="s">
        <v>15</v>
      </c>
      <c r="B17" s="5" t="n">
        <v>6.827517</v>
      </c>
      <c r="C17" s="5" t="n">
        <v>47.073112</v>
      </c>
      <c r="D17" s="5" t="n">
        <v>88.889676</v>
      </c>
      <c r="E17" s="5" t="n">
        <v>148.279182</v>
      </c>
      <c r="F17" s="5" t="n">
        <v>205.226053</v>
      </c>
      <c r="G17" s="5" t="n">
        <v>255.765145</v>
      </c>
      <c r="H17" s="5" t="n">
        <v>328.417902</v>
      </c>
      <c r="I17" s="5" t="n">
        <v>366.908071</v>
      </c>
      <c r="J17" s="5" t="n">
        <v>401.681707</v>
      </c>
      <c r="K17" s="5" t="n">
        <v>436.686782</v>
      </c>
    </row>
    <row r="18" customFormat="false" ht="15" hidden="false" customHeight="false" outlineLevel="0" collapsed="false">
      <c r="A18" s="4" t="s">
        <v>16</v>
      </c>
      <c r="B18" s="5" t="n">
        <v>17.637753</v>
      </c>
      <c r="C18" s="5" t="n">
        <v>85.987819</v>
      </c>
      <c r="D18" s="5" t="n">
        <v>186.869567</v>
      </c>
      <c r="E18" s="5" t="n">
        <v>336.583621</v>
      </c>
      <c r="F18" s="5" t="n">
        <v>484.132598</v>
      </c>
      <c r="G18" s="5" t="n">
        <v>643.220385</v>
      </c>
      <c r="H18" s="5" t="n">
        <v>792.431742</v>
      </c>
      <c r="I18" s="5" t="n">
        <v>889.677707</v>
      </c>
      <c r="J18" s="5" t="n">
        <v>965.31111</v>
      </c>
      <c r="K18" s="5" t="n">
        <v>1041.939702</v>
      </c>
    </row>
    <row r="19" customFormat="false" ht="15" hidden="false" customHeight="false" outlineLevel="0" collapsed="false">
      <c r="A19" s="4" t="s">
        <v>17</v>
      </c>
      <c r="B19" s="5" t="n">
        <v>38.803056</v>
      </c>
      <c r="C19" s="5" t="n">
        <v>189.173203</v>
      </c>
      <c r="D19" s="5" t="n">
        <v>411.113048</v>
      </c>
      <c r="E19" s="5" t="n">
        <v>740.483966</v>
      </c>
      <c r="F19" s="5" t="n">
        <v>1065.091715</v>
      </c>
      <c r="G19" s="5" t="n">
        <v>1415.084848</v>
      </c>
      <c r="H19" s="5" t="n">
        <v>1743.349833</v>
      </c>
      <c r="I19" s="5" t="n">
        <v>1957.290955</v>
      </c>
      <c r="J19" s="5" t="n">
        <v>2123.684441</v>
      </c>
      <c r="K19" s="5" t="n">
        <v>2292.267343</v>
      </c>
    </row>
    <row r="20" customFormat="false" ht="15" hidden="false" customHeight="false" outlineLevel="0" collapsed="false">
      <c r="A20" s="4" t="s">
        <v>18</v>
      </c>
      <c r="B20" s="5" t="n">
        <v>8.466121</v>
      </c>
      <c r="C20" s="5" t="n">
        <v>41.274153</v>
      </c>
      <c r="D20" s="5" t="n">
        <v>89.697392</v>
      </c>
      <c r="E20" s="5" t="n">
        <v>161.560138</v>
      </c>
      <c r="F20" s="5" t="n">
        <v>232.383647</v>
      </c>
      <c r="G20" s="5" t="n">
        <v>308.745785</v>
      </c>
      <c r="H20" s="5" t="n">
        <v>380.367236</v>
      </c>
      <c r="I20" s="5" t="n">
        <v>427.045299</v>
      </c>
      <c r="J20" s="5" t="n">
        <v>463.349333</v>
      </c>
      <c r="K20" s="5" t="n">
        <v>500.131057</v>
      </c>
    </row>
    <row r="21" customFormat="false" ht="15" hidden="false" customHeight="false" outlineLevel="0" collapsed="false">
      <c r="A21" s="4" t="s">
        <v>19</v>
      </c>
      <c r="B21" s="5" t="n">
        <v>5.644081</v>
      </c>
      <c r="C21" s="5" t="n">
        <v>27.516102</v>
      </c>
      <c r="D21" s="5" t="n">
        <v>59.798262</v>
      </c>
      <c r="E21" s="5" t="n">
        <v>107.706759</v>
      </c>
      <c r="F21" s="5" t="n">
        <v>154.922431</v>
      </c>
      <c r="G21" s="5" t="n">
        <v>205.830523</v>
      </c>
      <c r="H21" s="5" t="n">
        <v>253.578158</v>
      </c>
      <c r="I21" s="5" t="n">
        <v>284.696866</v>
      </c>
      <c r="J21" s="5" t="n">
        <v>308.899555</v>
      </c>
      <c r="K21" s="5" t="n">
        <v>333.420704</v>
      </c>
    </row>
    <row r="22" customFormat="false" ht="15" hidden="false" customHeight="false" outlineLevel="0" collapsed="false">
      <c r="A22" s="6" t="s">
        <v>20</v>
      </c>
      <c r="B22" s="7" t="n">
        <f aca="false">SUM(B5:B21)</f>
        <v>6829.793097</v>
      </c>
      <c r="C22" s="7" t="n">
        <f aca="false">SUM(C5:C21)</f>
        <v>30662.680914</v>
      </c>
      <c r="D22" s="7" t="n">
        <f aca="false">SUM(D5:D21)</f>
        <v>61483.057999</v>
      </c>
      <c r="E22" s="7" t="n">
        <f aca="false">SUM(E5:E21)</f>
        <v>114050.795434</v>
      </c>
      <c r="F22" s="7" t="n">
        <f aca="false">SUM(F5:F21)</f>
        <v>167870.395798</v>
      </c>
      <c r="G22" s="7" t="n">
        <f aca="false">SUM(G5:G21)</f>
        <v>228490.108109</v>
      </c>
      <c r="H22" s="7" t="n">
        <f aca="false">SUM(H5:H21)</f>
        <v>283777.782174</v>
      </c>
      <c r="I22" s="7" t="n">
        <f aca="false">SUM(I5:I21)</f>
        <v>322612.238225</v>
      </c>
      <c r="J22" s="7" t="n">
        <f aca="false">SUM(J5:J21)</f>
        <v>347003.715485</v>
      </c>
      <c r="K22" s="7" t="n">
        <f aca="false">SUM(K5:K21)</f>
        <v>371907.689582</v>
      </c>
    </row>
    <row r="24" customFormat="false" ht="15" hidden="false" customHeight="false" outlineLevel="0" collapsed="false">
      <c r="A24" s="1" t="s">
        <v>21</v>
      </c>
    </row>
    <row r="25" customFormat="false" ht="15" hidden="false" customHeight="false" outlineLevel="0" collapsed="false">
      <c r="A25" s="3" t="s">
        <v>22</v>
      </c>
      <c r="B25" s="3" t="s">
        <v>23</v>
      </c>
      <c r="C25" s="3" t="s">
        <v>24</v>
      </c>
    </row>
    <row r="26" customFormat="false" ht="15" hidden="false" customHeight="false" outlineLevel="0" collapsed="false">
      <c r="A26" s="4" t="s">
        <v>25</v>
      </c>
      <c r="B26" s="8" t="n">
        <v>0.0521797399</v>
      </c>
      <c r="C26" s="9" t="s">
        <v>26</v>
      </c>
    </row>
    <row r="27" customFormat="false" ht="15" hidden="false" customHeight="false" outlineLevel="0" collapsed="false">
      <c r="A27" s="4" t="s">
        <v>27</v>
      </c>
      <c r="B27" s="8" t="n">
        <v>0.0798836162</v>
      </c>
      <c r="C27" s="9" t="s">
        <v>26</v>
      </c>
    </row>
    <row r="28" customFormat="false" ht="15" hidden="false" customHeight="false" outlineLevel="0" collapsed="false">
      <c r="A28" s="4" t="s">
        <v>28</v>
      </c>
      <c r="B28" s="8" t="n">
        <v>0.059817286</v>
      </c>
      <c r="C28" s="9" t="s">
        <v>29</v>
      </c>
    </row>
    <row r="29" customFormat="false" ht="15" hidden="false" customHeight="false" outlineLevel="0" collapsed="false">
      <c r="A29" s="4" t="s">
        <v>30</v>
      </c>
      <c r="B29" s="8" t="n">
        <v>0.0637650712</v>
      </c>
      <c r="C29" s="9" t="s">
        <v>26</v>
      </c>
    </row>
    <row r="30" customFormat="false" ht="15" hidden="false" customHeight="false" outlineLevel="0" collapsed="false">
      <c r="A30" s="4" t="s">
        <v>31</v>
      </c>
      <c r="B30" s="8" t="n">
        <v>0.0676801452</v>
      </c>
      <c r="C30" s="9" t="s">
        <v>29</v>
      </c>
    </row>
    <row r="31" customFormat="false" ht="15" hidden="false" customHeight="false" outlineLevel="0" collapsed="false">
      <c r="A31" s="4" t="s">
        <v>32</v>
      </c>
      <c r="B31" s="8" t="n">
        <v>0.0932172985</v>
      </c>
      <c r="C31" s="9" t="s">
        <v>29</v>
      </c>
    </row>
    <row r="32" customFormat="false" ht="15" hidden="false" customHeight="false" outlineLevel="0" collapsed="false">
      <c r="A32" s="4" t="s">
        <v>33</v>
      </c>
      <c r="B32" s="8" t="n">
        <v>0.0675217758</v>
      </c>
      <c r="C32" s="9" t="s">
        <v>29</v>
      </c>
    </row>
    <row r="33" customFormat="false" ht="15" hidden="false" customHeight="false" outlineLevel="0" collapsed="false">
      <c r="A33" s="4" t="s">
        <v>34</v>
      </c>
      <c r="B33" s="8" t="n">
        <v>0.0533558834</v>
      </c>
      <c r="C33" s="9" t="s">
        <v>26</v>
      </c>
    </row>
    <row r="34" customFormat="false" ht="15" hidden="false" customHeight="false" outlineLevel="0" collapsed="false">
      <c r="A34" s="4" t="s">
        <v>35</v>
      </c>
      <c r="B34" s="8" t="n">
        <v>0.0885682049</v>
      </c>
      <c r="C34" s="9" t="s">
        <v>26</v>
      </c>
    </row>
    <row r="35" customFormat="false" ht="15" hidden="false" customHeight="false" outlineLevel="0" collapsed="false">
      <c r="A35" s="4" t="s">
        <v>36</v>
      </c>
      <c r="B35" s="8" t="n">
        <v>0.0471361107</v>
      </c>
      <c r="C35" s="9" t="s">
        <v>26</v>
      </c>
    </row>
    <row r="36" customFormat="false" ht="15" hidden="false" customHeight="false" outlineLevel="0" collapsed="false">
      <c r="A36" s="4" t="s">
        <v>37</v>
      </c>
      <c r="B36" s="8" t="n">
        <v>0.0848900664</v>
      </c>
      <c r="C36" s="9" t="s">
        <v>26</v>
      </c>
    </row>
    <row r="37" customFormat="false" ht="15" hidden="false" customHeight="false" outlineLevel="0" collapsed="false">
      <c r="A37" s="4" t="s">
        <v>38</v>
      </c>
      <c r="B37" s="8" t="n">
        <v>0.0672643024</v>
      </c>
      <c r="C37" s="9" t="s">
        <v>26</v>
      </c>
    </row>
    <row r="38" customFormat="false" ht="15" hidden="false" customHeight="false" outlineLevel="0" collapsed="false">
      <c r="A38" s="4" t="s">
        <v>39</v>
      </c>
      <c r="B38" s="8" t="n">
        <v>0.0174767438</v>
      </c>
      <c r="C38" s="9" t="s">
        <v>26</v>
      </c>
    </row>
    <row r="39" customFormat="false" ht="15" hidden="false" customHeight="false" outlineLevel="0" collapsed="false">
      <c r="A39" s="4" t="s">
        <v>40</v>
      </c>
      <c r="B39" s="8" t="n">
        <v>0.1572437555</v>
      </c>
      <c r="C39" s="9" t="s">
        <v>26</v>
      </c>
    </row>
    <row r="41" customFormat="false" ht="15" hidden="false" customHeight="false" outlineLevel="0" collapsed="false">
      <c r="A41" s="6" t="s">
        <v>41</v>
      </c>
      <c r="B41" s="10" t="n">
        <f aca="false">SUMIF($C$26:$C$39,"Comercial",$B$26:$B$39)</f>
        <v>0.7117634944</v>
      </c>
    </row>
    <row r="42" customFormat="false" ht="15" hidden="false" customHeight="false" outlineLevel="0" collapsed="false">
      <c r="A42" s="6" t="s">
        <v>42</v>
      </c>
      <c r="B42" s="10" t="n">
        <f aca="false">SUMIF($C$26:$C$39,"Industrial",$B$26:$B$39)</f>
        <v>0.2882365055</v>
      </c>
    </row>
    <row r="43" customFormat="false" ht="15" hidden="false" customHeight="false" outlineLevel="0" collapsed="false">
      <c r="A43" s="4" t="s">
        <v>43</v>
      </c>
      <c r="B43" s="11" t="n">
        <f aca="false">B41+B42</f>
        <v>0.9999999999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true" outlineLevel="0" collapsed="false">
      <c r="A46" s="3" t="s">
        <v>45</v>
      </c>
      <c r="B46" s="3" t="s">
        <v>46</v>
      </c>
      <c r="C46" s="3" t="s">
        <v>47</v>
      </c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4" t="s">
        <v>48</v>
      </c>
      <c r="B47" s="8" t="n">
        <v>0.05</v>
      </c>
      <c r="C47" s="4" t="s">
        <v>49</v>
      </c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true" outlineLevel="0" collapsed="false">
      <c r="A48" s="4" t="s">
        <v>50</v>
      </c>
      <c r="B48" s="8" t="n">
        <v>0.02</v>
      </c>
      <c r="C48" s="4" t="s">
        <v>51</v>
      </c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true" outlineLevel="0" collapsed="false">
      <c r="A49" s="4" t="s">
        <v>52</v>
      </c>
      <c r="B49" s="8" t="n">
        <v>0.01</v>
      </c>
      <c r="C49" s="4" t="s">
        <v>53</v>
      </c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4" t="s">
        <v>54</v>
      </c>
      <c r="B50" s="8" t="n">
        <v>0.0330204131377009</v>
      </c>
      <c r="C50" s="4" t="s">
        <v>55</v>
      </c>
      <c r="D50" s="4"/>
      <c r="E50" s="4"/>
      <c r="F50" s="4"/>
      <c r="G50" s="4"/>
      <c r="H50" s="4"/>
      <c r="I50" s="4"/>
      <c r="J50" s="4"/>
      <c r="K50" s="4"/>
      <c r="L50" s="4"/>
    </row>
    <row r="52" customFormat="false" ht="15" hidden="false" customHeight="false" outlineLevel="0" collapsed="false">
      <c r="A52" s="6" t="s">
        <v>56</v>
      </c>
      <c r="B52" s="9" t="s">
        <v>26</v>
      </c>
    </row>
    <row r="53" customFormat="false" ht="15" hidden="false" customHeight="false" outlineLevel="0" collapsed="false">
      <c r="A53" s="6" t="s">
        <v>57</v>
      </c>
      <c r="B53" s="10" t="n">
        <f aca="false">IF(B52="Comercial",B41,B42)</f>
        <v>0.7117634944</v>
      </c>
    </row>
  </sheetData>
  <mergeCells count="5">
    <mergeCell ref="C46:L46"/>
    <mergeCell ref="C47:L47"/>
    <mergeCell ref="C48:L48"/>
    <mergeCell ref="C49:L49"/>
    <mergeCell ref="C50:L50"/>
  </mergeCells>
  <dataValidations count="2">
    <dataValidation allowBlank="false" errorStyle="stop" operator="between" showDropDown="false" showErrorMessage="false" showInputMessage="false" sqref="C26:C39" type="list">
      <formula1>"Comercial,Industrial"</formula1>
      <formula2>0</formula2>
    </dataValidation>
    <dataValidation allowBlank="false" errorStyle="stop" operator="between" showDropDown="false" showErrorMessage="false" showInputMessage="false" sqref="B52" type="list">
      <formula1>"Comercial,Industrial"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3" t="s">
        <v>58</v>
      </c>
      <c r="B1" s="3" t="n">
        <f aca="false">PROY_Indexado!B4</f>
        <v>2026</v>
      </c>
      <c r="C1" s="3" t="n">
        <f aca="false">PROY_Indexado!C4</f>
        <v>2027</v>
      </c>
      <c r="D1" s="3" t="n">
        <f aca="false">PROY_Indexado!D4</f>
        <v>2028</v>
      </c>
      <c r="E1" s="3" t="n">
        <f aca="false">PROY_Indexado!E4</f>
        <v>2029</v>
      </c>
      <c r="F1" s="3" t="n">
        <f aca="false">PROY_Indexado!F4</f>
        <v>2030</v>
      </c>
      <c r="G1" s="3" t="n">
        <f aca="false">PROY_Indexado!G4</f>
        <v>2031</v>
      </c>
      <c r="H1" s="3" t="n">
        <f aca="false">PROY_Indexado!H4</f>
        <v>2032</v>
      </c>
      <c r="I1" s="3" t="n">
        <f aca="false">PROY_Indexado!I4</f>
        <v>2033</v>
      </c>
      <c r="J1" s="3" t="n">
        <f aca="false">PROY_Indexado!J4</f>
        <v>2034</v>
      </c>
      <c r="K1" s="3" t="n">
        <f aca="false">PROY_Indexado!K4</f>
        <v>2035</v>
      </c>
    </row>
    <row r="2" customFormat="false" ht="15" hidden="false" customHeight="false" outlineLevel="0" collapsed="false">
      <c r="A2" s="12" t="str">
        <f aca="false">PROY_Indexado!A5</f>
        <v>ABC 1 kg</v>
      </c>
      <c r="B2" s="13" t="n">
        <f aca="false">PROY_Indexado!B5*PROY_Indexado!$B$53</f>
        <v>2475.14482829177</v>
      </c>
      <c r="C2" s="13" t="n">
        <f aca="false">PROY_Indexado!C5*PROY_Indexado!$B$53</f>
        <v>12079.0433371409</v>
      </c>
      <c r="D2" s="13" t="n">
        <f aca="false">PROY_Indexado!D5*PROY_Indexado!$B$53</f>
        <v>21741.5914098928</v>
      </c>
      <c r="E2" s="13" t="n">
        <f aca="false">PROY_Indexado!E5*PROY_Indexado!$B$53</f>
        <v>39893.1417352838</v>
      </c>
      <c r="F2" s="13" t="n">
        <f aca="false">PROY_Indexado!F5*PROY_Indexado!$B$53</f>
        <v>59980.470624167</v>
      </c>
      <c r="G2" s="13" t="n">
        <f aca="false">PROY_Indexado!G5*PROY_Indexado!$B$53</f>
        <v>83566.602439553</v>
      </c>
      <c r="H2" s="13" t="n">
        <f aca="false">PROY_Indexado!H5*PROY_Indexado!$B$53</f>
        <v>105063.861805261</v>
      </c>
      <c r="I2" s="13" t="n">
        <f aca="false">PROY_Indexado!I5*PROY_Indexado!$B$53</f>
        <v>121999.36672723</v>
      </c>
      <c r="J2" s="13" t="n">
        <f aca="false">PROY_Indexado!J5*PROY_Indexado!$B$53</f>
        <v>130744.239144474</v>
      </c>
      <c r="K2" s="13" t="n">
        <f aca="false">PROY_Indexado!K5*PROY_Indexado!$B$53</f>
        <v>139706.853822866</v>
      </c>
    </row>
    <row r="3" customFormat="false" ht="15" hidden="false" customHeight="false" outlineLevel="0" collapsed="false">
      <c r="A3" s="12" t="str">
        <f aca="false">PROY_Indexado!A6</f>
        <v>ABC 2,5 kg</v>
      </c>
      <c r="B3" s="13" t="n">
        <f aca="false">PROY_Indexado!B6*PROY_Indexado!$B$53</f>
        <v>234.879581556037</v>
      </c>
      <c r="C3" s="13" t="n">
        <f aca="false">PROY_Indexado!C6*PROY_Indexado!$B$53</f>
        <v>916.334304461805</v>
      </c>
      <c r="D3" s="13" t="n">
        <f aca="false">PROY_Indexado!D6*PROY_Indexado!$B$53</f>
        <v>2097.68745976827</v>
      </c>
      <c r="E3" s="13" t="n">
        <f aca="false">PROY_Indexado!E6*PROY_Indexado!$B$53</f>
        <v>3862.05951790904</v>
      </c>
      <c r="F3" s="13" t="n">
        <f aca="false">PROY_Indexado!F6*PROY_Indexado!$B$53</f>
        <v>5587.96679777898</v>
      </c>
      <c r="G3" s="13" t="n">
        <f aca="false">PROY_Indexado!G6*PROY_Indexado!$B$53</f>
        <v>7419.38255775269</v>
      </c>
      <c r="H3" s="13" t="n">
        <f aca="false">PROY_Indexado!H6*PROY_Indexado!$B$53</f>
        <v>9117.61613344917</v>
      </c>
      <c r="I3" s="13" t="n">
        <f aca="false">PROY_Indexado!I6*PROY_Indexado!$B$53</f>
        <v>10151.9313411915</v>
      </c>
      <c r="J3" s="13" t="n">
        <f aca="false">PROY_Indexado!J6*PROY_Indexado!$B$53</f>
        <v>10984.5533588211</v>
      </c>
      <c r="K3" s="13" t="n">
        <f aca="false">PROY_Indexado!K6*PROY_Indexado!$B$53</f>
        <v>11830.051049947</v>
      </c>
    </row>
    <row r="4" customFormat="false" ht="15" hidden="false" customHeight="false" outlineLevel="0" collapsed="false">
      <c r="A4" s="12" t="str">
        <f aca="false">PROY_Indexado!A7</f>
        <v>ABC 5 kg</v>
      </c>
      <c r="B4" s="13" t="n">
        <f aca="false">PROY_Indexado!B7*PROY_Indexado!$B$53</f>
        <v>1388.21931793785</v>
      </c>
      <c r="C4" s="13" t="n">
        <f aca="false">PROY_Indexado!C7*PROY_Indexado!$B$53</f>
        <v>5589.20719798536</v>
      </c>
      <c r="D4" s="13" t="n">
        <f aca="false">PROY_Indexado!D7*PROY_Indexado!$B$53</f>
        <v>12652.2061013923</v>
      </c>
      <c r="E4" s="13" t="n">
        <f aca="false">PROY_Indexado!E7*PROY_Indexado!$B$53</f>
        <v>23919.216760094</v>
      </c>
      <c r="F4" s="13" t="n">
        <f aca="false">PROY_Indexado!F7*PROY_Indexado!$B$53</f>
        <v>34454.7425238456</v>
      </c>
      <c r="G4" s="13" t="n">
        <f aca="false">PROY_Indexado!G7*PROY_Indexado!$B$53</f>
        <v>45782.7936852982</v>
      </c>
      <c r="H4" s="13" t="n">
        <f aca="false">PROY_Indexado!H7*PROY_Indexado!$B$53</f>
        <v>56030.8054965996</v>
      </c>
      <c r="I4" s="13" t="n">
        <f aca="false">PROY_Indexado!I7*PROY_Indexado!$B$53</f>
        <v>62092.263139539</v>
      </c>
      <c r="J4" s="13" t="n">
        <f aca="false">PROY_Indexado!J7*PROY_Indexado!$B$53</f>
        <v>66979.5552939497</v>
      </c>
      <c r="K4" s="13" t="n">
        <f aca="false">PROY_Indexado!K7*PROY_Indexado!$B$53</f>
        <v>71955.8558790957</v>
      </c>
    </row>
    <row r="5" customFormat="false" ht="15" hidden="false" customHeight="false" outlineLevel="0" collapsed="false">
      <c r="A5" s="12" t="str">
        <f aca="false">PROY_Indexado!A8</f>
        <v>ABC 10 kg</v>
      </c>
      <c r="B5" s="13" t="n">
        <f aca="false">PROY_Indexado!B8*PROY_Indexado!$B$53</f>
        <v>84.2326770523077</v>
      </c>
      <c r="C5" s="13" t="n">
        <f aca="false">PROY_Indexado!C8*PROY_Indexado!$B$53</f>
        <v>311.55068111409</v>
      </c>
      <c r="D5" s="13" t="n">
        <f aca="false">PROY_Indexado!D8*PROY_Indexado!$B$53</f>
        <v>729.539660266975</v>
      </c>
      <c r="E5" s="13" t="n">
        <f aca="false">PROY_Indexado!E8*PROY_Indexado!$B$53</f>
        <v>1395.34817383334</v>
      </c>
      <c r="F5" s="13" t="n">
        <f aca="false">PROY_Indexado!F8*PROY_Indexado!$B$53</f>
        <v>2024.95066139605</v>
      </c>
      <c r="G5" s="13" t="n">
        <f aca="false">PROY_Indexado!G8*PROY_Indexado!$B$53</f>
        <v>2712.09694414371</v>
      </c>
      <c r="H5" s="13" t="n">
        <f aca="false">PROY_Indexado!H8*PROY_Indexado!$B$53</f>
        <v>3319.43579985985</v>
      </c>
      <c r="I5" s="13" t="n">
        <f aca="false">PROY_Indexado!I8*PROY_Indexado!$B$53</f>
        <v>3675.9129471876</v>
      </c>
      <c r="J5" s="13" t="n">
        <f aca="false">PROY_Indexado!J8*PROY_Indexado!$B$53</f>
        <v>3965.62186010178</v>
      </c>
      <c r="K5" s="13" t="n">
        <f aca="false">PROY_Indexado!K8*PROY_Indexado!$B$53</f>
        <v>4260.58129786147</v>
      </c>
    </row>
    <row r="6" customFormat="false" ht="15" hidden="false" customHeight="false" outlineLevel="0" collapsed="false">
      <c r="A6" s="12" t="str">
        <f aca="false">PROY_Indexado!A9</f>
        <v>Agua 10 l</v>
      </c>
      <c r="B6" s="13" t="n">
        <f aca="false">PROY_Indexado!B9*PROY_Indexado!$B$53</f>
        <v>113.390142623807</v>
      </c>
      <c r="C6" s="13" t="n">
        <f aca="false">PROY_Indexado!C9*PROY_Indexado!$B$53</f>
        <v>457.965388633145</v>
      </c>
      <c r="D6" s="13" t="n">
        <f aca="false">PROY_Indexado!D9*PROY_Indexado!$B$53</f>
        <v>1049.39757654732</v>
      </c>
      <c r="E6" s="13" t="n">
        <f aca="false">PROY_Indexado!E9*PROY_Indexado!$B$53</f>
        <v>1969.05897675789</v>
      </c>
      <c r="F6" s="13" t="n">
        <f aca="false">PROY_Indexado!F9*PROY_Indexado!$B$53</f>
        <v>2840.97923347503</v>
      </c>
      <c r="G6" s="13" t="n">
        <f aca="false">PROY_Indexado!G9*PROY_Indexado!$B$53</f>
        <v>3797.7961792378</v>
      </c>
      <c r="H6" s="13" t="n">
        <f aca="false">PROY_Indexado!H9*PROY_Indexado!$B$53</f>
        <v>4654.19222714906</v>
      </c>
      <c r="I6" s="13" t="n">
        <f aca="false">PROY_Indexado!I9*PROY_Indexado!$B$53</f>
        <v>5174.39225980645</v>
      </c>
      <c r="J6" s="13" t="n">
        <f aca="false">PROY_Indexado!J9*PROY_Indexado!$B$53</f>
        <v>5591.21641380079</v>
      </c>
      <c r="K6" s="13" t="n">
        <f aca="false">PROY_Indexado!K9*PROY_Indexado!$B$53</f>
        <v>6014.98096081728</v>
      </c>
    </row>
    <row r="7" customFormat="false" ht="15" hidden="false" customHeight="false" outlineLevel="0" collapsed="false">
      <c r="A7" s="12" t="str">
        <f aca="false">PROY_Indexado!A10</f>
        <v>AFFF 10 l</v>
      </c>
      <c r="B7" s="13" t="n">
        <f aca="false">PROY_Indexado!B10*PROY_Indexado!$B$53</f>
        <v>16.1985919050815</v>
      </c>
      <c r="C7" s="13" t="n">
        <f aca="false">PROY_Indexado!C10*PROY_Indexado!$B$53</f>
        <v>114.81866263352</v>
      </c>
      <c r="D7" s="13" t="n">
        <f aca="false">PROY_Indexado!D10*PROY_Indexado!$B$53</f>
        <v>225.349501118225</v>
      </c>
      <c r="E7" s="13" t="n">
        <f aca="false">PROY_Indexado!E10*PROY_Indexado!$B$53</f>
        <v>375.38023765896</v>
      </c>
      <c r="F7" s="13" t="n">
        <f aca="false">PROY_Indexado!F10*PROY_Indexado!$B$53</f>
        <v>529.401819301053</v>
      </c>
      <c r="G7" s="13" t="n">
        <f aca="false">PROY_Indexado!G10*PROY_Indexado!$B$53</f>
        <v>685.338801347676</v>
      </c>
      <c r="H7" s="13" t="n">
        <f aca="false">PROY_Indexado!H10*PROY_Indexado!$B$53</f>
        <v>850.516240860368</v>
      </c>
      <c r="I7" s="13" t="n">
        <f aca="false">PROY_Indexado!I10*PROY_Indexado!$B$53</f>
        <v>962.031769263164</v>
      </c>
      <c r="J7" s="13" t="n">
        <f aca="false">PROY_Indexado!J10*PROY_Indexado!$B$53</f>
        <v>1051.66533974034</v>
      </c>
      <c r="K7" s="13" t="n">
        <f aca="false">PROY_Indexado!K10*PROY_Indexado!$B$53</f>
        <v>1141.98283308283</v>
      </c>
    </row>
    <row r="8" customFormat="false" ht="15" hidden="false" customHeight="false" outlineLevel="0" collapsed="false">
      <c r="A8" s="12" t="str">
        <f aca="false">PROY_Indexado!A11</f>
        <v>AFFF 50 l s/ruedas</v>
      </c>
      <c r="B8" s="13" t="n">
        <f aca="false">PROY_Indexado!B11*PROY_Indexado!$B$53</f>
        <v>8.09929559665901</v>
      </c>
      <c r="C8" s="13" t="n">
        <f aca="false">PROY_Indexado!C11*PROY_Indexado!$B$53</f>
        <v>59.2354634114683</v>
      </c>
      <c r="D8" s="13" t="n">
        <f aca="false">PROY_Indexado!D11*PROY_Indexado!$B$53</f>
        <v>117.059353190262</v>
      </c>
      <c r="E8" s="13" t="n">
        <f aca="false">PROY_Indexado!E11*PROY_Indexado!$B$53</f>
        <v>200.248356483697</v>
      </c>
      <c r="F8" s="13" t="n">
        <f aca="false">PROY_Indexado!F11*PROY_Indexado!$B$53</f>
        <v>283.924243730767</v>
      </c>
      <c r="G8" s="13" t="n">
        <f aca="false">PROY_Indexado!G11*PROY_Indexado!$B$53</f>
        <v>366.221737623981</v>
      </c>
      <c r="H8" s="13" t="n">
        <f aca="false">PROY_Indexado!H11*PROY_Indexado!$B$53</f>
        <v>447.745862045301</v>
      </c>
      <c r="I8" s="13" t="n">
        <f aca="false">PROY_Indexado!I11*PROY_Indexado!$B$53</f>
        <v>506.190555502727</v>
      </c>
      <c r="J8" s="13" t="n">
        <f aca="false">PROY_Indexado!J11*PROY_Indexado!$B$53</f>
        <v>550.485701732129</v>
      </c>
      <c r="K8" s="13" t="n">
        <f aca="false">PROY_Indexado!K11*PROY_Indexado!$B$53</f>
        <v>595.283971511053</v>
      </c>
    </row>
    <row r="9" customFormat="false" ht="15" hidden="false" customHeight="false" outlineLevel="0" collapsed="false">
      <c r="A9" s="12" t="str">
        <f aca="false">PROY_Indexado!A12</f>
        <v>BC 5 kg</v>
      </c>
      <c r="B9" s="13" t="n">
        <f aca="false">PROY_Indexado!B12*PROY_Indexado!$B$53</f>
        <v>4.85957735799541</v>
      </c>
      <c r="C9" s="13" t="n">
        <f aca="false">PROY_Indexado!C12*PROY_Indexado!$B$53</f>
        <v>33.5049226894026</v>
      </c>
      <c r="D9" s="13" t="n">
        <f aca="false">PROY_Indexado!D12*PROY_Indexado!$B$53</f>
        <v>63.2684264058438</v>
      </c>
      <c r="E9" s="13" t="n">
        <f aca="false">PROY_Indexado!E12*PROY_Indexado!$B$53</f>
        <v>113.528050359665</v>
      </c>
      <c r="F9" s="13" t="n">
        <f aca="false">PROY_Indexado!F12*PROY_Indexado!$B$53</f>
        <v>156.442912791368</v>
      </c>
      <c r="G9" s="13" t="n">
        <f aca="false">PROY_Indexado!G12*PROY_Indexado!$B$53</f>
        <v>207.742306481294</v>
      </c>
      <c r="H9" s="13" t="n">
        <f aca="false">PROY_Indexado!H12*PROY_Indexado!$B$53</f>
        <v>262.529814616504</v>
      </c>
      <c r="I9" s="13" t="n">
        <f aca="false">PROY_Indexado!I12*PROY_Indexado!$B$53</f>
        <v>290.690583531525</v>
      </c>
      <c r="J9" s="13" t="n">
        <f aca="false">PROY_Indexado!J12*PROY_Indexado!$B$53</f>
        <v>317.291314201865</v>
      </c>
      <c r="K9" s="13" t="n">
        <f aca="false">PROY_Indexado!K12*PROY_Indexado!$B$53</f>
        <v>344.122846997007</v>
      </c>
    </row>
    <row r="10" customFormat="false" ht="15" hidden="false" customHeight="false" outlineLevel="0" collapsed="false">
      <c r="A10" s="12" t="str">
        <f aca="false">PROY_Indexado!A13</f>
        <v>Sales K 6 l</v>
      </c>
      <c r="B10" s="13" t="n">
        <f aca="false">PROY_Indexado!B13*PROY_Indexado!$B$53</f>
        <v>58.3149304312353</v>
      </c>
      <c r="C10" s="13" t="n">
        <f aca="false">PROY_Indexado!C13*PROY_Indexado!$B$53</f>
        <v>238.724661052559</v>
      </c>
      <c r="D10" s="13" t="n">
        <f aca="false">PROY_Indexado!D13*PROY_Indexado!$B$53</f>
        <v>531.401451932801</v>
      </c>
      <c r="E10" s="13" t="n">
        <f aca="false">PROY_Indexado!E13*PROY_Indexado!$B$53</f>
        <v>967.21529652271</v>
      </c>
      <c r="F10" s="13" t="n">
        <f aca="false">PROY_Indexado!F13*PROY_Indexado!$B$53</f>
        <v>1395.85755449574</v>
      </c>
      <c r="G10" s="13" t="n">
        <f aca="false">PROY_Indexado!G13*PROY_Indexado!$B$53</f>
        <v>1849.54691574823</v>
      </c>
      <c r="H10" s="13" t="n">
        <f aca="false">PROY_Indexado!H13*PROY_Indexado!$B$53</f>
        <v>2275.69542490701</v>
      </c>
      <c r="I10" s="13" t="n">
        <f aca="false">PROY_Indexado!I13*PROY_Indexado!$B$53</f>
        <v>2547.07374520378</v>
      </c>
      <c r="J10" s="13" t="n">
        <f aca="false">PROY_Indexado!J13*PROY_Indexado!$B$53</f>
        <v>2755.05712028652</v>
      </c>
      <c r="K10" s="13" t="n">
        <f aca="false">PROY_Indexado!K13*PROY_Indexado!$B$53</f>
        <v>2966.31679967506</v>
      </c>
    </row>
    <row r="11" customFormat="false" ht="15" hidden="false" customHeight="false" outlineLevel="0" collapsed="false">
      <c r="A11" s="12" t="str">
        <f aca="false">PROY_Indexado!A14</f>
        <v>CO₂ 2 kg</v>
      </c>
      <c r="B11" s="13" t="n">
        <f aca="false">PROY_Indexado!B14*PROY_Indexado!$B$53</f>
        <v>320.732117727676</v>
      </c>
      <c r="C11" s="13" t="n">
        <f aca="false">PROY_Indexado!C14*PROY_Indexado!$B$53</f>
        <v>1207.9918279534</v>
      </c>
      <c r="D11" s="13" t="n">
        <f aca="false">PROY_Indexado!D14*PROY_Indexado!$B$53</f>
        <v>2815.16473668998</v>
      </c>
      <c r="E11" s="13" t="n">
        <f aca="false">PROY_Indexado!E14*PROY_Indexado!$B$53</f>
        <v>5381.8290745489</v>
      </c>
      <c r="F11" s="13" t="n">
        <f aca="false">PROY_Indexado!F14*PROY_Indexado!$B$53</f>
        <v>7772.56042931962</v>
      </c>
      <c r="G11" s="13" t="n">
        <f aca="false">PROY_Indexado!G14*PROY_Indexado!$B$53</f>
        <v>10331.1654250021</v>
      </c>
      <c r="H11" s="13" t="n">
        <f aca="false">PROY_Indexado!H14*PROY_Indexado!$B$53</f>
        <v>12631.3103337822</v>
      </c>
      <c r="I11" s="13" t="n">
        <f aca="false">PROY_Indexado!I14*PROY_Indexado!$B$53</f>
        <v>13962.8107085724</v>
      </c>
      <c r="J11" s="13" t="n">
        <f aca="false">PROY_Indexado!J14*PROY_Indexado!$B$53</f>
        <v>15062.2011643158</v>
      </c>
      <c r="K11" s="13" t="n">
        <f aca="false">PROY_Indexado!K14*PROY_Indexado!$B$53</f>
        <v>16181.5883805524</v>
      </c>
    </row>
    <row r="12" customFormat="false" ht="15" hidden="false" customHeight="false" outlineLevel="0" collapsed="false">
      <c r="A12" s="12" t="str">
        <f aca="false">PROY_Indexado!A15</f>
        <v>CO₂ 5 kg</v>
      </c>
      <c r="B12" s="13" t="n">
        <f aca="false">PROY_Indexado!B15*PROY_Indexado!$B$53</f>
        <v>89.0922551220666</v>
      </c>
      <c r="C12" s="13" t="n">
        <f aca="false">PROY_Indexado!C15*PROY_Indexado!$B$53</f>
        <v>458.112601964928</v>
      </c>
      <c r="D12" s="13" t="n">
        <f aca="false">PROY_Indexado!D15*PROY_Indexado!$B$53</f>
        <v>979.120880505447</v>
      </c>
      <c r="E12" s="13" t="n">
        <f aca="false">PROY_Indexado!E15*PROY_Indexado!$B$53</f>
        <v>1751.14052567374</v>
      </c>
      <c r="F12" s="13" t="n">
        <f aca="false">PROY_Indexado!F15*PROY_Indexado!$B$53</f>
        <v>2523.38499700053</v>
      </c>
      <c r="G12" s="13" t="n">
        <f aca="false">PROY_Indexado!G15*PROY_Indexado!$B$53</f>
        <v>3361.9876650447</v>
      </c>
      <c r="H12" s="13" t="n">
        <f aca="false">PROY_Indexado!H15*PROY_Indexado!$B$53</f>
        <v>4166.59600537953</v>
      </c>
      <c r="I12" s="13" t="n">
        <f aca="false">PROY_Indexado!I15*PROY_Indexado!$B$53</f>
        <v>4703.66051743215</v>
      </c>
      <c r="J12" s="13" t="n">
        <f aca="false">PROY_Indexado!J15*PROY_Indexado!$B$53</f>
        <v>5114.52491838814</v>
      </c>
      <c r="K12" s="13" t="n">
        <f aca="false">PROY_Indexado!K15*PROY_Indexado!$B$53</f>
        <v>5530.10136592383</v>
      </c>
    </row>
    <row r="13" customFormat="false" ht="15" hidden="false" customHeight="false" outlineLevel="0" collapsed="false">
      <c r="A13" s="12" t="str">
        <f aca="false">PROY_Indexado!A16</f>
        <v>HCFC/HFC 5 kg</v>
      </c>
      <c r="B13" s="13" t="n">
        <f aca="false">PROY_Indexado!B16*PROY_Indexado!$B$53</f>
        <v>12.9588736664179</v>
      </c>
      <c r="C13" s="13" t="n">
        <f aca="false">PROY_Indexado!C16*PROY_Indexado!$B$53</f>
        <v>79.7709804700263</v>
      </c>
      <c r="D13" s="13" t="n">
        <f aca="false">PROY_Indexado!D16*PROY_Indexado!$B$53</f>
        <v>164.313478918521</v>
      </c>
      <c r="E13" s="13" t="n">
        <f aca="false">PROY_Indexado!E16*PROY_Indexado!$B$53</f>
        <v>285.214546387503</v>
      </c>
      <c r="F13" s="13" t="n">
        <f aca="false">PROY_Indexado!F16*PROY_Indexado!$B$53</f>
        <v>408.913671458658</v>
      </c>
      <c r="G13" s="13" t="n">
        <f aca="false">PROY_Indexado!G16*PROY_Indexado!$B$53</f>
        <v>536.915676611825</v>
      </c>
      <c r="H13" s="13" t="n">
        <f aca="false">PROY_Indexado!H16*PROY_Indexado!$B$53</f>
        <v>672.508912038187</v>
      </c>
      <c r="I13" s="13" t="n">
        <f aca="false">PROY_Indexado!I16*PROY_Indexado!$B$53</f>
        <v>763.177496247794</v>
      </c>
      <c r="J13" s="13" t="n">
        <f aca="false">PROY_Indexado!J16*PROY_Indexado!$B$53</f>
        <v>833.970263528919</v>
      </c>
      <c r="K13" s="13" t="n">
        <f aca="false">PROY_Indexado!K16*PROY_Indexado!$B$53</f>
        <v>905.321241295216</v>
      </c>
    </row>
    <row r="14" customFormat="false" ht="15" hidden="false" customHeight="false" outlineLevel="0" collapsed="false">
      <c r="A14" s="12" t="str">
        <f aca="false">PROY_Indexado!A17</f>
        <v>Clase D 9 l</v>
      </c>
      <c r="B14" s="13" t="n">
        <f aca="false">PROY_Indexado!B17*PROY_Indexado!$B$53</f>
        <v>4.85957735799541</v>
      </c>
      <c r="C14" s="13" t="n">
        <f aca="false">PROY_Indexado!C17*PROY_Indexado!$B$53</f>
        <v>33.5049226894026</v>
      </c>
      <c r="D14" s="13" t="n">
        <f aca="false">PROY_Indexado!D17*PROY_Indexado!$B$53</f>
        <v>63.2684264058438</v>
      </c>
      <c r="E14" s="13" t="n">
        <f aca="false">PROY_Indexado!E17*PROY_Indexado!$B$53</f>
        <v>105.539708727094</v>
      </c>
      <c r="F14" s="13" t="n">
        <f aca="false">PROY_Indexado!F17*PROY_Indexado!$B$53</f>
        <v>146.0724126252</v>
      </c>
      <c r="G14" s="13" t="n">
        <f aca="false">PROY_Indexado!G17*PROY_Indexado!$B$53</f>
        <v>182.044293350923</v>
      </c>
      <c r="H14" s="13" t="n">
        <f aca="false">PROY_Indexado!H17*PROY_Indexado!$B$53</f>
        <v>233.755873551037</v>
      </c>
      <c r="I14" s="13" t="n">
        <f aca="false">PROY_Indexado!I17*PROY_Indexado!$B$53</f>
        <v>261.151770738523</v>
      </c>
      <c r="J14" s="13" t="n">
        <f aca="false">PROY_Indexado!J17*PROY_Indexado!$B$53</f>
        <v>285.902375410877</v>
      </c>
      <c r="K14" s="13" t="n">
        <f aca="false">PROY_Indexado!K17*PROY_Indexado!$B$53</f>
        <v>310.817709914611</v>
      </c>
    </row>
    <row r="15" customFormat="false" ht="15" hidden="false" customHeight="false" outlineLevel="0" collapsed="false">
      <c r="A15" s="12" t="str">
        <f aca="false">PROY_Indexado!A18</f>
        <v>ABC 25 kg s/ruedas</v>
      </c>
      <c r="B15" s="13" t="n">
        <f aca="false">PROY_Indexado!B18*PROY_Indexado!$B$53</f>
        <v>12.5539087086441</v>
      </c>
      <c r="C15" s="13" t="n">
        <f aca="false">PROY_Indexado!C18*PROY_Indexado!$B$53</f>
        <v>61.2029905272747</v>
      </c>
      <c r="D15" s="13" t="n">
        <f aca="false">PROY_Indexado!D18*PROY_Indexado!$B$53</f>
        <v>133.006936004935</v>
      </c>
      <c r="E15" s="13" t="n">
        <f aca="false">PROY_Indexado!E18*PROY_Indexado!$B$53</f>
        <v>239.567934240765</v>
      </c>
      <c r="F15" s="13" t="n">
        <f aca="false">PROY_Indexado!F18*PROY_Indexado!$B$53</f>
        <v>344.58790970543</v>
      </c>
      <c r="G15" s="13" t="n">
        <f aca="false">PROY_Indexado!G18*PROY_Indexado!$B$53</f>
        <v>457.820788896913</v>
      </c>
      <c r="H15" s="13" t="n">
        <f aca="false">PROY_Indexado!H18*PROY_Indexado!$B$53</f>
        <v>564.023985759399</v>
      </c>
      <c r="I15" s="13" t="n">
        <f aca="false">PROY_Indexado!I18*PROY_Indexado!$B$53</f>
        <v>633.240113624099</v>
      </c>
      <c r="J15" s="13" t="n">
        <f aca="false">PROY_Indexado!J18*PROY_Indexado!$B$53</f>
        <v>687.073208836743</v>
      </c>
      <c r="K15" s="13" t="n">
        <f aca="false">PROY_Indexado!K18*PROY_Indexado!$B$53</f>
        <v>741.614643249615</v>
      </c>
    </row>
    <row r="16" customFormat="false" ht="15" hidden="false" customHeight="false" outlineLevel="0" collapsed="false">
      <c r="A16" s="12" t="str">
        <f aca="false">PROY_Indexado!A19</f>
        <v>ABC 50 kg s/ruedas</v>
      </c>
      <c r="B16" s="13" t="n">
        <f aca="false">PROY_Indexado!B19*PROY_Indexado!$B$53</f>
        <v>27.6185987319589</v>
      </c>
      <c r="C16" s="13" t="n">
        <f aca="false">PROY_Indexado!C19*PROY_Indexado!$B$53</f>
        <v>134.646580014121</v>
      </c>
      <c r="D16" s="13" t="n">
        <f aca="false">PROY_Indexado!D19*PROY_Indexado!$B$53</f>
        <v>292.615259637915</v>
      </c>
      <c r="E16" s="13" t="n">
        <f aca="false">PROY_Indexado!E19*PROY_Indexado!$B$53</f>
        <v>527.049455187331</v>
      </c>
      <c r="F16" s="13" t="n">
        <f aca="false">PROY_Indexado!F19*PROY_Indexado!$B$53</f>
        <v>758.093400924889</v>
      </c>
      <c r="G16" s="13" t="n">
        <f aca="false">PROY_Indexado!G19*PROY_Indexado!$B$53</f>
        <v>1007.20573628497</v>
      </c>
      <c r="H16" s="13" t="n">
        <f aca="false">PROY_Indexado!H19*PROY_Indexado!$B$53</f>
        <v>1240.85276909774</v>
      </c>
      <c r="I16" s="13" t="n">
        <f aca="false">PROY_Indexado!I19*PROY_Indexado!$B$53</f>
        <v>1393.12824968831</v>
      </c>
      <c r="J16" s="13" t="n">
        <f aca="false">PROY_Indexado!J19*PROY_Indexado!$B$53</f>
        <v>1511.56105872907</v>
      </c>
      <c r="K16" s="13" t="n">
        <f aca="false">PROY_Indexado!K19*PROY_Indexado!$B$53</f>
        <v>1631.55221415268</v>
      </c>
    </row>
    <row r="17" customFormat="false" ht="15" hidden="false" customHeight="false" outlineLevel="0" collapsed="false">
      <c r="A17" s="12" t="str">
        <f aca="false">PROY_Indexado!A20</f>
        <v>ABC 70 kg s/ruedas</v>
      </c>
      <c r="B17" s="13" t="n">
        <f aca="false">PROY_Indexado!B20*PROY_Indexado!$B$53</f>
        <v>6.02587586697322</v>
      </c>
      <c r="C17" s="13" t="n">
        <f aca="false">PROY_Indexado!C20*PROY_Indexado!$B$53</f>
        <v>29.3774353676802</v>
      </c>
      <c r="D17" s="13" t="n">
        <f aca="false">PROY_Indexado!D20*PROY_Indexado!$B$53</f>
        <v>63.8433291684866</v>
      </c>
      <c r="E17" s="13" t="n">
        <f aca="false">PROY_Indexado!E20*PROY_Indexado!$B$53</f>
        <v>114.992608378626</v>
      </c>
      <c r="F17" s="13" t="n">
        <f aca="false">PROY_Indexado!F20*PROY_Indexado!$B$53</f>
        <v>165.402196630136</v>
      </c>
      <c r="G17" s="13" t="n">
        <f aca="false">PROY_Indexado!G20*PROY_Indexado!$B$53</f>
        <v>219.753978812871</v>
      </c>
      <c r="H17" s="13" t="n">
        <f aca="false">PROY_Indexado!H20*PROY_Indexado!$B$53</f>
        <v>270.73151305063</v>
      </c>
      <c r="I17" s="13" t="n">
        <f aca="false">PROY_Indexado!I20*PROY_Indexado!$B$53</f>
        <v>303.955254283333</v>
      </c>
      <c r="J17" s="13" t="n">
        <f aca="false">PROY_Indexado!J20*PROY_Indexado!$B$53</f>
        <v>329.795140383989</v>
      </c>
      <c r="K17" s="13" t="n">
        <f aca="false">PROY_Indexado!K20*PROY_Indexado!$B$53</f>
        <v>355.975028788286</v>
      </c>
    </row>
    <row r="18" customFormat="false" ht="15" hidden="false" customHeight="false" outlineLevel="0" collapsed="false">
      <c r="A18" s="12" t="str">
        <f aca="false">PROY_Indexado!A21</f>
        <v>ABC 100 kg s/ruedas</v>
      </c>
      <c r="B18" s="13" t="n">
        <f aca="false">PROY_Indexado!B21*PROY_Indexado!$B$53</f>
        <v>4.01725081523665</v>
      </c>
      <c r="C18" s="13" t="n">
        <f aca="false">PROY_Indexado!C21*PROY_Indexado!$B$53</f>
        <v>19.5849569117868</v>
      </c>
      <c r="D18" s="13" t="n">
        <f aca="false">PROY_Indexado!D21*PROY_Indexado!$B$53</f>
        <v>42.5622199201667</v>
      </c>
      <c r="E18" s="13" t="n">
        <f aca="false">PROY_Indexado!E21*PROY_Indexado!$B$53</f>
        <v>76.6617391563387</v>
      </c>
      <c r="F18" s="13" t="n">
        <f aca="false">PROY_Indexado!F21*PROY_Indexado!$B$53</f>
        <v>110.268130849503</v>
      </c>
      <c r="G18" s="13" t="n">
        <f aca="false">PROY_Indexado!G21*PROY_Indexado!$B$53</f>
        <v>146.50265230466</v>
      </c>
      <c r="H18" s="13" t="n">
        <f aca="false">PROY_Indexado!H21*PROY_Indexado!$B$53</f>
        <v>180.487675841595</v>
      </c>
      <c r="I18" s="13" t="n">
        <f aca="false">PROY_Indexado!I21*PROY_Indexado!$B$53</f>
        <v>202.636836188889</v>
      </c>
      <c r="J18" s="13" t="n">
        <f aca="false">PROY_Indexado!J21*PROY_Indexado!$B$53</f>
        <v>219.863426685405</v>
      </c>
      <c r="K18" s="13" t="n">
        <f aca="false">PROY_Indexado!K21*PROY_Indexado!$B$53</f>
        <v>237.316685384348</v>
      </c>
    </row>
    <row r="19" customFormat="false" ht="15" hidden="false" customHeight="false" outlineLevel="0" collapsed="false">
      <c r="A19" s="6" t="s">
        <v>59</v>
      </c>
      <c r="B19" s="7" t="n">
        <f aca="false">SUM(B2:B18)</f>
        <v>4861.19740074972</v>
      </c>
      <c r="C19" s="7" t="n">
        <f aca="false">SUM(C2:C18)</f>
        <v>21824.5769150208</v>
      </c>
      <c r="D19" s="7" t="n">
        <f aca="false">SUM(D2:D18)</f>
        <v>43761.3962077661</v>
      </c>
      <c r="E19" s="7" t="n">
        <f aca="false">SUM(E2:E18)</f>
        <v>81177.1926972034</v>
      </c>
      <c r="F19" s="7" t="n">
        <f aca="false">SUM(F2:F18)</f>
        <v>119484.019519496</v>
      </c>
      <c r="G19" s="7" t="n">
        <f aca="false">SUM(G2:G18)</f>
        <v>162630.917783496</v>
      </c>
      <c r="H19" s="7" t="n">
        <f aca="false">SUM(H2:H18)</f>
        <v>201982.665873248</v>
      </c>
      <c r="I19" s="7" t="n">
        <f aca="false">SUM(I2:I18)</f>
        <v>229623.614015231</v>
      </c>
      <c r="J19" s="7" t="n">
        <f aca="false">SUM(J2:J18)</f>
        <v>246984.577103387</v>
      </c>
      <c r="K19" s="7" t="n">
        <f aca="false">SUM(K2:K18)</f>
        <v>264710.316731115</v>
      </c>
    </row>
    <row r="21" customFormat="false" ht="15" hidden="false" customHeight="false" outlineLevel="0" collapsed="false">
      <c r="A21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12" min="4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70"/>
    <col collapsed="false" customWidth="true" hidden="false" outlineLevel="0" max="17" min="17" style="0" width="60"/>
    <col collapsed="false" customWidth="true" hidden="false" outlineLevel="0" max="18" min="18" style="0" width="8"/>
  </cols>
  <sheetData>
    <row r="1" customFormat="false" ht="15" hidden="false" customHeight="true" outlineLevel="0" collapsed="false">
      <c r="A1" s="3" t="s">
        <v>61</v>
      </c>
      <c r="B1" s="3" t="s">
        <v>46</v>
      </c>
      <c r="C1" s="3" t="s">
        <v>62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5" hidden="false" customHeight="true" outlineLevel="0" collapsed="false">
      <c r="A2" s="4" t="s">
        <v>63</v>
      </c>
      <c r="B2" s="14" t="n">
        <v>20</v>
      </c>
      <c r="C2" s="4" t="s">
        <v>64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true" outlineLevel="0" collapsed="false">
      <c r="A3" s="4" t="s">
        <v>65</v>
      </c>
      <c r="B3" s="14" t="n">
        <v>8</v>
      </c>
      <c r="C3" s="4" t="s">
        <v>66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4" t="s">
        <v>67</v>
      </c>
      <c r="B4" s="14" t="n">
        <v>30</v>
      </c>
      <c r="C4" s="4" t="s">
        <v>68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false" outlineLevel="0" collapsed="false">
      <c r="A5" s="4" t="s">
        <v>69</v>
      </c>
      <c r="B5" s="15" t="n">
        <f aca="false">B3-B4/60</f>
        <v>7.5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4" t="s">
        <v>70</v>
      </c>
      <c r="B6" s="16" t="n">
        <f aca="false">B2*B5</f>
        <v>150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true" outlineLevel="0" collapsed="false">
      <c r="A7" s="4" t="s">
        <v>71</v>
      </c>
      <c r="B7" s="17" t="n">
        <v>0.9</v>
      </c>
      <c r="C7" s="4" t="s">
        <v>72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true" outlineLevel="0" collapsed="false">
      <c r="A8" s="4" t="s">
        <v>73</v>
      </c>
      <c r="B8" s="14" t="n">
        <v>2</v>
      </c>
      <c r="C8" s="4" t="s">
        <v>74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customFormat="false" ht="15" hidden="false" customHeight="true" outlineLevel="0" collapsed="false">
      <c r="A9" s="4" t="s">
        <v>75</v>
      </c>
      <c r="B9" s="14" t="n">
        <v>3</v>
      </c>
      <c r="C9" s="4" t="s">
        <v>76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1" customFormat="false" ht="15" hidden="false" customHeight="false" outlineLevel="0" collapsed="false">
      <c r="A11" s="1" t="s">
        <v>77</v>
      </c>
    </row>
    <row r="12" customFormat="false" ht="15" hidden="false" customHeight="true" outlineLevel="0" collapsed="false">
      <c r="A12" s="3" t="s">
        <v>61</v>
      </c>
      <c r="B12" s="3" t="s">
        <v>46</v>
      </c>
      <c r="C12" s="3" t="s">
        <v>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true" outlineLevel="0" collapsed="false">
      <c r="A13" s="4" t="s">
        <v>78</v>
      </c>
      <c r="B13" s="14" t="n">
        <v>5</v>
      </c>
      <c r="C13" s="4" t="s">
        <v>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" hidden="false" customHeight="true" outlineLevel="0" collapsed="false">
      <c r="A14" s="4" t="s">
        <v>80</v>
      </c>
      <c r="B14" s="14" t="n">
        <v>2</v>
      </c>
      <c r="C14" s="4" t="s">
        <v>81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5" hidden="false" customHeight="true" outlineLevel="0" collapsed="false">
      <c r="A15" s="4" t="s">
        <v>82</v>
      </c>
      <c r="B15" s="10" t="n">
        <f aca="false">1/B13</f>
        <v>0.2</v>
      </c>
      <c r="C15" s="4" t="s">
        <v>83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15" hidden="false" customHeight="true" outlineLevel="0" collapsed="false">
      <c r="A16" s="4" t="s">
        <v>84</v>
      </c>
      <c r="B16" s="10" t="n">
        <f aca="false">1/B14</f>
        <v>0.5</v>
      </c>
      <c r="C16" s="4" t="s">
        <v>85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15" hidden="false" customHeight="true" outlineLevel="0" collapsed="false">
      <c r="A17" s="4" t="s">
        <v>86</v>
      </c>
      <c r="B17" s="14" t="n">
        <v>30</v>
      </c>
      <c r="C17" s="4" t="s">
        <v>87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customFormat="false" ht="15" hidden="false" customHeight="true" outlineLevel="0" collapsed="false">
      <c r="A18" s="4" t="s">
        <v>88</v>
      </c>
      <c r="B18" s="14" t="n">
        <v>20</v>
      </c>
      <c r="C18" s="4" t="s">
        <v>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customFormat="false" ht="15" hidden="false" customHeight="true" outlineLevel="0" collapsed="false">
      <c r="A19" s="4" t="s">
        <v>90</v>
      </c>
      <c r="B19" s="10" t="n">
        <f aca="false">1/B17</f>
        <v>0.0333333333333333</v>
      </c>
      <c r="C19" s="4" t="s">
        <v>91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customFormat="false" ht="15" hidden="false" customHeight="true" outlineLevel="0" collapsed="false">
      <c r="A20" s="4" t="s">
        <v>92</v>
      </c>
      <c r="B20" s="10" t="n">
        <f aca="false">1/B18</f>
        <v>0.05</v>
      </c>
      <c r="C20" s="4" t="s">
        <v>93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customFormat="false" ht="15" hidden="false" customHeight="true" outlineLevel="0" collapsed="false">
      <c r="A21" s="4" t="s">
        <v>94</v>
      </c>
      <c r="B21" s="10" t="n">
        <f aca="false">PROY_Indexado!B48</f>
        <v>0.02</v>
      </c>
      <c r="C21" s="4" t="s">
        <v>95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15" hidden="false" customHeight="true" outlineLevel="0" collapsed="false">
      <c r="A22" s="4" t="s">
        <v>96</v>
      </c>
      <c r="B22" s="10" t="n">
        <f aca="false">PROY_Indexado!B49</f>
        <v>0.01</v>
      </c>
      <c r="C22" s="4" t="s">
        <v>97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customFormat="false" ht="15" hidden="false" customHeight="true" outlineLevel="0" collapsed="false">
      <c r="A23" s="4" t="s">
        <v>98</v>
      </c>
      <c r="B23" s="10" t="n">
        <f aca="false">B19+B21+B22</f>
        <v>0.0633333333333333</v>
      </c>
      <c r="C23" s="4" t="s">
        <v>99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5" hidden="false" customHeight="true" outlineLevel="0" collapsed="false">
      <c r="A24" s="4" t="s">
        <v>100</v>
      </c>
      <c r="B24" s="10" t="n">
        <f aca="false">B20+B21+B22</f>
        <v>0.08</v>
      </c>
      <c r="C24" s="4" t="s">
        <v>99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customFormat="false" ht="15" hidden="false" customHeight="true" outlineLevel="0" collapsed="false">
      <c r="A25" s="4" t="s">
        <v>101</v>
      </c>
      <c r="B25" s="10" t="n">
        <f aca="false">PROY_Indexado!B47</f>
        <v>0.05</v>
      </c>
      <c r="C25" s="4" t="s">
        <v>102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5" hidden="false" customHeight="true" outlineLevel="0" collapsed="false">
      <c r="A26" s="4" t="s">
        <v>103</v>
      </c>
      <c r="B26" s="14" t="n">
        <v>10</v>
      </c>
      <c r="C26" s="4" t="s">
        <v>104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true" outlineLevel="0" collapsed="false">
      <c r="A27" s="4" t="s">
        <v>105</v>
      </c>
      <c r="B27" s="10" t="n">
        <f aca="false">1/B26</f>
        <v>0.1</v>
      </c>
      <c r="C27" s="4" t="s">
        <v>106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" hidden="false" customHeight="true" outlineLevel="0" collapsed="false">
      <c r="A28" s="4" t="s">
        <v>107</v>
      </c>
      <c r="B28" s="17" t="n">
        <v>1</v>
      </c>
      <c r="C28" s="4" t="s">
        <v>108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customFormat="false" ht="15" hidden="false" customHeight="true" outlineLevel="0" collapsed="false">
      <c r="A29" s="4" t="s">
        <v>109</v>
      </c>
      <c r="B29" s="8" t="n">
        <v>0.05</v>
      </c>
      <c r="C29" s="4" t="s">
        <v>110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5" hidden="false" customHeight="true" outlineLevel="0" collapsed="false">
      <c r="A30" s="4" t="s">
        <v>111</v>
      </c>
      <c r="B30" s="8" t="n">
        <v>0.1</v>
      </c>
      <c r="C30" s="4" t="s">
        <v>112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5" hidden="false" customHeight="true" outlineLevel="0" collapsed="false">
      <c r="A31" s="4" t="s">
        <v>113</v>
      </c>
      <c r="B31" s="8" t="n">
        <v>0.01</v>
      </c>
      <c r="C31" s="4" t="s">
        <v>114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customFormat="false" ht="15" hidden="false" customHeight="true" outlineLevel="0" collapsed="false">
      <c r="A32" s="4" t="s">
        <v>115</v>
      </c>
      <c r="B32" s="18" t="n">
        <v>0.001</v>
      </c>
      <c r="C32" s="4" t="s">
        <v>116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4" customFormat="false" ht="15" hidden="false" customHeight="false" outlineLevel="0" collapsed="false">
      <c r="A34" s="1" t="s">
        <v>117</v>
      </c>
    </row>
    <row r="35" customFormat="false" ht="15" hidden="false" customHeight="false" outlineLevel="0" collapsed="false">
      <c r="A35" s="2" t="s">
        <v>118</v>
      </c>
    </row>
    <row r="36" customFormat="false" ht="15" hidden="false" customHeight="false" outlineLevel="0" collapsed="false">
      <c r="A36" s="3" t="s">
        <v>119</v>
      </c>
      <c r="B36" s="3" t="s">
        <v>120</v>
      </c>
      <c r="C36" s="3" t="s">
        <v>121</v>
      </c>
      <c r="D36" s="3" t="s">
        <v>122</v>
      </c>
      <c r="E36" s="3" t="s">
        <v>123</v>
      </c>
      <c r="F36" s="3" t="s">
        <v>124</v>
      </c>
      <c r="G36" s="3" t="s">
        <v>125</v>
      </c>
      <c r="H36" s="3" t="s">
        <v>126</v>
      </c>
      <c r="I36" s="3" t="s">
        <v>127</v>
      </c>
      <c r="J36" s="3" t="s">
        <v>128</v>
      </c>
      <c r="K36" s="3" t="s">
        <v>129</v>
      </c>
      <c r="L36" s="3" t="s">
        <v>130</v>
      </c>
      <c r="M36" s="3" t="s">
        <v>131</v>
      </c>
      <c r="N36" s="3" t="s">
        <v>132</v>
      </c>
    </row>
    <row r="37" customFormat="false" ht="15" hidden="false" customHeight="false" outlineLevel="0" collapsed="false">
      <c r="A37" s="19" t="n">
        <v>2026</v>
      </c>
      <c r="B37" s="8" t="n">
        <f aca="false">1/12</f>
        <v>0.0833333333333333</v>
      </c>
      <c r="C37" s="8" t="n">
        <f aca="false">1/12</f>
        <v>0.0833333333333333</v>
      </c>
      <c r="D37" s="8" t="n">
        <f aca="false">1/12</f>
        <v>0.0833333333333333</v>
      </c>
      <c r="E37" s="8" t="n">
        <f aca="false">1/12</f>
        <v>0.0833333333333333</v>
      </c>
      <c r="F37" s="8" t="n">
        <f aca="false">1/12</f>
        <v>0.0833333333333333</v>
      </c>
      <c r="G37" s="8" t="n">
        <f aca="false">1/12</f>
        <v>0.0833333333333333</v>
      </c>
      <c r="H37" s="8" t="n">
        <f aca="false">1/12</f>
        <v>0.0833333333333333</v>
      </c>
      <c r="I37" s="8" t="n">
        <f aca="false">1/12</f>
        <v>0.0833333333333333</v>
      </c>
      <c r="J37" s="8" t="n">
        <f aca="false">1/12</f>
        <v>0.0833333333333333</v>
      </c>
      <c r="K37" s="8" t="n">
        <f aca="false">1/12</f>
        <v>0.0833333333333333</v>
      </c>
      <c r="L37" s="8" t="n">
        <f aca="false">1/12</f>
        <v>0.0833333333333333</v>
      </c>
      <c r="M37" s="8" t="n">
        <f aca="false">1/12</f>
        <v>0.0833333333333333</v>
      </c>
      <c r="N37" s="10" t="n">
        <f aca="false">SUM(B37:M37)</f>
        <v>1</v>
      </c>
    </row>
    <row r="38" customFormat="false" ht="15" hidden="false" customHeight="false" outlineLevel="0" collapsed="false">
      <c r="A38" s="19" t="n">
        <v>2027</v>
      </c>
      <c r="B38" s="8" t="n">
        <f aca="false">1/12</f>
        <v>0.0833333333333333</v>
      </c>
      <c r="C38" s="8" t="n">
        <f aca="false">1/12</f>
        <v>0.0833333333333333</v>
      </c>
      <c r="D38" s="8" t="n">
        <f aca="false">1/12</f>
        <v>0.0833333333333333</v>
      </c>
      <c r="E38" s="8" t="n">
        <f aca="false">1/12</f>
        <v>0.0833333333333333</v>
      </c>
      <c r="F38" s="8" t="n">
        <f aca="false">1/12</f>
        <v>0.0833333333333333</v>
      </c>
      <c r="G38" s="8" t="n">
        <f aca="false">1/12</f>
        <v>0.0833333333333333</v>
      </c>
      <c r="H38" s="8" t="n">
        <f aca="false">1/12</f>
        <v>0.0833333333333333</v>
      </c>
      <c r="I38" s="8" t="n">
        <f aca="false">1/12</f>
        <v>0.0833333333333333</v>
      </c>
      <c r="J38" s="8" t="n">
        <f aca="false">1/12</f>
        <v>0.0833333333333333</v>
      </c>
      <c r="K38" s="8" t="n">
        <f aca="false">1/12</f>
        <v>0.0833333333333333</v>
      </c>
      <c r="L38" s="8" t="n">
        <f aca="false">1/12</f>
        <v>0.0833333333333333</v>
      </c>
      <c r="M38" s="8" t="n">
        <f aca="false">1/12</f>
        <v>0.0833333333333333</v>
      </c>
      <c r="N38" s="10" t="n">
        <f aca="false">SUM(B38:M38)</f>
        <v>1</v>
      </c>
    </row>
    <row r="39" customFormat="false" ht="15" hidden="false" customHeight="false" outlineLevel="0" collapsed="false">
      <c r="A39" s="19" t="n">
        <v>2028</v>
      </c>
      <c r="B39" s="8" t="n">
        <f aca="false">1/12</f>
        <v>0.0833333333333333</v>
      </c>
      <c r="C39" s="8" t="n">
        <f aca="false">1/12</f>
        <v>0.0833333333333333</v>
      </c>
      <c r="D39" s="8" t="n">
        <f aca="false">1/12</f>
        <v>0.0833333333333333</v>
      </c>
      <c r="E39" s="8" t="n">
        <f aca="false">1/12</f>
        <v>0.0833333333333333</v>
      </c>
      <c r="F39" s="8" t="n">
        <f aca="false">1/12</f>
        <v>0.0833333333333333</v>
      </c>
      <c r="G39" s="8" t="n">
        <f aca="false">1/12</f>
        <v>0.0833333333333333</v>
      </c>
      <c r="H39" s="8" t="n">
        <f aca="false">1/12</f>
        <v>0.0833333333333333</v>
      </c>
      <c r="I39" s="8" t="n">
        <f aca="false">1/12</f>
        <v>0.0833333333333333</v>
      </c>
      <c r="J39" s="8" t="n">
        <f aca="false">1/12</f>
        <v>0.0833333333333333</v>
      </c>
      <c r="K39" s="8" t="n">
        <f aca="false">1/12</f>
        <v>0.0833333333333333</v>
      </c>
      <c r="L39" s="8" t="n">
        <f aca="false">1/12</f>
        <v>0.0833333333333333</v>
      </c>
      <c r="M39" s="8" t="n">
        <f aca="false">1/12</f>
        <v>0.0833333333333333</v>
      </c>
      <c r="N39" s="10" t="n">
        <f aca="false">SUM(B39:M39)</f>
        <v>1</v>
      </c>
    </row>
    <row r="40" customFormat="false" ht="15" hidden="false" customHeight="false" outlineLevel="0" collapsed="false">
      <c r="A40" s="19" t="n">
        <v>2029</v>
      </c>
      <c r="B40" s="8" t="n">
        <f aca="false">1/12</f>
        <v>0.0833333333333333</v>
      </c>
      <c r="C40" s="8" t="n">
        <f aca="false">1/12</f>
        <v>0.0833333333333333</v>
      </c>
      <c r="D40" s="8" t="n">
        <f aca="false">1/12</f>
        <v>0.0833333333333333</v>
      </c>
      <c r="E40" s="8" t="n">
        <f aca="false">1/12</f>
        <v>0.0833333333333333</v>
      </c>
      <c r="F40" s="8" t="n">
        <f aca="false">1/12</f>
        <v>0.0833333333333333</v>
      </c>
      <c r="G40" s="8" t="n">
        <f aca="false">1/12</f>
        <v>0.0833333333333333</v>
      </c>
      <c r="H40" s="8" t="n">
        <f aca="false">1/12</f>
        <v>0.0833333333333333</v>
      </c>
      <c r="I40" s="8" t="n">
        <f aca="false">1/12</f>
        <v>0.0833333333333333</v>
      </c>
      <c r="J40" s="8" t="n">
        <f aca="false">1/12</f>
        <v>0.0833333333333333</v>
      </c>
      <c r="K40" s="8" t="n">
        <f aca="false">1/12</f>
        <v>0.0833333333333333</v>
      </c>
      <c r="L40" s="8" t="n">
        <f aca="false">1/12</f>
        <v>0.0833333333333333</v>
      </c>
      <c r="M40" s="8" t="n">
        <f aca="false">1/12</f>
        <v>0.0833333333333333</v>
      </c>
      <c r="N40" s="10" t="n">
        <f aca="false">SUM(B40:M40)</f>
        <v>1</v>
      </c>
    </row>
    <row r="41" customFormat="false" ht="15" hidden="false" customHeight="false" outlineLevel="0" collapsed="false">
      <c r="A41" s="19" t="n">
        <v>2030</v>
      </c>
      <c r="B41" s="8" t="n">
        <f aca="false">1/12</f>
        <v>0.0833333333333333</v>
      </c>
      <c r="C41" s="8" t="n">
        <f aca="false">1/12</f>
        <v>0.0833333333333333</v>
      </c>
      <c r="D41" s="8" t="n">
        <f aca="false">1/12</f>
        <v>0.0833333333333333</v>
      </c>
      <c r="E41" s="8" t="n">
        <f aca="false">1/12</f>
        <v>0.0833333333333333</v>
      </c>
      <c r="F41" s="8" t="n">
        <f aca="false">1/12</f>
        <v>0.0833333333333333</v>
      </c>
      <c r="G41" s="8" t="n">
        <f aca="false">1/12</f>
        <v>0.0833333333333333</v>
      </c>
      <c r="H41" s="8" t="n">
        <f aca="false">1/12</f>
        <v>0.0833333333333333</v>
      </c>
      <c r="I41" s="8" t="n">
        <f aca="false">1/12</f>
        <v>0.0833333333333333</v>
      </c>
      <c r="J41" s="8" t="n">
        <f aca="false">1/12</f>
        <v>0.0833333333333333</v>
      </c>
      <c r="K41" s="8" t="n">
        <f aca="false">1/12</f>
        <v>0.0833333333333333</v>
      </c>
      <c r="L41" s="8" t="n">
        <f aca="false">1/12</f>
        <v>0.0833333333333333</v>
      </c>
      <c r="M41" s="8" t="n">
        <f aca="false">1/12</f>
        <v>0.0833333333333333</v>
      </c>
      <c r="N41" s="10" t="n">
        <f aca="false">SUM(B41:M41)</f>
        <v>1</v>
      </c>
    </row>
    <row r="42" customFormat="false" ht="15" hidden="false" customHeight="false" outlineLevel="0" collapsed="false">
      <c r="A42" s="19" t="n">
        <v>2031</v>
      </c>
      <c r="B42" s="8" t="n">
        <f aca="false">1/12</f>
        <v>0.0833333333333333</v>
      </c>
      <c r="C42" s="8" t="n">
        <f aca="false">1/12</f>
        <v>0.0833333333333333</v>
      </c>
      <c r="D42" s="8" t="n">
        <f aca="false">1/12</f>
        <v>0.0833333333333333</v>
      </c>
      <c r="E42" s="8" t="n">
        <f aca="false">1/12</f>
        <v>0.0833333333333333</v>
      </c>
      <c r="F42" s="8" t="n">
        <f aca="false">1/12</f>
        <v>0.0833333333333333</v>
      </c>
      <c r="G42" s="8" t="n">
        <f aca="false">1/12</f>
        <v>0.0833333333333333</v>
      </c>
      <c r="H42" s="8" t="n">
        <f aca="false">1/12</f>
        <v>0.0833333333333333</v>
      </c>
      <c r="I42" s="8" t="n">
        <f aca="false">1/12</f>
        <v>0.0833333333333333</v>
      </c>
      <c r="J42" s="8" t="n">
        <f aca="false">1/12</f>
        <v>0.0833333333333333</v>
      </c>
      <c r="K42" s="8" t="n">
        <f aca="false">1/12</f>
        <v>0.0833333333333333</v>
      </c>
      <c r="L42" s="8" t="n">
        <f aca="false">1/12</f>
        <v>0.0833333333333333</v>
      </c>
      <c r="M42" s="8" t="n">
        <f aca="false">1/12</f>
        <v>0.0833333333333333</v>
      </c>
      <c r="N42" s="10" t="n">
        <f aca="false">SUM(B42:M42)</f>
        <v>1</v>
      </c>
    </row>
    <row r="43" customFormat="false" ht="15" hidden="false" customHeight="false" outlineLevel="0" collapsed="false">
      <c r="A43" s="19" t="n">
        <v>2032</v>
      </c>
      <c r="B43" s="8" t="n">
        <f aca="false">1/12</f>
        <v>0.0833333333333333</v>
      </c>
      <c r="C43" s="8" t="n">
        <f aca="false">1/12</f>
        <v>0.0833333333333333</v>
      </c>
      <c r="D43" s="8" t="n">
        <f aca="false">1/12</f>
        <v>0.0833333333333333</v>
      </c>
      <c r="E43" s="8" t="n">
        <f aca="false">1/12</f>
        <v>0.0833333333333333</v>
      </c>
      <c r="F43" s="8" t="n">
        <f aca="false">1/12</f>
        <v>0.0833333333333333</v>
      </c>
      <c r="G43" s="8" t="n">
        <f aca="false">1/12</f>
        <v>0.0833333333333333</v>
      </c>
      <c r="H43" s="8" t="n">
        <f aca="false">1/12</f>
        <v>0.0833333333333333</v>
      </c>
      <c r="I43" s="8" t="n">
        <f aca="false">1/12</f>
        <v>0.0833333333333333</v>
      </c>
      <c r="J43" s="8" t="n">
        <f aca="false">1/12</f>
        <v>0.0833333333333333</v>
      </c>
      <c r="K43" s="8" t="n">
        <f aca="false">1/12</f>
        <v>0.0833333333333333</v>
      </c>
      <c r="L43" s="8" t="n">
        <f aca="false">1/12</f>
        <v>0.0833333333333333</v>
      </c>
      <c r="M43" s="8" t="n">
        <f aca="false">1/12</f>
        <v>0.0833333333333333</v>
      </c>
      <c r="N43" s="10" t="n">
        <f aca="false">SUM(B43:M43)</f>
        <v>1</v>
      </c>
    </row>
    <row r="44" customFormat="false" ht="15" hidden="false" customHeight="false" outlineLevel="0" collapsed="false">
      <c r="A44" s="19" t="n">
        <v>2033</v>
      </c>
      <c r="B44" s="8" t="n">
        <f aca="false">1/12</f>
        <v>0.0833333333333333</v>
      </c>
      <c r="C44" s="8" t="n">
        <f aca="false">1/12</f>
        <v>0.0833333333333333</v>
      </c>
      <c r="D44" s="8" t="n">
        <f aca="false">1/12</f>
        <v>0.0833333333333333</v>
      </c>
      <c r="E44" s="8" t="n">
        <f aca="false">1/12</f>
        <v>0.0833333333333333</v>
      </c>
      <c r="F44" s="8" t="n">
        <f aca="false">1/12</f>
        <v>0.0833333333333333</v>
      </c>
      <c r="G44" s="8" t="n">
        <f aca="false">1/12</f>
        <v>0.0833333333333333</v>
      </c>
      <c r="H44" s="8" t="n">
        <f aca="false">1/12</f>
        <v>0.0833333333333333</v>
      </c>
      <c r="I44" s="8" t="n">
        <f aca="false">1/12</f>
        <v>0.0833333333333333</v>
      </c>
      <c r="J44" s="8" t="n">
        <f aca="false">1/12</f>
        <v>0.0833333333333333</v>
      </c>
      <c r="K44" s="8" t="n">
        <f aca="false">1/12</f>
        <v>0.0833333333333333</v>
      </c>
      <c r="L44" s="8" t="n">
        <f aca="false">1/12</f>
        <v>0.0833333333333333</v>
      </c>
      <c r="M44" s="8" t="n">
        <f aca="false">1/12</f>
        <v>0.0833333333333333</v>
      </c>
      <c r="N44" s="10" t="n">
        <f aca="false">SUM(B44:M44)</f>
        <v>1</v>
      </c>
    </row>
    <row r="45" customFormat="false" ht="15" hidden="false" customHeight="false" outlineLevel="0" collapsed="false">
      <c r="A45" s="19" t="n">
        <v>2034</v>
      </c>
      <c r="B45" s="8" t="n">
        <f aca="false">1/12</f>
        <v>0.0833333333333333</v>
      </c>
      <c r="C45" s="8" t="n">
        <f aca="false">1/12</f>
        <v>0.0833333333333333</v>
      </c>
      <c r="D45" s="8" t="n">
        <f aca="false">1/12</f>
        <v>0.0833333333333333</v>
      </c>
      <c r="E45" s="8" t="n">
        <f aca="false">1/12</f>
        <v>0.0833333333333333</v>
      </c>
      <c r="F45" s="8" t="n">
        <f aca="false">1/12</f>
        <v>0.0833333333333333</v>
      </c>
      <c r="G45" s="8" t="n">
        <f aca="false">1/12</f>
        <v>0.0833333333333333</v>
      </c>
      <c r="H45" s="8" t="n">
        <f aca="false">1/12</f>
        <v>0.0833333333333333</v>
      </c>
      <c r="I45" s="8" t="n">
        <f aca="false">1/12</f>
        <v>0.0833333333333333</v>
      </c>
      <c r="J45" s="8" t="n">
        <f aca="false">1/12</f>
        <v>0.0833333333333333</v>
      </c>
      <c r="K45" s="8" t="n">
        <f aca="false">1/12</f>
        <v>0.0833333333333333</v>
      </c>
      <c r="L45" s="8" t="n">
        <f aca="false">1/12</f>
        <v>0.0833333333333333</v>
      </c>
      <c r="M45" s="8" t="n">
        <f aca="false">1/12</f>
        <v>0.0833333333333333</v>
      </c>
      <c r="N45" s="10" t="n">
        <f aca="false">SUM(B45:M45)</f>
        <v>1</v>
      </c>
    </row>
    <row r="46" customFormat="false" ht="15" hidden="false" customHeight="false" outlineLevel="0" collapsed="false">
      <c r="A46" s="19" t="n">
        <v>2035</v>
      </c>
      <c r="B46" s="8" t="n">
        <f aca="false">1/12</f>
        <v>0.0833333333333333</v>
      </c>
      <c r="C46" s="8" t="n">
        <f aca="false">1/12</f>
        <v>0.0833333333333333</v>
      </c>
      <c r="D46" s="8" t="n">
        <f aca="false">1/12</f>
        <v>0.0833333333333333</v>
      </c>
      <c r="E46" s="8" t="n">
        <f aca="false">1/12</f>
        <v>0.0833333333333333</v>
      </c>
      <c r="F46" s="8" t="n">
        <f aca="false">1/12</f>
        <v>0.0833333333333333</v>
      </c>
      <c r="G46" s="8" t="n">
        <f aca="false">1/12</f>
        <v>0.0833333333333333</v>
      </c>
      <c r="H46" s="8" t="n">
        <f aca="false">1/12</f>
        <v>0.0833333333333333</v>
      </c>
      <c r="I46" s="8" t="n">
        <f aca="false">1/12</f>
        <v>0.0833333333333333</v>
      </c>
      <c r="J46" s="8" t="n">
        <f aca="false">1/12</f>
        <v>0.0833333333333333</v>
      </c>
      <c r="K46" s="8" t="n">
        <f aca="false">1/12</f>
        <v>0.0833333333333333</v>
      </c>
      <c r="L46" s="8" t="n">
        <f aca="false">1/12</f>
        <v>0.0833333333333333</v>
      </c>
      <c r="M46" s="8" t="n">
        <f aca="false">1/12</f>
        <v>0.0833333333333333</v>
      </c>
      <c r="N46" s="10" t="n">
        <f aca="false">SUM(B46:M46)</f>
        <v>1</v>
      </c>
    </row>
    <row r="49" customFormat="false" ht="15" hidden="false" customHeight="false" outlineLevel="0" collapsed="false">
      <c r="A49" s="1" t="s">
        <v>133</v>
      </c>
    </row>
    <row r="50" customFormat="false" ht="35.05" hidden="false" customHeight="true" outlineLevel="0" collapsed="false">
      <c r="A50" s="3" t="s">
        <v>134</v>
      </c>
      <c r="B50" s="3" t="s">
        <v>135</v>
      </c>
      <c r="C50" s="3" t="s">
        <v>136</v>
      </c>
      <c r="D50" s="3" t="s">
        <v>137</v>
      </c>
      <c r="E50" s="3" t="s">
        <v>138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5" hidden="false" customHeight="true" outlineLevel="0" collapsed="false">
      <c r="A51" s="12" t="str">
        <f aca="false">datos_base!A2</f>
        <v>ABC 1 kg</v>
      </c>
      <c r="B51" s="12" t="s">
        <v>139</v>
      </c>
      <c r="C51" s="14" t="n">
        <v>1</v>
      </c>
      <c r="D51" s="14" t="n">
        <v>0</v>
      </c>
      <c r="E51" s="4" t="s">
        <v>140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customFormat="false" ht="15" hidden="false" customHeight="true" outlineLevel="0" collapsed="false">
      <c r="A52" s="12" t="str">
        <f aca="false">datos_base!A3</f>
        <v>ABC 2,5 kg</v>
      </c>
      <c r="B52" s="12" t="s">
        <v>139</v>
      </c>
      <c r="C52" s="14" t="n">
        <v>1</v>
      </c>
      <c r="D52" s="14" t="n">
        <v>0</v>
      </c>
      <c r="E52" s="4" t="s">
        <v>141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customFormat="false" ht="15" hidden="false" customHeight="true" outlineLevel="0" collapsed="false">
      <c r="A53" s="12" t="str">
        <f aca="false">datos_base!A4</f>
        <v>ABC 5 kg</v>
      </c>
      <c r="B53" s="12" t="s">
        <v>139</v>
      </c>
      <c r="C53" s="14" t="n">
        <v>1</v>
      </c>
      <c r="D53" s="14" t="n">
        <v>0</v>
      </c>
      <c r="E53" s="4" t="s">
        <v>141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customFormat="false" ht="15" hidden="false" customHeight="true" outlineLevel="0" collapsed="false">
      <c r="A54" s="12" t="str">
        <f aca="false">datos_base!A5</f>
        <v>ABC 10 kg</v>
      </c>
      <c r="B54" s="12" t="s">
        <v>139</v>
      </c>
      <c r="C54" s="14" t="n">
        <v>1</v>
      </c>
      <c r="D54" s="14" t="n">
        <v>0</v>
      </c>
      <c r="E54" s="4" t="s">
        <v>141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customFormat="false" ht="15" hidden="false" customHeight="true" outlineLevel="0" collapsed="false">
      <c r="A55" s="12" t="str">
        <f aca="false">datos_base!A6</f>
        <v>Agua 10 l</v>
      </c>
      <c r="B55" s="12" t="s">
        <v>142</v>
      </c>
      <c r="C55" s="14" t="n">
        <v>1</v>
      </c>
      <c r="D55" s="14" t="n">
        <v>0</v>
      </c>
      <c r="E55" s="4" t="s">
        <v>141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customFormat="false" ht="15" hidden="false" customHeight="true" outlineLevel="0" collapsed="false">
      <c r="A56" s="12" t="str">
        <f aca="false">datos_base!A7</f>
        <v>AFFF 10 l</v>
      </c>
      <c r="B56" s="12" t="s">
        <v>143</v>
      </c>
      <c r="C56" s="14" t="n">
        <v>1</v>
      </c>
      <c r="D56" s="14" t="n">
        <v>0</v>
      </c>
      <c r="E56" s="4" t="s">
        <v>141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customFormat="false" ht="15" hidden="false" customHeight="true" outlineLevel="0" collapsed="false">
      <c r="A57" s="12" t="str">
        <f aca="false">datos_base!A8</f>
        <v>AFFF 50 l s/ruedas</v>
      </c>
      <c r="B57" s="12" t="s">
        <v>143</v>
      </c>
      <c r="C57" s="16" t="n">
        <f aca="false">$B$9</f>
        <v>3</v>
      </c>
      <c r="D57" s="14" t="n">
        <v>1</v>
      </c>
      <c r="E57" s="4" t="s">
        <v>144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customFormat="false" ht="15" hidden="false" customHeight="true" outlineLevel="0" collapsed="false">
      <c r="A58" s="12" t="str">
        <f aca="false">datos_base!A9</f>
        <v>BC 5 kg</v>
      </c>
      <c r="B58" s="12" t="s">
        <v>145</v>
      </c>
      <c r="C58" s="14" t="n">
        <v>1</v>
      </c>
      <c r="D58" s="14" t="n">
        <v>0</v>
      </c>
      <c r="E58" s="4" t="s">
        <v>141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customFormat="false" ht="15" hidden="false" customHeight="true" outlineLevel="0" collapsed="false">
      <c r="A59" s="12" t="str">
        <f aca="false">datos_base!A10</f>
        <v>Sales K 6 l</v>
      </c>
      <c r="B59" s="12" t="s">
        <v>146</v>
      </c>
      <c r="C59" s="14" t="n">
        <v>1</v>
      </c>
      <c r="D59" s="14" t="n">
        <v>0</v>
      </c>
      <c r="E59" s="4" t="s">
        <v>141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customFormat="false" ht="15" hidden="false" customHeight="true" outlineLevel="0" collapsed="false">
      <c r="A60" s="12" t="str">
        <f aca="false">datos_base!A11</f>
        <v>CO₂ 2 kg</v>
      </c>
      <c r="B60" s="12" t="s">
        <v>147</v>
      </c>
      <c r="C60" s="14" t="n">
        <v>1</v>
      </c>
      <c r="D60" s="14" t="n">
        <v>0</v>
      </c>
      <c r="E60" s="4" t="s">
        <v>148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customFormat="false" ht="15" hidden="false" customHeight="true" outlineLevel="0" collapsed="false">
      <c r="A61" s="12" t="str">
        <f aca="false">datos_base!A12</f>
        <v>CO₂ 5 kg</v>
      </c>
      <c r="B61" s="12" t="s">
        <v>147</v>
      </c>
      <c r="C61" s="14" t="n">
        <v>1</v>
      </c>
      <c r="D61" s="14" t="n">
        <v>1</v>
      </c>
      <c r="E61" s="4" t="s">
        <v>149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customFormat="false" ht="15" hidden="false" customHeight="true" outlineLevel="0" collapsed="false">
      <c r="A62" s="12" t="str">
        <f aca="false">datos_base!A13</f>
        <v>HCFC/HFC 5 kg</v>
      </c>
      <c r="B62" s="12" t="s">
        <v>150</v>
      </c>
      <c r="C62" s="14" t="n">
        <v>1</v>
      </c>
      <c r="D62" s="14" t="n">
        <v>0</v>
      </c>
      <c r="E62" s="4" t="s">
        <v>141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customFormat="false" ht="15" hidden="false" customHeight="true" outlineLevel="0" collapsed="false">
      <c r="A63" s="12" t="str">
        <f aca="false">datos_base!A14</f>
        <v>Clase D 9 l</v>
      </c>
      <c r="B63" s="12" t="s">
        <v>151</v>
      </c>
      <c r="C63" s="14" t="n">
        <v>1</v>
      </c>
      <c r="D63" s="14" t="n">
        <v>0</v>
      </c>
      <c r="E63" s="4" t="s">
        <v>141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customFormat="false" ht="15" hidden="false" customHeight="true" outlineLevel="0" collapsed="false">
      <c r="A64" s="12" t="str">
        <f aca="false">datos_base!A15</f>
        <v>ABC 25 kg s/ruedas</v>
      </c>
      <c r="B64" s="12" t="s">
        <v>139</v>
      </c>
      <c r="C64" s="16" t="n">
        <f aca="false">$B$9</f>
        <v>3</v>
      </c>
      <c r="D64" s="14" t="n">
        <v>1</v>
      </c>
      <c r="E64" s="4" t="s">
        <v>152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customFormat="false" ht="15" hidden="false" customHeight="true" outlineLevel="0" collapsed="false">
      <c r="A65" s="12" t="str">
        <f aca="false">datos_base!A16</f>
        <v>ABC 50 kg s/ruedas</v>
      </c>
      <c r="B65" s="12" t="s">
        <v>139</v>
      </c>
      <c r="C65" s="16" t="n">
        <f aca="false">$B$9</f>
        <v>3</v>
      </c>
      <c r="D65" s="14" t="n">
        <v>1</v>
      </c>
      <c r="E65" s="4" t="s">
        <v>152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customFormat="false" ht="15" hidden="false" customHeight="true" outlineLevel="0" collapsed="false">
      <c r="A66" s="12" t="str">
        <f aca="false">datos_base!A17</f>
        <v>ABC 70 kg s/ruedas</v>
      </c>
      <c r="B66" s="12" t="s">
        <v>139</v>
      </c>
      <c r="C66" s="16" t="n">
        <f aca="false">$B$9</f>
        <v>3</v>
      </c>
      <c r="D66" s="14" t="n">
        <v>1</v>
      </c>
      <c r="E66" s="4" t="s">
        <v>152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customFormat="false" ht="15" hidden="false" customHeight="true" outlineLevel="0" collapsed="false">
      <c r="A67" s="12" t="str">
        <f aca="false">datos_base!A18</f>
        <v>ABC 100 kg s/ruedas</v>
      </c>
      <c r="B67" s="12" t="s">
        <v>139</v>
      </c>
      <c r="C67" s="16" t="n">
        <f aca="false">$B$9</f>
        <v>3</v>
      </c>
      <c r="D67" s="14" t="n">
        <v>1</v>
      </c>
      <c r="E67" s="4" t="s">
        <v>152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70" customFormat="false" ht="15" hidden="false" customHeight="false" outlineLevel="0" collapsed="false">
      <c r="A70" s="1" t="s">
        <v>153</v>
      </c>
    </row>
    <row r="71" customFormat="false" ht="35.05" hidden="false" customHeight="false" outlineLevel="0" collapsed="false">
      <c r="A71" s="3" t="s">
        <v>154</v>
      </c>
      <c r="B71" s="3" t="s">
        <v>155</v>
      </c>
      <c r="C71" s="3" t="s">
        <v>156</v>
      </c>
      <c r="D71" s="3" t="s">
        <v>157</v>
      </c>
      <c r="E71" s="3" t="s">
        <v>139</v>
      </c>
      <c r="F71" s="3" t="s">
        <v>145</v>
      </c>
      <c r="G71" s="3" t="s">
        <v>151</v>
      </c>
      <c r="H71" s="3" t="s">
        <v>142</v>
      </c>
      <c r="I71" s="3" t="s">
        <v>143</v>
      </c>
      <c r="J71" s="3" t="s">
        <v>146</v>
      </c>
      <c r="K71" s="3" t="s">
        <v>147</v>
      </c>
      <c r="L71" s="3" t="s">
        <v>150</v>
      </c>
      <c r="M71" s="3" t="s">
        <v>158</v>
      </c>
      <c r="N71" s="3" t="s">
        <v>159</v>
      </c>
      <c r="O71" s="3" t="s">
        <v>160</v>
      </c>
      <c r="P71" s="3" t="s">
        <v>161</v>
      </c>
      <c r="Q71" s="3" t="s">
        <v>162</v>
      </c>
    </row>
    <row r="72" customFormat="false" ht="23.85" hidden="false" customHeight="false" outlineLevel="0" collapsed="false">
      <c r="A72" s="19" t="n">
        <v>1</v>
      </c>
      <c r="B72" s="4" t="s">
        <v>163</v>
      </c>
      <c r="C72" s="4" t="s">
        <v>164</v>
      </c>
      <c r="D72" s="9" t="s">
        <v>165</v>
      </c>
      <c r="E72" s="11" t="n">
        <v>1</v>
      </c>
      <c r="F72" s="11" t="n">
        <v>1</v>
      </c>
      <c r="G72" s="11" t="n">
        <v>1</v>
      </c>
      <c r="H72" s="11" t="n">
        <v>1</v>
      </c>
      <c r="I72" s="11" t="n">
        <v>1</v>
      </c>
      <c r="J72" s="11" t="n">
        <v>1</v>
      </c>
      <c r="K72" s="11" t="n">
        <v>1</v>
      </c>
      <c r="L72" s="11" t="n">
        <v>1</v>
      </c>
      <c r="M72" s="14" t="n">
        <f aca="false">12.5+12.5+40+10</f>
        <v>75</v>
      </c>
      <c r="N72" s="20" t="n">
        <f aca="false">IF(M72&gt;0,3600/M72,0)</f>
        <v>48</v>
      </c>
      <c r="O72" s="7" t="n">
        <f aca="false">N72*$B$6</f>
        <v>7200</v>
      </c>
      <c r="P72" s="4" t="s">
        <v>166</v>
      </c>
      <c r="Q72" s="4"/>
    </row>
    <row r="73" customFormat="false" ht="15" hidden="false" customHeight="false" outlineLevel="0" collapsed="false">
      <c r="A73" s="19" t="n">
        <v>2</v>
      </c>
      <c r="B73" s="4" t="s">
        <v>167</v>
      </c>
      <c r="C73" s="4" t="s">
        <v>168</v>
      </c>
      <c r="D73" s="9" t="s">
        <v>165</v>
      </c>
      <c r="E73" s="11" t="n">
        <v>1</v>
      </c>
      <c r="F73" s="11" t="n">
        <v>1</v>
      </c>
      <c r="G73" s="11" t="n">
        <v>1</v>
      </c>
      <c r="H73" s="11" t="n">
        <v>1</v>
      </c>
      <c r="I73" s="11" t="n">
        <v>1</v>
      </c>
      <c r="J73" s="11" t="n">
        <v>1</v>
      </c>
      <c r="K73" s="11" t="n">
        <v>1</v>
      </c>
      <c r="L73" s="11" t="n">
        <v>1</v>
      </c>
      <c r="M73" s="14" t="n">
        <f aca="false">5+30+25+10+15+5</f>
        <v>90</v>
      </c>
      <c r="N73" s="20" t="n">
        <f aca="false">IF(M73&gt;0,3600/M73,0)</f>
        <v>40</v>
      </c>
      <c r="O73" s="7" t="n">
        <f aca="false">N73*$B$6</f>
        <v>6000</v>
      </c>
      <c r="P73" s="4" t="s">
        <v>169</v>
      </c>
      <c r="Q73" s="4" t="s">
        <v>170</v>
      </c>
    </row>
    <row r="74" customFormat="false" ht="15" hidden="false" customHeight="false" outlineLevel="0" collapsed="false">
      <c r="A74" s="19" t="n">
        <v>3</v>
      </c>
      <c r="B74" s="4" t="s">
        <v>171</v>
      </c>
      <c r="C74" s="4" t="s">
        <v>172</v>
      </c>
      <c r="D74" s="9" t="s">
        <v>173</v>
      </c>
      <c r="E74" s="11" t="n">
        <f aca="false">1-$B$25-$B$27</f>
        <v>0.85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4" t="n">
        <f aca="false">15+60+10</f>
        <v>85</v>
      </c>
      <c r="N74" s="20" t="n">
        <f aca="false">IF(M74&gt;0,3600/M74,0)</f>
        <v>42.3529411764706</v>
      </c>
      <c r="O74" s="7" t="n">
        <f aca="false">N74*$B$6</f>
        <v>6352.94117647059</v>
      </c>
      <c r="P74" s="4" t="s">
        <v>174</v>
      </c>
      <c r="Q74" s="4"/>
    </row>
    <row r="75" customFormat="false" ht="15" hidden="false" customHeight="false" outlineLevel="0" collapsed="false">
      <c r="A75" s="19" t="n">
        <v>4</v>
      </c>
      <c r="B75" s="4" t="s">
        <v>175</v>
      </c>
      <c r="C75" s="4" t="s">
        <v>176</v>
      </c>
      <c r="D75" s="9" t="s">
        <v>173</v>
      </c>
      <c r="E75" s="11" t="n">
        <f aca="false">$B$27</f>
        <v>0.1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4" t="n">
        <f aca="false">15+60+10</f>
        <v>85</v>
      </c>
      <c r="N75" s="20" t="n">
        <f aca="false">IF(M75&gt;0,3600/M75,0)</f>
        <v>42.3529411764706</v>
      </c>
      <c r="O75" s="7" t="n">
        <f aca="false">N75*$B$6</f>
        <v>6352.94117647059</v>
      </c>
      <c r="P75" s="4" t="s">
        <v>177</v>
      </c>
      <c r="Q75" s="4"/>
    </row>
    <row r="76" customFormat="false" ht="15" hidden="false" customHeight="false" outlineLevel="0" collapsed="false">
      <c r="A76" s="19" t="n">
        <v>5</v>
      </c>
      <c r="B76" s="4" t="s">
        <v>178</v>
      </c>
      <c r="C76" s="4" t="s">
        <v>179</v>
      </c>
      <c r="D76" s="9" t="s">
        <v>173</v>
      </c>
      <c r="E76" s="11" t="n">
        <v>0</v>
      </c>
      <c r="F76" s="11" t="n">
        <v>1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4" t="n">
        <f aca="false">15+60+10</f>
        <v>85</v>
      </c>
      <c r="N76" s="20" t="n">
        <f aca="false">IF(M76&gt;0,3600/M76,0)</f>
        <v>42.3529411764706</v>
      </c>
      <c r="O76" s="7" t="n">
        <f aca="false">N76*$B$6</f>
        <v>6352.94117647059</v>
      </c>
      <c r="P76" s="4" t="s">
        <v>180</v>
      </c>
      <c r="Q76" s="4"/>
    </row>
    <row r="77" customFormat="false" ht="15" hidden="false" customHeight="false" outlineLevel="0" collapsed="false">
      <c r="A77" s="19" t="n">
        <v>6</v>
      </c>
      <c r="B77" s="4" t="s">
        <v>181</v>
      </c>
      <c r="C77" s="4" t="s">
        <v>182</v>
      </c>
      <c r="D77" s="9" t="s">
        <v>173</v>
      </c>
      <c r="E77" s="11" t="n">
        <v>0</v>
      </c>
      <c r="F77" s="11" t="n">
        <v>0</v>
      </c>
      <c r="G77" s="11" t="n">
        <v>0</v>
      </c>
      <c r="H77" s="11" t="n">
        <f aca="false">$B$28</f>
        <v>1</v>
      </c>
      <c r="I77" s="11" t="n">
        <f aca="false">$B$28</f>
        <v>1</v>
      </c>
      <c r="J77" s="11" t="n">
        <f aca="false">$B$28</f>
        <v>1</v>
      </c>
      <c r="K77" s="11" t="n">
        <v>0</v>
      </c>
      <c r="L77" s="11" t="n">
        <v>0</v>
      </c>
      <c r="M77" s="14" t="n">
        <f aca="false">10+10+15+60+10</f>
        <v>105</v>
      </c>
      <c r="N77" s="20" t="n">
        <f aca="false">IF(M77&gt;0,3600/M77,0)</f>
        <v>34.2857142857143</v>
      </c>
      <c r="O77" s="7" t="n">
        <f aca="false">N77*$B$6</f>
        <v>5142.85714285714</v>
      </c>
      <c r="P77" s="4" t="s">
        <v>183</v>
      </c>
      <c r="Q77" s="4" t="s">
        <v>184</v>
      </c>
    </row>
    <row r="78" customFormat="false" ht="23.85" hidden="false" customHeight="false" outlineLevel="0" collapsed="false">
      <c r="A78" s="19" t="n">
        <v>7</v>
      </c>
      <c r="B78" s="4" t="s">
        <v>185</v>
      </c>
      <c r="C78" s="4" t="s">
        <v>186</v>
      </c>
      <c r="D78" s="9" t="s">
        <v>173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f aca="false">$B$15+$B$29</f>
        <v>0.25</v>
      </c>
      <c r="L78" s="11" t="n">
        <v>0</v>
      </c>
      <c r="M78" s="14" t="n">
        <f aca="false">20+20+120+20+15+10</f>
        <v>205</v>
      </c>
      <c r="N78" s="20" t="n">
        <f aca="false">IF(M78&gt;0,3600/M78,0)</f>
        <v>17.5609756097561</v>
      </c>
      <c r="O78" s="7" t="n">
        <f aca="false">N78*$B$6</f>
        <v>2634.14634146342</v>
      </c>
      <c r="P78" s="4" t="s">
        <v>187</v>
      </c>
      <c r="Q78" s="4"/>
    </row>
    <row r="79" customFormat="false" ht="23.85" hidden="false" customHeight="false" outlineLevel="0" collapsed="false">
      <c r="A79" s="19" t="n">
        <v>8</v>
      </c>
      <c r="B79" s="4" t="s">
        <v>188</v>
      </c>
      <c r="C79" s="4" t="s">
        <v>189</v>
      </c>
      <c r="D79" s="9" t="s">
        <v>173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f aca="false">$B$15+$B$25</f>
        <v>0.25</v>
      </c>
      <c r="M79" s="14" t="n">
        <f aca="false">60+20+30+300+40+15</f>
        <v>465</v>
      </c>
      <c r="N79" s="20" t="n">
        <f aca="false">IF(M79&gt;0,3600/M79,0)</f>
        <v>7.74193548387097</v>
      </c>
      <c r="O79" s="7" t="n">
        <f aca="false">N79*$B$6</f>
        <v>1161.29032258065</v>
      </c>
      <c r="P79" s="4" t="s">
        <v>190</v>
      </c>
      <c r="Q79" s="4"/>
    </row>
    <row r="80" customFormat="false" ht="23.85" hidden="false" customHeight="false" outlineLevel="0" collapsed="false">
      <c r="A80" s="19" t="n">
        <v>9</v>
      </c>
      <c r="B80" s="4" t="s">
        <v>191</v>
      </c>
      <c r="C80" s="4" t="s">
        <v>192</v>
      </c>
      <c r="D80" s="9" t="s">
        <v>165</v>
      </c>
      <c r="E80" s="11" t="n">
        <v>1</v>
      </c>
      <c r="F80" s="11" t="n">
        <v>1</v>
      </c>
      <c r="G80" s="11" t="n">
        <v>1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4" t="n">
        <f aca="false">5+30+5+10+20+120*$B$15+5</f>
        <v>99</v>
      </c>
      <c r="N80" s="20" t="n">
        <f aca="false">IF(M80&gt;0,3600/M80,0)</f>
        <v>36.3636363636364</v>
      </c>
      <c r="O80" s="7" t="n">
        <f aca="false">N80*$B$6</f>
        <v>5454.54545454546</v>
      </c>
      <c r="P80" s="4" t="s">
        <v>193</v>
      </c>
      <c r="Q80" s="4" t="s">
        <v>194</v>
      </c>
    </row>
    <row r="81" customFormat="false" ht="15" hidden="false" customHeight="false" outlineLevel="0" collapsed="false">
      <c r="A81" s="19" t="n">
        <v>10</v>
      </c>
      <c r="B81" s="4" t="s">
        <v>195</v>
      </c>
      <c r="C81" s="4" t="s">
        <v>196</v>
      </c>
      <c r="D81" s="9" t="s">
        <v>165</v>
      </c>
      <c r="E81" s="11" t="n">
        <v>0</v>
      </c>
      <c r="F81" s="11" t="n">
        <v>0</v>
      </c>
      <c r="G81" s="11" t="n">
        <v>0</v>
      </c>
      <c r="H81" s="11" t="n">
        <f aca="false">$B$28</f>
        <v>1</v>
      </c>
      <c r="I81" s="11" t="n">
        <f aca="false">$B$28</f>
        <v>1</v>
      </c>
      <c r="J81" s="11" t="n">
        <f aca="false">$B$28</f>
        <v>1</v>
      </c>
      <c r="K81" s="11" t="n">
        <f aca="false">$B$15+$B$29</f>
        <v>0.25</v>
      </c>
      <c r="L81" s="11" t="n">
        <f aca="false">$B$15+$B$25</f>
        <v>0.25</v>
      </c>
      <c r="M81" s="14" t="n">
        <f aca="false">10+40+60+90*0.4+15+15</f>
        <v>176</v>
      </c>
      <c r="N81" s="20" t="n">
        <f aca="false">IF(M81&gt;0,3600/M81,0)</f>
        <v>20.4545454545455</v>
      </c>
      <c r="O81" s="7" t="n">
        <f aca="false">N81*$B$6</f>
        <v>3068.18181818182</v>
      </c>
      <c r="P81" s="4" t="s">
        <v>197</v>
      </c>
      <c r="Q81" s="4"/>
    </row>
    <row r="82" customFormat="false" ht="15" hidden="false" customHeight="false" outlineLevel="0" collapsed="false">
      <c r="A82" s="19" t="n">
        <v>11</v>
      </c>
      <c r="B82" s="4" t="s">
        <v>198</v>
      </c>
      <c r="C82" s="4" t="s">
        <v>199</v>
      </c>
      <c r="D82" s="9" t="s">
        <v>173</v>
      </c>
      <c r="E82" s="11" t="n">
        <f aca="false">$B$32</f>
        <v>0.001</v>
      </c>
      <c r="F82" s="11" t="n">
        <f aca="false">$B$32</f>
        <v>0.001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4" t="n">
        <f aca="false">300+600+1800+60+120+300</f>
        <v>3180</v>
      </c>
      <c r="N82" s="20" t="n">
        <f aca="false">IF(M82&gt;0,3600/M82,0)</f>
        <v>1.13207547169811</v>
      </c>
      <c r="O82" s="7" t="n">
        <f aca="false">N82*$B$6</f>
        <v>169.811320754717</v>
      </c>
      <c r="P82" s="4" t="s">
        <v>200</v>
      </c>
      <c r="Q82" s="4"/>
    </row>
    <row r="83" customFormat="false" ht="23.85" hidden="false" customHeight="false" outlineLevel="0" collapsed="false">
      <c r="A83" s="19" t="n">
        <v>12</v>
      </c>
      <c r="B83" s="4" t="s">
        <v>201</v>
      </c>
      <c r="C83" s="4" t="s">
        <v>202</v>
      </c>
      <c r="D83" s="9" t="s">
        <v>173</v>
      </c>
      <c r="E83" s="11" t="n">
        <f aca="false">$B$15</f>
        <v>0.2</v>
      </c>
      <c r="F83" s="11" t="n">
        <f aca="false">$B$15</f>
        <v>0.2</v>
      </c>
      <c r="G83" s="11" t="n">
        <f aca="false">$B$15</f>
        <v>0.2</v>
      </c>
      <c r="H83" s="11" t="n">
        <f aca="false">$B$16</f>
        <v>0.5</v>
      </c>
      <c r="I83" s="11" t="n">
        <f aca="false">$B$16</f>
        <v>0.5</v>
      </c>
      <c r="J83" s="11" t="n">
        <f aca="false">$B$16</f>
        <v>0.5</v>
      </c>
      <c r="K83" s="11" t="n">
        <f aca="false">$B$15</f>
        <v>0.2</v>
      </c>
      <c r="L83" s="11" t="n">
        <f aca="false">$B$15</f>
        <v>0.2</v>
      </c>
      <c r="M83" s="14" t="n">
        <f aca="false">12+20+90+90+75+15</f>
        <v>302</v>
      </c>
      <c r="N83" s="20" t="n">
        <f aca="false">IF(M83&gt;0,3600/M83,0)</f>
        <v>11.9205298013245</v>
      </c>
      <c r="O83" s="7" t="n">
        <f aca="false">N83*$B$6</f>
        <v>1788.07947019868</v>
      </c>
      <c r="P83" s="4" t="s">
        <v>203</v>
      </c>
      <c r="Q83" s="4"/>
    </row>
    <row r="84" customFormat="false" ht="15" hidden="false" customHeight="false" outlineLevel="0" collapsed="false">
      <c r="A84" s="19" t="n">
        <v>13</v>
      </c>
      <c r="B84" s="4" t="s">
        <v>204</v>
      </c>
      <c r="C84" s="4" t="s">
        <v>205</v>
      </c>
      <c r="D84" s="9" t="s">
        <v>173</v>
      </c>
      <c r="E84" s="11" t="n">
        <f aca="false">$B$15+$B$31</f>
        <v>0.21</v>
      </c>
      <c r="F84" s="11" t="n">
        <f aca="false">$B$15+$B$31</f>
        <v>0.21</v>
      </c>
      <c r="G84" s="11" t="n">
        <f aca="false">$B$15+$B$31</f>
        <v>0.21</v>
      </c>
      <c r="H84" s="11" t="n">
        <v>0</v>
      </c>
      <c r="I84" s="11" t="n">
        <v>0</v>
      </c>
      <c r="J84" s="11" t="n">
        <v>0</v>
      </c>
      <c r="K84" s="11" t="n">
        <f aca="false">$B$15</f>
        <v>0.2</v>
      </c>
      <c r="L84" s="11" t="n">
        <f aca="false">$B$15</f>
        <v>0.2</v>
      </c>
      <c r="M84" s="14" t="n">
        <f aca="false">15+15*60/6+15</f>
        <v>180</v>
      </c>
      <c r="N84" s="20" t="n">
        <f aca="false">IF(M84&gt;0,3600/M84,0)</f>
        <v>20</v>
      </c>
      <c r="O84" s="7" t="n">
        <f aca="false">N84*$B$6</f>
        <v>3000</v>
      </c>
      <c r="P84" s="4" t="s">
        <v>206</v>
      </c>
      <c r="Q84" s="4" t="s">
        <v>207</v>
      </c>
    </row>
    <row r="85" customFormat="false" ht="15" hidden="false" customHeight="false" outlineLevel="0" collapsed="false">
      <c r="A85" s="19" t="n">
        <v>14</v>
      </c>
      <c r="B85" s="4" t="s">
        <v>208</v>
      </c>
      <c r="C85" s="4" t="s">
        <v>209</v>
      </c>
      <c r="D85" s="9" t="s">
        <v>165</v>
      </c>
      <c r="E85" s="11" t="n">
        <f aca="false">$B$15+$B$31</f>
        <v>0.21</v>
      </c>
      <c r="F85" s="11" t="n">
        <f aca="false">$B$15+$B$31</f>
        <v>0.21</v>
      </c>
      <c r="G85" s="11" t="n">
        <f aca="false">$B$15+$B$31</f>
        <v>0.21</v>
      </c>
      <c r="H85" s="11" t="n">
        <v>0</v>
      </c>
      <c r="I85" s="11" t="n">
        <v>0</v>
      </c>
      <c r="J85" s="11" t="n">
        <v>0</v>
      </c>
      <c r="K85" s="11" t="n">
        <f aca="false">$B$15</f>
        <v>0.2</v>
      </c>
      <c r="L85" s="11" t="n">
        <f aca="false">$B$15</f>
        <v>0.2</v>
      </c>
      <c r="M85" s="14" t="n">
        <f aca="false">60+15+10</f>
        <v>85</v>
      </c>
      <c r="N85" s="20" t="n">
        <f aca="false">IF(M85&gt;0,3600/M85,0)</f>
        <v>42.3529411764706</v>
      </c>
      <c r="O85" s="7" t="n">
        <f aca="false">N85*$B$6</f>
        <v>6352.94117647059</v>
      </c>
      <c r="P85" s="4" t="s">
        <v>210</v>
      </c>
      <c r="Q85" s="4"/>
    </row>
    <row r="86" customFormat="false" ht="23.85" hidden="false" customHeight="false" outlineLevel="0" collapsed="false">
      <c r="A86" s="19" t="n">
        <v>15</v>
      </c>
      <c r="B86" s="4" t="s">
        <v>211</v>
      </c>
      <c r="C86" s="4" t="s">
        <v>212</v>
      </c>
      <c r="D86" s="9" t="s">
        <v>173</v>
      </c>
      <c r="E86" s="11" t="n">
        <f aca="false">$B$30</f>
        <v>0.1</v>
      </c>
      <c r="F86" s="11" t="n">
        <f aca="false">$B$30</f>
        <v>0.1</v>
      </c>
      <c r="G86" s="11" t="n">
        <f aca="false">$B$30</f>
        <v>0.1</v>
      </c>
      <c r="H86" s="11" t="n">
        <f aca="false">$B$30</f>
        <v>0.1</v>
      </c>
      <c r="I86" s="11" t="n">
        <f aca="false">$B$30</f>
        <v>0.1</v>
      </c>
      <c r="J86" s="11" t="n">
        <f aca="false">$B$30</f>
        <v>0.1</v>
      </c>
      <c r="K86" s="11" t="n">
        <f aca="false">$B$30</f>
        <v>0.1</v>
      </c>
      <c r="L86" s="11" t="n">
        <f aca="false">$B$30</f>
        <v>0.1</v>
      </c>
      <c r="M86" s="14" t="n">
        <v>750</v>
      </c>
      <c r="N86" s="20" t="n">
        <f aca="false">IF(M86&gt;0,3600/M86,0)</f>
        <v>4.8</v>
      </c>
      <c r="O86" s="7" t="n">
        <f aca="false">N86*$B$6</f>
        <v>720</v>
      </c>
      <c r="P86" s="4"/>
      <c r="Q86" s="4" t="s">
        <v>213</v>
      </c>
    </row>
    <row r="87" customFormat="false" ht="15" hidden="false" customHeight="false" outlineLevel="0" collapsed="false">
      <c r="A87" s="19" t="n">
        <v>16</v>
      </c>
      <c r="B87" s="4" t="s">
        <v>214</v>
      </c>
      <c r="C87" s="4" t="s">
        <v>215</v>
      </c>
      <c r="D87" s="9" t="s">
        <v>173</v>
      </c>
      <c r="E87" s="11" t="n">
        <v>1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4" t="n">
        <f aca="false">6+15+45+15+15+10</f>
        <v>106</v>
      </c>
      <c r="N87" s="20" t="n">
        <f aca="false">IF(M87&gt;0,3600/M87,0)</f>
        <v>33.9622641509434</v>
      </c>
      <c r="O87" s="7" t="n">
        <f aca="false">N87*$B$6</f>
        <v>5094.33962264151</v>
      </c>
      <c r="P87" s="4" t="s">
        <v>216</v>
      </c>
      <c r="Q87" s="4" t="s">
        <v>217</v>
      </c>
    </row>
    <row r="88" customFormat="false" ht="15" hidden="false" customHeight="false" outlineLevel="0" collapsed="false">
      <c r="A88" s="19" t="n">
        <v>17</v>
      </c>
      <c r="B88" s="4" t="s">
        <v>218</v>
      </c>
      <c r="C88" s="4" t="s">
        <v>219</v>
      </c>
      <c r="D88" s="9" t="s">
        <v>173</v>
      </c>
      <c r="E88" s="11" t="n">
        <v>0</v>
      </c>
      <c r="F88" s="11" t="n">
        <v>1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4" t="n">
        <f aca="false">10+15+75+15+15+10</f>
        <v>140</v>
      </c>
      <c r="N88" s="20" t="n">
        <f aca="false">IF(M88&gt;0,3600/M88,0)</f>
        <v>25.7142857142857</v>
      </c>
      <c r="O88" s="7" t="n">
        <f aca="false">N88*$B$6</f>
        <v>3857.14285714286</v>
      </c>
      <c r="P88" s="4" t="s">
        <v>220</v>
      </c>
      <c r="Q88" s="4"/>
    </row>
    <row r="89" customFormat="false" ht="15" hidden="false" customHeight="false" outlineLevel="0" collapsed="false">
      <c r="A89" s="19" t="n">
        <v>18</v>
      </c>
      <c r="B89" s="4" t="s">
        <v>221</v>
      </c>
      <c r="C89" s="4" t="s">
        <v>222</v>
      </c>
      <c r="D89" s="9" t="s">
        <v>165</v>
      </c>
      <c r="E89" s="11" t="n">
        <v>0</v>
      </c>
      <c r="F89" s="11" t="n">
        <v>0</v>
      </c>
      <c r="G89" s="11" t="n">
        <v>1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4" t="n">
        <f aca="false">180+15+240+30+15+10</f>
        <v>490</v>
      </c>
      <c r="N89" s="20" t="n">
        <f aca="false">IF(M89&gt;0,3600/M89,0)</f>
        <v>7.3469387755102</v>
      </c>
      <c r="O89" s="7" t="n">
        <f aca="false">N89*$B$6</f>
        <v>1102.04081632653</v>
      </c>
      <c r="P89" s="4" t="s">
        <v>223</v>
      </c>
      <c r="Q89" s="4" t="s">
        <v>224</v>
      </c>
    </row>
    <row r="90" customFormat="false" ht="23.85" hidden="false" customHeight="false" outlineLevel="0" collapsed="false">
      <c r="A90" s="19" t="n">
        <v>19</v>
      </c>
      <c r="B90" s="4" t="s">
        <v>225</v>
      </c>
      <c r="C90" s="4" t="s">
        <v>226</v>
      </c>
      <c r="D90" s="9" t="s">
        <v>173</v>
      </c>
      <c r="E90" s="11" t="n">
        <v>0</v>
      </c>
      <c r="F90" s="11" t="n">
        <v>0</v>
      </c>
      <c r="G90" s="11" t="n">
        <v>0</v>
      </c>
      <c r="H90" s="11" t="n">
        <f aca="false">$B$28</f>
        <v>1</v>
      </c>
      <c r="I90" s="11" t="n">
        <f aca="false">$B$28</f>
        <v>1</v>
      </c>
      <c r="J90" s="11" t="n">
        <f aca="false">$B$28</f>
        <v>1</v>
      </c>
      <c r="K90" s="11" t="n">
        <v>0</v>
      </c>
      <c r="L90" s="11" t="n">
        <v>0</v>
      </c>
      <c r="M90" s="14" t="n">
        <f aca="false">20+10+30+15+15+10</f>
        <v>100</v>
      </c>
      <c r="N90" s="20" t="n">
        <f aca="false">IF(M90&gt;0,3600/M90,0)</f>
        <v>36</v>
      </c>
      <c r="O90" s="7" t="n">
        <f aca="false">N90*$B$6</f>
        <v>5400</v>
      </c>
      <c r="P90" s="4" t="s">
        <v>227</v>
      </c>
      <c r="Q90" s="4"/>
    </row>
    <row r="91" customFormat="false" ht="15" hidden="false" customHeight="false" outlineLevel="0" collapsed="false">
      <c r="A91" s="19" t="n">
        <v>20</v>
      </c>
      <c r="B91" s="4" t="s">
        <v>228</v>
      </c>
      <c r="C91" s="4" t="s">
        <v>229</v>
      </c>
      <c r="D91" s="9" t="s">
        <v>173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f aca="false">$B$15+$B$29+$B$25</f>
        <v>0.3</v>
      </c>
      <c r="L91" s="11" t="n">
        <v>0</v>
      </c>
      <c r="M91" s="14" t="n">
        <f aca="false">30+10+15+150+25+10</f>
        <v>240</v>
      </c>
      <c r="N91" s="20" t="n">
        <f aca="false">IF(M91&gt;0,3600/M91,0)</f>
        <v>15</v>
      </c>
      <c r="O91" s="7" t="n">
        <f aca="false">N91*$B$6</f>
        <v>2250</v>
      </c>
      <c r="P91" s="4" t="s">
        <v>230</v>
      </c>
      <c r="Q91" s="4"/>
    </row>
    <row r="92" customFormat="false" ht="15" hidden="false" customHeight="false" outlineLevel="0" collapsed="false">
      <c r="A92" s="19" t="n">
        <v>21</v>
      </c>
      <c r="B92" s="4" t="s">
        <v>231</v>
      </c>
      <c r="C92" s="4" t="s">
        <v>232</v>
      </c>
      <c r="D92" s="9" t="s">
        <v>165</v>
      </c>
      <c r="E92" s="11" t="n">
        <v>1</v>
      </c>
      <c r="F92" s="11" t="n">
        <v>1</v>
      </c>
      <c r="G92" s="11" t="n">
        <v>1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4" t="n">
        <f aca="false">10+30+20+10+30+20</f>
        <v>120</v>
      </c>
      <c r="N92" s="20" t="n">
        <f aca="false">IF(M92&gt;0,3600/M92,0)</f>
        <v>30</v>
      </c>
      <c r="O92" s="7" t="n">
        <f aca="false">N92*$B$6</f>
        <v>4500</v>
      </c>
      <c r="P92" s="4" t="s">
        <v>233</v>
      </c>
      <c r="Q92" s="4"/>
    </row>
    <row r="93" customFormat="false" ht="15" hidden="false" customHeight="false" outlineLevel="0" collapsed="false">
      <c r="A93" s="19" t="n">
        <v>22</v>
      </c>
      <c r="B93" s="4" t="s">
        <v>234</v>
      </c>
      <c r="C93" s="4" t="s">
        <v>235</v>
      </c>
      <c r="D93" s="9" t="s">
        <v>173</v>
      </c>
      <c r="E93" s="11" t="n">
        <v>1</v>
      </c>
      <c r="F93" s="11" t="n">
        <v>1</v>
      </c>
      <c r="G93" s="11" t="n">
        <v>1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4" t="n">
        <f aca="false">3+15+10+20+15+10</f>
        <v>73</v>
      </c>
      <c r="N93" s="20" t="n">
        <f aca="false">IF(M93&gt;0,3600/M93,0)</f>
        <v>49.3150684931507</v>
      </c>
      <c r="O93" s="7" t="n">
        <f aca="false">N93*$B$6</f>
        <v>7397.2602739726</v>
      </c>
      <c r="P93" s="4" t="s">
        <v>236</v>
      </c>
      <c r="Q93" s="4"/>
    </row>
    <row r="94" customFormat="false" ht="15" hidden="false" customHeight="false" outlineLevel="0" collapsed="false">
      <c r="A94" s="19" t="n">
        <v>23</v>
      </c>
      <c r="B94" s="4" t="s">
        <v>237</v>
      </c>
      <c r="C94" s="4" t="s">
        <v>238</v>
      </c>
      <c r="D94" s="9" t="s">
        <v>165</v>
      </c>
      <c r="E94" s="11" t="n">
        <v>0</v>
      </c>
      <c r="F94" s="11" t="n">
        <v>0</v>
      </c>
      <c r="G94" s="11" t="n">
        <v>0</v>
      </c>
      <c r="H94" s="11" t="n">
        <f aca="false">$B$28</f>
        <v>1</v>
      </c>
      <c r="I94" s="11" t="n">
        <f aca="false">$B$28</f>
        <v>1</v>
      </c>
      <c r="J94" s="11" t="n">
        <f aca="false">$B$28</f>
        <v>1</v>
      </c>
      <c r="K94" s="11" t="n">
        <f aca="false">$B$15+$B$29</f>
        <v>0.25</v>
      </c>
      <c r="L94" s="11" t="n">
        <f aca="false">$B$15+$B$25</f>
        <v>0.25</v>
      </c>
      <c r="M94" s="14" t="n">
        <f aca="false">120+50</f>
        <v>170</v>
      </c>
      <c r="N94" s="20" t="n">
        <f aca="false">IF(M94&gt;0,3600/M94,0)</f>
        <v>21.1764705882353</v>
      </c>
      <c r="O94" s="7" t="n">
        <f aca="false">N94*$B$6</f>
        <v>3176.47058823529</v>
      </c>
      <c r="P94" s="4" t="s">
        <v>239</v>
      </c>
      <c r="Q94" s="4"/>
    </row>
    <row r="95" customFormat="false" ht="15" hidden="false" customHeight="false" outlineLevel="0" collapsed="false">
      <c r="A95" s="19" t="n">
        <v>24</v>
      </c>
      <c r="B95" s="4" t="s">
        <v>240</v>
      </c>
      <c r="C95" s="4" t="s">
        <v>241</v>
      </c>
      <c r="D95" s="9" t="s">
        <v>173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f aca="false">$B$15+$B$25</f>
        <v>0.25</v>
      </c>
      <c r="M95" s="14" t="n">
        <f aca="false">300+40+60+30</f>
        <v>430</v>
      </c>
      <c r="N95" s="20" t="n">
        <f aca="false">IF(M95&gt;0,3600/M95,0)</f>
        <v>8.37209302325582</v>
      </c>
      <c r="O95" s="7" t="n">
        <f aca="false">N95*$B$6</f>
        <v>1255.81395348837</v>
      </c>
      <c r="P95" s="4" t="s">
        <v>242</v>
      </c>
      <c r="Q95" s="4"/>
    </row>
    <row r="96" customFormat="false" ht="23.85" hidden="false" customHeight="false" outlineLevel="0" collapsed="false">
      <c r="A96" s="19" t="n">
        <v>25</v>
      </c>
      <c r="B96" s="4" t="s">
        <v>243</v>
      </c>
      <c r="C96" s="4" t="s">
        <v>244</v>
      </c>
      <c r="D96" s="9" t="s">
        <v>165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f aca="false">1-($B$15+$B$29+$B$25)</f>
        <v>0.7</v>
      </c>
      <c r="L96" s="11" t="n">
        <f aca="false">1-($B$15+$B$25)</f>
        <v>0.75</v>
      </c>
      <c r="M96" s="14" t="n">
        <f aca="false">30+10</f>
        <v>40</v>
      </c>
      <c r="N96" s="20" t="n">
        <f aca="false">IF(M96&gt;0,3600/M96,0)</f>
        <v>90</v>
      </c>
      <c r="O96" s="7" t="n">
        <f aca="false">N96*$B$6</f>
        <v>13500</v>
      </c>
      <c r="P96" s="4" t="s">
        <v>245</v>
      </c>
      <c r="Q96" s="4" t="s">
        <v>246</v>
      </c>
    </row>
    <row r="97" customFormat="false" ht="23.85" hidden="false" customHeight="false" outlineLevel="0" collapsed="false">
      <c r="A97" s="19" t="n">
        <v>26</v>
      </c>
      <c r="B97" s="4" t="s">
        <v>247</v>
      </c>
      <c r="C97" s="4" t="s">
        <v>248</v>
      </c>
      <c r="D97" s="9" t="s">
        <v>173</v>
      </c>
      <c r="E97" s="11" t="n">
        <v>1</v>
      </c>
      <c r="F97" s="11" t="n">
        <v>1</v>
      </c>
      <c r="G97" s="11" t="n">
        <v>1</v>
      </c>
      <c r="H97" s="11" t="n">
        <v>1</v>
      </c>
      <c r="I97" s="11" t="n">
        <v>1</v>
      </c>
      <c r="J97" s="11" t="n">
        <v>1</v>
      </c>
      <c r="K97" s="11" t="n">
        <v>1</v>
      </c>
      <c r="L97" s="11" t="n">
        <v>1</v>
      </c>
      <c r="M97" s="14" t="n">
        <f aca="false">5+45+10+10+10</f>
        <v>80</v>
      </c>
      <c r="N97" s="20" t="n">
        <f aca="false">IF(M97&gt;0,3600/M97,0)</f>
        <v>45</v>
      </c>
      <c r="O97" s="7" t="n">
        <f aca="false">N97*$B$6</f>
        <v>6750</v>
      </c>
      <c r="P97" s="4" t="s">
        <v>249</v>
      </c>
      <c r="Q97" s="4"/>
    </row>
    <row r="98" customFormat="false" ht="15" hidden="false" customHeight="false" outlineLevel="0" collapsed="false">
      <c r="A98" s="19" t="n">
        <v>27</v>
      </c>
      <c r="B98" s="4" t="s">
        <v>250</v>
      </c>
      <c r="C98" s="4" t="s">
        <v>251</v>
      </c>
      <c r="D98" s="9" t="s">
        <v>165</v>
      </c>
      <c r="E98" s="11" t="n">
        <v>1</v>
      </c>
      <c r="F98" s="11" t="n">
        <v>1</v>
      </c>
      <c r="G98" s="11" t="n">
        <v>1</v>
      </c>
      <c r="H98" s="11" t="n">
        <v>1</v>
      </c>
      <c r="I98" s="11" t="n">
        <v>1</v>
      </c>
      <c r="J98" s="11" t="n">
        <v>1</v>
      </c>
      <c r="K98" s="11" t="n">
        <v>1</v>
      </c>
      <c r="L98" s="11" t="n">
        <v>1</v>
      </c>
      <c r="M98" s="14" t="n">
        <f aca="false">15+25+15+10+15+6</f>
        <v>86</v>
      </c>
      <c r="N98" s="20" t="n">
        <f aca="false">IF(M98&gt;0,3600/M98,0)</f>
        <v>41.8604651162791</v>
      </c>
      <c r="O98" s="7" t="n">
        <f aca="false">N98*$B$6</f>
        <v>6279.06976744186</v>
      </c>
      <c r="P98" s="4" t="s">
        <v>252</v>
      </c>
      <c r="Q98" s="4" t="s">
        <v>253</v>
      </c>
    </row>
    <row r="99" customFormat="false" ht="15" hidden="false" customHeight="false" outlineLevel="0" collapsed="false">
      <c r="A99" s="19" t="n">
        <v>28</v>
      </c>
      <c r="B99" s="4" t="s">
        <v>254</v>
      </c>
      <c r="C99" s="4" t="s">
        <v>255</v>
      </c>
      <c r="D99" s="9" t="s">
        <v>173</v>
      </c>
      <c r="E99" s="11" t="n">
        <f aca="false">$B$24</f>
        <v>0.08</v>
      </c>
      <c r="F99" s="11" t="n">
        <f aca="false">$B$24</f>
        <v>0.08</v>
      </c>
      <c r="G99" s="11" t="n">
        <f aca="false">$B$24</f>
        <v>0.08</v>
      </c>
      <c r="H99" s="11" t="n">
        <f aca="false">$B$24</f>
        <v>0.08</v>
      </c>
      <c r="I99" s="11" t="n">
        <f aca="false">$B$24</f>
        <v>0.08</v>
      </c>
      <c r="J99" s="11" t="n">
        <f aca="false">$B$24</f>
        <v>0.08</v>
      </c>
      <c r="K99" s="11" t="n">
        <f aca="false">$B$23</f>
        <v>0.0633333333333333</v>
      </c>
      <c r="L99" s="11" t="n">
        <f aca="false">$B$24</f>
        <v>0.08</v>
      </c>
      <c r="M99" s="14" t="n">
        <f aca="false">30+120+90+60+90</f>
        <v>390</v>
      </c>
      <c r="N99" s="20" t="n">
        <f aca="false">IF(M99&gt;0,3600/M99,0)</f>
        <v>9.23076923076923</v>
      </c>
      <c r="O99" s="7" t="n">
        <f aca="false">N99*$B$6</f>
        <v>1384.61538461538</v>
      </c>
      <c r="P99" s="4" t="s">
        <v>256</v>
      </c>
      <c r="Q99" s="4" t="s">
        <v>257</v>
      </c>
    </row>
    <row r="100" customFormat="false" ht="35.05" hidden="false" customHeight="false" outlineLevel="0" collapsed="false">
      <c r="A100" s="19" t="n">
        <v>29</v>
      </c>
      <c r="B100" s="4" t="s">
        <v>258</v>
      </c>
      <c r="C100" s="4" t="s">
        <v>259</v>
      </c>
      <c r="D100" s="9" t="s">
        <v>173</v>
      </c>
      <c r="E100" s="12" t="s">
        <v>260</v>
      </c>
      <c r="F100" s="12" t="s">
        <v>260</v>
      </c>
      <c r="G100" s="12" t="s">
        <v>260</v>
      </c>
      <c r="H100" s="12" t="s">
        <v>260</v>
      </c>
      <c r="I100" s="12" t="s">
        <v>260</v>
      </c>
      <c r="J100" s="12" t="s">
        <v>260</v>
      </c>
      <c r="K100" s="12" t="s">
        <v>260</v>
      </c>
      <c r="L100" s="12" t="s">
        <v>260</v>
      </c>
      <c r="M100" s="14" t="n">
        <f aca="false">12+20+90+90+75+15</f>
        <v>302</v>
      </c>
      <c r="N100" s="20" t="n">
        <f aca="false">IF(M100&gt;0,3600/M100,0)</f>
        <v>11.9205298013245</v>
      </c>
      <c r="O100" s="7" t="n">
        <f aca="false">N100*$B$6</f>
        <v>1788.07947019868</v>
      </c>
      <c r="P100" s="4" t="s">
        <v>261</v>
      </c>
      <c r="Q100" s="4" t="s">
        <v>262</v>
      </c>
    </row>
    <row r="102" customFormat="false" ht="23.85" hidden="false" customHeight="false" outlineLevel="0" collapsed="false">
      <c r="A102" s="12" t="s">
        <v>260</v>
      </c>
      <c r="B102" s="4" t="s">
        <v>263</v>
      </c>
      <c r="C102" s="4" t="s">
        <v>264</v>
      </c>
      <c r="M102" s="14" t="n">
        <v>60</v>
      </c>
      <c r="N102" s="20" t="n">
        <f aca="false">IF(M102&gt;0,3600/M102,0)</f>
        <v>60</v>
      </c>
      <c r="Q102" s="4" t="s">
        <v>265</v>
      </c>
    </row>
  </sheetData>
  <mergeCells count="48">
    <mergeCell ref="C1:P1"/>
    <mergeCell ref="C2:P2"/>
    <mergeCell ref="C3:P3"/>
    <mergeCell ref="C4:P4"/>
    <mergeCell ref="C5:P5"/>
    <mergeCell ref="C6:P6"/>
    <mergeCell ref="C7:P7"/>
    <mergeCell ref="C8:P8"/>
    <mergeCell ref="C9:P9"/>
    <mergeCell ref="C12:P12"/>
    <mergeCell ref="C13:P13"/>
    <mergeCell ref="C14:P14"/>
    <mergeCell ref="C15:P15"/>
    <mergeCell ref="C16:P16"/>
    <mergeCell ref="C17:P17"/>
    <mergeCell ref="C18:P18"/>
    <mergeCell ref="C19:P19"/>
    <mergeCell ref="C20:P20"/>
    <mergeCell ref="C21:P21"/>
    <mergeCell ref="C22:P22"/>
    <mergeCell ref="C23:P23"/>
    <mergeCell ref="C24:P24"/>
    <mergeCell ref="C25:P25"/>
    <mergeCell ref="C26:P26"/>
    <mergeCell ref="C27:P27"/>
    <mergeCell ref="C28:P28"/>
    <mergeCell ref="C29:P29"/>
    <mergeCell ref="C30:P30"/>
    <mergeCell ref="C31:P31"/>
    <mergeCell ref="C32:P32"/>
    <mergeCell ref="E50:P50"/>
    <mergeCell ref="E51:P51"/>
    <mergeCell ref="E52:P52"/>
    <mergeCell ref="E53:P53"/>
    <mergeCell ref="E54:P54"/>
    <mergeCell ref="E55:P55"/>
    <mergeCell ref="E56:P56"/>
    <mergeCell ref="E57:P57"/>
    <mergeCell ref="E58:P58"/>
    <mergeCell ref="E59:P59"/>
    <mergeCell ref="E60:P60"/>
    <mergeCell ref="E61:P61"/>
    <mergeCell ref="E62:P62"/>
    <mergeCell ref="E63:P63"/>
    <mergeCell ref="E64:P64"/>
    <mergeCell ref="E65:P65"/>
    <mergeCell ref="E66:P66"/>
    <mergeCell ref="E67:P67"/>
  </mergeCells>
  <dataValidations count="2">
    <dataValidation allowBlank="false" errorStyle="stop" operator="between" showDropDown="false" showErrorMessage="false" showInputMessage="false" sqref="B51:B67" type="list">
      <formula1>$E$71:$L$71</formula1>
      <formula2>0</formula2>
    </dataValidation>
    <dataValidation allowBlank="false" errorStyle="stop" operator="between" showDropDown="false" showErrorMessage="false" showInputMessage="false" sqref="D72:D100" type="list">
      <formula1>"Máquina,Manual,Tercerizado"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5" min="3" style="0" width="9"/>
    <col collapsed="false" customWidth="true" hidden="false" outlineLevel="0" max="16" min="16" style="0" width="10"/>
    <col collapsed="false" customWidth="true" hidden="false" outlineLevel="0" max="17" min="17" style="0" width="14"/>
  </cols>
  <sheetData>
    <row r="1" customFormat="false" ht="23.85" hidden="false" customHeight="false" outlineLevel="0" collapsed="false">
      <c r="A1" s="21" t="n">
        <v>2026</v>
      </c>
      <c r="B1" s="3" t="s">
        <v>266</v>
      </c>
      <c r="C1" s="3" t="s">
        <v>267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268</v>
      </c>
    </row>
    <row r="2" customFormat="false" ht="15" hidden="false" customHeight="false" outlineLevel="0" collapsed="false">
      <c r="A2" s="12" t="str">
        <f aca="false">parametros_recargas!A51</f>
        <v>ABC 1 kg</v>
      </c>
      <c r="B2" s="12" t="str">
        <f aca="false">parametros_recargas!B51</f>
        <v>ABC</v>
      </c>
      <c r="C2" s="22" t="n">
        <f aca="false">parametros_recargas!C51</f>
        <v>1</v>
      </c>
      <c r="D2" s="23" t="n">
        <f aca="false">datos_base!$B$2*parametros_recargas!$B$37+sobrestock_sustitutos!$B$175/12</f>
        <v>206.262069024314</v>
      </c>
      <c r="E2" s="23" t="n">
        <f aca="false">datos_base!$B$2*parametros_recargas!$C$37+sobrestock_sustitutos!$B$175/12</f>
        <v>206.262069024314</v>
      </c>
      <c r="F2" s="23" t="n">
        <f aca="false">datos_base!$B$2*parametros_recargas!$D$37+sobrestock_sustitutos!$B$175/12</f>
        <v>206.262069024314</v>
      </c>
      <c r="G2" s="23" t="n">
        <f aca="false">datos_base!$B$2*parametros_recargas!$E$37+sobrestock_sustitutos!$B$175/12</f>
        <v>206.262069024314</v>
      </c>
      <c r="H2" s="23" t="n">
        <f aca="false">datos_base!$B$2*parametros_recargas!$F$37+sobrestock_sustitutos!$B$175/12</f>
        <v>206.262069024314</v>
      </c>
      <c r="I2" s="23" t="n">
        <f aca="false">datos_base!$B$2*parametros_recargas!$G$37+sobrestock_sustitutos!$B$175/12</f>
        <v>206.262069024314</v>
      </c>
      <c r="J2" s="23" t="n">
        <f aca="false">datos_base!$B$2*parametros_recargas!$H$37+sobrestock_sustitutos!$B$175/12</f>
        <v>206.262069024314</v>
      </c>
      <c r="K2" s="23" t="n">
        <f aca="false">datos_base!$B$2*parametros_recargas!$I$37+sobrestock_sustitutos!$B$175/12</f>
        <v>206.262069024314</v>
      </c>
      <c r="L2" s="23" t="n">
        <f aca="false">datos_base!$B$2*parametros_recargas!$J$37+sobrestock_sustitutos!$B$175/12</f>
        <v>206.262069024314</v>
      </c>
      <c r="M2" s="23" t="n">
        <f aca="false">datos_base!$B$2*parametros_recargas!$K$37+sobrestock_sustitutos!$B$175/12</f>
        <v>206.262069024314</v>
      </c>
      <c r="N2" s="23" t="n">
        <f aca="false">datos_base!$B$2*parametros_recargas!$L$37+sobrestock_sustitutos!$B$175/12</f>
        <v>206.262069024314</v>
      </c>
      <c r="O2" s="23" t="n">
        <f aca="false">datos_base!$B$2*parametros_recargas!$M$37+sobrestock_sustitutos!$B$175/12</f>
        <v>206.262069024314</v>
      </c>
      <c r="P2" s="7" t="n">
        <f aca="false">SUM(D2:O2)</f>
        <v>2475.14482829177</v>
      </c>
      <c r="Q2" s="13" t="n">
        <f aca="false">sobrestock_sustitutos!$B$175</f>
        <v>0</v>
      </c>
    </row>
    <row r="3" customFormat="false" ht="15" hidden="false" customHeight="false" outlineLevel="0" collapsed="false">
      <c r="A3" s="12" t="str">
        <f aca="false">parametros_recargas!A52</f>
        <v>ABC 2,5 kg</v>
      </c>
      <c r="B3" s="12" t="str">
        <f aca="false">parametros_recargas!B52</f>
        <v>ABC</v>
      </c>
      <c r="C3" s="22" t="n">
        <f aca="false">parametros_recargas!C52</f>
        <v>1</v>
      </c>
      <c r="D3" s="23" t="n">
        <f aca="false">datos_base!$B$3*parametros_recargas!$B$37+sobrestock_sustitutos!$B$176/12</f>
        <v>19.5732984630031</v>
      </c>
      <c r="E3" s="23" t="n">
        <f aca="false">datos_base!$B$3*parametros_recargas!$C$37+sobrestock_sustitutos!$B$176/12</f>
        <v>19.5732984630031</v>
      </c>
      <c r="F3" s="23" t="n">
        <f aca="false">datos_base!$B$3*parametros_recargas!$D$37+sobrestock_sustitutos!$B$176/12</f>
        <v>19.5732984630031</v>
      </c>
      <c r="G3" s="23" t="n">
        <f aca="false">datos_base!$B$3*parametros_recargas!$E$37+sobrestock_sustitutos!$B$176/12</f>
        <v>19.5732984630031</v>
      </c>
      <c r="H3" s="23" t="n">
        <f aca="false">datos_base!$B$3*parametros_recargas!$F$37+sobrestock_sustitutos!$B$176/12</f>
        <v>19.5732984630031</v>
      </c>
      <c r="I3" s="23" t="n">
        <f aca="false">datos_base!$B$3*parametros_recargas!$G$37+sobrestock_sustitutos!$B$176/12</f>
        <v>19.5732984630031</v>
      </c>
      <c r="J3" s="23" t="n">
        <f aca="false">datos_base!$B$3*parametros_recargas!$H$37+sobrestock_sustitutos!$B$176/12</f>
        <v>19.5732984630031</v>
      </c>
      <c r="K3" s="23" t="n">
        <f aca="false">datos_base!$B$3*parametros_recargas!$I$37+sobrestock_sustitutos!$B$176/12</f>
        <v>19.5732984630031</v>
      </c>
      <c r="L3" s="23" t="n">
        <f aca="false">datos_base!$B$3*parametros_recargas!$J$37+sobrestock_sustitutos!$B$176/12</f>
        <v>19.5732984630031</v>
      </c>
      <c r="M3" s="23" t="n">
        <f aca="false">datos_base!$B$3*parametros_recargas!$K$37+sobrestock_sustitutos!$B$176/12</f>
        <v>19.5732984630031</v>
      </c>
      <c r="N3" s="23" t="n">
        <f aca="false">datos_base!$B$3*parametros_recargas!$L$37+sobrestock_sustitutos!$B$176/12</f>
        <v>19.5732984630031</v>
      </c>
      <c r="O3" s="23" t="n">
        <f aca="false">datos_base!$B$3*parametros_recargas!$M$37+sobrestock_sustitutos!$B$176/12</f>
        <v>19.5732984630031</v>
      </c>
      <c r="P3" s="7" t="n">
        <f aca="false">SUM(D3:O3)</f>
        <v>234.879581556037</v>
      </c>
      <c r="Q3" s="13" t="n">
        <f aca="false">sobrestock_sustitutos!$B$176</f>
        <v>0</v>
      </c>
    </row>
    <row r="4" customFormat="false" ht="15" hidden="false" customHeight="false" outlineLevel="0" collapsed="false">
      <c r="A4" s="12" t="str">
        <f aca="false">parametros_recargas!A53</f>
        <v>ABC 5 kg</v>
      </c>
      <c r="B4" s="12" t="str">
        <f aca="false">parametros_recargas!B53</f>
        <v>ABC</v>
      </c>
      <c r="C4" s="22" t="n">
        <f aca="false">parametros_recargas!C53</f>
        <v>1</v>
      </c>
      <c r="D4" s="23" t="n">
        <f aca="false">datos_base!$B$4*parametros_recargas!$B$37+sobrestock_sustitutos!$B$177/12</f>
        <v>115.684943161488</v>
      </c>
      <c r="E4" s="23" t="n">
        <f aca="false">datos_base!$B$4*parametros_recargas!$C$37+sobrestock_sustitutos!$B$177/12</f>
        <v>115.684943161488</v>
      </c>
      <c r="F4" s="23" t="n">
        <f aca="false">datos_base!$B$4*parametros_recargas!$D$37+sobrestock_sustitutos!$B$177/12</f>
        <v>115.684943161488</v>
      </c>
      <c r="G4" s="23" t="n">
        <f aca="false">datos_base!$B$4*parametros_recargas!$E$37+sobrestock_sustitutos!$B$177/12</f>
        <v>115.684943161488</v>
      </c>
      <c r="H4" s="23" t="n">
        <f aca="false">datos_base!$B$4*parametros_recargas!$F$37+sobrestock_sustitutos!$B$177/12</f>
        <v>115.684943161488</v>
      </c>
      <c r="I4" s="23" t="n">
        <f aca="false">datos_base!$B$4*parametros_recargas!$G$37+sobrestock_sustitutos!$B$177/12</f>
        <v>115.684943161488</v>
      </c>
      <c r="J4" s="23" t="n">
        <f aca="false">datos_base!$B$4*parametros_recargas!$H$37+sobrestock_sustitutos!$B$177/12</f>
        <v>115.684943161488</v>
      </c>
      <c r="K4" s="23" t="n">
        <f aca="false">datos_base!$B$4*parametros_recargas!$I$37+sobrestock_sustitutos!$B$177/12</f>
        <v>115.684943161488</v>
      </c>
      <c r="L4" s="23" t="n">
        <f aca="false">datos_base!$B$4*parametros_recargas!$J$37+sobrestock_sustitutos!$B$177/12</f>
        <v>115.684943161488</v>
      </c>
      <c r="M4" s="23" t="n">
        <f aca="false">datos_base!$B$4*parametros_recargas!$K$37+sobrestock_sustitutos!$B$177/12</f>
        <v>115.684943161488</v>
      </c>
      <c r="N4" s="23" t="n">
        <f aca="false">datos_base!$B$4*parametros_recargas!$L$37+sobrestock_sustitutos!$B$177/12</f>
        <v>115.684943161488</v>
      </c>
      <c r="O4" s="23" t="n">
        <f aca="false">datos_base!$B$4*parametros_recargas!$M$37+sobrestock_sustitutos!$B$177/12</f>
        <v>115.684943161488</v>
      </c>
      <c r="P4" s="7" t="n">
        <f aca="false">SUM(D4:O4)</f>
        <v>1388.21931793785</v>
      </c>
      <c r="Q4" s="13" t="n">
        <f aca="false">sobrestock_sustitutos!$B$177</f>
        <v>0</v>
      </c>
    </row>
    <row r="5" customFormat="false" ht="15" hidden="false" customHeight="false" outlineLevel="0" collapsed="false">
      <c r="A5" s="12" t="str">
        <f aca="false">parametros_recargas!A54</f>
        <v>ABC 10 kg</v>
      </c>
      <c r="B5" s="12" t="str">
        <f aca="false">parametros_recargas!B54</f>
        <v>ABC</v>
      </c>
      <c r="C5" s="22" t="n">
        <f aca="false">parametros_recargas!C54</f>
        <v>1</v>
      </c>
      <c r="D5" s="23" t="n">
        <f aca="false">datos_base!$B$5*parametros_recargas!$B$37+sobrestock_sustitutos!$B$178/12</f>
        <v>7.01938975435897</v>
      </c>
      <c r="E5" s="23" t="n">
        <f aca="false">datos_base!$B$5*parametros_recargas!$C$37+sobrestock_sustitutos!$B$178/12</f>
        <v>7.01938975435897</v>
      </c>
      <c r="F5" s="23" t="n">
        <f aca="false">datos_base!$B$5*parametros_recargas!$D$37+sobrestock_sustitutos!$B$178/12</f>
        <v>7.01938975435897</v>
      </c>
      <c r="G5" s="23" t="n">
        <f aca="false">datos_base!$B$5*parametros_recargas!$E$37+sobrestock_sustitutos!$B$178/12</f>
        <v>7.01938975435897</v>
      </c>
      <c r="H5" s="23" t="n">
        <f aca="false">datos_base!$B$5*parametros_recargas!$F$37+sobrestock_sustitutos!$B$178/12</f>
        <v>7.01938975435897</v>
      </c>
      <c r="I5" s="23" t="n">
        <f aca="false">datos_base!$B$5*parametros_recargas!$G$37+sobrestock_sustitutos!$B$178/12</f>
        <v>7.01938975435897</v>
      </c>
      <c r="J5" s="23" t="n">
        <f aca="false">datos_base!$B$5*parametros_recargas!$H$37+sobrestock_sustitutos!$B$178/12</f>
        <v>7.01938975435897</v>
      </c>
      <c r="K5" s="23" t="n">
        <f aca="false">datos_base!$B$5*parametros_recargas!$I$37+sobrestock_sustitutos!$B$178/12</f>
        <v>7.01938975435897</v>
      </c>
      <c r="L5" s="23" t="n">
        <f aca="false">datos_base!$B$5*parametros_recargas!$J$37+sobrestock_sustitutos!$B$178/12</f>
        <v>7.01938975435897</v>
      </c>
      <c r="M5" s="23" t="n">
        <f aca="false">datos_base!$B$5*parametros_recargas!$K$37+sobrestock_sustitutos!$B$178/12</f>
        <v>7.01938975435897</v>
      </c>
      <c r="N5" s="23" t="n">
        <f aca="false">datos_base!$B$5*parametros_recargas!$L$37+sobrestock_sustitutos!$B$178/12</f>
        <v>7.01938975435897</v>
      </c>
      <c r="O5" s="23" t="n">
        <f aca="false">datos_base!$B$5*parametros_recargas!$M$37+sobrestock_sustitutos!$B$178/12</f>
        <v>7.01938975435897</v>
      </c>
      <c r="P5" s="7" t="n">
        <f aca="false">SUM(D5:O5)</f>
        <v>84.2326770523076</v>
      </c>
      <c r="Q5" s="13" t="n">
        <f aca="false">sobrestock_sustitutos!$B$178</f>
        <v>0</v>
      </c>
    </row>
    <row r="6" customFormat="false" ht="15" hidden="false" customHeight="false" outlineLevel="0" collapsed="false">
      <c r="A6" s="12" t="str">
        <f aca="false">parametros_recargas!A55</f>
        <v>Agua 10 l</v>
      </c>
      <c r="B6" s="12" t="str">
        <f aca="false">parametros_recargas!B55</f>
        <v>Agua</v>
      </c>
      <c r="C6" s="22" t="n">
        <f aca="false">parametros_recargas!C55</f>
        <v>1</v>
      </c>
      <c r="D6" s="23" t="n">
        <f aca="false">datos_base!$B$6*parametros_recargas!$B$37+sobrestock_sustitutos!$B$179/12</f>
        <v>9.44917855198392</v>
      </c>
      <c r="E6" s="23" t="n">
        <f aca="false">datos_base!$B$6*parametros_recargas!$C$37+sobrestock_sustitutos!$B$179/12</f>
        <v>9.44917855198392</v>
      </c>
      <c r="F6" s="23" t="n">
        <f aca="false">datos_base!$B$6*parametros_recargas!$D$37+sobrestock_sustitutos!$B$179/12</f>
        <v>9.44917855198392</v>
      </c>
      <c r="G6" s="23" t="n">
        <f aca="false">datos_base!$B$6*parametros_recargas!$E$37+sobrestock_sustitutos!$B$179/12</f>
        <v>9.44917855198392</v>
      </c>
      <c r="H6" s="23" t="n">
        <f aca="false">datos_base!$B$6*parametros_recargas!$F$37+sobrestock_sustitutos!$B$179/12</f>
        <v>9.44917855198392</v>
      </c>
      <c r="I6" s="23" t="n">
        <f aca="false">datos_base!$B$6*parametros_recargas!$G$37+sobrestock_sustitutos!$B$179/12</f>
        <v>9.44917855198392</v>
      </c>
      <c r="J6" s="23" t="n">
        <f aca="false">datos_base!$B$6*parametros_recargas!$H$37+sobrestock_sustitutos!$B$179/12</f>
        <v>9.44917855198392</v>
      </c>
      <c r="K6" s="23" t="n">
        <f aca="false">datos_base!$B$6*parametros_recargas!$I$37+sobrestock_sustitutos!$B$179/12</f>
        <v>9.44917855198392</v>
      </c>
      <c r="L6" s="23" t="n">
        <f aca="false">datos_base!$B$6*parametros_recargas!$J$37+sobrestock_sustitutos!$B$179/12</f>
        <v>9.44917855198392</v>
      </c>
      <c r="M6" s="23" t="n">
        <f aca="false">datos_base!$B$6*parametros_recargas!$K$37+sobrestock_sustitutos!$B$179/12</f>
        <v>9.44917855198392</v>
      </c>
      <c r="N6" s="23" t="n">
        <f aca="false">datos_base!$B$6*parametros_recargas!$L$37+sobrestock_sustitutos!$B$179/12</f>
        <v>9.44917855198392</v>
      </c>
      <c r="O6" s="23" t="n">
        <f aca="false">datos_base!$B$6*parametros_recargas!$M$37+sobrestock_sustitutos!$B$179/12</f>
        <v>9.44917855198392</v>
      </c>
      <c r="P6" s="7" t="n">
        <f aca="false">SUM(D6:O6)</f>
        <v>113.390142623807</v>
      </c>
      <c r="Q6" s="13" t="n">
        <f aca="false">sobrestock_sustitutos!$B$179</f>
        <v>0</v>
      </c>
    </row>
    <row r="7" customFormat="false" ht="15" hidden="false" customHeight="false" outlineLevel="0" collapsed="false">
      <c r="A7" s="12" t="str">
        <f aca="false">parametros_recargas!A56</f>
        <v>AFFF 10 l</v>
      </c>
      <c r="B7" s="12" t="str">
        <f aca="false">parametros_recargas!B56</f>
        <v>AFFF</v>
      </c>
      <c r="C7" s="22" t="n">
        <f aca="false">parametros_recargas!C56</f>
        <v>1</v>
      </c>
      <c r="D7" s="23" t="n">
        <f aca="false">datos_base!$B$7*parametros_recargas!$B$37+sobrestock_sustitutos!$B$180/12</f>
        <v>1.34988265875679</v>
      </c>
      <c r="E7" s="23" t="n">
        <f aca="false">datos_base!$B$7*parametros_recargas!$C$37+sobrestock_sustitutos!$B$180/12</f>
        <v>1.34988265875679</v>
      </c>
      <c r="F7" s="23" t="n">
        <f aca="false">datos_base!$B$7*parametros_recargas!$D$37+sobrestock_sustitutos!$B$180/12</f>
        <v>1.34988265875679</v>
      </c>
      <c r="G7" s="23" t="n">
        <f aca="false">datos_base!$B$7*parametros_recargas!$E$37+sobrestock_sustitutos!$B$180/12</f>
        <v>1.34988265875679</v>
      </c>
      <c r="H7" s="23" t="n">
        <f aca="false">datos_base!$B$7*parametros_recargas!$F$37+sobrestock_sustitutos!$B$180/12</f>
        <v>1.34988265875679</v>
      </c>
      <c r="I7" s="23" t="n">
        <f aca="false">datos_base!$B$7*parametros_recargas!$G$37+sobrestock_sustitutos!$B$180/12</f>
        <v>1.34988265875679</v>
      </c>
      <c r="J7" s="23" t="n">
        <f aca="false">datos_base!$B$7*parametros_recargas!$H$37+sobrestock_sustitutos!$B$180/12</f>
        <v>1.34988265875679</v>
      </c>
      <c r="K7" s="23" t="n">
        <f aca="false">datos_base!$B$7*parametros_recargas!$I$37+sobrestock_sustitutos!$B$180/12</f>
        <v>1.34988265875679</v>
      </c>
      <c r="L7" s="23" t="n">
        <f aca="false">datos_base!$B$7*parametros_recargas!$J$37+sobrestock_sustitutos!$B$180/12</f>
        <v>1.34988265875679</v>
      </c>
      <c r="M7" s="23" t="n">
        <f aca="false">datos_base!$B$7*parametros_recargas!$K$37+sobrestock_sustitutos!$B$180/12</f>
        <v>1.34988265875679</v>
      </c>
      <c r="N7" s="23" t="n">
        <f aca="false">datos_base!$B$7*parametros_recargas!$L$37+sobrestock_sustitutos!$B$180/12</f>
        <v>1.34988265875679</v>
      </c>
      <c r="O7" s="23" t="n">
        <f aca="false">datos_base!$B$7*parametros_recargas!$M$37+sobrestock_sustitutos!$B$180/12</f>
        <v>1.34988265875679</v>
      </c>
      <c r="P7" s="7" t="n">
        <f aca="false">SUM(D7:O7)</f>
        <v>16.1985919050815</v>
      </c>
      <c r="Q7" s="13" t="n">
        <f aca="false">sobrestock_sustitutos!$B$180</f>
        <v>0</v>
      </c>
    </row>
    <row r="8" customFormat="false" ht="15" hidden="false" customHeight="false" outlineLevel="0" collapsed="false">
      <c r="A8" s="12" t="str">
        <f aca="false">parametros_recargas!A57</f>
        <v>AFFF 50 l s/ruedas</v>
      </c>
      <c r="B8" s="12" t="str">
        <f aca="false">parametros_recargas!B57</f>
        <v>AFFF</v>
      </c>
      <c r="C8" s="22" t="n">
        <f aca="false">parametros_recargas!C57</f>
        <v>3</v>
      </c>
      <c r="D8" s="23" t="n">
        <f aca="false">datos_base!$B$8*parametros_recargas!$B$37+sobrestock_sustitutos!$B$181/12</f>
        <v>0.674941299721584</v>
      </c>
      <c r="E8" s="23" t="n">
        <f aca="false">datos_base!$B$8*parametros_recargas!$C$37+sobrestock_sustitutos!$B$181/12</f>
        <v>0.674941299721584</v>
      </c>
      <c r="F8" s="23" t="n">
        <f aca="false">datos_base!$B$8*parametros_recargas!$D$37+sobrestock_sustitutos!$B$181/12</f>
        <v>0.674941299721584</v>
      </c>
      <c r="G8" s="23" t="n">
        <f aca="false">datos_base!$B$8*parametros_recargas!$E$37+sobrestock_sustitutos!$B$181/12</f>
        <v>0.674941299721584</v>
      </c>
      <c r="H8" s="23" t="n">
        <f aca="false">datos_base!$B$8*parametros_recargas!$F$37+sobrestock_sustitutos!$B$181/12</f>
        <v>0.674941299721584</v>
      </c>
      <c r="I8" s="23" t="n">
        <f aca="false">datos_base!$B$8*parametros_recargas!$G$37+sobrestock_sustitutos!$B$181/12</f>
        <v>0.674941299721584</v>
      </c>
      <c r="J8" s="23" t="n">
        <f aca="false">datos_base!$B$8*parametros_recargas!$H$37+sobrestock_sustitutos!$B$181/12</f>
        <v>0.674941299721584</v>
      </c>
      <c r="K8" s="23" t="n">
        <f aca="false">datos_base!$B$8*parametros_recargas!$I$37+sobrestock_sustitutos!$B$181/12</f>
        <v>0.674941299721584</v>
      </c>
      <c r="L8" s="23" t="n">
        <f aca="false">datos_base!$B$8*parametros_recargas!$J$37+sobrestock_sustitutos!$B$181/12</f>
        <v>0.674941299721584</v>
      </c>
      <c r="M8" s="23" t="n">
        <f aca="false">datos_base!$B$8*parametros_recargas!$K$37+sobrestock_sustitutos!$B$181/12</f>
        <v>0.674941299721584</v>
      </c>
      <c r="N8" s="23" t="n">
        <f aca="false">datos_base!$B$8*parametros_recargas!$L$37+sobrestock_sustitutos!$B$181/12</f>
        <v>0.674941299721584</v>
      </c>
      <c r="O8" s="23" t="n">
        <f aca="false">datos_base!$B$8*parametros_recargas!$M$37+sobrestock_sustitutos!$B$181/12</f>
        <v>0.674941299721584</v>
      </c>
      <c r="P8" s="7" t="n">
        <f aca="false">SUM(D8:O8)</f>
        <v>8.09929559665901</v>
      </c>
      <c r="Q8" s="13" t="n">
        <f aca="false">sobrestock_sustitutos!$B$181</f>
        <v>0</v>
      </c>
    </row>
    <row r="9" customFormat="false" ht="15" hidden="false" customHeight="false" outlineLevel="0" collapsed="false">
      <c r="A9" s="12" t="str">
        <f aca="false">parametros_recargas!A58</f>
        <v>BC 5 kg</v>
      </c>
      <c r="B9" s="12" t="str">
        <f aca="false">parametros_recargas!B58</f>
        <v>BC</v>
      </c>
      <c r="C9" s="22" t="n">
        <f aca="false">parametros_recargas!C58</f>
        <v>1</v>
      </c>
      <c r="D9" s="23" t="n">
        <f aca="false">datos_base!$B$9*parametros_recargas!$B$37+sobrestock_sustitutos!$B$182/12</f>
        <v>0.40496477983295</v>
      </c>
      <c r="E9" s="23" t="n">
        <f aca="false">datos_base!$B$9*parametros_recargas!$C$37+sobrestock_sustitutos!$B$182/12</f>
        <v>0.40496477983295</v>
      </c>
      <c r="F9" s="23" t="n">
        <f aca="false">datos_base!$B$9*parametros_recargas!$D$37+sobrestock_sustitutos!$B$182/12</f>
        <v>0.40496477983295</v>
      </c>
      <c r="G9" s="23" t="n">
        <f aca="false">datos_base!$B$9*parametros_recargas!$E$37+sobrestock_sustitutos!$B$182/12</f>
        <v>0.40496477983295</v>
      </c>
      <c r="H9" s="23" t="n">
        <f aca="false">datos_base!$B$9*parametros_recargas!$F$37+sobrestock_sustitutos!$B$182/12</f>
        <v>0.40496477983295</v>
      </c>
      <c r="I9" s="23" t="n">
        <f aca="false">datos_base!$B$9*parametros_recargas!$G$37+sobrestock_sustitutos!$B$182/12</f>
        <v>0.40496477983295</v>
      </c>
      <c r="J9" s="23" t="n">
        <f aca="false">datos_base!$B$9*parametros_recargas!$H$37+sobrestock_sustitutos!$B$182/12</f>
        <v>0.40496477983295</v>
      </c>
      <c r="K9" s="23" t="n">
        <f aca="false">datos_base!$B$9*parametros_recargas!$I$37+sobrestock_sustitutos!$B$182/12</f>
        <v>0.40496477983295</v>
      </c>
      <c r="L9" s="23" t="n">
        <f aca="false">datos_base!$B$9*parametros_recargas!$J$37+sobrestock_sustitutos!$B$182/12</f>
        <v>0.40496477983295</v>
      </c>
      <c r="M9" s="23" t="n">
        <f aca="false">datos_base!$B$9*parametros_recargas!$K$37+sobrestock_sustitutos!$B$182/12</f>
        <v>0.40496477983295</v>
      </c>
      <c r="N9" s="23" t="n">
        <f aca="false">datos_base!$B$9*parametros_recargas!$L$37+sobrestock_sustitutos!$B$182/12</f>
        <v>0.40496477983295</v>
      </c>
      <c r="O9" s="23" t="n">
        <f aca="false">datos_base!$B$9*parametros_recargas!$M$37+sobrestock_sustitutos!$B$182/12</f>
        <v>0.40496477983295</v>
      </c>
      <c r="P9" s="7" t="n">
        <f aca="false">SUM(D9:O9)</f>
        <v>4.85957735799541</v>
      </c>
      <c r="Q9" s="13" t="n">
        <f aca="false">sobrestock_sustitutos!$B$182</f>
        <v>0</v>
      </c>
    </row>
    <row r="10" customFormat="false" ht="15" hidden="false" customHeight="false" outlineLevel="0" collapsed="false">
      <c r="A10" s="12" t="str">
        <f aca="false">parametros_recargas!A59</f>
        <v>Sales K 6 l</v>
      </c>
      <c r="B10" s="12" t="str">
        <f aca="false">parametros_recargas!B59</f>
        <v>Sales K</v>
      </c>
      <c r="C10" s="22" t="n">
        <f aca="false">parametros_recargas!C59</f>
        <v>1</v>
      </c>
      <c r="D10" s="23" t="n">
        <f aca="false">datos_base!$B$10*parametros_recargas!$B$37+sobrestock_sustitutos!$B$183/12</f>
        <v>4.85957753593628</v>
      </c>
      <c r="E10" s="23" t="n">
        <f aca="false">datos_base!$B$10*parametros_recargas!$C$37+sobrestock_sustitutos!$B$183/12</f>
        <v>4.85957753593628</v>
      </c>
      <c r="F10" s="23" t="n">
        <f aca="false">datos_base!$B$10*parametros_recargas!$D$37+sobrestock_sustitutos!$B$183/12</f>
        <v>4.85957753593628</v>
      </c>
      <c r="G10" s="23" t="n">
        <f aca="false">datos_base!$B$10*parametros_recargas!$E$37+sobrestock_sustitutos!$B$183/12</f>
        <v>4.85957753593628</v>
      </c>
      <c r="H10" s="23" t="n">
        <f aca="false">datos_base!$B$10*parametros_recargas!$F$37+sobrestock_sustitutos!$B$183/12</f>
        <v>4.85957753593628</v>
      </c>
      <c r="I10" s="23" t="n">
        <f aca="false">datos_base!$B$10*parametros_recargas!$G$37+sobrestock_sustitutos!$B$183/12</f>
        <v>4.85957753593628</v>
      </c>
      <c r="J10" s="23" t="n">
        <f aca="false">datos_base!$B$10*parametros_recargas!$H$37+sobrestock_sustitutos!$B$183/12</f>
        <v>4.85957753593628</v>
      </c>
      <c r="K10" s="23" t="n">
        <f aca="false">datos_base!$B$10*parametros_recargas!$I$37+sobrestock_sustitutos!$B$183/12</f>
        <v>4.85957753593628</v>
      </c>
      <c r="L10" s="23" t="n">
        <f aca="false">datos_base!$B$10*parametros_recargas!$J$37+sobrestock_sustitutos!$B$183/12</f>
        <v>4.85957753593628</v>
      </c>
      <c r="M10" s="23" t="n">
        <f aca="false">datos_base!$B$10*parametros_recargas!$K$37+sobrestock_sustitutos!$B$183/12</f>
        <v>4.85957753593628</v>
      </c>
      <c r="N10" s="23" t="n">
        <f aca="false">datos_base!$B$10*parametros_recargas!$L$37+sobrestock_sustitutos!$B$183/12</f>
        <v>4.85957753593628</v>
      </c>
      <c r="O10" s="23" t="n">
        <f aca="false">datos_base!$B$10*parametros_recargas!$M$37+sobrestock_sustitutos!$B$183/12</f>
        <v>4.85957753593628</v>
      </c>
      <c r="P10" s="7" t="n">
        <f aca="false">SUM(D10:O10)</f>
        <v>58.3149304312353</v>
      </c>
      <c r="Q10" s="13" t="n">
        <f aca="false">sobrestock_sustitutos!$B$183</f>
        <v>0</v>
      </c>
    </row>
    <row r="11" customFormat="false" ht="15" hidden="false" customHeight="false" outlineLevel="0" collapsed="false">
      <c r="A11" s="12" t="str">
        <f aca="false">parametros_recargas!A60</f>
        <v>CO₂ 2 kg</v>
      </c>
      <c r="B11" s="12" t="str">
        <f aca="false">parametros_recargas!B60</f>
        <v>CO₂</v>
      </c>
      <c r="C11" s="22" t="n">
        <f aca="false">parametros_recargas!C60</f>
        <v>1</v>
      </c>
      <c r="D11" s="23" t="n">
        <f aca="false">datos_base!$B$11*parametros_recargas!$B$37+sobrestock_sustitutos!$B$184/12</f>
        <v>26.7276764773063</v>
      </c>
      <c r="E11" s="23" t="n">
        <f aca="false">datos_base!$B$11*parametros_recargas!$C$37+sobrestock_sustitutos!$B$184/12</f>
        <v>26.7276764773063</v>
      </c>
      <c r="F11" s="23" t="n">
        <f aca="false">datos_base!$B$11*parametros_recargas!$D$37+sobrestock_sustitutos!$B$184/12</f>
        <v>26.7276764773063</v>
      </c>
      <c r="G11" s="23" t="n">
        <f aca="false">datos_base!$B$11*parametros_recargas!$E$37+sobrestock_sustitutos!$B$184/12</f>
        <v>26.7276764773063</v>
      </c>
      <c r="H11" s="23" t="n">
        <f aca="false">datos_base!$B$11*parametros_recargas!$F$37+sobrestock_sustitutos!$B$184/12</f>
        <v>26.7276764773063</v>
      </c>
      <c r="I11" s="23" t="n">
        <f aca="false">datos_base!$B$11*parametros_recargas!$G$37+sobrestock_sustitutos!$B$184/12</f>
        <v>26.7276764773063</v>
      </c>
      <c r="J11" s="23" t="n">
        <f aca="false">datos_base!$B$11*parametros_recargas!$H$37+sobrestock_sustitutos!$B$184/12</f>
        <v>26.7276764773063</v>
      </c>
      <c r="K11" s="23" t="n">
        <f aca="false">datos_base!$B$11*parametros_recargas!$I$37+sobrestock_sustitutos!$B$184/12</f>
        <v>26.7276764773063</v>
      </c>
      <c r="L11" s="23" t="n">
        <f aca="false">datos_base!$B$11*parametros_recargas!$J$37+sobrestock_sustitutos!$B$184/12</f>
        <v>26.7276764773063</v>
      </c>
      <c r="M11" s="23" t="n">
        <f aca="false">datos_base!$B$11*parametros_recargas!$K$37+sobrestock_sustitutos!$B$184/12</f>
        <v>26.7276764773063</v>
      </c>
      <c r="N11" s="23" t="n">
        <f aca="false">datos_base!$B$11*parametros_recargas!$L$37+sobrestock_sustitutos!$B$184/12</f>
        <v>26.7276764773063</v>
      </c>
      <c r="O11" s="23" t="n">
        <f aca="false">datos_base!$B$11*parametros_recargas!$M$37+sobrestock_sustitutos!$B$184/12</f>
        <v>26.7276764773063</v>
      </c>
      <c r="P11" s="7" t="n">
        <f aca="false">SUM(D11:O11)</f>
        <v>320.732117727676</v>
      </c>
      <c r="Q11" s="13" t="n">
        <f aca="false">sobrestock_sustitutos!$B$184</f>
        <v>0</v>
      </c>
    </row>
    <row r="12" customFormat="false" ht="15" hidden="false" customHeight="false" outlineLevel="0" collapsed="false">
      <c r="A12" s="12" t="str">
        <f aca="false">parametros_recargas!A61</f>
        <v>CO₂ 5 kg</v>
      </c>
      <c r="B12" s="12" t="str">
        <f aca="false">parametros_recargas!B61</f>
        <v>CO₂</v>
      </c>
      <c r="C12" s="22" t="n">
        <f aca="false">parametros_recargas!C61</f>
        <v>1</v>
      </c>
      <c r="D12" s="23" t="n">
        <f aca="false">datos_base!$B$12*parametros_recargas!$B$37+sobrestock_sustitutos!$B$185/12</f>
        <v>7.42435459350555</v>
      </c>
      <c r="E12" s="23" t="n">
        <f aca="false">datos_base!$B$12*parametros_recargas!$C$37+sobrestock_sustitutos!$B$185/12</f>
        <v>7.42435459350555</v>
      </c>
      <c r="F12" s="23" t="n">
        <f aca="false">datos_base!$B$12*parametros_recargas!$D$37+sobrestock_sustitutos!$B$185/12</f>
        <v>7.42435459350555</v>
      </c>
      <c r="G12" s="23" t="n">
        <f aca="false">datos_base!$B$12*parametros_recargas!$E$37+sobrestock_sustitutos!$B$185/12</f>
        <v>7.42435459350555</v>
      </c>
      <c r="H12" s="23" t="n">
        <f aca="false">datos_base!$B$12*parametros_recargas!$F$37+sobrestock_sustitutos!$B$185/12</f>
        <v>7.42435459350555</v>
      </c>
      <c r="I12" s="23" t="n">
        <f aca="false">datos_base!$B$12*parametros_recargas!$G$37+sobrestock_sustitutos!$B$185/12</f>
        <v>7.42435459350555</v>
      </c>
      <c r="J12" s="23" t="n">
        <f aca="false">datos_base!$B$12*parametros_recargas!$H$37+sobrestock_sustitutos!$B$185/12</f>
        <v>7.42435459350555</v>
      </c>
      <c r="K12" s="23" t="n">
        <f aca="false">datos_base!$B$12*parametros_recargas!$I$37+sobrestock_sustitutos!$B$185/12</f>
        <v>7.42435459350555</v>
      </c>
      <c r="L12" s="23" t="n">
        <f aca="false">datos_base!$B$12*parametros_recargas!$J$37+sobrestock_sustitutos!$B$185/12</f>
        <v>7.42435459350555</v>
      </c>
      <c r="M12" s="23" t="n">
        <f aca="false">datos_base!$B$12*parametros_recargas!$K$37+sobrestock_sustitutos!$B$185/12</f>
        <v>7.42435459350555</v>
      </c>
      <c r="N12" s="23" t="n">
        <f aca="false">datos_base!$B$12*parametros_recargas!$L$37+sobrestock_sustitutos!$B$185/12</f>
        <v>7.42435459350555</v>
      </c>
      <c r="O12" s="23" t="n">
        <f aca="false">datos_base!$B$12*parametros_recargas!$M$37+sobrestock_sustitutos!$B$185/12</f>
        <v>7.42435459350555</v>
      </c>
      <c r="P12" s="7" t="n">
        <f aca="false">SUM(D12:O12)</f>
        <v>89.0922551220666</v>
      </c>
      <c r="Q12" s="13" t="n">
        <f aca="false">sobrestock_sustitutos!$B$185</f>
        <v>0</v>
      </c>
    </row>
    <row r="13" customFormat="false" ht="15" hidden="false" customHeight="false" outlineLevel="0" collapsed="false">
      <c r="A13" s="12" t="str">
        <f aca="false">parametros_recargas!A62</f>
        <v>HCFC/HFC 5 kg</v>
      </c>
      <c r="B13" s="12" t="str">
        <f aca="false">parametros_recargas!B62</f>
        <v>Halogenado</v>
      </c>
      <c r="C13" s="22" t="n">
        <f aca="false">parametros_recargas!C62</f>
        <v>1</v>
      </c>
      <c r="D13" s="23" t="n">
        <f aca="false">datos_base!$B$13*parametros_recargas!$B$37+sobrestock_sustitutos!$B$186/12</f>
        <v>1.07990613886816</v>
      </c>
      <c r="E13" s="23" t="n">
        <f aca="false">datos_base!$B$13*parametros_recargas!$C$37+sobrestock_sustitutos!$B$186/12</f>
        <v>1.07990613886816</v>
      </c>
      <c r="F13" s="23" t="n">
        <f aca="false">datos_base!$B$13*parametros_recargas!$D$37+sobrestock_sustitutos!$B$186/12</f>
        <v>1.07990613886816</v>
      </c>
      <c r="G13" s="23" t="n">
        <f aca="false">datos_base!$B$13*parametros_recargas!$E$37+sobrestock_sustitutos!$B$186/12</f>
        <v>1.07990613886816</v>
      </c>
      <c r="H13" s="23" t="n">
        <f aca="false">datos_base!$B$13*parametros_recargas!$F$37+sobrestock_sustitutos!$B$186/12</f>
        <v>1.07990613886816</v>
      </c>
      <c r="I13" s="23" t="n">
        <f aca="false">datos_base!$B$13*parametros_recargas!$G$37+sobrestock_sustitutos!$B$186/12</f>
        <v>1.07990613886816</v>
      </c>
      <c r="J13" s="23" t="n">
        <f aca="false">datos_base!$B$13*parametros_recargas!$H$37+sobrestock_sustitutos!$B$186/12</f>
        <v>1.07990613886816</v>
      </c>
      <c r="K13" s="23" t="n">
        <f aca="false">datos_base!$B$13*parametros_recargas!$I$37+sobrestock_sustitutos!$B$186/12</f>
        <v>1.07990613886816</v>
      </c>
      <c r="L13" s="23" t="n">
        <f aca="false">datos_base!$B$13*parametros_recargas!$J$37+sobrestock_sustitutos!$B$186/12</f>
        <v>1.07990613886816</v>
      </c>
      <c r="M13" s="23" t="n">
        <f aca="false">datos_base!$B$13*parametros_recargas!$K$37+sobrestock_sustitutos!$B$186/12</f>
        <v>1.07990613886816</v>
      </c>
      <c r="N13" s="23" t="n">
        <f aca="false">datos_base!$B$13*parametros_recargas!$L$37+sobrestock_sustitutos!$B$186/12</f>
        <v>1.07990613886816</v>
      </c>
      <c r="O13" s="23" t="n">
        <f aca="false">datos_base!$B$13*parametros_recargas!$M$37+sobrestock_sustitutos!$B$186/12</f>
        <v>1.07990613886816</v>
      </c>
      <c r="P13" s="7" t="n">
        <f aca="false">SUM(D13:O13)</f>
        <v>12.9588736664179</v>
      </c>
      <c r="Q13" s="13" t="n">
        <f aca="false">sobrestock_sustitutos!$B$186</f>
        <v>0</v>
      </c>
    </row>
    <row r="14" customFormat="false" ht="15" hidden="false" customHeight="false" outlineLevel="0" collapsed="false">
      <c r="A14" s="12" t="str">
        <f aca="false">parametros_recargas!A63</f>
        <v>Clase D 9 l</v>
      </c>
      <c r="B14" s="12" t="str">
        <f aca="false">parametros_recargas!B63</f>
        <v>Clase D</v>
      </c>
      <c r="C14" s="22" t="n">
        <f aca="false">parametros_recargas!C63</f>
        <v>1</v>
      </c>
      <c r="D14" s="23" t="n">
        <f aca="false">datos_base!$B$14*parametros_recargas!$B$37+sobrestock_sustitutos!$B$187/12</f>
        <v>0.40496477983295</v>
      </c>
      <c r="E14" s="23" t="n">
        <f aca="false">datos_base!$B$14*parametros_recargas!$C$37+sobrestock_sustitutos!$B$187/12</f>
        <v>0.40496477983295</v>
      </c>
      <c r="F14" s="23" t="n">
        <f aca="false">datos_base!$B$14*parametros_recargas!$D$37+sobrestock_sustitutos!$B$187/12</f>
        <v>0.40496477983295</v>
      </c>
      <c r="G14" s="23" t="n">
        <f aca="false">datos_base!$B$14*parametros_recargas!$E$37+sobrestock_sustitutos!$B$187/12</f>
        <v>0.40496477983295</v>
      </c>
      <c r="H14" s="23" t="n">
        <f aca="false">datos_base!$B$14*parametros_recargas!$F$37+sobrestock_sustitutos!$B$187/12</f>
        <v>0.40496477983295</v>
      </c>
      <c r="I14" s="23" t="n">
        <f aca="false">datos_base!$B$14*parametros_recargas!$G$37+sobrestock_sustitutos!$B$187/12</f>
        <v>0.40496477983295</v>
      </c>
      <c r="J14" s="23" t="n">
        <f aca="false">datos_base!$B$14*parametros_recargas!$H$37+sobrestock_sustitutos!$B$187/12</f>
        <v>0.40496477983295</v>
      </c>
      <c r="K14" s="23" t="n">
        <f aca="false">datos_base!$B$14*parametros_recargas!$I$37+sobrestock_sustitutos!$B$187/12</f>
        <v>0.40496477983295</v>
      </c>
      <c r="L14" s="23" t="n">
        <f aca="false">datos_base!$B$14*parametros_recargas!$J$37+sobrestock_sustitutos!$B$187/12</f>
        <v>0.40496477983295</v>
      </c>
      <c r="M14" s="23" t="n">
        <f aca="false">datos_base!$B$14*parametros_recargas!$K$37+sobrestock_sustitutos!$B$187/12</f>
        <v>0.40496477983295</v>
      </c>
      <c r="N14" s="23" t="n">
        <f aca="false">datos_base!$B$14*parametros_recargas!$L$37+sobrestock_sustitutos!$B$187/12</f>
        <v>0.40496477983295</v>
      </c>
      <c r="O14" s="23" t="n">
        <f aca="false">datos_base!$B$14*parametros_recargas!$M$37+sobrestock_sustitutos!$B$187/12</f>
        <v>0.40496477983295</v>
      </c>
      <c r="P14" s="7" t="n">
        <f aca="false">SUM(D14:O14)</f>
        <v>4.85957735799541</v>
      </c>
      <c r="Q14" s="13" t="n">
        <f aca="false">sobrestock_sustitutos!$B$187</f>
        <v>0</v>
      </c>
    </row>
    <row r="15" customFormat="false" ht="15" hidden="false" customHeight="false" outlineLevel="0" collapsed="false">
      <c r="A15" s="12" t="str">
        <f aca="false">parametros_recargas!A64</f>
        <v>ABC 25 kg s/ruedas</v>
      </c>
      <c r="B15" s="12" t="str">
        <f aca="false">parametros_recargas!B64</f>
        <v>ABC</v>
      </c>
      <c r="C15" s="22" t="n">
        <f aca="false">parametros_recargas!C64</f>
        <v>3</v>
      </c>
      <c r="D15" s="23" t="n">
        <f aca="false">datos_base!$B$15*parametros_recargas!$B$37+sobrestock_sustitutos!$B$188/12</f>
        <v>1.04615905905367</v>
      </c>
      <c r="E15" s="23" t="n">
        <f aca="false">datos_base!$B$15*parametros_recargas!$C$37+sobrestock_sustitutos!$B$188/12</f>
        <v>1.04615905905367</v>
      </c>
      <c r="F15" s="23" t="n">
        <f aca="false">datos_base!$B$15*parametros_recargas!$D$37+sobrestock_sustitutos!$B$188/12</f>
        <v>1.04615905905367</v>
      </c>
      <c r="G15" s="23" t="n">
        <f aca="false">datos_base!$B$15*parametros_recargas!$E$37+sobrestock_sustitutos!$B$188/12</f>
        <v>1.04615905905367</v>
      </c>
      <c r="H15" s="23" t="n">
        <f aca="false">datos_base!$B$15*parametros_recargas!$F$37+sobrestock_sustitutos!$B$188/12</f>
        <v>1.04615905905367</v>
      </c>
      <c r="I15" s="23" t="n">
        <f aca="false">datos_base!$B$15*parametros_recargas!$G$37+sobrestock_sustitutos!$B$188/12</f>
        <v>1.04615905905367</v>
      </c>
      <c r="J15" s="23" t="n">
        <f aca="false">datos_base!$B$15*parametros_recargas!$H$37+sobrestock_sustitutos!$B$188/12</f>
        <v>1.04615905905367</v>
      </c>
      <c r="K15" s="23" t="n">
        <f aca="false">datos_base!$B$15*parametros_recargas!$I$37+sobrestock_sustitutos!$B$188/12</f>
        <v>1.04615905905367</v>
      </c>
      <c r="L15" s="23" t="n">
        <f aca="false">datos_base!$B$15*parametros_recargas!$J$37+sobrestock_sustitutos!$B$188/12</f>
        <v>1.04615905905367</v>
      </c>
      <c r="M15" s="23" t="n">
        <f aca="false">datos_base!$B$15*parametros_recargas!$K$37+sobrestock_sustitutos!$B$188/12</f>
        <v>1.04615905905367</v>
      </c>
      <c r="N15" s="23" t="n">
        <f aca="false">datos_base!$B$15*parametros_recargas!$L$37+sobrestock_sustitutos!$B$188/12</f>
        <v>1.04615905905367</v>
      </c>
      <c r="O15" s="23" t="n">
        <f aca="false">datos_base!$B$15*parametros_recargas!$M$37+sobrestock_sustitutos!$B$188/12</f>
        <v>1.04615905905367</v>
      </c>
      <c r="P15" s="7" t="n">
        <f aca="false">SUM(D15:O15)</f>
        <v>12.5539087086441</v>
      </c>
      <c r="Q15" s="13" t="n">
        <f aca="false">sobrestock_sustitutos!$B$188</f>
        <v>0</v>
      </c>
    </row>
    <row r="16" customFormat="false" ht="15" hidden="false" customHeight="false" outlineLevel="0" collapsed="false">
      <c r="A16" s="12" t="str">
        <f aca="false">parametros_recargas!A65</f>
        <v>ABC 50 kg s/ruedas</v>
      </c>
      <c r="B16" s="12" t="str">
        <f aca="false">parametros_recargas!B65</f>
        <v>ABC</v>
      </c>
      <c r="C16" s="22" t="n">
        <f aca="false">parametros_recargas!C65</f>
        <v>3</v>
      </c>
      <c r="D16" s="23" t="n">
        <f aca="false">datos_base!$B$16*parametros_recargas!$B$37+sobrestock_sustitutos!$B$189/12</f>
        <v>2.30154989432991</v>
      </c>
      <c r="E16" s="23" t="n">
        <f aca="false">datos_base!$B$16*parametros_recargas!$C$37+sobrestock_sustitutos!$B$189/12</f>
        <v>2.30154989432991</v>
      </c>
      <c r="F16" s="23" t="n">
        <f aca="false">datos_base!$B$16*parametros_recargas!$D$37+sobrestock_sustitutos!$B$189/12</f>
        <v>2.30154989432991</v>
      </c>
      <c r="G16" s="23" t="n">
        <f aca="false">datos_base!$B$16*parametros_recargas!$E$37+sobrestock_sustitutos!$B$189/12</f>
        <v>2.30154989432991</v>
      </c>
      <c r="H16" s="23" t="n">
        <f aca="false">datos_base!$B$16*parametros_recargas!$F$37+sobrestock_sustitutos!$B$189/12</f>
        <v>2.30154989432991</v>
      </c>
      <c r="I16" s="23" t="n">
        <f aca="false">datos_base!$B$16*parametros_recargas!$G$37+sobrestock_sustitutos!$B$189/12</f>
        <v>2.30154989432991</v>
      </c>
      <c r="J16" s="23" t="n">
        <f aca="false">datos_base!$B$16*parametros_recargas!$H$37+sobrestock_sustitutos!$B$189/12</f>
        <v>2.30154989432991</v>
      </c>
      <c r="K16" s="23" t="n">
        <f aca="false">datos_base!$B$16*parametros_recargas!$I$37+sobrestock_sustitutos!$B$189/12</f>
        <v>2.30154989432991</v>
      </c>
      <c r="L16" s="23" t="n">
        <f aca="false">datos_base!$B$16*parametros_recargas!$J$37+sobrestock_sustitutos!$B$189/12</f>
        <v>2.30154989432991</v>
      </c>
      <c r="M16" s="23" t="n">
        <f aca="false">datos_base!$B$16*parametros_recargas!$K$37+sobrestock_sustitutos!$B$189/12</f>
        <v>2.30154989432991</v>
      </c>
      <c r="N16" s="23" t="n">
        <f aca="false">datos_base!$B$16*parametros_recargas!$L$37+sobrestock_sustitutos!$B$189/12</f>
        <v>2.30154989432991</v>
      </c>
      <c r="O16" s="23" t="n">
        <f aca="false">datos_base!$B$16*parametros_recargas!$M$37+sobrestock_sustitutos!$B$189/12</f>
        <v>2.30154989432991</v>
      </c>
      <c r="P16" s="7" t="n">
        <f aca="false">SUM(D16:O16)</f>
        <v>27.6185987319589</v>
      </c>
      <c r="Q16" s="13" t="n">
        <f aca="false">sobrestock_sustitutos!$B$189</f>
        <v>0</v>
      </c>
    </row>
    <row r="17" customFormat="false" ht="15" hidden="false" customHeight="false" outlineLevel="0" collapsed="false">
      <c r="A17" s="12" t="str">
        <f aca="false">parametros_recargas!A66</f>
        <v>ABC 70 kg s/ruedas</v>
      </c>
      <c r="B17" s="12" t="str">
        <f aca="false">parametros_recargas!B66</f>
        <v>ABC</v>
      </c>
      <c r="C17" s="22" t="n">
        <f aca="false">parametros_recargas!C66</f>
        <v>3</v>
      </c>
      <c r="D17" s="23" t="n">
        <f aca="false">datos_base!$B$17*parametros_recargas!$B$37+sobrestock_sustitutos!$B$190/12</f>
        <v>0.502156322247768</v>
      </c>
      <c r="E17" s="23" t="n">
        <f aca="false">datos_base!$B$17*parametros_recargas!$C$37+sobrestock_sustitutos!$B$190/12</f>
        <v>0.502156322247768</v>
      </c>
      <c r="F17" s="23" t="n">
        <f aca="false">datos_base!$B$17*parametros_recargas!$D$37+sobrestock_sustitutos!$B$190/12</f>
        <v>0.502156322247768</v>
      </c>
      <c r="G17" s="23" t="n">
        <f aca="false">datos_base!$B$17*parametros_recargas!$E$37+sobrestock_sustitutos!$B$190/12</f>
        <v>0.502156322247768</v>
      </c>
      <c r="H17" s="23" t="n">
        <f aca="false">datos_base!$B$17*parametros_recargas!$F$37+sobrestock_sustitutos!$B$190/12</f>
        <v>0.502156322247768</v>
      </c>
      <c r="I17" s="23" t="n">
        <f aca="false">datos_base!$B$17*parametros_recargas!$G$37+sobrestock_sustitutos!$B$190/12</f>
        <v>0.502156322247768</v>
      </c>
      <c r="J17" s="23" t="n">
        <f aca="false">datos_base!$B$17*parametros_recargas!$H$37+sobrestock_sustitutos!$B$190/12</f>
        <v>0.502156322247768</v>
      </c>
      <c r="K17" s="23" t="n">
        <f aca="false">datos_base!$B$17*parametros_recargas!$I$37+sobrestock_sustitutos!$B$190/12</f>
        <v>0.502156322247768</v>
      </c>
      <c r="L17" s="23" t="n">
        <f aca="false">datos_base!$B$17*parametros_recargas!$J$37+sobrestock_sustitutos!$B$190/12</f>
        <v>0.502156322247768</v>
      </c>
      <c r="M17" s="23" t="n">
        <f aca="false">datos_base!$B$17*parametros_recargas!$K$37+sobrestock_sustitutos!$B$190/12</f>
        <v>0.502156322247768</v>
      </c>
      <c r="N17" s="23" t="n">
        <f aca="false">datos_base!$B$17*parametros_recargas!$L$37+sobrestock_sustitutos!$B$190/12</f>
        <v>0.502156322247768</v>
      </c>
      <c r="O17" s="23" t="n">
        <f aca="false">datos_base!$B$17*parametros_recargas!$M$37+sobrestock_sustitutos!$B$190/12</f>
        <v>0.502156322247768</v>
      </c>
      <c r="P17" s="7" t="n">
        <f aca="false">SUM(D17:O17)</f>
        <v>6.02587586697322</v>
      </c>
      <c r="Q17" s="13" t="n">
        <f aca="false">sobrestock_sustitutos!$B$190</f>
        <v>0</v>
      </c>
    </row>
    <row r="18" customFormat="false" ht="15" hidden="false" customHeight="false" outlineLevel="0" collapsed="false">
      <c r="A18" s="12" t="str">
        <f aca="false">parametros_recargas!A67</f>
        <v>ABC 100 kg s/ruedas</v>
      </c>
      <c r="B18" s="12" t="str">
        <f aca="false">parametros_recargas!B67</f>
        <v>ABC</v>
      </c>
      <c r="C18" s="22" t="n">
        <f aca="false">parametros_recargas!C67</f>
        <v>3</v>
      </c>
      <c r="D18" s="23" t="n">
        <f aca="false">datos_base!$B$18*parametros_recargas!$B$37+sobrestock_sustitutos!$B$191/12</f>
        <v>0.334770901269721</v>
      </c>
      <c r="E18" s="23" t="n">
        <f aca="false">datos_base!$B$18*parametros_recargas!$C$37+sobrestock_sustitutos!$B$191/12</f>
        <v>0.334770901269721</v>
      </c>
      <c r="F18" s="23" t="n">
        <f aca="false">datos_base!$B$18*parametros_recargas!$D$37+sobrestock_sustitutos!$B$191/12</f>
        <v>0.334770901269721</v>
      </c>
      <c r="G18" s="23" t="n">
        <f aca="false">datos_base!$B$18*parametros_recargas!$E$37+sobrestock_sustitutos!$B$191/12</f>
        <v>0.334770901269721</v>
      </c>
      <c r="H18" s="23" t="n">
        <f aca="false">datos_base!$B$18*parametros_recargas!$F$37+sobrestock_sustitutos!$B$191/12</f>
        <v>0.334770901269721</v>
      </c>
      <c r="I18" s="23" t="n">
        <f aca="false">datos_base!$B$18*parametros_recargas!$G$37+sobrestock_sustitutos!$B$191/12</f>
        <v>0.334770901269721</v>
      </c>
      <c r="J18" s="23" t="n">
        <f aca="false">datos_base!$B$18*parametros_recargas!$H$37+sobrestock_sustitutos!$B$191/12</f>
        <v>0.334770901269721</v>
      </c>
      <c r="K18" s="23" t="n">
        <f aca="false">datos_base!$B$18*parametros_recargas!$I$37+sobrestock_sustitutos!$B$191/12</f>
        <v>0.334770901269721</v>
      </c>
      <c r="L18" s="23" t="n">
        <f aca="false">datos_base!$B$18*parametros_recargas!$J$37+sobrestock_sustitutos!$B$191/12</f>
        <v>0.334770901269721</v>
      </c>
      <c r="M18" s="23" t="n">
        <f aca="false">datos_base!$B$18*parametros_recargas!$K$37+sobrestock_sustitutos!$B$191/12</f>
        <v>0.334770901269721</v>
      </c>
      <c r="N18" s="23" t="n">
        <f aca="false">datos_base!$B$18*parametros_recargas!$L$37+sobrestock_sustitutos!$B$191/12</f>
        <v>0.334770901269721</v>
      </c>
      <c r="O18" s="23" t="n">
        <f aca="false">datos_base!$B$18*parametros_recargas!$M$37+sobrestock_sustitutos!$B$191/12</f>
        <v>0.334770901269721</v>
      </c>
      <c r="P18" s="7" t="n">
        <f aca="false">SUM(D18:O18)</f>
        <v>4.01725081523665</v>
      </c>
      <c r="Q18" s="13" t="n">
        <f aca="false">sobrestock_sustitutos!$B$191</f>
        <v>0</v>
      </c>
    </row>
    <row r="19" customFormat="false" ht="15" hidden="false" customHeight="false" outlineLevel="0" collapsed="false">
      <c r="A19" s="6" t="s">
        <v>269</v>
      </c>
      <c r="D19" s="7" t="n">
        <f aca="false">SUM(D2:D18)</f>
        <v>405.09978339581</v>
      </c>
      <c r="E19" s="7" t="n">
        <f aca="false">SUM(E2:E18)</f>
        <v>405.09978339581</v>
      </c>
      <c r="F19" s="7" t="n">
        <f aca="false">SUM(F2:F18)</f>
        <v>405.09978339581</v>
      </c>
      <c r="G19" s="7" t="n">
        <f aca="false">SUM(G2:G18)</f>
        <v>405.09978339581</v>
      </c>
      <c r="H19" s="7" t="n">
        <f aca="false">SUM(H2:H18)</f>
        <v>405.09978339581</v>
      </c>
      <c r="I19" s="7" t="n">
        <f aca="false">SUM(I2:I18)</f>
        <v>405.09978339581</v>
      </c>
      <c r="J19" s="7" t="n">
        <f aca="false">SUM(J2:J18)</f>
        <v>405.09978339581</v>
      </c>
      <c r="K19" s="7" t="n">
        <f aca="false">SUM(K2:K18)</f>
        <v>405.09978339581</v>
      </c>
      <c r="L19" s="7" t="n">
        <f aca="false">SUM(L2:L18)</f>
        <v>405.09978339581</v>
      </c>
      <c r="M19" s="7" t="n">
        <f aca="false">SUM(M2:M18)</f>
        <v>405.09978339581</v>
      </c>
      <c r="N19" s="7" t="n">
        <f aca="false">SUM(N2:N18)</f>
        <v>405.09978339581</v>
      </c>
      <c r="O19" s="7" t="n">
        <f aca="false">SUM(O2:O18)</f>
        <v>405.09978339581</v>
      </c>
      <c r="P19" s="7" t="n">
        <f aca="false">SUM(P2:P18)</f>
        <v>4861.19740074972</v>
      </c>
    </row>
    <row r="20" customFormat="false" ht="15" hidden="false" customHeight="false" outlineLevel="0" collapsed="false">
      <c r="A20" s="6" t="s">
        <v>270</v>
      </c>
    </row>
    <row r="21" customFormat="false" ht="15" hidden="false" customHeight="false" outlineLevel="0" collapsed="false">
      <c r="A21" s="4" t="s">
        <v>139</v>
      </c>
      <c r="D21" s="23" t="n">
        <f aca="false">SUMPRODUCT(($B$2:$B$18=$A21)*D$2:D$18*$C$2:$C$18)</f>
        <v>361.093608933867</v>
      </c>
      <c r="E21" s="23" t="n">
        <f aca="false">SUMPRODUCT(($B$2:$B$18=$A21)*E$2:E$18*$C$2:$C$18)</f>
        <v>361.093608933867</v>
      </c>
      <c r="F21" s="23" t="n">
        <f aca="false">SUMPRODUCT(($B$2:$B$18=$A21)*F$2:F$18*$C$2:$C$18)</f>
        <v>361.093608933867</v>
      </c>
      <c r="G21" s="23" t="n">
        <f aca="false">SUMPRODUCT(($B$2:$B$18=$A21)*G$2:G$18*$C$2:$C$18)</f>
        <v>361.093608933867</v>
      </c>
      <c r="H21" s="23" t="n">
        <f aca="false">SUMPRODUCT(($B$2:$B$18=$A21)*H$2:H$18*$C$2:$C$18)</f>
        <v>361.093608933867</v>
      </c>
      <c r="I21" s="23" t="n">
        <f aca="false">SUMPRODUCT(($B$2:$B$18=$A21)*I$2:I$18*$C$2:$C$18)</f>
        <v>361.093608933867</v>
      </c>
      <c r="J21" s="23" t="n">
        <f aca="false">SUMPRODUCT(($B$2:$B$18=$A21)*J$2:J$18*$C$2:$C$18)</f>
        <v>361.093608933867</v>
      </c>
      <c r="K21" s="23" t="n">
        <f aca="false">SUMPRODUCT(($B$2:$B$18=$A21)*K$2:K$18*$C$2:$C$18)</f>
        <v>361.093608933867</v>
      </c>
      <c r="L21" s="23" t="n">
        <f aca="false">SUMPRODUCT(($B$2:$B$18=$A21)*L$2:L$18*$C$2:$C$18)</f>
        <v>361.093608933867</v>
      </c>
      <c r="M21" s="23" t="n">
        <f aca="false">SUMPRODUCT(($B$2:$B$18=$A21)*M$2:M$18*$C$2:$C$18)</f>
        <v>361.093608933867</v>
      </c>
      <c r="N21" s="23" t="n">
        <f aca="false">SUMPRODUCT(($B$2:$B$18=$A21)*N$2:N$18*$C$2:$C$18)</f>
        <v>361.093608933867</v>
      </c>
      <c r="O21" s="23" t="n">
        <f aca="false">SUMPRODUCT(($B$2:$B$18=$A21)*O$2:O$18*$C$2:$C$18)</f>
        <v>361.093608933867</v>
      </c>
      <c r="P21" s="23" t="n">
        <f aca="false">SUMPRODUCT(($B$2:$B$18=$A21)*P$2:P$18*$C$2:$C$18)</f>
        <v>4333.12330720641</v>
      </c>
    </row>
    <row r="22" customFormat="false" ht="15" hidden="false" customHeight="false" outlineLevel="0" collapsed="false">
      <c r="A22" s="4" t="s">
        <v>145</v>
      </c>
      <c r="D22" s="23" t="n">
        <f aca="false">SUMPRODUCT(($B$2:$B$18=$A22)*D$2:D$18*$C$2:$C$18)</f>
        <v>0.40496477983295</v>
      </c>
      <c r="E22" s="23" t="n">
        <f aca="false">SUMPRODUCT(($B$2:$B$18=$A22)*E$2:E$18*$C$2:$C$18)</f>
        <v>0.40496477983295</v>
      </c>
      <c r="F22" s="23" t="n">
        <f aca="false">SUMPRODUCT(($B$2:$B$18=$A22)*F$2:F$18*$C$2:$C$18)</f>
        <v>0.40496477983295</v>
      </c>
      <c r="G22" s="23" t="n">
        <f aca="false">SUMPRODUCT(($B$2:$B$18=$A22)*G$2:G$18*$C$2:$C$18)</f>
        <v>0.40496477983295</v>
      </c>
      <c r="H22" s="23" t="n">
        <f aca="false">SUMPRODUCT(($B$2:$B$18=$A22)*H$2:H$18*$C$2:$C$18)</f>
        <v>0.40496477983295</v>
      </c>
      <c r="I22" s="23" t="n">
        <f aca="false">SUMPRODUCT(($B$2:$B$18=$A22)*I$2:I$18*$C$2:$C$18)</f>
        <v>0.40496477983295</v>
      </c>
      <c r="J22" s="23" t="n">
        <f aca="false">SUMPRODUCT(($B$2:$B$18=$A22)*J$2:J$18*$C$2:$C$18)</f>
        <v>0.40496477983295</v>
      </c>
      <c r="K22" s="23" t="n">
        <f aca="false">SUMPRODUCT(($B$2:$B$18=$A22)*K$2:K$18*$C$2:$C$18)</f>
        <v>0.40496477983295</v>
      </c>
      <c r="L22" s="23" t="n">
        <f aca="false">SUMPRODUCT(($B$2:$B$18=$A22)*L$2:L$18*$C$2:$C$18)</f>
        <v>0.40496477983295</v>
      </c>
      <c r="M22" s="23" t="n">
        <f aca="false">SUMPRODUCT(($B$2:$B$18=$A22)*M$2:M$18*$C$2:$C$18)</f>
        <v>0.40496477983295</v>
      </c>
      <c r="N22" s="23" t="n">
        <f aca="false">SUMPRODUCT(($B$2:$B$18=$A22)*N$2:N$18*$C$2:$C$18)</f>
        <v>0.40496477983295</v>
      </c>
      <c r="O22" s="23" t="n">
        <f aca="false">SUMPRODUCT(($B$2:$B$18=$A22)*O$2:O$18*$C$2:$C$18)</f>
        <v>0.40496477983295</v>
      </c>
      <c r="P22" s="23" t="n">
        <f aca="false">SUMPRODUCT(($B$2:$B$18=$A22)*P$2:P$18*$C$2:$C$18)</f>
        <v>4.85957735799541</v>
      </c>
    </row>
    <row r="23" customFormat="false" ht="15" hidden="false" customHeight="false" outlineLevel="0" collapsed="false">
      <c r="A23" s="4" t="s">
        <v>151</v>
      </c>
      <c r="D23" s="23" t="n">
        <f aca="false">SUMPRODUCT(($B$2:$B$18=$A23)*D$2:D$18*$C$2:$C$18)</f>
        <v>0.40496477983295</v>
      </c>
      <c r="E23" s="23" t="n">
        <f aca="false">SUMPRODUCT(($B$2:$B$18=$A23)*E$2:E$18*$C$2:$C$18)</f>
        <v>0.40496477983295</v>
      </c>
      <c r="F23" s="23" t="n">
        <f aca="false">SUMPRODUCT(($B$2:$B$18=$A23)*F$2:F$18*$C$2:$C$18)</f>
        <v>0.40496477983295</v>
      </c>
      <c r="G23" s="23" t="n">
        <f aca="false">SUMPRODUCT(($B$2:$B$18=$A23)*G$2:G$18*$C$2:$C$18)</f>
        <v>0.40496477983295</v>
      </c>
      <c r="H23" s="23" t="n">
        <f aca="false">SUMPRODUCT(($B$2:$B$18=$A23)*H$2:H$18*$C$2:$C$18)</f>
        <v>0.40496477983295</v>
      </c>
      <c r="I23" s="23" t="n">
        <f aca="false">SUMPRODUCT(($B$2:$B$18=$A23)*I$2:I$18*$C$2:$C$18)</f>
        <v>0.40496477983295</v>
      </c>
      <c r="J23" s="23" t="n">
        <f aca="false">SUMPRODUCT(($B$2:$B$18=$A23)*J$2:J$18*$C$2:$C$18)</f>
        <v>0.40496477983295</v>
      </c>
      <c r="K23" s="23" t="n">
        <f aca="false">SUMPRODUCT(($B$2:$B$18=$A23)*K$2:K$18*$C$2:$C$18)</f>
        <v>0.40496477983295</v>
      </c>
      <c r="L23" s="23" t="n">
        <f aca="false">SUMPRODUCT(($B$2:$B$18=$A23)*L$2:L$18*$C$2:$C$18)</f>
        <v>0.40496477983295</v>
      </c>
      <c r="M23" s="23" t="n">
        <f aca="false">SUMPRODUCT(($B$2:$B$18=$A23)*M$2:M$18*$C$2:$C$18)</f>
        <v>0.40496477983295</v>
      </c>
      <c r="N23" s="23" t="n">
        <f aca="false">SUMPRODUCT(($B$2:$B$18=$A23)*N$2:N$18*$C$2:$C$18)</f>
        <v>0.40496477983295</v>
      </c>
      <c r="O23" s="23" t="n">
        <f aca="false">SUMPRODUCT(($B$2:$B$18=$A23)*O$2:O$18*$C$2:$C$18)</f>
        <v>0.40496477983295</v>
      </c>
      <c r="P23" s="23" t="n">
        <f aca="false">SUMPRODUCT(($B$2:$B$18=$A23)*P$2:P$18*$C$2:$C$18)</f>
        <v>4.85957735799541</v>
      </c>
    </row>
    <row r="24" customFormat="false" ht="15" hidden="false" customHeight="false" outlineLevel="0" collapsed="false">
      <c r="A24" s="4" t="s">
        <v>142</v>
      </c>
      <c r="D24" s="23" t="n">
        <f aca="false">SUMPRODUCT(($B$2:$B$18=$A24)*D$2:D$18*$C$2:$C$18)</f>
        <v>9.44917855198392</v>
      </c>
      <c r="E24" s="23" t="n">
        <f aca="false">SUMPRODUCT(($B$2:$B$18=$A24)*E$2:E$18*$C$2:$C$18)</f>
        <v>9.44917855198392</v>
      </c>
      <c r="F24" s="23" t="n">
        <f aca="false">SUMPRODUCT(($B$2:$B$18=$A24)*F$2:F$18*$C$2:$C$18)</f>
        <v>9.44917855198392</v>
      </c>
      <c r="G24" s="23" t="n">
        <f aca="false">SUMPRODUCT(($B$2:$B$18=$A24)*G$2:G$18*$C$2:$C$18)</f>
        <v>9.44917855198392</v>
      </c>
      <c r="H24" s="23" t="n">
        <f aca="false">SUMPRODUCT(($B$2:$B$18=$A24)*H$2:H$18*$C$2:$C$18)</f>
        <v>9.44917855198392</v>
      </c>
      <c r="I24" s="23" t="n">
        <f aca="false">SUMPRODUCT(($B$2:$B$18=$A24)*I$2:I$18*$C$2:$C$18)</f>
        <v>9.44917855198392</v>
      </c>
      <c r="J24" s="23" t="n">
        <f aca="false">SUMPRODUCT(($B$2:$B$18=$A24)*J$2:J$18*$C$2:$C$18)</f>
        <v>9.44917855198392</v>
      </c>
      <c r="K24" s="23" t="n">
        <f aca="false">SUMPRODUCT(($B$2:$B$18=$A24)*K$2:K$18*$C$2:$C$18)</f>
        <v>9.44917855198392</v>
      </c>
      <c r="L24" s="23" t="n">
        <f aca="false">SUMPRODUCT(($B$2:$B$18=$A24)*L$2:L$18*$C$2:$C$18)</f>
        <v>9.44917855198392</v>
      </c>
      <c r="M24" s="23" t="n">
        <f aca="false">SUMPRODUCT(($B$2:$B$18=$A24)*M$2:M$18*$C$2:$C$18)</f>
        <v>9.44917855198392</v>
      </c>
      <c r="N24" s="23" t="n">
        <f aca="false">SUMPRODUCT(($B$2:$B$18=$A24)*N$2:N$18*$C$2:$C$18)</f>
        <v>9.44917855198392</v>
      </c>
      <c r="O24" s="23" t="n">
        <f aca="false">SUMPRODUCT(($B$2:$B$18=$A24)*O$2:O$18*$C$2:$C$18)</f>
        <v>9.44917855198392</v>
      </c>
      <c r="P24" s="23" t="n">
        <f aca="false">SUMPRODUCT(($B$2:$B$18=$A24)*P$2:P$18*$C$2:$C$18)</f>
        <v>113.390142623807</v>
      </c>
    </row>
    <row r="25" customFormat="false" ht="15" hidden="false" customHeight="false" outlineLevel="0" collapsed="false">
      <c r="A25" s="4" t="s">
        <v>143</v>
      </c>
      <c r="D25" s="23" t="n">
        <f aca="false">SUMPRODUCT(($B$2:$B$18=$A25)*D$2:D$18*$C$2:$C$18)</f>
        <v>3.37470655792154</v>
      </c>
      <c r="E25" s="23" t="n">
        <f aca="false">SUMPRODUCT(($B$2:$B$18=$A25)*E$2:E$18*$C$2:$C$18)</f>
        <v>3.37470655792154</v>
      </c>
      <c r="F25" s="23" t="n">
        <f aca="false">SUMPRODUCT(($B$2:$B$18=$A25)*F$2:F$18*$C$2:$C$18)</f>
        <v>3.37470655792154</v>
      </c>
      <c r="G25" s="23" t="n">
        <f aca="false">SUMPRODUCT(($B$2:$B$18=$A25)*G$2:G$18*$C$2:$C$18)</f>
        <v>3.37470655792154</v>
      </c>
      <c r="H25" s="23" t="n">
        <f aca="false">SUMPRODUCT(($B$2:$B$18=$A25)*H$2:H$18*$C$2:$C$18)</f>
        <v>3.37470655792154</v>
      </c>
      <c r="I25" s="23" t="n">
        <f aca="false">SUMPRODUCT(($B$2:$B$18=$A25)*I$2:I$18*$C$2:$C$18)</f>
        <v>3.37470655792154</v>
      </c>
      <c r="J25" s="23" t="n">
        <f aca="false">SUMPRODUCT(($B$2:$B$18=$A25)*J$2:J$18*$C$2:$C$18)</f>
        <v>3.37470655792154</v>
      </c>
      <c r="K25" s="23" t="n">
        <f aca="false">SUMPRODUCT(($B$2:$B$18=$A25)*K$2:K$18*$C$2:$C$18)</f>
        <v>3.37470655792154</v>
      </c>
      <c r="L25" s="23" t="n">
        <f aca="false">SUMPRODUCT(($B$2:$B$18=$A25)*L$2:L$18*$C$2:$C$18)</f>
        <v>3.37470655792154</v>
      </c>
      <c r="M25" s="23" t="n">
        <f aca="false">SUMPRODUCT(($B$2:$B$18=$A25)*M$2:M$18*$C$2:$C$18)</f>
        <v>3.37470655792154</v>
      </c>
      <c r="N25" s="23" t="n">
        <f aca="false">SUMPRODUCT(($B$2:$B$18=$A25)*N$2:N$18*$C$2:$C$18)</f>
        <v>3.37470655792154</v>
      </c>
      <c r="O25" s="23" t="n">
        <f aca="false">SUMPRODUCT(($B$2:$B$18=$A25)*O$2:O$18*$C$2:$C$18)</f>
        <v>3.37470655792154</v>
      </c>
      <c r="P25" s="23" t="n">
        <f aca="false">SUMPRODUCT(($B$2:$B$18=$A25)*P$2:P$18*$C$2:$C$18)</f>
        <v>40.4964786950585</v>
      </c>
    </row>
    <row r="26" customFormat="false" ht="15" hidden="false" customHeight="false" outlineLevel="0" collapsed="false">
      <c r="A26" s="4" t="s">
        <v>146</v>
      </c>
      <c r="D26" s="23" t="n">
        <f aca="false">SUMPRODUCT(($B$2:$B$18=$A26)*D$2:D$18*$C$2:$C$18)</f>
        <v>4.85957753593628</v>
      </c>
      <c r="E26" s="23" t="n">
        <f aca="false">SUMPRODUCT(($B$2:$B$18=$A26)*E$2:E$18*$C$2:$C$18)</f>
        <v>4.85957753593628</v>
      </c>
      <c r="F26" s="23" t="n">
        <f aca="false">SUMPRODUCT(($B$2:$B$18=$A26)*F$2:F$18*$C$2:$C$18)</f>
        <v>4.85957753593628</v>
      </c>
      <c r="G26" s="23" t="n">
        <f aca="false">SUMPRODUCT(($B$2:$B$18=$A26)*G$2:G$18*$C$2:$C$18)</f>
        <v>4.85957753593628</v>
      </c>
      <c r="H26" s="23" t="n">
        <f aca="false">SUMPRODUCT(($B$2:$B$18=$A26)*H$2:H$18*$C$2:$C$18)</f>
        <v>4.85957753593628</v>
      </c>
      <c r="I26" s="23" t="n">
        <f aca="false">SUMPRODUCT(($B$2:$B$18=$A26)*I$2:I$18*$C$2:$C$18)</f>
        <v>4.85957753593628</v>
      </c>
      <c r="J26" s="23" t="n">
        <f aca="false">SUMPRODUCT(($B$2:$B$18=$A26)*J$2:J$18*$C$2:$C$18)</f>
        <v>4.85957753593628</v>
      </c>
      <c r="K26" s="23" t="n">
        <f aca="false">SUMPRODUCT(($B$2:$B$18=$A26)*K$2:K$18*$C$2:$C$18)</f>
        <v>4.85957753593628</v>
      </c>
      <c r="L26" s="23" t="n">
        <f aca="false">SUMPRODUCT(($B$2:$B$18=$A26)*L$2:L$18*$C$2:$C$18)</f>
        <v>4.85957753593628</v>
      </c>
      <c r="M26" s="23" t="n">
        <f aca="false">SUMPRODUCT(($B$2:$B$18=$A26)*M$2:M$18*$C$2:$C$18)</f>
        <v>4.85957753593628</v>
      </c>
      <c r="N26" s="23" t="n">
        <f aca="false">SUMPRODUCT(($B$2:$B$18=$A26)*N$2:N$18*$C$2:$C$18)</f>
        <v>4.85957753593628</v>
      </c>
      <c r="O26" s="23" t="n">
        <f aca="false">SUMPRODUCT(($B$2:$B$18=$A26)*O$2:O$18*$C$2:$C$18)</f>
        <v>4.85957753593628</v>
      </c>
      <c r="P26" s="23" t="n">
        <f aca="false">SUMPRODUCT(($B$2:$B$18=$A26)*P$2:P$18*$C$2:$C$18)</f>
        <v>58.3149304312353</v>
      </c>
    </row>
    <row r="27" customFormat="false" ht="15" hidden="false" customHeight="false" outlineLevel="0" collapsed="false">
      <c r="A27" s="4" t="s">
        <v>147</v>
      </c>
      <c r="D27" s="23" t="n">
        <f aca="false">SUMPRODUCT(($B$2:$B$18=$A27)*D$2:D$18*$C$2:$C$18)</f>
        <v>34.1520310708119</v>
      </c>
      <c r="E27" s="23" t="n">
        <f aca="false">SUMPRODUCT(($B$2:$B$18=$A27)*E$2:E$18*$C$2:$C$18)</f>
        <v>34.1520310708119</v>
      </c>
      <c r="F27" s="23" t="n">
        <f aca="false">SUMPRODUCT(($B$2:$B$18=$A27)*F$2:F$18*$C$2:$C$18)</f>
        <v>34.1520310708119</v>
      </c>
      <c r="G27" s="23" t="n">
        <f aca="false">SUMPRODUCT(($B$2:$B$18=$A27)*G$2:G$18*$C$2:$C$18)</f>
        <v>34.1520310708119</v>
      </c>
      <c r="H27" s="23" t="n">
        <f aca="false">SUMPRODUCT(($B$2:$B$18=$A27)*H$2:H$18*$C$2:$C$18)</f>
        <v>34.1520310708119</v>
      </c>
      <c r="I27" s="23" t="n">
        <f aca="false">SUMPRODUCT(($B$2:$B$18=$A27)*I$2:I$18*$C$2:$C$18)</f>
        <v>34.1520310708119</v>
      </c>
      <c r="J27" s="23" t="n">
        <f aca="false">SUMPRODUCT(($B$2:$B$18=$A27)*J$2:J$18*$C$2:$C$18)</f>
        <v>34.1520310708119</v>
      </c>
      <c r="K27" s="23" t="n">
        <f aca="false">SUMPRODUCT(($B$2:$B$18=$A27)*K$2:K$18*$C$2:$C$18)</f>
        <v>34.1520310708119</v>
      </c>
      <c r="L27" s="23" t="n">
        <f aca="false">SUMPRODUCT(($B$2:$B$18=$A27)*L$2:L$18*$C$2:$C$18)</f>
        <v>34.1520310708119</v>
      </c>
      <c r="M27" s="23" t="n">
        <f aca="false">SUMPRODUCT(($B$2:$B$18=$A27)*M$2:M$18*$C$2:$C$18)</f>
        <v>34.1520310708119</v>
      </c>
      <c r="N27" s="23" t="n">
        <f aca="false">SUMPRODUCT(($B$2:$B$18=$A27)*N$2:N$18*$C$2:$C$18)</f>
        <v>34.1520310708119</v>
      </c>
      <c r="O27" s="23" t="n">
        <f aca="false">SUMPRODUCT(($B$2:$B$18=$A27)*O$2:O$18*$C$2:$C$18)</f>
        <v>34.1520310708119</v>
      </c>
      <c r="P27" s="23" t="n">
        <f aca="false">SUMPRODUCT(($B$2:$B$18=$A27)*P$2:P$18*$C$2:$C$18)</f>
        <v>409.824372849743</v>
      </c>
    </row>
    <row r="28" customFormat="false" ht="15" hidden="false" customHeight="false" outlineLevel="0" collapsed="false">
      <c r="A28" s="4" t="s">
        <v>150</v>
      </c>
      <c r="D28" s="23" t="n">
        <f aca="false">SUMPRODUCT(($B$2:$B$18=$A28)*D$2:D$18*$C$2:$C$18)</f>
        <v>1.07990613886816</v>
      </c>
      <c r="E28" s="23" t="n">
        <f aca="false">SUMPRODUCT(($B$2:$B$18=$A28)*E$2:E$18*$C$2:$C$18)</f>
        <v>1.07990613886816</v>
      </c>
      <c r="F28" s="23" t="n">
        <f aca="false">SUMPRODUCT(($B$2:$B$18=$A28)*F$2:F$18*$C$2:$C$18)</f>
        <v>1.07990613886816</v>
      </c>
      <c r="G28" s="23" t="n">
        <f aca="false">SUMPRODUCT(($B$2:$B$18=$A28)*G$2:G$18*$C$2:$C$18)</f>
        <v>1.07990613886816</v>
      </c>
      <c r="H28" s="23" t="n">
        <f aca="false">SUMPRODUCT(($B$2:$B$18=$A28)*H$2:H$18*$C$2:$C$18)</f>
        <v>1.07990613886816</v>
      </c>
      <c r="I28" s="23" t="n">
        <f aca="false">SUMPRODUCT(($B$2:$B$18=$A28)*I$2:I$18*$C$2:$C$18)</f>
        <v>1.07990613886816</v>
      </c>
      <c r="J28" s="23" t="n">
        <f aca="false">SUMPRODUCT(($B$2:$B$18=$A28)*J$2:J$18*$C$2:$C$18)</f>
        <v>1.07990613886816</v>
      </c>
      <c r="K28" s="23" t="n">
        <f aca="false">SUMPRODUCT(($B$2:$B$18=$A28)*K$2:K$18*$C$2:$C$18)</f>
        <v>1.07990613886816</v>
      </c>
      <c r="L28" s="23" t="n">
        <f aca="false">SUMPRODUCT(($B$2:$B$18=$A28)*L$2:L$18*$C$2:$C$18)</f>
        <v>1.07990613886816</v>
      </c>
      <c r="M28" s="23" t="n">
        <f aca="false">SUMPRODUCT(($B$2:$B$18=$A28)*M$2:M$18*$C$2:$C$18)</f>
        <v>1.07990613886816</v>
      </c>
      <c r="N28" s="23" t="n">
        <f aca="false">SUMPRODUCT(($B$2:$B$18=$A28)*N$2:N$18*$C$2:$C$18)</f>
        <v>1.07990613886816</v>
      </c>
      <c r="O28" s="23" t="n">
        <f aca="false">SUMPRODUCT(($B$2:$B$18=$A28)*O$2:O$18*$C$2:$C$18)</f>
        <v>1.07990613886816</v>
      </c>
      <c r="P28" s="23" t="n">
        <f aca="false">SUMPRODUCT(($B$2:$B$18=$A28)*P$2:P$18*$C$2:$C$18)</f>
        <v>12.9588736664179</v>
      </c>
    </row>
    <row r="29" customFormat="false" ht="15" hidden="false" customHeight="false" outlineLevel="0" collapsed="false">
      <c r="A29" s="6" t="s">
        <v>271</v>
      </c>
      <c r="D29" s="24" t="n">
        <f aca="false">SUMPRODUCT(D$2:D$18*parametros_recargas!$D$51:$D$67)</f>
        <v>12.2839320701282</v>
      </c>
      <c r="E29" s="24" t="n">
        <f aca="false">SUMPRODUCT(E$2:E$18*parametros_recargas!$D$51:$D$67)</f>
        <v>12.2839320701282</v>
      </c>
      <c r="F29" s="24" t="n">
        <f aca="false">SUMPRODUCT(F$2:F$18*parametros_recargas!$D$51:$D$67)</f>
        <v>12.2839320701282</v>
      </c>
      <c r="G29" s="24" t="n">
        <f aca="false">SUMPRODUCT(G$2:G$18*parametros_recargas!$D$51:$D$67)</f>
        <v>12.2839320701282</v>
      </c>
      <c r="H29" s="24" t="n">
        <f aca="false">SUMPRODUCT(H$2:H$18*parametros_recargas!$D$51:$D$67)</f>
        <v>12.2839320701282</v>
      </c>
      <c r="I29" s="24" t="n">
        <f aca="false">SUMPRODUCT(I$2:I$18*parametros_recargas!$D$51:$D$67)</f>
        <v>12.2839320701282</v>
      </c>
      <c r="J29" s="24" t="n">
        <f aca="false">SUMPRODUCT(J$2:J$18*parametros_recargas!$D$51:$D$67)</f>
        <v>12.2839320701282</v>
      </c>
      <c r="K29" s="24" t="n">
        <f aca="false">SUMPRODUCT(K$2:K$18*parametros_recargas!$D$51:$D$67)</f>
        <v>12.2839320701282</v>
      </c>
      <c r="L29" s="24" t="n">
        <f aca="false">SUMPRODUCT(L$2:L$18*parametros_recargas!$D$51:$D$67)</f>
        <v>12.2839320701282</v>
      </c>
      <c r="M29" s="24" t="n">
        <f aca="false">SUMPRODUCT(M$2:M$18*parametros_recargas!$D$51:$D$67)</f>
        <v>12.2839320701282</v>
      </c>
      <c r="N29" s="24" t="n">
        <f aca="false">SUMPRODUCT(N$2:N$18*parametros_recargas!$D$51:$D$67)</f>
        <v>12.2839320701282</v>
      </c>
      <c r="O29" s="24" t="n">
        <f aca="false">SUMPRODUCT(O$2:O$18*parametros_recargas!$D$51:$D$67)</f>
        <v>12.2839320701282</v>
      </c>
      <c r="P29" s="24" t="n">
        <f aca="false">SUMPRODUCT(P$2:P$18*parametros_recargas!$D$51:$D$67)</f>
        <v>147.407184841538</v>
      </c>
    </row>
    <row r="33" customFormat="false" ht="23.85" hidden="false" customHeight="false" outlineLevel="0" collapsed="false">
      <c r="A33" s="21" t="n">
        <v>2027</v>
      </c>
      <c r="B33" s="3" t="s">
        <v>266</v>
      </c>
      <c r="C33" s="3" t="s">
        <v>267</v>
      </c>
      <c r="D33" s="3" t="s">
        <v>120</v>
      </c>
      <c r="E33" s="3" t="s">
        <v>121</v>
      </c>
      <c r="F33" s="3" t="s">
        <v>122</v>
      </c>
      <c r="G33" s="3" t="s">
        <v>123</v>
      </c>
      <c r="H33" s="3" t="s">
        <v>124</v>
      </c>
      <c r="I33" s="3" t="s">
        <v>125</v>
      </c>
      <c r="J33" s="3" t="s">
        <v>126</v>
      </c>
      <c r="K33" s="3" t="s">
        <v>127</v>
      </c>
      <c r="L33" s="3" t="s">
        <v>128</v>
      </c>
      <c r="M33" s="3" t="s">
        <v>129</v>
      </c>
      <c r="N33" s="3" t="s">
        <v>130</v>
      </c>
      <c r="O33" s="3" t="s">
        <v>131</v>
      </c>
      <c r="P33" s="3" t="s">
        <v>132</v>
      </c>
      <c r="Q33" s="3" t="s">
        <v>268</v>
      </c>
    </row>
    <row r="34" customFormat="false" ht="15" hidden="false" customHeight="false" outlineLevel="0" collapsed="false">
      <c r="A34" s="12" t="str">
        <f aca="false">parametros_recargas!A51</f>
        <v>ABC 1 kg</v>
      </c>
      <c r="B34" s="12" t="str">
        <f aca="false">parametros_recargas!B51</f>
        <v>ABC</v>
      </c>
      <c r="C34" s="22" t="n">
        <f aca="false">parametros_recargas!C51</f>
        <v>1</v>
      </c>
      <c r="D34" s="23" t="n">
        <f aca="false">datos_base!$C$2*parametros_recargas!$B$38+sobrestock_sustitutos!$C$175/12</f>
        <v>1006.58694476174</v>
      </c>
      <c r="E34" s="23" t="n">
        <f aca="false">datos_base!$C$2*parametros_recargas!$C$38+sobrestock_sustitutos!$C$175/12</f>
        <v>1006.58694476174</v>
      </c>
      <c r="F34" s="23" t="n">
        <f aca="false">datos_base!$C$2*parametros_recargas!$D$38+sobrestock_sustitutos!$C$175/12</f>
        <v>1006.58694476174</v>
      </c>
      <c r="G34" s="23" t="n">
        <f aca="false">datos_base!$C$2*parametros_recargas!$E$38+sobrestock_sustitutos!$C$175/12</f>
        <v>1006.58694476174</v>
      </c>
      <c r="H34" s="23" t="n">
        <f aca="false">datos_base!$C$2*parametros_recargas!$F$38+sobrestock_sustitutos!$C$175/12</f>
        <v>1006.58694476174</v>
      </c>
      <c r="I34" s="23" t="n">
        <f aca="false">datos_base!$C$2*parametros_recargas!$G$38+sobrestock_sustitutos!$C$175/12</f>
        <v>1006.58694476174</v>
      </c>
      <c r="J34" s="23" t="n">
        <f aca="false">datos_base!$C$2*parametros_recargas!$H$38+sobrestock_sustitutos!$C$175/12</f>
        <v>1006.58694476174</v>
      </c>
      <c r="K34" s="23" t="n">
        <f aca="false">datos_base!$C$2*parametros_recargas!$I$38+sobrestock_sustitutos!$C$175/12</f>
        <v>1006.58694476174</v>
      </c>
      <c r="L34" s="23" t="n">
        <f aca="false">datos_base!$C$2*parametros_recargas!$J$38+sobrestock_sustitutos!$C$175/12</f>
        <v>1006.58694476174</v>
      </c>
      <c r="M34" s="23" t="n">
        <f aca="false">datos_base!$C$2*parametros_recargas!$K$38+sobrestock_sustitutos!$C$175/12</f>
        <v>1006.58694476174</v>
      </c>
      <c r="N34" s="23" t="n">
        <f aca="false">datos_base!$C$2*parametros_recargas!$L$38+sobrestock_sustitutos!$C$175/12</f>
        <v>1006.58694476174</v>
      </c>
      <c r="O34" s="23" t="n">
        <f aca="false">datos_base!$C$2*parametros_recargas!$M$38+sobrestock_sustitutos!$C$175/12</f>
        <v>1006.58694476174</v>
      </c>
      <c r="P34" s="7" t="n">
        <f aca="false">SUM(D34:O34)</f>
        <v>12079.0433371409</v>
      </c>
      <c r="Q34" s="13" t="n">
        <f aca="false">sobrestock_sustitutos!$C$175</f>
        <v>0</v>
      </c>
    </row>
    <row r="35" customFormat="false" ht="15" hidden="false" customHeight="false" outlineLevel="0" collapsed="false">
      <c r="A35" s="12" t="str">
        <f aca="false">parametros_recargas!A52</f>
        <v>ABC 2,5 kg</v>
      </c>
      <c r="B35" s="12" t="str">
        <f aca="false">parametros_recargas!B52</f>
        <v>ABC</v>
      </c>
      <c r="C35" s="22" t="n">
        <f aca="false">parametros_recargas!C52</f>
        <v>1</v>
      </c>
      <c r="D35" s="23" t="n">
        <f aca="false">datos_base!$C$3*parametros_recargas!$B$38+sobrestock_sustitutos!$C$176/12</f>
        <v>76.3611920384838</v>
      </c>
      <c r="E35" s="23" t="n">
        <f aca="false">datos_base!$C$3*parametros_recargas!$C$38+sobrestock_sustitutos!$C$176/12</f>
        <v>76.3611920384838</v>
      </c>
      <c r="F35" s="23" t="n">
        <f aca="false">datos_base!$C$3*parametros_recargas!$D$38+sobrestock_sustitutos!$C$176/12</f>
        <v>76.3611920384838</v>
      </c>
      <c r="G35" s="23" t="n">
        <f aca="false">datos_base!$C$3*parametros_recargas!$E$38+sobrestock_sustitutos!$C$176/12</f>
        <v>76.3611920384838</v>
      </c>
      <c r="H35" s="23" t="n">
        <f aca="false">datos_base!$C$3*parametros_recargas!$F$38+sobrestock_sustitutos!$C$176/12</f>
        <v>76.3611920384838</v>
      </c>
      <c r="I35" s="23" t="n">
        <f aca="false">datos_base!$C$3*parametros_recargas!$G$38+sobrestock_sustitutos!$C$176/12</f>
        <v>76.3611920384838</v>
      </c>
      <c r="J35" s="23" t="n">
        <f aca="false">datos_base!$C$3*parametros_recargas!$H$38+sobrestock_sustitutos!$C$176/12</f>
        <v>76.3611920384838</v>
      </c>
      <c r="K35" s="23" t="n">
        <f aca="false">datos_base!$C$3*parametros_recargas!$I$38+sobrestock_sustitutos!$C$176/12</f>
        <v>76.3611920384838</v>
      </c>
      <c r="L35" s="23" t="n">
        <f aca="false">datos_base!$C$3*parametros_recargas!$J$38+sobrestock_sustitutos!$C$176/12</f>
        <v>76.3611920384838</v>
      </c>
      <c r="M35" s="23" t="n">
        <f aca="false">datos_base!$C$3*parametros_recargas!$K$38+sobrestock_sustitutos!$C$176/12</f>
        <v>76.3611920384838</v>
      </c>
      <c r="N35" s="23" t="n">
        <f aca="false">datos_base!$C$3*parametros_recargas!$L$38+sobrestock_sustitutos!$C$176/12</f>
        <v>76.3611920384838</v>
      </c>
      <c r="O35" s="23" t="n">
        <f aca="false">datos_base!$C$3*parametros_recargas!$M$38+sobrestock_sustitutos!$C$176/12</f>
        <v>76.3611920384838</v>
      </c>
      <c r="P35" s="7" t="n">
        <f aca="false">SUM(D35:O35)</f>
        <v>916.334304461805</v>
      </c>
      <c r="Q35" s="13" t="n">
        <f aca="false">sobrestock_sustitutos!$C$176</f>
        <v>0</v>
      </c>
    </row>
    <row r="36" customFormat="false" ht="15" hidden="false" customHeight="false" outlineLevel="0" collapsed="false">
      <c r="A36" s="12" t="str">
        <f aca="false">parametros_recargas!A53</f>
        <v>ABC 5 kg</v>
      </c>
      <c r="B36" s="12" t="str">
        <f aca="false">parametros_recargas!B53</f>
        <v>ABC</v>
      </c>
      <c r="C36" s="22" t="n">
        <f aca="false">parametros_recargas!C53</f>
        <v>1</v>
      </c>
      <c r="D36" s="23" t="n">
        <f aca="false">datos_base!$C$4*parametros_recargas!$B$38+sobrestock_sustitutos!$C$177/12</f>
        <v>466.350599832113</v>
      </c>
      <c r="E36" s="23" t="n">
        <f aca="false">datos_base!$C$4*parametros_recargas!$C$38+sobrestock_sustitutos!$C$177/12</f>
        <v>466.350599832113</v>
      </c>
      <c r="F36" s="23" t="n">
        <f aca="false">datos_base!$C$4*parametros_recargas!$D$38+sobrestock_sustitutos!$C$177/12</f>
        <v>466.350599832113</v>
      </c>
      <c r="G36" s="23" t="n">
        <f aca="false">datos_base!$C$4*parametros_recargas!$E$38+sobrestock_sustitutos!$C$177/12</f>
        <v>466.350599832113</v>
      </c>
      <c r="H36" s="23" t="n">
        <f aca="false">datos_base!$C$4*parametros_recargas!$F$38+sobrestock_sustitutos!$C$177/12</f>
        <v>466.350599832113</v>
      </c>
      <c r="I36" s="23" t="n">
        <f aca="false">datos_base!$C$4*parametros_recargas!$G$38+sobrestock_sustitutos!$C$177/12</f>
        <v>466.350599832113</v>
      </c>
      <c r="J36" s="23" t="n">
        <f aca="false">datos_base!$C$4*parametros_recargas!$H$38+sobrestock_sustitutos!$C$177/12</f>
        <v>466.350599832113</v>
      </c>
      <c r="K36" s="23" t="n">
        <f aca="false">datos_base!$C$4*parametros_recargas!$I$38+sobrestock_sustitutos!$C$177/12</f>
        <v>466.350599832113</v>
      </c>
      <c r="L36" s="23" t="n">
        <f aca="false">datos_base!$C$4*parametros_recargas!$J$38+sobrestock_sustitutos!$C$177/12</f>
        <v>466.350599832113</v>
      </c>
      <c r="M36" s="23" t="n">
        <f aca="false">datos_base!$C$4*parametros_recargas!$K$38+sobrestock_sustitutos!$C$177/12</f>
        <v>466.350599832113</v>
      </c>
      <c r="N36" s="23" t="n">
        <f aca="false">datos_base!$C$4*parametros_recargas!$L$38+sobrestock_sustitutos!$C$177/12</f>
        <v>466.350599832113</v>
      </c>
      <c r="O36" s="23" t="n">
        <f aca="false">datos_base!$C$4*parametros_recargas!$M$38+sobrestock_sustitutos!$C$177/12</f>
        <v>466.350599832113</v>
      </c>
      <c r="P36" s="7" t="n">
        <f aca="false">SUM(D36:O36)</f>
        <v>5596.20719798536</v>
      </c>
      <c r="Q36" s="13" t="n">
        <f aca="false">sobrestock_sustitutos!$C$177</f>
        <v>7</v>
      </c>
    </row>
    <row r="37" customFormat="false" ht="15" hidden="false" customHeight="false" outlineLevel="0" collapsed="false">
      <c r="A37" s="12" t="str">
        <f aca="false">parametros_recargas!A54</f>
        <v>ABC 10 kg</v>
      </c>
      <c r="B37" s="12" t="str">
        <f aca="false">parametros_recargas!B54</f>
        <v>ABC</v>
      </c>
      <c r="C37" s="22" t="n">
        <f aca="false">parametros_recargas!C54</f>
        <v>1</v>
      </c>
      <c r="D37" s="23" t="n">
        <f aca="false">datos_base!$C$5*parametros_recargas!$B$38+sobrestock_sustitutos!$C$178/12</f>
        <v>26.0458900928408</v>
      </c>
      <c r="E37" s="23" t="n">
        <f aca="false">datos_base!$C$5*parametros_recargas!$C$38+sobrestock_sustitutos!$C$178/12</f>
        <v>26.0458900928408</v>
      </c>
      <c r="F37" s="23" t="n">
        <f aca="false">datos_base!$C$5*parametros_recargas!$D$38+sobrestock_sustitutos!$C$178/12</f>
        <v>26.0458900928408</v>
      </c>
      <c r="G37" s="23" t="n">
        <f aca="false">datos_base!$C$5*parametros_recargas!$E$38+sobrestock_sustitutos!$C$178/12</f>
        <v>26.0458900928408</v>
      </c>
      <c r="H37" s="23" t="n">
        <f aca="false">datos_base!$C$5*parametros_recargas!$F$38+sobrestock_sustitutos!$C$178/12</f>
        <v>26.0458900928408</v>
      </c>
      <c r="I37" s="23" t="n">
        <f aca="false">datos_base!$C$5*parametros_recargas!$G$38+sobrestock_sustitutos!$C$178/12</f>
        <v>26.0458900928408</v>
      </c>
      <c r="J37" s="23" t="n">
        <f aca="false">datos_base!$C$5*parametros_recargas!$H$38+sobrestock_sustitutos!$C$178/12</f>
        <v>26.0458900928408</v>
      </c>
      <c r="K37" s="23" t="n">
        <f aca="false">datos_base!$C$5*parametros_recargas!$I$38+sobrestock_sustitutos!$C$178/12</f>
        <v>26.0458900928408</v>
      </c>
      <c r="L37" s="23" t="n">
        <f aca="false">datos_base!$C$5*parametros_recargas!$J$38+sobrestock_sustitutos!$C$178/12</f>
        <v>26.0458900928408</v>
      </c>
      <c r="M37" s="23" t="n">
        <f aca="false">datos_base!$C$5*parametros_recargas!$K$38+sobrestock_sustitutos!$C$178/12</f>
        <v>26.0458900928408</v>
      </c>
      <c r="N37" s="23" t="n">
        <f aca="false">datos_base!$C$5*parametros_recargas!$L$38+sobrestock_sustitutos!$C$178/12</f>
        <v>26.0458900928408</v>
      </c>
      <c r="O37" s="23" t="n">
        <f aca="false">datos_base!$C$5*parametros_recargas!$M$38+sobrestock_sustitutos!$C$178/12</f>
        <v>26.0458900928408</v>
      </c>
      <c r="P37" s="7" t="n">
        <f aca="false">SUM(D37:O37)</f>
        <v>312.55068111409</v>
      </c>
      <c r="Q37" s="13" t="n">
        <f aca="false">sobrestock_sustitutos!$C$178</f>
        <v>1</v>
      </c>
    </row>
    <row r="38" customFormat="false" ht="15" hidden="false" customHeight="false" outlineLevel="0" collapsed="false">
      <c r="A38" s="12" t="str">
        <f aca="false">parametros_recargas!A55</f>
        <v>Agua 10 l</v>
      </c>
      <c r="B38" s="12" t="str">
        <f aca="false">parametros_recargas!B55</f>
        <v>Agua</v>
      </c>
      <c r="C38" s="22" t="n">
        <f aca="false">parametros_recargas!C55</f>
        <v>1</v>
      </c>
      <c r="D38" s="23" t="n">
        <f aca="false">datos_base!$C$6*parametros_recargas!$B$38+sobrestock_sustitutos!$C$179/12</f>
        <v>38.2471157194288</v>
      </c>
      <c r="E38" s="23" t="n">
        <f aca="false">datos_base!$C$6*parametros_recargas!$C$38+sobrestock_sustitutos!$C$179/12</f>
        <v>38.2471157194288</v>
      </c>
      <c r="F38" s="23" t="n">
        <f aca="false">datos_base!$C$6*parametros_recargas!$D$38+sobrestock_sustitutos!$C$179/12</f>
        <v>38.2471157194288</v>
      </c>
      <c r="G38" s="23" t="n">
        <f aca="false">datos_base!$C$6*parametros_recargas!$E$38+sobrestock_sustitutos!$C$179/12</f>
        <v>38.2471157194288</v>
      </c>
      <c r="H38" s="23" t="n">
        <f aca="false">datos_base!$C$6*parametros_recargas!$F$38+sobrestock_sustitutos!$C$179/12</f>
        <v>38.2471157194288</v>
      </c>
      <c r="I38" s="23" t="n">
        <f aca="false">datos_base!$C$6*parametros_recargas!$G$38+sobrestock_sustitutos!$C$179/12</f>
        <v>38.2471157194288</v>
      </c>
      <c r="J38" s="23" t="n">
        <f aca="false">datos_base!$C$6*parametros_recargas!$H$38+sobrestock_sustitutos!$C$179/12</f>
        <v>38.2471157194288</v>
      </c>
      <c r="K38" s="23" t="n">
        <f aca="false">datos_base!$C$6*parametros_recargas!$I$38+sobrestock_sustitutos!$C$179/12</f>
        <v>38.2471157194288</v>
      </c>
      <c r="L38" s="23" t="n">
        <f aca="false">datos_base!$C$6*parametros_recargas!$J$38+sobrestock_sustitutos!$C$179/12</f>
        <v>38.2471157194288</v>
      </c>
      <c r="M38" s="23" t="n">
        <f aca="false">datos_base!$C$6*parametros_recargas!$K$38+sobrestock_sustitutos!$C$179/12</f>
        <v>38.2471157194288</v>
      </c>
      <c r="N38" s="23" t="n">
        <f aca="false">datos_base!$C$6*parametros_recargas!$L$38+sobrestock_sustitutos!$C$179/12</f>
        <v>38.2471157194288</v>
      </c>
      <c r="O38" s="23" t="n">
        <f aca="false">datos_base!$C$6*parametros_recargas!$M$38+sobrestock_sustitutos!$C$179/12</f>
        <v>38.2471157194288</v>
      </c>
      <c r="P38" s="7" t="n">
        <f aca="false">SUM(D38:O38)</f>
        <v>458.965388633145</v>
      </c>
      <c r="Q38" s="13" t="n">
        <f aca="false">sobrestock_sustitutos!$C$179</f>
        <v>1</v>
      </c>
    </row>
    <row r="39" customFormat="false" ht="15" hidden="false" customHeight="false" outlineLevel="0" collapsed="false">
      <c r="A39" s="12" t="str">
        <f aca="false">parametros_recargas!A56</f>
        <v>AFFF 10 l</v>
      </c>
      <c r="B39" s="12" t="str">
        <f aca="false">parametros_recargas!B56</f>
        <v>AFFF</v>
      </c>
      <c r="C39" s="22" t="n">
        <f aca="false">parametros_recargas!C56</f>
        <v>1</v>
      </c>
      <c r="D39" s="23" t="n">
        <f aca="false">datos_base!$C$7*parametros_recargas!$B$38+sobrestock_sustitutos!$C$180/12</f>
        <v>9.65155521946002</v>
      </c>
      <c r="E39" s="23" t="n">
        <f aca="false">datos_base!$C$7*parametros_recargas!$C$38+sobrestock_sustitutos!$C$180/12</f>
        <v>9.65155521946002</v>
      </c>
      <c r="F39" s="23" t="n">
        <f aca="false">datos_base!$C$7*parametros_recargas!$D$38+sobrestock_sustitutos!$C$180/12</f>
        <v>9.65155521946002</v>
      </c>
      <c r="G39" s="23" t="n">
        <f aca="false">datos_base!$C$7*parametros_recargas!$E$38+sobrestock_sustitutos!$C$180/12</f>
        <v>9.65155521946002</v>
      </c>
      <c r="H39" s="23" t="n">
        <f aca="false">datos_base!$C$7*parametros_recargas!$F$38+sobrestock_sustitutos!$C$180/12</f>
        <v>9.65155521946002</v>
      </c>
      <c r="I39" s="23" t="n">
        <f aca="false">datos_base!$C$7*parametros_recargas!$G$38+sobrestock_sustitutos!$C$180/12</f>
        <v>9.65155521946002</v>
      </c>
      <c r="J39" s="23" t="n">
        <f aca="false">datos_base!$C$7*parametros_recargas!$H$38+sobrestock_sustitutos!$C$180/12</f>
        <v>9.65155521946002</v>
      </c>
      <c r="K39" s="23" t="n">
        <f aca="false">datos_base!$C$7*parametros_recargas!$I$38+sobrestock_sustitutos!$C$180/12</f>
        <v>9.65155521946002</v>
      </c>
      <c r="L39" s="23" t="n">
        <f aca="false">datos_base!$C$7*parametros_recargas!$J$38+sobrestock_sustitutos!$C$180/12</f>
        <v>9.65155521946002</v>
      </c>
      <c r="M39" s="23" t="n">
        <f aca="false">datos_base!$C$7*parametros_recargas!$K$38+sobrestock_sustitutos!$C$180/12</f>
        <v>9.65155521946002</v>
      </c>
      <c r="N39" s="23" t="n">
        <f aca="false">datos_base!$C$7*parametros_recargas!$L$38+sobrestock_sustitutos!$C$180/12</f>
        <v>9.65155521946002</v>
      </c>
      <c r="O39" s="23" t="n">
        <f aca="false">datos_base!$C$7*parametros_recargas!$M$38+sobrestock_sustitutos!$C$180/12</f>
        <v>9.65155521946002</v>
      </c>
      <c r="P39" s="7" t="n">
        <f aca="false">SUM(D39:O39)</f>
        <v>115.81866263352</v>
      </c>
      <c r="Q39" s="13" t="n">
        <f aca="false">sobrestock_sustitutos!$C$180</f>
        <v>1</v>
      </c>
    </row>
    <row r="40" customFormat="false" ht="15" hidden="false" customHeight="false" outlineLevel="0" collapsed="false">
      <c r="A40" s="12" t="str">
        <f aca="false">parametros_recargas!A57</f>
        <v>AFFF 50 l s/ruedas</v>
      </c>
      <c r="B40" s="12" t="str">
        <f aca="false">parametros_recargas!B57</f>
        <v>AFFF</v>
      </c>
      <c r="C40" s="22" t="n">
        <f aca="false">parametros_recargas!C57</f>
        <v>3</v>
      </c>
      <c r="D40" s="23" t="n">
        <f aca="false">datos_base!$C$8*parametros_recargas!$B$38+sobrestock_sustitutos!$C$181/12</f>
        <v>5.01962195095569</v>
      </c>
      <c r="E40" s="23" t="n">
        <f aca="false">datos_base!$C$8*parametros_recargas!$C$38+sobrestock_sustitutos!$C$181/12</f>
        <v>5.01962195095569</v>
      </c>
      <c r="F40" s="23" t="n">
        <f aca="false">datos_base!$C$8*parametros_recargas!$D$38+sobrestock_sustitutos!$C$181/12</f>
        <v>5.01962195095569</v>
      </c>
      <c r="G40" s="23" t="n">
        <f aca="false">datos_base!$C$8*parametros_recargas!$E$38+sobrestock_sustitutos!$C$181/12</f>
        <v>5.01962195095569</v>
      </c>
      <c r="H40" s="23" t="n">
        <f aca="false">datos_base!$C$8*parametros_recargas!$F$38+sobrestock_sustitutos!$C$181/12</f>
        <v>5.01962195095569</v>
      </c>
      <c r="I40" s="23" t="n">
        <f aca="false">datos_base!$C$8*parametros_recargas!$G$38+sobrestock_sustitutos!$C$181/12</f>
        <v>5.01962195095569</v>
      </c>
      <c r="J40" s="23" t="n">
        <f aca="false">datos_base!$C$8*parametros_recargas!$H$38+sobrestock_sustitutos!$C$181/12</f>
        <v>5.01962195095569</v>
      </c>
      <c r="K40" s="23" t="n">
        <f aca="false">datos_base!$C$8*parametros_recargas!$I$38+sobrestock_sustitutos!$C$181/12</f>
        <v>5.01962195095569</v>
      </c>
      <c r="L40" s="23" t="n">
        <f aca="false">datos_base!$C$8*parametros_recargas!$J$38+sobrestock_sustitutos!$C$181/12</f>
        <v>5.01962195095569</v>
      </c>
      <c r="M40" s="23" t="n">
        <f aca="false">datos_base!$C$8*parametros_recargas!$K$38+sobrestock_sustitutos!$C$181/12</f>
        <v>5.01962195095569</v>
      </c>
      <c r="N40" s="23" t="n">
        <f aca="false">datos_base!$C$8*parametros_recargas!$L$38+sobrestock_sustitutos!$C$181/12</f>
        <v>5.01962195095569</v>
      </c>
      <c r="O40" s="23" t="n">
        <f aca="false">datos_base!$C$8*parametros_recargas!$M$38+sobrestock_sustitutos!$C$181/12</f>
        <v>5.01962195095569</v>
      </c>
      <c r="P40" s="7" t="n">
        <f aca="false">SUM(D40:O40)</f>
        <v>60.2354634114683</v>
      </c>
      <c r="Q40" s="13" t="n">
        <f aca="false">sobrestock_sustitutos!$C$181</f>
        <v>1</v>
      </c>
    </row>
    <row r="41" customFormat="false" ht="15" hidden="false" customHeight="false" outlineLevel="0" collapsed="false">
      <c r="A41" s="12" t="str">
        <f aca="false">parametros_recargas!A58</f>
        <v>BC 5 kg</v>
      </c>
      <c r="B41" s="12" t="str">
        <f aca="false">parametros_recargas!B58</f>
        <v>BC</v>
      </c>
      <c r="C41" s="22" t="n">
        <f aca="false">parametros_recargas!C58</f>
        <v>1</v>
      </c>
      <c r="D41" s="23" t="n">
        <f aca="false">datos_base!$C$9*parametros_recargas!$B$38+sobrestock_sustitutos!$C$182/12</f>
        <v>2.87541022411688</v>
      </c>
      <c r="E41" s="23" t="n">
        <f aca="false">datos_base!$C$9*parametros_recargas!$C$38+sobrestock_sustitutos!$C$182/12</f>
        <v>2.87541022411688</v>
      </c>
      <c r="F41" s="23" t="n">
        <f aca="false">datos_base!$C$9*parametros_recargas!$D$38+sobrestock_sustitutos!$C$182/12</f>
        <v>2.87541022411688</v>
      </c>
      <c r="G41" s="23" t="n">
        <f aca="false">datos_base!$C$9*parametros_recargas!$E$38+sobrestock_sustitutos!$C$182/12</f>
        <v>2.87541022411688</v>
      </c>
      <c r="H41" s="23" t="n">
        <f aca="false">datos_base!$C$9*parametros_recargas!$F$38+sobrestock_sustitutos!$C$182/12</f>
        <v>2.87541022411688</v>
      </c>
      <c r="I41" s="23" t="n">
        <f aca="false">datos_base!$C$9*parametros_recargas!$G$38+sobrestock_sustitutos!$C$182/12</f>
        <v>2.87541022411688</v>
      </c>
      <c r="J41" s="23" t="n">
        <f aca="false">datos_base!$C$9*parametros_recargas!$H$38+sobrestock_sustitutos!$C$182/12</f>
        <v>2.87541022411688</v>
      </c>
      <c r="K41" s="23" t="n">
        <f aca="false">datos_base!$C$9*parametros_recargas!$I$38+sobrestock_sustitutos!$C$182/12</f>
        <v>2.87541022411688</v>
      </c>
      <c r="L41" s="23" t="n">
        <f aca="false">datos_base!$C$9*parametros_recargas!$J$38+sobrestock_sustitutos!$C$182/12</f>
        <v>2.87541022411688</v>
      </c>
      <c r="M41" s="23" t="n">
        <f aca="false">datos_base!$C$9*parametros_recargas!$K$38+sobrestock_sustitutos!$C$182/12</f>
        <v>2.87541022411688</v>
      </c>
      <c r="N41" s="23" t="n">
        <f aca="false">datos_base!$C$9*parametros_recargas!$L$38+sobrestock_sustitutos!$C$182/12</f>
        <v>2.87541022411688</v>
      </c>
      <c r="O41" s="23" t="n">
        <f aca="false">datos_base!$C$9*parametros_recargas!$M$38+sobrestock_sustitutos!$C$182/12</f>
        <v>2.87541022411688</v>
      </c>
      <c r="P41" s="7" t="n">
        <f aca="false">SUM(D41:O41)</f>
        <v>34.5049226894026</v>
      </c>
      <c r="Q41" s="13" t="n">
        <f aca="false">sobrestock_sustitutos!$C$182</f>
        <v>1</v>
      </c>
    </row>
    <row r="42" customFormat="false" ht="15" hidden="false" customHeight="false" outlineLevel="0" collapsed="false">
      <c r="A42" s="12" t="str">
        <f aca="false">parametros_recargas!A59</f>
        <v>Sales K 6 l</v>
      </c>
      <c r="B42" s="12" t="str">
        <f aca="false">parametros_recargas!B59</f>
        <v>Sales K</v>
      </c>
      <c r="C42" s="22" t="n">
        <f aca="false">parametros_recargas!C59</f>
        <v>1</v>
      </c>
      <c r="D42" s="23" t="n">
        <f aca="false">datos_base!$C$10*parametros_recargas!$B$38+sobrestock_sustitutos!$C$183/12</f>
        <v>19.9770550877132</v>
      </c>
      <c r="E42" s="23" t="n">
        <f aca="false">datos_base!$C$10*parametros_recargas!$C$38+sobrestock_sustitutos!$C$183/12</f>
        <v>19.9770550877132</v>
      </c>
      <c r="F42" s="23" t="n">
        <f aca="false">datos_base!$C$10*parametros_recargas!$D$38+sobrestock_sustitutos!$C$183/12</f>
        <v>19.9770550877132</v>
      </c>
      <c r="G42" s="23" t="n">
        <f aca="false">datos_base!$C$10*parametros_recargas!$E$38+sobrestock_sustitutos!$C$183/12</f>
        <v>19.9770550877132</v>
      </c>
      <c r="H42" s="23" t="n">
        <f aca="false">datos_base!$C$10*parametros_recargas!$F$38+sobrestock_sustitutos!$C$183/12</f>
        <v>19.9770550877132</v>
      </c>
      <c r="I42" s="23" t="n">
        <f aca="false">datos_base!$C$10*parametros_recargas!$G$38+sobrestock_sustitutos!$C$183/12</f>
        <v>19.9770550877132</v>
      </c>
      <c r="J42" s="23" t="n">
        <f aca="false">datos_base!$C$10*parametros_recargas!$H$38+sobrestock_sustitutos!$C$183/12</f>
        <v>19.9770550877132</v>
      </c>
      <c r="K42" s="23" t="n">
        <f aca="false">datos_base!$C$10*parametros_recargas!$I$38+sobrestock_sustitutos!$C$183/12</f>
        <v>19.9770550877132</v>
      </c>
      <c r="L42" s="23" t="n">
        <f aca="false">datos_base!$C$10*parametros_recargas!$J$38+sobrestock_sustitutos!$C$183/12</f>
        <v>19.9770550877132</v>
      </c>
      <c r="M42" s="23" t="n">
        <f aca="false">datos_base!$C$10*parametros_recargas!$K$38+sobrestock_sustitutos!$C$183/12</f>
        <v>19.9770550877132</v>
      </c>
      <c r="N42" s="23" t="n">
        <f aca="false">datos_base!$C$10*parametros_recargas!$L$38+sobrestock_sustitutos!$C$183/12</f>
        <v>19.9770550877132</v>
      </c>
      <c r="O42" s="23" t="n">
        <f aca="false">datos_base!$C$10*parametros_recargas!$M$38+sobrestock_sustitutos!$C$183/12</f>
        <v>19.9770550877132</v>
      </c>
      <c r="P42" s="7" t="n">
        <f aca="false">SUM(D42:O42)</f>
        <v>239.724661052559</v>
      </c>
      <c r="Q42" s="13" t="n">
        <f aca="false">sobrestock_sustitutos!$C$183</f>
        <v>1</v>
      </c>
    </row>
    <row r="43" customFormat="false" ht="15" hidden="false" customHeight="false" outlineLevel="0" collapsed="false">
      <c r="A43" s="12" t="str">
        <f aca="false">parametros_recargas!A60</f>
        <v>CO₂ 2 kg</v>
      </c>
      <c r="B43" s="12" t="str">
        <f aca="false">parametros_recargas!B60</f>
        <v>CO₂</v>
      </c>
      <c r="C43" s="22" t="n">
        <f aca="false">parametros_recargas!C60</f>
        <v>1</v>
      </c>
      <c r="D43" s="23" t="n">
        <f aca="false">datos_base!$C$11*parametros_recargas!$B$38+sobrestock_sustitutos!$C$184/12</f>
        <v>100.665985662783</v>
      </c>
      <c r="E43" s="23" t="n">
        <f aca="false">datos_base!$C$11*parametros_recargas!$C$38+sobrestock_sustitutos!$C$184/12</f>
        <v>100.665985662783</v>
      </c>
      <c r="F43" s="23" t="n">
        <f aca="false">datos_base!$C$11*parametros_recargas!$D$38+sobrestock_sustitutos!$C$184/12</f>
        <v>100.665985662783</v>
      </c>
      <c r="G43" s="23" t="n">
        <f aca="false">datos_base!$C$11*parametros_recargas!$E$38+sobrestock_sustitutos!$C$184/12</f>
        <v>100.665985662783</v>
      </c>
      <c r="H43" s="23" t="n">
        <f aca="false">datos_base!$C$11*parametros_recargas!$F$38+sobrestock_sustitutos!$C$184/12</f>
        <v>100.665985662783</v>
      </c>
      <c r="I43" s="23" t="n">
        <f aca="false">datos_base!$C$11*parametros_recargas!$G$38+sobrestock_sustitutos!$C$184/12</f>
        <v>100.665985662783</v>
      </c>
      <c r="J43" s="23" t="n">
        <f aca="false">datos_base!$C$11*parametros_recargas!$H$38+sobrestock_sustitutos!$C$184/12</f>
        <v>100.665985662783</v>
      </c>
      <c r="K43" s="23" t="n">
        <f aca="false">datos_base!$C$11*parametros_recargas!$I$38+sobrestock_sustitutos!$C$184/12</f>
        <v>100.665985662783</v>
      </c>
      <c r="L43" s="23" t="n">
        <f aca="false">datos_base!$C$11*parametros_recargas!$J$38+sobrestock_sustitutos!$C$184/12</f>
        <v>100.665985662783</v>
      </c>
      <c r="M43" s="23" t="n">
        <f aca="false">datos_base!$C$11*parametros_recargas!$K$38+sobrestock_sustitutos!$C$184/12</f>
        <v>100.665985662783</v>
      </c>
      <c r="N43" s="23" t="n">
        <f aca="false">datos_base!$C$11*parametros_recargas!$L$38+sobrestock_sustitutos!$C$184/12</f>
        <v>100.665985662783</v>
      </c>
      <c r="O43" s="23" t="n">
        <f aca="false">datos_base!$C$11*parametros_recargas!$M$38+sobrestock_sustitutos!$C$184/12</f>
        <v>100.665985662783</v>
      </c>
      <c r="P43" s="7" t="n">
        <f aca="false">SUM(D43:O43)</f>
        <v>1207.9918279534</v>
      </c>
      <c r="Q43" s="13" t="n">
        <f aca="false">sobrestock_sustitutos!$C$184</f>
        <v>0</v>
      </c>
    </row>
    <row r="44" customFormat="false" ht="15" hidden="false" customHeight="false" outlineLevel="0" collapsed="false">
      <c r="A44" s="12" t="str">
        <f aca="false">parametros_recargas!A61</f>
        <v>CO₂ 5 kg</v>
      </c>
      <c r="B44" s="12" t="str">
        <f aca="false">parametros_recargas!B61</f>
        <v>CO₂</v>
      </c>
      <c r="C44" s="22" t="n">
        <f aca="false">parametros_recargas!C61</f>
        <v>1</v>
      </c>
      <c r="D44" s="23" t="n">
        <f aca="false">datos_base!$C$12*parametros_recargas!$B$38+sobrestock_sustitutos!$C$185/12</f>
        <v>38.3427168304107</v>
      </c>
      <c r="E44" s="23" t="n">
        <f aca="false">datos_base!$C$12*parametros_recargas!$C$38+sobrestock_sustitutos!$C$185/12</f>
        <v>38.3427168304107</v>
      </c>
      <c r="F44" s="23" t="n">
        <f aca="false">datos_base!$C$12*parametros_recargas!$D$38+sobrestock_sustitutos!$C$185/12</f>
        <v>38.3427168304107</v>
      </c>
      <c r="G44" s="23" t="n">
        <f aca="false">datos_base!$C$12*parametros_recargas!$E$38+sobrestock_sustitutos!$C$185/12</f>
        <v>38.3427168304107</v>
      </c>
      <c r="H44" s="23" t="n">
        <f aca="false">datos_base!$C$12*parametros_recargas!$F$38+sobrestock_sustitutos!$C$185/12</f>
        <v>38.3427168304107</v>
      </c>
      <c r="I44" s="23" t="n">
        <f aca="false">datos_base!$C$12*parametros_recargas!$G$38+sobrestock_sustitutos!$C$185/12</f>
        <v>38.3427168304107</v>
      </c>
      <c r="J44" s="23" t="n">
        <f aca="false">datos_base!$C$12*parametros_recargas!$H$38+sobrestock_sustitutos!$C$185/12</f>
        <v>38.3427168304107</v>
      </c>
      <c r="K44" s="23" t="n">
        <f aca="false">datos_base!$C$12*parametros_recargas!$I$38+sobrestock_sustitutos!$C$185/12</f>
        <v>38.3427168304107</v>
      </c>
      <c r="L44" s="23" t="n">
        <f aca="false">datos_base!$C$12*parametros_recargas!$J$38+sobrestock_sustitutos!$C$185/12</f>
        <v>38.3427168304107</v>
      </c>
      <c r="M44" s="23" t="n">
        <f aca="false">datos_base!$C$12*parametros_recargas!$K$38+sobrestock_sustitutos!$C$185/12</f>
        <v>38.3427168304107</v>
      </c>
      <c r="N44" s="23" t="n">
        <f aca="false">datos_base!$C$12*parametros_recargas!$L$38+sobrestock_sustitutos!$C$185/12</f>
        <v>38.3427168304107</v>
      </c>
      <c r="O44" s="23" t="n">
        <f aca="false">datos_base!$C$12*parametros_recargas!$M$38+sobrestock_sustitutos!$C$185/12</f>
        <v>38.3427168304107</v>
      </c>
      <c r="P44" s="7" t="n">
        <f aca="false">SUM(D44:O44)</f>
        <v>460.112601964928</v>
      </c>
      <c r="Q44" s="13" t="n">
        <f aca="false">sobrestock_sustitutos!$C$185</f>
        <v>2</v>
      </c>
    </row>
    <row r="45" customFormat="false" ht="15" hidden="false" customHeight="false" outlineLevel="0" collapsed="false">
      <c r="A45" s="12" t="str">
        <f aca="false">parametros_recargas!A62</f>
        <v>HCFC/HFC 5 kg</v>
      </c>
      <c r="B45" s="12" t="str">
        <f aca="false">parametros_recargas!B62</f>
        <v>Halogenado</v>
      </c>
      <c r="C45" s="22" t="n">
        <f aca="false">parametros_recargas!C62</f>
        <v>1</v>
      </c>
      <c r="D45" s="23" t="n">
        <f aca="false">datos_base!$C$13*parametros_recargas!$B$38+sobrestock_sustitutos!$C$186/12</f>
        <v>6.73091503916886</v>
      </c>
      <c r="E45" s="23" t="n">
        <f aca="false">datos_base!$C$13*parametros_recargas!$C$38+sobrestock_sustitutos!$C$186/12</f>
        <v>6.73091503916886</v>
      </c>
      <c r="F45" s="23" t="n">
        <f aca="false">datos_base!$C$13*parametros_recargas!$D$38+sobrestock_sustitutos!$C$186/12</f>
        <v>6.73091503916886</v>
      </c>
      <c r="G45" s="23" t="n">
        <f aca="false">datos_base!$C$13*parametros_recargas!$E$38+sobrestock_sustitutos!$C$186/12</f>
        <v>6.73091503916886</v>
      </c>
      <c r="H45" s="23" t="n">
        <f aca="false">datos_base!$C$13*parametros_recargas!$F$38+sobrestock_sustitutos!$C$186/12</f>
        <v>6.73091503916886</v>
      </c>
      <c r="I45" s="23" t="n">
        <f aca="false">datos_base!$C$13*parametros_recargas!$G$38+sobrestock_sustitutos!$C$186/12</f>
        <v>6.73091503916886</v>
      </c>
      <c r="J45" s="23" t="n">
        <f aca="false">datos_base!$C$13*parametros_recargas!$H$38+sobrestock_sustitutos!$C$186/12</f>
        <v>6.73091503916886</v>
      </c>
      <c r="K45" s="23" t="n">
        <f aca="false">datos_base!$C$13*parametros_recargas!$I$38+sobrestock_sustitutos!$C$186/12</f>
        <v>6.73091503916886</v>
      </c>
      <c r="L45" s="23" t="n">
        <f aca="false">datos_base!$C$13*parametros_recargas!$J$38+sobrestock_sustitutos!$C$186/12</f>
        <v>6.73091503916886</v>
      </c>
      <c r="M45" s="23" t="n">
        <f aca="false">datos_base!$C$13*parametros_recargas!$K$38+sobrestock_sustitutos!$C$186/12</f>
        <v>6.73091503916886</v>
      </c>
      <c r="N45" s="23" t="n">
        <f aca="false">datos_base!$C$13*parametros_recargas!$L$38+sobrestock_sustitutos!$C$186/12</f>
        <v>6.73091503916886</v>
      </c>
      <c r="O45" s="23" t="n">
        <f aca="false">datos_base!$C$13*parametros_recargas!$M$38+sobrestock_sustitutos!$C$186/12</f>
        <v>6.73091503916886</v>
      </c>
      <c r="P45" s="7" t="n">
        <f aca="false">SUM(D45:O45)</f>
        <v>80.7709804700263</v>
      </c>
      <c r="Q45" s="13" t="n">
        <f aca="false">sobrestock_sustitutos!$C$186</f>
        <v>1</v>
      </c>
    </row>
    <row r="46" customFormat="false" ht="15" hidden="false" customHeight="false" outlineLevel="0" collapsed="false">
      <c r="A46" s="12" t="str">
        <f aca="false">parametros_recargas!A63</f>
        <v>Clase D 9 l</v>
      </c>
      <c r="B46" s="12" t="str">
        <f aca="false">parametros_recargas!B63</f>
        <v>Clase D</v>
      </c>
      <c r="C46" s="22" t="n">
        <f aca="false">parametros_recargas!C63</f>
        <v>1</v>
      </c>
      <c r="D46" s="23" t="n">
        <f aca="false">datos_base!$C$14*parametros_recargas!$B$38+sobrestock_sustitutos!$C$187/12</f>
        <v>2.87541022411688</v>
      </c>
      <c r="E46" s="23" t="n">
        <f aca="false">datos_base!$C$14*parametros_recargas!$C$38+sobrestock_sustitutos!$C$187/12</f>
        <v>2.87541022411688</v>
      </c>
      <c r="F46" s="23" t="n">
        <f aca="false">datos_base!$C$14*parametros_recargas!$D$38+sobrestock_sustitutos!$C$187/12</f>
        <v>2.87541022411688</v>
      </c>
      <c r="G46" s="23" t="n">
        <f aca="false">datos_base!$C$14*parametros_recargas!$E$38+sobrestock_sustitutos!$C$187/12</f>
        <v>2.87541022411688</v>
      </c>
      <c r="H46" s="23" t="n">
        <f aca="false">datos_base!$C$14*parametros_recargas!$F$38+sobrestock_sustitutos!$C$187/12</f>
        <v>2.87541022411688</v>
      </c>
      <c r="I46" s="23" t="n">
        <f aca="false">datos_base!$C$14*parametros_recargas!$G$38+sobrestock_sustitutos!$C$187/12</f>
        <v>2.87541022411688</v>
      </c>
      <c r="J46" s="23" t="n">
        <f aca="false">datos_base!$C$14*parametros_recargas!$H$38+sobrestock_sustitutos!$C$187/12</f>
        <v>2.87541022411688</v>
      </c>
      <c r="K46" s="23" t="n">
        <f aca="false">datos_base!$C$14*parametros_recargas!$I$38+sobrestock_sustitutos!$C$187/12</f>
        <v>2.87541022411688</v>
      </c>
      <c r="L46" s="23" t="n">
        <f aca="false">datos_base!$C$14*parametros_recargas!$J$38+sobrestock_sustitutos!$C$187/12</f>
        <v>2.87541022411688</v>
      </c>
      <c r="M46" s="23" t="n">
        <f aca="false">datos_base!$C$14*parametros_recargas!$K$38+sobrestock_sustitutos!$C$187/12</f>
        <v>2.87541022411688</v>
      </c>
      <c r="N46" s="23" t="n">
        <f aca="false">datos_base!$C$14*parametros_recargas!$L$38+sobrestock_sustitutos!$C$187/12</f>
        <v>2.87541022411688</v>
      </c>
      <c r="O46" s="23" t="n">
        <f aca="false">datos_base!$C$14*parametros_recargas!$M$38+sobrestock_sustitutos!$C$187/12</f>
        <v>2.87541022411688</v>
      </c>
      <c r="P46" s="7" t="n">
        <f aca="false">SUM(D46:O46)</f>
        <v>34.5049226894026</v>
      </c>
      <c r="Q46" s="13" t="n">
        <f aca="false">sobrestock_sustitutos!$C$187</f>
        <v>1</v>
      </c>
    </row>
    <row r="47" customFormat="false" ht="15" hidden="false" customHeight="false" outlineLevel="0" collapsed="false">
      <c r="A47" s="12" t="str">
        <f aca="false">parametros_recargas!A64</f>
        <v>ABC 25 kg s/ruedas</v>
      </c>
      <c r="B47" s="12" t="str">
        <f aca="false">parametros_recargas!B64</f>
        <v>ABC</v>
      </c>
      <c r="C47" s="22" t="n">
        <f aca="false">parametros_recargas!C64</f>
        <v>3</v>
      </c>
      <c r="D47" s="23" t="n">
        <f aca="false">datos_base!$C$15*parametros_recargas!$B$38+sobrestock_sustitutos!$C$188/12</f>
        <v>5.10024921060623</v>
      </c>
      <c r="E47" s="23" t="n">
        <f aca="false">datos_base!$C$15*parametros_recargas!$C$38+sobrestock_sustitutos!$C$188/12</f>
        <v>5.10024921060623</v>
      </c>
      <c r="F47" s="23" t="n">
        <f aca="false">datos_base!$C$15*parametros_recargas!$D$38+sobrestock_sustitutos!$C$188/12</f>
        <v>5.10024921060623</v>
      </c>
      <c r="G47" s="23" t="n">
        <f aca="false">datos_base!$C$15*parametros_recargas!$E$38+sobrestock_sustitutos!$C$188/12</f>
        <v>5.10024921060623</v>
      </c>
      <c r="H47" s="23" t="n">
        <f aca="false">datos_base!$C$15*parametros_recargas!$F$38+sobrestock_sustitutos!$C$188/12</f>
        <v>5.10024921060623</v>
      </c>
      <c r="I47" s="23" t="n">
        <f aca="false">datos_base!$C$15*parametros_recargas!$G$38+sobrestock_sustitutos!$C$188/12</f>
        <v>5.10024921060623</v>
      </c>
      <c r="J47" s="23" t="n">
        <f aca="false">datos_base!$C$15*parametros_recargas!$H$38+sobrestock_sustitutos!$C$188/12</f>
        <v>5.10024921060623</v>
      </c>
      <c r="K47" s="23" t="n">
        <f aca="false">datos_base!$C$15*parametros_recargas!$I$38+sobrestock_sustitutos!$C$188/12</f>
        <v>5.10024921060623</v>
      </c>
      <c r="L47" s="23" t="n">
        <f aca="false">datos_base!$C$15*parametros_recargas!$J$38+sobrestock_sustitutos!$C$188/12</f>
        <v>5.10024921060623</v>
      </c>
      <c r="M47" s="23" t="n">
        <f aca="false">datos_base!$C$15*parametros_recargas!$K$38+sobrestock_sustitutos!$C$188/12</f>
        <v>5.10024921060623</v>
      </c>
      <c r="N47" s="23" t="n">
        <f aca="false">datos_base!$C$15*parametros_recargas!$L$38+sobrestock_sustitutos!$C$188/12</f>
        <v>5.10024921060623</v>
      </c>
      <c r="O47" s="23" t="n">
        <f aca="false">datos_base!$C$15*parametros_recargas!$M$38+sobrestock_sustitutos!$C$188/12</f>
        <v>5.10024921060623</v>
      </c>
      <c r="P47" s="7" t="n">
        <f aca="false">SUM(D47:O47)</f>
        <v>61.2029905272747</v>
      </c>
      <c r="Q47" s="13" t="n">
        <f aca="false">sobrestock_sustitutos!$C$188</f>
        <v>0</v>
      </c>
    </row>
    <row r="48" customFormat="false" ht="15" hidden="false" customHeight="false" outlineLevel="0" collapsed="false">
      <c r="A48" s="12" t="str">
        <f aca="false">parametros_recargas!A65</f>
        <v>ABC 50 kg s/ruedas</v>
      </c>
      <c r="B48" s="12" t="str">
        <f aca="false">parametros_recargas!B65</f>
        <v>ABC</v>
      </c>
      <c r="C48" s="22" t="n">
        <f aca="false">parametros_recargas!C65</f>
        <v>3</v>
      </c>
      <c r="D48" s="23" t="n">
        <f aca="false">datos_base!$C$16*parametros_recargas!$B$38+sobrestock_sustitutos!$C$189/12</f>
        <v>11.3038816678434</v>
      </c>
      <c r="E48" s="23" t="n">
        <f aca="false">datos_base!$C$16*parametros_recargas!$C$38+sobrestock_sustitutos!$C$189/12</f>
        <v>11.3038816678434</v>
      </c>
      <c r="F48" s="23" t="n">
        <f aca="false">datos_base!$C$16*parametros_recargas!$D$38+sobrestock_sustitutos!$C$189/12</f>
        <v>11.3038816678434</v>
      </c>
      <c r="G48" s="23" t="n">
        <f aca="false">datos_base!$C$16*parametros_recargas!$E$38+sobrestock_sustitutos!$C$189/12</f>
        <v>11.3038816678434</v>
      </c>
      <c r="H48" s="23" t="n">
        <f aca="false">datos_base!$C$16*parametros_recargas!$F$38+sobrestock_sustitutos!$C$189/12</f>
        <v>11.3038816678434</v>
      </c>
      <c r="I48" s="23" t="n">
        <f aca="false">datos_base!$C$16*parametros_recargas!$G$38+sobrestock_sustitutos!$C$189/12</f>
        <v>11.3038816678434</v>
      </c>
      <c r="J48" s="23" t="n">
        <f aca="false">datos_base!$C$16*parametros_recargas!$H$38+sobrestock_sustitutos!$C$189/12</f>
        <v>11.3038816678434</v>
      </c>
      <c r="K48" s="23" t="n">
        <f aca="false">datos_base!$C$16*parametros_recargas!$I$38+sobrestock_sustitutos!$C$189/12</f>
        <v>11.3038816678434</v>
      </c>
      <c r="L48" s="23" t="n">
        <f aca="false">datos_base!$C$16*parametros_recargas!$J$38+sobrestock_sustitutos!$C$189/12</f>
        <v>11.3038816678434</v>
      </c>
      <c r="M48" s="23" t="n">
        <f aca="false">datos_base!$C$16*parametros_recargas!$K$38+sobrestock_sustitutos!$C$189/12</f>
        <v>11.3038816678434</v>
      </c>
      <c r="N48" s="23" t="n">
        <f aca="false">datos_base!$C$16*parametros_recargas!$L$38+sobrestock_sustitutos!$C$189/12</f>
        <v>11.3038816678434</v>
      </c>
      <c r="O48" s="23" t="n">
        <f aca="false">datos_base!$C$16*parametros_recargas!$M$38+sobrestock_sustitutos!$C$189/12</f>
        <v>11.3038816678434</v>
      </c>
      <c r="P48" s="7" t="n">
        <f aca="false">SUM(D48:O48)</f>
        <v>135.646580014121</v>
      </c>
      <c r="Q48" s="13" t="n">
        <f aca="false">sobrestock_sustitutos!$C$189</f>
        <v>1</v>
      </c>
    </row>
    <row r="49" customFormat="false" ht="15" hidden="false" customHeight="false" outlineLevel="0" collapsed="false">
      <c r="A49" s="12" t="str">
        <f aca="false">parametros_recargas!A66</f>
        <v>ABC 70 kg s/ruedas</v>
      </c>
      <c r="B49" s="12" t="str">
        <f aca="false">parametros_recargas!B66</f>
        <v>ABC</v>
      </c>
      <c r="C49" s="22" t="n">
        <f aca="false">parametros_recargas!C66</f>
        <v>3</v>
      </c>
      <c r="D49" s="23" t="n">
        <f aca="false">datos_base!$C$17*parametros_recargas!$B$38+sobrestock_sustitutos!$C$190/12</f>
        <v>2.44811961397335</v>
      </c>
      <c r="E49" s="23" t="n">
        <f aca="false">datos_base!$C$17*parametros_recargas!$C$38+sobrestock_sustitutos!$C$190/12</f>
        <v>2.44811961397335</v>
      </c>
      <c r="F49" s="23" t="n">
        <f aca="false">datos_base!$C$17*parametros_recargas!$D$38+sobrestock_sustitutos!$C$190/12</f>
        <v>2.44811961397335</v>
      </c>
      <c r="G49" s="23" t="n">
        <f aca="false">datos_base!$C$17*parametros_recargas!$E$38+sobrestock_sustitutos!$C$190/12</f>
        <v>2.44811961397335</v>
      </c>
      <c r="H49" s="23" t="n">
        <f aca="false">datos_base!$C$17*parametros_recargas!$F$38+sobrestock_sustitutos!$C$190/12</f>
        <v>2.44811961397335</v>
      </c>
      <c r="I49" s="23" t="n">
        <f aca="false">datos_base!$C$17*parametros_recargas!$G$38+sobrestock_sustitutos!$C$190/12</f>
        <v>2.44811961397335</v>
      </c>
      <c r="J49" s="23" t="n">
        <f aca="false">datos_base!$C$17*parametros_recargas!$H$38+sobrestock_sustitutos!$C$190/12</f>
        <v>2.44811961397335</v>
      </c>
      <c r="K49" s="23" t="n">
        <f aca="false">datos_base!$C$17*parametros_recargas!$I$38+sobrestock_sustitutos!$C$190/12</f>
        <v>2.44811961397335</v>
      </c>
      <c r="L49" s="23" t="n">
        <f aca="false">datos_base!$C$17*parametros_recargas!$J$38+sobrestock_sustitutos!$C$190/12</f>
        <v>2.44811961397335</v>
      </c>
      <c r="M49" s="23" t="n">
        <f aca="false">datos_base!$C$17*parametros_recargas!$K$38+sobrestock_sustitutos!$C$190/12</f>
        <v>2.44811961397335</v>
      </c>
      <c r="N49" s="23" t="n">
        <f aca="false">datos_base!$C$17*parametros_recargas!$L$38+sobrestock_sustitutos!$C$190/12</f>
        <v>2.44811961397335</v>
      </c>
      <c r="O49" s="23" t="n">
        <f aca="false">datos_base!$C$17*parametros_recargas!$M$38+sobrestock_sustitutos!$C$190/12</f>
        <v>2.44811961397335</v>
      </c>
      <c r="P49" s="7" t="n">
        <f aca="false">SUM(D49:O49)</f>
        <v>29.3774353676802</v>
      </c>
      <c r="Q49" s="13" t="n">
        <f aca="false">sobrestock_sustitutos!$C$190</f>
        <v>0</v>
      </c>
    </row>
    <row r="50" customFormat="false" ht="15" hidden="false" customHeight="false" outlineLevel="0" collapsed="false">
      <c r="A50" s="12" t="str">
        <f aca="false">parametros_recargas!A67</f>
        <v>ABC 100 kg s/ruedas</v>
      </c>
      <c r="B50" s="12" t="str">
        <f aca="false">parametros_recargas!B67</f>
        <v>ABC</v>
      </c>
      <c r="C50" s="22" t="n">
        <f aca="false">parametros_recargas!C67</f>
        <v>3</v>
      </c>
      <c r="D50" s="23" t="n">
        <f aca="false">datos_base!$C$18*parametros_recargas!$B$38+sobrestock_sustitutos!$C$191/12</f>
        <v>1.71541307598224</v>
      </c>
      <c r="E50" s="23" t="n">
        <f aca="false">datos_base!$C$18*parametros_recargas!$C$38+sobrestock_sustitutos!$C$191/12</f>
        <v>1.71541307598224</v>
      </c>
      <c r="F50" s="23" t="n">
        <f aca="false">datos_base!$C$18*parametros_recargas!$D$38+sobrestock_sustitutos!$C$191/12</f>
        <v>1.71541307598224</v>
      </c>
      <c r="G50" s="23" t="n">
        <f aca="false">datos_base!$C$18*parametros_recargas!$E$38+sobrestock_sustitutos!$C$191/12</f>
        <v>1.71541307598224</v>
      </c>
      <c r="H50" s="23" t="n">
        <f aca="false">datos_base!$C$18*parametros_recargas!$F$38+sobrestock_sustitutos!$C$191/12</f>
        <v>1.71541307598224</v>
      </c>
      <c r="I50" s="23" t="n">
        <f aca="false">datos_base!$C$18*parametros_recargas!$G$38+sobrestock_sustitutos!$C$191/12</f>
        <v>1.71541307598224</v>
      </c>
      <c r="J50" s="23" t="n">
        <f aca="false">datos_base!$C$18*parametros_recargas!$H$38+sobrestock_sustitutos!$C$191/12</f>
        <v>1.71541307598224</v>
      </c>
      <c r="K50" s="23" t="n">
        <f aca="false">datos_base!$C$18*parametros_recargas!$I$38+sobrestock_sustitutos!$C$191/12</f>
        <v>1.71541307598224</v>
      </c>
      <c r="L50" s="23" t="n">
        <f aca="false">datos_base!$C$18*parametros_recargas!$J$38+sobrestock_sustitutos!$C$191/12</f>
        <v>1.71541307598224</v>
      </c>
      <c r="M50" s="23" t="n">
        <f aca="false">datos_base!$C$18*parametros_recargas!$K$38+sobrestock_sustitutos!$C$191/12</f>
        <v>1.71541307598224</v>
      </c>
      <c r="N50" s="23" t="n">
        <f aca="false">datos_base!$C$18*parametros_recargas!$L$38+sobrestock_sustitutos!$C$191/12</f>
        <v>1.71541307598224</v>
      </c>
      <c r="O50" s="23" t="n">
        <f aca="false">datos_base!$C$18*parametros_recargas!$M$38+sobrestock_sustitutos!$C$191/12</f>
        <v>1.71541307598224</v>
      </c>
      <c r="P50" s="7" t="n">
        <f aca="false">SUM(D50:O50)</f>
        <v>20.5849569117868</v>
      </c>
      <c r="Q50" s="13" t="n">
        <f aca="false">sobrestock_sustitutos!$C$191</f>
        <v>1</v>
      </c>
    </row>
    <row r="51" customFormat="false" ht="15" hidden="false" customHeight="false" outlineLevel="0" collapsed="false">
      <c r="A51" s="6" t="s">
        <v>269</v>
      </c>
      <c r="D51" s="7" t="n">
        <f aca="false">SUM(D34:D50)</f>
        <v>1820.29807625174</v>
      </c>
      <c r="E51" s="7" t="n">
        <f aca="false">SUM(E34:E50)</f>
        <v>1820.29807625174</v>
      </c>
      <c r="F51" s="7" t="n">
        <f aca="false">SUM(F34:F50)</f>
        <v>1820.29807625174</v>
      </c>
      <c r="G51" s="7" t="n">
        <f aca="false">SUM(G34:G50)</f>
        <v>1820.29807625174</v>
      </c>
      <c r="H51" s="7" t="n">
        <f aca="false">SUM(H34:H50)</f>
        <v>1820.29807625174</v>
      </c>
      <c r="I51" s="7" t="n">
        <f aca="false">SUM(I34:I50)</f>
        <v>1820.29807625174</v>
      </c>
      <c r="J51" s="7" t="n">
        <f aca="false">SUM(J34:J50)</f>
        <v>1820.29807625174</v>
      </c>
      <c r="K51" s="7" t="n">
        <f aca="false">SUM(K34:K50)</f>
        <v>1820.29807625174</v>
      </c>
      <c r="L51" s="7" t="n">
        <f aca="false">SUM(L34:L50)</f>
        <v>1820.29807625174</v>
      </c>
      <c r="M51" s="7" t="n">
        <f aca="false">SUM(M34:M50)</f>
        <v>1820.29807625174</v>
      </c>
      <c r="N51" s="7" t="n">
        <f aca="false">SUM(N34:N50)</f>
        <v>1820.29807625174</v>
      </c>
      <c r="O51" s="7" t="n">
        <f aca="false">SUM(O34:O50)</f>
        <v>1820.29807625174</v>
      </c>
      <c r="P51" s="7" t="n">
        <f aca="false">SUM(P34:P50)</f>
        <v>21843.5769150208</v>
      </c>
    </row>
    <row r="52" customFormat="false" ht="15" hidden="false" customHeight="false" outlineLevel="0" collapsed="false">
      <c r="A52" s="6" t="s">
        <v>270</v>
      </c>
    </row>
    <row r="53" customFormat="false" ht="15" hidden="false" customHeight="false" outlineLevel="0" collapsed="false">
      <c r="A53" s="4" t="s">
        <v>139</v>
      </c>
      <c r="D53" s="23" t="n">
        <f aca="false">SUMPRODUCT(($B$34:$B$50=$A53)*D$34:D$50*$C$34:$C$50)</f>
        <v>1637.04761743039</v>
      </c>
      <c r="E53" s="23" t="n">
        <f aca="false">SUMPRODUCT(($B$34:$B$50=$A53)*E$34:E$50*$C$34:$C$50)</f>
        <v>1637.04761743039</v>
      </c>
      <c r="F53" s="23" t="n">
        <f aca="false">SUMPRODUCT(($B$34:$B$50=$A53)*F$34:F$50*$C$34:$C$50)</f>
        <v>1637.04761743039</v>
      </c>
      <c r="G53" s="23" t="n">
        <f aca="false">SUMPRODUCT(($B$34:$B$50=$A53)*G$34:G$50*$C$34:$C$50)</f>
        <v>1637.04761743039</v>
      </c>
      <c r="H53" s="23" t="n">
        <f aca="false">SUMPRODUCT(($B$34:$B$50=$A53)*H$34:H$50*$C$34:$C$50)</f>
        <v>1637.04761743039</v>
      </c>
      <c r="I53" s="23" t="n">
        <f aca="false">SUMPRODUCT(($B$34:$B$50=$A53)*I$34:I$50*$C$34:$C$50)</f>
        <v>1637.04761743039</v>
      </c>
      <c r="J53" s="23" t="n">
        <f aca="false">SUMPRODUCT(($B$34:$B$50=$A53)*J$34:J$50*$C$34:$C$50)</f>
        <v>1637.04761743039</v>
      </c>
      <c r="K53" s="23" t="n">
        <f aca="false">SUMPRODUCT(($B$34:$B$50=$A53)*K$34:K$50*$C$34:$C$50)</f>
        <v>1637.04761743039</v>
      </c>
      <c r="L53" s="23" t="n">
        <f aca="false">SUMPRODUCT(($B$34:$B$50=$A53)*L$34:L$50*$C$34:$C$50)</f>
        <v>1637.04761743039</v>
      </c>
      <c r="M53" s="23" t="n">
        <f aca="false">SUMPRODUCT(($B$34:$B$50=$A53)*M$34:M$50*$C$34:$C$50)</f>
        <v>1637.04761743039</v>
      </c>
      <c r="N53" s="23" t="n">
        <f aca="false">SUMPRODUCT(($B$34:$B$50=$A53)*N$34:N$50*$C$34:$C$50)</f>
        <v>1637.04761743039</v>
      </c>
      <c r="O53" s="23" t="n">
        <f aca="false">SUMPRODUCT(($B$34:$B$50=$A53)*O$34:O$50*$C$34:$C$50)</f>
        <v>1637.04761743039</v>
      </c>
      <c r="P53" s="23" t="n">
        <f aca="false">SUMPRODUCT(($B$34:$B$50=$A53)*P$34:P$50*$C$34:$C$50)</f>
        <v>19644.5714091647</v>
      </c>
    </row>
    <row r="54" customFormat="false" ht="15" hidden="false" customHeight="false" outlineLevel="0" collapsed="false">
      <c r="A54" s="4" t="s">
        <v>145</v>
      </c>
      <c r="D54" s="23" t="n">
        <f aca="false">SUMPRODUCT(($B$34:$B$50=$A54)*D$34:D$50*$C$34:$C$50)</f>
        <v>2.87541022411688</v>
      </c>
      <c r="E54" s="23" t="n">
        <f aca="false">SUMPRODUCT(($B$34:$B$50=$A54)*E$34:E$50*$C$34:$C$50)</f>
        <v>2.87541022411688</v>
      </c>
      <c r="F54" s="23" t="n">
        <f aca="false">SUMPRODUCT(($B$34:$B$50=$A54)*F$34:F$50*$C$34:$C$50)</f>
        <v>2.87541022411688</v>
      </c>
      <c r="G54" s="23" t="n">
        <f aca="false">SUMPRODUCT(($B$34:$B$50=$A54)*G$34:G$50*$C$34:$C$50)</f>
        <v>2.87541022411688</v>
      </c>
      <c r="H54" s="23" t="n">
        <f aca="false">SUMPRODUCT(($B$34:$B$50=$A54)*H$34:H$50*$C$34:$C$50)</f>
        <v>2.87541022411688</v>
      </c>
      <c r="I54" s="23" t="n">
        <f aca="false">SUMPRODUCT(($B$34:$B$50=$A54)*I$34:I$50*$C$34:$C$50)</f>
        <v>2.87541022411688</v>
      </c>
      <c r="J54" s="23" t="n">
        <f aca="false">SUMPRODUCT(($B$34:$B$50=$A54)*J$34:J$50*$C$34:$C$50)</f>
        <v>2.87541022411688</v>
      </c>
      <c r="K54" s="23" t="n">
        <f aca="false">SUMPRODUCT(($B$34:$B$50=$A54)*K$34:K$50*$C$34:$C$50)</f>
        <v>2.87541022411688</v>
      </c>
      <c r="L54" s="23" t="n">
        <f aca="false">SUMPRODUCT(($B$34:$B$50=$A54)*L$34:L$50*$C$34:$C$50)</f>
        <v>2.87541022411688</v>
      </c>
      <c r="M54" s="23" t="n">
        <f aca="false">SUMPRODUCT(($B$34:$B$50=$A54)*M$34:M$50*$C$34:$C$50)</f>
        <v>2.87541022411688</v>
      </c>
      <c r="N54" s="23" t="n">
        <f aca="false">SUMPRODUCT(($B$34:$B$50=$A54)*N$34:N$50*$C$34:$C$50)</f>
        <v>2.87541022411688</v>
      </c>
      <c r="O54" s="23" t="n">
        <f aca="false">SUMPRODUCT(($B$34:$B$50=$A54)*O$34:O$50*$C$34:$C$50)</f>
        <v>2.87541022411688</v>
      </c>
      <c r="P54" s="23" t="n">
        <f aca="false">SUMPRODUCT(($B$34:$B$50=$A54)*P$34:P$50*$C$34:$C$50)</f>
        <v>34.5049226894026</v>
      </c>
    </row>
    <row r="55" customFormat="false" ht="15" hidden="false" customHeight="false" outlineLevel="0" collapsed="false">
      <c r="A55" s="4" t="s">
        <v>151</v>
      </c>
      <c r="D55" s="23" t="n">
        <f aca="false">SUMPRODUCT(($B$34:$B$50=$A55)*D$34:D$50*$C$34:$C$50)</f>
        <v>2.87541022411688</v>
      </c>
      <c r="E55" s="23" t="n">
        <f aca="false">SUMPRODUCT(($B$34:$B$50=$A55)*E$34:E$50*$C$34:$C$50)</f>
        <v>2.87541022411688</v>
      </c>
      <c r="F55" s="23" t="n">
        <f aca="false">SUMPRODUCT(($B$34:$B$50=$A55)*F$34:F$50*$C$34:$C$50)</f>
        <v>2.87541022411688</v>
      </c>
      <c r="G55" s="23" t="n">
        <f aca="false">SUMPRODUCT(($B$34:$B$50=$A55)*G$34:G$50*$C$34:$C$50)</f>
        <v>2.87541022411688</v>
      </c>
      <c r="H55" s="23" t="n">
        <f aca="false">SUMPRODUCT(($B$34:$B$50=$A55)*H$34:H$50*$C$34:$C$50)</f>
        <v>2.87541022411688</v>
      </c>
      <c r="I55" s="23" t="n">
        <f aca="false">SUMPRODUCT(($B$34:$B$50=$A55)*I$34:I$50*$C$34:$C$50)</f>
        <v>2.87541022411688</v>
      </c>
      <c r="J55" s="23" t="n">
        <f aca="false">SUMPRODUCT(($B$34:$B$50=$A55)*J$34:J$50*$C$34:$C$50)</f>
        <v>2.87541022411688</v>
      </c>
      <c r="K55" s="23" t="n">
        <f aca="false">SUMPRODUCT(($B$34:$B$50=$A55)*K$34:K$50*$C$34:$C$50)</f>
        <v>2.87541022411688</v>
      </c>
      <c r="L55" s="23" t="n">
        <f aca="false">SUMPRODUCT(($B$34:$B$50=$A55)*L$34:L$50*$C$34:$C$50)</f>
        <v>2.87541022411688</v>
      </c>
      <c r="M55" s="23" t="n">
        <f aca="false">SUMPRODUCT(($B$34:$B$50=$A55)*M$34:M$50*$C$34:$C$50)</f>
        <v>2.87541022411688</v>
      </c>
      <c r="N55" s="23" t="n">
        <f aca="false">SUMPRODUCT(($B$34:$B$50=$A55)*N$34:N$50*$C$34:$C$50)</f>
        <v>2.87541022411688</v>
      </c>
      <c r="O55" s="23" t="n">
        <f aca="false">SUMPRODUCT(($B$34:$B$50=$A55)*O$34:O$50*$C$34:$C$50)</f>
        <v>2.87541022411688</v>
      </c>
      <c r="P55" s="23" t="n">
        <f aca="false">SUMPRODUCT(($B$34:$B$50=$A55)*P$34:P$50*$C$34:$C$50)</f>
        <v>34.5049226894026</v>
      </c>
    </row>
    <row r="56" customFormat="false" ht="15" hidden="false" customHeight="false" outlineLevel="0" collapsed="false">
      <c r="A56" s="4" t="s">
        <v>142</v>
      </c>
      <c r="D56" s="23" t="n">
        <f aca="false">SUMPRODUCT(($B$34:$B$50=$A56)*D$34:D$50*$C$34:$C$50)</f>
        <v>38.2471157194288</v>
      </c>
      <c r="E56" s="23" t="n">
        <f aca="false">SUMPRODUCT(($B$34:$B$50=$A56)*E$34:E$50*$C$34:$C$50)</f>
        <v>38.2471157194288</v>
      </c>
      <c r="F56" s="23" t="n">
        <f aca="false">SUMPRODUCT(($B$34:$B$50=$A56)*F$34:F$50*$C$34:$C$50)</f>
        <v>38.2471157194288</v>
      </c>
      <c r="G56" s="23" t="n">
        <f aca="false">SUMPRODUCT(($B$34:$B$50=$A56)*G$34:G$50*$C$34:$C$50)</f>
        <v>38.2471157194288</v>
      </c>
      <c r="H56" s="23" t="n">
        <f aca="false">SUMPRODUCT(($B$34:$B$50=$A56)*H$34:H$50*$C$34:$C$50)</f>
        <v>38.2471157194288</v>
      </c>
      <c r="I56" s="23" t="n">
        <f aca="false">SUMPRODUCT(($B$34:$B$50=$A56)*I$34:I$50*$C$34:$C$50)</f>
        <v>38.2471157194288</v>
      </c>
      <c r="J56" s="23" t="n">
        <f aca="false">SUMPRODUCT(($B$34:$B$50=$A56)*J$34:J$50*$C$34:$C$50)</f>
        <v>38.2471157194288</v>
      </c>
      <c r="K56" s="23" t="n">
        <f aca="false">SUMPRODUCT(($B$34:$B$50=$A56)*K$34:K$50*$C$34:$C$50)</f>
        <v>38.2471157194288</v>
      </c>
      <c r="L56" s="23" t="n">
        <f aca="false">SUMPRODUCT(($B$34:$B$50=$A56)*L$34:L$50*$C$34:$C$50)</f>
        <v>38.2471157194288</v>
      </c>
      <c r="M56" s="23" t="n">
        <f aca="false">SUMPRODUCT(($B$34:$B$50=$A56)*M$34:M$50*$C$34:$C$50)</f>
        <v>38.2471157194288</v>
      </c>
      <c r="N56" s="23" t="n">
        <f aca="false">SUMPRODUCT(($B$34:$B$50=$A56)*N$34:N$50*$C$34:$C$50)</f>
        <v>38.2471157194288</v>
      </c>
      <c r="O56" s="23" t="n">
        <f aca="false">SUMPRODUCT(($B$34:$B$50=$A56)*O$34:O$50*$C$34:$C$50)</f>
        <v>38.2471157194288</v>
      </c>
      <c r="P56" s="23" t="n">
        <f aca="false">SUMPRODUCT(($B$34:$B$50=$A56)*P$34:P$50*$C$34:$C$50)</f>
        <v>458.965388633145</v>
      </c>
    </row>
    <row r="57" customFormat="false" ht="15" hidden="false" customHeight="false" outlineLevel="0" collapsed="false">
      <c r="A57" s="4" t="s">
        <v>143</v>
      </c>
      <c r="D57" s="23" t="n">
        <f aca="false">SUMPRODUCT(($B$34:$B$50=$A57)*D$34:D$50*$C$34:$C$50)</f>
        <v>24.7104210723271</v>
      </c>
      <c r="E57" s="23" t="n">
        <f aca="false">SUMPRODUCT(($B$34:$B$50=$A57)*E$34:E$50*$C$34:$C$50)</f>
        <v>24.7104210723271</v>
      </c>
      <c r="F57" s="23" t="n">
        <f aca="false">SUMPRODUCT(($B$34:$B$50=$A57)*F$34:F$50*$C$34:$C$50)</f>
        <v>24.7104210723271</v>
      </c>
      <c r="G57" s="23" t="n">
        <f aca="false">SUMPRODUCT(($B$34:$B$50=$A57)*G$34:G$50*$C$34:$C$50)</f>
        <v>24.7104210723271</v>
      </c>
      <c r="H57" s="23" t="n">
        <f aca="false">SUMPRODUCT(($B$34:$B$50=$A57)*H$34:H$50*$C$34:$C$50)</f>
        <v>24.7104210723271</v>
      </c>
      <c r="I57" s="23" t="n">
        <f aca="false">SUMPRODUCT(($B$34:$B$50=$A57)*I$34:I$50*$C$34:$C$50)</f>
        <v>24.7104210723271</v>
      </c>
      <c r="J57" s="23" t="n">
        <f aca="false">SUMPRODUCT(($B$34:$B$50=$A57)*J$34:J$50*$C$34:$C$50)</f>
        <v>24.7104210723271</v>
      </c>
      <c r="K57" s="23" t="n">
        <f aca="false">SUMPRODUCT(($B$34:$B$50=$A57)*K$34:K$50*$C$34:$C$50)</f>
        <v>24.7104210723271</v>
      </c>
      <c r="L57" s="23" t="n">
        <f aca="false">SUMPRODUCT(($B$34:$B$50=$A57)*L$34:L$50*$C$34:$C$50)</f>
        <v>24.7104210723271</v>
      </c>
      <c r="M57" s="23" t="n">
        <f aca="false">SUMPRODUCT(($B$34:$B$50=$A57)*M$34:M$50*$C$34:$C$50)</f>
        <v>24.7104210723271</v>
      </c>
      <c r="N57" s="23" t="n">
        <f aca="false">SUMPRODUCT(($B$34:$B$50=$A57)*N$34:N$50*$C$34:$C$50)</f>
        <v>24.7104210723271</v>
      </c>
      <c r="O57" s="23" t="n">
        <f aca="false">SUMPRODUCT(($B$34:$B$50=$A57)*O$34:O$50*$C$34:$C$50)</f>
        <v>24.7104210723271</v>
      </c>
      <c r="P57" s="23" t="n">
        <f aca="false">SUMPRODUCT(($B$34:$B$50=$A57)*P$34:P$50*$C$34:$C$50)</f>
        <v>296.525052867925</v>
      </c>
    </row>
    <row r="58" customFormat="false" ht="15" hidden="false" customHeight="false" outlineLevel="0" collapsed="false">
      <c r="A58" s="4" t="s">
        <v>146</v>
      </c>
      <c r="D58" s="23" t="n">
        <f aca="false">SUMPRODUCT(($B$34:$B$50=$A58)*D$34:D$50*$C$34:$C$50)</f>
        <v>19.9770550877132</v>
      </c>
      <c r="E58" s="23" t="n">
        <f aca="false">SUMPRODUCT(($B$34:$B$50=$A58)*E$34:E$50*$C$34:$C$50)</f>
        <v>19.9770550877132</v>
      </c>
      <c r="F58" s="23" t="n">
        <f aca="false">SUMPRODUCT(($B$34:$B$50=$A58)*F$34:F$50*$C$34:$C$50)</f>
        <v>19.9770550877132</v>
      </c>
      <c r="G58" s="23" t="n">
        <f aca="false">SUMPRODUCT(($B$34:$B$50=$A58)*G$34:G$50*$C$34:$C$50)</f>
        <v>19.9770550877132</v>
      </c>
      <c r="H58" s="23" t="n">
        <f aca="false">SUMPRODUCT(($B$34:$B$50=$A58)*H$34:H$50*$C$34:$C$50)</f>
        <v>19.9770550877132</v>
      </c>
      <c r="I58" s="23" t="n">
        <f aca="false">SUMPRODUCT(($B$34:$B$50=$A58)*I$34:I$50*$C$34:$C$50)</f>
        <v>19.9770550877132</v>
      </c>
      <c r="J58" s="23" t="n">
        <f aca="false">SUMPRODUCT(($B$34:$B$50=$A58)*J$34:J$50*$C$34:$C$50)</f>
        <v>19.9770550877132</v>
      </c>
      <c r="K58" s="23" t="n">
        <f aca="false">SUMPRODUCT(($B$34:$B$50=$A58)*K$34:K$50*$C$34:$C$50)</f>
        <v>19.9770550877132</v>
      </c>
      <c r="L58" s="23" t="n">
        <f aca="false">SUMPRODUCT(($B$34:$B$50=$A58)*L$34:L$50*$C$34:$C$50)</f>
        <v>19.9770550877132</v>
      </c>
      <c r="M58" s="23" t="n">
        <f aca="false">SUMPRODUCT(($B$34:$B$50=$A58)*M$34:M$50*$C$34:$C$50)</f>
        <v>19.9770550877132</v>
      </c>
      <c r="N58" s="23" t="n">
        <f aca="false">SUMPRODUCT(($B$34:$B$50=$A58)*N$34:N$50*$C$34:$C$50)</f>
        <v>19.9770550877132</v>
      </c>
      <c r="O58" s="23" t="n">
        <f aca="false">SUMPRODUCT(($B$34:$B$50=$A58)*O$34:O$50*$C$34:$C$50)</f>
        <v>19.9770550877132</v>
      </c>
      <c r="P58" s="23" t="n">
        <f aca="false">SUMPRODUCT(($B$34:$B$50=$A58)*P$34:P$50*$C$34:$C$50)</f>
        <v>239.724661052559</v>
      </c>
    </row>
    <row r="59" customFormat="false" ht="15" hidden="false" customHeight="false" outlineLevel="0" collapsed="false">
      <c r="A59" s="4" t="s">
        <v>147</v>
      </c>
      <c r="D59" s="23" t="n">
        <f aca="false">SUMPRODUCT(($B$34:$B$50=$A59)*D$34:D$50*$C$34:$C$50)</f>
        <v>139.008702493194</v>
      </c>
      <c r="E59" s="23" t="n">
        <f aca="false">SUMPRODUCT(($B$34:$B$50=$A59)*E$34:E$50*$C$34:$C$50)</f>
        <v>139.008702493194</v>
      </c>
      <c r="F59" s="23" t="n">
        <f aca="false">SUMPRODUCT(($B$34:$B$50=$A59)*F$34:F$50*$C$34:$C$50)</f>
        <v>139.008702493194</v>
      </c>
      <c r="G59" s="23" t="n">
        <f aca="false">SUMPRODUCT(($B$34:$B$50=$A59)*G$34:G$50*$C$34:$C$50)</f>
        <v>139.008702493194</v>
      </c>
      <c r="H59" s="23" t="n">
        <f aca="false">SUMPRODUCT(($B$34:$B$50=$A59)*H$34:H$50*$C$34:$C$50)</f>
        <v>139.008702493194</v>
      </c>
      <c r="I59" s="23" t="n">
        <f aca="false">SUMPRODUCT(($B$34:$B$50=$A59)*I$34:I$50*$C$34:$C$50)</f>
        <v>139.008702493194</v>
      </c>
      <c r="J59" s="23" t="n">
        <f aca="false">SUMPRODUCT(($B$34:$B$50=$A59)*J$34:J$50*$C$34:$C$50)</f>
        <v>139.008702493194</v>
      </c>
      <c r="K59" s="23" t="n">
        <f aca="false">SUMPRODUCT(($B$34:$B$50=$A59)*K$34:K$50*$C$34:$C$50)</f>
        <v>139.008702493194</v>
      </c>
      <c r="L59" s="23" t="n">
        <f aca="false">SUMPRODUCT(($B$34:$B$50=$A59)*L$34:L$50*$C$34:$C$50)</f>
        <v>139.008702493194</v>
      </c>
      <c r="M59" s="23" t="n">
        <f aca="false">SUMPRODUCT(($B$34:$B$50=$A59)*M$34:M$50*$C$34:$C$50)</f>
        <v>139.008702493194</v>
      </c>
      <c r="N59" s="23" t="n">
        <f aca="false">SUMPRODUCT(($B$34:$B$50=$A59)*N$34:N$50*$C$34:$C$50)</f>
        <v>139.008702493194</v>
      </c>
      <c r="O59" s="23" t="n">
        <f aca="false">SUMPRODUCT(($B$34:$B$50=$A59)*O$34:O$50*$C$34:$C$50)</f>
        <v>139.008702493194</v>
      </c>
      <c r="P59" s="23" t="n">
        <f aca="false">SUMPRODUCT(($B$34:$B$50=$A59)*P$34:P$50*$C$34:$C$50)</f>
        <v>1668.10442991833</v>
      </c>
    </row>
    <row r="60" customFormat="false" ht="15" hidden="false" customHeight="false" outlineLevel="0" collapsed="false">
      <c r="A60" s="4" t="s">
        <v>150</v>
      </c>
      <c r="D60" s="23" t="n">
        <f aca="false">SUMPRODUCT(($B$34:$B$50=$A60)*D$34:D$50*$C$34:$C$50)</f>
        <v>6.73091503916886</v>
      </c>
      <c r="E60" s="23" t="n">
        <f aca="false">SUMPRODUCT(($B$34:$B$50=$A60)*E$34:E$50*$C$34:$C$50)</f>
        <v>6.73091503916886</v>
      </c>
      <c r="F60" s="23" t="n">
        <f aca="false">SUMPRODUCT(($B$34:$B$50=$A60)*F$34:F$50*$C$34:$C$50)</f>
        <v>6.73091503916886</v>
      </c>
      <c r="G60" s="23" t="n">
        <f aca="false">SUMPRODUCT(($B$34:$B$50=$A60)*G$34:G$50*$C$34:$C$50)</f>
        <v>6.73091503916886</v>
      </c>
      <c r="H60" s="23" t="n">
        <f aca="false">SUMPRODUCT(($B$34:$B$50=$A60)*H$34:H$50*$C$34:$C$50)</f>
        <v>6.73091503916886</v>
      </c>
      <c r="I60" s="23" t="n">
        <f aca="false">SUMPRODUCT(($B$34:$B$50=$A60)*I$34:I$50*$C$34:$C$50)</f>
        <v>6.73091503916886</v>
      </c>
      <c r="J60" s="23" t="n">
        <f aca="false">SUMPRODUCT(($B$34:$B$50=$A60)*J$34:J$50*$C$34:$C$50)</f>
        <v>6.73091503916886</v>
      </c>
      <c r="K60" s="23" t="n">
        <f aca="false">SUMPRODUCT(($B$34:$B$50=$A60)*K$34:K$50*$C$34:$C$50)</f>
        <v>6.73091503916886</v>
      </c>
      <c r="L60" s="23" t="n">
        <f aca="false">SUMPRODUCT(($B$34:$B$50=$A60)*L$34:L$50*$C$34:$C$50)</f>
        <v>6.73091503916886</v>
      </c>
      <c r="M60" s="23" t="n">
        <f aca="false">SUMPRODUCT(($B$34:$B$50=$A60)*M$34:M$50*$C$34:$C$50)</f>
        <v>6.73091503916886</v>
      </c>
      <c r="N60" s="23" t="n">
        <f aca="false">SUMPRODUCT(($B$34:$B$50=$A60)*N$34:N$50*$C$34:$C$50)</f>
        <v>6.73091503916886</v>
      </c>
      <c r="O60" s="23" t="n">
        <f aca="false">SUMPRODUCT(($B$34:$B$50=$A60)*O$34:O$50*$C$34:$C$50)</f>
        <v>6.73091503916886</v>
      </c>
      <c r="P60" s="23" t="n">
        <f aca="false">SUMPRODUCT(($B$34:$B$50=$A60)*P$34:P$50*$C$34:$C$50)</f>
        <v>80.7709804700263</v>
      </c>
    </row>
    <row r="61" customFormat="false" ht="15" hidden="false" customHeight="false" outlineLevel="0" collapsed="false">
      <c r="A61" s="6" t="s">
        <v>271</v>
      </c>
      <c r="D61" s="24" t="n">
        <f aca="false">SUMPRODUCT(D$34:D$50*parametros_recargas!$D$51:$D$67)</f>
        <v>63.9300023497716</v>
      </c>
      <c r="E61" s="24" t="n">
        <f aca="false">SUMPRODUCT(E$34:E$50*parametros_recargas!$D$51:$D$67)</f>
        <v>63.9300023497716</v>
      </c>
      <c r="F61" s="24" t="n">
        <f aca="false">SUMPRODUCT(F$34:F$50*parametros_recargas!$D$51:$D$67)</f>
        <v>63.9300023497716</v>
      </c>
      <c r="G61" s="24" t="n">
        <f aca="false">SUMPRODUCT(G$34:G$50*parametros_recargas!$D$51:$D$67)</f>
        <v>63.9300023497716</v>
      </c>
      <c r="H61" s="24" t="n">
        <f aca="false">SUMPRODUCT(H$34:H$50*parametros_recargas!$D$51:$D$67)</f>
        <v>63.9300023497716</v>
      </c>
      <c r="I61" s="24" t="n">
        <f aca="false">SUMPRODUCT(I$34:I$50*parametros_recargas!$D$51:$D$67)</f>
        <v>63.9300023497716</v>
      </c>
      <c r="J61" s="24" t="n">
        <f aca="false">SUMPRODUCT(J$34:J$50*parametros_recargas!$D$51:$D$67)</f>
        <v>63.9300023497716</v>
      </c>
      <c r="K61" s="24" t="n">
        <f aca="false">SUMPRODUCT(K$34:K$50*parametros_recargas!$D$51:$D$67)</f>
        <v>63.9300023497716</v>
      </c>
      <c r="L61" s="24" t="n">
        <f aca="false">SUMPRODUCT(L$34:L$50*parametros_recargas!$D$51:$D$67)</f>
        <v>63.9300023497716</v>
      </c>
      <c r="M61" s="24" t="n">
        <f aca="false">SUMPRODUCT(M$34:M$50*parametros_recargas!$D$51:$D$67)</f>
        <v>63.9300023497716</v>
      </c>
      <c r="N61" s="24" t="n">
        <f aca="false">SUMPRODUCT(N$34:N$50*parametros_recargas!$D$51:$D$67)</f>
        <v>63.9300023497716</v>
      </c>
      <c r="O61" s="24" t="n">
        <f aca="false">SUMPRODUCT(O$34:O$50*parametros_recargas!$D$51:$D$67)</f>
        <v>63.9300023497716</v>
      </c>
      <c r="P61" s="24" t="n">
        <f aca="false">SUMPRODUCT(P$34:P$50*parametros_recargas!$D$51:$D$67)</f>
        <v>767.160028197259</v>
      </c>
    </row>
    <row r="65" customFormat="false" ht="23.85" hidden="false" customHeight="false" outlineLevel="0" collapsed="false">
      <c r="A65" s="21" t="n">
        <v>2028</v>
      </c>
      <c r="B65" s="3" t="s">
        <v>266</v>
      </c>
      <c r="C65" s="3" t="s">
        <v>267</v>
      </c>
      <c r="D65" s="3" t="s">
        <v>120</v>
      </c>
      <c r="E65" s="3" t="s">
        <v>121</v>
      </c>
      <c r="F65" s="3" t="s">
        <v>122</v>
      </c>
      <c r="G65" s="3" t="s">
        <v>123</v>
      </c>
      <c r="H65" s="3" t="s">
        <v>124</v>
      </c>
      <c r="I65" s="3" t="s">
        <v>125</v>
      </c>
      <c r="J65" s="3" t="s">
        <v>126</v>
      </c>
      <c r="K65" s="3" t="s">
        <v>127</v>
      </c>
      <c r="L65" s="3" t="s">
        <v>128</v>
      </c>
      <c r="M65" s="3" t="s">
        <v>129</v>
      </c>
      <c r="N65" s="3" t="s">
        <v>130</v>
      </c>
      <c r="O65" s="3" t="s">
        <v>131</v>
      </c>
      <c r="P65" s="3" t="s">
        <v>132</v>
      </c>
      <c r="Q65" s="3" t="s">
        <v>268</v>
      </c>
    </row>
    <row r="66" customFormat="false" ht="15" hidden="false" customHeight="false" outlineLevel="0" collapsed="false">
      <c r="A66" s="12" t="str">
        <f aca="false">parametros_recargas!A51</f>
        <v>ABC 1 kg</v>
      </c>
      <c r="B66" s="12" t="str">
        <f aca="false">parametros_recargas!B51</f>
        <v>ABC</v>
      </c>
      <c r="C66" s="22" t="n">
        <f aca="false">parametros_recargas!C51</f>
        <v>1</v>
      </c>
      <c r="D66" s="23" t="n">
        <f aca="false">datos_base!$D$2*parametros_recargas!$B$39+sobrestock_sustitutos!$D$175/12</f>
        <v>1811.79928415773</v>
      </c>
      <c r="E66" s="23" t="n">
        <f aca="false">datos_base!$D$2*parametros_recargas!$C$39+sobrestock_sustitutos!$D$175/12</f>
        <v>1811.79928415773</v>
      </c>
      <c r="F66" s="23" t="n">
        <f aca="false">datos_base!$D$2*parametros_recargas!$D$39+sobrestock_sustitutos!$D$175/12</f>
        <v>1811.79928415773</v>
      </c>
      <c r="G66" s="23" t="n">
        <f aca="false">datos_base!$D$2*parametros_recargas!$E$39+sobrestock_sustitutos!$D$175/12</f>
        <v>1811.79928415773</v>
      </c>
      <c r="H66" s="23" t="n">
        <f aca="false">datos_base!$D$2*parametros_recargas!$F$39+sobrestock_sustitutos!$D$175/12</f>
        <v>1811.79928415773</v>
      </c>
      <c r="I66" s="23" t="n">
        <f aca="false">datos_base!$D$2*parametros_recargas!$G$39+sobrestock_sustitutos!$D$175/12</f>
        <v>1811.79928415773</v>
      </c>
      <c r="J66" s="23" t="n">
        <f aca="false">datos_base!$D$2*parametros_recargas!$H$39+sobrestock_sustitutos!$D$175/12</f>
        <v>1811.79928415773</v>
      </c>
      <c r="K66" s="23" t="n">
        <f aca="false">datos_base!$D$2*parametros_recargas!$I$39+sobrestock_sustitutos!$D$175/12</f>
        <v>1811.79928415773</v>
      </c>
      <c r="L66" s="23" t="n">
        <f aca="false">datos_base!$D$2*parametros_recargas!$J$39+sobrestock_sustitutos!$D$175/12</f>
        <v>1811.79928415773</v>
      </c>
      <c r="M66" s="23" t="n">
        <f aca="false">datos_base!$D$2*parametros_recargas!$K$39+sobrestock_sustitutos!$D$175/12</f>
        <v>1811.79928415773</v>
      </c>
      <c r="N66" s="23" t="n">
        <f aca="false">datos_base!$D$2*parametros_recargas!$L$39+sobrestock_sustitutos!$D$175/12</f>
        <v>1811.79928415773</v>
      </c>
      <c r="O66" s="23" t="n">
        <f aca="false">datos_base!$D$2*parametros_recargas!$M$39+sobrestock_sustitutos!$D$175/12</f>
        <v>1811.79928415773</v>
      </c>
      <c r="P66" s="7" t="n">
        <f aca="false">SUM(D66:O66)</f>
        <v>21741.5914098928</v>
      </c>
      <c r="Q66" s="13" t="n">
        <f aca="false">sobrestock_sustitutos!$D$175</f>
        <v>0</v>
      </c>
    </row>
    <row r="67" customFormat="false" ht="15" hidden="false" customHeight="false" outlineLevel="0" collapsed="false">
      <c r="A67" s="12" t="str">
        <f aca="false">parametros_recargas!A52</f>
        <v>ABC 2,5 kg</v>
      </c>
      <c r="B67" s="12" t="str">
        <f aca="false">parametros_recargas!B52</f>
        <v>ABC</v>
      </c>
      <c r="C67" s="22" t="n">
        <f aca="false">parametros_recargas!C52</f>
        <v>1</v>
      </c>
      <c r="D67" s="23" t="n">
        <f aca="false">datos_base!$D$3*parametros_recargas!$B$39+sobrestock_sustitutos!$D$176/12</f>
        <v>174.807288314022</v>
      </c>
      <c r="E67" s="23" t="n">
        <f aca="false">datos_base!$D$3*parametros_recargas!$C$39+sobrestock_sustitutos!$D$176/12</f>
        <v>174.807288314022</v>
      </c>
      <c r="F67" s="23" t="n">
        <f aca="false">datos_base!$D$3*parametros_recargas!$D$39+sobrestock_sustitutos!$D$176/12</f>
        <v>174.807288314022</v>
      </c>
      <c r="G67" s="23" t="n">
        <f aca="false">datos_base!$D$3*parametros_recargas!$E$39+sobrestock_sustitutos!$D$176/12</f>
        <v>174.807288314022</v>
      </c>
      <c r="H67" s="23" t="n">
        <f aca="false">datos_base!$D$3*parametros_recargas!$F$39+sobrestock_sustitutos!$D$176/12</f>
        <v>174.807288314022</v>
      </c>
      <c r="I67" s="23" t="n">
        <f aca="false">datos_base!$D$3*parametros_recargas!$G$39+sobrestock_sustitutos!$D$176/12</f>
        <v>174.807288314022</v>
      </c>
      <c r="J67" s="23" t="n">
        <f aca="false">datos_base!$D$3*parametros_recargas!$H$39+sobrestock_sustitutos!$D$176/12</f>
        <v>174.807288314022</v>
      </c>
      <c r="K67" s="23" t="n">
        <f aca="false">datos_base!$D$3*parametros_recargas!$I$39+sobrestock_sustitutos!$D$176/12</f>
        <v>174.807288314022</v>
      </c>
      <c r="L67" s="23" t="n">
        <f aca="false">datos_base!$D$3*parametros_recargas!$J$39+sobrestock_sustitutos!$D$176/12</f>
        <v>174.807288314022</v>
      </c>
      <c r="M67" s="23" t="n">
        <f aca="false">datos_base!$D$3*parametros_recargas!$K$39+sobrestock_sustitutos!$D$176/12</f>
        <v>174.807288314022</v>
      </c>
      <c r="N67" s="23" t="n">
        <f aca="false">datos_base!$D$3*parametros_recargas!$L$39+sobrestock_sustitutos!$D$176/12</f>
        <v>174.807288314022</v>
      </c>
      <c r="O67" s="23" t="n">
        <f aca="false">datos_base!$D$3*parametros_recargas!$M$39+sobrestock_sustitutos!$D$176/12</f>
        <v>174.807288314022</v>
      </c>
      <c r="P67" s="7" t="n">
        <f aca="false">SUM(D67:O67)</f>
        <v>2097.68745976827</v>
      </c>
      <c r="Q67" s="13" t="n">
        <f aca="false">sobrestock_sustitutos!$D$176</f>
        <v>0</v>
      </c>
    </row>
    <row r="68" customFormat="false" ht="15" hidden="false" customHeight="false" outlineLevel="0" collapsed="false">
      <c r="A68" s="12" t="str">
        <f aca="false">parametros_recargas!A53</f>
        <v>ABC 5 kg</v>
      </c>
      <c r="B68" s="12" t="str">
        <f aca="false">parametros_recargas!B53</f>
        <v>ABC</v>
      </c>
      <c r="C68" s="22" t="n">
        <f aca="false">parametros_recargas!C53</f>
        <v>1</v>
      </c>
      <c r="D68" s="23" t="n">
        <f aca="false">datos_base!$D$4*parametros_recargas!$B$39+sobrestock_sustitutos!$D$177/12</f>
        <v>1056.68384178269</v>
      </c>
      <c r="E68" s="23" t="n">
        <f aca="false">datos_base!$D$4*parametros_recargas!$C$39+sobrestock_sustitutos!$D$177/12</f>
        <v>1056.68384178269</v>
      </c>
      <c r="F68" s="23" t="n">
        <f aca="false">datos_base!$D$4*parametros_recargas!$D$39+sobrestock_sustitutos!$D$177/12</f>
        <v>1056.68384178269</v>
      </c>
      <c r="G68" s="23" t="n">
        <f aca="false">datos_base!$D$4*parametros_recargas!$E$39+sobrestock_sustitutos!$D$177/12</f>
        <v>1056.68384178269</v>
      </c>
      <c r="H68" s="23" t="n">
        <f aca="false">datos_base!$D$4*parametros_recargas!$F$39+sobrestock_sustitutos!$D$177/12</f>
        <v>1056.68384178269</v>
      </c>
      <c r="I68" s="23" t="n">
        <f aca="false">datos_base!$D$4*parametros_recargas!$G$39+sobrestock_sustitutos!$D$177/12</f>
        <v>1056.68384178269</v>
      </c>
      <c r="J68" s="23" t="n">
        <f aca="false">datos_base!$D$4*parametros_recargas!$H$39+sobrestock_sustitutos!$D$177/12</f>
        <v>1056.68384178269</v>
      </c>
      <c r="K68" s="23" t="n">
        <f aca="false">datos_base!$D$4*parametros_recargas!$I$39+sobrestock_sustitutos!$D$177/12</f>
        <v>1056.68384178269</v>
      </c>
      <c r="L68" s="23" t="n">
        <f aca="false">datos_base!$D$4*parametros_recargas!$J$39+sobrestock_sustitutos!$D$177/12</f>
        <v>1056.68384178269</v>
      </c>
      <c r="M68" s="23" t="n">
        <f aca="false">datos_base!$D$4*parametros_recargas!$K$39+sobrestock_sustitutos!$D$177/12</f>
        <v>1056.68384178269</v>
      </c>
      <c r="N68" s="23" t="n">
        <f aca="false">datos_base!$D$4*parametros_recargas!$L$39+sobrestock_sustitutos!$D$177/12</f>
        <v>1056.68384178269</v>
      </c>
      <c r="O68" s="23" t="n">
        <f aca="false">datos_base!$D$4*parametros_recargas!$M$39+sobrestock_sustitutos!$D$177/12</f>
        <v>1056.68384178269</v>
      </c>
      <c r="P68" s="7" t="n">
        <f aca="false">SUM(D68:O68)</f>
        <v>12680.2061013923</v>
      </c>
      <c r="Q68" s="13" t="n">
        <f aca="false">sobrestock_sustitutos!$D$177</f>
        <v>28</v>
      </c>
    </row>
    <row r="69" customFormat="false" ht="15" hidden="false" customHeight="false" outlineLevel="0" collapsed="false">
      <c r="A69" s="12" t="str">
        <f aca="false">parametros_recargas!A54</f>
        <v>ABC 10 kg</v>
      </c>
      <c r="B69" s="12" t="str">
        <f aca="false">parametros_recargas!B54</f>
        <v>ABC</v>
      </c>
      <c r="C69" s="22" t="n">
        <f aca="false">parametros_recargas!C54</f>
        <v>1</v>
      </c>
      <c r="D69" s="23" t="n">
        <f aca="false">datos_base!$D$5*parametros_recargas!$B$39+sobrestock_sustitutos!$D$178/12</f>
        <v>60.9616383555812</v>
      </c>
      <c r="E69" s="23" t="n">
        <f aca="false">datos_base!$D$5*parametros_recargas!$C$39+sobrestock_sustitutos!$D$178/12</f>
        <v>60.9616383555812</v>
      </c>
      <c r="F69" s="23" t="n">
        <f aca="false">datos_base!$D$5*parametros_recargas!$D$39+sobrestock_sustitutos!$D$178/12</f>
        <v>60.9616383555812</v>
      </c>
      <c r="G69" s="23" t="n">
        <f aca="false">datos_base!$D$5*parametros_recargas!$E$39+sobrestock_sustitutos!$D$178/12</f>
        <v>60.9616383555812</v>
      </c>
      <c r="H69" s="23" t="n">
        <f aca="false">datos_base!$D$5*parametros_recargas!$F$39+sobrestock_sustitutos!$D$178/12</f>
        <v>60.9616383555812</v>
      </c>
      <c r="I69" s="23" t="n">
        <f aca="false">datos_base!$D$5*parametros_recargas!$G$39+sobrestock_sustitutos!$D$178/12</f>
        <v>60.9616383555812</v>
      </c>
      <c r="J69" s="23" t="n">
        <f aca="false">datos_base!$D$5*parametros_recargas!$H$39+sobrestock_sustitutos!$D$178/12</f>
        <v>60.9616383555812</v>
      </c>
      <c r="K69" s="23" t="n">
        <f aca="false">datos_base!$D$5*parametros_recargas!$I$39+sobrestock_sustitutos!$D$178/12</f>
        <v>60.9616383555812</v>
      </c>
      <c r="L69" s="23" t="n">
        <f aca="false">datos_base!$D$5*parametros_recargas!$J$39+sobrestock_sustitutos!$D$178/12</f>
        <v>60.9616383555812</v>
      </c>
      <c r="M69" s="23" t="n">
        <f aca="false">datos_base!$D$5*parametros_recargas!$K$39+sobrestock_sustitutos!$D$178/12</f>
        <v>60.9616383555812</v>
      </c>
      <c r="N69" s="23" t="n">
        <f aca="false">datos_base!$D$5*parametros_recargas!$L$39+sobrestock_sustitutos!$D$178/12</f>
        <v>60.9616383555812</v>
      </c>
      <c r="O69" s="23" t="n">
        <f aca="false">datos_base!$D$5*parametros_recargas!$M$39+sobrestock_sustitutos!$D$178/12</f>
        <v>60.9616383555812</v>
      </c>
      <c r="P69" s="7" t="n">
        <f aca="false">SUM(D69:O69)</f>
        <v>731.539660266974</v>
      </c>
      <c r="Q69" s="13" t="n">
        <f aca="false">sobrestock_sustitutos!$D$178</f>
        <v>2</v>
      </c>
    </row>
    <row r="70" customFormat="false" ht="15" hidden="false" customHeight="false" outlineLevel="0" collapsed="false">
      <c r="A70" s="12" t="str">
        <f aca="false">parametros_recargas!A55</f>
        <v>Agua 10 l</v>
      </c>
      <c r="B70" s="12" t="str">
        <f aca="false">parametros_recargas!B55</f>
        <v>Agua</v>
      </c>
      <c r="C70" s="22" t="n">
        <f aca="false">parametros_recargas!C55</f>
        <v>1</v>
      </c>
      <c r="D70" s="23" t="n">
        <f aca="false">datos_base!$D$6*parametros_recargas!$B$39+sobrestock_sustitutos!$D$179/12</f>
        <v>87.6164647122769</v>
      </c>
      <c r="E70" s="23" t="n">
        <f aca="false">datos_base!$D$6*parametros_recargas!$C$39+sobrestock_sustitutos!$D$179/12</f>
        <v>87.6164647122769</v>
      </c>
      <c r="F70" s="23" t="n">
        <f aca="false">datos_base!$D$6*parametros_recargas!$D$39+sobrestock_sustitutos!$D$179/12</f>
        <v>87.6164647122769</v>
      </c>
      <c r="G70" s="23" t="n">
        <f aca="false">datos_base!$D$6*parametros_recargas!$E$39+sobrestock_sustitutos!$D$179/12</f>
        <v>87.6164647122769</v>
      </c>
      <c r="H70" s="23" t="n">
        <f aca="false">datos_base!$D$6*parametros_recargas!$F$39+sobrestock_sustitutos!$D$179/12</f>
        <v>87.6164647122769</v>
      </c>
      <c r="I70" s="23" t="n">
        <f aca="false">datos_base!$D$6*parametros_recargas!$G$39+sobrestock_sustitutos!$D$179/12</f>
        <v>87.6164647122769</v>
      </c>
      <c r="J70" s="23" t="n">
        <f aca="false">datos_base!$D$6*parametros_recargas!$H$39+sobrestock_sustitutos!$D$179/12</f>
        <v>87.6164647122769</v>
      </c>
      <c r="K70" s="23" t="n">
        <f aca="false">datos_base!$D$6*parametros_recargas!$I$39+sobrestock_sustitutos!$D$179/12</f>
        <v>87.6164647122769</v>
      </c>
      <c r="L70" s="23" t="n">
        <f aca="false">datos_base!$D$6*parametros_recargas!$J$39+sobrestock_sustitutos!$D$179/12</f>
        <v>87.6164647122769</v>
      </c>
      <c r="M70" s="23" t="n">
        <f aca="false">datos_base!$D$6*parametros_recargas!$K$39+sobrestock_sustitutos!$D$179/12</f>
        <v>87.6164647122769</v>
      </c>
      <c r="N70" s="23" t="n">
        <f aca="false">datos_base!$D$6*parametros_recargas!$L$39+sobrestock_sustitutos!$D$179/12</f>
        <v>87.6164647122769</v>
      </c>
      <c r="O70" s="23" t="n">
        <f aca="false">datos_base!$D$6*parametros_recargas!$M$39+sobrestock_sustitutos!$D$179/12</f>
        <v>87.6164647122769</v>
      </c>
      <c r="P70" s="7" t="n">
        <f aca="false">SUM(D70:O70)</f>
        <v>1051.39757654732</v>
      </c>
      <c r="Q70" s="13" t="n">
        <f aca="false">sobrestock_sustitutos!$D$179</f>
        <v>2</v>
      </c>
    </row>
    <row r="71" customFormat="false" ht="15" hidden="false" customHeight="false" outlineLevel="0" collapsed="false">
      <c r="A71" s="12" t="str">
        <f aca="false">parametros_recargas!A56</f>
        <v>AFFF 10 l</v>
      </c>
      <c r="B71" s="12" t="str">
        <f aca="false">parametros_recargas!B56</f>
        <v>AFFF</v>
      </c>
      <c r="C71" s="22" t="n">
        <f aca="false">parametros_recargas!C56</f>
        <v>1</v>
      </c>
      <c r="D71" s="23" t="n">
        <f aca="false">datos_base!$D$7*parametros_recargas!$B$39+sobrestock_sustitutos!$D$180/12</f>
        <v>18.8624584265188</v>
      </c>
      <c r="E71" s="23" t="n">
        <f aca="false">datos_base!$D$7*parametros_recargas!$C$39+sobrestock_sustitutos!$D$180/12</f>
        <v>18.8624584265188</v>
      </c>
      <c r="F71" s="23" t="n">
        <f aca="false">datos_base!$D$7*parametros_recargas!$D$39+sobrestock_sustitutos!$D$180/12</f>
        <v>18.8624584265188</v>
      </c>
      <c r="G71" s="23" t="n">
        <f aca="false">datos_base!$D$7*parametros_recargas!$E$39+sobrestock_sustitutos!$D$180/12</f>
        <v>18.8624584265188</v>
      </c>
      <c r="H71" s="23" t="n">
        <f aca="false">datos_base!$D$7*parametros_recargas!$F$39+sobrestock_sustitutos!$D$180/12</f>
        <v>18.8624584265188</v>
      </c>
      <c r="I71" s="23" t="n">
        <f aca="false">datos_base!$D$7*parametros_recargas!$G$39+sobrestock_sustitutos!$D$180/12</f>
        <v>18.8624584265188</v>
      </c>
      <c r="J71" s="23" t="n">
        <f aca="false">datos_base!$D$7*parametros_recargas!$H$39+sobrestock_sustitutos!$D$180/12</f>
        <v>18.8624584265188</v>
      </c>
      <c r="K71" s="23" t="n">
        <f aca="false">datos_base!$D$7*parametros_recargas!$I$39+sobrestock_sustitutos!$D$180/12</f>
        <v>18.8624584265188</v>
      </c>
      <c r="L71" s="23" t="n">
        <f aca="false">datos_base!$D$7*parametros_recargas!$J$39+sobrestock_sustitutos!$D$180/12</f>
        <v>18.8624584265188</v>
      </c>
      <c r="M71" s="23" t="n">
        <f aca="false">datos_base!$D$7*parametros_recargas!$K$39+sobrestock_sustitutos!$D$180/12</f>
        <v>18.8624584265188</v>
      </c>
      <c r="N71" s="23" t="n">
        <f aca="false">datos_base!$D$7*parametros_recargas!$L$39+sobrestock_sustitutos!$D$180/12</f>
        <v>18.8624584265188</v>
      </c>
      <c r="O71" s="23" t="n">
        <f aca="false">datos_base!$D$7*parametros_recargas!$M$39+sobrestock_sustitutos!$D$180/12</f>
        <v>18.8624584265188</v>
      </c>
      <c r="P71" s="7" t="n">
        <f aca="false">SUM(D71:O71)</f>
        <v>226.349501118225</v>
      </c>
      <c r="Q71" s="13" t="n">
        <f aca="false">sobrestock_sustitutos!$D$180</f>
        <v>1</v>
      </c>
    </row>
    <row r="72" customFormat="false" ht="15" hidden="false" customHeight="false" outlineLevel="0" collapsed="false">
      <c r="A72" s="12" t="str">
        <f aca="false">parametros_recargas!A57</f>
        <v>AFFF 50 l s/ruedas</v>
      </c>
      <c r="B72" s="12" t="str">
        <f aca="false">parametros_recargas!B57</f>
        <v>AFFF</v>
      </c>
      <c r="C72" s="22" t="n">
        <f aca="false">parametros_recargas!C57</f>
        <v>3</v>
      </c>
      <c r="D72" s="23" t="n">
        <f aca="false">datos_base!$D$8*parametros_recargas!$B$39+sobrestock_sustitutos!$D$181/12</f>
        <v>9.83827943252179</v>
      </c>
      <c r="E72" s="23" t="n">
        <f aca="false">datos_base!$D$8*parametros_recargas!$C$39+sobrestock_sustitutos!$D$181/12</f>
        <v>9.83827943252179</v>
      </c>
      <c r="F72" s="23" t="n">
        <f aca="false">datos_base!$D$8*parametros_recargas!$D$39+sobrestock_sustitutos!$D$181/12</f>
        <v>9.83827943252179</v>
      </c>
      <c r="G72" s="23" t="n">
        <f aca="false">datos_base!$D$8*parametros_recargas!$E$39+sobrestock_sustitutos!$D$181/12</f>
        <v>9.83827943252179</v>
      </c>
      <c r="H72" s="23" t="n">
        <f aca="false">datos_base!$D$8*parametros_recargas!$F$39+sobrestock_sustitutos!$D$181/12</f>
        <v>9.83827943252179</v>
      </c>
      <c r="I72" s="23" t="n">
        <f aca="false">datos_base!$D$8*parametros_recargas!$G$39+sobrestock_sustitutos!$D$181/12</f>
        <v>9.83827943252179</v>
      </c>
      <c r="J72" s="23" t="n">
        <f aca="false">datos_base!$D$8*parametros_recargas!$H$39+sobrestock_sustitutos!$D$181/12</f>
        <v>9.83827943252179</v>
      </c>
      <c r="K72" s="23" t="n">
        <f aca="false">datos_base!$D$8*parametros_recargas!$I$39+sobrestock_sustitutos!$D$181/12</f>
        <v>9.83827943252179</v>
      </c>
      <c r="L72" s="23" t="n">
        <f aca="false">datos_base!$D$8*parametros_recargas!$J$39+sobrestock_sustitutos!$D$181/12</f>
        <v>9.83827943252179</v>
      </c>
      <c r="M72" s="23" t="n">
        <f aca="false">datos_base!$D$8*parametros_recargas!$K$39+sobrestock_sustitutos!$D$181/12</f>
        <v>9.83827943252179</v>
      </c>
      <c r="N72" s="23" t="n">
        <f aca="false">datos_base!$D$8*parametros_recargas!$L$39+sobrestock_sustitutos!$D$181/12</f>
        <v>9.83827943252179</v>
      </c>
      <c r="O72" s="23" t="n">
        <f aca="false">datos_base!$D$8*parametros_recargas!$M$39+sobrestock_sustitutos!$D$181/12</f>
        <v>9.83827943252179</v>
      </c>
      <c r="P72" s="7" t="n">
        <f aca="false">SUM(D72:O72)</f>
        <v>118.059353190262</v>
      </c>
      <c r="Q72" s="13" t="n">
        <f aca="false">sobrestock_sustitutos!$D$181</f>
        <v>1</v>
      </c>
    </row>
    <row r="73" customFormat="false" ht="15" hidden="false" customHeight="false" outlineLevel="0" collapsed="false">
      <c r="A73" s="12" t="str">
        <f aca="false">parametros_recargas!A58</f>
        <v>BC 5 kg</v>
      </c>
      <c r="B73" s="12" t="str">
        <f aca="false">parametros_recargas!B58</f>
        <v>BC</v>
      </c>
      <c r="C73" s="22" t="n">
        <f aca="false">parametros_recargas!C58</f>
        <v>1</v>
      </c>
      <c r="D73" s="23" t="n">
        <f aca="false">datos_base!$D$9*parametros_recargas!$B$39+sobrestock_sustitutos!$D$182/12</f>
        <v>5.35570220048698</v>
      </c>
      <c r="E73" s="23" t="n">
        <f aca="false">datos_base!$D$9*parametros_recargas!$C$39+sobrestock_sustitutos!$D$182/12</f>
        <v>5.35570220048698</v>
      </c>
      <c r="F73" s="23" t="n">
        <f aca="false">datos_base!$D$9*parametros_recargas!$D$39+sobrestock_sustitutos!$D$182/12</f>
        <v>5.35570220048698</v>
      </c>
      <c r="G73" s="23" t="n">
        <f aca="false">datos_base!$D$9*parametros_recargas!$E$39+sobrestock_sustitutos!$D$182/12</f>
        <v>5.35570220048698</v>
      </c>
      <c r="H73" s="23" t="n">
        <f aca="false">datos_base!$D$9*parametros_recargas!$F$39+sobrestock_sustitutos!$D$182/12</f>
        <v>5.35570220048698</v>
      </c>
      <c r="I73" s="23" t="n">
        <f aca="false">datos_base!$D$9*parametros_recargas!$G$39+sobrestock_sustitutos!$D$182/12</f>
        <v>5.35570220048698</v>
      </c>
      <c r="J73" s="23" t="n">
        <f aca="false">datos_base!$D$9*parametros_recargas!$H$39+sobrestock_sustitutos!$D$182/12</f>
        <v>5.35570220048698</v>
      </c>
      <c r="K73" s="23" t="n">
        <f aca="false">datos_base!$D$9*parametros_recargas!$I$39+sobrestock_sustitutos!$D$182/12</f>
        <v>5.35570220048698</v>
      </c>
      <c r="L73" s="23" t="n">
        <f aca="false">datos_base!$D$9*parametros_recargas!$J$39+sobrestock_sustitutos!$D$182/12</f>
        <v>5.35570220048698</v>
      </c>
      <c r="M73" s="23" t="n">
        <f aca="false">datos_base!$D$9*parametros_recargas!$K$39+sobrestock_sustitutos!$D$182/12</f>
        <v>5.35570220048698</v>
      </c>
      <c r="N73" s="23" t="n">
        <f aca="false">datos_base!$D$9*parametros_recargas!$L$39+sobrestock_sustitutos!$D$182/12</f>
        <v>5.35570220048698</v>
      </c>
      <c r="O73" s="23" t="n">
        <f aca="false">datos_base!$D$9*parametros_recargas!$M$39+sobrestock_sustitutos!$D$182/12</f>
        <v>5.35570220048698</v>
      </c>
      <c r="P73" s="7" t="n">
        <f aca="false">SUM(D73:O73)</f>
        <v>64.2684264058438</v>
      </c>
      <c r="Q73" s="13" t="n">
        <f aca="false">sobrestock_sustitutos!$D$182</f>
        <v>1</v>
      </c>
    </row>
    <row r="74" customFormat="false" ht="15" hidden="false" customHeight="false" outlineLevel="0" collapsed="false">
      <c r="A74" s="12" t="str">
        <f aca="false">parametros_recargas!A59</f>
        <v>Sales K 6 l</v>
      </c>
      <c r="B74" s="12" t="str">
        <f aca="false">parametros_recargas!B59</f>
        <v>Sales K</v>
      </c>
      <c r="C74" s="22" t="n">
        <f aca="false">parametros_recargas!C59</f>
        <v>1</v>
      </c>
      <c r="D74" s="23" t="n">
        <f aca="false">datos_base!$D$10*parametros_recargas!$B$39+sobrestock_sustitutos!$D$183/12</f>
        <v>44.3667876610668</v>
      </c>
      <c r="E74" s="23" t="n">
        <f aca="false">datos_base!$D$10*parametros_recargas!$C$39+sobrestock_sustitutos!$D$183/12</f>
        <v>44.3667876610668</v>
      </c>
      <c r="F74" s="23" t="n">
        <f aca="false">datos_base!$D$10*parametros_recargas!$D$39+sobrestock_sustitutos!$D$183/12</f>
        <v>44.3667876610668</v>
      </c>
      <c r="G74" s="23" t="n">
        <f aca="false">datos_base!$D$10*parametros_recargas!$E$39+sobrestock_sustitutos!$D$183/12</f>
        <v>44.3667876610668</v>
      </c>
      <c r="H74" s="23" t="n">
        <f aca="false">datos_base!$D$10*parametros_recargas!$F$39+sobrestock_sustitutos!$D$183/12</f>
        <v>44.3667876610668</v>
      </c>
      <c r="I74" s="23" t="n">
        <f aca="false">datos_base!$D$10*parametros_recargas!$G$39+sobrestock_sustitutos!$D$183/12</f>
        <v>44.3667876610668</v>
      </c>
      <c r="J74" s="23" t="n">
        <f aca="false">datos_base!$D$10*parametros_recargas!$H$39+sobrestock_sustitutos!$D$183/12</f>
        <v>44.3667876610668</v>
      </c>
      <c r="K74" s="23" t="n">
        <f aca="false">datos_base!$D$10*parametros_recargas!$I$39+sobrestock_sustitutos!$D$183/12</f>
        <v>44.3667876610668</v>
      </c>
      <c r="L74" s="23" t="n">
        <f aca="false">datos_base!$D$10*parametros_recargas!$J$39+sobrestock_sustitutos!$D$183/12</f>
        <v>44.3667876610668</v>
      </c>
      <c r="M74" s="23" t="n">
        <f aca="false">datos_base!$D$10*parametros_recargas!$K$39+sobrestock_sustitutos!$D$183/12</f>
        <v>44.3667876610668</v>
      </c>
      <c r="N74" s="23" t="n">
        <f aca="false">datos_base!$D$10*parametros_recargas!$L$39+sobrestock_sustitutos!$D$183/12</f>
        <v>44.3667876610668</v>
      </c>
      <c r="O74" s="23" t="n">
        <f aca="false">datos_base!$D$10*parametros_recargas!$M$39+sobrestock_sustitutos!$D$183/12</f>
        <v>44.3667876610668</v>
      </c>
      <c r="P74" s="7" t="n">
        <f aca="false">SUM(D74:O74)</f>
        <v>532.401451932801</v>
      </c>
      <c r="Q74" s="13" t="n">
        <f aca="false">sobrestock_sustitutos!$D$183</f>
        <v>1</v>
      </c>
    </row>
    <row r="75" customFormat="false" ht="15" hidden="false" customHeight="false" outlineLevel="0" collapsed="false">
      <c r="A75" s="12" t="str">
        <f aca="false">parametros_recargas!A60</f>
        <v>CO₂ 2 kg</v>
      </c>
      <c r="B75" s="12" t="str">
        <f aca="false">parametros_recargas!B60</f>
        <v>CO₂</v>
      </c>
      <c r="C75" s="22" t="n">
        <f aca="false">parametros_recargas!C60</f>
        <v>1</v>
      </c>
      <c r="D75" s="23" t="n">
        <f aca="false">datos_base!$D$11*parametros_recargas!$B$39+sobrestock_sustitutos!$D$184/12</f>
        <v>234.597061390832</v>
      </c>
      <c r="E75" s="23" t="n">
        <f aca="false">datos_base!$D$11*parametros_recargas!$C$39+sobrestock_sustitutos!$D$184/12</f>
        <v>234.597061390832</v>
      </c>
      <c r="F75" s="23" t="n">
        <f aca="false">datos_base!$D$11*parametros_recargas!$D$39+sobrestock_sustitutos!$D$184/12</f>
        <v>234.597061390832</v>
      </c>
      <c r="G75" s="23" t="n">
        <f aca="false">datos_base!$D$11*parametros_recargas!$E$39+sobrestock_sustitutos!$D$184/12</f>
        <v>234.597061390832</v>
      </c>
      <c r="H75" s="23" t="n">
        <f aca="false">datos_base!$D$11*parametros_recargas!$F$39+sobrestock_sustitutos!$D$184/12</f>
        <v>234.597061390832</v>
      </c>
      <c r="I75" s="23" t="n">
        <f aca="false">datos_base!$D$11*parametros_recargas!$G$39+sobrestock_sustitutos!$D$184/12</f>
        <v>234.597061390832</v>
      </c>
      <c r="J75" s="23" t="n">
        <f aca="false">datos_base!$D$11*parametros_recargas!$H$39+sobrestock_sustitutos!$D$184/12</f>
        <v>234.597061390832</v>
      </c>
      <c r="K75" s="23" t="n">
        <f aca="false">datos_base!$D$11*parametros_recargas!$I$39+sobrestock_sustitutos!$D$184/12</f>
        <v>234.597061390832</v>
      </c>
      <c r="L75" s="23" t="n">
        <f aca="false">datos_base!$D$11*parametros_recargas!$J$39+sobrestock_sustitutos!$D$184/12</f>
        <v>234.597061390832</v>
      </c>
      <c r="M75" s="23" t="n">
        <f aca="false">datos_base!$D$11*parametros_recargas!$K$39+sobrestock_sustitutos!$D$184/12</f>
        <v>234.597061390832</v>
      </c>
      <c r="N75" s="23" t="n">
        <f aca="false">datos_base!$D$11*parametros_recargas!$L$39+sobrestock_sustitutos!$D$184/12</f>
        <v>234.597061390832</v>
      </c>
      <c r="O75" s="23" t="n">
        <f aca="false">datos_base!$D$11*parametros_recargas!$M$39+sobrestock_sustitutos!$D$184/12</f>
        <v>234.597061390832</v>
      </c>
      <c r="P75" s="7" t="n">
        <f aca="false">SUM(D75:O75)</f>
        <v>2815.16473668998</v>
      </c>
      <c r="Q75" s="13" t="n">
        <f aca="false">sobrestock_sustitutos!$D$184</f>
        <v>0</v>
      </c>
    </row>
    <row r="76" customFormat="false" ht="15" hidden="false" customHeight="false" outlineLevel="0" collapsed="false">
      <c r="A76" s="12" t="str">
        <f aca="false">parametros_recargas!A61</f>
        <v>CO₂ 5 kg</v>
      </c>
      <c r="B76" s="12" t="str">
        <f aca="false">parametros_recargas!B61</f>
        <v>CO₂</v>
      </c>
      <c r="C76" s="22" t="n">
        <f aca="false">parametros_recargas!C61</f>
        <v>1</v>
      </c>
      <c r="D76" s="23" t="n">
        <f aca="false">datos_base!$D$12*parametros_recargas!$B$39+sobrestock_sustitutos!$D$185/12</f>
        <v>82.1767400421206</v>
      </c>
      <c r="E76" s="23" t="n">
        <f aca="false">datos_base!$D$12*parametros_recargas!$C$39+sobrestock_sustitutos!$D$185/12</f>
        <v>82.1767400421206</v>
      </c>
      <c r="F76" s="23" t="n">
        <f aca="false">datos_base!$D$12*parametros_recargas!$D$39+sobrestock_sustitutos!$D$185/12</f>
        <v>82.1767400421206</v>
      </c>
      <c r="G76" s="23" t="n">
        <f aca="false">datos_base!$D$12*parametros_recargas!$E$39+sobrestock_sustitutos!$D$185/12</f>
        <v>82.1767400421206</v>
      </c>
      <c r="H76" s="23" t="n">
        <f aca="false">datos_base!$D$12*parametros_recargas!$F$39+sobrestock_sustitutos!$D$185/12</f>
        <v>82.1767400421206</v>
      </c>
      <c r="I76" s="23" t="n">
        <f aca="false">datos_base!$D$12*parametros_recargas!$G$39+sobrestock_sustitutos!$D$185/12</f>
        <v>82.1767400421206</v>
      </c>
      <c r="J76" s="23" t="n">
        <f aca="false">datos_base!$D$12*parametros_recargas!$H$39+sobrestock_sustitutos!$D$185/12</f>
        <v>82.1767400421206</v>
      </c>
      <c r="K76" s="23" t="n">
        <f aca="false">datos_base!$D$12*parametros_recargas!$I$39+sobrestock_sustitutos!$D$185/12</f>
        <v>82.1767400421206</v>
      </c>
      <c r="L76" s="23" t="n">
        <f aca="false">datos_base!$D$12*parametros_recargas!$J$39+sobrestock_sustitutos!$D$185/12</f>
        <v>82.1767400421206</v>
      </c>
      <c r="M76" s="23" t="n">
        <f aca="false">datos_base!$D$12*parametros_recargas!$K$39+sobrestock_sustitutos!$D$185/12</f>
        <v>82.1767400421206</v>
      </c>
      <c r="N76" s="23" t="n">
        <f aca="false">datos_base!$D$12*parametros_recargas!$L$39+sobrestock_sustitutos!$D$185/12</f>
        <v>82.1767400421206</v>
      </c>
      <c r="O76" s="23" t="n">
        <f aca="false">datos_base!$D$12*parametros_recargas!$M$39+sobrestock_sustitutos!$D$185/12</f>
        <v>82.1767400421206</v>
      </c>
      <c r="P76" s="7" t="n">
        <f aca="false">SUM(D76:O76)</f>
        <v>986.120880505447</v>
      </c>
      <c r="Q76" s="13" t="n">
        <f aca="false">sobrestock_sustitutos!$D$185</f>
        <v>7</v>
      </c>
    </row>
    <row r="77" customFormat="false" ht="15" hidden="false" customHeight="false" outlineLevel="0" collapsed="false">
      <c r="A77" s="12" t="str">
        <f aca="false">parametros_recargas!A62</f>
        <v>HCFC/HFC 5 kg</v>
      </c>
      <c r="B77" s="12" t="str">
        <f aca="false">parametros_recargas!B62</f>
        <v>Halogenado</v>
      </c>
      <c r="C77" s="22" t="n">
        <f aca="false">parametros_recargas!C62</f>
        <v>1</v>
      </c>
      <c r="D77" s="23" t="n">
        <f aca="false">datos_base!$D$13*parametros_recargas!$B$39+sobrestock_sustitutos!$D$186/12</f>
        <v>13.7761232432101</v>
      </c>
      <c r="E77" s="23" t="n">
        <f aca="false">datos_base!$D$13*parametros_recargas!$C$39+sobrestock_sustitutos!$D$186/12</f>
        <v>13.7761232432101</v>
      </c>
      <c r="F77" s="23" t="n">
        <f aca="false">datos_base!$D$13*parametros_recargas!$D$39+sobrestock_sustitutos!$D$186/12</f>
        <v>13.7761232432101</v>
      </c>
      <c r="G77" s="23" t="n">
        <f aca="false">datos_base!$D$13*parametros_recargas!$E$39+sobrestock_sustitutos!$D$186/12</f>
        <v>13.7761232432101</v>
      </c>
      <c r="H77" s="23" t="n">
        <f aca="false">datos_base!$D$13*parametros_recargas!$F$39+sobrestock_sustitutos!$D$186/12</f>
        <v>13.7761232432101</v>
      </c>
      <c r="I77" s="23" t="n">
        <f aca="false">datos_base!$D$13*parametros_recargas!$G$39+sobrestock_sustitutos!$D$186/12</f>
        <v>13.7761232432101</v>
      </c>
      <c r="J77" s="23" t="n">
        <f aca="false">datos_base!$D$13*parametros_recargas!$H$39+sobrestock_sustitutos!$D$186/12</f>
        <v>13.7761232432101</v>
      </c>
      <c r="K77" s="23" t="n">
        <f aca="false">datos_base!$D$13*parametros_recargas!$I$39+sobrestock_sustitutos!$D$186/12</f>
        <v>13.7761232432101</v>
      </c>
      <c r="L77" s="23" t="n">
        <f aca="false">datos_base!$D$13*parametros_recargas!$J$39+sobrestock_sustitutos!$D$186/12</f>
        <v>13.7761232432101</v>
      </c>
      <c r="M77" s="23" t="n">
        <f aca="false">datos_base!$D$13*parametros_recargas!$K$39+sobrestock_sustitutos!$D$186/12</f>
        <v>13.7761232432101</v>
      </c>
      <c r="N77" s="23" t="n">
        <f aca="false">datos_base!$D$13*parametros_recargas!$L$39+sobrestock_sustitutos!$D$186/12</f>
        <v>13.7761232432101</v>
      </c>
      <c r="O77" s="23" t="n">
        <f aca="false">datos_base!$D$13*parametros_recargas!$M$39+sobrestock_sustitutos!$D$186/12</f>
        <v>13.7761232432101</v>
      </c>
      <c r="P77" s="7" t="n">
        <f aca="false">SUM(D77:O77)</f>
        <v>165.313478918521</v>
      </c>
      <c r="Q77" s="13" t="n">
        <f aca="false">sobrestock_sustitutos!$D$186</f>
        <v>1</v>
      </c>
    </row>
    <row r="78" customFormat="false" ht="15" hidden="false" customHeight="false" outlineLevel="0" collapsed="false">
      <c r="A78" s="12" t="str">
        <f aca="false">parametros_recargas!A63</f>
        <v>Clase D 9 l</v>
      </c>
      <c r="B78" s="12" t="str">
        <f aca="false">parametros_recargas!B63</f>
        <v>Clase D</v>
      </c>
      <c r="C78" s="22" t="n">
        <f aca="false">parametros_recargas!C63</f>
        <v>1</v>
      </c>
      <c r="D78" s="23" t="n">
        <f aca="false">datos_base!$D$14*parametros_recargas!$B$39+sobrestock_sustitutos!$D$187/12</f>
        <v>5.35570220048698</v>
      </c>
      <c r="E78" s="23" t="n">
        <f aca="false">datos_base!$D$14*parametros_recargas!$C$39+sobrestock_sustitutos!$D$187/12</f>
        <v>5.35570220048698</v>
      </c>
      <c r="F78" s="23" t="n">
        <f aca="false">datos_base!$D$14*parametros_recargas!$D$39+sobrestock_sustitutos!$D$187/12</f>
        <v>5.35570220048698</v>
      </c>
      <c r="G78" s="23" t="n">
        <f aca="false">datos_base!$D$14*parametros_recargas!$E$39+sobrestock_sustitutos!$D$187/12</f>
        <v>5.35570220048698</v>
      </c>
      <c r="H78" s="23" t="n">
        <f aca="false">datos_base!$D$14*parametros_recargas!$F$39+sobrestock_sustitutos!$D$187/12</f>
        <v>5.35570220048698</v>
      </c>
      <c r="I78" s="23" t="n">
        <f aca="false">datos_base!$D$14*parametros_recargas!$G$39+sobrestock_sustitutos!$D$187/12</f>
        <v>5.35570220048698</v>
      </c>
      <c r="J78" s="23" t="n">
        <f aca="false">datos_base!$D$14*parametros_recargas!$H$39+sobrestock_sustitutos!$D$187/12</f>
        <v>5.35570220048698</v>
      </c>
      <c r="K78" s="23" t="n">
        <f aca="false">datos_base!$D$14*parametros_recargas!$I$39+sobrestock_sustitutos!$D$187/12</f>
        <v>5.35570220048698</v>
      </c>
      <c r="L78" s="23" t="n">
        <f aca="false">datos_base!$D$14*parametros_recargas!$J$39+sobrestock_sustitutos!$D$187/12</f>
        <v>5.35570220048698</v>
      </c>
      <c r="M78" s="23" t="n">
        <f aca="false">datos_base!$D$14*parametros_recargas!$K$39+sobrestock_sustitutos!$D$187/12</f>
        <v>5.35570220048698</v>
      </c>
      <c r="N78" s="23" t="n">
        <f aca="false">datos_base!$D$14*parametros_recargas!$L$39+sobrestock_sustitutos!$D$187/12</f>
        <v>5.35570220048698</v>
      </c>
      <c r="O78" s="23" t="n">
        <f aca="false">datos_base!$D$14*parametros_recargas!$M$39+sobrestock_sustitutos!$D$187/12</f>
        <v>5.35570220048698</v>
      </c>
      <c r="P78" s="7" t="n">
        <f aca="false">SUM(D78:O78)</f>
        <v>64.2684264058438</v>
      </c>
      <c r="Q78" s="13" t="n">
        <f aca="false">sobrestock_sustitutos!$D$187</f>
        <v>1</v>
      </c>
    </row>
    <row r="79" customFormat="false" ht="15" hidden="false" customHeight="false" outlineLevel="0" collapsed="false">
      <c r="A79" s="12" t="str">
        <f aca="false">parametros_recargas!A64</f>
        <v>ABC 25 kg s/ruedas</v>
      </c>
      <c r="B79" s="12" t="str">
        <f aca="false">parametros_recargas!B64</f>
        <v>ABC</v>
      </c>
      <c r="C79" s="22" t="n">
        <f aca="false">parametros_recargas!C64</f>
        <v>3</v>
      </c>
      <c r="D79" s="23" t="n">
        <f aca="false">datos_base!$D$15*parametros_recargas!$B$39+sobrestock_sustitutos!$D$188/12</f>
        <v>11.0839113337446</v>
      </c>
      <c r="E79" s="23" t="n">
        <f aca="false">datos_base!$D$15*parametros_recargas!$C$39+sobrestock_sustitutos!$D$188/12</f>
        <v>11.0839113337446</v>
      </c>
      <c r="F79" s="23" t="n">
        <f aca="false">datos_base!$D$15*parametros_recargas!$D$39+sobrestock_sustitutos!$D$188/12</f>
        <v>11.0839113337446</v>
      </c>
      <c r="G79" s="23" t="n">
        <f aca="false">datos_base!$D$15*parametros_recargas!$E$39+sobrestock_sustitutos!$D$188/12</f>
        <v>11.0839113337446</v>
      </c>
      <c r="H79" s="23" t="n">
        <f aca="false">datos_base!$D$15*parametros_recargas!$F$39+sobrestock_sustitutos!$D$188/12</f>
        <v>11.0839113337446</v>
      </c>
      <c r="I79" s="23" t="n">
        <f aca="false">datos_base!$D$15*parametros_recargas!$G$39+sobrestock_sustitutos!$D$188/12</f>
        <v>11.0839113337446</v>
      </c>
      <c r="J79" s="23" t="n">
        <f aca="false">datos_base!$D$15*parametros_recargas!$H$39+sobrestock_sustitutos!$D$188/12</f>
        <v>11.0839113337446</v>
      </c>
      <c r="K79" s="23" t="n">
        <f aca="false">datos_base!$D$15*parametros_recargas!$I$39+sobrestock_sustitutos!$D$188/12</f>
        <v>11.0839113337446</v>
      </c>
      <c r="L79" s="23" t="n">
        <f aca="false">datos_base!$D$15*parametros_recargas!$J$39+sobrestock_sustitutos!$D$188/12</f>
        <v>11.0839113337446</v>
      </c>
      <c r="M79" s="23" t="n">
        <f aca="false">datos_base!$D$15*parametros_recargas!$K$39+sobrestock_sustitutos!$D$188/12</f>
        <v>11.0839113337446</v>
      </c>
      <c r="N79" s="23" t="n">
        <f aca="false">datos_base!$D$15*parametros_recargas!$L$39+sobrestock_sustitutos!$D$188/12</f>
        <v>11.0839113337446</v>
      </c>
      <c r="O79" s="23" t="n">
        <f aca="false">datos_base!$D$15*parametros_recargas!$M$39+sobrestock_sustitutos!$D$188/12</f>
        <v>11.0839113337446</v>
      </c>
      <c r="P79" s="7" t="n">
        <f aca="false">SUM(D79:O79)</f>
        <v>133.006936004935</v>
      </c>
      <c r="Q79" s="13" t="n">
        <f aca="false">sobrestock_sustitutos!$D$188</f>
        <v>0</v>
      </c>
    </row>
    <row r="80" customFormat="false" ht="15" hidden="false" customHeight="false" outlineLevel="0" collapsed="false">
      <c r="A80" s="12" t="str">
        <f aca="false">parametros_recargas!A65</f>
        <v>ABC 50 kg s/ruedas</v>
      </c>
      <c r="B80" s="12" t="str">
        <f aca="false">parametros_recargas!B65</f>
        <v>ABC</v>
      </c>
      <c r="C80" s="22" t="n">
        <f aca="false">parametros_recargas!C65</f>
        <v>3</v>
      </c>
      <c r="D80" s="23" t="n">
        <f aca="false">datos_base!$D$16*parametros_recargas!$B$39+sobrestock_sustitutos!$D$189/12</f>
        <v>24.4679383031596</v>
      </c>
      <c r="E80" s="23" t="n">
        <f aca="false">datos_base!$D$16*parametros_recargas!$C$39+sobrestock_sustitutos!$D$189/12</f>
        <v>24.4679383031596</v>
      </c>
      <c r="F80" s="23" t="n">
        <f aca="false">datos_base!$D$16*parametros_recargas!$D$39+sobrestock_sustitutos!$D$189/12</f>
        <v>24.4679383031596</v>
      </c>
      <c r="G80" s="23" t="n">
        <f aca="false">datos_base!$D$16*parametros_recargas!$E$39+sobrestock_sustitutos!$D$189/12</f>
        <v>24.4679383031596</v>
      </c>
      <c r="H80" s="23" t="n">
        <f aca="false">datos_base!$D$16*parametros_recargas!$F$39+sobrestock_sustitutos!$D$189/12</f>
        <v>24.4679383031596</v>
      </c>
      <c r="I80" s="23" t="n">
        <f aca="false">datos_base!$D$16*parametros_recargas!$G$39+sobrestock_sustitutos!$D$189/12</f>
        <v>24.4679383031596</v>
      </c>
      <c r="J80" s="23" t="n">
        <f aca="false">datos_base!$D$16*parametros_recargas!$H$39+sobrestock_sustitutos!$D$189/12</f>
        <v>24.4679383031596</v>
      </c>
      <c r="K80" s="23" t="n">
        <f aca="false">datos_base!$D$16*parametros_recargas!$I$39+sobrestock_sustitutos!$D$189/12</f>
        <v>24.4679383031596</v>
      </c>
      <c r="L80" s="23" t="n">
        <f aca="false">datos_base!$D$16*parametros_recargas!$J$39+sobrestock_sustitutos!$D$189/12</f>
        <v>24.4679383031596</v>
      </c>
      <c r="M80" s="23" t="n">
        <f aca="false">datos_base!$D$16*parametros_recargas!$K$39+sobrestock_sustitutos!$D$189/12</f>
        <v>24.4679383031596</v>
      </c>
      <c r="N80" s="23" t="n">
        <f aca="false">datos_base!$D$16*parametros_recargas!$L$39+sobrestock_sustitutos!$D$189/12</f>
        <v>24.4679383031596</v>
      </c>
      <c r="O80" s="23" t="n">
        <f aca="false">datos_base!$D$16*parametros_recargas!$M$39+sobrestock_sustitutos!$D$189/12</f>
        <v>24.4679383031596</v>
      </c>
      <c r="P80" s="7" t="n">
        <f aca="false">SUM(D80:O80)</f>
        <v>293.615259637915</v>
      </c>
      <c r="Q80" s="13" t="n">
        <f aca="false">sobrestock_sustitutos!$D$189</f>
        <v>1</v>
      </c>
    </row>
    <row r="81" customFormat="false" ht="15" hidden="false" customHeight="false" outlineLevel="0" collapsed="false">
      <c r="A81" s="12" t="str">
        <f aca="false">parametros_recargas!A66</f>
        <v>ABC 70 kg s/ruedas</v>
      </c>
      <c r="B81" s="12" t="str">
        <f aca="false">parametros_recargas!B66</f>
        <v>ABC</v>
      </c>
      <c r="C81" s="22" t="n">
        <f aca="false">parametros_recargas!C66</f>
        <v>3</v>
      </c>
      <c r="D81" s="23" t="n">
        <f aca="false">datos_base!$D$17*parametros_recargas!$B$39+sobrestock_sustitutos!$D$190/12</f>
        <v>5.32027743070722</v>
      </c>
      <c r="E81" s="23" t="n">
        <f aca="false">datos_base!$D$17*parametros_recargas!$C$39+sobrestock_sustitutos!$D$190/12</f>
        <v>5.32027743070722</v>
      </c>
      <c r="F81" s="23" t="n">
        <f aca="false">datos_base!$D$17*parametros_recargas!$D$39+sobrestock_sustitutos!$D$190/12</f>
        <v>5.32027743070722</v>
      </c>
      <c r="G81" s="23" t="n">
        <f aca="false">datos_base!$D$17*parametros_recargas!$E$39+sobrestock_sustitutos!$D$190/12</f>
        <v>5.32027743070722</v>
      </c>
      <c r="H81" s="23" t="n">
        <f aca="false">datos_base!$D$17*parametros_recargas!$F$39+sobrestock_sustitutos!$D$190/12</f>
        <v>5.32027743070722</v>
      </c>
      <c r="I81" s="23" t="n">
        <f aca="false">datos_base!$D$17*parametros_recargas!$G$39+sobrestock_sustitutos!$D$190/12</f>
        <v>5.32027743070722</v>
      </c>
      <c r="J81" s="23" t="n">
        <f aca="false">datos_base!$D$17*parametros_recargas!$H$39+sobrestock_sustitutos!$D$190/12</f>
        <v>5.32027743070722</v>
      </c>
      <c r="K81" s="23" t="n">
        <f aca="false">datos_base!$D$17*parametros_recargas!$I$39+sobrestock_sustitutos!$D$190/12</f>
        <v>5.32027743070722</v>
      </c>
      <c r="L81" s="23" t="n">
        <f aca="false">datos_base!$D$17*parametros_recargas!$J$39+sobrestock_sustitutos!$D$190/12</f>
        <v>5.32027743070722</v>
      </c>
      <c r="M81" s="23" t="n">
        <f aca="false">datos_base!$D$17*parametros_recargas!$K$39+sobrestock_sustitutos!$D$190/12</f>
        <v>5.32027743070722</v>
      </c>
      <c r="N81" s="23" t="n">
        <f aca="false">datos_base!$D$17*parametros_recargas!$L$39+sobrestock_sustitutos!$D$190/12</f>
        <v>5.32027743070722</v>
      </c>
      <c r="O81" s="23" t="n">
        <f aca="false">datos_base!$D$17*parametros_recargas!$M$39+sobrestock_sustitutos!$D$190/12</f>
        <v>5.32027743070722</v>
      </c>
      <c r="P81" s="7" t="n">
        <f aca="false">SUM(D81:O81)</f>
        <v>63.8433291684866</v>
      </c>
      <c r="Q81" s="13" t="n">
        <f aca="false">sobrestock_sustitutos!$D$190</f>
        <v>0</v>
      </c>
    </row>
    <row r="82" customFormat="false" ht="15" hidden="false" customHeight="false" outlineLevel="0" collapsed="false">
      <c r="A82" s="12" t="str">
        <f aca="false">parametros_recargas!A67</f>
        <v>ABC 100 kg s/ruedas</v>
      </c>
      <c r="B82" s="12" t="str">
        <f aca="false">parametros_recargas!B67</f>
        <v>ABC</v>
      </c>
      <c r="C82" s="22" t="n">
        <f aca="false">parametros_recargas!C67</f>
        <v>3</v>
      </c>
      <c r="D82" s="23" t="n">
        <f aca="false">datos_base!$D$18*parametros_recargas!$B$39+sobrestock_sustitutos!$D$191/12</f>
        <v>3.63018499334723</v>
      </c>
      <c r="E82" s="23" t="n">
        <f aca="false">datos_base!$D$18*parametros_recargas!$C$39+sobrestock_sustitutos!$D$191/12</f>
        <v>3.63018499334723</v>
      </c>
      <c r="F82" s="23" t="n">
        <f aca="false">datos_base!$D$18*parametros_recargas!$D$39+sobrestock_sustitutos!$D$191/12</f>
        <v>3.63018499334723</v>
      </c>
      <c r="G82" s="23" t="n">
        <f aca="false">datos_base!$D$18*parametros_recargas!$E$39+sobrestock_sustitutos!$D$191/12</f>
        <v>3.63018499334723</v>
      </c>
      <c r="H82" s="23" t="n">
        <f aca="false">datos_base!$D$18*parametros_recargas!$F$39+sobrestock_sustitutos!$D$191/12</f>
        <v>3.63018499334723</v>
      </c>
      <c r="I82" s="23" t="n">
        <f aca="false">datos_base!$D$18*parametros_recargas!$G$39+sobrestock_sustitutos!$D$191/12</f>
        <v>3.63018499334723</v>
      </c>
      <c r="J82" s="23" t="n">
        <f aca="false">datos_base!$D$18*parametros_recargas!$H$39+sobrestock_sustitutos!$D$191/12</f>
        <v>3.63018499334723</v>
      </c>
      <c r="K82" s="23" t="n">
        <f aca="false">datos_base!$D$18*parametros_recargas!$I$39+sobrestock_sustitutos!$D$191/12</f>
        <v>3.63018499334723</v>
      </c>
      <c r="L82" s="23" t="n">
        <f aca="false">datos_base!$D$18*parametros_recargas!$J$39+sobrestock_sustitutos!$D$191/12</f>
        <v>3.63018499334723</v>
      </c>
      <c r="M82" s="23" t="n">
        <f aca="false">datos_base!$D$18*parametros_recargas!$K$39+sobrestock_sustitutos!$D$191/12</f>
        <v>3.63018499334723</v>
      </c>
      <c r="N82" s="23" t="n">
        <f aca="false">datos_base!$D$18*parametros_recargas!$L$39+sobrestock_sustitutos!$D$191/12</f>
        <v>3.63018499334723</v>
      </c>
      <c r="O82" s="23" t="n">
        <f aca="false">datos_base!$D$18*parametros_recargas!$M$39+sobrestock_sustitutos!$D$191/12</f>
        <v>3.63018499334723</v>
      </c>
      <c r="P82" s="7" t="n">
        <f aca="false">SUM(D82:O82)</f>
        <v>43.5622199201667</v>
      </c>
      <c r="Q82" s="13" t="n">
        <f aca="false">sobrestock_sustitutos!$D$191</f>
        <v>1</v>
      </c>
    </row>
    <row r="83" customFormat="false" ht="15" hidden="false" customHeight="false" outlineLevel="0" collapsed="false">
      <c r="A83" s="6" t="s">
        <v>269</v>
      </c>
      <c r="D83" s="7" t="n">
        <f aca="false">SUM(D66:D82)</f>
        <v>3650.69968398051</v>
      </c>
      <c r="E83" s="7" t="n">
        <f aca="false">SUM(E66:E82)</f>
        <v>3650.69968398051</v>
      </c>
      <c r="F83" s="7" t="n">
        <f aca="false">SUM(F66:F82)</f>
        <v>3650.69968398051</v>
      </c>
      <c r="G83" s="7" t="n">
        <f aca="false">SUM(G66:G82)</f>
        <v>3650.69968398051</v>
      </c>
      <c r="H83" s="7" t="n">
        <f aca="false">SUM(H66:H82)</f>
        <v>3650.69968398051</v>
      </c>
      <c r="I83" s="7" t="n">
        <f aca="false">SUM(I66:I82)</f>
        <v>3650.69968398051</v>
      </c>
      <c r="J83" s="7" t="n">
        <f aca="false">SUM(J66:J82)</f>
        <v>3650.69968398051</v>
      </c>
      <c r="K83" s="7" t="n">
        <f aca="false">SUM(K66:K82)</f>
        <v>3650.69968398051</v>
      </c>
      <c r="L83" s="7" t="n">
        <f aca="false">SUM(L66:L82)</f>
        <v>3650.69968398051</v>
      </c>
      <c r="M83" s="7" t="n">
        <f aca="false">SUM(M66:M82)</f>
        <v>3650.69968398051</v>
      </c>
      <c r="N83" s="7" t="n">
        <f aca="false">SUM(N66:N82)</f>
        <v>3650.69968398051</v>
      </c>
      <c r="O83" s="7" t="n">
        <f aca="false">SUM(O66:O82)</f>
        <v>3650.69968398051</v>
      </c>
      <c r="P83" s="7" t="n">
        <f aca="false">SUM(P66:P82)</f>
        <v>43808.3962077661</v>
      </c>
    </row>
    <row r="84" customFormat="false" ht="15" hidden="false" customHeight="false" outlineLevel="0" collapsed="false">
      <c r="A84" s="6" t="s">
        <v>270</v>
      </c>
    </row>
    <row r="85" customFormat="false" ht="15" hidden="false" customHeight="false" outlineLevel="0" collapsed="false">
      <c r="A85" s="4" t="s">
        <v>139</v>
      </c>
      <c r="D85" s="23" t="n">
        <f aca="false">SUMPRODUCT(($B$66:$B$82=$A85)*D$66:D$82*$C$66:$C$82)</f>
        <v>3237.75898879291</v>
      </c>
      <c r="E85" s="23" t="n">
        <f aca="false">SUMPRODUCT(($B$66:$B$82=$A85)*E$66:E$82*$C$66:$C$82)</f>
        <v>3237.75898879291</v>
      </c>
      <c r="F85" s="23" t="n">
        <f aca="false">SUMPRODUCT(($B$66:$B$82=$A85)*F$66:F$82*$C$66:$C$82)</f>
        <v>3237.75898879291</v>
      </c>
      <c r="G85" s="23" t="n">
        <f aca="false">SUMPRODUCT(($B$66:$B$82=$A85)*G$66:G$82*$C$66:$C$82)</f>
        <v>3237.75898879291</v>
      </c>
      <c r="H85" s="23" t="n">
        <f aca="false">SUMPRODUCT(($B$66:$B$82=$A85)*H$66:H$82*$C$66:$C$82)</f>
        <v>3237.75898879291</v>
      </c>
      <c r="I85" s="23" t="n">
        <f aca="false">SUMPRODUCT(($B$66:$B$82=$A85)*I$66:I$82*$C$66:$C$82)</f>
        <v>3237.75898879291</v>
      </c>
      <c r="J85" s="23" t="n">
        <f aca="false">SUMPRODUCT(($B$66:$B$82=$A85)*J$66:J$82*$C$66:$C$82)</f>
        <v>3237.75898879291</v>
      </c>
      <c r="K85" s="23" t="n">
        <f aca="false">SUMPRODUCT(($B$66:$B$82=$A85)*K$66:K$82*$C$66:$C$82)</f>
        <v>3237.75898879291</v>
      </c>
      <c r="L85" s="23" t="n">
        <f aca="false">SUMPRODUCT(($B$66:$B$82=$A85)*L$66:L$82*$C$66:$C$82)</f>
        <v>3237.75898879291</v>
      </c>
      <c r="M85" s="23" t="n">
        <f aca="false">SUMPRODUCT(($B$66:$B$82=$A85)*M$66:M$82*$C$66:$C$82)</f>
        <v>3237.75898879291</v>
      </c>
      <c r="N85" s="23" t="n">
        <f aca="false">SUMPRODUCT(($B$66:$B$82=$A85)*N$66:N$82*$C$66:$C$82)</f>
        <v>3237.75898879291</v>
      </c>
      <c r="O85" s="23" t="n">
        <f aca="false">SUMPRODUCT(($B$66:$B$82=$A85)*O$66:O$82*$C$66:$C$82)</f>
        <v>3237.75898879291</v>
      </c>
      <c r="P85" s="23" t="n">
        <f aca="false">SUMPRODUCT(($B$66:$B$82=$A85)*P$66:P$82*$C$66:$C$82)</f>
        <v>38853.1078655149</v>
      </c>
    </row>
    <row r="86" customFormat="false" ht="15" hidden="false" customHeight="false" outlineLevel="0" collapsed="false">
      <c r="A86" s="4" t="s">
        <v>145</v>
      </c>
      <c r="D86" s="23" t="n">
        <f aca="false">SUMPRODUCT(($B$66:$B$82=$A86)*D$66:D$82*$C$66:$C$82)</f>
        <v>5.35570220048698</v>
      </c>
      <c r="E86" s="23" t="n">
        <f aca="false">SUMPRODUCT(($B$66:$B$82=$A86)*E$66:E$82*$C$66:$C$82)</f>
        <v>5.35570220048698</v>
      </c>
      <c r="F86" s="23" t="n">
        <f aca="false">SUMPRODUCT(($B$66:$B$82=$A86)*F$66:F$82*$C$66:$C$82)</f>
        <v>5.35570220048698</v>
      </c>
      <c r="G86" s="23" t="n">
        <f aca="false">SUMPRODUCT(($B$66:$B$82=$A86)*G$66:G$82*$C$66:$C$82)</f>
        <v>5.35570220048698</v>
      </c>
      <c r="H86" s="23" t="n">
        <f aca="false">SUMPRODUCT(($B$66:$B$82=$A86)*H$66:H$82*$C$66:$C$82)</f>
        <v>5.35570220048698</v>
      </c>
      <c r="I86" s="23" t="n">
        <f aca="false">SUMPRODUCT(($B$66:$B$82=$A86)*I$66:I$82*$C$66:$C$82)</f>
        <v>5.35570220048698</v>
      </c>
      <c r="J86" s="23" t="n">
        <f aca="false">SUMPRODUCT(($B$66:$B$82=$A86)*J$66:J$82*$C$66:$C$82)</f>
        <v>5.35570220048698</v>
      </c>
      <c r="K86" s="23" t="n">
        <f aca="false">SUMPRODUCT(($B$66:$B$82=$A86)*K$66:K$82*$C$66:$C$82)</f>
        <v>5.35570220048698</v>
      </c>
      <c r="L86" s="23" t="n">
        <f aca="false">SUMPRODUCT(($B$66:$B$82=$A86)*L$66:L$82*$C$66:$C$82)</f>
        <v>5.35570220048698</v>
      </c>
      <c r="M86" s="23" t="n">
        <f aca="false">SUMPRODUCT(($B$66:$B$82=$A86)*M$66:M$82*$C$66:$C$82)</f>
        <v>5.35570220048698</v>
      </c>
      <c r="N86" s="23" t="n">
        <f aca="false">SUMPRODUCT(($B$66:$B$82=$A86)*N$66:N$82*$C$66:$C$82)</f>
        <v>5.35570220048698</v>
      </c>
      <c r="O86" s="23" t="n">
        <f aca="false">SUMPRODUCT(($B$66:$B$82=$A86)*O$66:O$82*$C$66:$C$82)</f>
        <v>5.35570220048698</v>
      </c>
      <c r="P86" s="23" t="n">
        <f aca="false">SUMPRODUCT(($B$66:$B$82=$A86)*P$66:P$82*$C$66:$C$82)</f>
        <v>64.2684264058438</v>
      </c>
    </row>
    <row r="87" customFormat="false" ht="15" hidden="false" customHeight="false" outlineLevel="0" collapsed="false">
      <c r="A87" s="4" t="s">
        <v>151</v>
      </c>
      <c r="D87" s="23" t="n">
        <f aca="false">SUMPRODUCT(($B$66:$B$82=$A87)*D$66:D$82*$C$66:$C$82)</f>
        <v>5.35570220048698</v>
      </c>
      <c r="E87" s="23" t="n">
        <f aca="false">SUMPRODUCT(($B$66:$B$82=$A87)*E$66:E$82*$C$66:$C$82)</f>
        <v>5.35570220048698</v>
      </c>
      <c r="F87" s="23" t="n">
        <f aca="false">SUMPRODUCT(($B$66:$B$82=$A87)*F$66:F$82*$C$66:$C$82)</f>
        <v>5.35570220048698</v>
      </c>
      <c r="G87" s="23" t="n">
        <f aca="false">SUMPRODUCT(($B$66:$B$82=$A87)*G$66:G$82*$C$66:$C$82)</f>
        <v>5.35570220048698</v>
      </c>
      <c r="H87" s="23" t="n">
        <f aca="false">SUMPRODUCT(($B$66:$B$82=$A87)*H$66:H$82*$C$66:$C$82)</f>
        <v>5.35570220048698</v>
      </c>
      <c r="I87" s="23" t="n">
        <f aca="false">SUMPRODUCT(($B$66:$B$82=$A87)*I$66:I$82*$C$66:$C$82)</f>
        <v>5.35570220048698</v>
      </c>
      <c r="J87" s="23" t="n">
        <f aca="false">SUMPRODUCT(($B$66:$B$82=$A87)*J$66:J$82*$C$66:$C$82)</f>
        <v>5.35570220048698</v>
      </c>
      <c r="K87" s="23" t="n">
        <f aca="false">SUMPRODUCT(($B$66:$B$82=$A87)*K$66:K$82*$C$66:$C$82)</f>
        <v>5.35570220048698</v>
      </c>
      <c r="L87" s="23" t="n">
        <f aca="false">SUMPRODUCT(($B$66:$B$82=$A87)*L$66:L$82*$C$66:$C$82)</f>
        <v>5.35570220048698</v>
      </c>
      <c r="M87" s="23" t="n">
        <f aca="false">SUMPRODUCT(($B$66:$B$82=$A87)*M$66:M$82*$C$66:$C$82)</f>
        <v>5.35570220048698</v>
      </c>
      <c r="N87" s="23" t="n">
        <f aca="false">SUMPRODUCT(($B$66:$B$82=$A87)*N$66:N$82*$C$66:$C$82)</f>
        <v>5.35570220048698</v>
      </c>
      <c r="O87" s="23" t="n">
        <f aca="false">SUMPRODUCT(($B$66:$B$82=$A87)*O$66:O$82*$C$66:$C$82)</f>
        <v>5.35570220048698</v>
      </c>
      <c r="P87" s="23" t="n">
        <f aca="false">SUMPRODUCT(($B$66:$B$82=$A87)*P$66:P$82*$C$66:$C$82)</f>
        <v>64.2684264058438</v>
      </c>
    </row>
    <row r="88" customFormat="false" ht="15" hidden="false" customHeight="false" outlineLevel="0" collapsed="false">
      <c r="A88" s="4" t="s">
        <v>142</v>
      </c>
      <c r="D88" s="23" t="n">
        <f aca="false">SUMPRODUCT(($B$66:$B$82=$A88)*D$66:D$82*$C$66:$C$82)</f>
        <v>87.6164647122769</v>
      </c>
      <c r="E88" s="23" t="n">
        <f aca="false">SUMPRODUCT(($B$66:$B$82=$A88)*E$66:E$82*$C$66:$C$82)</f>
        <v>87.6164647122769</v>
      </c>
      <c r="F88" s="23" t="n">
        <f aca="false">SUMPRODUCT(($B$66:$B$82=$A88)*F$66:F$82*$C$66:$C$82)</f>
        <v>87.6164647122769</v>
      </c>
      <c r="G88" s="23" t="n">
        <f aca="false">SUMPRODUCT(($B$66:$B$82=$A88)*G$66:G$82*$C$66:$C$82)</f>
        <v>87.6164647122769</v>
      </c>
      <c r="H88" s="23" t="n">
        <f aca="false">SUMPRODUCT(($B$66:$B$82=$A88)*H$66:H$82*$C$66:$C$82)</f>
        <v>87.6164647122769</v>
      </c>
      <c r="I88" s="23" t="n">
        <f aca="false">SUMPRODUCT(($B$66:$B$82=$A88)*I$66:I$82*$C$66:$C$82)</f>
        <v>87.6164647122769</v>
      </c>
      <c r="J88" s="23" t="n">
        <f aca="false">SUMPRODUCT(($B$66:$B$82=$A88)*J$66:J$82*$C$66:$C$82)</f>
        <v>87.6164647122769</v>
      </c>
      <c r="K88" s="23" t="n">
        <f aca="false">SUMPRODUCT(($B$66:$B$82=$A88)*K$66:K$82*$C$66:$C$82)</f>
        <v>87.6164647122769</v>
      </c>
      <c r="L88" s="23" t="n">
        <f aca="false">SUMPRODUCT(($B$66:$B$82=$A88)*L$66:L$82*$C$66:$C$82)</f>
        <v>87.6164647122769</v>
      </c>
      <c r="M88" s="23" t="n">
        <f aca="false">SUMPRODUCT(($B$66:$B$82=$A88)*M$66:M$82*$C$66:$C$82)</f>
        <v>87.6164647122769</v>
      </c>
      <c r="N88" s="23" t="n">
        <f aca="false">SUMPRODUCT(($B$66:$B$82=$A88)*N$66:N$82*$C$66:$C$82)</f>
        <v>87.6164647122769</v>
      </c>
      <c r="O88" s="23" t="n">
        <f aca="false">SUMPRODUCT(($B$66:$B$82=$A88)*O$66:O$82*$C$66:$C$82)</f>
        <v>87.6164647122769</v>
      </c>
      <c r="P88" s="23" t="n">
        <f aca="false">SUMPRODUCT(($B$66:$B$82=$A88)*P$66:P$82*$C$66:$C$82)</f>
        <v>1051.39757654732</v>
      </c>
    </row>
    <row r="89" customFormat="false" ht="15" hidden="false" customHeight="false" outlineLevel="0" collapsed="false">
      <c r="A89" s="4" t="s">
        <v>143</v>
      </c>
      <c r="D89" s="23" t="n">
        <f aca="false">SUMPRODUCT(($B$66:$B$82=$A89)*D$66:D$82*$C$66:$C$82)</f>
        <v>48.3772967240842</v>
      </c>
      <c r="E89" s="23" t="n">
        <f aca="false">SUMPRODUCT(($B$66:$B$82=$A89)*E$66:E$82*$C$66:$C$82)</f>
        <v>48.3772967240842</v>
      </c>
      <c r="F89" s="23" t="n">
        <f aca="false">SUMPRODUCT(($B$66:$B$82=$A89)*F$66:F$82*$C$66:$C$82)</f>
        <v>48.3772967240842</v>
      </c>
      <c r="G89" s="23" t="n">
        <f aca="false">SUMPRODUCT(($B$66:$B$82=$A89)*G$66:G$82*$C$66:$C$82)</f>
        <v>48.3772967240842</v>
      </c>
      <c r="H89" s="23" t="n">
        <f aca="false">SUMPRODUCT(($B$66:$B$82=$A89)*H$66:H$82*$C$66:$C$82)</f>
        <v>48.3772967240842</v>
      </c>
      <c r="I89" s="23" t="n">
        <f aca="false">SUMPRODUCT(($B$66:$B$82=$A89)*I$66:I$82*$C$66:$C$82)</f>
        <v>48.3772967240842</v>
      </c>
      <c r="J89" s="23" t="n">
        <f aca="false">SUMPRODUCT(($B$66:$B$82=$A89)*J$66:J$82*$C$66:$C$82)</f>
        <v>48.3772967240842</v>
      </c>
      <c r="K89" s="23" t="n">
        <f aca="false">SUMPRODUCT(($B$66:$B$82=$A89)*K$66:K$82*$C$66:$C$82)</f>
        <v>48.3772967240842</v>
      </c>
      <c r="L89" s="23" t="n">
        <f aca="false">SUMPRODUCT(($B$66:$B$82=$A89)*L$66:L$82*$C$66:$C$82)</f>
        <v>48.3772967240842</v>
      </c>
      <c r="M89" s="23" t="n">
        <f aca="false">SUMPRODUCT(($B$66:$B$82=$A89)*M$66:M$82*$C$66:$C$82)</f>
        <v>48.3772967240842</v>
      </c>
      <c r="N89" s="23" t="n">
        <f aca="false">SUMPRODUCT(($B$66:$B$82=$A89)*N$66:N$82*$C$66:$C$82)</f>
        <v>48.3772967240842</v>
      </c>
      <c r="O89" s="23" t="n">
        <f aca="false">SUMPRODUCT(($B$66:$B$82=$A89)*O$66:O$82*$C$66:$C$82)</f>
        <v>48.3772967240842</v>
      </c>
      <c r="P89" s="23" t="n">
        <f aca="false">SUMPRODUCT(($B$66:$B$82=$A89)*P$66:P$82*$C$66:$C$82)</f>
        <v>580.52756068901</v>
      </c>
    </row>
    <row r="90" customFormat="false" ht="15" hidden="false" customHeight="false" outlineLevel="0" collapsed="false">
      <c r="A90" s="4" t="s">
        <v>146</v>
      </c>
      <c r="D90" s="23" t="n">
        <f aca="false">SUMPRODUCT(($B$66:$B$82=$A90)*D$66:D$82*$C$66:$C$82)</f>
        <v>44.3667876610668</v>
      </c>
      <c r="E90" s="23" t="n">
        <f aca="false">SUMPRODUCT(($B$66:$B$82=$A90)*E$66:E$82*$C$66:$C$82)</f>
        <v>44.3667876610668</v>
      </c>
      <c r="F90" s="23" t="n">
        <f aca="false">SUMPRODUCT(($B$66:$B$82=$A90)*F$66:F$82*$C$66:$C$82)</f>
        <v>44.3667876610668</v>
      </c>
      <c r="G90" s="23" t="n">
        <f aca="false">SUMPRODUCT(($B$66:$B$82=$A90)*G$66:G$82*$C$66:$C$82)</f>
        <v>44.3667876610668</v>
      </c>
      <c r="H90" s="23" t="n">
        <f aca="false">SUMPRODUCT(($B$66:$B$82=$A90)*H$66:H$82*$C$66:$C$82)</f>
        <v>44.3667876610668</v>
      </c>
      <c r="I90" s="23" t="n">
        <f aca="false">SUMPRODUCT(($B$66:$B$82=$A90)*I$66:I$82*$C$66:$C$82)</f>
        <v>44.3667876610668</v>
      </c>
      <c r="J90" s="23" t="n">
        <f aca="false">SUMPRODUCT(($B$66:$B$82=$A90)*J$66:J$82*$C$66:$C$82)</f>
        <v>44.3667876610668</v>
      </c>
      <c r="K90" s="23" t="n">
        <f aca="false">SUMPRODUCT(($B$66:$B$82=$A90)*K$66:K$82*$C$66:$C$82)</f>
        <v>44.3667876610668</v>
      </c>
      <c r="L90" s="23" t="n">
        <f aca="false">SUMPRODUCT(($B$66:$B$82=$A90)*L$66:L$82*$C$66:$C$82)</f>
        <v>44.3667876610668</v>
      </c>
      <c r="M90" s="23" t="n">
        <f aca="false">SUMPRODUCT(($B$66:$B$82=$A90)*M$66:M$82*$C$66:$C$82)</f>
        <v>44.3667876610668</v>
      </c>
      <c r="N90" s="23" t="n">
        <f aca="false">SUMPRODUCT(($B$66:$B$82=$A90)*N$66:N$82*$C$66:$C$82)</f>
        <v>44.3667876610668</v>
      </c>
      <c r="O90" s="23" t="n">
        <f aca="false">SUMPRODUCT(($B$66:$B$82=$A90)*O$66:O$82*$C$66:$C$82)</f>
        <v>44.3667876610668</v>
      </c>
      <c r="P90" s="23" t="n">
        <f aca="false">SUMPRODUCT(($B$66:$B$82=$A90)*P$66:P$82*$C$66:$C$82)</f>
        <v>532.401451932801</v>
      </c>
    </row>
    <row r="91" customFormat="false" ht="15" hidden="false" customHeight="false" outlineLevel="0" collapsed="false">
      <c r="A91" s="4" t="s">
        <v>147</v>
      </c>
      <c r="D91" s="23" t="n">
        <f aca="false">SUMPRODUCT(($B$66:$B$82=$A91)*D$66:D$82*$C$66:$C$82)</f>
        <v>316.773801432952</v>
      </c>
      <c r="E91" s="23" t="n">
        <f aca="false">SUMPRODUCT(($B$66:$B$82=$A91)*E$66:E$82*$C$66:$C$82)</f>
        <v>316.773801432952</v>
      </c>
      <c r="F91" s="23" t="n">
        <f aca="false">SUMPRODUCT(($B$66:$B$82=$A91)*F$66:F$82*$C$66:$C$82)</f>
        <v>316.773801432952</v>
      </c>
      <c r="G91" s="23" t="n">
        <f aca="false">SUMPRODUCT(($B$66:$B$82=$A91)*G$66:G$82*$C$66:$C$82)</f>
        <v>316.773801432952</v>
      </c>
      <c r="H91" s="23" t="n">
        <f aca="false">SUMPRODUCT(($B$66:$B$82=$A91)*H$66:H$82*$C$66:$C$82)</f>
        <v>316.773801432952</v>
      </c>
      <c r="I91" s="23" t="n">
        <f aca="false">SUMPRODUCT(($B$66:$B$82=$A91)*I$66:I$82*$C$66:$C$82)</f>
        <v>316.773801432952</v>
      </c>
      <c r="J91" s="23" t="n">
        <f aca="false">SUMPRODUCT(($B$66:$B$82=$A91)*J$66:J$82*$C$66:$C$82)</f>
        <v>316.773801432952</v>
      </c>
      <c r="K91" s="23" t="n">
        <f aca="false">SUMPRODUCT(($B$66:$B$82=$A91)*K$66:K$82*$C$66:$C$82)</f>
        <v>316.773801432952</v>
      </c>
      <c r="L91" s="23" t="n">
        <f aca="false">SUMPRODUCT(($B$66:$B$82=$A91)*L$66:L$82*$C$66:$C$82)</f>
        <v>316.773801432952</v>
      </c>
      <c r="M91" s="23" t="n">
        <f aca="false">SUMPRODUCT(($B$66:$B$82=$A91)*M$66:M$82*$C$66:$C$82)</f>
        <v>316.773801432952</v>
      </c>
      <c r="N91" s="23" t="n">
        <f aca="false">SUMPRODUCT(($B$66:$B$82=$A91)*N$66:N$82*$C$66:$C$82)</f>
        <v>316.773801432952</v>
      </c>
      <c r="O91" s="23" t="n">
        <f aca="false">SUMPRODUCT(($B$66:$B$82=$A91)*O$66:O$82*$C$66:$C$82)</f>
        <v>316.773801432952</v>
      </c>
      <c r="P91" s="23" t="n">
        <f aca="false">SUMPRODUCT(($B$66:$B$82=$A91)*P$66:P$82*$C$66:$C$82)</f>
        <v>3801.28561719543</v>
      </c>
    </row>
    <row r="92" customFormat="false" ht="15" hidden="false" customHeight="false" outlineLevel="0" collapsed="false">
      <c r="A92" s="4" t="s">
        <v>150</v>
      </c>
      <c r="D92" s="23" t="n">
        <f aca="false">SUMPRODUCT(($B$66:$B$82=$A92)*D$66:D$82*$C$66:$C$82)</f>
        <v>13.7761232432101</v>
      </c>
      <c r="E92" s="23" t="n">
        <f aca="false">SUMPRODUCT(($B$66:$B$82=$A92)*E$66:E$82*$C$66:$C$82)</f>
        <v>13.7761232432101</v>
      </c>
      <c r="F92" s="23" t="n">
        <f aca="false">SUMPRODUCT(($B$66:$B$82=$A92)*F$66:F$82*$C$66:$C$82)</f>
        <v>13.7761232432101</v>
      </c>
      <c r="G92" s="23" t="n">
        <f aca="false">SUMPRODUCT(($B$66:$B$82=$A92)*G$66:G$82*$C$66:$C$82)</f>
        <v>13.7761232432101</v>
      </c>
      <c r="H92" s="23" t="n">
        <f aca="false">SUMPRODUCT(($B$66:$B$82=$A92)*H$66:H$82*$C$66:$C$82)</f>
        <v>13.7761232432101</v>
      </c>
      <c r="I92" s="23" t="n">
        <f aca="false">SUMPRODUCT(($B$66:$B$82=$A92)*I$66:I$82*$C$66:$C$82)</f>
        <v>13.7761232432101</v>
      </c>
      <c r="J92" s="23" t="n">
        <f aca="false">SUMPRODUCT(($B$66:$B$82=$A92)*J$66:J$82*$C$66:$C$82)</f>
        <v>13.7761232432101</v>
      </c>
      <c r="K92" s="23" t="n">
        <f aca="false">SUMPRODUCT(($B$66:$B$82=$A92)*K$66:K$82*$C$66:$C$82)</f>
        <v>13.7761232432101</v>
      </c>
      <c r="L92" s="23" t="n">
        <f aca="false">SUMPRODUCT(($B$66:$B$82=$A92)*L$66:L$82*$C$66:$C$82)</f>
        <v>13.7761232432101</v>
      </c>
      <c r="M92" s="23" t="n">
        <f aca="false">SUMPRODUCT(($B$66:$B$82=$A92)*M$66:M$82*$C$66:$C$82)</f>
        <v>13.7761232432101</v>
      </c>
      <c r="N92" s="23" t="n">
        <f aca="false">SUMPRODUCT(($B$66:$B$82=$A92)*N$66:N$82*$C$66:$C$82)</f>
        <v>13.7761232432101</v>
      </c>
      <c r="O92" s="23" t="n">
        <f aca="false">SUMPRODUCT(($B$66:$B$82=$A92)*O$66:O$82*$C$66:$C$82)</f>
        <v>13.7761232432101</v>
      </c>
      <c r="P92" s="23" t="n">
        <f aca="false">SUMPRODUCT(($B$66:$B$82=$A92)*P$66:P$82*$C$66:$C$82)</f>
        <v>165.313478918521</v>
      </c>
    </row>
    <row r="93" customFormat="false" ht="15" hidden="false" customHeight="false" outlineLevel="0" collapsed="false">
      <c r="A93" s="6" t="s">
        <v>271</v>
      </c>
      <c r="D93" s="24" t="n">
        <f aca="false">SUMPRODUCT(D$66:D$82*parametros_recargas!$D$51:$D$67)</f>
        <v>136.517331535601</v>
      </c>
      <c r="E93" s="24" t="n">
        <f aca="false">SUMPRODUCT(E$66:E$82*parametros_recargas!$D$51:$D$67)</f>
        <v>136.517331535601</v>
      </c>
      <c r="F93" s="24" t="n">
        <f aca="false">SUMPRODUCT(F$66:F$82*parametros_recargas!$D$51:$D$67)</f>
        <v>136.517331535601</v>
      </c>
      <c r="G93" s="24" t="n">
        <f aca="false">SUMPRODUCT(G$66:G$82*parametros_recargas!$D$51:$D$67)</f>
        <v>136.517331535601</v>
      </c>
      <c r="H93" s="24" t="n">
        <f aca="false">SUMPRODUCT(H$66:H$82*parametros_recargas!$D$51:$D$67)</f>
        <v>136.517331535601</v>
      </c>
      <c r="I93" s="24" t="n">
        <f aca="false">SUMPRODUCT(I$66:I$82*parametros_recargas!$D$51:$D$67)</f>
        <v>136.517331535601</v>
      </c>
      <c r="J93" s="24" t="n">
        <f aca="false">SUMPRODUCT(J$66:J$82*parametros_recargas!$D$51:$D$67)</f>
        <v>136.517331535601</v>
      </c>
      <c r="K93" s="24" t="n">
        <f aca="false">SUMPRODUCT(K$66:K$82*parametros_recargas!$D$51:$D$67)</f>
        <v>136.517331535601</v>
      </c>
      <c r="L93" s="24" t="n">
        <f aca="false">SUMPRODUCT(L$66:L$82*parametros_recargas!$D$51:$D$67)</f>
        <v>136.517331535601</v>
      </c>
      <c r="M93" s="24" t="n">
        <f aca="false">SUMPRODUCT(M$66:M$82*parametros_recargas!$D$51:$D$67)</f>
        <v>136.517331535601</v>
      </c>
      <c r="N93" s="24" t="n">
        <f aca="false">SUMPRODUCT(N$66:N$82*parametros_recargas!$D$51:$D$67)</f>
        <v>136.517331535601</v>
      </c>
      <c r="O93" s="24" t="n">
        <f aca="false">SUMPRODUCT(O$66:O$82*parametros_recargas!$D$51:$D$67)</f>
        <v>136.517331535601</v>
      </c>
      <c r="P93" s="24" t="n">
        <f aca="false">SUMPRODUCT(P$66:P$82*parametros_recargas!$D$51:$D$67)</f>
        <v>1638.20797842721</v>
      </c>
    </row>
    <row r="97" customFormat="false" ht="23.85" hidden="false" customHeight="false" outlineLevel="0" collapsed="false">
      <c r="A97" s="21" t="n">
        <v>2029</v>
      </c>
      <c r="B97" s="3" t="s">
        <v>266</v>
      </c>
      <c r="C97" s="3" t="s">
        <v>267</v>
      </c>
      <c r="D97" s="3" t="s">
        <v>120</v>
      </c>
      <c r="E97" s="3" t="s">
        <v>121</v>
      </c>
      <c r="F97" s="3" t="s">
        <v>122</v>
      </c>
      <c r="G97" s="3" t="s">
        <v>123</v>
      </c>
      <c r="H97" s="3" t="s">
        <v>124</v>
      </c>
      <c r="I97" s="3" t="s">
        <v>125</v>
      </c>
      <c r="J97" s="3" t="s">
        <v>126</v>
      </c>
      <c r="K97" s="3" t="s">
        <v>127</v>
      </c>
      <c r="L97" s="3" t="s">
        <v>128</v>
      </c>
      <c r="M97" s="3" t="s">
        <v>129</v>
      </c>
      <c r="N97" s="3" t="s">
        <v>130</v>
      </c>
      <c r="O97" s="3" t="s">
        <v>131</v>
      </c>
      <c r="P97" s="3" t="s">
        <v>132</v>
      </c>
      <c r="Q97" s="3" t="s">
        <v>268</v>
      </c>
    </row>
    <row r="98" customFormat="false" ht="15" hidden="false" customHeight="false" outlineLevel="0" collapsed="false">
      <c r="A98" s="12" t="str">
        <f aca="false">parametros_recargas!A51</f>
        <v>ABC 1 kg</v>
      </c>
      <c r="B98" s="12" t="str">
        <f aca="false">parametros_recargas!B51</f>
        <v>ABC</v>
      </c>
      <c r="C98" s="22" t="n">
        <f aca="false">parametros_recargas!C51</f>
        <v>1</v>
      </c>
      <c r="D98" s="23" t="n">
        <f aca="false">datos_base!$E$2*parametros_recargas!$B$40+sobrestock_sustitutos!$E$175/12</f>
        <v>3324.42847794031</v>
      </c>
      <c r="E98" s="23" t="n">
        <f aca="false">datos_base!$E$2*parametros_recargas!$C$40+sobrestock_sustitutos!$E$175/12</f>
        <v>3324.42847794031</v>
      </c>
      <c r="F98" s="23" t="n">
        <f aca="false">datos_base!$E$2*parametros_recargas!$D$40+sobrestock_sustitutos!$E$175/12</f>
        <v>3324.42847794031</v>
      </c>
      <c r="G98" s="23" t="n">
        <f aca="false">datos_base!$E$2*parametros_recargas!$E$40+sobrestock_sustitutos!$E$175/12</f>
        <v>3324.42847794031</v>
      </c>
      <c r="H98" s="23" t="n">
        <f aca="false">datos_base!$E$2*parametros_recargas!$F$40+sobrestock_sustitutos!$E$175/12</f>
        <v>3324.42847794031</v>
      </c>
      <c r="I98" s="23" t="n">
        <f aca="false">datos_base!$E$2*parametros_recargas!$G$40+sobrestock_sustitutos!$E$175/12</f>
        <v>3324.42847794031</v>
      </c>
      <c r="J98" s="23" t="n">
        <f aca="false">datos_base!$E$2*parametros_recargas!$H$40+sobrestock_sustitutos!$E$175/12</f>
        <v>3324.42847794031</v>
      </c>
      <c r="K98" s="23" t="n">
        <f aca="false">datos_base!$E$2*parametros_recargas!$I$40+sobrestock_sustitutos!$E$175/12</f>
        <v>3324.42847794031</v>
      </c>
      <c r="L98" s="23" t="n">
        <f aca="false">datos_base!$E$2*parametros_recargas!$J$40+sobrestock_sustitutos!$E$175/12</f>
        <v>3324.42847794031</v>
      </c>
      <c r="M98" s="23" t="n">
        <f aca="false">datos_base!$E$2*parametros_recargas!$K$40+sobrestock_sustitutos!$E$175/12</f>
        <v>3324.42847794031</v>
      </c>
      <c r="N98" s="23" t="n">
        <f aca="false">datos_base!$E$2*parametros_recargas!$L$40+sobrestock_sustitutos!$E$175/12</f>
        <v>3324.42847794031</v>
      </c>
      <c r="O98" s="23" t="n">
        <f aca="false">datos_base!$E$2*parametros_recargas!$M$40+sobrestock_sustitutos!$E$175/12</f>
        <v>3324.42847794031</v>
      </c>
      <c r="P98" s="7" t="n">
        <f aca="false">SUM(D98:O98)</f>
        <v>39893.1417352838</v>
      </c>
      <c r="Q98" s="13" t="n">
        <f aca="false">sobrestock_sustitutos!$E$175</f>
        <v>0</v>
      </c>
    </row>
    <row r="99" customFormat="false" ht="15" hidden="false" customHeight="false" outlineLevel="0" collapsed="false">
      <c r="A99" s="12" t="str">
        <f aca="false">parametros_recargas!A52</f>
        <v>ABC 2,5 kg</v>
      </c>
      <c r="B99" s="12" t="str">
        <f aca="false">parametros_recargas!B52</f>
        <v>ABC</v>
      </c>
      <c r="C99" s="22" t="n">
        <f aca="false">parametros_recargas!C52</f>
        <v>1</v>
      </c>
      <c r="D99" s="23" t="n">
        <f aca="false">datos_base!$E$3*parametros_recargas!$B$40+sobrestock_sustitutos!$E$176/12</f>
        <v>321.838293159087</v>
      </c>
      <c r="E99" s="23" t="n">
        <f aca="false">datos_base!$E$3*parametros_recargas!$C$40+sobrestock_sustitutos!$E$176/12</f>
        <v>321.838293159087</v>
      </c>
      <c r="F99" s="23" t="n">
        <f aca="false">datos_base!$E$3*parametros_recargas!$D$40+sobrestock_sustitutos!$E$176/12</f>
        <v>321.838293159087</v>
      </c>
      <c r="G99" s="23" t="n">
        <f aca="false">datos_base!$E$3*parametros_recargas!$E$40+sobrestock_sustitutos!$E$176/12</f>
        <v>321.838293159087</v>
      </c>
      <c r="H99" s="23" t="n">
        <f aca="false">datos_base!$E$3*parametros_recargas!$F$40+sobrestock_sustitutos!$E$176/12</f>
        <v>321.838293159087</v>
      </c>
      <c r="I99" s="23" t="n">
        <f aca="false">datos_base!$E$3*parametros_recargas!$G$40+sobrestock_sustitutos!$E$176/12</f>
        <v>321.838293159087</v>
      </c>
      <c r="J99" s="23" t="n">
        <f aca="false">datos_base!$E$3*parametros_recargas!$H$40+sobrestock_sustitutos!$E$176/12</f>
        <v>321.838293159087</v>
      </c>
      <c r="K99" s="23" t="n">
        <f aca="false">datos_base!$E$3*parametros_recargas!$I$40+sobrestock_sustitutos!$E$176/12</f>
        <v>321.838293159087</v>
      </c>
      <c r="L99" s="23" t="n">
        <f aca="false">datos_base!$E$3*parametros_recargas!$J$40+sobrestock_sustitutos!$E$176/12</f>
        <v>321.838293159087</v>
      </c>
      <c r="M99" s="23" t="n">
        <f aca="false">datos_base!$E$3*parametros_recargas!$K$40+sobrestock_sustitutos!$E$176/12</f>
        <v>321.838293159087</v>
      </c>
      <c r="N99" s="23" t="n">
        <f aca="false">datos_base!$E$3*parametros_recargas!$L$40+sobrestock_sustitutos!$E$176/12</f>
        <v>321.838293159087</v>
      </c>
      <c r="O99" s="23" t="n">
        <f aca="false">datos_base!$E$3*parametros_recargas!$M$40+sobrestock_sustitutos!$E$176/12</f>
        <v>321.838293159087</v>
      </c>
      <c r="P99" s="7" t="n">
        <f aca="false">SUM(D99:O99)</f>
        <v>3862.05951790904</v>
      </c>
      <c r="Q99" s="13" t="n">
        <f aca="false">sobrestock_sustitutos!$E$176</f>
        <v>0</v>
      </c>
    </row>
    <row r="100" customFormat="false" ht="15" hidden="false" customHeight="false" outlineLevel="0" collapsed="false">
      <c r="A100" s="12" t="str">
        <f aca="false">parametros_recargas!A53</f>
        <v>ABC 5 kg</v>
      </c>
      <c r="B100" s="12" t="str">
        <f aca="false">parametros_recargas!B53</f>
        <v>ABC</v>
      </c>
      <c r="C100" s="22" t="n">
        <f aca="false">parametros_recargas!C53</f>
        <v>1</v>
      </c>
      <c r="D100" s="23" t="n">
        <f aca="false">datos_base!$E$4*parametros_recargas!$B$40+sobrestock_sustitutos!$E$177/12</f>
        <v>1998.43473000784</v>
      </c>
      <c r="E100" s="23" t="n">
        <f aca="false">datos_base!$E$4*parametros_recargas!$C$40+sobrestock_sustitutos!$E$177/12</f>
        <v>1998.43473000784</v>
      </c>
      <c r="F100" s="23" t="n">
        <f aca="false">datos_base!$E$4*parametros_recargas!$D$40+sobrestock_sustitutos!$E$177/12</f>
        <v>1998.43473000784</v>
      </c>
      <c r="G100" s="23" t="n">
        <f aca="false">datos_base!$E$4*parametros_recargas!$E$40+sobrestock_sustitutos!$E$177/12</f>
        <v>1998.43473000784</v>
      </c>
      <c r="H100" s="23" t="n">
        <f aca="false">datos_base!$E$4*parametros_recargas!$F$40+sobrestock_sustitutos!$E$177/12</f>
        <v>1998.43473000784</v>
      </c>
      <c r="I100" s="23" t="n">
        <f aca="false">datos_base!$E$4*parametros_recargas!$G$40+sobrestock_sustitutos!$E$177/12</f>
        <v>1998.43473000784</v>
      </c>
      <c r="J100" s="23" t="n">
        <f aca="false">datos_base!$E$4*parametros_recargas!$H$40+sobrestock_sustitutos!$E$177/12</f>
        <v>1998.43473000784</v>
      </c>
      <c r="K100" s="23" t="n">
        <f aca="false">datos_base!$E$4*parametros_recargas!$I$40+sobrestock_sustitutos!$E$177/12</f>
        <v>1998.43473000784</v>
      </c>
      <c r="L100" s="23" t="n">
        <f aca="false">datos_base!$E$4*parametros_recargas!$J$40+sobrestock_sustitutos!$E$177/12</f>
        <v>1998.43473000784</v>
      </c>
      <c r="M100" s="23" t="n">
        <f aca="false">datos_base!$E$4*parametros_recargas!$K$40+sobrestock_sustitutos!$E$177/12</f>
        <v>1998.43473000784</v>
      </c>
      <c r="N100" s="23" t="n">
        <f aca="false">datos_base!$E$4*parametros_recargas!$L$40+sobrestock_sustitutos!$E$177/12</f>
        <v>1998.43473000784</v>
      </c>
      <c r="O100" s="23" t="n">
        <f aca="false">datos_base!$E$4*parametros_recargas!$M$40+sobrestock_sustitutos!$E$177/12</f>
        <v>1998.43473000784</v>
      </c>
      <c r="P100" s="7" t="n">
        <f aca="false">SUM(D100:O100)</f>
        <v>23981.216760094</v>
      </c>
      <c r="Q100" s="13" t="n">
        <f aca="false">sobrestock_sustitutos!$E$177</f>
        <v>62</v>
      </c>
    </row>
    <row r="101" customFormat="false" ht="15" hidden="false" customHeight="false" outlineLevel="0" collapsed="false">
      <c r="A101" s="12" t="str">
        <f aca="false">parametros_recargas!A54</f>
        <v>ABC 10 kg</v>
      </c>
      <c r="B101" s="12" t="str">
        <f aca="false">parametros_recargas!B54</f>
        <v>ABC</v>
      </c>
      <c r="C101" s="22" t="n">
        <f aca="false">parametros_recargas!C54</f>
        <v>1</v>
      </c>
      <c r="D101" s="23" t="n">
        <f aca="false">datos_base!$E$5*parametros_recargas!$B$40+sobrestock_sustitutos!$E$178/12</f>
        <v>116.612347819445</v>
      </c>
      <c r="E101" s="23" t="n">
        <f aca="false">datos_base!$E$5*parametros_recargas!$C$40+sobrestock_sustitutos!$E$178/12</f>
        <v>116.612347819445</v>
      </c>
      <c r="F101" s="23" t="n">
        <f aca="false">datos_base!$E$5*parametros_recargas!$D$40+sobrestock_sustitutos!$E$178/12</f>
        <v>116.612347819445</v>
      </c>
      <c r="G101" s="23" t="n">
        <f aca="false">datos_base!$E$5*parametros_recargas!$E$40+sobrestock_sustitutos!$E$178/12</f>
        <v>116.612347819445</v>
      </c>
      <c r="H101" s="23" t="n">
        <f aca="false">datos_base!$E$5*parametros_recargas!$F$40+sobrestock_sustitutos!$E$178/12</f>
        <v>116.612347819445</v>
      </c>
      <c r="I101" s="23" t="n">
        <f aca="false">datos_base!$E$5*parametros_recargas!$G$40+sobrestock_sustitutos!$E$178/12</f>
        <v>116.612347819445</v>
      </c>
      <c r="J101" s="23" t="n">
        <f aca="false">datos_base!$E$5*parametros_recargas!$H$40+sobrestock_sustitutos!$E$178/12</f>
        <v>116.612347819445</v>
      </c>
      <c r="K101" s="23" t="n">
        <f aca="false">datos_base!$E$5*parametros_recargas!$I$40+sobrestock_sustitutos!$E$178/12</f>
        <v>116.612347819445</v>
      </c>
      <c r="L101" s="23" t="n">
        <f aca="false">datos_base!$E$5*parametros_recargas!$J$40+sobrestock_sustitutos!$E$178/12</f>
        <v>116.612347819445</v>
      </c>
      <c r="M101" s="23" t="n">
        <f aca="false">datos_base!$E$5*parametros_recargas!$K$40+sobrestock_sustitutos!$E$178/12</f>
        <v>116.612347819445</v>
      </c>
      <c r="N101" s="23" t="n">
        <f aca="false">datos_base!$E$5*parametros_recargas!$L$40+sobrestock_sustitutos!$E$178/12</f>
        <v>116.612347819445</v>
      </c>
      <c r="O101" s="23" t="n">
        <f aca="false">datos_base!$E$5*parametros_recargas!$M$40+sobrestock_sustitutos!$E$178/12</f>
        <v>116.612347819445</v>
      </c>
      <c r="P101" s="7" t="n">
        <f aca="false">SUM(D101:O101)</f>
        <v>1399.34817383334</v>
      </c>
      <c r="Q101" s="13" t="n">
        <f aca="false">sobrestock_sustitutos!$E$178</f>
        <v>4</v>
      </c>
    </row>
    <row r="102" customFormat="false" ht="15" hidden="false" customHeight="false" outlineLevel="0" collapsed="false">
      <c r="A102" s="12" t="str">
        <f aca="false">parametros_recargas!A55</f>
        <v>Agua 10 l</v>
      </c>
      <c r="B102" s="12" t="str">
        <f aca="false">parametros_recargas!B55</f>
        <v>Agua</v>
      </c>
      <c r="C102" s="22" t="n">
        <f aca="false">parametros_recargas!C55</f>
        <v>1</v>
      </c>
      <c r="D102" s="23" t="n">
        <f aca="false">datos_base!$E$6*parametros_recargas!$B$40+sobrestock_sustitutos!$E$179/12</f>
        <v>164.504914729824</v>
      </c>
      <c r="E102" s="23" t="n">
        <f aca="false">datos_base!$E$6*parametros_recargas!$C$40+sobrestock_sustitutos!$E$179/12</f>
        <v>164.504914729824</v>
      </c>
      <c r="F102" s="23" t="n">
        <f aca="false">datos_base!$E$6*parametros_recargas!$D$40+sobrestock_sustitutos!$E$179/12</f>
        <v>164.504914729824</v>
      </c>
      <c r="G102" s="23" t="n">
        <f aca="false">datos_base!$E$6*parametros_recargas!$E$40+sobrestock_sustitutos!$E$179/12</f>
        <v>164.504914729824</v>
      </c>
      <c r="H102" s="23" t="n">
        <f aca="false">datos_base!$E$6*parametros_recargas!$F$40+sobrestock_sustitutos!$E$179/12</f>
        <v>164.504914729824</v>
      </c>
      <c r="I102" s="23" t="n">
        <f aca="false">datos_base!$E$6*parametros_recargas!$G$40+sobrestock_sustitutos!$E$179/12</f>
        <v>164.504914729824</v>
      </c>
      <c r="J102" s="23" t="n">
        <f aca="false">datos_base!$E$6*parametros_recargas!$H$40+sobrestock_sustitutos!$E$179/12</f>
        <v>164.504914729824</v>
      </c>
      <c r="K102" s="23" t="n">
        <f aca="false">datos_base!$E$6*parametros_recargas!$I$40+sobrestock_sustitutos!$E$179/12</f>
        <v>164.504914729824</v>
      </c>
      <c r="L102" s="23" t="n">
        <f aca="false">datos_base!$E$6*parametros_recargas!$J$40+sobrestock_sustitutos!$E$179/12</f>
        <v>164.504914729824</v>
      </c>
      <c r="M102" s="23" t="n">
        <f aca="false">datos_base!$E$6*parametros_recargas!$K$40+sobrestock_sustitutos!$E$179/12</f>
        <v>164.504914729824</v>
      </c>
      <c r="N102" s="23" t="n">
        <f aca="false">datos_base!$E$6*parametros_recargas!$L$40+sobrestock_sustitutos!$E$179/12</f>
        <v>164.504914729824</v>
      </c>
      <c r="O102" s="23" t="n">
        <f aca="false">datos_base!$E$6*parametros_recargas!$M$40+sobrestock_sustitutos!$E$179/12</f>
        <v>164.504914729824</v>
      </c>
      <c r="P102" s="7" t="n">
        <f aca="false">SUM(D102:O102)</f>
        <v>1974.05897675789</v>
      </c>
      <c r="Q102" s="13" t="n">
        <f aca="false">sobrestock_sustitutos!$E$179</f>
        <v>5</v>
      </c>
    </row>
    <row r="103" customFormat="false" ht="15" hidden="false" customHeight="false" outlineLevel="0" collapsed="false">
      <c r="A103" s="12" t="str">
        <f aca="false">parametros_recargas!A56</f>
        <v>AFFF 10 l</v>
      </c>
      <c r="B103" s="12" t="str">
        <f aca="false">parametros_recargas!B56</f>
        <v>AFFF</v>
      </c>
      <c r="C103" s="22" t="n">
        <f aca="false">parametros_recargas!C56</f>
        <v>1</v>
      </c>
      <c r="D103" s="23" t="n">
        <f aca="false">datos_base!$E$7*parametros_recargas!$B$40+sobrestock_sustitutos!$E$180/12</f>
        <v>31.3650198049133</v>
      </c>
      <c r="E103" s="23" t="n">
        <f aca="false">datos_base!$E$7*parametros_recargas!$C$40+sobrestock_sustitutos!$E$180/12</f>
        <v>31.3650198049133</v>
      </c>
      <c r="F103" s="23" t="n">
        <f aca="false">datos_base!$E$7*parametros_recargas!$D$40+sobrestock_sustitutos!$E$180/12</f>
        <v>31.3650198049133</v>
      </c>
      <c r="G103" s="23" t="n">
        <f aca="false">datos_base!$E$7*parametros_recargas!$E$40+sobrestock_sustitutos!$E$180/12</f>
        <v>31.3650198049133</v>
      </c>
      <c r="H103" s="23" t="n">
        <f aca="false">datos_base!$E$7*parametros_recargas!$F$40+sobrestock_sustitutos!$E$180/12</f>
        <v>31.3650198049133</v>
      </c>
      <c r="I103" s="23" t="n">
        <f aca="false">datos_base!$E$7*parametros_recargas!$G$40+sobrestock_sustitutos!$E$180/12</f>
        <v>31.3650198049133</v>
      </c>
      <c r="J103" s="23" t="n">
        <f aca="false">datos_base!$E$7*parametros_recargas!$H$40+sobrestock_sustitutos!$E$180/12</f>
        <v>31.3650198049133</v>
      </c>
      <c r="K103" s="23" t="n">
        <f aca="false">datos_base!$E$7*parametros_recargas!$I$40+sobrestock_sustitutos!$E$180/12</f>
        <v>31.3650198049133</v>
      </c>
      <c r="L103" s="23" t="n">
        <f aca="false">datos_base!$E$7*parametros_recargas!$J$40+sobrestock_sustitutos!$E$180/12</f>
        <v>31.3650198049133</v>
      </c>
      <c r="M103" s="23" t="n">
        <f aca="false">datos_base!$E$7*parametros_recargas!$K$40+sobrestock_sustitutos!$E$180/12</f>
        <v>31.3650198049133</v>
      </c>
      <c r="N103" s="23" t="n">
        <f aca="false">datos_base!$E$7*parametros_recargas!$L$40+sobrestock_sustitutos!$E$180/12</f>
        <v>31.3650198049133</v>
      </c>
      <c r="O103" s="23" t="n">
        <f aca="false">datos_base!$E$7*parametros_recargas!$M$40+sobrestock_sustitutos!$E$180/12</f>
        <v>31.3650198049133</v>
      </c>
      <c r="P103" s="7" t="n">
        <f aca="false">SUM(D103:O103)</f>
        <v>376.38023765896</v>
      </c>
      <c r="Q103" s="13" t="n">
        <f aca="false">sobrestock_sustitutos!$E$180</f>
        <v>1</v>
      </c>
    </row>
    <row r="104" customFormat="false" ht="15" hidden="false" customHeight="false" outlineLevel="0" collapsed="false">
      <c r="A104" s="12" t="str">
        <f aca="false">parametros_recargas!A57</f>
        <v>AFFF 50 l s/ruedas</v>
      </c>
      <c r="B104" s="12" t="str">
        <f aca="false">parametros_recargas!B57</f>
        <v>AFFF</v>
      </c>
      <c r="C104" s="22" t="n">
        <f aca="false">parametros_recargas!C57</f>
        <v>3</v>
      </c>
      <c r="D104" s="23" t="n">
        <f aca="false">datos_base!$E$8*parametros_recargas!$B$40+sobrestock_sustitutos!$E$181/12</f>
        <v>16.7706963736414</v>
      </c>
      <c r="E104" s="23" t="n">
        <f aca="false">datos_base!$E$8*parametros_recargas!$C$40+sobrestock_sustitutos!$E$181/12</f>
        <v>16.7706963736414</v>
      </c>
      <c r="F104" s="23" t="n">
        <f aca="false">datos_base!$E$8*parametros_recargas!$D$40+sobrestock_sustitutos!$E$181/12</f>
        <v>16.7706963736414</v>
      </c>
      <c r="G104" s="23" t="n">
        <f aca="false">datos_base!$E$8*parametros_recargas!$E$40+sobrestock_sustitutos!$E$181/12</f>
        <v>16.7706963736414</v>
      </c>
      <c r="H104" s="23" t="n">
        <f aca="false">datos_base!$E$8*parametros_recargas!$F$40+sobrestock_sustitutos!$E$181/12</f>
        <v>16.7706963736414</v>
      </c>
      <c r="I104" s="23" t="n">
        <f aca="false">datos_base!$E$8*parametros_recargas!$G$40+sobrestock_sustitutos!$E$181/12</f>
        <v>16.7706963736414</v>
      </c>
      <c r="J104" s="23" t="n">
        <f aca="false">datos_base!$E$8*parametros_recargas!$H$40+sobrestock_sustitutos!$E$181/12</f>
        <v>16.7706963736414</v>
      </c>
      <c r="K104" s="23" t="n">
        <f aca="false">datos_base!$E$8*parametros_recargas!$I$40+sobrestock_sustitutos!$E$181/12</f>
        <v>16.7706963736414</v>
      </c>
      <c r="L104" s="23" t="n">
        <f aca="false">datos_base!$E$8*parametros_recargas!$J$40+sobrestock_sustitutos!$E$181/12</f>
        <v>16.7706963736414</v>
      </c>
      <c r="M104" s="23" t="n">
        <f aca="false">datos_base!$E$8*parametros_recargas!$K$40+sobrestock_sustitutos!$E$181/12</f>
        <v>16.7706963736414</v>
      </c>
      <c r="N104" s="23" t="n">
        <f aca="false">datos_base!$E$8*parametros_recargas!$L$40+sobrestock_sustitutos!$E$181/12</f>
        <v>16.7706963736414</v>
      </c>
      <c r="O104" s="23" t="n">
        <f aca="false">datos_base!$E$8*parametros_recargas!$M$40+sobrestock_sustitutos!$E$181/12</f>
        <v>16.7706963736414</v>
      </c>
      <c r="P104" s="7" t="n">
        <f aca="false">SUM(D104:O104)</f>
        <v>201.248356483697</v>
      </c>
      <c r="Q104" s="13" t="n">
        <f aca="false">sobrestock_sustitutos!$E$181</f>
        <v>1</v>
      </c>
    </row>
    <row r="105" customFormat="false" ht="15" hidden="false" customHeight="false" outlineLevel="0" collapsed="false">
      <c r="A105" s="12" t="str">
        <f aca="false">parametros_recargas!A58</f>
        <v>BC 5 kg</v>
      </c>
      <c r="B105" s="12" t="str">
        <f aca="false">parametros_recargas!B58</f>
        <v>BC</v>
      </c>
      <c r="C105" s="22" t="n">
        <f aca="false">parametros_recargas!C58</f>
        <v>1</v>
      </c>
      <c r="D105" s="23" t="n">
        <f aca="false">datos_base!$E$9*parametros_recargas!$B$40+sobrestock_sustitutos!$E$182/12</f>
        <v>9.54400419663871</v>
      </c>
      <c r="E105" s="23" t="n">
        <f aca="false">datos_base!$E$9*parametros_recargas!$C$40+sobrestock_sustitutos!$E$182/12</f>
        <v>9.54400419663871</v>
      </c>
      <c r="F105" s="23" t="n">
        <f aca="false">datos_base!$E$9*parametros_recargas!$D$40+sobrestock_sustitutos!$E$182/12</f>
        <v>9.54400419663871</v>
      </c>
      <c r="G105" s="23" t="n">
        <f aca="false">datos_base!$E$9*parametros_recargas!$E$40+sobrestock_sustitutos!$E$182/12</f>
        <v>9.54400419663871</v>
      </c>
      <c r="H105" s="23" t="n">
        <f aca="false">datos_base!$E$9*parametros_recargas!$F$40+sobrestock_sustitutos!$E$182/12</f>
        <v>9.54400419663871</v>
      </c>
      <c r="I105" s="23" t="n">
        <f aca="false">datos_base!$E$9*parametros_recargas!$G$40+sobrestock_sustitutos!$E$182/12</f>
        <v>9.54400419663871</v>
      </c>
      <c r="J105" s="23" t="n">
        <f aca="false">datos_base!$E$9*parametros_recargas!$H$40+sobrestock_sustitutos!$E$182/12</f>
        <v>9.54400419663871</v>
      </c>
      <c r="K105" s="23" t="n">
        <f aca="false">datos_base!$E$9*parametros_recargas!$I$40+sobrestock_sustitutos!$E$182/12</f>
        <v>9.54400419663871</v>
      </c>
      <c r="L105" s="23" t="n">
        <f aca="false">datos_base!$E$9*parametros_recargas!$J$40+sobrestock_sustitutos!$E$182/12</f>
        <v>9.54400419663871</v>
      </c>
      <c r="M105" s="23" t="n">
        <f aca="false">datos_base!$E$9*parametros_recargas!$K$40+sobrestock_sustitutos!$E$182/12</f>
        <v>9.54400419663871</v>
      </c>
      <c r="N105" s="23" t="n">
        <f aca="false">datos_base!$E$9*parametros_recargas!$L$40+sobrestock_sustitutos!$E$182/12</f>
        <v>9.54400419663871</v>
      </c>
      <c r="O105" s="23" t="n">
        <f aca="false">datos_base!$E$9*parametros_recargas!$M$40+sobrestock_sustitutos!$E$182/12</f>
        <v>9.54400419663871</v>
      </c>
      <c r="P105" s="7" t="n">
        <f aca="false">SUM(D105:O105)</f>
        <v>114.528050359665</v>
      </c>
      <c r="Q105" s="13" t="n">
        <f aca="false">sobrestock_sustitutos!$E$182</f>
        <v>1</v>
      </c>
    </row>
    <row r="106" customFormat="false" ht="15" hidden="false" customHeight="false" outlineLevel="0" collapsed="false">
      <c r="A106" s="12" t="str">
        <f aca="false">parametros_recargas!A59</f>
        <v>Sales K 6 l</v>
      </c>
      <c r="B106" s="12" t="str">
        <f aca="false">parametros_recargas!B59</f>
        <v>Sales K</v>
      </c>
      <c r="C106" s="22" t="n">
        <f aca="false">parametros_recargas!C59</f>
        <v>1</v>
      </c>
      <c r="D106" s="23" t="n">
        <f aca="false">datos_base!$E$10*parametros_recargas!$B$40+sobrestock_sustitutos!$E$183/12</f>
        <v>80.8512747102259</v>
      </c>
      <c r="E106" s="23" t="n">
        <f aca="false">datos_base!$E$10*parametros_recargas!$C$40+sobrestock_sustitutos!$E$183/12</f>
        <v>80.8512747102259</v>
      </c>
      <c r="F106" s="23" t="n">
        <f aca="false">datos_base!$E$10*parametros_recargas!$D$40+sobrestock_sustitutos!$E$183/12</f>
        <v>80.8512747102259</v>
      </c>
      <c r="G106" s="23" t="n">
        <f aca="false">datos_base!$E$10*parametros_recargas!$E$40+sobrestock_sustitutos!$E$183/12</f>
        <v>80.8512747102259</v>
      </c>
      <c r="H106" s="23" t="n">
        <f aca="false">datos_base!$E$10*parametros_recargas!$F$40+sobrestock_sustitutos!$E$183/12</f>
        <v>80.8512747102259</v>
      </c>
      <c r="I106" s="23" t="n">
        <f aca="false">datos_base!$E$10*parametros_recargas!$G$40+sobrestock_sustitutos!$E$183/12</f>
        <v>80.8512747102259</v>
      </c>
      <c r="J106" s="23" t="n">
        <f aca="false">datos_base!$E$10*parametros_recargas!$H$40+sobrestock_sustitutos!$E$183/12</f>
        <v>80.8512747102259</v>
      </c>
      <c r="K106" s="23" t="n">
        <f aca="false">datos_base!$E$10*parametros_recargas!$I$40+sobrestock_sustitutos!$E$183/12</f>
        <v>80.8512747102259</v>
      </c>
      <c r="L106" s="23" t="n">
        <f aca="false">datos_base!$E$10*parametros_recargas!$J$40+sobrestock_sustitutos!$E$183/12</f>
        <v>80.8512747102259</v>
      </c>
      <c r="M106" s="23" t="n">
        <f aca="false">datos_base!$E$10*parametros_recargas!$K$40+sobrestock_sustitutos!$E$183/12</f>
        <v>80.8512747102259</v>
      </c>
      <c r="N106" s="23" t="n">
        <f aca="false">datos_base!$E$10*parametros_recargas!$L$40+sobrestock_sustitutos!$E$183/12</f>
        <v>80.8512747102259</v>
      </c>
      <c r="O106" s="23" t="n">
        <f aca="false">datos_base!$E$10*parametros_recargas!$M$40+sobrestock_sustitutos!$E$183/12</f>
        <v>80.8512747102259</v>
      </c>
      <c r="P106" s="7" t="n">
        <f aca="false">SUM(D106:O106)</f>
        <v>970.21529652271</v>
      </c>
      <c r="Q106" s="13" t="n">
        <f aca="false">sobrestock_sustitutos!$E$183</f>
        <v>3</v>
      </c>
    </row>
    <row r="107" customFormat="false" ht="15" hidden="false" customHeight="false" outlineLevel="0" collapsed="false">
      <c r="A107" s="12" t="str">
        <f aca="false">parametros_recargas!A60</f>
        <v>CO₂ 2 kg</v>
      </c>
      <c r="B107" s="12" t="str">
        <f aca="false">parametros_recargas!B60</f>
        <v>CO₂</v>
      </c>
      <c r="C107" s="22" t="n">
        <f aca="false">parametros_recargas!C60</f>
        <v>1</v>
      </c>
      <c r="D107" s="23" t="n">
        <f aca="false">datos_base!$E$11*parametros_recargas!$B$40+sobrestock_sustitutos!$E$184/12</f>
        <v>448.485756212408</v>
      </c>
      <c r="E107" s="23" t="n">
        <f aca="false">datos_base!$E$11*parametros_recargas!$C$40+sobrestock_sustitutos!$E$184/12</f>
        <v>448.485756212408</v>
      </c>
      <c r="F107" s="23" t="n">
        <f aca="false">datos_base!$E$11*parametros_recargas!$D$40+sobrestock_sustitutos!$E$184/12</f>
        <v>448.485756212408</v>
      </c>
      <c r="G107" s="23" t="n">
        <f aca="false">datos_base!$E$11*parametros_recargas!$E$40+sobrestock_sustitutos!$E$184/12</f>
        <v>448.485756212408</v>
      </c>
      <c r="H107" s="23" t="n">
        <f aca="false">datos_base!$E$11*parametros_recargas!$F$40+sobrestock_sustitutos!$E$184/12</f>
        <v>448.485756212408</v>
      </c>
      <c r="I107" s="23" t="n">
        <f aca="false">datos_base!$E$11*parametros_recargas!$G$40+sobrestock_sustitutos!$E$184/12</f>
        <v>448.485756212408</v>
      </c>
      <c r="J107" s="23" t="n">
        <f aca="false">datos_base!$E$11*parametros_recargas!$H$40+sobrestock_sustitutos!$E$184/12</f>
        <v>448.485756212408</v>
      </c>
      <c r="K107" s="23" t="n">
        <f aca="false">datos_base!$E$11*parametros_recargas!$I$40+sobrestock_sustitutos!$E$184/12</f>
        <v>448.485756212408</v>
      </c>
      <c r="L107" s="23" t="n">
        <f aca="false">datos_base!$E$11*parametros_recargas!$J$40+sobrestock_sustitutos!$E$184/12</f>
        <v>448.485756212408</v>
      </c>
      <c r="M107" s="23" t="n">
        <f aca="false">datos_base!$E$11*parametros_recargas!$K$40+sobrestock_sustitutos!$E$184/12</f>
        <v>448.485756212408</v>
      </c>
      <c r="N107" s="23" t="n">
        <f aca="false">datos_base!$E$11*parametros_recargas!$L$40+sobrestock_sustitutos!$E$184/12</f>
        <v>448.485756212408</v>
      </c>
      <c r="O107" s="23" t="n">
        <f aca="false">datos_base!$E$11*parametros_recargas!$M$40+sobrestock_sustitutos!$E$184/12</f>
        <v>448.485756212408</v>
      </c>
      <c r="P107" s="7" t="n">
        <f aca="false">SUM(D107:O107)</f>
        <v>5381.8290745489</v>
      </c>
      <c r="Q107" s="13" t="n">
        <f aca="false">sobrestock_sustitutos!$E$184</f>
        <v>0</v>
      </c>
    </row>
    <row r="108" customFormat="false" ht="15" hidden="false" customHeight="false" outlineLevel="0" collapsed="false">
      <c r="A108" s="12" t="str">
        <f aca="false">parametros_recargas!A61</f>
        <v>CO₂ 5 kg</v>
      </c>
      <c r="B108" s="12" t="str">
        <f aca="false">parametros_recargas!B61</f>
        <v>CO₂</v>
      </c>
      <c r="C108" s="22" t="n">
        <f aca="false">parametros_recargas!C61</f>
        <v>1</v>
      </c>
      <c r="D108" s="23" t="n">
        <f aca="false">datos_base!$E$12*parametros_recargas!$B$40+sobrestock_sustitutos!$E$185/12</f>
        <v>147.261710472811</v>
      </c>
      <c r="E108" s="23" t="n">
        <f aca="false">datos_base!$E$12*parametros_recargas!$C$40+sobrestock_sustitutos!$E$185/12</f>
        <v>147.261710472811</v>
      </c>
      <c r="F108" s="23" t="n">
        <f aca="false">datos_base!$E$12*parametros_recargas!$D$40+sobrestock_sustitutos!$E$185/12</f>
        <v>147.261710472811</v>
      </c>
      <c r="G108" s="23" t="n">
        <f aca="false">datos_base!$E$12*parametros_recargas!$E$40+sobrestock_sustitutos!$E$185/12</f>
        <v>147.261710472811</v>
      </c>
      <c r="H108" s="23" t="n">
        <f aca="false">datos_base!$E$12*parametros_recargas!$F$40+sobrestock_sustitutos!$E$185/12</f>
        <v>147.261710472811</v>
      </c>
      <c r="I108" s="23" t="n">
        <f aca="false">datos_base!$E$12*parametros_recargas!$G$40+sobrestock_sustitutos!$E$185/12</f>
        <v>147.261710472811</v>
      </c>
      <c r="J108" s="23" t="n">
        <f aca="false">datos_base!$E$12*parametros_recargas!$H$40+sobrestock_sustitutos!$E$185/12</f>
        <v>147.261710472811</v>
      </c>
      <c r="K108" s="23" t="n">
        <f aca="false">datos_base!$E$12*parametros_recargas!$I$40+sobrestock_sustitutos!$E$185/12</f>
        <v>147.261710472811</v>
      </c>
      <c r="L108" s="23" t="n">
        <f aca="false">datos_base!$E$12*parametros_recargas!$J$40+sobrestock_sustitutos!$E$185/12</f>
        <v>147.261710472811</v>
      </c>
      <c r="M108" s="23" t="n">
        <f aca="false">datos_base!$E$12*parametros_recargas!$K$40+sobrestock_sustitutos!$E$185/12</f>
        <v>147.261710472811</v>
      </c>
      <c r="N108" s="23" t="n">
        <f aca="false">datos_base!$E$12*parametros_recargas!$L$40+sobrestock_sustitutos!$E$185/12</f>
        <v>147.261710472811</v>
      </c>
      <c r="O108" s="23" t="n">
        <f aca="false">datos_base!$E$12*parametros_recargas!$M$40+sobrestock_sustitutos!$E$185/12</f>
        <v>147.261710472811</v>
      </c>
      <c r="P108" s="7" t="n">
        <f aca="false">SUM(D108:O108)</f>
        <v>1767.14052567374</v>
      </c>
      <c r="Q108" s="13" t="n">
        <f aca="false">sobrestock_sustitutos!$E$185</f>
        <v>16</v>
      </c>
    </row>
    <row r="109" customFormat="false" ht="15" hidden="false" customHeight="false" outlineLevel="0" collapsed="false">
      <c r="A109" s="12" t="str">
        <f aca="false">parametros_recargas!A62</f>
        <v>HCFC/HFC 5 kg</v>
      </c>
      <c r="B109" s="12" t="str">
        <f aca="false">parametros_recargas!B62</f>
        <v>Halogenado</v>
      </c>
      <c r="C109" s="22" t="n">
        <f aca="false">parametros_recargas!C62</f>
        <v>1</v>
      </c>
      <c r="D109" s="23" t="n">
        <f aca="false">datos_base!$E$13*parametros_recargas!$B$40+sobrestock_sustitutos!$E$186/12</f>
        <v>23.8512121989586</v>
      </c>
      <c r="E109" s="23" t="n">
        <f aca="false">datos_base!$E$13*parametros_recargas!$C$40+sobrestock_sustitutos!$E$186/12</f>
        <v>23.8512121989586</v>
      </c>
      <c r="F109" s="23" t="n">
        <f aca="false">datos_base!$E$13*parametros_recargas!$D$40+sobrestock_sustitutos!$E$186/12</f>
        <v>23.8512121989586</v>
      </c>
      <c r="G109" s="23" t="n">
        <f aca="false">datos_base!$E$13*parametros_recargas!$E$40+sobrestock_sustitutos!$E$186/12</f>
        <v>23.8512121989586</v>
      </c>
      <c r="H109" s="23" t="n">
        <f aca="false">datos_base!$E$13*parametros_recargas!$F$40+sobrestock_sustitutos!$E$186/12</f>
        <v>23.8512121989586</v>
      </c>
      <c r="I109" s="23" t="n">
        <f aca="false">datos_base!$E$13*parametros_recargas!$G$40+sobrestock_sustitutos!$E$186/12</f>
        <v>23.8512121989586</v>
      </c>
      <c r="J109" s="23" t="n">
        <f aca="false">datos_base!$E$13*parametros_recargas!$H$40+sobrestock_sustitutos!$E$186/12</f>
        <v>23.8512121989586</v>
      </c>
      <c r="K109" s="23" t="n">
        <f aca="false">datos_base!$E$13*parametros_recargas!$I$40+sobrestock_sustitutos!$E$186/12</f>
        <v>23.8512121989586</v>
      </c>
      <c r="L109" s="23" t="n">
        <f aca="false">datos_base!$E$13*parametros_recargas!$J$40+sobrestock_sustitutos!$E$186/12</f>
        <v>23.8512121989586</v>
      </c>
      <c r="M109" s="23" t="n">
        <f aca="false">datos_base!$E$13*parametros_recargas!$K$40+sobrestock_sustitutos!$E$186/12</f>
        <v>23.8512121989586</v>
      </c>
      <c r="N109" s="23" t="n">
        <f aca="false">datos_base!$E$13*parametros_recargas!$L$40+sobrestock_sustitutos!$E$186/12</f>
        <v>23.8512121989586</v>
      </c>
      <c r="O109" s="23" t="n">
        <f aca="false">datos_base!$E$13*parametros_recargas!$M$40+sobrestock_sustitutos!$E$186/12</f>
        <v>23.8512121989586</v>
      </c>
      <c r="P109" s="7" t="n">
        <f aca="false">SUM(D109:O109)</f>
        <v>286.214546387503</v>
      </c>
      <c r="Q109" s="13" t="n">
        <f aca="false">sobrestock_sustitutos!$E$186</f>
        <v>1</v>
      </c>
    </row>
    <row r="110" customFormat="false" ht="15" hidden="false" customHeight="false" outlineLevel="0" collapsed="false">
      <c r="A110" s="12" t="str">
        <f aca="false">parametros_recargas!A63</f>
        <v>Clase D 9 l</v>
      </c>
      <c r="B110" s="12" t="str">
        <f aca="false">parametros_recargas!B63</f>
        <v>Clase D</v>
      </c>
      <c r="C110" s="22" t="n">
        <f aca="false">parametros_recargas!C63</f>
        <v>1</v>
      </c>
      <c r="D110" s="23" t="n">
        <f aca="false">datos_base!$E$14*parametros_recargas!$B$40+sobrestock_sustitutos!$E$187/12</f>
        <v>8.87830906059113</v>
      </c>
      <c r="E110" s="23" t="n">
        <f aca="false">datos_base!$E$14*parametros_recargas!$C$40+sobrestock_sustitutos!$E$187/12</f>
        <v>8.87830906059113</v>
      </c>
      <c r="F110" s="23" t="n">
        <f aca="false">datos_base!$E$14*parametros_recargas!$D$40+sobrestock_sustitutos!$E$187/12</f>
        <v>8.87830906059113</v>
      </c>
      <c r="G110" s="23" t="n">
        <f aca="false">datos_base!$E$14*parametros_recargas!$E$40+sobrestock_sustitutos!$E$187/12</f>
        <v>8.87830906059113</v>
      </c>
      <c r="H110" s="23" t="n">
        <f aca="false">datos_base!$E$14*parametros_recargas!$F$40+sobrestock_sustitutos!$E$187/12</f>
        <v>8.87830906059113</v>
      </c>
      <c r="I110" s="23" t="n">
        <f aca="false">datos_base!$E$14*parametros_recargas!$G$40+sobrestock_sustitutos!$E$187/12</f>
        <v>8.87830906059113</v>
      </c>
      <c r="J110" s="23" t="n">
        <f aca="false">datos_base!$E$14*parametros_recargas!$H$40+sobrestock_sustitutos!$E$187/12</f>
        <v>8.87830906059113</v>
      </c>
      <c r="K110" s="23" t="n">
        <f aca="false">datos_base!$E$14*parametros_recargas!$I$40+sobrestock_sustitutos!$E$187/12</f>
        <v>8.87830906059113</v>
      </c>
      <c r="L110" s="23" t="n">
        <f aca="false">datos_base!$E$14*parametros_recargas!$J$40+sobrestock_sustitutos!$E$187/12</f>
        <v>8.87830906059113</v>
      </c>
      <c r="M110" s="23" t="n">
        <f aca="false">datos_base!$E$14*parametros_recargas!$K$40+sobrestock_sustitutos!$E$187/12</f>
        <v>8.87830906059113</v>
      </c>
      <c r="N110" s="23" t="n">
        <f aca="false">datos_base!$E$14*parametros_recargas!$L$40+sobrestock_sustitutos!$E$187/12</f>
        <v>8.87830906059113</v>
      </c>
      <c r="O110" s="23" t="n">
        <f aca="false">datos_base!$E$14*parametros_recargas!$M$40+sobrestock_sustitutos!$E$187/12</f>
        <v>8.87830906059113</v>
      </c>
      <c r="P110" s="7" t="n">
        <f aca="false">SUM(D110:O110)</f>
        <v>106.539708727094</v>
      </c>
      <c r="Q110" s="13" t="n">
        <f aca="false">sobrestock_sustitutos!$E$187</f>
        <v>1</v>
      </c>
    </row>
    <row r="111" customFormat="false" ht="15" hidden="false" customHeight="false" outlineLevel="0" collapsed="false">
      <c r="A111" s="12" t="str">
        <f aca="false">parametros_recargas!A64</f>
        <v>ABC 25 kg s/ruedas</v>
      </c>
      <c r="B111" s="12" t="str">
        <f aca="false">parametros_recargas!B64</f>
        <v>ABC</v>
      </c>
      <c r="C111" s="22" t="n">
        <f aca="false">parametros_recargas!C64</f>
        <v>3</v>
      </c>
      <c r="D111" s="23" t="n">
        <f aca="false">datos_base!$E$15*parametros_recargas!$B$40+sobrestock_sustitutos!$E$188/12</f>
        <v>19.9639945200638</v>
      </c>
      <c r="E111" s="23" t="n">
        <f aca="false">datos_base!$E$15*parametros_recargas!$C$40+sobrestock_sustitutos!$E$188/12</f>
        <v>19.9639945200638</v>
      </c>
      <c r="F111" s="23" t="n">
        <f aca="false">datos_base!$E$15*parametros_recargas!$D$40+sobrestock_sustitutos!$E$188/12</f>
        <v>19.9639945200638</v>
      </c>
      <c r="G111" s="23" t="n">
        <f aca="false">datos_base!$E$15*parametros_recargas!$E$40+sobrestock_sustitutos!$E$188/12</f>
        <v>19.9639945200638</v>
      </c>
      <c r="H111" s="23" t="n">
        <f aca="false">datos_base!$E$15*parametros_recargas!$F$40+sobrestock_sustitutos!$E$188/12</f>
        <v>19.9639945200638</v>
      </c>
      <c r="I111" s="23" t="n">
        <f aca="false">datos_base!$E$15*parametros_recargas!$G$40+sobrestock_sustitutos!$E$188/12</f>
        <v>19.9639945200638</v>
      </c>
      <c r="J111" s="23" t="n">
        <f aca="false">datos_base!$E$15*parametros_recargas!$H$40+sobrestock_sustitutos!$E$188/12</f>
        <v>19.9639945200638</v>
      </c>
      <c r="K111" s="23" t="n">
        <f aca="false">datos_base!$E$15*parametros_recargas!$I$40+sobrestock_sustitutos!$E$188/12</f>
        <v>19.9639945200638</v>
      </c>
      <c r="L111" s="23" t="n">
        <f aca="false">datos_base!$E$15*parametros_recargas!$J$40+sobrestock_sustitutos!$E$188/12</f>
        <v>19.9639945200638</v>
      </c>
      <c r="M111" s="23" t="n">
        <f aca="false">datos_base!$E$15*parametros_recargas!$K$40+sobrestock_sustitutos!$E$188/12</f>
        <v>19.9639945200638</v>
      </c>
      <c r="N111" s="23" t="n">
        <f aca="false">datos_base!$E$15*parametros_recargas!$L$40+sobrestock_sustitutos!$E$188/12</f>
        <v>19.9639945200638</v>
      </c>
      <c r="O111" s="23" t="n">
        <f aca="false">datos_base!$E$15*parametros_recargas!$M$40+sobrestock_sustitutos!$E$188/12</f>
        <v>19.9639945200638</v>
      </c>
      <c r="P111" s="7" t="n">
        <f aca="false">SUM(D111:O111)</f>
        <v>239.567934240765</v>
      </c>
      <c r="Q111" s="13" t="n">
        <f aca="false">sobrestock_sustitutos!$E$188</f>
        <v>0</v>
      </c>
    </row>
    <row r="112" customFormat="false" ht="15" hidden="false" customHeight="false" outlineLevel="0" collapsed="false">
      <c r="A112" s="12" t="str">
        <f aca="false">parametros_recargas!A65</f>
        <v>ABC 50 kg s/ruedas</v>
      </c>
      <c r="B112" s="12" t="str">
        <f aca="false">parametros_recargas!B65</f>
        <v>ABC</v>
      </c>
      <c r="C112" s="22" t="n">
        <f aca="false">parametros_recargas!C65</f>
        <v>3</v>
      </c>
      <c r="D112" s="23" t="n">
        <f aca="false">datos_base!$E$16*parametros_recargas!$B$40+sobrestock_sustitutos!$E$189/12</f>
        <v>44.0874545989442</v>
      </c>
      <c r="E112" s="23" t="n">
        <f aca="false">datos_base!$E$16*parametros_recargas!$C$40+sobrestock_sustitutos!$E$189/12</f>
        <v>44.0874545989442</v>
      </c>
      <c r="F112" s="23" t="n">
        <f aca="false">datos_base!$E$16*parametros_recargas!$D$40+sobrestock_sustitutos!$E$189/12</f>
        <v>44.0874545989442</v>
      </c>
      <c r="G112" s="23" t="n">
        <f aca="false">datos_base!$E$16*parametros_recargas!$E$40+sobrestock_sustitutos!$E$189/12</f>
        <v>44.0874545989442</v>
      </c>
      <c r="H112" s="23" t="n">
        <f aca="false">datos_base!$E$16*parametros_recargas!$F$40+sobrestock_sustitutos!$E$189/12</f>
        <v>44.0874545989442</v>
      </c>
      <c r="I112" s="23" t="n">
        <f aca="false">datos_base!$E$16*parametros_recargas!$G$40+sobrestock_sustitutos!$E$189/12</f>
        <v>44.0874545989442</v>
      </c>
      <c r="J112" s="23" t="n">
        <f aca="false">datos_base!$E$16*parametros_recargas!$H$40+sobrestock_sustitutos!$E$189/12</f>
        <v>44.0874545989442</v>
      </c>
      <c r="K112" s="23" t="n">
        <f aca="false">datos_base!$E$16*parametros_recargas!$I$40+sobrestock_sustitutos!$E$189/12</f>
        <v>44.0874545989442</v>
      </c>
      <c r="L112" s="23" t="n">
        <f aca="false">datos_base!$E$16*parametros_recargas!$J$40+sobrestock_sustitutos!$E$189/12</f>
        <v>44.0874545989442</v>
      </c>
      <c r="M112" s="23" t="n">
        <f aca="false">datos_base!$E$16*parametros_recargas!$K$40+sobrestock_sustitutos!$E$189/12</f>
        <v>44.0874545989442</v>
      </c>
      <c r="N112" s="23" t="n">
        <f aca="false">datos_base!$E$16*parametros_recargas!$L$40+sobrestock_sustitutos!$E$189/12</f>
        <v>44.0874545989442</v>
      </c>
      <c r="O112" s="23" t="n">
        <f aca="false">datos_base!$E$16*parametros_recargas!$M$40+sobrestock_sustitutos!$E$189/12</f>
        <v>44.0874545989442</v>
      </c>
      <c r="P112" s="7" t="n">
        <f aca="false">SUM(D112:O112)</f>
        <v>529.049455187331</v>
      </c>
      <c r="Q112" s="13" t="n">
        <f aca="false">sobrestock_sustitutos!$E$189</f>
        <v>2</v>
      </c>
    </row>
    <row r="113" customFormat="false" ht="15" hidden="false" customHeight="false" outlineLevel="0" collapsed="false">
      <c r="A113" s="12" t="str">
        <f aca="false">parametros_recargas!A66</f>
        <v>ABC 70 kg s/ruedas</v>
      </c>
      <c r="B113" s="12" t="str">
        <f aca="false">parametros_recargas!B66</f>
        <v>ABC</v>
      </c>
      <c r="C113" s="22" t="n">
        <f aca="false">parametros_recargas!C66</f>
        <v>3</v>
      </c>
      <c r="D113" s="23" t="n">
        <f aca="false">datos_base!$E$17*parametros_recargas!$B$40+sobrestock_sustitutos!$E$190/12</f>
        <v>9.58271736488552</v>
      </c>
      <c r="E113" s="23" t="n">
        <f aca="false">datos_base!$E$17*parametros_recargas!$C$40+sobrestock_sustitutos!$E$190/12</f>
        <v>9.58271736488552</v>
      </c>
      <c r="F113" s="23" t="n">
        <f aca="false">datos_base!$E$17*parametros_recargas!$D$40+sobrestock_sustitutos!$E$190/12</f>
        <v>9.58271736488552</v>
      </c>
      <c r="G113" s="23" t="n">
        <f aca="false">datos_base!$E$17*parametros_recargas!$E$40+sobrestock_sustitutos!$E$190/12</f>
        <v>9.58271736488552</v>
      </c>
      <c r="H113" s="23" t="n">
        <f aca="false">datos_base!$E$17*parametros_recargas!$F$40+sobrestock_sustitutos!$E$190/12</f>
        <v>9.58271736488552</v>
      </c>
      <c r="I113" s="23" t="n">
        <f aca="false">datos_base!$E$17*parametros_recargas!$G$40+sobrestock_sustitutos!$E$190/12</f>
        <v>9.58271736488552</v>
      </c>
      <c r="J113" s="23" t="n">
        <f aca="false">datos_base!$E$17*parametros_recargas!$H$40+sobrestock_sustitutos!$E$190/12</f>
        <v>9.58271736488552</v>
      </c>
      <c r="K113" s="23" t="n">
        <f aca="false">datos_base!$E$17*parametros_recargas!$I$40+sobrestock_sustitutos!$E$190/12</f>
        <v>9.58271736488552</v>
      </c>
      <c r="L113" s="23" t="n">
        <f aca="false">datos_base!$E$17*parametros_recargas!$J$40+sobrestock_sustitutos!$E$190/12</f>
        <v>9.58271736488552</v>
      </c>
      <c r="M113" s="23" t="n">
        <f aca="false">datos_base!$E$17*parametros_recargas!$K$40+sobrestock_sustitutos!$E$190/12</f>
        <v>9.58271736488552</v>
      </c>
      <c r="N113" s="23" t="n">
        <f aca="false">datos_base!$E$17*parametros_recargas!$L$40+sobrestock_sustitutos!$E$190/12</f>
        <v>9.58271736488552</v>
      </c>
      <c r="O113" s="23" t="n">
        <f aca="false">datos_base!$E$17*parametros_recargas!$M$40+sobrestock_sustitutos!$E$190/12</f>
        <v>9.58271736488552</v>
      </c>
      <c r="P113" s="7" t="n">
        <f aca="false">SUM(D113:O113)</f>
        <v>114.992608378626</v>
      </c>
      <c r="Q113" s="13" t="n">
        <f aca="false">sobrestock_sustitutos!$E$190</f>
        <v>0</v>
      </c>
    </row>
    <row r="114" customFormat="false" ht="15" hidden="false" customHeight="false" outlineLevel="0" collapsed="false">
      <c r="A114" s="12" t="str">
        <f aca="false">parametros_recargas!A67</f>
        <v>ABC 100 kg s/ruedas</v>
      </c>
      <c r="B114" s="12" t="str">
        <f aca="false">parametros_recargas!B67</f>
        <v>ABC</v>
      </c>
      <c r="C114" s="22" t="n">
        <f aca="false">parametros_recargas!C67</f>
        <v>3</v>
      </c>
      <c r="D114" s="23" t="n">
        <f aca="false">datos_base!$E$18*parametros_recargas!$B$40+sobrestock_sustitutos!$E$191/12</f>
        <v>6.47181159636155</v>
      </c>
      <c r="E114" s="23" t="n">
        <f aca="false">datos_base!$E$18*parametros_recargas!$C$40+sobrestock_sustitutos!$E$191/12</f>
        <v>6.47181159636155</v>
      </c>
      <c r="F114" s="23" t="n">
        <f aca="false">datos_base!$E$18*parametros_recargas!$D$40+sobrestock_sustitutos!$E$191/12</f>
        <v>6.47181159636155</v>
      </c>
      <c r="G114" s="23" t="n">
        <f aca="false">datos_base!$E$18*parametros_recargas!$E$40+sobrestock_sustitutos!$E$191/12</f>
        <v>6.47181159636155</v>
      </c>
      <c r="H114" s="23" t="n">
        <f aca="false">datos_base!$E$18*parametros_recargas!$F$40+sobrestock_sustitutos!$E$191/12</f>
        <v>6.47181159636155</v>
      </c>
      <c r="I114" s="23" t="n">
        <f aca="false">datos_base!$E$18*parametros_recargas!$G$40+sobrestock_sustitutos!$E$191/12</f>
        <v>6.47181159636155</v>
      </c>
      <c r="J114" s="23" t="n">
        <f aca="false">datos_base!$E$18*parametros_recargas!$H$40+sobrestock_sustitutos!$E$191/12</f>
        <v>6.47181159636155</v>
      </c>
      <c r="K114" s="23" t="n">
        <f aca="false">datos_base!$E$18*parametros_recargas!$I$40+sobrestock_sustitutos!$E$191/12</f>
        <v>6.47181159636155</v>
      </c>
      <c r="L114" s="23" t="n">
        <f aca="false">datos_base!$E$18*parametros_recargas!$J$40+sobrestock_sustitutos!$E$191/12</f>
        <v>6.47181159636155</v>
      </c>
      <c r="M114" s="23" t="n">
        <f aca="false">datos_base!$E$18*parametros_recargas!$K$40+sobrestock_sustitutos!$E$191/12</f>
        <v>6.47181159636155</v>
      </c>
      <c r="N114" s="23" t="n">
        <f aca="false">datos_base!$E$18*parametros_recargas!$L$40+sobrestock_sustitutos!$E$191/12</f>
        <v>6.47181159636155</v>
      </c>
      <c r="O114" s="23" t="n">
        <f aca="false">datos_base!$E$18*parametros_recargas!$M$40+sobrestock_sustitutos!$E$191/12</f>
        <v>6.47181159636155</v>
      </c>
      <c r="P114" s="7" t="n">
        <f aca="false">SUM(D114:O114)</f>
        <v>77.6617391563386</v>
      </c>
      <c r="Q114" s="13" t="n">
        <f aca="false">sobrestock_sustitutos!$E$191</f>
        <v>1</v>
      </c>
    </row>
    <row r="115" customFormat="false" ht="15" hidden="false" customHeight="false" outlineLevel="0" collapsed="false">
      <c r="A115" s="6" t="s">
        <v>269</v>
      </c>
      <c r="D115" s="7" t="n">
        <f aca="false">SUM(D98:D114)</f>
        <v>6772.93272476695</v>
      </c>
      <c r="E115" s="7" t="n">
        <f aca="false">SUM(E98:E114)</f>
        <v>6772.93272476695</v>
      </c>
      <c r="F115" s="7" t="n">
        <f aca="false">SUM(F98:F114)</f>
        <v>6772.93272476695</v>
      </c>
      <c r="G115" s="7" t="n">
        <f aca="false">SUM(G98:G114)</f>
        <v>6772.93272476695</v>
      </c>
      <c r="H115" s="7" t="n">
        <f aca="false">SUM(H98:H114)</f>
        <v>6772.93272476695</v>
      </c>
      <c r="I115" s="7" t="n">
        <f aca="false">SUM(I98:I114)</f>
        <v>6772.93272476695</v>
      </c>
      <c r="J115" s="7" t="n">
        <f aca="false">SUM(J98:J114)</f>
        <v>6772.93272476695</v>
      </c>
      <c r="K115" s="7" t="n">
        <f aca="false">SUM(K98:K114)</f>
        <v>6772.93272476695</v>
      </c>
      <c r="L115" s="7" t="n">
        <f aca="false">SUM(L98:L114)</f>
        <v>6772.93272476695</v>
      </c>
      <c r="M115" s="7" t="n">
        <f aca="false">SUM(M98:M114)</f>
        <v>6772.93272476695</v>
      </c>
      <c r="N115" s="7" t="n">
        <f aca="false">SUM(N98:N114)</f>
        <v>6772.93272476695</v>
      </c>
      <c r="O115" s="7" t="n">
        <f aca="false">SUM(O98:O114)</f>
        <v>6772.93272476695</v>
      </c>
      <c r="P115" s="7" t="n">
        <f aca="false">SUM(P98:P114)</f>
        <v>81275.1926972034</v>
      </c>
    </row>
    <row r="116" customFormat="false" ht="15" hidden="false" customHeight="false" outlineLevel="0" collapsed="false">
      <c r="A116" s="6" t="s">
        <v>270</v>
      </c>
    </row>
    <row r="117" customFormat="false" ht="15" hidden="false" customHeight="false" outlineLevel="0" collapsed="false">
      <c r="A117" s="4" t="s">
        <v>139</v>
      </c>
      <c r="D117" s="23" t="n">
        <f aca="false">SUMPRODUCT(($B$98:$B$114=$A117)*D$98:D$114*$C$98:$C$114)</f>
        <v>6001.63178316745</v>
      </c>
      <c r="E117" s="23" t="n">
        <f aca="false">SUMPRODUCT(($B$98:$B$114=$A117)*E$98:E$114*$C$98:$C$114)</f>
        <v>6001.63178316745</v>
      </c>
      <c r="F117" s="23" t="n">
        <f aca="false">SUMPRODUCT(($B$98:$B$114=$A117)*F$98:F$114*$C$98:$C$114)</f>
        <v>6001.63178316745</v>
      </c>
      <c r="G117" s="23" t="n">
        <f aca="false">SUMPRODUCT(($B$98:$B$114=$A117)*G$98:G$114*$C$98:$C$114)</f>
        <v>6001.63178316745</v>
      </c>
      <c r="H117" s="23" t="n">
        <f aca="false">SUMPRODUCT(($B$98:$B$114=$A117)*H$98:H$114*$C$98:$C$114)</f>
        <v>6001.63178316745</v>
      </c>
      <c r="I117" s="23" t="n">
        <f aca="false">SUMPRODUCT(($B$98:$B$114=$A117)*I$98:I$114*$C$98:$C$114)</f>
        <v>6001.63178316745</v>
      </c>
      <c r="J117" s="23" t="n">
        <f aca="false">SUMPRODUCT(($B$98:$B$114=$A117)*J$98:J$114*$C$98:$C$114)</f>
        <v>6001.63178316745</v>
      </c>
      <c r="K117" s="23" t="n">
        <f aca="false">SUMPRODUCT(($B$98:$B$114=$A117)*K$98:K$114*$C$98:$C$114)</f>
        <v>6001.63178316745</v>
      </c>
      <c r="L117" s="23" t="n">
        <f aca="false">SUMPRODUCT(($B$98:$B$114=$A117)*L$98:L$114*$C$98:$C$114)</f>
        <v>6001.63178316745</v>
      </c>
      <c r="M117" s="23" t="n">
        <f aca="false">SUMPRODUCT(($B$98:$B$114=$A117)*M$98:M$114*$C$98:$C$114)</f>
        <v>6001.63178316745</v>
      </c>
      <c r="N117" s="23" t="n">
        <f aca="false">SUMPRODUCT(($B$98:$B$114=$A117)*N$98:N$114*$C$98:$C$114)</f>
        <v>6001.63178316745</v>
      </c>
      <c r="O117" s="23" t="n">
        <f aca="false">SUMPRODUCT(($B$98:$B$114=$A117)*O$98:O$114*$C$98:$C$114)</f>
        <v>6001.63178316745</v>
      </c>
      <c r="P117" s="23" t="n">
        <f aca="false">SUMPRODUCT(($B$98:$B$114=$A117)*P$98:P$114*$C$98:$C$114)</f>
        <v>72019.5813980094</v>
      </c>
    </row>
    <row r="118" customFormat="false" ht="15" hidden="false" customHeight="false" outlineLevel="0" collapsed="false">
      <c r="A118" s="4" t="s">
        <v>145</v>
      </c>
      <c r="D118" s="23" t="n">
        <f aca="false">SUMPRODUCT(($B$98:$B$114=$A118)*D$98:D$114*$C$98:$C$114)</f>
        <v>9.54400419663871</v>
      </c>
      <c r="E118" s="23" t="n">
        <f aca="false">SUMPRODUCT(($B$98:$B$114=$A118)*E$98:E$114*$C$98:$C$114)</f>
        <v>9.54400419663871</v>
      </c>
      <c r="F118" s="23" t="n">
        <f aca="false">SUMPRODUCT(($B$98:$B$114=$A118)*F$98:F$114*$C$98:$C$114)</f>
        <v>9.54400419663871</v>
      </c>
      <c r="G118" s="23" t="n">
        <f aca="false">SUMPRODUCT(($B$98:$B$114=$A118)*G$98:G$114*$C$98:$C$114)</f>
        <v>9.54400419663871</v>
      </c>
      <c r="H118" s="23" t="n">
        <f aca="false">SUMPRODUCT(($B$98:$B$114=$A118)*H$98:H$114*$C$98:$C$114)</f>
        <v>9.54400419663871</v>
      </c>
      <c r="I118" s="23" t="n">
        <f aca="false">SUMPRODUCT(($B$98:$B$114=$A118)*I$98:I$114*$C$98:$C$114)</f>
        <v>9.54400419663871</v>
      </c>
      <c r="J118" s="23" t="n">
        <f aca="false">SUMPRODUCT(($B$98:$B$114=$A118)*J$98:J$114*$C$98:$C$114)</f>
        <v>9.54400419663871</v>
      </c>
      <c r="K118" s="23" t="n">
        <f aca="false">SUMPRODUCT(($B$98:$B$114=$A118)*K$98:K$114*$C$98:$C$114)</f>
        <v>9.54400419663871</v>
      </c>
      <c r="L118" s="23" t="n">
        <f aca="false">SUMPRODUCT(($B$98:$B$114=$A118)*L$98:L$114*$C$98:$C$114)</f>
        <v>9.54400419663871</v>
      </c>
      <c r="M118" s="23" t="n">
        <f aca="false">SUMPRODUCT(($B$98:$B$114=$A118)*M$98:M$114*$C$98:$C$114)</f>
        <v>9.54400419663871</v>
      </c>
      <c r="N118" s="23" t="n">
        <f aca="false">SUMPRODUCT(($B$98:$B$114=$A118)*N$98:N$114*$C$98:$C$114)</f>
        <v>9.54400419663871</v>
      </c>
      <c r="O118" s="23" t="n">
        <f aca="false">SUMPRODUCT(($B$98:$B$114=$A118)*O$98:O$114*$C$98:$C$114)</f>
        <v>9.54400419663871</v>
      </c>
      <c r="P118" s="23" t="n">
        <f aca="false">SUMPRODUCT(($B$98:$B$114=$A118)*P$98:P$114*$C$98:$C$114)</f>
        <v>114.528050359665</v>
      </c>
    </row>
    <row r="119" customFormat="false" ht="15" hidden="false" customHeight="false" outlineLevel="0" collapsed="false">
      <c r="A119" s="4" t="s">
        <v>151</v>
      </c>
      <c r="D119" s="23" t="n">
        <f aca="false">SUMPRODUCT(($B$98:$B$114=$A119)*D$98:D$114*$C$98:$C$114)</f>
        <v>8.87830906059113</v>
      </c>
      <c r="E119" s="23" t="n">
        <f aca="false">SUMPRODUCT(($B$98:$B$114=$A119)*E$98:E$114*$C$98:$C$114)</f>
        <v>8.87830906059113</v>
      </c>
      <c r="F119" s="23" t="n">
        <f aca="false">SUMPRODUCT(($B$98:$B$114=$A119)*F$98:F$114*$C$98:$C$114)</f>
        <v>8.87830906059113</v>
      </c>
      <c r="G119" s="23" t="n">
        <f aca="false">SUMPRODUCT(($B$98:$B$114=$A119)*G$98:G$114*$C$98:$C$114)</f>
        <v>8.87830906059113</v>
      </c>
      <c r="H119" s="23" t="n">
        <f aca="false">SUMPRODUCT(($B$98:$B$114=$A119)*H$98:H$114*$C$98:$C$114)</f>
        <v>8.87830906059113</v>
      </c>
      <c r="I119" s="23" t="n">
        <f aca="false">SUMPRODUCT(($B$98:$B$114=$A119)*I$98:I$114*$C$98:$C$114)</f>
        <v>8.87830906059113</v>
      </c>
      <c r="J119" s="23" t="n">
        <f aca="false">SUMPRODUCT(($B$98:$B$114=$A119)*J$98:J$114*$C$98:$C$114)</f>
        <v>8.87830906059113</v>
      </c>
      <c r="K119" s="23" t="n">
        <f aca="false">SUMPRODUCT(($B$98:$B$114=$A119)*K$98:K$114*$C$98:$C$114)</f>
        <v>8.87830906059113</v>
      </c>
      <c r="L119" s="23" t="n">
        <f aca="false">SUMPRODUCT(($B$98:$B$114=$A119)*L$98:L$114*$C$98:$C$114)</f>
        <v>8.87830906059113</v>
      </c>
      <c r="M119" s="23" t="n">
        <f aca="false">SUMPRODUCT(($B$98:$B$114=$A119)*M$98:M$114*$C$98:$C$114)</f>
        <v>8.87830906059113</v>
      </c>
      <c r="N119" s="23" t="n">
        <f aca="false">SUMPRODUCT(($B$98:$B$114=$A119)*N$98:N$114*$C$98:$C$114)</f>
        <v>8.87830906059113</v>
      </c>
      <c r="O119" s="23" t="n">
        <f aca="false">SUMPRODUCT(($B$98:$B$114=$A119)*O$98:O$114*$C$98:$C$114)</f>
        <v>8.87830906059113</v>
      </c>
      <c r="P119" s="23" t="n">
        <f aca="false">SUMPRODUCT(($B$98:$B$114=$A119)*P$98:P$114*$C$98:$C$114)</f>
        <v>106.539708727094</v>
      </c>
    </row>
    <row r="120" customFormat="false" ht="15" hidden="false" customHeight="false" outlineLevel="0" collapsed="false">
      <c r="A120" s="4" t="s">
        <v>142</v>
      </c>
      <c r="D120" s="23" t="n">
        <f aca="false">SUMPRODUCT(($B$98:$B$114=$A120)*D$98:D$114*$C$98:$C$114)</f>
        <v>164.504914729824</v>
      </c>
      <c r="E120" s="23" t="n">
        <f aca="false">SUMPRODUCT(($B$98:$B$114=$A120)*E$98:E$114*$C$98:$C$114)</f>
        <v>164.504914729824</v>
      </c>
      <c r="F120" s="23" t="n">
        <f aca="false">SUMPRODUCT(($B$98:$B$114=$A120)*F$98:F$114*$C$98:$C$114)</f>
        <v>164.504914729824</v>
      </c>
      <c r="G120" s="23" t="n">
        <f aca="false">SUMPRODUCT(($B$98:$B$114=$A120)*G$98:G$114*$C$98:$C$114)</f>
        <v>164.504914729824</v>
      </c>
      <c r="H120" s="23" t="n">
        <f aca="false">SUMPRODUCT(($B$98:$B$114=$A120)*H$98:H$114*$C$98:$C$114)</f>
        <v>164.504914729824</v>
      </c>
      <c r="I120" s="23" t="n">
        <f aca="false">SUMPRODUCT(($B$98:$B$114=$A120)*I$98:I$114*$C$98:$C$114)</f>
        <v>164.504914729824</v>
      </c>
      <c r="J120" s="23" t="n">
        <f aca="false">SUMPRODUCT(($B$98:$B$114=$A120)*J$98:J$114*$C$98:$C$114)</f>
        <v>164.504914729824</v>
      </c>
      <c r="K120" s="23" t="n">
        <f aca="false">SUMPRODUCT(($B$98:$B$114=$A120)*K$98:K$114*$C$98:$C$114)</f>
        <v>164.504914729824</v>
      </c>
      <c r="L120" s="23" t="n">
        <f aca="false">SUMPRODUCT(($B$98:$B$114=$A120)*L$98:L$114*$C$98:$C$114)</f>
        <v>164.504914729824</v>
      </c>
      <c r="M120" s="23" t="n">
        <f aca="false">SUMPRODUCT(($B$98:$B$114=$A120)*M$98:M$114*$C$98:$C$114)</f>
        <v>164.504914729824</v>
      </c>
      <c r="N120" s="23" t="n">
        <f aca="false">SUMPRODUCT(($B$98:$B$114=$A120)*N$98:N$114*$C$98:$C$114)</f>
        <v>164.504914729824</v>
      </c>
      <c r="O120" s="23" t="n">
        <f aca="false">SUMPRODUCT(($B$98:$B$114=$A120)*O$98:O$114*$C$98:$C$114)</f>
        <v>164.504914729824</v>
      </c>
      <c r="P120" s="23" t="n">
        <f aca="false">SUMPRODUCT(($B$98:$B$114=$A120)*P$98:P$114*$C$98:$C$114)</f>
        <v>1974.05897675789</v>
      </c>
    </row>
    <row r="121" customFormat="false" ht="15" hidden="false" customHeight="false" outlineLevel="0" collapsed="false">
      <c r="A121" s="4" t="s">
        <v>143</v>
      </c>
      <c r="D121" s="23" t="n">
        <f aca="false">SUMPRODUCT(($B$98:$B$114=$A121)*D$98:D$114*$C$98:$C$114)</f>
        <v>81.6771089258376</v>
      </c>
      <c r="E121" s="23" t="n">
        <f aca="false">SUMPRODUCT(($B$98:$B$114=$A121)*E$98:E$114*$C$98:$C$114)</f>
        <v>81.6771089258376</v>
      </c>
      <c r="F121" s="23" t="n">
        <f aca="false">SUMPRODUCT(($B$98:$B$114=$A121)*F$98:F$114*$C$98:$C$114)</f>
        <v>81.6771089258376</v>
      </c>
      <c r="G121" s="23" t="n">
        <f aca="false">SUMPRODUCT(($B$98:$B$114=$A121)*G$98:G$114*$C$98:$C$114)</f>
        <v>81.6771089258376</v>
      </c>
      <c r="H121" s="23" t="n">
        <f aca="false">SUMPRODUCT(($B$98:$B$114=$A121)*H$98:H$114*$C$98:$C$114)</f>
        <v>81.6771089258376</v>
      </c>
      <c r="I121" s="23" t="n">
        <f aca="false">SUMPRODUCT(($B$98:$B$114=$A121)*I$98:I$114*$C$98:$C$114)</f>
        <v>81.6771089258376</v>
      </c>
      <c r="J121" s="23" t="n">
        <f aca="false">SUMPRODUCT(($B$98:$B$114=$A121)*J$98:J$114*$C$98:$C$114)</f>
        <v>81.6771089258376</v>
      </c>
      <c r="K121" s="23" t="n">
        <f aca="false">SUMPRODUCT(($B$98:$B$114=$A121)*K$98:K$114*$C$98:$C$114)</f>
        <v>81.6771089258376</v>
      </c>
      <c r="L121" s="23" t="n">
        <f aca="false">SUMPRODUCT(($B$98:$B$114=$A121)*L$98:L$114*$C$98:$C$114)</f>
        <v>81.6771089258376</v>
      </c>
      <c r="M121" s="23" t="n">
        <f aca="false">SUMPRODUCT(($B$98:$B$114=$A121)*M$98:M$114*$C$98:$C$114)</f>
        <v>81.6771089258376</v>
      </c>
      <c r="N121" s="23" t="n">
        <f aca="false">SUMPRODUCT(($B$98:$B$114=$A121)*N$98:N$114*$C$98:$C$114)</f>
        <v>81.6771089258376</v>
      </c>
      <c r="O121" s="23" t="n">
        <f aca="false">SUMPRODUCT(($B$98:$B$114=$A121)*O$98:O$114*$C$98:$C$114)</f>
        <v>81.6771089258376</v>
      </c>
      <c r="P121" s="23" t="n">
        <f aca="false">SUMPRODUCT(($B$98:$B$114=$A121)*P$98:P$114*$C$98:$C$114)</f>
        <v>980.125307110051</v>
      </c>
    </row>
    <row r="122" customFormat="false" ht="15" hidden="false" customHeight="false" outlineLevel="0" collapsed="false">
      <c r="A122" s="4" t="s">
        <v>146</v>
      </c>
      <c r="D122" s="23" t="n">
        <f aca="false">SUMPRODUCT(($B$98:$B$114=$A122)*D$98:D$114*$C$98:$C$114)</f>
        <v>80.8512747102259</v>
      </c>
      <c r="E122" s="23" t="n">
        <f aca="false">SUMPRODUCT(($B$98:$B$114=$A122)*E$98:E$114*$C$98:$C$114)</f>
        <v>80.8512747102259</v>
      </c>
      <c r="F122" s="23" t="n">
        <f aca="false">SUMPRODUCT(($B$98:$B$114=$A122)*F$98:F$114*$C$98:$C$114)</f>
        <v>80.8512747102259</v>
      </c>
      <c r="G122" s="23" t="n">
        <f aca="false">SUMPRODUCT(($B$98:$B$114=$A122)*G$98:G$114*$C$98:$C$114)</f>
        <v>80.8512747102259</v>
      </c>
      <c r="H122" s="23" t="n">
        <f aca="false">SUMPRODUCT(($B$98:$B$114=$A122)*H$98:H$114*$C$98:$C$114)</f>
        <v>80.8512747102259</v>
      </c>
      <c r="I122" s="23" t="n">
        <f aca="false">SUMPRODUCT(($B$98:$B$114=$A122)*I$98:I$114*$C$98:$C$114)</f>
        <v>80.8512747102259</v>
      </c>
      <c r="J122" s="23" t="n">
        <f aca="false">SUMPRODUCT(($B$98:$B$114=$A122)*J$98:J$114*$C$98:$C$114)</f>
        <v>80.8512747102259</v>
      </c>
      <c r="K122" s="23" t="n">
        <f aca="false">SUMPRODUCT(($B$98:$B$114=$A122)*K$98:K$114*$C$98:$C$114)</f>
        <v>80.8512747102259</v>
      </c>
      <c r="L122" s="23" t="n">
        <f aca="false">SUMPRODUCT(($B$98:$B$114=$A122)*L$98:L$114*$C$98:$C$114)</f>
        <v>80.8512747102259</v>
      </c>
      <c r="M122" s="23" t="n">
        <f aca="false">SUMPRODUCT(($B$98:$B$114=$A122)*M$98:M$114*$C$98:$C$114)</f>
        <v>80.8512747102259</v>
      </c>
      <c r="N122" s="23" t="n">
        <f aca="false">SUMPRODUCT(($B$98:$B$114=$A122)*N$98:N$114*$C$98:$C$114)</f>
        <v>80.8512747102259</v>
      </c>
      <c r="O122" s="23" t="n">
        <f aca="false">SUMPRODUCT(($B$98:$B$114=$A122)*O$98:O$114*$C$98:$C$114)</f>
        <v>80.8512747102259</v>
      </c>
      <c r="P122" s="23" t="n">
        <f aca="false">SUMPRODUCT(($B$98:$B$114=$A122)*P$98:P$114*$C$98:$C$114)</f>
        <v>970.21529652271</v>
      </c>
    </row>
    <row r="123" customFormat="false" ht="15" hidden="false" customHeight="false" outlineLevel="0" collapsed="false">
      <c r="A123" s="4" t="s">
        <v>147</v>
      </c>
      <c r="D123" s="23" t="n">
        <f aca="false">SUMPRODUCT(($B$98:$B$114=$A123)*D$98:D$114*$C$98:$C$114)</f>
        <v>595.747466685219</v>
      </c>
      <c r="E123" s="23" t="n">
        <f aca="false">SUMPRODUCT(($B$98:$B$114=$A123)*E$98:E$114*$C$98:$C$114)</f>
        <v>595.747466685219</v>
      </c>
      <c r="F123" s="23" t="n">
        <f aca="false">SUMPRODUCT(($B$98:$B$114=$A123)*F$98:F$114*$C$98:$C$114)</f>
        <v>595.747466685219</v>
      </c>
      <c r="G123" s="23" t="n">
        <f aca="false">SUMPRODUCT(($B$98:$B$114=$A123)*G$98:G$114*$C$98:$C$114)</f>
        <v>595.747466685219</v>
      </c>
      <c r="H123" s="23" t="n">
        <f aca="false">SUMPRODUCT(($B$98:$B$114=$A123)*H$98:H$114*$C$98:$C$114)</f>
        <v>595.747466685219</v>
      </c>
      <c r="I123" s="23" t="n">
        <f aca="false">SUMPRODUCT(($B$98:$B$114=$A123)*I$98:I$114*$C$98:$C$114)</f>
        <v>595.747466685219</v>
      </c>
      <c r="J123" s="23" t="n">
        <f aca="false">SUMPRODUCT(($B$98:$B$114=$A123)*J$98:J$114*$C$98:$C$114)</f>
        <v>595.747466685219</v>
      </c>
      <c r="K123" s="23" t="n">
        <f aca="false">SUMPRODUCT(($B$98:$B$114=$A123)*K$98:K$114*$C$98:$C$114)</f>
        <v>595.747466685219</v>
      </c>
      <c r="L123" s="23" t="n">
        <f aca="false">SUMPRODUCT(($B$98:$B$114=$A123)*L$98:L$114*$C$98:$C$114)</f>
        <v>595.747466685219</v>
      </c>
      <c r="M123" s="23" t="n">
        <f aca="false">SUMPRODUCT(($B$98:$B$114=$A123)*M$98:M$114*$C$98:$C$114)</f>
        <v>595.747466685219</v>
      </c>
      <c r="N123" s="23" t="n">
        <f aca="false">SUMPRODUCT(($B$98:$B$114=$A123)*N$98:N$114*$C$98:$C$114)</f>
        <v>595.747466685219</v>
      </c>
      <c r="O123" s="23" t="n">
        <f aca="false">SUMPRODUCT(($B$98:$B$114=$A123)*O$98:O$114*$C$98:$C$114)</f>
        <v>595.747466685219</v>
      </c>
      <c r="P123" s="23" t="n">
        <f aca="false">SUMPRODUCT(($B$98:$B$114=$A123)*P$98:P$114*$C$98:$C$114)</f>
        <v>7148.96960022263</v>
      </c>
    </row>
    <row r="124" customFormat="false" ht="15" hidden="false" customHeight="false" outlineLevel="0" collapsed="false">
      <c r="A124" s="4" t="s">
        <v>150</v>
      </c>
      <c r="D124" s="23" t="n">
        <f aca="false">SUMPRODUCT(($B$98:$B$114=$A124)*D$98:D$114*$C$98:$C$114)</f>
        <v>23.8512121989586</v>
      </c>
      <c r="E124" s="23" t="n">
        <f aca="false">SUMPRODUCT(($B$98:$B$114=$A124)*E$98:E$114*$C$98:$C$114)</f>
        <v>23.8512121989586</v>
      </c>
      <c r="F124" s="23" t="n">
        <f aca="false">SUMPRODUCT(($B$98:$B$114=$A124)*F$98:F$114*$C$98:$C$114)</f>
        <v>23.8512121989586</v>
      </c>
      <c r="G124" s="23" t="n">
        <f aca="false">SUMPRODUCT(($B$98:$B$114=$A124)*G$98:G$114*$C$98:$C$114)</f>
        <v>23.8512121989586</v>
      </c>
      <c r="H124" s="23" t="n">
        <f aca="false">SUMPRODUCT(($B$98:$B$114=$A124)*H$98:H$114*$C$98:$C$114)</f>
        <v>23.8512121989586</v>
      </c>
      <c r="I124" s="23" t="n">
        <f aca="false">SUMPRODUCT(($B$98:$B$114=$A124)*I$98:I$114*$C$98:$C$114)</f>
        <v>23.8512121989586</v>
      </c>
      <c r="J124" s="23" t="n">
        <f aca="false">SUMPRODUCT(($B$98:$B$114=$A124)*J$98:J$114*$C$98:$C$114)</f>
        <v>23.8512121989586</v>
      </c>
      <c r="K124" s="23" t="n">
        <f aca="false">SUMPRODUCT(($B$98:$B$114=$A124)*K$98:K$114*$C$98:$C$114)</f>
        <v>23.8512121989586</v>
      </c>
      <c r="L124" s="23" t="n">
        <f aca="false">SUMPRODUCT(($B$98:$B$114=$A124)*L$98:L$114*$C$98:$C$114)</f>
        <v>23.8512121989586</v>
      </c>
      <c r="M124" s="23" t="n">
        <f aca="false">SUMPRODUCT(($B$98:$B$114=$A124)*M$98:M$114*$C$98:$C$114)</f>
        <v>23.8512121989586</v>
      </c>
      <c r="N124" s="23" t="n">
        <f aca="false">SUMPRODUCT(($B$98:$B$114=$A124)*N$98:N$114*$C$98:$C$114)</f>
        <v>23.8512121989586</v>
      </c>
      <c r="O124" s="23" t="n">
        <f aca="false">SUMPRODUCT(($B$98:$B$114=$A124)*O$98:O$114*$C$98:$C$114)</f>
        <v>23.8512121989586</v>
      </c>
      <c r="P124" s="23" t="n">
        <f aca="false">SUMPRODUCT(($B$98:$B$114=$A124)*P$98:P$114*$C$98:$C$114)</f>
        <v>286.214546387503</v>
      </c>
    </row>
    <row r="125" customFormat="false" ht="15" hidden="false" customHeight="false" outlineLevel="0" collapsed="false">
      <c r="A125" s="6" t="s">
        <v>271</v>
      </c>
      <c r="D125" s="24" t="n">
        <f aca="false">SUMPRODUCT(D$98:D$114*parametros_recargas!$D$51:$D$67)</f>
        <v>244.138384926708</v>
      </c>
      <c r="E125" s="24" t="n">
        <f aca="false">SUMPRODUCT(E$98:E$114*parametros_recargas!$D$51:$D$67)</f>
        <v>244.138384926708</v>
      </c>
      <c r="F125" s="24" t="n">
        <f aca="false">SUMPRODUCT(F$98:F$114*parametros_recargas!$D$51:$D$67)</f>
        <v>244.138384926708</v>
      </c>
      <c r="G125" s="24" t="n">
        <f aca="false">SUMPRODUCT(G$98:G$114*parametros_recargas!$D$51:$D$67)</f>
        <v>244.138384926708</v>
      </c>
      <c r="H125" s="24" t="n">
        <f aca="false">SUMPRODUCT(H$98:H$114*parametros_recargas!$D$51:$D$67)</f>
        <v>244.138384926708</v>
      </c>
      <c r="I125" s="24" t="n">
        <f aca="false">SUMPRODUCT(I$98:I$114*parametros_recargas!$D$51:$D$67)</f>
        <v>244.138384926708</v>
      </c>
      <c r="J125" s="24" t="n">
        <f aca="false">SUMPRODUCT(J$98:J$114*parametros_recargas!$D$51:$D$67)</f>
        <v>244.138384926708</v>
      </c>
      <c r="K125" s="24" t="n">
        <f aca="false">SUMPRODUCT(K$98:K$114*parametros_recargas!$D$51:$D$67)</f>
        <v>244.138384926708</v>
      </c>
      <c r="L125" s="24" t="n">
        <f aca="false">SUMPRODUCT(L$98:L$114*parametros_recargas!$D$51:$D$67)</f>
        <v>244.138384926708</v>
      </c>
      <c r="M125" s="24" t="n">
        <f aca="false">SUMPRODUCT(M$98:M$114*parametros_recargas!$D$51:$D$67)</f>
        <v>244.138384926708</v>
      </c>
      <c r="N125" s="24" t="n">
        <f aca="false">SUMPRODUCT(N$98:N$114*parametros_recargas!$D$51:$D$67)</f>
        <v>244.138384926708</v>
      </c>
      <c r="O125" s="24" t="n">
        <f aca="false">SUMPRODUCT(O$98:O$114*parametros_recargas!$D$51:$D$67)</f>
        <v>244.138384926708</v>
      </c>
      <c r="P125" s="24" t="n">
        <f aca="false">SUMPRODUCT(P$98:P$114*parametros_recargas!$D$51:$D$67)</f>
        <v>2929.66061912049</v>
      </c>
    </row>
    <row r="129" customFormat="false" ht="23.85" hidden="false" customHeight="false" outlineLevel="0" collapsed="false">
      <c r="A129" s="21" t="n">
        <v>2030</v>
      </c>
      <c r="B129" s="3" t="s">
        <v>266</v>
      </c>
      <c r="C129" s="3" t="s">
        <v>267</v>
      </c>
      <c r="D129" s="3" t="s">
        <v>120</v>
      </c>
      <c r="E129" s="3" t="s">
        <v>121</v>
      </c>
      <c r="F129" s="3" t="s">
        <v>122</v>
      </c>
      <c r="G129" s="3" t="s">
        <v>123</v>
      </c>
      <c r="H129" s="3" t="s">
        <v>124</v>
      </c>
      <c r="I129" s="3" t="s">
        <v>125</v>
      </c>
      <c r="J129" s="3" t="s">
        <v>126</v>
      </c>
      <c r="K129" s="3" t="s">
        <v>127</v>
      </c>
      <c r="L129" s="3" t="s">
        <v>128</v>
      </c>
      <c r="M129" s="3" t="s">
        <v>129</v>
      </c>
      <c r="N129" s="3" t="s">
        <v>130</v>
      </c>
      <c r="O129" s="3" t="s">
        <v>131</v>
      </c>
      <c r="P129" s="3" t="s">
        <v>132</v>
      </c>
      <c r="Q129" s="3" t="s">
        <v>268</v>
      </c>
    </row>
    <row r="130" customFormat="false" ht="15" hidden="false" customHeight="false" outlineLevel="0" collapsed="false">
      <c r="A130" s="12" t="str">
        <f aca="false">parametros_recargas!A51</f>
        <v>ABC 1 kg</v>
      </c>
      <c r="B130" s="12" t="str">
        <f aca="false">parametros_recargas!B51</f>
        <v>ABC</v>
      </c>
      <c r="C130" s="22" t="n">
        <f aca="false">parametros_recargas!C51</f>
        <v>1</v>
      </c>
      <c r="D130" s="23" t="n">
        <f aca="false">datos_base!$F$2*parametros_recargas!$B$41+sobrestock_sustitutos!$F$175/12</f>
        <v>4998.37255201392</v>
      </c>
      <c r="E130" s="23" t="n">
        <f aca="false">datos_base!$F$2*parametros_recargas!$C$41+sobrestock_sustitutos!$F$175/12</f>
        <v>4998.37255201392</v>
      </c>
      <c r="F130" s="23" t="n">
        <f aca="false">datos_base!$F$2*parametros_recargas!$D$41+sobrestock_sustitutos!$F$175/12</f>
        <v>4998.37255201392</v>
      </c>
      <c r="G130" s="23" t="n">
        <f aca="false">datos_base!$F$2*parametros_recargas!$E$41+sobrestock_sustitutos!$F$175/12</f>
        <v>4998.37255201392</v>
      </c>
      <c r="H130" s="23" t="n">
        <f aca="false">datos_base!$F$2*parametros_recargas!$F$41+sobrestock_sustitutos!$F$175/12</f>
        <v>4998.37255201392</v>
      </c>
      <c r="I130" s="23" t="n">
        <f aca="false">datos_base!$F$2*parametros_recargas!$G$41+sobrestock_sustitutos!$F$175/12</f>
        <v>4998.37255201392</v>
      </c>
      <c r="J130" s="23" t="n">
        <f aca="false">datos_base!$F$2*parametros_recargas!$H$41+sobrestock_sustitutos!$F$175/12</f>
        <v>4998.37255201392</v>
      </c>
      <c r="K130" s="23" t="n">
        <f aca="false">datos_base!$F$2*parametros_recargas!$I$41+sobrestock_sustitutos!$F$175/12</f>
        <v>4998.37255201392</v>
      </c>
      <c r="L130" s="23" t="n">
        <f aca="false">datos_base!$F$2*parametros_recargas!$J$41+sobrestock_sustitutos!$F$175/12</f>
        <v>4998.37255201392</v>
      </c>
      <c r="M130" s="23" t="n">
        <f aca="false">datos_base!$F$2*parametros_recargas!$K$41+sobrestock_sustitutos!$F$175/12</f>
        <v>4998.37255201392</v>
      </c>
      <c r="N130" s="23" t="n">
        <f aca="false">datos_base!$F$2*parametros_recargas!$L$41+sobrestock_sustitutos!$F$175/12</f>
        <v>4998.37255201392</v>
      </c>
      <c r="O130" s="23" t="n">
        <f aca="false">datos_base!$F$2*parametros_recargas!$M$41+sobrestock_sustitutos!$F$175/12</f>
        <v>4998.37255201392</v>
      </c>
      <c r="P130" s="7" t="n">
        <f aca="false">SUM(D130:O130)</f>
        <v>59980.470624167</v>
      </c>
      <c r="Q130" s="13" t="n">
        <f aca="false">sobrestock_sustitutos!$F$175</f>
        <v>0</v>
      </c>
    </row>
    <row r="131" customFormat="false" ht="15" hidden="false" customHeight="false" outlineLevel="0" collapsed="false">
      <c r="A131" s="12" t="str">
        <f aca="false">parametros_recargas!A52</f>
        <v>ABC 2,5 kg</v>
      </c>
      <c r="B131" s="12" t="str">
        <f aca="false">parametros_recargas!B52</f>
        <v>ABC</v>
      </c>
      <c r="C131" s="22" t="n">
        <f aca="false">parametros_recargas!C52</f>
        <v>1</v>
      </c>
      <c r="D131" s="23" t="n">
        <f aca="false">datos_base!$F$3*parametros_recargas!$B$41+sobrestock_sustitutos!$F$176/12</f>
        <v>465.663899814915</v>
      </c>
      <c r="E131" s="23" t="n">
        <f aca="false">datos_base!$F$3*parametros_recargas!$C$41+sobrestock_sustitutos!$F$176/12</f>
        <v>465.663899814915</v>
      </c>
      <c r="F131" s="23" t="n">
        <f aca="false">datos_base!$F$3*parametros_recargas!$D$41+sobrestock_sustitutos!$F$176/12</f>
        <v>465.663899814915</v>
      </c>
      <c r="G131" s="23" t="n">
        <f aca="false">datos_base!$F$3*parametros_recargas!$E$41+sobrestock_sustitutos!$F$176/12</f>
        <v>465.663899814915</v>
      </c>
      <c r="H131" s="23" t="n">
        <f aca="false">datos_base!$F$3*parametros_recargas!$F$41+sobrestock_sustitutos!$F$176/12</f>
        <v>465.663899814915</v>
      </c>
      <c r="I131" s="23" t="n">
        <f aca="false">datos_base!$F$3*parametros_recargas!$G$41+sobrestock_sustitutos!$F$176/12</f>
        <v>465.663899814915</v>
      </c>
      <c r="J131" s="23" t="n">
        <f aca="false">datos_base!$F$3*parametros_recargas!$H$41+sobrestock_sustitutos!$F$176/12</f>
        <v>465.663899814915</v>
      </c>
      <c r="K131" s="23" t="n">
        <f aca="false">datos_base!$F$3*parametros_recargas!$I$41+sobrestock_sustitutos!$F$176/12</f>
        <v>465.663899814915</v>
      </c>
      <c r="L131" s="23" t="n">
        <f aca="false">datos_base!$F$3*parametros_recargas!$J$41+sobrestock_sustitutos!$F$176/12</f>
        <v>465.663899814915</v>
      </c>
      <c r="M131" s="23" t="n">
        <f aca="false">datos_base!$F$3*parametros_recargas!$K$41+sobrestock_sustitutos!$F$176/12</f>
        <v>465.663899814915</v>
      </c>
      <c r="N131" s="23" t="n">
        <f aca="false">datos_base!$F$3*parametros_recargas!$L$41+sobrestock_sustitutos!$F$176/12</f>
        <v>465.663899814915</v>
      </c>
      <c r="O131" s="23" t="n">
        <f aca="false">datos_base!$F$3*parametros_recargas!$M$41+sobrestock_sustitutos!$F$176/12</f>
        <v>465.663899814915</v>
      </c>
      <c r="P131" s="7" t="n">
        <f aca="false">SUM(D131:O131)</f>
        <v>5587.96679777898</v>
      </c>
      <c r="Q131" s="13" t="n">
        <f aca="false">sobrestock_sustitutos!$F$176</f>
        <v>0</v>
      </c>
    </row>
    <row r="132" customFormat="false" ht="15" hidden="false" customHeight="false" outlineLevel="0" collapsed="false">
      <c r="A132" s="12" t="str">
        <f aca="false">parametros_recargas!A53</f>
        <v>ABC 5 kg</v>
      </c>
      <c r="B132" s="12" t="str">
        <f aca="false">parametros_recargas!B53</f>
        <v>ABC</v>
      </c>
      <c r="C132" s="22" t="n">
        <f aca="false">parametros_recargas!C53</f>
        <v>1</v>
      </c>
      <c r="D132" s="23" t="n">
        <f aca="false">datos_base!$F$4*parametros_recargas!$B$41+sobrestock_sustitutos!$F$177/12</f>
        <v>2946.06187698713</v>
      </c>
      <c r="E132" s="23" t="n">
        <f aca="false">datos_base!$F$4*parametros_recargas!$C$41+sobrestock_sustitutos!$F$177/12</f>
        <v>2946.06187698713</v>
      </c>
      <c r="F132" s="23" t="n">
        <f aca="false">datos_base!$F$4*parametros_recargas!$D$41+sobrestock_sustitutos!$F$177/12</f>
        <v>2946.06187698713</v>
      </c>
      <c r="G132" s="23" t="n">
        <f aca="false">datos_base!$F$4*parametros_recargas!$E$41+sobrestock_sustitutos!$F$177/12</f>
        <v>2946.06187698713</v>
      </c>
      <c r="H132" s="23" t="n">
        <f aca="false">datos_base!$F$4*parametros_recargas!$F$41+sobrestock_sustitutos!$F$177/12</f>
        <v>2946.06187698713</v>
      </c>
      <c r="I132" s="23" t="n">
        <f aca="false">datos_base!$F$4*parametros_recargas!$G$41+sobrestock_sustitutos!$F$177/12</f>
        <v>2946.06187698713</v>
      </c>
      <c r="J132" s="23" t="n">
        <f aca="false">datos_base!$F$4*parametros_recargas!$H$41+sobrestock_sustitutos!$F$177/12</f>
        <v>2946.06187698713</v>
      </c>
      <c r="K132" s="23" t="n">
        <f aca="false">datos_base!$F$4*parametros_recargas!$I$41+sobrestock_sustitutos!$F$177/12</f>
        <v>2946.06187698713</v>
      </c>
      <c r="L132" s="23" t="n">
        <f aca="false">datos_base!$F$4*parametros_recargas!$J$41+sobrestock_sustitutos!$F$177/12</f>
        <v>2946.06187698713</v>
      </c>
      <c r="M132" s="23" t="n">
        <f aca="false">datos_base!$F$4*parametros_recargas!$K$41+sobrestock_sustitutos!$F$177/12</f>
        <v>2946.06187698713</v>
      </c>
      <c r="N132" s="23" t="n">
        <f aca="false">datos_base!$F$4*parametros_recargas!$L$41+sobrestock_sustitutos!$F$177/12</f>
        <v>2946.06187698713</v>
      </c>
      <c r="O132" s="23" t="n">
        <f aca="false">datos_base!$F$4*parametros_recargas!$M$41+sobrestock_sustitutos!$F$177/12</f>
        <v>2946.06187698713</v>
      </c>
      <c r="P132" s="7" t="n">
        <f aca="false">SUM(D132:O132)</f>
        <v>35352.7425238456</v>
      </c>
      <c r="Q132" s="13" t="n">
        <f aca="false">sobrestock_sustitutos!$F$177</f>
        <v>898</v>
      </c>
    </row>
    <row r="133" customFormat="false" ht="15" hidden="false" customHeight="false" outlineLevel="0" collapsed="false">
      <c r="A133" s="12" t="str">
        <f aca="false">parametros_recargas!A54</f>
        <v>ABC 10 kg</v>
      </c>
      <c r="B133" s="12" t="str">
        <f aca="false">parametros_recargas!B54</f>
        <v>ABC</v>
      </c>
      <c r="C133" s="22" t="n">
        <f aca="false">parametros_recargas!C54</f>
        <v>1</v>
      </c>
      <c r="D133" s="23" t="n">
        <f aca="false">datos_base!$F$5*parametros_recargas!$B$41+sobrestock_sustitutos!$F$178/12</f>
        <v>172.579221783004</v>
      </c>
      <c r="E133" s="23" t="n">
        <f aca="false">datos_base!$F$5*parametros_recargas!$C$41+sobrestock_sustitutos!$F$178/12</f>
        <v>172.579221783004</v>
      </c>
      <c r="F133" s="23" t="n">
        <f aca="false">datos_base!$F$5*parametros_recargas!$D$41+sobrestock_sustitutos!$F$178/12</f>
        <v>172.579221783004</v>
      </c>
      <c r="G133" s="23" t="n">
        <f aca="false">datos_base!$F$5*parametros_recargas!$E$41+sobrestock_sustitutos!$F$178/12</f>
        <v>172.579221783004</v>
      </c>
      <c r="H133" s="23" t="n">
        <f aca="false">datos_base!$F$5*parametros_recargas!$F$41+sobrestock_sustitutos!$F$178/12</f>
        <v>172.579221783004</v>
      </c>
      <c r="I133" s="23" t="n">
        <f aca="false">datos_base!$F$5*parametros_recargas!$G$41+sobrestock_sustitutos!$F$178/12</f>
        <v>172.579221783004</v>
      </c>
      <c r="J133" s="23" t="n">
        <f aca="false">datos_base!$F$5*parametros_recargas!$H$41+sobrestock_sustitutos!$F$178/12</f>
        <v>172.579221783004</v>
      </c>
      <c r="K133" s="23" t="n">
        <f aca="false">datos_base!$F$5*parametros_recargas!$I$41+sobrestock_sustitutos!$F$178/12</f>
        <v>172.579221783004</v>
      </c>
      <c r="L133" s="23" t="n">
        <f aca="false">datos_base!$F$5*parametros_recargas!$J$41+sobrestock_sustitutos!$F$178/12</f>
        <v>172.579221783004</v>
      </c>
      <c r="M133" s="23" t="n">
        <f aca="false">datos_base!$F$5*parametros_recargas!$K$41+sobrestock_sustitutos!$F$178/12</f>
        <v>172.579221783004</v>
      </c>
      <c r="N133" s="23" t="n">
        <f aca="false">datos_base!$F$5*parametros_recargas!$L$41+sobrestock_sustitutos!$F$178/12</f>
        <v>172.579221783004</v>
      </c>
      <c r="O133" s="23" t="n">
        <f aca="false">datos_base!$F$5*parametros_recargas!$M$41+sobrestock_sustitutos!$F$178/12</f>
        <v>172.579221783004</v>
      </c>
      <c r="P133" s="7" t="n">
        <f aca="false">SUM(D133:O133)</f>
        <v>2070.95066139605</v>
      </c>
      <c r="Q133" s="13" t="n">
        <f aca="false">sobrestock_sustitutos!$F$178</f>
        <v>46</v>
      </c>
    </row>
    <row r="134" customFormat="false" ht="15" hidden="false" customHeight="false" outlineLevel="0" collapsed="false">
      <c r="A134" s="12" t="str">
        <f aca="false">parametros_recargas!A55</f>
        <v>Agua 10 l</v>
      </c>
      <c r="B134" s="12" t="str">
        <f aca="false">parametros_recargas!B55</f>
        <v>Agua</v>
      </c>
      <c r="C134" s="22" t="n">
        <f aca="false">parametros_recargas!C55</f>
        <v>1</v>
      </c>
      <c r="D134" s="23" t="n">
        <f aca="false">datos_base!$F$6*parametros_recargas!$B$41+sobrestock_sustitutos!$F$179/12</f>
        <v>239.664936122919</v>
      </c>
      <c r="E134" s="23" t="n">
        <f aca="false">datos_base!$F$6*parametros_recargas!$C$41+sobrestock_sustitutos!$F$179/12</f>
        <v>239.664936122919</v>
      </c>
      <c r="F134" s="23" t="n">
        <f aca="false">datos_base!$F$6*parametros_recargas!$D$41+sobrestock_sustitutos!$F$179/12</f>
        <v>239.664936122919</v>
      </c>
      <c r="G134" s="23" t="n">
        <f aca="false">datos_base!$F$6*parametros_recargas!$E$41+sobrestock_sustitutos!$F$179/12</f>
        <v>239.664936122919</v>
      </c>
      <c r="H134" s="23" t="n">
        <f aca="false">datos_base!$F$6*parametros_recargas!$F$41+sobrestock_sustitutos!$F$179/12</f>
        <v>239.664936122919</v>
      </c>
      <c r="I134" s="23" t="n">
        <f aca="false">datos_base!$F$6*parametros_recargas!$G$41+sobrestock_sustitutos!$F$179/12</f>
        <v>239.664936122919</v>
      </c>
      <c r="J134" s="23" t="n">
        <f aca="false">datos_base!$F$6*parametros_recargas!$H$41+sobrestock_sustitutos!$F$179/12</f>
        <v>239.664936122919</v>
      </c>
      <c r="K134" s="23" t="n">
        <f aca="false">datos_base!$F$6*parametros_recargas!$I$41+sobrestock_sustitutos!$F$179/12</f>
        <v>239.664936122919</v>
      </c>
      <c r="L134" s="23" t="n">
        <f aca="false">datos_base!$F$6*parametros_recargas!$J$41+sobrestock_sustitutos!$F$179/12</f>
        <v>239.664936122919</v>
      </c>
      <c r="M134" s="23" t="n">
        <f aca="false">datos_base!$F$6*parametros_recargas!$K$41+sobrestock_sustitutos!$F$179/12</f>
        <v>239.664936122919</v>
      </c>
      <c r="N134" s="23" t="n">
        <f aca="false">datos_base!$F$6*parametros_recargas!$L$41+sobrestock_sustitutos!$F$179/12</f>
        <v>239.664936122919</v>
      </c>
      <c r="O134" s="23" t="n">
        <f aca="false">datos_base!$F$6*parametros_recargas!$M$41+sobrestock_sustitutos!$F$179/12</f>
        <v>239.664936122919</v>
      </c>
      <c r="P134" s="7" t="n">
        <f aca="false">SUM(D134:O134)</f>
        <v>2875.97923347503</v>
      </c>
      <c r="Q134" s="13" t="n">
        <f aca="false">sobrestock_sustitutos!$F$179</f>
        <v>35</v>
      </c>
    </row>
    <row r="135" customFormat="false" ht="15" hidden="false" customHeight="false" outlineLevel="0" collapsed="false">
      <c r="A135" s="12" t="str">
        <f aca="false">parametros_recargas!A56</f>
        <v>AFFF 10 l</v>
      </c>
      <c r="B135" s="12" t="str">
        <f aca="false">parametros_recargas!B56</f>
        <v>AFFF</v>
      </c>
      <c r="C135" s="22" t="n">
        <f aca="false">parametros_recargas!C56</f>
        <v>1</v>
      </c>
      <c r="D135" s="23" t="n">
        <f aca="false">datos_base!$F$7*parametros_recargas!$B$41+sobrestock_sustitutos!$F$180/12</f>
        <v>44.7001516084211</v>
      </c>
      <c r="E135" s="23" t="n">
        <f aca="false">datos_base!$F$7*parametros_recargas!$C$41+sobrestock_sustitutos!$F$180/12</f>
        <v>44.7001516084211</v>
      </c>
      <c r="F135" s="23" t="n">
        <f aca="false">datos_base!$F$7*parametros_recargas!$D$41+sobrestock_sustitutos!$F$180/12</f>
        <v>44.7001516084211</v>
      </c>
      <c r="G135" s="23" t="n">
        <f aca="false">datos_base!$F$7*parametros_recargas!$E$41+sobrestock_sustitutos!$F$180/12</f>
        <v>44.7001516084211</v>
      </c>
      <c r="H135" s="23" t="n">
        <f aca="false">datos_base!$F$7*parametros_recargas!$F$41+sobrestock_sustitutos!$F$180/12</f>
        <v>44.7001516084211</v>
      </c>
      <c r="I135" s="23" t="n">
        <f aca="false">datos_base!$F$7*parametros_recargas!$G$41+sobrestock_sustitutos!$F$180/12</f>
        <v>44.7001516084211</v>
      </c>
      <c r="J135" s="23" t="n">
        <f aca="false">datos_base!$F$7*parametros_recargas!$H$41+sobrestock_sustitutos!$F$180/12</f>
        <v>44.7001516084211</v>
      </c>
      <c r="K135" s="23" t="n">
        <f aca="false">datos_base!$F$7*parametros_recargas!$I$41+sobrestock_sustitutos!$F$180/12</f>
        <v>44.7001516084211</v>
      </c>
      <c r="L135" s="23" t="n">
        <f aca="false">datos_base!$F$7*parametros_recargas!$J$41+sobrestock_sustitutos!$F$180/12</f>
        <v>44.7001516084211</v>
      </c>
      <c r="M135" s="23" t="n">
        <f aca="false">datos_base!$F$7*parametros_recargas!$K$41+sobrestock_sustitutos!$F$180/12</f>
        <v>44.7001516084211</v>
      </c>
      <c r="N135" s="23" t="n">
        <f aca="false">datos_base!$F$7*parametros_recargas!$L$41+sobrestock_sustitutos!$F$180/12</f>
        <v>44.7001516084211</v>
      </c>
      <c r="O135" s="23" t="n">
        <f aca="false">datos_base!$F$7*parametros_recargas!$M$41+sobrestock_sustitutos!$F$180/12</f>
        <v>44.7001516084211</v>
      </c>
      <c r="P135" s="7" t="n">
        <f aca="false">SUM(D135:O135)</f>
        <v>536.401819301053</v>
      </c>
      <c r="Q135" s="13" t="n">
        <f aca="false">sobrestock_sustitutos!$F$180</f>
        <v>7</v>
      </c>
    </row>
    <row r="136" customFormat="false" ht="15" hidden="false" customHeight="false" outlineLevel="0" collapsed="false">
      <c r="A136" s="12" t="str">
        <f aca="false">parametros_recargas!A57</f>
        <v>AFFF 50 l s/ruedas</v>
      </c>
      <c r="B136" s="12" t="str">
        <f aca="false">parametros_recargas!B57</f>
        <v>AFFF</v>
      </c>
      <c r="C136" s="22" t="n">
        <f aca="false">parametros_recargas!C57</f>
        <v>3</v>
      </c>
      <c r="D136" s="23" t="n">
        <f aca="false">datos_base!$F$8*parametros_recargas!$B$41+sobrestock_sustitutos!$F$181/12</f>
        <v>23.993686977564</v>
      </c>
      <c r="E136" s="23" t="n">
        <f aca="false">datos_base!$F$8*parametros_recargas!$C$41+sobrestock_sustitutos!$F$181/12</f>
        <v>23.993686977564</v>
      </c>
      <c r="F136" s="23" t="n">
        <f aca="false">datos_base!$F$8*parametros_recargas!$D$41+sobrestock_sustitutos!$F$181/12</f>
        <v>23.993686977564</v>
      </c>
      <c r="G136" s="23" t="n">
        <f aca="false">datos_base!$F$8*parametros_recargas!$E$41+sobrestock_sustitutos!$F$181/12</f>
        <v>23.993686977564</v>
      </c>
      <c r="H136" s="23" t="n">
        <f aca="false">datos_base!$F$8*parametros_recargas!$F$41+sobrestock_sustitutos!$F$181/12</f>
        <v>23.993686977564</v>
      </c>
      <c r="I136" s="23" t="n">
        <f aca="false">datos_base!$F$8*parametros_recargas!$G$41+sobrestock_sustitutos!$F$181/12</f>
        <v>23.993686977564</v>
      </c>
      <c r="J136" s="23" t="n">
        <f aca="false">datos_base!$F$8*parametros_recargas!$H$41+sobrestock_sustitutos!$F$181/12</f>
        <v>23.993686977564</v>
      </c>
      <c r="K136" s="23" t="n">
        <f aca="false">datos_base!$F$8*parametros_recargas!$I$41+sobrestock_sustitutos!$F$181/12</f>
        <v>23.993686977564</v>
      </c>
      <c r="L136" s="23" t="n">
        <f aca="false">datos_base!$F$8*parametros_recargas!$J$41+sobrestock_sustitutos!$F$181/12</f>
        <v>23.993686977564</v>
      </c>
      <c r="M136" s="23" t="n">
        <f aca="false">datos_base!$F$8*parametros_recargas!$K$41+sobrestock_sustitutos!$F$181/12</f>
        <v>23.993686977564</v>
      </c>
      <c r="N136" s="23" t="n">
        <f aca="false">datos_base!$F$8*parametros_recargas!$L$41+sobrestock_sustitutos!$F$181/12</f>
        <v>23.993686977564</v>
      </c>
      <c r="O136" s="23" t="n">
        <f aca="false">datos_base!$F$8*parametros_recargas!$M$41+sobrestock_sustitutos!$F$181/12</f>
        <v>23.993686977564</v>
      </c>
      <c r="P136" s="7" t="n">
        <f aca="false">SUM(D136:O136)</f>
        <v>287.924243730767</v>
      </c>
      <c r="Q136" s="13" t="n">
        <f aca="false">sobrestock_sustitutos!$F$181</f>
        <v>4</v>
      </c>
    </row>
    <row r="137" customFormat="false" ht="15" hidden="false" customHeight="false" outlineLevel="0" collapsed="false">
      <c r="A137" s="12" t="str">
        <f aca="false">parametros_recargas!A58</f>
        <v>BC 5 kg</v>
      </c>
      <c r="B137" s="12" t="str">
        <f aca="false">parametros_recargas!B58</f>
        <v>BC</v>
      </c>
      <c r="C137" s="22" t="n">
        <f aca="false">parametros_recargas!C58</f>
        <v>1</v>
      </c>
      <c r="D137" s="23" t="n">
        <f aca="false">datos_base!$F$9*parametros_recargas!$B$41+sobrestock_sustitutos!$F$182/12</f>
        <v>13.370242732614</v>
      </c>
      <c r="E137" s="23" t="n">
        <f aca="false">datos_base!$F$9*parametros_recargas!$C$41+sobrestock_sustitutos!$F$182/12</f>
        <v>13.370242732614</v>
      </c>
      <c r="F137" s="23" t="n">
        <f aca="false">datos_base!$F$9*parametros_recargas!$D$41+sobrestock_sustitutos!$F$182/12</f>
        <v>13.370242732614</v>
      </c>
      <c r="G137" s="23" t="n">
        <f aca="false">datos_base!$F$9*parametros_recargas!$E$41+sobrestock_sustitutos!$F$182/12</f>
        <v>13.370242732614</v>
      </c>
      <c r="H137" s="23" t="n">
        <f aca="false">datos_base!$F$9*parametros_recargas!$F$41+sobrestock_sustitutos!$F$182/12</f>
        <v>13.370242732614</v>
      </c>
      <c r="I137" s="23" t="n">
        <f aca="false">datos_base!$F$9*parametros_recargas!$G$41+sobrestock_sustitutos!$F$182/12</f>
        <v>13.370242732614</v>
      </c>
      <c r="J137" s="23" t="n">
        <f aca="false">datos_base!$F$9*parametros_recargas!$H$41+sobrestock_sustitutos!$F$182/12</f>
        <v>13.370242732614</v>
      </c>
      <c r="K137" s="23" t="n">
        <f aca="false">datos_base!$F$9*parametros_recargas!$I$41+sobrestock_sustitutos!$F$182/12</f>
        <v>13.370242732614</v>
      </c>
      <c r="L137" s="23" t="n">
        <f aca="false">datos_base!$F$9*parametros_recargas!$J$41+sobrestock_sustitutos!$F$182/12</f>
        <v>13.370242732614</v>
      </c>
      <c r="M137" s="23" t="n">
        <f aca="false">datos_base!$F$9*parametros_recargas!$K$41+sobrestock_sustitutos!$F$182/12</f>
        <v>13.370242732614</v>
      </c>
      <c r="N137" s="23" t="n">
        <f aca="false">datos_base!$F$9*parametros_recargas!$L$41+sobrestock_sustitutos!$F$182/12</f>
        <v>13.370242732614</v>
      </c>
      <c r="O137" s="23" t="n">
        <f aca="false">datos_base!$F$9*parametros_recargas!$M$41+sobrestock_sustitutos!$F$182/12</f>
        <v>13.370242732614</v>
      </c>
      <c r="P137" s="7" t="n">
        <f aca="false">SUM(D137:O137)</f>
        <v>160.442912791368</v>
      </c>
      <c r="Q137" s="13" t="n">
        <f aca="false">sobrestock_sustitutos!$F$182</f>
        <v>4</v>
      </c>
    </row>
    <row r="138" customFormat="false" ht="15" hidden="false" customHeight="false" outlineLevel="0" collapsed="false">
      <c r="A138" s="12" t="str">
        <f aca="false">parametros_recargas!A59</f>
        <v>Sales K 6 l</v>
      </c>
      <c r="B138" s="12" t="str">
        <f aca="false">parametros_recargas!B59</f>
        <v>Sales K</v>
      </c>
      <c r="C138" s="22" t="n">
        <f aca="false">parametros_recargas!C59</f>
        <v>1</v>
      </c>
      <c r="D138" s="23" t="n">
        <f aca="false">datos_base!$F$10*parametros_recargas!$B$41+sobrestock_sustitutos!$F$183/12</f>
        <v>117.821462874645</v>
      </c>
      <c r="E138" s="23" t="n">
        <f aca="false">datos_base!$F$10*parametros_recargas!$C$41+sobrestock_sustitutos!$F$183/12</f>
        <v>117.821462874645</v>
      </c>
      <c r="F138" s="23" t="n">
        <f aca="false">datos_base!$F$10*parametros_recargas!$D$41+sobrestock_sustitutos!$F$183/12</f>
        <v>117.821462874645</v>
      </c>
      <c r="G138" s="23" t="n">
        <f aca="false">datos_base!$F$10*parametros_recargas!$E$41+sobrestock_sustitutos!$F$183/12</f>
        <v>117.821462874645</v>
      </c>
      <c r="H138" s="23" t="n">
        <f aca="false">datos_base!$F$10*parametros_recargas!$F$41+sobrestock_sustitutos!$F$183/12</f>
        <v>117.821462874645</v>
      </c>
      <c r="I138" s="23" t="n">
        <f aca="false">datos_base!$F$10*parametros_recargas!$G$41+sobrestock_sustitutos!$F$183/12</f>
        <v>117.821462874645</v>
      </c>
      <c r="J138" s="23" t="n">
        <f aca="false">datos_base!$F$10*parametros_recargas!$H$41+sobrestock_sustitutos!$F$183/12</f>
        <v>117.821462874645</v>
      </c>
      <c r="K138" s="23" t="n">
        <f aca="false">datos_base!$F$10*parametros_recargas!$I$41+sobrestock_sustitutos!$F$183/12</f>
        <v>117.821462874645</v>
      </c>
      <c r="L138" s="23" t="n">
        <f aca="false">datos_base!$F$10*parametros_recargas!$J$41+sobrestock_sustitutos!$F$183/12</f>
        <v>117.821462874645</v>
      </c>
      <c r="M138" s="23" t="n">
        <f aca="false">datos_base!$F$10*parametros_recargas!$K$41+sobrestock_sustitutos!$F$183/12</f>
        <v>117.821462874645</v>
      </c>
      <c r="N138" s="23" t="n">
        <f aca="false">datos_base!$F$10*parametros_recargas!$L$41+sobrestock_sustitutos!$F$183/12</f>
        <v>117.821462874645</v>
      </c>
      <c r="O138" s="23" t="n">
        <f aca="false">datos_base!$F$10*parametros_recargas!$M$41+sobrestock_sustitutos!$F$183/12</f>
        <v>117.821462874645</v>
      </c>
      <c r="P138" s="7" t="n">
        <f aca="false">SUM(D138:O138)</f>
        <v>1413.85755449574</v>
      </c>
      <c r="Q138" s="13" t="n">
        <f aca="false">sobrestock_sustitutos!$F$183</f>
        <v>18</v>
      </c>
    </row>
    <row r="139" customFormat="false" ht="15" hidden="false" customHeight="false" outlineLevel="0" collapsed="false">
      <c r="A139" s="12" t="str">
        <f aca="false">parametros_recargas!A60</f>
        <v>CO₂ 2 kg</v>
      </c>
      <c r="B139" s="12" t="str">
        <f aca="false">parametros_recargas!B60</f>
        <v>CO₂</v>
      </c>
      <c r="C139" s="22" t="n">
        <f aca="false">parametros_recargas!C60</f>
        <v>1</v>
      </c>
      <c r="D139" s="23" t="n">
        <f aca="false">datos_base!$F$11*parametros_recargas!$B$41+sobrestock_sustitutos!$F$184/12</f>
        <v>647.713369109969</v>
      </c>
      <c r="E139" s="23" t="n">
        <f aca="false">datos_base!$F$11*parametros_recargas!$C$41+sobrestock_sustitutos!$F$184/12</f>
        <v>647.713369109969</v>
      </c>
      <c r="F139" s="23" t="n">
        <f aca="false">datos_base!$F$11*parametros_recargas!$D$41+sobrestock_sustitutos!$F$184/12</f>
        <v>647.713369109969</v>
      </c>
      <c r="G139" s="23" t="n">
        <f aca="false">datos_base!$F$11*parametros_recargas!$E$41+sobrestock_sustitutos!$F$184/12</f>
        <v>647.713369109969</v>
      </c>
      <c r="H139" s="23" t="n">
        <f aca="false">datos_base!$F$11*parametros_recargas!$F$41+sobrestock_sustitutos!$F$184/12</f>
        <v>647.713369109969</v>
      </c>
      <c r="I139" s="23" t="n">
        <f aca="false">datos_base!$F$11*parametros_recargas!$G$41+sobrestock_sustitutos!$F$184/12</f>
        <v>647.713369109969</v>
      </c>
      <c r="J139" s="23" t="n">
        <f aca="false">datos_base!$F$11*parametros_recargas!$H$41+sobrestock_sustitutos!$F$184/12</f>
        <v>647.713369109969</v>
      </c>
      <c r="K139" s="23" t="n">
        <f aca="false">datos_base!$F$11*parametros_recargas!$I$41+sobrestock_sustitutos!$F$184/12</f>
        <v>647.713369109969</v>
      </c>
      <c r="L139" s="23" t="n">
        <f aca="false">datos_base!$F$11*parametros_recargas!$J$41+sobrestock_sustitutos!$F$184/12</f>
        <v>647.713369109969</v>
      </c>
      <c r="M139" s="23" t="n">
        <f aca="false">datos_base!$F$11*parametros_recargas!$K$41+sobrestock_sustitutos!$F$184/12</f>
        <v>647.713369109969</v>
      </c>
      <c r="N139" s="23" t="n">
        <f aca="false">datos_base!$F$11*parametros_recargas!$L$41+sobrestock_sustitutos!$F$184/12</f>
        <v>647.713369109969</v>
      </c>
      <c r="O139" s="23" t="n">
        <f aca="false">datos_base!$F$11*parametros_recargas!$M$41+sobrestock_sustitutos!$F$184/12</f>
        <v>647.713369109969</v>
      </c>
      <c r="P139" s="7" t="n">
        <f aca="false">SUM(D139:O139)</f>
        <v>7772.56042931962</v>
      </c>
      <c r="Q139" s="13" t="n">
        <f aca="false">sobrestock_sustitutos!$F$184</f>
        <v>0</v>
      </c>
    </row>
    <row r="140" customFormat="false" ht="15" hidden="false" customHeight="false" outlineLevel="0" collapsed="false">
      <c r="A140" s="12" t="str">
        <f aca="false">parametros_recargas!A61</f>
        <v>CO₂ 5 kg</v>
      </c>
      <c r="B140" s="12" t="str">
        <f aca="false">parametros_recargas!B61</f>
        <v>CO₂</v>
      </c>
      <c r="C140" s="22" t="n">
        <f aca="false">parametros_recargas!C61</f>
        <v>1</v>
      </c>
      <c r="D140" s="23" t="n">
        <f aca="false">datos_base!$F$12*parametros_recargas!$B$41+sobrestock_sustitutos!$F$185/12</f>
        <v>220.782083083377</v>
      </c>
      <c r="E140" s="23" t="n">
        <f aca="false">datos_base!$F$12*parametros_recargas!$C$41+sobrestock_sustitutos!$F$185/12</f>
        <v>220.782083083377</v>
      </c>
      <c r="F140" s="23" t="n">
        <f aca="false">datos_base!$F$12*parametros_recargas!$D$41+sobrestock_sustitutos!$F$185/12</f>
        <v>220.782083083377</v>
      </c>
      <c r="G140" s="23" t="n">
        <f aca="false">datos_base!$F$12*parametros_recargas!$E$41+sobrestock_sustitutos!$F$185/12</f>
        <v>220.782083083377</v>
      </c>
      <c r="H140" s="23" t="n">
        <f aca="false">datos_base!$F$12*parametros_recargas!$F$41+sobrestock_sustitutos!$F$185/12</f>
        <v>220.782083083377</v>
      </c>
      <c r="I140" s="23" t="n">
        <f aca="false">datos_base!$F$12*parametros_recargas!$G$41+sobrestock_sustitutos!$F$185/12</f>
        <v>220.782083083377</v>
      </c>
      <c r="J140" s="23" t="n">
        <f aca="false">datos_base!$F$12*parametros_recargas!$H$41+sobrestock_sustitutos!$F$185/12</f>
        <v>220.782083083377</v>
      </c>
      <c r="K140" s="23" t="n">
        <f aca="false">datos_base!$F$12*parametros_recargas!$I$41+sobrestock_sustitutos!$F$185/12</f>
        <v>220.782083083377</v>
      </c>
      <c r="L140" s="23" t="n">
        <f aca="false">datos_base!$F$12*parametros_recargas!$J$41+sobrestock_sustitutos!$F$185/12</f>
        <v>220.782083083377</v>
      </c>
      <c r="M140" s="23" t="n">
        <f aca="false">datos_base!$F$12*parametros_recargas!$K$41+sobrestock_sustitutos!$F$185/12</f>
        <v>220.782083083377</v>
      </c>
      <c r="N140" s="23" t="n">
        <f aca="false">datos_base!$F$12*parametros_recargas!$L$41+sobrestock_sustitutos!$F$185/12</f>
        <v>220.782083083377</v>
      </c>
      <c r="O140" s="23" t="n">
        <f aca="false">datos_base!$F$12*parametros_recargas!$M$41+sobrestock_sustitutos!$F$185/12</f>
        <v>220.782083083377</v>
      </c>
      <c r="P140" s="7" t="n">
        <f aca="false">SUM(D140:O140)</f>
        <v>2649.38499700053</v>
      </c>
      <c r="Q140" s="13" t="n">
        <f aca="false">sobrestock_sustitutos!$F$185</f>
        <v>126</v>
      </c>
    </row>
    <row r="141" customFormat="false" ht="15" hidden="false" customHeight="false" outlineLevel="0" collapsed="false">
      <c r="A141" s="12" t="str">
        <f aca="false">parametros_recargas!A62</f>
        <v>HCFC/HFC 5 kg</v>
      </c>
      <c r="B141" s="12" t="str">
        <f aca="false">parametros_recargas!B62</f>
        <v>Halogenado</v>
      </c>
      <c r="C141" s="22" t="n">
        <f aca="false">parametros_recargas!C62</f>
        <v>1</v>
      </c>
      <c r="D141" s="23" t="n">
        <f aca="false">datos_base!$F$13*parametros_recargas!$B$41+sobrestock_sustitutos!$F$186/12</f>
        <v>34.5761392882215</v>
      </c>
      <c r="E141" s="23" t="n">
        <f aca="false">datos_base!$F$13*parametros_recargas!$C$41+sobrestock_sustitutos!$F$186/12</f>
        <v>34.5761392882215</v>
      </c>
      <c r="F141" s="23" t="n">
        <f aca="false">datos_base!$F$13*parametros_recargas!$D$41+sobrestock_sustitutos!$F$186/12</f>
        <v>34.5761392882215</v>
      </c>
      <c r="G141" s="23" t="n">
        <f aca="false">datos_base!$F$13*parametros_recargas!$E$41+sobrestock_sustitutos!$F$186/12</f>
        <v>34.5761392882215</v>
      </c>
      <c r="H141" s="23" t="n">
        <f aca="false">datos_base!$F$13*parametros_recargas!$F$41+sobrestock_sustitutos!$F$186/12</f>
        <v>34.5761392882215</v>
      </c>
      <c r="I141" s="23" t="n">
        <f aca="false">datos_base!$F$13*parametros_recargas!$G$41+sobrestock_sustitutos!$F$186/12</f>
        <v>34.5761392882215</v>
      </c>
      <c r="J141" s="23" t="n">
        <f aca="false">datos_base!$F$13*parametros_recargas!$H$41+sobrestock_sustitutos!$F$186/12</f>
        <v>34.5761392882215</v>
      </c>
      <c r="K141" s="23" t="n">
        <f aca="false">datos_base!$F$13*parametros_recargas!$I$41+sobrestock_sustitutos!$F$186/12</f>
        <v>34.5761392882215</v>
      </c>
      <c r="L141" s="23" t="n">
        <f aca="false">datos_base!$F$13*parametros_recargas!$J$41+sobrestock_sustitutos!$F$186/12</f>
        <v>34.5761392882215</v>
      </c>
      <c r="M141" s="23" t="n">
        <f aca="false">datos_base!$F$13*parametros_recargas!$K$41+sobrestock_sustitutos!$F$186/12</f>
        <v>34.5761392882215</v>
      </c>
      <c r="N141" s="23" t="n">
        <f aca="false">datos_base!$F$13*parametros_recargas!$L$41+sobrestock_sustitutos!$F$186/12</f>
        <v>34.5761392882215</v>
      </c>
      <c r="O141" s="23" t="n">
        <f aca="false">datos_base!$F$13*parametros_recargas!$M$41+sobrestock_sustitutos!$F$186/12</f>
        <v>34.5761392882215</v>
      </c>
      <c r="P141" s="7" t="n">
        <f aca="false">SUM(D141:O141)</f>
        <v>414.913671458658</v>
      </c>
      <c r="Q141" s="13" t="n">
        <f aca="false">sobrestock_sustitutos!$F$186</f>
        <v>6</v>
      </c>
    </row>
    <row r="142" customFormat="false" ht="15" hidden="false" customHeight="false" outlineLevel="0" collapsed="false">
      <c r="A142" s="12" t="str">
        <f aca="false">parametros_recargas!A63</f>
        <v>Clase D 9 l</v>
      </c>
      <c r="B142" s="12" t="str">
        <f aca="false">parametros_recargas!B63</f>
        <v>Clase D</v>
      </c>
      <c r="C142" s="22" t="n">
        <f aca="false">parametros_recargas!C63</f>
        <v>1</v>
      </c>
      <c r="D142" s="23" t="n">
        <f aca="false">datos_base!$F$14*parametros_recargas!$B$41+sobrestock_sustitutos!$F$187/12</f>
        <v>12.5060343854333</v>
      </c>
      <c r="E142" s="23" t="n">
        <f aca="false">datos_base!$F$14*parametros_recargas!$C$41+sobrestock_sustitutos!$F$187/12</f>
        <v>12.5060343854333</v>
      </c>
      <c r="F142" s="23" t="n">
        <f aca="false">datos_base!$F$14*parametros_recargas!$D$41+sobrestock_sustitutos!$F$187/12</f>
        <v>12.5060343854333</v>
      </c>
      <c r="G142" s="23" t="n">
        <f aca="false">datos_base!$F$14*parametros_recargas!$E$41+sobrestock_sustitutos!$F$187/12</f>
        <v>12.5060343854333</v>
      </c>
      <c r="H142" s="23" t="n">
        <f aca="false">datos_base!$F$14*parametros_recargas!$F$41+sobrestock_sustitutos!$F$187/12</f>
        <v>12.5060343854333</v>
      </c>
      <c r="I142" s="23" t="n">
        <f aca="false">datos_base!$F$14*parametros_recargas!$G$41+sobrestock_sustitutos!$F$187/12</f>
        <v>12.5060343854333</v>
      </c>
      <c r="J142" s="23" t="n">
        <f aca="false">datos_base!$F$14*parametros_recargas!$H$41+sobrestock_sustitutos!$F$187/12</f>
        <v>12.5060343854333</v>
      </c>
      <c r="K142" s="23" t="n">
        <f aca="false">datos_base!$F$14*parametros_recargas!$I$41+sobrestock_sustitutos!$F$187/12</f>
        <v>12.5060343854333</v>
      </c>
      <c r="L142" s="23" t="n">
        <f aca="false">datos_base!$F$14*parametros_recargas!$J$41+sobrestock_sustitutos!$F$187/12</f>
        <v>12.5060343854333</v>
      </c>
      <c r="M142" s="23" t="n">
        <f aca="false">datos_base!$F$14*parametros_recargas!$K$41+sobrestock_sustitutos!$F$187/12</f>
        <v>12.5060343854333</v>
      </c>
      <c r="N142" s="23" t="n">
        <f aca="false">datos_base!$F$14*parametros_recargas!$L$41+sobrestock_sustitutos!$F$187/12</f>
        <v>12.5060343854333</v>
      </c>
      <c r="O142" s="23" t="n">
        <f aca="false">datos_base!$F$14*parametros_recargas!$M$41+sobrestock_sustitutos!$F$187/12</f>
        <v>12.5060343854333</v>
      </c>
      <c r="P142" s="7" t="n">
        <f aca="false">SUM(D142:O142)</f>
        <v>150.0724126252</v>
      </c>
      <c r="Q142" s="13" t="n">
        <f aca="false">sobrestock_sustitutos!$F$187</f>
        <v>4</v>
      </c>
    </row>
    <row r="143" customFormat="false" ht="15" hidden="false" customHeight="false" outlineLevel="0" collapsed="false">
      <c r="A143" s="12" t="str">
        <f aca="false">parametros_recargas!A64</f>
        <v>ABC 25 kg s/ruedas</v>
      </c>
      <c r="B143" s="12" t="str">
        <f aca="false">parametros_recargas!B64</f>
        <v>ABC</v>
      </c>
      <c r="C143" s="22" t="n">
        <f aca="false">parametros_recargas!C64</f>
        <v>3</v>
      </c>
      <c r="D143" s="23" t="n">
        <f aca="false">datos_base!$F$15*parametros_recargas!$B$41+sobrestock_sustitutos!$F$188/12</f>
        <v>28.7156591421192</v>
      </c>
      <c r="E143" s="23" t="n">
        <f aca="false">datos_base!$F$15*parametros_recargas!$C$41+sobrestock_sustitutos!$F$188/12</f>
        <v>28.7156591421192</v>
      </c>
      <c r="F143" s="23" t="n">
        <f aca="false">datos_base!$F$15*parametros_recargas!$D$41+sobrestock_sustitutos!$F$188/12</f>
        <v>28.7156591421192</v>
      </c>
      <c r="G143" s="23" t="n">
        <f aca="false">datos_base!$F$15*parametros_recargas!$E$41+sobrestock_sustitutos!$F$188/12</f>
        <v>28.7156591421192</v>
      </c>
      <c r="H143" s="23" t="n">
        <f aca="false">datos_base!$F$15*parametros_recargas!$F$41+sobrestock_sustitutos!$F$188/12</f>
        <v>28.7156591421192</v>
      </c>
      <c r="I143" s="23" t="n">
        <f aca="false">datos_base!$F$15*parametros_recargas!$G$41+sobrestock_sustitutos!$F$188/12</f>
        <v>28.7156591421192</v>
      </c>
      <c r="J143" s="23" t="n">
        <f aca="false">datos_base!$F$15*parametros_recargas!$H$41+sobrestock_sustitutos!$F$188/12</f>
        <v>28.7156591421192</v>
      </c>
      <c r="K143" s="23" t="n">
        <f aca="false">datos_base!$F$15*parametros_recargas!$I$41+sobrestock_sustitutos!$F$188/12</f>
        <v>28.7156591421192</v>
      </c>
      <c r="L143" s="23" t="n">
        <f aca="false">datos_base!$F$15*parametros_recargas!$J$41+sobrestock_sustitutos!$F$188/12</f>
        <v>28.7156591421192</v>
      </c>
      <c r="M143" s="23" t="n">
        <f aca="false">datos_base!$F$15*parametros_recargas!$K$41+sobrestock_sustitutos!$F$188/12</f>
        <v>28.7156591421192</v>
      </c>
      <c r="N143" s="23" t="n">
        <f aca="false">datos_base!$F$15*parametros_recargas!$L$41+sobrestock_sustitutos!$F$188/12</f>
        <v>28.7156591421192</v>
      </c>
      <c r="O143" s="23" t="n">
        <f aca="false">datos_base!$F$15*parametros_recargas!$M$41+sobrestock_sustitutos!$F$188/12</f>
        <v>28.7156591421192</v>
      </c>
      <c r="P143" s="7" t="n">
        <f aca="false">SUM(D143:O143)</f>
        <v>344.58790970543</v>
      </c>
      <c r="Q143" s="13" t="n">
        <f aca="false">sobrestock_sustitutos!$F$188</f>
        <v>0</v>
      </c>
    </row>
    <row r="144" customFormat="false" ht="15" hidden="false" customHeight="false" outlineLevel="0" collapsed="false">
      <c r="A144" s="12" t="str">
        <f aca="false">parametros_recargas!A65</f>
        <v>ABC 50 kg s/ruedas</v>
      </c>
      <c r="B144" s="12" t="str">
        <f aca="false">parametros_recargas!B65</f>
        <v>ABC</v>
      </c>
      <c r="C144" s="22" t="n">
        <f aca="false">parametros_recargas!C65</f>
        <v>3</v>
      </c>
      <c r="D144" s="23" t="n">
        <f aca="false">datos_base!$F$16*parametros_recargas!$B$41+sobrestock_sustitutos!$F$189/12</f>
        <v>65.2577834104074</v>
      </c>
      <c r="E144" s="23" t="n">
        <f aca="false">datos_base!$F$16*parametros_recargas!$C$41+sobrestock_sustitutos!$F$189/12</f>
        <v>65.2577834104074</v>
      </c>
      <c r="F144" s="23" t="n">
        <f aca="false">datos_base!$F$16*parametros_recargas!$D$41+sobrestock_sustitutos!$F$189/12</f>
        <v>65.2577834104074</v>
      </c>
      <c r="G144" s="23" t="n">
        <f aca="false">datos_base!$F$16*parametros_recargas!$E$41+sobrestock_sustitutos!$F$189/12</f>
        <v>65.2577834104074</v>
      </c>
      <c r="H144" s="23" t="n">
        <f aca="false">datos_base!$F$16*parametros_recargas!$F$41+sobrestock_sustitutos!$F$189/12</f>
        <v>65.2577834104074</v>
      </c>
      <c r="I144" s="23" t="n">
        <f aca="false">datos_base!$F$16*parametros_recargas!$G$41+sobrestock_sustitutos!$F$189/12</f>
        <v>65.2577834104074</v>
      </c>
      <c r="J144" s="23" t="n">
        <f aca="false">datos_base!$F$16*parametros_recargas!$H$41+sobrestock_sustitutos!$F$189/12</f>
        <v>65.2577834104074</v>
      </c>
      <c r="K144" s="23" t="n">
        <f aca="false">datos_base!$F$16*parametros_recargas!$I$41+sobrestock_sustitutos!$F$189/12</f>
        <v>65.2577834104074</v>
      </c>
      <c r="L144" s="23" t="n">
        <f aca="false">datos_base!$F$16*parametros_recargas!$J$41+sobrestock_sustitutos!$F$189/12</f>
        <v>65.2577834104074</v>
      </c>
      <c r="M144" s="23" t="n">
        <f aca="false">datos_base!$F$16*parametros_recargas!$K$41+sobrestock_sustitutos!$F$189/12</f>
        <v>65.2577834104074</v>
      </c>
      <c r="N144" s="23" t="n">
        <f aca="false">datos_base!$F$16*parametros_recargas!$L$41+sobrestock_sustitutos!$F$189/12</f>
        <v>65.2577834104074</v>
      </c>
      <c r="O144" s="23" t="n">
        <f aca="false">datos_base!$F$16*parametros_recargas!$M$41+sobrestock_sustitutos!$F$189/12</f>
        <v>65.2577834104074</v>
      </c>
      <c r="P144" s="7" t="n">
        <f aca="false">SUM(D144:O144)</f>
        <v>783.093400924889</v>
      </c>
      <c r="Q144" s="13" t="n">
        <f aca="false">sobrestock_sustitutos!$F$189</f>
        <v>25</v>
      </c>
    </row>
    <row r="145" customFormat="false" ht="15" hidden="false" customHeight="false" outlineLevel="0" collapsed="false">
      <c r="A145" s="12" t="str">
        <f aca="false">parametros_recargas!A66</f>
        <v>ABC 70 kg s/ruedas</v>
      </c>
      <c r="B145" s="12" t="str">
        <f aca="false">parametros_recargas!B66</f>
        <v>ABC</v>
      </c>
      <c r="C145" s="22" t="n">
        <f aca="false">parametros_recargas!C66</f>
        <v>3</v>
      </c>
      <c r="D145" s="23" t="n">
        <f aca="false">datos_base!$F$17*parametros_recargas!$B$41+sobrestock_sustitutos!$F$190/12</f>
        <v>13.7835163858447</v>
      </c>
      <c r="E145" s="23" t="n">
        <f aca="false">datos_base!$F$17*parametros_recargas!$C$41+sobrestock_sustitutos!$F$190/12</f>
        <v>13.7835163858447</v>
      </c>
      <c r="F145" s="23" t="n">
        <f aca="false">datos_base!$F$17*parametros_recargas!$D$41+sobrestock_sustitutos!$F$190/12</f>
        <v>13.7835163858447</v>
      </c>
      <c r="G145" s="23" t="n">
        <f aca="false">datos_base!$F$17*parametros_recargas!$E$41+sobrestock_sustitutos!$F$190/12</f>
        <v>13.7835163858447</v>
      </c>
      <c r="H145" s="23" t="n">
        <f aca="false">datos_base!$F$17*parametros_recargas!$F$41+sobrestock_sustitutos!$F$190/12</f>
        <v>13.7835163858447</v>
      </c>
      <c r="I145" s="23" t="n">
        <f aca="false">datos_base!$F$17*parametros_recargas!$G$41+sobrestock_sustitutos!$F$190/12</f>
        <v>13.7835163858447</v>
      </c>
      <c r="J145" s="23" t="n">
        <f aca="false">datos_base!$F$17*parametros_recargas!$H$41+sobrestock_sustitutos!$F$190/12</f>
        <v>13.7835163858447</v>
      </c>
      <c r="K145" s="23" t="n">
        <f aca="false">datos_base!$F$17*parametros_recargas!$I$41+sobrestock_sustitutos!$F$190/12</f>
        <v>13.7835163858447</v>
      </c>
      <c r="L145" s="23" t="n">
        <f aca="false">datos_base!$F$17*parametros_recargas!$J$41+sobrestock_sustitutos!$F$190/12</f>
        <v>13.7835163858447</v>
      </c>
      <c r="M145" s="23" t="n">
        <f aca="false">datos_base!$F$17*parametros_recargas!$K$41+sobrestock_sustitutos!$F$190/12</f>
        <v>13.7835163858447</v>
      </c>
      <c r="N145" s="23" t="n">
        <f aca="false">datos_base!$F$17*parametros_recargas!$L$41+sobrestock_sustitutos!$F$190/12</f>
        <v>13.7835163858447</v>
      </c>
      <c r="O145" s="23" t="n">
        <f aca="false">datos_base!$F$17*parametros_recargas!$M$41+sobrestock_sustitutos!$F$190/12</f>
        <v>13.7835163858447</v>
      </c>
      <c r="P145" s="7" t="n">
        <f aca="false">SUM(D145:O145)</f>
        <v>165.402196630136</v>
      </c>
      <c r="Q145" s="13" t="n">
        <f aca="false">sobrestock_sustitutos!$F$190</f>
        <v>0</v>
      </c>
    </row>
    <row r="146" customFormat="false" ht="15" hidden="false" customHeight="false" outlineLevel="0" collapsed="false">
      <c r="A146" s="12" t="str">
        <f aca="false">parametros_recargas!A67</f>
        <v>ABC 100 kg s/ruedas</v>
      </c>
      <c r="B146" s="12" t="str">
        <f aca="false">parametros_recargas!B67</f>
        <v>ABC</v>
      </c>
      <c r="C146" s="22" t="n">
        <f aca="false">parametros_recargas!C67</f>
        <v>3</v>
      </c>
      <c r="D146" s="23" t="n">
        <f aca="false">datos_base!$F$18*parametros_recargas!$B$41+sobrestock_sustitutos!$F$191/12</f>
        <v>9.77234423745857</v>
      </c>
      <c r="E146" s="23" t="n">
        <f aca="false">datos_base!$F$18*parametros_recargas!$C$41+sobrestock_sustitutos!$F$191/12</f>
        <v>9.77234423745857</v>
      </c>
      <c r="F146" s="23" t="n">
        <f aca="false">datos_base!$F$18*parametros_recargas!$D$41+sobrestock_sustitutos!$F$191/12</f>
        <v>9.77234423745857</v>
      </c>
      <c r="G146" s="23" t="n">
        <f aca="false">datos_base!$F$18*parametros_recargas!$E$41+sobrestock_sustitutos!$F$191/12</f>
        <v>9.77234423745857</v>
      </c>
      <c r="H146" s="23" t="n">
        <f aca="false">datos_base!$F$18*parametros_recargas!$F$41+sobrestock_sustitutos!$F$191/12</f>
        <v>9.77234423745857</v>
      </c>
      <c r="I146" s="23" t="n">
        <f aca="false">datos_base!$F$18*parametros_recargas!$G$41+sobrestock_sustitutos!$F$191/12</f>
        <v>9.77234423745857</v>
      </c>
      <c r="J146" s="23" t="n">
        <f aca="false">datos_base!$F$18*parametros_recargas!$H$41+sobrestock_sustitutos!$F$191/12</f>
        <v>9.77234423745857</v>
      </c>
      <c r="K146" s="23" t="n">
        <f aca="false">datos_base!$F$18*parametros_recargas!$I$41+sobrestock_sustitutos!$F$191/12</f>
        <v>9.77234423745857</v>
      </c>
      <c r="L146" s="23" t="n">
        <f aca="false">datos_base!$F$18*parametros_recargas!$J$41+sobrestock_sustitutos!$F$191/12</f>
        <v>9.77234423745857</v>
      </c>
      <c r="M146" s="23" t="n">
        <f aca="false">datos_base!$F$18*parametros_recargas!$K$41+sobrestock_sustitutos!$F$191/12</f>
        <v>9.77234423745857</v>
      </c>
      <c r="N146" s="23" t="n">
        <f aca="false">datos_base!$F$18*parametros_recargas!$L$41+sobrestock_sustitutos!$F$191/12</f>
        <v>9.77234423745857</v>
      </c>
      <c r="O146" s="23" t="n">
        <f aca="false">datos_base!$F$18*parametros_recargas!$M$41+sobrestock_sustitutos!$F$191/12</f>
        <v>9.77234423745857</v>
      </c>
      <c r="P146" s="7" t="n">
        <f aca="false">SUM(D146:O146)</f>
        <v>117.268130849503</v>
      </c>
      <c r="Q146" s="13" t="n">
        <f aca="false">sobrestock_sustitutos!$F$191</f>
        <v>7</v>
      </c>
    </row>
    <row r="147" customFormat="false" ht="15" hidden="false" customHeight="false" outlineLevel="0" collapsed="false">
      <c r="A147" s="6" t="s">
        <v>269</v>
      </c>
      <c r="D147" s="7" t="n">
        <f aca="false">SUM(D130:D146)</f>
        <v>10055.334959958</v>
      </c>
      <c r="E147" s="7" t="n">
        <f aca="false">SUM(E130:E146)</f>
        <v>10055.334959958</v>
      </c>
      <c r="F147" s="7" t="n">
        <f aca="false">SUM(F130:F146)</f>
        <v>10055.334959958</v>
      </c>
      <c r="G147" s="7" t="n">
        <f aca="false">SUM(G130:G146)</f>
        <v>10055.334959958</v>
      </c>
      <c r="H147" s="7" t="n">
        <f aca="false">SUM(H130:H146)</f>
        <v>10055.334959958</v>
      </c>
      <c r="I147" s="7" t="n">
        <f aca="false">SUM(I130:I146)</f>
        <v>10055.334959958</v>
      </c>
      <c r="J147" s="7" t="n">
        <f aca="false">SUM(J130:J146)</f>
        <v>10055.334959958</v>
      </c>
      <c r="K147" s="7" t="n">
        <f aca="false">SUM(K130:K146)</f>
        <v>10055.334959958</v>
      </c>
      <c r="L147" s="7" t="n">
        <f aca="false">SUM(L130:L146)</f>
        <v>10055.334959958</v>
      </c>
      <c r="M147" s="7" t="n">
        <f aca="false">SUM(M130:M146)</f>
        <v>10055.334959958</v>
      </c>
      <c r="N147" s="7" t="n">
        <f aca="false">SUM(N130:N146)</f>
        <v>10055.334959958</v>
      </c>
      <c r="O147" s="7" t="n">
        <f aca="false">SUM(O130:O146)</f>
        <v>10055.334959958</v>
      </c>
      <c r="P147" s="7" t="n">
        <f aca="false">SUM(P130:P146)</f>
        <v>120664.019519496</v>
      </c>
    </row>
    <row r="148" customFormat="false" ht="15" hidden="false" customHeight="false" outlineLevel="0" collapsed="false">
      <c r="A148" s="6" t="s">
        <v>270</v>
      </c>
    </row>
    <row r="149" customFormat="false" ht="15" hidden="false" customHeight="false" outlineLevel="0" collapsed="false">
      <c r="A149" s="4" t="s">
        <v>139</v>
      </c>
      <c r="D149" s="23" t="n">
        <f aca="false">SUMPRODUCT(($B$130:$B$146=$A149)*D$130:D$146*$C$130:$C$146)</f>
        <v>8935.26546012646</v>
      </c>
      <c r="E149" s="23" t="n">
        <f aca="false">SUMPRODUCT(($B$130:$B$146=$A149)*E$130:E$146*$C$130:$C$146)</f>
        <v>8935.26546012646</v>
      </c>
      <c r="F149" s="23" t="n">
        <f aca="false">SUMPRODUCT(($B$130:$B$146=$A149)*F$130:F$146*$C$130:$C$146)</f>
        <v>8935.26546012646</v>
      </c>
      <c r="G149" s="23" t="n">
        <f aca="false">SUMPRODUCT(($B$130:$B$146=$A149)*G$130:G$146*$C$130:$C$146)</f>
        <v>8935.26546012646</v>
      </c>
      <c r="H149" s="23" t="n">
        <f aca="false">SUMPRODUCT(($B$130:$B$146=$A149)*H$130:H$146*$C$130:$C$146)</f>
        <v>8935.26546012646</v>
      </c>
      <c r="I149" s="23" t="n">
        <f aca="false">SUMPRODUCT(($B$130:$B$146=$A149)*I$130:I$146*$C$130:$C$146)</f>
        <v>8935.26546012646</v>
      </c>
      <c r="J149" s="23" t="n">
        <f aca="false">SUMPRODUCT(($B$130:$B$146=$A149)*J$130:J$146*$C$130:$C$146)</f>
        <v>8935.26546012646</v>
      </c>
      <c r="K149" s="23" t="n">
        <f aca="false">SUMPRODUCT(($B$130:$B$146=$A149)*K$130:K$146*$C$130:$C$146)</f>
        <v>8935.26546012646</v>
      </c>
      <c r="L149" s="23" t="n">
        <f aca="false">SUMPRODUCT(($B$130:$B$146=$A149)*L$130:L$146*$C$130:$C$146)</f>
        <v>8935.26546012646</v>
      </c>
      <c r="M149" s="23" t="n">
        <f aca="false">SUMPRODUCT(($B$130:$B$146=$A149)*M$130:M$146*$C$130:$C$146)</f>
        <v>8935.26546012646</v>
      </c>
      <c r="N149" s="23" t="n">
        <f aca="false">SUMPRODUCT(($B$130:$B$146=$A149)*N$130:N$146*$C$130:$C$146)</f>
        <v>8935.26546012646</v>
      </c>
      <c r="O149" s="23" t="n">
        <f aca="false">SUMPRODUCT(($B$130:$B$146=$A149)*O$130:O$146*$C$130:$C$146)</f>
        <v>8935.26546012646</v>
      </c>
      <c r="P149" s="23" t="n">
        <f aca="false">SUMPRODUCT(($B$130:$B$146=$A149)*P$130:P$146*$C$130:$C$146)</f>
        <v>107223.185521517</v>
      </c>
    </row>
    <row r="150" customFormat="false" ht="15" hidden="false" customHeight="false" outlineLevel="0" collapsed="false">
      <c r="A150" s="4" t="s">
        <v>145</v>
      </c>
      <c r="D150" s="23" t="n">
        <f aca="false">SUMPRODUCT(($B$130:$B$146=$A150)*D$130:D$146*$C$130:$C$146)</f>
        <v>13.370242732614</v>
      </c>
      <c r="E150" s="23" t="n">
        <f aca="false">SUMPRODUCT(($B$130:$B$146=$A150)*E$130:E$146*$C$130:$C$146)</f>
        <v>13.370242732614</v>
      </c>
      <c r="F150" s="23" t="n">
        <f aca="false">SUMPRODUCT(($B$130:$B$146=$A150)*F$130:F$146*$C$130:$C$146)</f>
        <v>13.370242732614</v>
      </c>
      <c r="G150" s="23" t="n">
        <f aca="false">SUMPRODUCT(($B$130:$B$146=$A150)*G$130:G$146*$C$130:$C$146)</f>
        <v>13.370242732614</v>
      </c>
      <c r="H150" s="23" t="n">
        <f aca="false">SUMPRODUCT(($B$130:$B$146=$A150)*H$130:H$146*$C$130:$C$146)</f>
        <v>13.370242732614</v>
      </c>
      <c r="I150" s="23" t="n">
        <f aca="false">SUMPRODUCT(($B$130:$B$146=$A150)*I$130:I$146*$C$130:$C$146)</f>
        <v>13.370242732614</v>
      </c>
      <c r="J150" s="23" t="n">
        <f aca="false">SUMPRODUCT(($B$130:$B$146=$A150)*J$130:J$146*$C$130:$C$146)</f>
        <v>13.370242732614</v>
      </c>
      <c r="K150" s="23" t="n">
        <f aca="false">SUMPRODUCT(($B$130:$B$146=$A150)*K$130:K$146*$C$130:$C$146)</f>
        <v>13.370242732614</v>
      </c>
      <c r="L150" s="23" t="n">
        <f aca="false">SUMPRODUCT(($B$130:$B$146=$A150)*L$130:L$146*$C$130:$C$146)</f>
        <v>13.370242732614</v>
      </c>
      <c r="M150" s="23" t="n">
        <f aca="false">SUMPRODUCT(($B$130:$B$146=$A150)*M$130:M$146*$C$130:$C$146)</f>
        <v>13.370242732614</v>
      </c>
      <c r="N150" s="23" t="n">
        <f aca="false">SUMPRODUCT(($B$130:$B$146=$A150)*N$130:N$146*$C$130:$C$146)</f>
        <v>13.370242732614</v>
      </c>
      <c r="O150" s="23" t="n">
        <f aca="false">SUMPRODUCT(($B$130:$B$146=$A150)*O$130:O$146*$C$130:$C$146)</f>
        <v>13.370242732614</v>
      </c>
      <c r="P150" s="23" t="n">
        <f aca="false">SUMPRODUCT(($B$130:$B$146=$A150)*P$130:P$146*$C$130:$C$146)</f>
        <v>160.442912791368</v>
      </c>
    </row>
    <row r="151" customFormat="false" ht="15" hidden="false" customHeight="false" outlineLevel="0" collapsed="false">
      <c r="A151" s="4" t="s">
        <v>151</v>
      </c>
      <c r="D151" s="23" t="n">
        <f aca="false">SUMPRODUCT(($B$130:$B$146=$A151)*D$130:D$146*$C$130:$C$146)</f>
        <v>12.5060343854333</v>
      </c>
      <c r="E151" s="23" t="n">
        <f aca="false">SUMPRODUCT(($B$130:$B$146=$A151)*E$130:E$146*$C$130:$C$146)</f>
        <v>12.5060343854333</v>
      </c>
      <c r="F151" s="23" t="n">
        <f aca="false">SUMPRODUCT(($B$130:$B$146=$A151)*F$130:F$146*$C$130:$C$146)</f>
        <v>12.5060343854333</v>
      </c>
      <c r="G151" s="23" t="n">
        <f aca="false">SUMPRODUCT(($B$130:$B$146=$A151)*G$130:G$146*$C$130:$C$146)</f>
        <v>12.5060343854333</v>
      </c>
      <c r="H151" s="23" t="n">
        <f aca="false">SUMPRODUCT(($B$130:$B$146=$A151)*H$130:H$146*$C$130:$C$146)</f>
        <v>12.5060343854333</v>
      </c>
      <c r="I151" s="23" t="n">
        <f aca="false">SUMPRODUCT(($B$130:$B$146=$A151)*I$130:I$146*$C$130:$C$146)</f>
        <v>12.5060343854333</v>
      </c>
      <c r="J151" s="23" t="n">
        <f aca="false">SUMPRODUCT(($B$130:$B$146=$A151)*J$130:J$146*$C$130:$C$146)</f>
        <v>12.5060343854333</v>
      </c>
      <c r="K151" s="23" t="n">
        <f aca="false">SUMPRODUCT(($B$130:$B$146=$A151)*K$130:K$146*$C$130:$C$146)</f>
        <v>12.5060343854333</v>
      </c>
      <c r="L151" s="23" t="n">
        <f aca="false">SUMPRODUCT(($B$130:$B$146=$A151)*L$130:L$146*$C$130:$C$146)</f>
        <v>12.5060343854333</v>
      </c>
      <c r="M151" s="23" t="n">
        <f aca="false">SUMPRODUCT(($B$130:$B$146=$A151)*M$130:M$146*$C$130:$C$146)</f>
        <v>12.5060343854333</v>
      </c>
      <c r="N151" s="23" t="n">
        <f aca="false">SUMPRODUCT(($B$130:$B$146=$A151)*N$130:N$146*$C$130:$C$146)</f>
        <v>12.5060343854333</v>
      </c>
      <c r="O151" s="23" t="n">
        <f aca="false">SUMPRODUCT(($B$130:$B$146=$A151)*O$130:O$146*$C$130:$C$146)</f>
        <v>12.5060343854333</v>
      </c>
      <c r="P151" s="23" t="n">
        <f aca="false">SUMPRODUCT(($B$130:$B$146=$A151)*P$130:P$146*$C$130:$C$146)</f>
        <v>150.0724126252</v>
      </c>
    </row>
    <row r="152" customFormat="false" ht="15" hidden="false" customHeight="false" outlineLevel="0" collapsed="false">
      <c r="A152" s="4" t="s">
        <v>142</v>
      </c>
      <c r="D152" s="23" t="n">
        <f aca="false">SUMPRODUCT(($B$130:$B$146=$A152)*D$130:D$146*$C$130:$C$146)</f>
        <v>239.664936122919</v>
      </c>
      <c r="E152" s="23" t="n">
        <f aca="false">SUMPRODUCT(($B$130:$B$146=$A152)*E$130:E$146*$C$130:$C$146)</f>
        <v>239.664936122919</v>
      </c>
      <c r="F152" s="23" t="n">
        <f aca="false">SUMPRODUCT(($B$130:$B$146=$A152)*F$130:F$146*$C$130:$C$146)</f>
        <v>239.664936122919</v>
      </c>
      <c r="G152" s="23" t="n">
        <f aca="false">SUMPRODUCT(($B$130:$B$146=$A152)*G$130:G$146*$C$130:$C$146)</f>
        <v>239.664936122919</v>
      </c>
      <c r="H152" s="23" t="n">
        <f aca="false">SUMPRODUCT(($B$130:$B$146=$A152)*H$130:H$146*$C$130:$C$146)</f>
        <v>239.664936122919</v>
      </c>
      <c r="I152" s="23" t="n">
        <f aca="false">SUMPRODUCT(($B$130:$B$146=$A152)*I$130:I$146*$C$130:$C$146)</f>
        <v>239.664936122919</v>
      </c>
      <c r="J152" s="23" t="n">
        <f aca="false">SUMPRODUCT(($B$130:$B$146=$A152)*J$130:J$146*$C$130:$C$146)</f>
        <v>239.664936122919</v>
      </c>
      <c r="K152" s="23" t="n">
        <f aca="false">SUMPRODUCT(($B$130:$B$146=$A152)*K$130:K$146*$C$130:$C$146)</f>
        <v>239.664936122919</v>
      </c>
      <c r="L152" s="23" t="n">
        <f aca="false">SUMPRODUCT(($B$130:$B$146=$A152)*L$130:L$146*$C$130:$C$146)</f>
        <v>239.664936122919</v>
      </c>
      <c r="M152" s="23" t="n">
        <f aca="false">SUMPRODUCT(($B$130:$B$146=$A152)*M$130:M$146*$C$130:$C$146)</f>
        <v>239.664936122919</v>
      </c>
      <c r="N152" s="23" t="n">
        <f aca="false">SUMPRODUCT(($B$130:$B$146=$A152)*N$130:N$146*$C$130:$C$146)</f>
        <v>239.664936122919</v>
      </c>
      <c r="O152" s="23" t="n">
        <f aca="false">SUMPRODUCT(($B$130:$B$146=$A152)*O$130:O$146*$C$130:$C$146)</f>
        <v>239.664936122919</v>
      </c>
      <c r="P152" s="23" t="n">
        <f aca="false">SUMPRODUCT(($B$130:$B$146=$A152)*P$130:P$146*$C$130:$C$146)</f>
        <v>2875.97923347503</v>
      </c>
    </row>
    <row r="153" customFormat="false" ht="15" hidden="false" customHeight="false" outlineLevel="0" collapsed="false">
      <c r="A153" s="4" t="s">
        <v>143</v>
      </c>
      <c r="D153" s="23" t="n">
        <f aca="false">SUMPRODUCT(($B$130:$B$146=$A153)*D$130:D$146*$C$130:$C$146)</f>
        <v>116.681212541113</v>
      </c>
      <c r="E153" s="23" t="n">
        <f aca="false">SUMPRODUCT(($B$130:$B$146=$A153)*E$130:E$146*$C$130:$C$146)</f>
        <v>116.681212541113</v>
      </c>
      <c r="F153" s="23" t="n">
        <f aca="false">SUMPRODUCT(($B$130:$B$146=$A153)*F$130:F$146*$C$130:$C$146)</f>
        <v>116.681212541113</v>
      </c>
      <c r="G153" s="23" t="n">
        <f aca="false">SUMPRODUCT(($B$130:$B$146=$A153)*G$130:G$146*$C$130:$C$146)</f>
        <v>116.681212541113</v>
      </c>
      <c r="H153" s="23" t="n">
        <f aca="false">SUMPRODUCT(($B$130:$B$146=$A153)*H$130:H$146*$C$130:$C$146)</f>
        <v>116.681212541113</v>
      </c>
      <c r="I153" s="23" t="n">
        <f aca="false">SUMPRODUCT(($B$130:$B$146=$A153)*I$130:I$146*$C$130:$C$146)</f>
        <v>116.681212541113</v>
      </c>
      <c r="J153" s="23" t="n">
        <f aca="false">SUMPRODUCT(($B$130:$B$146=$A153)*J$130:J$146*$C$130:$C$146)</f>
        <v>116.681212541113</v>
      </c>
      <c r="K153" s="23" t="n">
        <f aca="false">SUMPRODUCT(($B$130:$B$146=$A153)*K$130:K$146*$C$130:$C$146)</f>
        <v>116.681212541113</v>
      </c>
      <c r="L153" s="23" t="n">
        <f aca="false">SUMPRODUCT(($B$130:$B$146=$A153)*L$130:L$146*$C$130:$C$146)</f>
        <v>116.681212541113</v>
      </c>
      <c r="M153" s="23" t="n">
        <f aca="false">SUMPRODUCT(($B$130:$B$146=$A153)*M$130:M$146*$C$130:$C$146)</f>
        <v>116.681212541113</v>
      </c>
      <c r="N153" s="23" t="n">
        <f aca="false">SUMPRODUCT(($B$130:$B$146=$A153)*N$130:N$146*$C$130:$C$146)</f>
        <v>116.681212541113</v>
      </c>
      <c r="O153" s="23" t="n">
        <f aca="false">SUMPRODUCT(($B$130:$B$146=$A153)*O$130:O$146*$C$130:$C$146)</f>
        <v>116.681212541113</v>
      </c>
      <c r="P153" s="23" t="n">
        <f aca="false">SUMPRODUCT(($B$130:$B$146=$A153)*P$130:P$146*$C$130:$C$146)</f>
        <v>1400.17455049336</v>
      </c>
    </row>
    <row r="154" customFormat="false" ht="15" hidden="false" customHeight="false" outlineLevel="0" collapsed="false">
      <c r="A154" s="4" t="s">
        <v>146</v>
      </c>
      <c r="D154" s="23" t="n">
        <f aca="false">SUMPRODUCT(($B$130:$B$146=$A154)*D$130:D$146*$C$130:$C$146)</f>
        <v>117.821462874645</v>
      </c>
      <c r="E154" s="23" t="n">
        <f aca="false">SUMPRODUCT(($B$130:$B$146=$A154)*E$130:E$146*$C$130:$C$146)</f>
        <v>117.821462874645</v>
      </c>
      <c r="F154" s="23" t="n">
        <f aca="false">SUMPRODUCT(($B$130:$B$146=$A154)*F$130:F$146*$C$130:$C$146)</f>
        <v>117.821462874645</v>
      </c>
      <c r="G154" s="23" t="n">
        <f aca="false">SUMPRODUCT(($B$130:$B$146=$A154)*G$130:G$146*$C$130:$C$146)</f>
        <v>117.821462874645</v>
      </c>
      <c r="H154" s="23" t="n">
        <f aca="false">SUMPRODUCT(($B$130:$B$146=$A154)*H$130:H$146*$C$130:$C$146)</f>
        <v>117.821462874645</v>
      </c>
      <c r="I154" s="23" t="n">
        <f aca="false">SUMPRODUCT(($B$130:$B$146=$A154)*I$130:I$146*$C$130:$C$146)</f>
        <v>117.821462874645</v>
      </c>
      <c r="J154" s="23" t="n">
        <f aca="false">SUMPRODUCT(($B$130:$B$146=$A154)*J$130:J$146*$C$130:$C$146)</f>
        <v>117.821462874645</v>
      </c>
      <c r="K154" s="23" t="n">
        <f aca="false">SUMPRODUCT(($B$130:$B$146=$A154)*K$130:K$146*$C$130:$C$146)</f>
        <v>117.821462874645</v>
      </c>
      <c r="L154" s="23" t="n">
        <f aca="false">SUMPRODUCT(($B$130:$B$146=$A154)*L$130:L$146*$C$130:$C$146)</f>
        <v>117.821462874645</v>
      </c>
      <c r="M154" s="23" t="n">
        <f aca="false">SUMPRODUCT(($B$130:$B$146=$A154)*M$130:M$146*$C$130:$C$146)</f>
        <v>117.821462874645</v>
      </c>
      <c r="N154" s="23" t="n">
        <f aca="false">SUMPRODUCT(($B$130:$B$146=$A154)*N$130:N$146*$C$130:$C$146)</f>
        <v>117.821462874645</v>
      </c>
      <c r="O154" s="23" t="n">
        <f aca="false">SUMPRODUCT(($B$130:$B$146=$A154)*O$130:O$146*$C$130:$C$146)</f>
        <v>117.821462874645</v>
      </c>
      <c r="P154" s="23" t="n">
        <f aca="false">SUMPRODUCT(($B$130:$B$146=$A154)*P$130:P$146*$C$130:$C$146)</f>
        <v>1413.85755449574</v>
      </c>
    </row>
    <row r="155" customFormat="false" ht="15" hidden="false" customHeight="false" outlineLevel="0" collapsed="false">
      <c r="A155" s="4" t="s">
        <v>147</v>
      </c>
      <c r="D155" s="23" t="n">
        <f aca="false">SUMPRODUCT(($B$130:$B$146=$A155)*D$130:D$146*$C$130:$C$146)</f>
        <v>868.495452193346</v>
      </c>
      <c r="E155" s="23" t="n">
        <f aca="false">SUMPRODUCT(($B$130:$B$146=$A155)*E$130:E$146*$C$130:$C$146)</f>
        <v>868.495452193346</v>
      </c>
      <c r="F155" s="23" t="n">
        <f aca="false">SUMPRODUCT(($B$130:$B$146=$A155)*F$130:F$146*$C$130:$C$146)</f>
        <v>868.495452193346</v>
      </c>
      <c r="G155" s="23" t="n">
        <f aca="false">SUMPRODUCT(($B$130:$B$146=$A155)*G$130:G$146*$C$130:$C$146)</f>
        <v>868.495452193346</v>
      </c>
      <c r="H155" s="23" t="n">
        <f aca="false">SUMPRODUCT(($B$130:$B$146=$A155)*H$130:H$146*$C$130:$C$146)</f>
        <v>868.495452193346</v>
      </c>
      <c r="I155" s="23" t="n">
        <f aca="false">SUMPRODUCT(($B$130:$B$146=$A155)*I$130:I$146*$C$130:$C$146)</f>
        <v>868.495452193346</v>
      </c>
      <c r="J155" s="23" t="n">
        <f aca="false">SUMPRODUCT(($B$130:$B$146=$A155)*J$130:J$146*$C$130:$C$146)</f>
        <v>868.495452193346</v>
      </c>
      <c r="K155" s="23" t="n">
        <f aca="false">SUMPRODUCT(($B$130:$B$146=$A155)*K$130:K$146*$C$130:$C$146)</f>
        <v>868.495452193346</v>
      </c>
      <c r="L155" s="23" t="n">
        <f aca="false">SUMPRODUCT(($B$130:$B$146=$A155)*L$130:L$146*$C$130:$C$146)</f>
        <v>868.495452193346</v>
      </c>
      <c r="M155" s="23" t="n">
        <f aca="false">SUMPRODUCT(($B$130:$B$146=$A155)*M$130:M$146*$C$130:$C$146)</f>
        <v>868.495452193346</v>
      </c>
      <c r="N155" s="23" t="n">
        <f aca="false">SUMPRODUCT(($B$130:$B$146=$A155)*N$130:N$146*$C$130:$C$146)</f>
        <v>868.495452193346</v>
      </c>
      <c r="O155" s="23" t="n">
        <f aca="false">SUMPRODUCT(($B$130:$B$146=$A155)*O$130:O$146*$C$130:$C$146)</f>
        <v>868.495452193346</v>
      </c>
      <c r="P155" s="23" t="n">
        <f aca="false">SUMPRODUCT(($B$130:$B$146=$A155)*P$130:P$146*$C$130:$C$146)</f>
        <v>10421.9454263202</v>
      </c>
    </row>
    <row r="156" customFormat="false" ht="15" hidden="false" customHeight="false" outlineLevel="0" collapsed="false">
      <c r="A156" s="4" t="s">
        <v>150</v>
      </c>
      <c r="D156" s="23" t="n">
        <f aca="false">SUMPRODUCT(($B$130:$B$146=$A156)*D$130:D$146*$C$130:$C$146)</f>
        <v>34.5761392882215</v>
      </c>
      <c r="E156" s="23" t="n">
        <f aca="false">SUMPRODUCT(($B$130:$B$146=$A156)*E$130:E$146*$C$130:$C$146)</f>
        <v>34.5761392882215</v>
      </c>
      <c r="F156" s="23" t="n">
        <f aca="false">SUMPRODUCT(($B$130:$B$146=$A156)*F$130:F$146*$C$130:$C$146)</f>
        <v>34.5761392882215</v>
      </c>
      <c r="G156" s="23" t="n">
        <f aca="false">SUMPRODUCT(($B$130:$B$146=$A156)*G$130:G$146*$C$130:$C$146)</f>
        <v>34.5761392882215</v>
      </c>
      <c r="H156" s="23" t="n">
        <f aca="false">SUMPRODUCT(($B$130:$B$146=$A156)*H$130:H$146*$C$130:$C$146)</f>
        <v>34.5761392882215</v>
      </c>
      <c r="I156" s="23" t="n">
        <f aca="false">SUMPRODUCT(($B$130:$B$146=$A156)*I$130:I$146*$C$130:$C$146)</f>
        <v>34.5761392882215</v>
      </c>
      <c r="J156" s="23" t="n">
        <f aca="false">SUMPRODUCT(($B$130:$B$146=$A156)*J$130:J$146*$C$130:$C$146)</f>
        <v>34.5761392882215</v>
      </c>
      <c r="K156" s="23" t="n">
        <f aca="false">SUMPRODUCT(($B$130:$B$146=$A156)*K$130:K$146*$C$130:$C$146)</f>
        <v>34.5761392882215</v>
      </c>
      <c r="L156" s="23" t="n">
        <f aca="false">SUMPRODUCT(($B$130:$B$146=$A156)*L$130:L$146*$C$130:$C$146)</f>
        <v>34.5761392882215</v>
      </c>
      <c r="M156" s="23" t="n">
        <f aca="false">SUMPRODUCT(($B$130:$B$146=$A156)*M$130:M$146*$C$130:$C$146)</f>
        <v>34.5761392882215</v>
      </c>
      <c r="N156" s="23" t="n">
        <f aca="false">SUMPRODUCT(($B$130:$B$146=$A156)*N$130:N$146*$C$130:$C$146)</f>
        <v>34.5761392882215</v>
      </c>
      <c r="O156" s="23" t="n">
        <f aca="false">SUMPRODUCT(($B$130:$B$146=$A156)*O$130:O$146*$C$130:$C$146)</f>
        <v>34.5761392882215</v>
      </c>
      <c r="P156" s="23" t="n">
        <f aca="false">SUMPRODUCT(($B$130:$B$146=$A156)*P$130:P$146*$C$130:$C$146)</f>
        <v>414.913671458658</v>
      </c>
    </row>
    <row r="157" customFormat="false" ht="15" hidden="false" customHeight="false" outlineLevel="0" collapsed="false">
      <c r="A157" s="6" t="s">
        <v>271</v>
      </c>
      <c r="D157" s="24" t="n">
        <f aca="false">SUMPRODUCT(D$130:D$146*parametros_recargas!$D$51:$D$67)</f>
        <v>362.305073236771</v>
      </c>
      <c r="E157" s="24" t="n">
        <f aca="false">SUMPRODUCT(E$130:E$146*parametros_recargas!$D$51:$D$67)</f>
        <v>362.305073236771</v>
      </c>
      <c r="F157" s="24" t="n">
        <f aca="false">SUMPRODUCT(F$130:F$146*parametros_recargas!$D$51:$D$67)</f>
        <v>362.305073236771</v>
      </c>
      <c r="G157" s="24" t="n">
        <f aca="false">SUMPRODUCT(G$130:G$146*parametros_recargas!$D$51:$D$67)</f>
        <v>362.305073236771</v>
      </c>
      <c r="H157" s="24" t="n">
        <f aca="false">SUMPRODUCT(H$130:H$146*parametros_recargas!$D$51:$D$67)</f>
        <v>362.305073236771</v>
      </c>
      <c r="I157" s="24" t="n">
        <f aca="false">SUMPRODUCT(I$130:I$146*parametros_recargas!$D$51:$D$67)</f>
        <v>362.305073236771</v>
      </c>
      <c r="J157" s="24" t="n">
        <f aca="false">SUMPRODUCT(J$130:J$146*parametros_recargas!$D$51:$D$67)</f>
        <v>362.305073236771</v>
      </c>
      <c r="K157" s="24" t="n">
        <f aca="false">SUMPRODUCT(K$130:K$146*parametros_recargas!$D$51:$D$67)</f>
        <v>362.305073236771</v>
      </c>
      <c r="L157" s="24" t="n">
        <f aca="false">SUMPRODUCT(L$130:L$146*parametros_recargas!$D$51:$D$67)</f>
        <v>362.305073236771</v>
      </c>
      <c r="M157" s="24" t="n">
        <f aca="false">SUMPRODUCT(M$130:M$146*parametros_recargas!$D$51:$D$67)</f>
        <v>362.305073236771</v>
      </c>
      <c r="N157" s="24" t="n">
        <f aca="false">SUMPRODUCT(N$130:N$146*parametros_recargas!$D$51:$D$67)</f>
        <v>362.305073236771</v>
      </c>
      <c r="O157" s="24" t="n">
        <f aca="false">SUMPRODUCT(O$130:O$146*parametros_recargas!$D$51:$D$67)</f>
        <v>362.305073236771</v>
      </c>
      <c r="P157" s="24" t="n">
        <f aca="false">SUMPRODUCT(P$130:P$146*parametros_recargas!$D$51:$D$67)</f>
        <v>4347.66087884125</v>
      </c>
    </row>
    <row r="161" customFormat="false" ht="23.85" hidden="false" customHeight="false" outlineLevel="0" collapsed="false">
      <c r="A161" s="21" t="n">
        <v>2031</v>
      </c>
      <c r="B161" s="3" t="s">
        <v>266</v>
      </c>
      <c r="C161" s="3" t="s">
        <v>267</v>
      </c>
      <c r="D161" s="3" t="s">
        <v>120</v>
      </c>
      <c r="E161" s="3" t="s">
        <v>121</v>
      </c>
      <c r="F161" s="3" t="s">
        <v>122</v>
      </c>
      <c r="G161" s="3" t="s">
        <v>123</v>
      </c>
      <c r="H161" s="3" t="s">
        <v>124</v>
      </c>
      <c r="I161" s="3" t="s">
        <v>125</v>
      </c>
      <c r="J161" s="3" t="s">
        <v>126</v>
      </c>
      <c r="K161" s="3" t="s">
        <v>127</v>
      </c>
      <c r="L161" s="3" t="s">
        <v>128</v>
      </c>
      <c r="M161" s="3" t="s">
        <v>129</v>
      </c>
      <c r="N161" s="3" t="s">
        <v>130</v>
      </c>
      <c r="O161" s="3" t="s">
        <v>131</v>
      </c>
      <c r="P161" s="3" t="s">
        <v>132</v>
      </c>
      <c r="Q161" s="3" t="s">
        <v>268</v>
      </c>
    </row>
    <row r="162" customFormat="false" ht="15" hidden="false" customHeight="false" outlineLevel="0" collapsed="false">
      <c r="A162" s="12" t="str">
        <f aca="false">parametros_recargas!A51</f>
        <v>ABC 1 kg</v>
      </c>
      <c r="B162" s="12" t="str">
        <f aca="false">parametros_recargas!B51</f>
        <v>ABC</v>
      </c>
      <c r="C162" s="22" t="n">
        <f aca="false">parametros_recargas!C51</f>
        <v>1</v>
      </c>
      <c r="D162" s="23" t="n">
        <f aca="false">datos_base!$G$2*parametros_recargas!$B$42+sobrestock_sustitutos!$G$175/12</f>
        <v>6963.88353662942</v>
      </c>
      <c r="E162" s="23" t="n">
        <f aca="false">datos_base!$G$2*parametros_recargas!$C$42+sobrestock_sustitutos!$G$175/12</f>
        <v>6963.88353662942</v>
      </c>
      <c r="F162" s="23" t="n">
        <f aca="false">datos_base!$G$2*parametros_recargas!$D$42+sobrestock_sustitutos!$G$175/12</f>
        <v>6963.88353662942</v>
      </c>
      <c r="G162" s="23" t="n">
        <f aca="false">datos_base!$G$2*parametros_recargas!$E$42+sobrestock_sustitutos!$G$175/12</f>
        <v>6963.88353662942</v>
      </c>
      <c r="H162" s="23" t="n">
        <f aca="false">datos_base!$G$2*parametros_recargas!$F$42+sobrestock_sustitutos!$G$175/12</f>
        <v>6963.88353662942</v>
      </c>
      <c r="I162" s="23" t="n">
        <f aca="false">datos_base!$G$2*parametros_recargas!$G$42+sobrestock_sustitutos!$G$175/12</f>
        <v>6963.88353662942</v>
      </c>
      <c r="J162" s="23" t="n">
        <f aca="false">datos_base!$G$2*parametros_recargas!$H$42+sobrestock_sustitutos!$G$175/12</f>
        <v>6963.88353662942</v>
      </c>
      <c r="K162" s="23" t="n">
        <f aca="false">datos_base!$G$2*parametros_recargas!$I$42+sobrestock_sustitutos!$G$175/12</f>
        <v>6963.88353662942</v>
      </c>
      <c r="L162" s="23" t="n">
        <f aca="false">datos_base!$G$2*parametros_recargas!$J$42+sobrestock_sustitutos!$G$175/12</f>
        <v>6963.88353662942</v>
      </c>
      <c r="M162" s="23" t="n">
        <f aca="false">datos_base!$G$2*parametros_recargas!$K$42+sobrestock_sustitutos!$G$175/12</f>
        <v>6963.88353662942</v>
      </c>
      <c r="N162" s="23" t="n">
        <f aca="false">datos_base!$G$2*parametros_recargas!$L$42+sobrestock_sustitutos!$G$175/12</f>
        <v>6963.88353662942</v>
      </c>
      <c r="O162" s="23" t="n">
        <f aca="false">datos_base!$G$2*parametros_recargas!$M$42+sobrestock_sustitutos!$G$175/12</f>
        <v>6963.88353662942</v>
      </c>
      <c r="P162" s="7" t="n">
        <f aca="false">SUM(D162:O162)</f>
        <v>83566.602439553</v>
      </c>
      <c r="Q162" s="13" t="n">
        <f aca="false">sobrestock_sustitutos!$G$175</f>
        <v>0</v>
      </c>
    </row>
    <row r="163" customFormat="false" ht="15" hidden="false" customHeight="false" outlineLevel="0" collapsed="false">
      <c r="A163" s="12" t="str">
        <f aca="false">parametros_recargas!A52</f>
        <v>ABC 2,5 kg</v>
      </c>
      <c r="B163" s="12" t="str">
        <f aca="false">parametros_recargas!B52</f>
        <v>ABC</v>
      </c>
      <c r="C163" s="22" t="n">
        <f aca="false">parametros_recargas!C52</f>
        <v>1</v>
      </c>
      <c r="D163" s="23" t="n">
        <f aca="false">datos_base!$G$3*parametros_recargas!$B$42+sobrestock_sustitutos!$G$176/12</f>
        <v>618.281879812724</v>
      </c>
      <c r="E163" s="23" t="n">
        <f aca="false">datos_base!$G$3*parametros_recargas!$C$42+sobrestock_sustitutos!$G$176/12</f>
        <v>618.281879812724</v>
      </c>
      <c r="F163" s="23" t="n">
        <f aca="false">datos_base!$G$3*parametros_recargas!$D$42+sobrestock_sustitutos!$G$176/12</f>
        <v>618.281879812724</v>
      </c>
      <c r="G163" s="23" t="n">
        <f aca="false">datos_base!$G$3*parametros_recargas!$E$42+sobrestock_sustitutos!$G$176/12</f>
        <v>618.281879812724</v>
      </c>
      <c r="H163" s="23" t="n">
        <f aca="false">datos_base!$G$3*parametros_recargas!$F$42+sobrestock_sustitutos!$G$176/12</f>
        <v>618.281879812724</v>
      </c>
      <c r="I163" s="23" t="n">
        <f aca="false">datos_base!$G$3*parametros_recargas!$G$42+sobrestock_sustitutos!$G$176/12</f>
        <v>618.281879812724</v>
      </c>
      <c r="J163" s="23" t="n">
        <f aca="false">datos_base!$G$3*parametros_recargas!$H$42+sobrestock_sustitutos!$G$176/12</f>
        <v>618.281879812724</v>
      </c>
      <c r="K163" s="23" t="n">
        <f aca="false">datos_base!$G$3*parametros_recargas!$I$42+sobrestock_sustitutos!$G$176/12</f>
        <v>618.281879812724</v>
      </c>
      <c r="L163" s="23" t="n">
        <f aca="false">datos_base!$G$3*parametros_recargas!$J$42+sobrestock_sustitutos!$G$176/12</f>
        <v>618.281879812724</v>
      </c>
      <c r="M163" s="23" t="n">
        <f aca="false">datos_base!$G$3*parametros_recargas!$K$42+sobrestock_sustitutos!$G$176/12</f>
        <v>618.281879812724</v>
      </c>
      <c r="N163" s="23" t="n">
        <f aca="false">datos_base!$G$3*parametros_recargas!$L$42+sobrestock_sustitutos!$G$176/12</f>
        <v>618.281879812724</v>
      </c>
      <c r="O163" s="23" t="n">
        <f aca="false">datos_base!$G$3*parametros_recargas!$M$42+sobrestock_sustitutos!$G$176/12</f>
        <v>618.281879812724</v>
      </c>
      <c r="P163" s="7" t="n">
        <f aca="false">SUM(D163:O163)</f>
        <v>7419.38255775269</v>
      </c>
      <c r="Q163" s="13" t="n">
        <f aca="false">sobrestock_sustitutos!$G$176</f>
        <v>0</v>
      </c>
    </row>
    <row r="164" customFormat="false" ht="15" hidden="false" customHeight="false" outlineLevel="0" collapsed="false">
      <c r="A164" s="12" t="str">
        <f aca="false">parametros_recargas!A53</f>
        <v>ABC 5 kg</v>
      </c>
      <c r="B164" s="12" t="str">
        <f aca="false">parametros_recargas!B53</f>
        <v>ABC</v>
      </c>
      <c r="C164" s="22" t="n">
        <f aca="false">parametros_recargas!C53</f>
        <v>1</v>
      </c>
      <c r="D164" s="23" t="n">
        <f aca="false">datos_base!$G$4*parametros_recargas!$B$42+sobrestock_sustitutos!$G$177/12</f>
        <v>4104.81614044152</v>
      </c>
      <c r="E164" s="23" t="n">
        <f aca="false">datos_base!$G$4*parametros_recargas!$C$42+sobrestock_sustitutos!$G$177/12</f>
        <v>4104.81614044152</v>
      </c>
      <c r="F164" s="23" t="n">
        <f aca="false">datos_base!$G$4*parametros_recargas!$D$42+sobrestock_sustitutos!$G$177/12</f>
        <v>4104.81614044152</v>
      </c>
      <c r="G164" s="23" t="n">
        <f aca="false">datos_base!$G$4*parametros_recargas!$E$42+sobrestock_sustitutos!$G$177/12</f>
        <v>4104.81614044152</v>
      </c>
      <c r="H164" s="23" t="n">
        <f aca="false">datos_base!$G$4*parametros_recargas!$F$42+sobrestock_sustitutos!$G$177/12</f>
        <v>4104.81614044152</v>
      </c>
      <c r="I164" s="23" t="n">
        <f aca="false">datos_base!$G$4*parametros_recargas!$G$42+sobrestock_sustitutos!$G$177/12</f>
        <v>4104.81614044152</v>
      </c>
      <c r="J164" s="23" t="n">
        <f aca="false">datos_base!$G$4*parametros_recargas!$H$42+sobrestock_sustitutos!$G$177/12</f>
        <v>4104.81614044152</v>
      </c>
      <c r="K164" s="23" t="n">
        <f aca="false">datos_base!$G$4*parametros_recargas!$I$42+sobrestock_sustitutos!$G$177/12</f>
        <v>4104.81614044152</v>
      </c>
      <c r="L164" s="23" t="n">
        <f aca="false">datos_base!$G$4*parametros_recargas!$J$42+sobrestock_sustitutos!$G$177/12</f>
        <v>4104.81614044152</v>
      </c>
      <c r="M164" s="23" t="n">
        <f aca="false">datos_base!$G$4*parametros_recargas!$K$42+sobrestock_sustitutos!$G$177/12</f>
        <v>4104.81614044152</v>
      </c>
      <c r="N164" s="23" t="n">
        <f aca="false">datos_base!$G$4*parametros_recargas!$L$42+sobrestock_sustitutos!$G$177/12</f>
        <v>4104.81614044152</v>
      </c>
      <c r="O164" s="23" t="n">
        <f aca="false">datos_base!$G$4*parametros_recargas!$M$42+sobrestock_sustitutos!$G$177/12</f>
        <v>4104.81614044152</v>
      </c>
      <c r="P164" s="7" t="n">
        <f aca="false">SUM(D164:O164)</f>
        <v>49257.7936852982</v>
      </c>
      <c r="Q164" s="13" t="n">
        <f aca="false">sobrestock_sustitutos!$G$177</f>
        <v>3475</v>
      </c>
    </row>
    <row r="165" customFormat="false" ht="15" hidden="false" customHeight="false" outlineLevel="0" collapsed="false">
      <c r="A165" s="12" t="str">
        <f aca="false">parametros_recargas!A54</f>
        <v>ABC 10 kg</v>
      </c>
      <c r="B165" s="12" t="str">
        <f aca="false">parametros_recargas!B54</f>
        <v>ABC</v>
      </c>
      <c r="C165" s="22" t="n">
        <f aca="false">parametros_recargas!C54</f>
        <v>1</v>
      </c>
      <c r="D165" s="23" t="n">
        <f aca="false">datos_base!$G$5*parametros_recargas!$B$42+sobrestock_sustitutos!$G$178/12</f>
        <v>240.674745345309</v>
      </c>
      <c r="E165" s="23" t="n">
        <f aca="false">datos_base!$G$5*parametros_recargas!$C$42+sobrestock_sustitutos!$G$178/12</f>
        <v>240.674745345309</v>
      </c>
      <c r="F165" s="23" t="n">
        <f aca="false">datos_base!$G$5*parametros_recargas!$D$42+sobrestock_sustitutos!$G$178/12</f>
        <v>240.674745345309</v>
      </c>
      <c r="G165" s="23" t="n">
        <f aca="false">datos_base!$G$5*parametros_recargas!$E$42+sobrestock_sustitutos!$G$178/12</f>
        <v>240.674745345309</v>
      </c>
      <c r="H165" s="23" t="n">
        <f aca="false">datos_base!$G$5*parametros_recargas!$F$42+sobrestock_sustitutos!$G$178/12</f>
        <v>240.674745345309</v>
      </c>
      <c r="I165" s="23" t="n">
        <f aca="false">datos_base!$G$5*parametros_recargas!$G$42+sobrestock_sustitutos!$G$178/12</f>
        <v>240.674745345309</v>
      </c>
      <c r="J165" s="23" t="n">
        <f aca="false">datos_base!$G$5*parametros_recargas!$H$42+sobrestock_sustitutos!$G$178/12</f>
        <v>240.674745345309</v>
      </c>
      <c r="K165" s="23" t="n">
        <f aca="false">datos_base!$G$5*parametros_recargas!$I$42+sobrestock_sustitutos!$G$178/12</f>
        <v>240.674745345309</v>
      </c>
      <c r="L165" s="23" t="n">
        <f aca="false">datos_base!$G$5*parametros_recargas!$J$42+sobrestock_sustitutos!$G$178/12</f>
        <v>240.674745345309</v>
      </c>
      <c r="M165" s="23" t="n">
        <f aca="false">datos_base!$G$5*parametros_recargas!$K$42+sobrestock_sustitutos!$G$178/12</f>
        <v>240.674745345309</v>
      </c>
      <c r="N165" s="23" t="n">
        <f aca="false">datos_base!$G$5*parametros_recargas!$L$42+sobrestock_sustitutos!$G$178/12</f>
        <v>240.674745345309</v>
      </c>
      <c r="O165" s="23" t="n">
        <f aca="false">datos_base!$G$5*parametros_recargas!$M$42+sobrestock_sustitutos!$G$178/12</f>
        <v>240.674745345309</v>
      </c>
      <c r="P165" s="7" t="n">
        <f aca="false">SUM(D165:O165)</f>
        <v>2888.09694414371</v>
      </c>
      <c r="Q165" s="13" t="n">
        <f aca="false">sobrestock_sustitutos!$G$178</f>
        <v>176</v>
      </c>
    </row>
    <row r="166" customFormat="false" ht="15" hidden="false" customHeight="false" outlineLevel="0" collapsed="false">
      <c r="A166" s="12" t="str">
        <f aca="false">parametros_recargas!A55</f>
        <v>Agua 10 l</v>
      </c>
      <c r="B166" s="12" t="str">
        <f aca="false">parametros_recargas!B55</f>
        <v>Agua</v>
      </c>
      <c r="C166" s="22" t="n">
        <f aca="false">parametros_recargas!C55</f>
        <v>1</v>
      </c>
      <c r="D166" s="23" t="n">
        <f aca="false">datos_base!$G$6*parametros_recargas!$B$42+sobrestock_sustitutos!$G$179/12</f>
        <v>331.816348269816</v>
      </c>
      <c r="E166" s="23" t="n">
        <f aca="false">datos_base!$G$6*parametros_recargas!$C$42+sobrestock_sustitutos!$G$179/12</f>
        <v>331.816348269816</v>
      </c>
      <c r="F166" s="23" t="n">
        <f aca="false">datos_base!$G$6*parametros_recargas!$D$42+sobrestock_sustitutos!$G$179/12</f>
        <v>331.816348269816</v>
      </c>
      <c r="G166" s="23" t="n">
        <f aca="false">datos_base!$G$6*parametros_recargas!$E$42+sobrestock_sustitutos!$G$179/12</f>
        <v>331.816348269816</v>
      </c>
      <c r="H166" s="23" t="n">
        <f aca="false">datos_base!$G$6*parametros_recargas!$F$42+sobrestock_sustitutos!$G$179/12</f>
        <v>331.816348269816</v>
      </c>
      <c r="I166" s="23" t="n">
        <f aca="false">datos_base!$G$6*parametros_recargas!$G$42+sobrestock_sustitutos!$G$179/12</f>
        <v>331.816348269816</v>
      </c>
      <c r="J166" s="23" t="n">
        <f aca="false">datos_base!$G$6*parametros_recargas!$H$42+sobrestock_sustitutos!$G$179/12</f>
        <v>331.816348269816</v>
      </c>
      <c r="K166" s="23" t="n">
        <f aca="false">datos_base!$G$6*parametros_recargas!$I$42+sobrestock_sustitutos!$G$179/12</f>
        <v>331.816348269816</v>
      </c>
      <c r="L166" s="23" t="n">
        <f aca="false">datos_base!$G$6*parametros_recargas!$J$42+sobrestock_sustitutos!$G$179/12</f>
        <v>331.816348269816</v>
      </c>
      <c r="M166" s="23" t="n">
        <f aca="false">datos_base!$G$6*parametros_recargas!$K$42+sobrestock_sustitutos!$G$179/12</f>
        <v>331.816348269816</v>
      </c>
      <c r="N166" s="23" t="n">
        <f aca="false">datos_base!$G$6*parametros_recargas!$L$42+sobrestock_sustitutos!$G$179/12</f>
        <v>331.816348269816</v>
      </c>
      <c r="O166" s="23" t="n">
        <f aca="false">datos_base!$G$6*parametros_recargas!$M$42+sobrestock_sustitutos!$G$179/12</f>
        <v>331.816348269816</v>
      </c>
      <c r="P166" s="7" t="n">
        <f aca="false">SUM(D166:O166)</f>
        <v>3981.7961792378</v>
      </c>
      <c r="Q166" s="13" t="n">
        <f aca="false">sobrestock_sustitutos!$G$179</f>
        <v>184</v>
      </c>
    </row>
    <row r="167" customFormat="false" ht="15" hidden="false" customHeight="false" outlineLevel="0" collapsed="false">
      <c r="A167" s="12" t="str">
        <f aca="false">parametros_recargas!A56</f>
        <v>AFFF 10 l</v>
      </c>
      <c r="B167" s="12" t="str">
        <f aca="false">parametros_recargas!B56</f>
        <v>AFFF</v>
      </c>
      <c r="C167" s="22" t="n">
        <f aca="false">parametros_recargas!C56</f>
        <v>1</v>
      </c>
      <c r="D167" s="23" t="n">
        <f aca="false">datos_base!$G$7*parametros_recargas!$B$42+sobrestock_sustitutos!$G$180/12</f>
        <v>60.0282334456397</v>
      </c>
      <c r="E167" s="23" t="n">
        <f aca="false">datos_base!$G$7*parametros_recargas!$C$42+sobrestock_sustitutos!$G$180/12</f>
        <v>60.0282334456397</v>
      </c>
      <c r="F167" s="23" t="n">
        <f aca="false">datos_base!$G$7*parametros_recargas!$D$42+sobrestock_sustitutos!$G$180/12</f>
        <v>60.0282334456397</v>
      </c>
      <c r="G167" s="23" t="n">
        <f aca="false">datos_base!$G$7*parametros_recargas!$E$42+sobrestock_sustitutos!$G$180/12</f>
        <v>60.0282334456397</v>
      </c>
      <c r="H167" s="23" t="n">
        <f aca="false">datos_base!$G$7*parametros_recargas!$F$42+sobrestock_sustitutos!$G$180/12</f>
        <v>60.0282334456397</v>
      </c>
      <c r="I167" s="23" t="n">
        <f aca="false">datos_base!$G$7*parametros_recargas!$G$42+sobrestock_sustitutos!$G$180/12</f>
        <v>60.0282334456397</v>
      </c>
      <c r="J167" s="23" t="n">
        <f aca="false">datos_base!$G$7*parametros_recargas!$H$42+sobrestock_sustitutos!$G$180/12</f>
        <v>60.0282334456397</v>
      </c>
      <c r="K167" s="23" t="n">
        <f aca="false">datos_base!$G$7*parametros_recargas!$I$42+sobrestock_sustitutos!$G$180/12</f>
        <v>60.0282334456397</v>
      </c>
      <c r="L167" s="23" t="n">
        <f aca="false">datos_base!$G$7*parametros_recargas!$J$42+sobrestock_sustitutos!$G$180/12</f>
        <v>60.0282334456397</v>
      </c>
      <c r="M167" s="23" t="n">
        <f aca="false">datos_base!$G$7*parametros_recargas!$K$42+sobrestock_sustitutos!$G$180/12</f>
        <v>60.0282334456397</v>
      </c>
      <c r="N167" s="23" t="n">
        <f aca="false">datos_base!$G$7*parametros_recargas!$L$42+sobrestock_sustitutos!$G$180/12</f>
        <v>60.0282334456397</v>
      </c>
      <c r="O167" s="23" t="n">
        <f aca="false">datos_base!$G$7*parametros_recargas!$M$42+sobrestock_sustitutos!$G$180/12</f>
        <v>60.0282334456397</v>
      </c>
      <c r="P167" s="7" t="n">
        <f aca="false">SUM(D167:O167)</f>
        <v>720.338801347676</v>
      </c>
      <c r="Q167" s="13" t="n">
        <f aca="false">sobrestock_sustitutos!$G$180</f>
        <v>35</v>
      </c>
    </row>
    <row r="168" customFormat="false" ht="15" hidden="false" customHeight="false" outlineLevel="0" collapsed="false">
      <c r="A168" s="12" t="str">
        <f aca="false">parametros_recargas!A57</f>
        <v>AFFF 50 l s/ruedas</v>
      </c>
      <c r="B168" s="12" t="str">
        <f aca="false">parametros_recargas!B57</f>
        <v>AFFF</v>
      </c>
      <c r="C168" s="22" t="n">
        <f aca="false">parametros_recargas!C57</f>
        <v>3</v>
      </c>
      <c r="D168" s="23" t="n">
        <f aca="false">datos_base!$G$8*parametros_recargas!$B$42+sobrestock_sustitutos!$G$181/12</f>
        <v>32.1018114686651</v>
      </c>
      <c r="E168" s="23" t="n">
        <f aca="false">datos_base!$G$8*parametros_recargas!$C$42+sobrestock_sustitutos!$G$181/12</f>
        <v>32.1018114686651</v>
      </c>
      <c r="F168" s="23" t="n">
        <f aca="false">datos_base!$G$8*parametros_recargas!$D$42+sobrestock_sustitutos!$G$181/12</f>
        <v>32.1018114686651</v>
      </c>
      <c r="G168" s="23" t="n">
        <f aca="false">datos_base!$G$8*parametros_recargas!$E$42+sobrestock_sustitutos!$G$181/12</f>
        <v>32.1018114686651</v>
      </c>
      <c r="H168" s="23" t="n">
        <f aca="false">datos_base!$G$8*parametros_recargas!$F$42+sobrestock_sustitutos!$G$181/12</f>
        <v>32.1018114686651</v>
      </c>
      <c r="I168" s="23" t="n">
        <f aca="false">datos_base!$G$8*parametros_recargas!$G$42+sobrestock_sustitutos!$G$181/12</f>
        <v>32.1018114686651</v>
      </c>
      <c r="J168" s="23" t="n">
        <f aca="false">datos_base!$G$8*parametros_recargas!$H$42+sobrestock_sustitutos!$G$181/12</f>
        <v>32.1018114686651</v>
      </c>
      <c r="K168" s="23" t="n">
        <f aca="false">datos_base!$G$8*parametros_recargas!$I$42+sobrestock_sustitutos!$G$181/12</f>
        <v>32.1018114686651</v>
      </c>
      <c r="L168" s="23" t="n">
        <f aca="false">datos_base!$G$8*parametros_recargas!$J$42+sobrestock_sustitutos!$G$181/12</f>
        <v>32.1018114686651</v>
      </c>
      <c r="M168" s="23" t="n">
        <f aca="false">datos_base!$G$8*parametros_recargas!$K$42+sobrestock_sustitutos!$G$181/12</f>
        <v>32.1018114686651</v>
      </c>
      <c r="N168" s="23" t="n">
        <f aca="false">datos_base!$G$8*parametros_recargas!$L$42+sobrestock_sustitutos!$G$181/12</f>
        <v>32.1018114686651</v>
      </c>
      <c r="O168" s="23" t="n">
        <f aca="false">datos_base!$G$8*parametros_recargas!$M$42+sobrestock_sustitutos!$G$181/12</f>
        <v>32.1018114686651</v>
      </c>
      <c r="P168" s="7" t="n">
        <f aca="false">SUM(D168:O168)</f>
        <v>385.221737623981</v>
      </c>
      <c r="Q168" s="13" t="n">
        <f aca="false">sobrestock_sustitutos!$G$181</f>
        <v>19</v>
      </c>
    </row>
    <row r="169" customFormat="false" ht="15" hidden="false" customHeight="false" outlineLevel="0" collapsed="false">
      <c r="A169" s="12" t="str">
        <f aca="false">parametros_recargas!A58</f>
        <v>BC 5 kg</v>
      </c>
      <c r="B169" s="12" t="str">
        <f aca="false">parametros_recargas!B58</f>
        <v>BC</v>
      </c>
      <c r="C169" s="22" t="n">
        <f aca="false">parametros_recargas!C58</f>
        <v>1</v>
      </c>
      <c r="D169" s="23" t="n">
        <f aca="false">datos_base!$G$9*parametros_recargas!$B$42+sobrestock_sustitutos!$G$182/12</f>
        <v>18.4785255401079</v>
      </c>
      <c r="E169" s="23" t="n">
        <f aca="false">datos_base!$G$9*parametros_recargas!$C$42+sobrestock_sustitutos!$G$182/12</f>
        <v>18.4785255401079</v>
      </c>
      <c r="F169" s="23" t="n">
        <f aca="false">datos_base!$G$9*parametros_recargas!$D$42+sobrestock_sustitutos!$G$182/12</f>
        <v>18.4785255401079</v>
      </c>
      <c r="G169" s="23" t="n">
        <f aca="false">datos_base!$G$9*parametros_recargas!$E$42+sobrestock_sustitutos!$G$182/12</f>
        <v>18.4785255401079</v>
      </c>
      <c r="H169" s="23" t="n">
        <f aca="false">datos_base!$G$9*parametros_recargas!$F$42+sobrestock_sustitutos!$G$182/12</f>
        <v>18.4785255401079</v>
      </c>
      <c r="I169" s="23" t="n">
        <f aca="false">datos_base!$G$9*parametros_recargas!$G$42+sobrestock_sustitutos!$G$182/12</f>
        <v>18.4785255401079</v>
      </c>
      <c r="J169" s="23" t="n">
        <f aca="false">datos_base!$G$9*parametros_recargas!$H$42+sobrestock_sustitutos!$G$182/12</f>
        <v>18.4785255401079</v>
      </c>
      <c r="K169" s="23" t="n">
        <f aca="false">datos_base!$G$9*parametros_recargas!$I$42+sobrestock_sustitutos!$G$182/12</f>
        <v>18.4785255401079</v>
      </c>
      <c r="L169" s="23" t="n">
        <f aca="false">datos_base!$G$9*parametros_recargas!$J$42+sobrestock_sustitutos!$G$182/12</f>
        <v>18.4785255401079</v>
      </c>
      <c r="M169" s="23" t="n">
        <f aca="false">datos_base!$G$9*parametros_recargas!$K$42+sobrestock_sustitutos!$G$182/12</f>
        <v>18.4785255401079</v>
      </c>
      <c r="N169" s="23" t="n">
        <f aca="false">datos_base!$G$9*parametros_recargas!$L$42+sobrestock_sustitutos!$G$182/12</f>
        <v>18.4785255401079</v>
      </c>
      <c r="O169" s="23" t="n">
        <f aca="false">datos_base!$G$9*parametros_recargas!$M$42+sobrestock_sustitutos!$G$182/12</f>
        <v>18.4785255401079</v>
      </c>
      <c r="P169" s="7" t="n">
        <f aca="false">SUM(D169:O169)</f>
        <v>221.742306481294</v>
      </c>
      <c r="Q169" s="13" t="n">
        <f aca="false">sobrestock_sustitutos!$G$182</f>
        <v>14</v>
      </c>
    </row>
    <row r="170" customFormat="false" ht="15" hidden="false" customHeight="false" outlineLevel="0" collapsed="false">
      <c r="A170" s="12" t="str">
        <f aca="false">parametros_recargas!A59</f>
        <v>Sales K 6 l</v>
      </c>
      <c r="B170" s="12" t="str">
        <f aca="false">parametros_recargas!B59</f>
        <v>Sales K</v>
      </c>
      <c r="C170" s="22" t="n">
        <f aca="false">parametros_recargas!C59</f>
        <v>1</v>
      </c>
      <c r="D170" s="23" t="n">
        <f aca="false">datos_base!$G$10*parametros_recargas!$B$42+sobrestock_sustitutos!$G$183/12</f>
        <v>161.628909645686</v>
      </c>
      <c r="E170" s="23" t="n">
        <f aca="false">datos_base!$G$10*parametros_recargas!$C$42+sobrestock_sustitutos!$G$183/12</f>
        <v>161.628909645686</v>
      </c>
      <c r="F170" s="23" t="n">
        <f aca="false">datos_base!$G$10*parametros_recargas!$D$42+sobrestock_sustitutos!$G$183/12</f>
        <v>161.628909645686</v>
      </c>
      <c r="G170" s="23" t="n">
        <f aca="false">datos_base!$G$10*parametros_recargas!$E$42+sobrestock_sustitutos!$G$183/12</f>
        <v>161.628909645686</v>
      </c>
      <c r="H170" s="23" t="n">
        <f aca="false">datos_base!$G$10*parametros_recargas!$F$42+sobrestock_sustitutos!$G$183/12</f>
        <v>161.628909645686</v>
      </c>
      <c r="I170" s="23" t="n">
        <f aca="false">datos_base!$G$10*parametros_recargas!$G$42+sobrestock_sustitutos!$G$183/12</f>
        <v>161.628909645686</v>
      </c>
      <c r="J170" s="23" t="n">
        <f aca="false">datos_base!$G$10*parametros_recargas!$H$42+sobrestock_sustitutos!$G$183/12</f>
        <v>161.628909645686</v>
      </c>
      <c r="K170" s="23" t="n">
        <f aca="false">datos_base!$G$10*parametros_recargas!$I$42+sobrestock_sustitutos!$G$183/12</f>
        <v>161.628909645686</v>
      </c>
      <c r="L170" s="23" t="n">
        <f aca="false">datos_base!$G$10*parametros_recargas!$J$42+sobrestock_sustitutos!$G$183/12</f>
        <v>161.628909645686</v>
      </c>
      <c r="M170" s="23" t="n">
        <f aca="false">datos_base!$G$10*parametros_recargas!$K$42+sobrestock_sustitutos!$G$183/12</f>
        <v>161.628909645686</v>
      </c>
      <c r="N170" s="23" t="n">
        <f aca="false">datos_base!$G$10*parametros_recargas!$L$42+sobrestock_sustitutos!$G$183/12</f>
        <v>161.628909645686</v>
      </c>
      <c r="O170" s="23" t="n">
        <f aca="false">datos_base!$G$10*parametros_recargas!$M$42+sobrestock_sustitutos!$G$183/12</f>
        <v>161.628909645686</v>
      </c>
      <c r="P170" s="7" t="n">
        <f aca="false">SUM(D170:O170)</f>
        <v>1939.54691574823</v>
      </c>
      <c r="Q170" s="13" t="n">
        <f aca="false">sobrestock_sustitutos!$G$183</f>
        <v>90</v>
      </c>
    </row>
    <row r="171" customFormat="false" ht="15" hidden="false" customHeight="false" outlineLevel="0" collapsed="false">
      <c r="A171" s="12" t="str">
        <f aca="false">parametros_recargas!A60</f>
        <v>CO₂ 2 kg</v>
      </c>
      <c r="B171" s="12" t="str">
        <f aca="false">parametros_recargas!B60</f>
        <v>CO₂</v>
      </c>
      <c r="C171" s="22" t="n">
        <f aca="false">parametros_recargas!C60</f>
        <v>1</v>
      </c>
      <c r="D171" s="23" t="n">
        <f aca="false">datos_base!$G$11*parametros_recargas!$B$42+sobrestock_sustitutos!$G$184/12</f>
        <v>860.930452083509</v>
      </c>
      <c r="E171" s="23" t="n">
        <f aca="false">datos_base!$G$11*parametros_recargas!$C$42+sobrestock_sustitutos!$G$184/12</f>
        <v>860.930452083509</v>
      </c>
      <c r="F171" s="23" t="n">
        <f aca="false">datos_base!$G$11*parametros_recargas!$D$42+sobrestock_sustitutos!$G$184/12</f>
        <v>860.930452083509</v>
      </c>
      <c r="G171" s="23" t="n">
        <f aca="false">datos_base!$G$11*parametros_recargas!$E$42+sobrestock_sustitutos!$G$184/12</f>
        <v>860.930452083509</v>
      </c>
      <c r="H171" s="23" t="n">
        <f aca="false">datos_base!$G$11*parametros_recargas!$F$42+sobrestock_sustitutos!$G$184/12</f>
        <v>860.930452083509</v>
      </c>
      <c r="I171" s="23" t="n">
        <f aca="false">datos_base!$G$11*parametros_recargas!$G$42+sobrestock_sustitutos!$G$184/12</f>
        <v>860.930452083509</v>
      </c>
      <c r="J171" s="23" t="n">
        <f aca="false">datos_base!$G$11*parametros_recargas!$H$42+sobrestock_sustitutos!$G$184/12</f>
        <v>860.930452083509</v>
      </c>
      <c r="K171" s="23" t="n">
        <f aca="false">datos_base!$G$11*parametros_recargas!$I$42+sobrestock_sustitutos!$G$184/12</f>
        <v>860.930452083509</v>
      </c>
      <c r="L171" s="23" t="n">
        <f aca="false">datos_base!$G$11*parametros_recargas!$J$42+sobrestock_sustitutos!$G$184/12</f>
        <v>860.930452083509</v>
      </c>
      <c r="M171" s="23" t="n">
        <f aca="false">datos_base!$G$11*parametros_recargas!$K$42+sobrestock_sustitutos!$G$184/12</f>
        <v>860.930452083509</v>
      </c>
      <c r="N171" s="23" t="n">
        <f aca="false">datos_base!$G$11*parametros_recargas!$L$42+sobrestock_sustitutos!$G$184/12</f>
        <v>860.930452083509</v>
      </c>
      <c r="O171" s="23" t="n">
        <f aca="false">datos_base!$G$11*parametros_recargas!$M$42+sobrestock_sustitutos!$G$184/12</f>
        <v>860.930452083509</v>
      </c>
      <c r="P171" s="7" t="n">
        <f aca="false">SUM(D171:O171)</f>
        <v>10331.1654250021</v>
      </c>
      <c r="Q171" s="13" t="n">
        <f aca="false">sobrestock_sustitutos!$G$184</f>
        <v>0</v>
      </c>
    </row>
    <row r="172" customFormat="false" ht="15" hidden="false" customHeight="false" outlineLevel="0" collapsed="false">
      <c r="A172" s="12" t="str">
        <f aca="false">parametros_recargas!A61</f>
        <v>CO₂ 5 kg</v>
      </c>
      <c r="B172" s="12" t="str">
        <f aca="false">parametros_recargas!B61</f>
        <v>CO₂</v>
      </c>
      <c r="C172" s="22" t="n">
        <f aca="false">parametros_recargas!C61</f>
        <v>1</v>
      </c>
      <c r="D172" s="23" t="n">
        <f aca="false">datos_base!$G$12*parametros_recargas!$B$42+sobrestock_sustitutos!$G$185/12</f>
        <v>335.498972087058</v>
      </c>
      <c r="E172" s="23" t="n">
        <f aca="false">datos_base!$G$12*parametros_recargas!$C$42+sobrestock_sustitutos!$G$185/12</f>
        <v>335.498972087058</v>
      </c>
      <c r="F172" s="23" t="n">
        <f aca="false">datos_base!$G$12*parametros_recargas!$D$42+sobrestock_sustitutos!$G$185/12</f>
        <v>335.498972087058</v>
      </c>
      <c r="G172" s="23" t="n">
        <f aca="false">datos_base!$G$12*parametros_recargas!$E$42+sobrestock_sustitutos!$G$185/12</f>
        <v>335.498972087058</v>
      </c>
      <c r="H172" s="23" t="n">
        <f aca="false">datos_base!$G$12*parametros_recargas!$F$42+sobrestock_sustitutos!$G$185/12</f>
        <v>335.498972087058</v>
      </c>
      <c r="I172" s="23" t="n">
        <f aca="false">datos_base!$G$12*parametros_recargas!$G$42+sobrestock_sustitutos!$G$185/12</f>
        <v>335.498972087058</v>
      </c>
      <c r="J172" s="23" t="n">
        <f aca="false">datos_base!$G$12*parametros_recargas!$H$42+sobrestock_sustitutos!$G$185/12</f>
        <v>335.498972087058</v>
      </c>
      <c r="K172" s="23" t="n">
        <f aca="false">datos_base!$G$12*parametros_recargas!$I$42+sobrestock_sustitutos!$G$185/12</f>
        <v>335.498972087058</v>
      </c>
      <c r="L172" s="23" t="n">
        <f aca="false">datos_base!$G$12*parametros_recargas!$J$42+sobrestock_sustitutos!$G$185/12</f>
        <v>335.498972087058</v>
      </c>
      <c r="M172" s="23" t="n">
        <f aca="false">datos_base!$G$12*parametros_recargas!$K$42+sobrestock_sustitutos!$G$185/12</f>
        <v>335.498972087058</v>
      </c>
      <c r="N172" s="23" t="n">
        <f aca="false">datos_base!$G$12*parametros_recargas!$L$42+sobrestock_sustitutos!$G$185/12</f>
        <v>335.498972087058</v>
      </c>
      <c r="O172" s="23" t="n">
        <f aca="false">datos_base!$G$12*parametros_recargas!$M$42+sobrestock_sustitutos!$G$185/12</f>
        <v>335.498972087058</v>
      </c>
      <c r="P172" s="7" t="n">
        <f aca="false">SUM(D172:O172)</f>
        <v>4025.9876650447</v>
      </c>
      <c r="Q172" s="13" t="n">
        <f aca="false">sobrestock_sustitutos!$G$185</f>
        <v>664</v>
      </c>
    </row>
    <row r="173" customFormat="false" ht="15" hidden="false" customHeight="false" outlineLevel="0" collapsed="false">
      <c r="A173" s="12" t="str">
        <f aca="false">parametros_recargas!A62</f>
        <v>HCFC/HFC 5 kg</v>
      </c>
      <c r="B173" s="12" t="str">
        <f aca="false">parametros_recargas!B62</f>
        <v>Halogenado</v>
      </c>
      <c r="C173" s="22" t="n">
        <f aca="false">parametros_recargas!C62</f>
        <v>1</v>
      </c>
      <c r="D173" s="23" t="n">
        <f aca="false">datos_base!$G$13*parametros_recargas!$B$42+sobrestock_sustitutos!$G$186/12</f>
        <v>46.9929730509854</v>
      </c>
      <c r="E173" s="23" t="n">
        <f aca="false">datos_base!$G$13*parametros_recargas!$C$42+sobrestock_sustitutos!$G$186/12</f>
        <v>46.9929730509854</v>
      </c>
      <c r="F173" s="23" t="n">
        <f aca="false">datos_base!$G$13*parametros_recargas!$D$42+sobrestock_sustitutos!$G$186/12</f>
        <v>46.9929730509854</v>
      </c>
      <c r="G173" s="23" t="n">
        <f aca="false">datos_base!$G$13*parametros_recargas!$E$42+sobrestock_sustitutos!$G$186/12</f>
        <v>46.9929730509854</v>
      </c>
      <c r="H173" s="23" t="n">
        <f aca="false">datos_base!$G$13*parametros_recargas!$F$42+sobrestock_sustitutos!$G$186/12</f>
        <v>46.9929730509854</v>
      </c>
      <c r="I173" s="23" t="n">
        <f aca="false">datos_base!$G$13*parametros_recargas!$G$42+sobrestock_sustitutos!$G$186/12</f>
        <v>46.9929730509854</v>
      </c>
      <c r="J173" s="23" t="n">
        <f aca="false">datos_base!$G$13*parametros_recargas!$H$42+sobrestock_sustitutos!$G$186/12</f>
        <v>46.9929730509854</v>
      </c>
      <c r="K173" s="23" t="n">
        <f aca="false">datos_base!$G$13*parametros_recargas!$I$42+sobrestock_sustitutos!$G$186/12</f>
        <v>46.9929730509854</v>
      </c>
      <c r="L173" s="23" t="n">
        <f aca="false">datos_base!$G$13*parametros_recargas!$J$42+sobrestock_sustitutos!$G$186/12</f>
        <v>46.9929730509854</v>
      </c>
      <c r="M173" s="23" t="n">
        <f aca="false">datos_base!$G$13*parametros_recargas!$K$42+sobrestock_sustitutos!$G$186/12</f>
        <v>46.9929730509854</v>
      </c>
      <c r="N173" s="23" t="n">
        <f aca="false">datos_base!$G$13*parametros_recargas!$L$42+sobrestock_sustitutos!$G$186/12</f>
        <v>46.9929730509854</v>
      </c>
      <c r="O173" s="23" t="n">
        <f aca="false">datos_base!$G$13*parametros_recargas!$M$42+sobrestock_sustitutos!$G$186/12</f>
        <v>46.9929730509854</v>
      </c>
      <c r="P173" s="7" t="n">
        <f aca="false">SUM(D173:O173)</f>
        <v>563.915676611825</v>
      </c>
      <c r="Q173" s="13" t="n">
        <f aca="false">sobrestock_sustitutos!$G$186</f>
        <v>27</v>
      </c>
    </row>
    <row r="174" customFormat="false" ht="15" hidden="false" customHeight="false" outlineLevel="0" collapsed="false">
      <c r="A174" s="12" t="str">
        <f aca="false">parametros_recargas!A63</f>
        <v>Clase D 9 l</v>
      </c>
      <c r="B174" s="12" t="str">
        <f aca="false">parametros_recargas!B63</f>
        <v>Clase D</v>
      </c>
      <c r="C174" s="22" t="n">
        <f aca="false">parametros_recargas!C63</f>
        <v>1</v>
      </c>
      <c r="D174" s="23" t="n">
        <f aca="false">datos_base!$G$14*parametros_recargas!$B$42+sobrestock_sustitutos!$G$187/12</f>
        <v>16.2536911125769</v>
      </c>
      <c r="E174" s="23" t="n">
        <f aca="false">datos_base!$G$14*parametros_recargas!$C$42+sobrestock_sustitutos!$G$187/12</f>
        <v>16.2536911125769</v>
      </c>
      <c r="F174" s="23" t="n">
        <f aca="false">datos_base!$G$14*parametros_recargas!$D$42+sobrestock_sustitutos!$G$187/12</f>
        <v>16.2536911125769</v>
      </c>
      <c r="G174" s="23" t="n">
        <f aca="false">datos_base!$G$14*parametros_recargas!$E$42+sobrestock_sustitutos!$G$187/12</f>
        <v>16.2536911125769</v>
      </c>
      <c r="H174" s="23" t="n">
        <f aca="false">datos_base!$G$14*parametros_recargas!$F$42+sobrestock_sustitutos!$G$187/12</f>
        <v>16.2536911125769</v>
      </c>
      <c r="I174" s="23" t="n">
        <f aca="false">datos_base!$G$14*parametros_recargas!$G$42+sobrestock_sustitutos!$G$187/12</f>
        <v>16.2536911125769</v>
      </c>
      <c r="J174" s="23" t="n">
        <f aca="false">datos_base!$G$14*parametros_recargas!$H$42+sobrestock_sustitutos!$G$187/12</f>
        <v>16.2536911125769</v>
      </c>
      <c r="K174" s="23" t="n">
        <f aca="false">datos_base!$G$14*parametros_recargas!$I$42+sobrestock_sustitutos!$G$187/12</f>
        <v>16.2536911125769</v>
      </c>
      <c r="L174" s="23" t="n">
        <f aca="false">datos_base!$G$14*parametros_recargas!$J$42+sobrestock_sustitutos!$G$187/12</f>
        <v>16.2536911125769</v>
      </c>
      <c r="M174" s="23" t="n">
        <f aca="false">datos_base!$G$14*parametros_recargas!$K$42+sobrestock_sustitutos!$G$187/12</f>
        <v>16.2536911125769</v>
      </c>
      <c r="N174" s="23" t="n">
        <f aca="false">datos_base!$G$14*parametros_recargas!$L$42+sobrestock_sustitutos!$G$187/12</f>
        <v>16.2536911125769</v>
      </c>
      <c r="O174" s="23" t="n">
        <f aca="false">datos_base!$G$14*parametros_recargas!$M$42+sobrestock_sustitutos!$G$187/12</f>
        <v>16.2536911125769</v>
      </c>
      <c r="P174" s="7" t="n">
        <f aca="false">SUM(D174:O174)</f>
        <v>195.044293350923</v>
      </c>
      <c r="Q174" s="13" t="n">
        <f aca="false">sobrestock_sustitutos!$G$187</f>
        <v>13</v>
      </c>
    </row>
    <row r="175" customFormat="false" ht="15" hidden="false" customHeight="false" outlineLevel="0" collapsed="false">
      <c r="A175" s="12" t="str">
        <f aca="false">parametros_recargas!A64</f>
        <v>ABC 25 kg s/ruedas</v>
      </c>
      <c r="B175" s="12" t="str">
        <f aca="false">parametros_recargas!B64</f>
        <v>ABC</v>
      </c>
      <c r="C175" s="22" t="n">
        <f aca="false">parametros_recargas!C64</f>
        <v>3</v>
      </c>
      <c r="D175" s="23" t="n">
        <f aca="false">datos_base!$G$15*parametros_recargas!$B$42+sobrestock_sustitutos!$G$188/12</f>
        <v>38.1517324080761</v>
      </c>
      <c r="E175" s="23" t="n">
        <f aca="false">datos_base!$G$15*parametros_recargas!$C$42+sobrestock_sustitutos!$G$188/12</f>
        <v>38.1517324080761</v>
      </c>
      <c r="F175" s="23" t="n">
        <f aca="false">datos_base!$G$15*parametros_recargas!$D$42+sobrestock_sustitutos!$G$188/12</f>
        <v>38.1517324080761</v>
      </c>
      <c r="G175" s="23" t="n">
        <f aca="false">datos_base!$G$15*parametros_recargas!$E$42+sobrestock_sustitutos!$G$188/12</f>
        <v>38.1517324080761</v>
      </c>
      <c r="H175" s="23" t="n">
        <f aca="false">datos_base!$G$15*parametros_recargas!$F$42+sobrestock_sustitutos!$G$188/12</f>
        <v>38.1517324080761</v>
      </c>
      <c r="I175" s="23" t="n">
        <f aca="false">datos_base!$G$15*parametros_recargas!$G$42+sobrestock_sustitutos!$G$188/12</f>
        <v>38.1517324080761</v>
      </c>
      <c r="J175" s="23" t="n">
        <f aca="false">datos_base!$G$15*parametros_recargas!$H$42+sobrestock_sustitutos!$G$188/12</f>
        <v>38.1517324080761</v>
      </c>
      <c r="K175" s="23" t="n">
        <f aca="false">datos_base!$G$15*parametros_recargas!$I$42+sobrestock_sustitutos!$G$188/12</f>
        <v>38.1517324080761</v>
      </c>
      <c r="L175" s="23" t="n">
        <f aca="false">datos_base!$G$15*parametros_recargas!$J$42+sobrestock_sustitutos!$G$188/12</f>
        <v>38.1517324080761</v>
      </c>
      <c r="M175" s="23" t="n">
        <f aca="false">datos_base!$G$15*parametros_recargas!$K$42+sobrestock_sustitutos!$G$188/12</f>
        <v>38.1517324080761</v>
      </c>
      <c r="N175" s="23" t="n">
        <f aca="false">datos_base!$G$15*parametros_recargas!$L$42+sobrestock_sustitutos!$G$188/12</f>
        <v>38.1517324080761</v>
      </c>
      <c r="O175" s="23" t="n">
        <f aca="false">datos_base!$G$15*parametros_recargas!$M$42+sobrestock_sustitutos!$G$188/12</f>
        <v>38.1517324080761</v>
      </c>
      <c r="P175" s="7" t="n">
        <f aca="false">SUM(D175:O175)</f>
        <v>457.820788896913</v>
      </c>
      <c r="Q175" s="13" t="n">
        <f aca="false">sobrestock_sustitutos!$G$188</f>
        <v>0</v>
      </c>
    </row>
    <row r="176" customFormat="false" ht="15" hidden="false" customHeight="false" outlineLevel="0" collapsed="false">
      <c r="A176" s="12" t="str">
        <f aca="false">parametros_recargas!A65</f>
        <v>ABC 50 kg s/ruedas</v>
      </c>
      <c r="B176" s="12" t="str">
        <f aca="false">parametros_recargas!B65</f>
        <v>ABC</v>
      </c>
      <c r="C176" s="22" t="n">
        <f aca="false">parametros_recargas!C65</f>
        <v>3</v>
      </c>
      <c r="D176" s="23" t="n">
        <f aca="false">datos_base!$G$16*parametros_recargas!$B$42+sobrestock_sustitutos!$G$189/12</f>
        <v>91.9338113570811</v>
      </c>
      <c r="E176" s="23" t="n">
        <f aca="false">datos_base!$G$16*parametros_recargas!$C$42+sobrestock_sustitutos!$G$189/12</f>
        <v>91.9338113570811</v>
      </c>
      <c r="F176" s="23" t="n">
        <f aca="false">datos_base!$G$16*parametros_recargas!$D$42+sobrestock_sustitutos!$G$189/12</f>
        <v>91.9338113570811</v>
      </c>
      <c r="G176" s="23" t="n">
        <f aca="false">datos_base!$G$16*parametros_recargas!$E$42+sobrestock_sustitutos!$G$189/12</f>
        <v>91.9338113570811</v>
      </c>
      <c r="H176" s="23" t="n">
        <f aca="false">datos_base!$G$16*parametros_recargas!$F$42+sobrestock_sustitutos!$G$189/12</f>
        <v>91.9338113570811</v>
      </c>
      <c r="I176" s="23" t="n">
        <f aca="false">datos_base!$G$16*parametros_recargas!$G$42+sobrestock_sustitutos!$G$189/12</f>
        <v>91.9338113570811</v>
      </c>
      <c r="J176" s="23" t="n">
        <f aca="false">datos_base!$G$16*parametros_recargas!$H$42+sobrestock_sustitutos!$G$189/12</f>
        <v>91.9338113570811</v>
      </c>
      <c r="K176" s="23" t="n">
        <f aca="false">datos_base!$G$16*parametros_recargas!$I$42+sobrestock_sustitutos!$G$189/12</f>
        <v>91.9338113570811</v>
      </c>
      <c r="L176" s="23" t="n">
        <f aca="false">datos_base!$G$16*parametros_recargas!$J$42+sobrestock_sustitutos!$G$189/12</f>
        <v>91.9338113570811</v>
      </c>
      <c r="M176" s="23" t="n">
        <f aca="false">datos_base!$G$16*parametros_recargas!$K$42+sobrestock_sustitutos!$G$189/12</f>
        <v>91.9338113570811</v>
      </c>
      <c r="N176" s="23" t="n">
        <f aca="false">datos_base!$G$16*parametros_recargas!$L$42+sobrestock_sustitutos!$G$189/12</f>
        <v>91.9338113570811</v>
      </c>
      <c r="O176" s="23" t="n">
        <f aca="false">datos_base!$G$16*parametros_recargas!$M$42+sobrestock_sustitutos!$G$189/12</f>
        <v>91.9338113570811</v>
      </c>
      <c r="P176" s="7" t="n">
        <f aca="false">SUM(D176:O176)</f>
        <v>1103.20573628497</v>
      </c>
      <c r="Q176" s="13" t="n">
        <f aca="false">sobrestock_sustitutos!$G$189</f>
        <v>96</v>
      </c>
    </row>
    <row r="177" customFormat="false" ht="15" hidden="false" customHeight="false" outlineLevel="0" collapsed="false">
      <c r="A177" s="12" t="str">
        <f aca="false">parametros_recargas!A66</f>
        <v>ABC 70 kg s/ruedas</v>
      </c>
      <c r="B177" s="12" t="str">
        <f aca="false">parametros_recargas!B66</f>
        <v>ABC</v>
      </c>
      <c r="C177" s="22" t="n">
        <f aca="false">parametros_recargas!C66</f>
        <v>3</v>
      </c>
      <c r="D177" s="23" t="n">
        <f aca="false">datos_base!$G$17*parametros_recargas!$B$42+sobrestock_sustitutos!$G$190/12</f>
        <v>18.3128315677393</v>
      </c>
      <c r="E177" s="23" t="n">
        <f aca="false">datos_base!$G$17*parametros_recargas!$C$42+sobrestock_sustitutos!$G$190/12</f>
        <v>18.3128315677393</v>
      </c>
      <c r="F177" s="23" t="n">
        <f aca="false">datos_base!$G$17*parametros_recargas!$D$42+sobrestock_sustitutos!$G$190/12</f>
        <v>18.3128315677393</v>
      </c>
      <c r="G177" s="23" t="n">
        <f aca="false">datos_base!$G$17*parametros_recargas!$E$42+sobrestock_sustitutos!$G$190/12</f>
        <v>18.3128315677393</v>
      </c>
      <c r="H177" s="23" t="n">
        <f aca="false">datos_base!$G$17*parametros_recargas!$F$42+sobrestock_sustitutos!$G$190/12</f>
        <v>18.3128315677393</v>
      </c>
      <c r="I177" s="23" t="n">
        <f aca="false">datos_base!$G$17*parametros_recargas!$G$42+sobrestock_sustitutos!$G$190/12</f>
        <v>18.3128315677393</v>
      </c>
      <c r="J177" s="23" t="n">
        <f aca="false">datos_base!$G$17*parametros_recargas!$H$42+sobrestock_sustitutos!$G$190/12</f>
        <v>18.3128315677393</v>
      </c>
      <c r="K177" s="23" t="n">
        <f aca="false">datos_base!$G$17*parametros_recargas!$I$42+sobrestock_sustitutos!$G$190/12</f>
        <v>18.3128315677393</v>
      </c>
      <c r="L177" s="23" t="n">
        <f aca="false">datos_base!$G$17*parametros_recargas!$J$42+sobrestock_sustitutos!$G$190/12</f>
        <v>18.3128315677393</v>
      </c>
      <c r="M177" s="23" t="n">
        <f aca="false">datos_base!$G$17*parametros_recargas!$K$42+sobrestock_sustitutos!$G$190/12</f>
        <v>18.3128315677393</v>
      </c>
      <c r="N177" s="23" t="n">
        <f aca="false">datos_base!$G$17*parametros_recargas!$L$42+sobrestock_sustitutos!$G$190/12</f>
        <v>18.3128315677393</v>
      </c>
      <c r="O177" s="23" t="n">
        <f aca="false">datos_base!$G$17*parametros_recargas!$M$42+sobrestock_sustitutos!$G$190/12</f>
        <v>18.3128315677393</v>
      </c>
      <c r="P177" s="7" t="n">
        <f aca="false">SUM(D177:O177)</f>
        <v>219.753978812871</v>
      </c>
      <c r="Q177" s="13" t="n">
        <f aca="false">sobrestock_sustitutos!$G$190</f>
        <v>0</v>
      </c>
    </row>
    <row r="178" customFormat="false" ht="15" hidden="false" customHeight="false" outlineLevel="0" collapsed="false">
      <c r="A178" s="12" t="str">
        <f aca="false">parametros_recargas!A67</f>
        <v>ABC 100 kg s/ruedas</v>
      </c>
      <c r="B178" s="12" t="str">
        <f aca="false">parametros_recargas!B67</f>
        <v>ABC</v>
      </c>
      <c r="C178" s="22" t="n">
        <f aca="false">parametros_recargas!C67</f>
        <v>3</v>
      </c>
      <c r="D178" s="23" t="n">
        <f aca="false">datos_base!$G$18*parametros_recargas!$B$42+sobrestock_sustitutos!$G$191/12</f>
        <v>14.2085543587216</v>
      </c>
      <c r="E178" s="23" t="n">
        <f aca="false">datos_base!$G$18*parametros_recargas!$C$42+sobrestock_sustitutos!$G$191/12</f>
        <v>14.2085543587216</v>
      </c>
      <c r="F178" s="23" t="n">
        <f aca="false">datos_base!$G$18*parametros_recargas!$D$42+sobrestock_sustitutos!$G$191/12</f>
        <v>14.2085543587216</v>
      </c>
      <c r="G178" s="23" t="n">
        <f aca="false">datos_base!$G$18*parametros_recargas!$E$42+sobrestock_sustitutos!$G$191/12</f>
        <v>14.2085543587216</v>
      </c>
      <c r="H178" s="23" t="n">
        <f aca="false">datos_base!$G$18*parametros_recargas!$F$42+sobrestock_sustitutos!$G$191/12</f>
        <v>14.2085543587216</v>
      </c>
      <c r="I178" s="23" t="n">
        <f aca="false">datos_base!$G$18*parametros_recargas!$G$42+sobrestock_sustitutos!$G$191/12</f>
        <v>14.2085543587216</v>
      </c>
      <c r="J178" s="23" t="n">
        <f aca="false">datos_base!$G$18*parametros_recargas!$H$42+sobrestock_sustitutos!$G$191/12</f>
        <v>14.2085543587216</v>
      </c>
      <c r="K178" s="23" t="n">
        <f aca="false">datos_base!$G$18*parametros_recargas!$I$42+sobrestock_sustitutos!$G$191/12</f>
        <v>14.2085543587216</v>
      </c>
      <c r="L178" s="23" t="n">
        <f aca="false">datos_base!$G$18*parametros_recargas!$J$42+sobrestock_sustitutos!$G$191/12</f>
        <v>14.2085543587216</v>
      </c>
      <c r="M178" s="23" t="n">
        <f aca="false">datos_base!$G$18*parametros_recargas!$K$42+sobrestock_sustitutos!$G$191/12</f>
        <v>14.2085543587216</v>
      </c>
      <c r="N178" s="23" t="n">
        <f aca="false">datos_base!$G$18*parametros_recargas!$L$42+sobrestock_sustitutos!$G$191/12</f>
        <v>14.2085543587216</v>
      </c>
      <c r="O178" s="23" t="n">
        <f aca="false">datos_base!$G$18*parametros_recargas!$M$42+sobrestock_sustitutos!$G$191/12</f>
        <v>14.2085543587216</v>
      </c>
      <c r="P178" s="7" t="n">
        <f aca="false">SUM(D178:O178)</f>
        <v>170.50265230466</v>
      </c>
      <c r="Q178" s="13" t="n">
        <f aca="false">sobrestock_sustitutos!$G$191</f>
        <v>24</v>
      </c>
    </row>
    <row r="179" customFormat="false" ht="15" hidden="false" customHeight="false" outlineLevel="0" collapsed="false">
      <c r="A179" s="6" t="s">
        <v>269</v>
      </c>
      <c r="D179" s="7" t="n">
        <f aca="false">SUM(D162:D178)</f>
        <v>13953.9931486246</v>
      </c>
      <c r="E179" s="7" t="n">
        <f aca="false">SUM(E162:E178)</f>
        <v>13953.9931486246</v>
      </c>
      <c r="F179" s="7" t="n">
        <f aca="false">SUM(F162:F178)</f>
        <v>13953.9931486246</v>
      </c>
      <c r="G179" s="7" t="n">
        <f aca="false">SUM(G162:G178)</f>
        <v>13953.9931486246</v>
      </c>
      <c r="H179" s="7" t="n">
        <f aca="false">SUM(H162:H178)</f>
        <v>13953.9931486246</v>
      </c>
      <c r="I179" s="7" t="n">
        <f aca="false">SUM(I162:I178)</f>
        <v>13953.9931486246</v>
      </c>
      <c r="J179" s="7" t="n">
        <f aca="false">SUM(J162:J178)</f>
        <v>13953.9931486246</v>
      </c>
      <c r="K179" s="7" t="n">
        <f aca="false">SUM(K162:K178)</f>
        <v>13953.9931486246</v>
      </c>
      <c r="L179" s="7" t="n">
        <f aca="false">SUM(L162:L178)</f>
        <v>13953.9931486246</v>
      </c>
      <c r="M179" s="7" t="n">
        <f aca="false">SUM(M162:M178)</f>
        <v>13953.9931486246</v>
      </c>
      <c r="N179" s="7" t="n">
        <f aca="false">SUM(N162:N178)</f>
        <v>13953.9931486246</v>
      </c>
      <c r="O179" s="7" t="n">
        <f aca="false">SUM(O162:O178)</f>
        <v>13953.9931486246</v>
      </c>
      <c r="P179" s="7" t="n">
        <f aca="false">SUM(P162:P178)</f>
        <v>167447.917783496</v>
      </c>
    </row>
    <row r="180" customFormat="false" ht="15" hidden="false" customHeight="false" outlineLevel="0" collapsed="false">
      <c r="A180" s="6" t="s">
        <v>270</v>
      </c>
    </row>
    <row r="181" customFormat="false" ht="15" hidden="false" customHeight="false" outlineLevel="0" collapsed="false">
      <c r="A181" s="4" t="s">
        <v>139</v>
      </c>
      <c r="D181" s="23" t="n">
        <f aca="false">SUMPRODUCT(($B$162:$B$178=$A181)*D$162:D$178*$C$162:$C$178)</f>
        <v>12415.4770913038</v>
      </c>
      <c r="E181" s="23" t="n">
        <f aca="false">SUMPRODUCT(($B$162:$B$178=$A181)*E$162:E$178*$C$162:$C$178)</f>
        <v>12415.4770913038</v>
      </c>
      <c r="F181" s="23" t="n">
        <f aca="false">SUMPRODUCT(($B$162:$B$178=$A181)*F$162:F$178*$C$162:$C$178)</f>
        <v>12415.4770913038</v>
      </c>
      <c r="G181" s="23" t="n">
        <f aca="false">SUMPRODUCT(($B$162:$B$178=$A181)*G$162:G$178*$C$162:$C$178)</f>
        <v>12415.4770913038</v>
      </c>
      <c r="H181" s="23" t="n">
        <f aca="false">SUMPRODUCT(($B$162:$B$178=$A181)*H$162:H$178*$C$162:$C$178)</f>
        <v>12415.4770913038</v>
      </c>
      <c r="I181" s="23" t="n">
        <f aca="false">SUMPRODUCT(($B$162:$B$178=$A181)*I$162:I$178*$C$162:$C$178)</f>
        <v>12415.4770913038</v>
      </c>
      <c r="J181" s="23" t="n">
        <f aca="false">SUMPRODUCT(($B$162:$B$178=$A181)*J$162:J$178*$C$162:$C$178)</f>
        <v>12415.4770913038</v>
      </c>
      <c r="K181" s="23" t="n">
        <f aca="false">SUMPRODUCT(($B$162:$B$178=$A181)*K$162:K$178*$C$162:$C$178)</f>
        <v>12415.4770913038</v>
      </c>
      <c r="L181" s="23" t="n">
        <f aca="false">SUMPRODUCT(($B$162:$B$178=$A181)*L$162:L$178*$C$162:$C$178)</f>
        <v>12415.4770913038</v>
      </c>
      <c r="M181" s="23" t="n">
        <f aca="false">SUMPRODUCT(($B$162:$B$178=$A181)*M$162:M$178*$C$162:$C$178)</f>
        <v>12415.4770913038</v>
      </c>
      <c r="N181" s="23" t="n">
        <f aca="false">SUMPRODUCT(($B$162:$B$178=$A181)*N$162:N$178*$C$162:$C$178)</f>
        <v>12415.4770913038</v>
      </c>
      <c r="O181" s="23" t="n">
        <f aca="false">SUMPRODUCT(($B$162:$B$178=$A181)*O$162:O$178*$C$162:$C$178)</f>
        <v>12415.4770913038</v>
      </c>
      <c r="P181" s="23" t="n">
        <f aca="false">SUMPRODUCT(($B$162:$B$178=$A181)*P$162:P$178*$C$162:$C$178)</f>
        <v>148985.725095646</v>
      </c>
    </row>
    <row r="182" customFormat="false" ht="15" hidden="false" customHeight="false" outlineLevel="0" collapsed="false">
      <c r="A182" s="4" t="s">
        <v>145</v>
      </c>
      <c r="D182" s="23" t="n">
        <f aca="false">SUMPRODUCT(($B$162:$B$178=$A182)*D$162:D$178*$C$162:$C$178)</f>
        <v>18.4785255401079</v>
      </c>
      <c r="E182" s="23" t="n">
        <f aca="false">SUMPRODUCT(($B$162:$B$178=$A182)*E$162:E$178*$C$162:$C$178)</f>
        <v>18.4785255401079</v>
      </c>
      <c r="F182" s="23" t="n">
        <f aca="false">SUMPRODUCT(($B$162:$B$178=$A182)*F$162:F$178*$C$162:$C$178)</f>
        <v>18.4785255401079</v>
      </c>
      <c r="G182" s="23" t="n">
        <f aca="false">SUMPRODUCT(($B$162:$B$178=$A182)*G$162:G$178*$C$162:$C$178)</f>
        <v>18.4785255401079</v>
      </c>
      <c r="H182" s="23" t="n">
        <f aca="false">SUMPRODUCT(($B$162:$B$178=$A182)*H$162:H$178*$C$162:$C$178)</f>
        <v>18.4785255401079</v>
      </c>
      <c r="I182" s="23" t="n">
        <f aca="false">SUMPRODUCT(($B$162:$B$178=$A182)*I$162:I$178*$C$162:$C$178)</f>
        <v>18.4785255401079</v>
      </c>
      <c r="J182" s="23" t="n">
        <f aca="false">SUMPRODUCT(($B$162:$B$178=$A182)*J$162:J$178*$C$162:$C$178)</f>
        <v>18.4785255401079</v>
      </c>
      <c r="K182" s="23" t="n">
        <f aca="false">SUMPRODUCT(($B$162:$B$178=$A182)*K$162:K$178*$C$162:$C$178)</f>
        <v>18.4785255401079</v>
      </c>
      <c r="L182" s="23" t="n">
        <f aca="false">SUMPRODUCT(($B$162:$B$178=$A182)*L$162:L$178*$C$162:$C$178)</f>
        <v>18.4785255401079</v>
      </c>
      <c r="M182" s="23" t="n">
        <f aca="false">SUMPRODUCT(($B$162:$B$178=$A182)*M$162:M$178*$C$162:$C$178)</f>
        <v>18.4785255401079</v>
      </c>
      <c r="N182" s="23" t="n">
        <f aca="false">SUMPRODUCT(($B$162:$B$178=$A182)*N$162:N$178*$C$162:$C$178)</f>
        <v>18.4785255401079</v>
      </c>
      <c r="O182" s="23" t="n">
        <f aca="false">SUMPRODUCT(($B$162:$B$178=$A182)*O$162:O$178*$C$162:$C$178)</f>
        <v>18.4785255401079</v>
      </c>
      <c r="P182" s="23" t="n">
        <f aca="false">SUMPRODUCT(($B$162:$B$178=$A182)*P$162:P$178*$C$162:$C$178)</f>
        <v>221.742306481294</v>
      </c>
    </row>
    <row r="183" customFormat="false" ht="15" hidden="false" customHeight="false" outlineLevel="0" collapsed="false">
      <c r="A183" s="4" t="s">
        <v>151</v>
      </c>
      <c r="D183" s="23" t="n">
        <f aca="false">SUMPRODUCT(($B$162:$B$178=$A183)*D$162:D$178*$C$162:$C$178)</f>
        <v>16.2536911125769</v>
      </c>
      <c r="E183" s="23" t="n">
        <f aca="false">SUMPRODUCT(($B$162:$B$178=$A183)*E$162:E$178*$C$162:$C$178)</f>
        <v>16.2536911125769</v>
      </c>
      <c r="F183" s="23" t="n">
        <f aca="false">SUMPRODUCT(($B$162:$B$178=$A183)*F$162:F$178*$C$162:$C$178)</f>
        <v>16.2536911125769</v>
      </c>
      <c r="G183" s="23" t="n">
        <f aca="false">SUMPRODUCT(($B$162:$B$178=$A183)*G$162:G$178*$C$162:$C$178)</f>
        <v>16.2536911125769</v>
      </c>
      <c r="H183" s="23" t="n">
        <f aca="false">SUMPRODUCT(($B$162:$B$178=$A183)*H$162:H$178*$C$162:$C$178)</f>
        <v>16.2536911125769</v>
      </c>
      <c r="I183" s="23" t="n">
        <f aca="false">SUMPRODUCT(($B$162:$B$178=$A183)*I$162:I$178*$C$162:$C$178)</f>
        <v>16.2536911125769</v>
      </c>
      <c r="J183" s="23" t="n">
        <f aca="false">SUMPRODUCT(($B$162:$B$178=$A183)*J$162:J$178*$C$162:$C$178)</f>
        <v>16.2536911125769</v>
      </c>
      <c r="K183" s="23" t="n">
        <f aca="false">SUMPRODUCT(($B$162:$B$178=$A183)*K$162:K$178*$C$162:$C$178)</f>
        <v>16.2536911125769</v>
      </c>
      <c r="L183" s="23" t="n">
        <f aca="false">SUMPRODUCT(($B$162:$B$178=$A183)*L$162:L$178*$C$162:$C$178)</f>
        <v>16.2536911125769</v>
      </c>
      <c r="M183" s="23" t="n">
        <f aca="false">SUMPRODUCT(($B$162:$B$178=$A183)*M$162:M$178*$C$162:$C$178)</f>
        <v>16.2536911125769</v>
      </c>
      <c r="N183" s="23" t="n">
        <f aca="false">SUMPRODUCT(($B$162:$B$178=$A183)*N$162:N$178*$C$162:$C$178)</f>
        <v>16.2536911125769</v>
      </c>
      <c r="O183" s="23" t="n">
        <f aca="false">SUMPRODUCT(($B$162:$B$178=$A183)*O$162:O$178*$C$162:$C$178)</f>
        <v>16.2536911125769</v>
      </c>
      <c r="P183" s="23" t="n">
        <f aca="false">SUMPRODUCT(($B$162:$B$178=$A183)*P$162:P$178*$C$162:$C$178)</f>
        <v>195.044293350923</v>
      </c>
    </row>
    <row r="184" customFormat="false" ht="15" hidden="false" customHeight="false" outlineLevel="0" collapsed="false">
      <c r="A184" s="4" t="s">
        <v>142</v>
      </c>
      <c r="D184" s="23" t="n">
        <f aca="false">SUMPRODUCT(($B$162:$B$178=$A184)*D$162:D$178*$C$162:$C$178)</f>
        <v>331.816348269816</v>
      </c>
      <c r="E184" s="23" t="n">
        <f aca="false">SUMPRODUCT(($B$162:$B$178=$A184)*E$162:E$178*$C$162:$C$178)</f>
        <v>331.816348269816</v>
      </c>
      <c r="F184" s="23" t="n">
        <f aca="false">SUMPRODUCT(($B$162:$B$178=$A184)*F$162:F$178*$C$162:$C$178)</f>
        <v>331.816348269816</v>
      </c>
      <c r="G184" s="23" t="n">
        <f aca="false">SUMPRODUCT(($B$162:$B$178=$A184)*G$162:G$178*$C$162:$C$178)</f>
        <v>331.816348269816</v>
      </c>
      <c r="H184" s="23" t="n">
        <f aca="false">SUMPRODUCT(($B$162:$B$178=$A184)*H$162:H$178*$C$162:$C$178)</f>
        <v>331.816348269816</v>
      </c>
      <c r="I184" s="23" t="n">
        <f aca="false">SUMPRODUCT(($B$162:$B$178=$A184)*I$162:I$178*$C$162:$C$178)</f>
        <v>331.816348269816</v>
      </c>
      <c r="J184" s="23" t="n">
        <f aca="false">SUMPRODUCT(($B$162:$B$178=$A184)*J$162:J$178*$C$162:$C$178)</f>
        <v>331.816348269816</v>
      </c>
      <c r="K184" s="23" t="n">
        <f aca="false">SUMPRODUCT(($B$162:$B$178=$A184)*K$162:K$178*$C$162:$C$178)</f>
        <v>331.816348269816</v>
      </c>
      <c r="L184" s="23" t="n">
        <f aca="false">SUMPRODUCT(($B$162:$B$178=$A184)*L$162:L$178*$C$162:$C$178)</f>
        <v>331.816348269816</v>
      </c>
      <c r="M184" s="23" t="n">
        <f aca="false">SUMPRODUCT(($B$162:$B$178=$A184)*M$162:M$178*$C$162:$C$178)</f>
        <v>331.816348269816</v>
      </c>
      <c r="N184" s="23" t="n">
        <f aca="false">SUMPRODUCT(($B$162:$B$178=$A184)*N$162:N$178*$C$162:$C$178)</f>
        <v>331.816348269816</v>
      </c>
      <c r="O184" s="23" t="n">
        <f aca="false">SUMPRODUCT(($B$162:$B$178=$A184)*O$162:O$178*$C$162:$C$178)</f>
        <v>331.816348269816</v>
      </c>
      <c r="P184" s="23" t="n">
        <f aca="false">SUMPRODUCT(($B$162:$B$178=$A184)*P$162:P$178*$C$162:$C$178)</f>
        <v>3981.7961792378</v>
      </c>
    </row>
    <row r="185" customFormat="false" ht="15" hidden="false" customHeight="false" outlineLevel="0" collapsed="false">
      <c r="A185" s="4" t="s">
        <v>143</v>
      </c>
      <c r="D185" s="23" t="n">
        <f aca="false">SUMPRODUCT(($B$162:$B$178=$A185)*D$162:D$178*$C$162:$C$178)</f>
        <v>156.333667851635</v>
      </c>
      <c r="E185" s="23" t="n">
        <f aca="false">SUMPRODUCT(($B$162:$B$178=$A185)*E$162:E$178*$C$162:$C$178)</f>
        <v>156.333667851635</v>
      </c>
      <c r="F185" s="23" t="n">
        <f aca="false">SUMPRODUCT(($B$162:$B$178=$A185)*F$162:F$178*$C$162:$C$178)</f>
        <v>156.333667851635</v>
      </c>
      <c r="G185" s="23" t="n">
        <f aca="false">SUMPRODUCT(($B$162:$B$178=$A185)*G$162:G$178*$C$162:$C$178)</f>
        <v>156.333667851635</v>
      </c>
      <c r="H185" s="23" t="n">
        <f aca="false">SUMPRODUCT(($B$162:$B$178=$A185)*H$162:H$178*$C$162:$C$178)</f>
        <v>156.333667851635</v>
      </c>
      <c r="I185" s="23" t="n">
        <f aca="false">SUMPRODUCT(($B$162:$B$178=$A185)*I$162:I$178*$C$162:$C$178)</f>
        <v>156.333667851635</v>
      </c>
      <c r="J185" s="23" t="n">
        <f aca="false">SUMPRODUCT(($B$162:$B$178=$A185)*J$162:J$178*$C$162:$C$178)</f>
        <v>156.333667851635</v>
      </c>
      <c r="K185" s="23" t="n">
        <f aca="false">SUMPRODUCT(($B$162:$B$178=$A185)*K$162:K$178*$C$162:$C$178)</f>
        <v>156.333667851635</v>
      </c>
      <c r="L185" s="23" t="n">
        <f aca="false">SUMPRODUCT(($B$162:$B$178=$A185)*L$162:L$178*$C$162:$C$178)</f>
        <v>156.333667851635</v>
      </c>
      <c r="M185" s="23" t="n">
        <f aca="false">SUMPRODUCT(($B$162:$B$178=$A185)*M$162:M$178*$C$162:$C$178)</f>
        <v>156.333667851635</v>
      </c>
      <c r="N185" s="23" t="n">
        <f aca="false">SUMPRODUCT(($B$162:$B$178=$A185)*N$162:N$178*$C$162:$C$178)</f>
        <v>156.333667851635</v>
      </c>
      <c r="O185" s="23" t="n">
        <f aca="false">SUMPRODUCT(($B$162:$B$178=$A185)*O$162:O$178*$C$162:$C$178)</f>
        <v>156.333667851635</v>
      </c>
      <c r="P185" s="23" t="n">
        <f aca="false">SUMPRODUCT(($B$162:$B$178=$A185)*P$162:P$178*$C$162:$C$178)</f>
        <v>1876.00401421962</v>
      </c>
    </row>
    <row r="186" customFormat="false" ht="15" hidden="false" customHeight="false" outlineLevel="0" collapsed="false">
      <c r="A186" s="4" t="s">
        <v>146</v>
      </c>
      <c r="D186" s="23" t="n">
        <f aca="false">SUMPRODUCT(($B$162:$B$178=$A186)*D$162:D$178*$C$162:$C$178)</f>
        <v>161.628909645686</v>
      </c>
      <c r="E186" s="23" t="n">
        <f aca="false">SUMPRODUCT(($B$162:$B$178=$A186)*E$162:E$178*$C$162:$C$178)</f>
        <v>161.628909645686</v>
      </c>
      <c r="F186" s="23" t="n">
        <f aca="false">SUMPRODUCT(($B$162:$B$178=$A186)*F$162:F$178*$C$162:$C$178)</f>
        <v>161.628909645686</v>
      </c>
      <c r="G186" s="23" t="n">
        <f aca="false">SUMPRODUCT(($B$162:$B$178=$A186)*G$162:G$178*$C$162:$C$178)</f>
        <v>161.628909645686</v>
      </c>
      <c r="H186" s="23" t="n">
        <f aca="false">SUMPRODUCT(($B$162:$B$178=$A186)*H$162:H$178*$C$162:$C$178)</f>
        <v>161.628909645686</v>
      </c>
      <c r="I186" s="23" t="n">
        <f aca="false">SUMPRODUCT(($B$162:$B$178=$A186)*I$162:I$178*$C$162:$C$178)</f>
        <v>161.628909645686</v>
      </c>
      <c r="J186" s="23" t="n">
        <f aca="false">SUMPRODUCT(($B$162:$B$178=$A186)*J$162:J$178*$C$162:$C$178)</f>
        <v>161.628909645686</v>
      </c>
      <c r="K186" s="23" t="n">
        <f aca="false">SUMPRODUCT(($B$162:$B$178=$A186)*K$162:K$178*$C$162:$C$178)</f>
        <v>161.628909645686</v>
      </c>
      <c r="L186" s="23" t="n">
        <f aca="false">SUMPRODUCT(($B$162:$B$178=$A186)*L$162:L$178*$C$162:$C$178)</f>
        <v>161.628909645686</v>
      </c>
      <c r="M186" s="23" t="n">
        <f aca="false">SUMPRODUCT(($B$162:$B$178=$A186)*M$162:M$178*$C$162:$C$178)</f>
        <v>161.628909645686</v>
      </c>
      <c r="N186" s="23" t="n">
        <f aca="false">SUMPRODUCT(($B$162:$B$178=$A186)*N$162:N$178*$C$162:$C$178)</f>
        <v>161.628909645686</v>
      </c>
      <c r="O186" s="23" t="n">
        <f aca="false">SUMPRODUCT(($B$162:$B$178=$A186)*O$162:O$178*$C$162:$C$178)</f>
        <v>161.628909645686</v>
      </c>
      <c r="P186" s="23" t="n">
        <f aca="false">SUMPRODUCT(($B$162:$B$178=$A186)*P$162:P$178*$C$162:$C$178)</f>
        <v>1939.54691574823</v>
      </c>
    </row>
    <row r="187" customFormat="false" ht="15" hidden="false" customHeight="false" outlineLevel="0" collapsed="false">
      <c r="A187" s="4" t="s">
        <v>147</v>
      </c>
      <c r="D187" s="23" t="n">
        <f aca="false">SUMPRODUCT(($B$162:$B$178=$A187)*D$162:D$178*$C$162:$C$178)</f>
        <v>1196.42942417057</v>
      </c>
      <c r="E187" s="23" t="n">
        <f aca="false">SUMPRODUCT(($B$162:$B$178=$A187)*E$162:E$178*$C$162:$C$178)</f>
        <v>1196.42942417057</v>
      </c>
      <c r="F187" s="23" t="n">
        <f aca="false">SUMPRODUCT(($B$162:$B$178=$A187)*F$162:F$178*$C$162:$C$178)</f>
        <v>1196.42942417057</v>
      </c>
      <c r="G187" s="23" t="n">
        <f aca="false">SUMPRODUCT(($B$162:$B$178=$A187)*G$162:G$178*$C$162:$C$178)</f>
        <v>1196.42942417057</v>
      </c>
      <c r="H187" s="23" t="n">
        <f aca="false">SUMPRODUCT(($B$162:$B$178=$A187)*H$162:H$178*$C$162:$C$178)</f>
        <v>1196.42942417057</v>
      </c>
      <c r="I187" s="23" t="n">
        <f aca="false">SUMPRODUCT(($B$162:$B$178=$A187)*I$162:I$178*$C$162:$C$178)</f>
        <v>1196.42942417057</v>
      </c>
      <c r="J187" s="23" t="n">
        <f aca="false">SUMPRODUCT(($B$162:$B$178=$A187)*J$162:J$178*$C$162:$C$178)</f>
        <v>1196.42942417057</v>
      </c>
      <c r="K187" s="23" t="n">
        <f aca="false">SUMPRODUCT(($B$162:$B$178=$A187)*K$162:K$178*$C$162:$C$178)</f>
        <v>1196.42942417057</v>
      </c>
      <c r="L187" s="23" t="n">
        <f aca="false">SUMPRODUCT(($B$162:$B$178=$A187)*L$162:L$178*$C$162:$C$178)</f>
        <v>1196.42942417057</v>
      </c>
      <c r="M187" s="23" t="n">
        <f aca="false">SUMPRODUCT(($B$162:$B$178=$A187)*M$162:M$178*$C$162:$C$178)</f>
        <v>1196.42942417057</v>
      </c>
      <c r="N187" s="23" t="n">
        <f aca="false">SUMPRODUCT(($B$162:$B$178=$A187)*N$162:N$178*$C$162:$C$178)</f>
        <v>1196.42942417057</v>
      </c>
      <c r="O187" s="23" t="n">
        <f aca="false">SUMPRODUCT(($B$162:$B$178=$A187)*O$162:O$178*$C$162:$C$178)</f>
        <v>1196.42942417057</v>
      </c>
      <c r="P187" s="23" t="n">
        <f aca="false">SUMPRODUCT(($B$162:$B$178=$A187)*P$162:P$178*$C$162:$C$178)</f>
        <v>14357.1530900468</v>
      </c>
    </row>
    <row r="188" customFormat="false" ht="15" hidden="false" customHeight="false" outlineLevel="0" collapsed="false">
      <c r="A188" s="4" t="s">
        <v>150</v>
      </c>
      <c r="D188" s="23" t="n">
        <f aca="false">SUMPRODUCT(($B$162:$B$178=$A188)*D$162:D$178*$C$162:$C$178)</f>
        <v>46.9929730509854</v>
      </c>
      <c r="E188" s="23" t="n">
        <f aca="false">SUMPRODUCT(($B$162:$B$178=$A188)*E$162:E$178*$C$162:$C$178)</f>
        <v>46.9929730509854</v>
      </c>
      <c r="F188" s="23" t="n">
        <f aca="false">SUMPRODUCT(($B$162:$B$178=$A188)*F$162:F$178*$C$162:$C$178)</f>
        <v>46.9929730509854</v>
      </c>
      <c r="G188" s="23" t="n">
        <f aca="false">SUMPRODUCT(($B$162:$B$178=$A188)*G$162:G$178*$C$162:$C$178)</f>
        <v>46.9929730509854</v>
      </c>
      <c r="H188" s="23" t="n">
        <f aca="false">SUMPRODUCT(($B$162:$B$178=$A188)*H$162:H$178*$C$162:$C$178)</f>
        <v>46.9929730509854</v>
      </c>
      <c r="I188" s="23" t="n">
        <f aca="false">SUMPRODUCT(($B$162:$B$178=$A188)*I$162:I$178*$C$162:$C$178)</f>
        <v>46.9929730509854</v>
      </c>
      <c r="J188" s="23" t="n">
        <f aca="false">SUMPRODUCT(($B$162:$B$178=$A188)*J$162:J$178*$C$162:$C$178)</f>
        <v>46.9929730509854</v>
      </c>
      <c r="K188" s="23" t="n">
        <f aca="false">SUMPRODUCT(($B$162:$B$178=$A188)*K$162:K$178*$C$162:$C$178)</f>
        <v>46.9929730509854</v>
      </c>
      <c r="L188" s="23" t="n">
        <f aca="false">SUMPRODUCT(($B$162:$B$178=$A188)*L$162:L$178*$C$162:$C$178)</f>
        <v>46.9929730509854</v>
      </c>
      <c r="M188" s="23" t="n">
        <f aca="false">SUMPRODUCT(($B$162:$B$178=$A188)*M$162:M$178*$C$162:$C$178)</f>
        <v>46.9929730509854</v>
      </c>
      <c r="N188" s="23" t="n">
        <f aca="false">SUMPRODUCT(($B$162:$B$178=$A188)*N$162:N$178*$C$162:$C$178)</f>
        <v>46.9929730509854</v>
      </c>
      <c r="O188" s="23" t="n">
        <f aca="false">SUMPRODUCT(($B$162:$B$178=$A188)*O$162:O$178*$C$162:$C$178)</f>
        <v>46.9929730509854</v>
      </c>
      <c r="P188" s="23" t="n">
        <f aca="false">SUMPRODUCT(($B$162:$B$178=$A188)*P$162:P$178*$C$162:$C$178)</f>
        <v>563.915676611825</v>
      </c>
    </row>
    <row r="189" customFormat="false" ht="15" hidden="false" customHeight="false" outlineLevel="0" collapsed="false">
      <c r="A189" s="6" t="s">
        <v>271</v>
      </c>
      <c r="D189" s="24" t="n">
        <f aca="false">SUMPRODUCT(D$162:D$178*parametros_recargas!$D$51:$D$67)</f>
        <v>530.207713247341</v>
      </c>
      <c r="E189" s="24" t="n">
        <f aca="false">SUMPRODUCT(E$162:E$178*parametros_recargas!$D$51:$D$67)</f>
        <v>530.207713247341</v>
      </c>
      <c r="F189" s="24" t="n">
        <f aca="false">SUMPRODUCT(F$162:F$178*parametros_recargas!$D$51:$D$67)</f>
        <v>530.207713247341</v>
      </c>
      <c r="G189" s="24" t="n">
        <f aca="false">SUMPRODUCT(G$162:G$178*parametros_recargas!$D$51:$D$67)</f>
        <v>530.207713247341</v>
      </c>
      <c r="H189" s="24" t="n">
        <f aca="false">SUMPRODUCT(H$162:H$178*parametros_recargas!$D$51:$D$67)</f>
        <v>530.207713247341</v>
      </c>
      <c r="I189" s="24" t="n">
        <f aca="false">SUMPRODUCT(I$162:I$178*parametros_recargas!$D$51:$D$67)</f>
        <v>530.207713247341</v>
      </c>
      <c r="J189" s="24" t="n">
        <f aca="false">SUMPRODUCT(J$162:J$178*parametros_recargas!$D$51:$D$67)</f>
        <v>530.207713247341</v>
      </c>
      <c r="K189" s="24" t="n">
        <f aca="false">SUMPRODUCT(K$162:K$178*parametros_recargas!$D$51:$D$67)</f>
        <v>530.207713247341</v>
      </c>
      <c r="L189" s="24" t="n">
        <f aca="false">SUMPRODUCT(L$162:L$178*parametros_recargas!$D$51:$D$67)</f>
        <v>530.207713247341</v>
      </c>
      <c r="M189" s="24" t="n">
        <f aca="false">SUMPRODUCT(M$162:M$178*parametros_recargas!$D$51:$D$67)</f>
        <v>530.207713247341</v>
      </c>
      <c r="N189" s="24" t="n">
        <f aca="false">SUMPRODUCT(N$162:N$178*parametros_recargas!$D$51:$D$67)</f>
        <v>530.207713247341</v>
      </c>
      <c r="O189" s="24" t="n">
        <f aca="false">SUMPRODUCT(O$162:O$178*parametros_recargas!$D$51:$D$67)</f>
        <v>530.207713247341</v>
      </c>
      <c r="P189" s="24" t="n">
        <f aca="false">SUMPRODUCT(P$162:P$178*parametros_recargas!$D$51:$D$67)</f>
        <v>6362.4925589681</v>
      </c>
    </row>
    <row r="193" customFormat="false" ht="23.85" hidden="false" customHeight="false" outlineLevel="0" collapsed="false">
      <c r="A193" s="21" t="n">
        <v>2032</v>
      </c>
      <c r="B193" s="3" t="s">
        <v>266</v>
      </c>
      <c r="C193" s="3" t="s">
        <v>267</v>
      </c>
      <c r="D193" s="3" t="s">
        <v>120</v>
      </c>
      <c r="E193" s="3" t="s">
        <v>121</v>
      </c>
      <c r="F193" s="3" t="s">
        <v>122</v>
      </c>
      <c r="G193" s="3" t="s">
        <v>123</v>
      </c>
      <c r="H193" s="3" t="s">
        <v>124</v>
      </c>
      <c r="I193" s="3" t="s">
        <v>125</v>
      </c>
      <c r="J193" s="3" t="s">
        <v>126</v>
      </c>
      <c r="K193" s="3" t="s">
        <v>127</v>
      </c>
      <c r="L193" s="3" t="s">
        <v>128</v>
      </c>
      <c r="M193" s="3" t="s">
        <v>129</v>
      </c>
      <c r="N193" s="3" t="s">
        <v>130</v>
      </c>
      <c r="O193" s="3" t="s">
        <v>131</v>
      </c>
      <c r="P193" s="3" t="s">
        <v>132</v>
      </c>
      <c r="Q193" s="3" t="s">
        <v>268</v>
      </c>
    </row>
    <row r="194" customFormat="false" ht="15" hidden="false" customHeight="false" outlineLevel="0" collapsed="false">
      <c r="A194" s="12" t="str">
        <f aca="false">parametros_recargas!A51</f>
        <v>ABC 1 kg</v>
      </c>
      <c r="B194" s="12" t="str">
        <f aca="false">parametros_recargas!B51</f>
        <v>ABC</v>
      </c>
      <c r="C194" s="22" t="n">
        <f aca="false">parametros_recargas!C51</f>
        <v>1</v>
      </c>
      <c r="D194" s="23" t="n">
        <f aca="false">datos_base!$H$2*parametros_recargas!$B$43+sobrestock_sustitutos!$H$175/12</f>
        <v>8755.32181710509</v>
      </c>
      <c r="E194" s="23" t="n">
        <f aca="false">datos_base!$H$2*parametros_recargas!$C$43+sobrestock_sustitutos!$H$175/12</f>
        <v>8755.32181710509</v>
      </c>
      <c r="F194" s="23" t="n">
        <f aca="false">datos_base!$H$2*parametros_recargas!$D$43+sobrestock_sustitutos!$H$175/12</f>
        <v>8755.32181710509</v>
      </c>
      <c r="G194" s="23" t="n">
        <f aca="false">datos_base!$H$2*parametros_recargas!$E$43+sobrestock_sustitutos!$H$175/12</f>
        <v>8755.32181710509</v>
      </c>
      <c r="H194" s="23" t="n">
        <f aca="false">datos_base!$H$2*parametros_recargas!$F$43+sobrestock_sustitutos!$H$175/12</f>
        <v>8755.32181710509</v>
      </c>
      <c r="I194" s="23" t="n">
        <f aca="false">datos_base!$H$2*parametros_recargas!$G$43+sobrestock_sustitutos!$H$175/12</f>
        <v>8755.32181710509</v>
      </c>
      <c r="J194" s="23" t="n">
        <f aca="false">datos_base!$H$2*parametros_recargas!$H$43+sobrestock_sustitutos!$H$175/12</f>
        <v>8755.32181710509</v>
      </c>
      <c r="K194" s="23" t="n">
        <f aca="false">datos_base!$H$2*parametros_recargas!$I$43+sobrestock_sustitutos!$H$175/12</f>
        <v>8755.32181710509</v>
      </c>
      <c r="L194" s="23" t="n">
        <f aca="false">datos_base!$H$2*parametros_recargas!$J$43+sobrestock_sustitutos!$H$175/12</f>
        <v>8755.32181710509</v>
      </c>
      <c r="M194" s="23" t="n">
        <f aca="false">datos_base!$H$2*parametros_recargas!$K$43+sobrestock_sustitutos!$H$175/12</f>
        <v>8755.32181710509</v>
      </c>
      <c r="N194" s="23" t="n">
        <f aca="false">datos_base!$H$2*parametros_recargas!$L$43+sobrestock_sustitutos!$H$175/12</f>
        <v>8755.32181710509</v>
      </c>
      <c r="O194" s="23" t="n">
        <f aca="false">datos_base!$H$2*parametros_recargas!$M$43+sobrestock_sustitutos!$H$175/12</f>
        <v>8755.32181710509</v>
      </c>
      <c r="P194" s="7" t="n">
        <f aca="false">SUM(D194:O194)</f>
        <v>105063.861805261</v>
      </c>
      <c r="Q194" s="13" t="n">
        <f aca="false">sobrestock_sustitutos!$H$175</f>
        <v>0</v>
      </c>
    </row>
    <row r="195" customFormat="false" ht="15" hidden="false" customHeight="false" outlineLevel="0" collapsed="false">
      <c r="A195" s="12" t="str">
        <f aca="false">parametros_recargas!A52</f>
        <v>ABC 2,5 kg</v>
      </c>
      <c r="B195" s="12" t="str">
        <f aca="false">parametros_recargas!B52</f>
        <v>ABC</v>
      </c>
      <c r="C195" s="22" t="n">
        <f aca="false">parametros_recargas!C52</f>
        <v>1</v>
      </c>
      <c r="D195" s="23" t="n">
        <f aca="false">datos_base!$H$3*parametros_recargas!$B$43+sobrestock_sustitutos!$H$176/12</f>
        <v>759.801344454098</v>
      </c>
      <c r="E195" s="23" t="n">
        <f aca="false">datos_base!$H$3*parametros_recargas!$C$43+sobrestock_sustitutos!$H$176/12</f>
        <v>759.801344454098</v>
      </c>
      <c r="F195" s="23" t="n">
        <f aca="false">datos_base!$H$3*parametros_recargas!$D$43+sobrestock_sustitutos!$H$176/12</f>
        <v>759.801344454098</v>
      </c>
      <c r="G195" s="23" t="n">
        <f aca="false">datos_base!$H$3*parametros_recargas!$E$43+sobrestock_sustitutos!$H$176/12</f>
        <v>759.801344454098</v>
      </c>
      <c r="H195" s="23" t="n">
        <f aca="false">datos_base!$H$3*parametros_recargas!$F$43+sobrestock_sustitutos!$H$176/12</f>
        <v>759.801344454098</v>
      </c>
      <c r="I195" s="23" t="n">
        <f aca="false">datos_base!$H$3*parametros_recargas!$G$43+sobrestock_sustitutos!$H$176/12</f>
        <v>759.801344454098</v>
      </c>
      <c r="J195" s="23" t="n">
        <f aca="false">datos_base!$H$3*parametros_recargas!$H$43+sobrestock_sustitutos!$H$176/12</f>
        <v>759.801344454098</v>
      </c>
      <c r="K195" s="23" t="n">
        <f aca="false">datos_base!$H$3*parametros_recargas!$I$43+sobrestock_sustitutos!$H$176/12</f>
        <v>759.801344454098</v>
      </c>
      <c r="L195" s="23" t="n">
        <f aca="false">datos_base!$H$3*parametros_recargas!$J$43+sobrestock_sustitutos!$H$176/12</f>
        <v>759.801344454098</v>
      </c>
      <c r="M195" s="23" t="n">
        <f aca="false">datos_base!$H$3*parametros_recargas!$K$43+sobrestock_sustitutos!$H$176/12</f>
        <v>759.801344454098</v>
      </c>
      <c r="N195" s="23" t="n">
        <f aca="false">datos_base!$H$3*parametros_recargas!$L$43+sobrestock_sustitutos!$H$176/12</f>
        <v>759.801344454098</v>
      </c>
      <c r="O195" s="23" t="n">
        <f aca="false">datos_base!$H$3*parametros_recargas!$M$43+sobrestock_sustitutos!$H$176/12</f>
        <v>759.801344454098</v>
      </c>
      <c r="P195" s="7" t="n">
        <f aca="false">SUM(D195:O195)</f>
        <v>9117.61613344917</v>
      </c>
      <c r="Q195" s="13" t="n">
        <f aca="false">sobrestock_sustitutos!$H$176</f>
        <v>0</v>
      </c>
    </row>
    <row r="196" customFormat="false" ht="15" hidden="false" customHeight="false" outlineLevel="0" collapsed="false">
      <c r="A196" s="12" t="str">
        <f aca="false">parametros_recargas!A53</f>
        <v>ABC 5 kg</v>
      </c>
      <c r="B196" s="12" t="str">
        <f aca="false">parametros_recargas!B53</f>
        <v>ABC</v>
      </c>
      <c r="C196" s="22" t="n">
        <f aca="false">parametros_recargas!C53</f>
        <v>1</v>
      </c>
      <c r="D196" s="23" t="n">
        <f aca="false">datos_base!$H$4*parametros_recargas!$B$43+sobrestock_sustitutos!$H$177/12</f>
        <v>5340.4837913833</v>
      </c>
      <c r="E196" s="23" t="n">
        <f aca="false">datos_base!$H$4*parametros_recargas!$C$43+sobrestock_sustitutos!$H$177/12</f>
        <v>5340.4837913833</v>
      </c>
      <c r="F196" s="23" t="n">
        <f aca="false">datos_base!$H$4*parametros_recargas!$D$43+sobrestock_sustitutos!$H$177/12</f>
        <v>5340.4837913833</v>
      </c>
      <c r="G196" s="23" t="n">
        <f aca="false">datos_base!$H$4*parametros_recargas!$E$43+sobrestock_sustitutos!$H$177/12</f>
        <v>5340.4837913833</v>
      </c>
      <c r="H196" s="23" t="n">
        <f aca="false">datos_base!$H$4*parametros_recargas!$F$43+sobrestock_sustitutos!$H$177/12</f>
        <v>5340.4837913833</v>
      </c>
      <c r="I196" s="23" t="n">
        <f aca="false">datos_base!$H$4*parametros_recargas!$G$43+sobrestock_sustitutos!$H$177/12</f>
        <v>5340.4837913833</v>
      </c>
      <c r="J196" s="23" t="n">
        <f aca="false">datos_base!$H$4*parametros_recargas!$H$43+sobrestock_sustitutos!$H$177/12</f>
        <v>5340.4837913833</v>
      </c>
      <c r="K196" s="23" t="n">
        <f aca="false">datos_base!$H$4*parametros_recargas!$I$43+sobrestock_sustitutos!$H$177/12</f>
        <v>5340.4837913833</v>
      </c>
      <c r="L196" s="23" t="n">
        <f aca="false">datos_base!$H$4*parametros_recargas!$J$43+sobrestock_sustitutos!$H$177/12</f>
        <v>5340.4837913833</v>
      </c>
      <c r="M196" s="23" t="n">
        <f aca="false">datos_base!$H$4*parametros_recargas!$K$43+sobrestock_sustitutos!$H$177/12</f>
        <v>5340.4837913833</v>
      </c>
      <c r="N196" s="23" t="n">
        <f aca="false">datos_base!$H$4*parametros_recargas!$L$43+sobrestock_sustitutos!$H$177/12</f>
        <v>5340.4837913833</v>
      </c>
      <c r="O196" s="23" t="n">
        <f aca="false">datos_base!$H$4*parametros_recargas!$M$43+sobrestock_sustitutos!$H$177/12</f>
        <v>5340.4837913833</v>
      </c>
      <c r="P196" s="7" t="n">
        <f aca="false">SUM(D196:O196)</f>
        <v>64085.8054965996</v>
      </c>
      <c r="Q196" s="13" t="n">
        <f aca="false">sobrestock_sustitutos!$H$177</f>
        <v>8055</v>
      </c>
    </row>
    <row r="197" customFormat="false" ht="15" hidden="false" customHeight="false" outlineLevel="0" collapsed="false">
      <c r="A197" s="12" t="str">
        <f aca="false">parametros_recargas!A54</f>
        <v>ABC 10 kg</v>
      </c>
      <c r="B197" s="12" t="str">
        <f aca="false">parametros_recargas!B54</f>
        <v>ABC</v>
      </c>
      <c r="C197" s="22" t="n">
        <f aca="false">parametros_recargas!C54</f>
        <v>1</v>
      </c>
      <c r="D197" s="23" t="n">
        <f aca="false">datos_base!$H$5*parametros_recargas!$B$43+sobrestock_sustitutos!$H$178/12</f>
        <v>310.869649988321</v>
      </c>
      <c r="E197" s="23" t="n">
        <f aca="false">datos_base!$H$5*parametros_recargas!$C$43+sobrestock_sustitutos!$H$178/12</f>
        <v>310.869649988321</v>
      </c>
      <c r="F197" s="23" t="n">
        <f aca="false">datos_base!$H$5*parametros_recargas!$D$43+sobrestock_sustitutos!$H$178/12</f>
        <v>310.869649988321</v>
      </c>
      <c r="G197" s="23" t="n">
        <f aca="false">datos_base!$H$5*parametros_recargas!$E$43+sobrestock_sustitutos!$H$178/12</f>
        <v>310.869649988321</v>
      </c>
      <c r="H197" s="23" t="n">
        <f aca="false">datos_base!$H$5*parametros_recargas!$F$43+sobrestock_sustitutos!$H$178/12</f>
        <v>310.869649988321</v>
      </c>
      <c r="I197" s="23" t="n">
        <f aca="false">datos_base!$H$5*parametros_recargas!$G$43+sobrestock_sustitutos!$H$178/12</f>
        <v>310.869649988321</v>
      </c>
      <c r="J197" s="23" t="n">
        <f aca="false">datos_base!$H$5*parametros_recargas!$H$43+sobrestock_sustitutos!$H$178/12</f>
        <v>310.869649988321</v>
      </c>
      <c r="K197" s="23" t="n">
        <f aca="false">datos_base!$H$5*parametros_recargas!$I$43+sobrestock_sustitutos!$H$178/12</f>
        <v>310.869649988321</v>
      </c>
      <c r="L197" s="23" t="n">
        <f aca="false">datos_base!$H$5*parametros_recargas!$J$43+sobrestock_sustitutos!$H$178/12</f>
        <v>310.869649988321</v>
      </c>
      <c r="M197" s="23" t="n">
        <f aca="false">datos_base!$H$5*parametros_recargas!$K$43+sobrestock_sustitutos!$H$178/12</f>
        <v>310.869649988321</v>
      </c>
      <c r="N197" s="23" t="n">
        <f aca="false">datos_base!$H$5*parametros_recargas!$L$43+sobrestock_sustitutos!$H$178/12</f>
        <v>310.869649988321</v>
      </c>
      <c r="O197" s="23" t="n">
        <f aca="false">datos_base!$H$5*parametros_recargas!$M$43+sobrestock_sustitutos!$H$178/12</f>
        <v>310.869649988321</v>
      </c>
      <c r="P197" s="7" t="n">
        <f aca="false">SUM(D197:O197)</f>
        <v>3730.43579985985</v>
      </c>
      <c r="Q197" s="13" t="n">
        <f aca="false">sobrestock_sustitutos!$H$178</f>
        <v>411</v>
      </c>
    </row>
    <row r="198" customFormat="false" ht="15" hidden="false" customHeight="false" outlineLevel="0" collapsed="false">
      <c r="A198" s="12" t="str">
        <f aca="false">parametros_recargas!A55</f>
        <v>Agua 10 l</v>
      </c>
      <c r="B198" s="12" t="str">
        <f aca="false">parametros_recargas!B55</f>
        <v>Agua</v>
      </c>
      <c r="C198" s="22" t="n">
        <f aca="false">parametros_recargas!C55</f>
        <v>1</v>
      </c>
      <c r="D198" s="23" t="n">
        <f aca="false">datos_base!$H$6*parametros_recargas!$B$43+sobrestock_sustitutos!$H$179/12</f>
        <v>425.849352262421</v>
      </c>
      <c r="E198" s="23" t="n">
        <f aca="false">datos_base!$H$6*parametros_recargas!$C$43+sobrestock_sustitutos!$H$179/12</f>
        <v>425.849352262421</v>
      </c>
      <c r="F198" s="23" t="n">
        <f aca="false">datos_base!$H$6*parametros_recargas!$D$43+sobrestock_sustitutos!$H$179/12</f>
        <v>425.849352262421</v>
      </c>
      <c r="G198" s="23" t="n">
        <f aca="false">datos_base!$H$6*parametros_recargas!$E$43+sobrestock_sustitutos!$H$179/12</f>
        <v>425.849352262421</v>
      </c>
      <c r="H198" s="23" t="n">
        <f aca="false">datos_base!$H$6*parametros_recargas!$F$43+sobrestock_sustitutos!$H$179/12</f>
        <v>425.849352262421</v>
      </c>
      <c r="I198" s="23" t="n">
        <f aca="false">datos_base!$H$6*parametros_recargas!$G$43+sobrestock_sustitutos!$H$179/12</f>
        <v>425.849352262421</v>
      </c>
      <c r="J198" s="23" t="n">
        <f aca="false">datos_base!$H$6*parametros_recargas!$H$43+sobrestock_sustitutos!$H$179/12</f>
        <v>425.849352262421</v>
      </c>
      <c r="K198" s="23" t="n">
        <f aca="false">datos_base!$H$6*parametros_recargas!$I$43+sobrestock_sustitutos!$H$179/12</f>
        <v>425.849352262421</v>
      </c>
      <c r="L198" s="23" t="n">
        <f aca="false">datos_base!$H$6*parametros_recargas!$J$43+sobrestock_sustitutos!$H$179/12</f>
        <v>425.849352262421</v>
      </c>
      <c r="M198" s="23" t="n">
        <f aca="false">datos_base!$H$6*parametros_recargas!$K$43+sobrestock_sustitutos!$H$179/12</f>
        <v>425.849352262421</v>
      </c>
      <c r="N198" s="23" t="n">
        <f aca="false">datos_base!$H$6*parametros_recargas!$L$43+sobrestock_sustitutos!$H$179/12</f>
        <v>425.849352262421</v>
      </c>
      <c r="O198" s="23" t="n">
        <f aca="false">datos_base!$H$6*parametros_recargas!$M$43+sobrestock_sustitutos!$H$179/12</f>
        <v>425.849352262421</v>
      </c>
      <c r="P198" s="7" t="n">
        <f aca="false">SUM(D198:O198)</f>
        <v>5110.19222714906</v>
      </c>
      <c r="Q198" s="13" t="n">
        <f aca="false">sobrestock_sustitutos!$H$179</f>
        <v>456</v>
      </c>
    </row>
    <row r="199" customFormat="false" ht="15" hidden="false" customHeight="false" outlineLevel="0" collapsed="false">
      <c r="A199" s="12" t="str">
        <f aca="false">parametros_recargas!A56</f>
        <v>AFFF 10 l</v>
      </c>
      <c r="B199" s="12" t="str">
        <f aca="false">parametros_recargas!B56</f>
        <v>AFFF</v>
      </c>
      <c r="C199" s="22" t="n">
        <f aca="false">parametros_recargas!C56</f>
        <v>1</v>
      </c>
      <c r="D199" s="23" t="n">
        <f aca="false">datos_base!$H$7*parametros_recargas!$B$43+sobrestock_sustitutos!$H$180/12</f>
        <v>77.7930200716973</v>
      </c>
      <c r="E199" s="23" t="n">
        <f aca="false">datos_base!$H$7*parametros_recargas!$C$43+sobrestock_sustitutos!$H$180/12</f>
        <v>77.7930200716973</v>
      </c>
      <c r="F199" s="23" t="n">
        <f aca="false">datos_base!$H$7*parametros_recargas!$D$43+sobrestock_sustitutos!$H$180/12</f>
        <v>77.7930200716973</v>
      </c>
      <c r="G199" s="23" t="n">
        <f aca="false">datos_base!$H$7*parametros_recargas!$E$43+sobrestock_sustitutos!$H$180/12</f>
        <v>77.7930200716973</v>
      </c>
      <c r="H199" s="23" t="n">
        <f aca="false">datos_base!$H$7*parametros_recargas!$F$43+sobrestock_sustitutos!$H$180/12</f>
        <v>77.7930200716973</v>
      </c>
      <c r="I199" s="23" t="n">
        <f aca="false">datos_base!$H$7*parametros_recargas!$G$43+sobrestock_sustitutos!$H$180/12</f>
        <v>77.7930200716973</v>
      </c>
      <c r="J199" s="23" t="n">
        <f aca="false">datos_base!$H$7*parametros_recargas!$H$43+sobrestock_sustitutos!$H$180/12</f>
        <v>77.7930200716973</v>
      </c>
      <c r="K199" s="23" t="n">
        <f aca="false">datos_base!$H$7*parametros_recargas!$I$43+sobrestock_sustitutos!$H$180/12</f>
        <v>77.7930200716973</v>
      </c>
      <c r="L199" s="23" t="n">
        <f aca="false">datos_base!$H$7*parametros_recargas!$J$43+sobrestock_sustitutos!$H$180/12</f>
        <v>77.7930200716973</v>
      </c>
      <c r="M199" s="23" t="n">
        <f aca="false">datos_base!$H$7*parametros_recargas!$K$43+sobrestock_sustitutos!$H$180/12</f>
        <v>77.7930200716973</v>
      </c>
      <c r="N199" s="23" t="n">
        <f aca="false">datos_base!$H$7*parametros_recargas!$L$43+sobrestock_sustitutos!$H$180/12</f>
        <v>77.7930200716973</v>
      </c>
      <c r="O199" s="23" t="n">
        <f aca="false">datos_base!$H$7*parametros_recargas!$M$43+sobrestock_sustitutos!$H$180/12</f>
        <v>77.7930200716973</v>
      </c>
      <c r="P199" s="7" t="n">
        <f aca="false">SUM(D199:O199)</f>
        <v>933.516240860368</v>
      </c>
      <c r="Q199" s="13" t="n">
        <f aca="false">sobrestock_sustitutos!$H$180</f>
        <v>83</v>
      </c>
    </row>
    <row r="200" customFormat="false" ht="15" hidden="false" customHeight="false" outlineLevel="0" collapsed="false">
      <c r="A200" s="12" t="str">
        <f aca="false">parametros_recargas!A57</f>
        <v>AFFF 50 l s/ruedas</v>
      </c>
      <c r="B200" s="12" t="str">
        <f aca="false">parametros_recargas!B57</f>
        <v>AFFF</v>
      </c>
      <c r="C200" s="22" t="n">
        <f aca="false">parametros_recargas!C57</f>
        <v>3</v>
      </c>
      <c r="D200" s="23" t="n">
        <f aca="false">datos_base!$H$8*parametros_recargas!$B$43+sobrestock_sustitutos!$H$181/12</f>
        <v>40.9788218371084</v>
      </c>
      <c r="E200" s="23" t="n">
        <f aca="false">datos_base!$H$8*parametros_recargas!$C$43+sobrestock_sustitutos!$H$181/12</f>
        <v>40.9788218371084</v>
      </c>
      <c r="F200" s="23" t="n">
        <f aca="false">datos_base!$H$8*parametros_recargas!$D$43+sobrestock_sustitutos!$H$181/12</f>
        <v>40.9788218371084</v>
      </c>
      <c r="G200" s="23" t="n">
        <f aca="false">datos_base!$H$8*parametros_recargas!$E$43+sobrestock_sustitutos!$H$181/12</f>
        <v>40.9788218371084</v>
      </c>
      <c r="H200" s="23" t="n">
        <f aca="false">datos_base!$H$8*parametros_recargas!$F$43+sobrestock_sustitutos!$H$181/12</f>
        <v>40.9788218371084</v>
      </c>
      <c r="I200" s="23" t="n">
        <f aca="false">datos_base!$H$8*parametros_recargas!$G$43+sobrestock_sustitutos!$H$181/12</f>
        <v>40.9788218371084</v>
      </c>
      <c r="J200" s="23" t="n">
        <f aca="false">datos_base!$H$8*parametros_recargas!$H$43+sobrestock_sustitutos!$H$181/12</f>
        <v>40.9788218371084</v>
      </c>
      <c r="K200" s="23" t="n">
        <f aca="false">datos_base!$H$8*parametros_recargas!$I$43+sobrestock_sustitutos!$H$181/12</f>
        <v>40.9788218371084</v>
      </c>
      <c r="L200" s="23" t="n">
        <f aca="false">datos_base!$H$8*parametros_recargas!$J$43+sobrestock_sustitutos!$H$181/12</f>
        <v>40.9788218371084</v>
      </c>
      <c r="M200" s="23" t="n">
        <f aca="false">datos_base!$H$8*parametros_recargas!$K$43+sobrestock_sustitutos!$H$181/12</f>
        <v>40.9788218371084</v>
      </c>
      <c r="N200" s="23" t="n">
        <f aca="false">datos_base!$H$8*parametros_recargas!$L$43+sobrestock_sustitutos!$H$181/12</f>
        <v>40.9788218371084</v>
      </c>
      <c r="O200" s="23" t="n">
        <f aca="false">datos_base!$H$8*parametros_recargas!$M$43+sobrestock_sustitutos!$H$181/12</f>
        <v>40.9788218371084</v>
      </c>
      <c r="P200" s="7" t="n">
        <f aca="false">SUM(D200:O200)</f>
        <v>491.745862045301</v>
      </c>
      <c r="Q200" s="13" t="n">
        <f aca="false">sobrestock_sustitutos!$H$181</f>
        <v>44</v>
      </c>
    </row>
    <row r="201" customFormat="false" ht="15" hidden="false" customHeight="false" outlineLevel="0" collapsed="false">
      <c r="A201" s="12" t="str">
        <f aca="false">parametros_recargas!A58</f>
        <v>BC 5 kg</v>
      </c>
      <c r="B201" s="12" t="str">
        <f aca="false">parametros_recargas!B58</f>
        <v>BC</v>
      </c>
      <c r="C201" s="22" t="n">
        <f aca="false">parametros_recargas!C58</f>
        <v>1</v>
      </c>
      <c r="D201" s="23" t="n">
        <f aca="false">datos_base!$H$9*parametros_recargas!$B$43+sobrestock_sustitutos!$H$182/12</f>
        <v>24.544151218042</v>
      </c>
      <c r="E201" s="23" t="n">
        <f aca="false">datos_base!$H$9*parametros_recargas!$C$43+sobrestock_sustitutos!$H$182/12</f>
        <v>24.544151218042</v>
      </c>
      <c r="F201" s="23" t="n">
        <f aca="false">datos_base!$H$9*parametros_recargas!$D$43+sobrestock_sustitutos!$H$182/12</f>
        <v>24.544151218042</v>
      </c>
      <c r="G201" s="23" t="n">
        <f aca="false">datos_base!$H$9*parametros_recargas!$E$43+sobrestock_sustitutos!$H$182/12</f>
        <v>24.544151218042</v>
      </c>
      <c r="H201" s="23" t="n">
        <f aca="false">datos_base!$H$9*parametros_recargas!$F$43+sobrestock_sustitutos!$H$182/12</f>
        <v>24.544151218042</v>
      </c>
      <c r="I201" s="23" t="n">
        <f aca="false">datos_base!$H$9*parametros_recargas!$G$43+sobrestock_sustitutos!$H$182/12</f>
        <v>24.544151218042</v>
      </c>
      <c r="J201" s="23" t="n">
        <f aca="false">datos_base!$H$9*parametros_recargas!$H$43+sobrestock_sustitutos!$H$182/12</f>
        <v>24.544151218042</v>
      </c>
      <c r="K201" s="23" t="n">
        <f aca="false">datos_base!$H$9*parametros_recargas!$I$43+sobrestock_sustitutos!$H$182/12</f>
        <v>24.544151218042</v>
      </c>
      <c r="L201" s="23" t="n">
        <f aca="false">datos_base!$H$9*parametros_recargas!$J$43+sobrestock_sustitutos!$H$182/12</f>
        <v>24.544151218042</v>
      </c>
      <c r="M201" s="23" t="n">
        <f aca="false">datos_base!$H$9*parametros_recargas!$K$43+sobrestock_sustitutos!$H$182/12</f>
        <v>24.544151218042</v>
      </c>
      <c r="N201" s="23" t="n">
        <f aca="false">datos_base!$H$9*parametros_recargas!$L$43+sobrestock_sustitutos!$H$182/12</f>
        <v>24.544151218042</v>
      </c>
      <c r="O201" s="23" t="n">
        <f aca="false">datos_base!$H$9*parametros_recargas!$M$43+sobrestock_sustitutos!$H$182/12</f>
        <v>24.544151218042</v>
      </c>
      <c r="P201" s="7" t="n">
        <f aca="false">SUM(D201:O201)</f>
        <v>294.529814616504</v>
      </c>
      <c r="Q201" s="13" t="n">
        <f aca="false">sobrestock_sustitutos!$H$182</f>
        <v>32</v>
      </c>
    </row>
    <row r="202" customFormat="false" ht="15" hidden="false" customHeight="false" outlineLevel="0" collapsed="false">
      <c r="A202" s="12" t="str">
        <f aca="false">parametros_recargas!A59</f>
        <v>Sales K 6 l</v>
      </c>
      <c r="B202" s="12" t="str">
        <f aca="false">parametros_recargas!B59</f>
        <v>Sales K</v>
      </c>
      <c r="C202" s="22" t="n">
        <f aca="false">parametros_recargas!C59</f>
        <v>1</v>
      </c>
      <c r="D202" s="23" t="n">
        <f aca="false">datos_base!$H$10*parametros_recargas!$B$43+sobrestock_sustitutos!$H$183/12</f>
        <v>208.224618742251</v>
      </c>
      <c r="E202" s="23" t="n">
        <f aca="false">datos_base!$H$10*parametros_recargas!$C$43+sobrestock_sustitutos!$H$183/12</f>
        <v>208.224618742251</v>
      </c>
      <c r="F202" s="23" t="n">
        <f aca="false">datos_base!$H$10*parametros_recargas!$D$43+sobrestock_sustitutos!$H$183/12</f>
        <v>208.224618742251</v>
      </c>
      <c r="G202" s="23" t="n">
        <f aca="false">datos_base!$H$10*parametros_recargas!$E$43+sobrestock_sustitutos!$H$183/12</f>
        <v>208.224618742251</v>
      </c>
      <c r="H202" s="23" t="n">
        <f aca="false">datos_base!$H$10*parametros_recargas!$F$43+sobrestock_sustitutos!$H$183/12</f>
        <v>208.224618742251</v>
      </c>
      <c r="I202" s="23" t="n">
        <f aca="false">datos_base!$H$10*parametros_recargas!$G$43+sobrestock_sustitutos!$H$183/12</f>
        <v>208.224618742251</v>
      </c>
      <c r="J202" s="23" t="n">
        <f aca="false">datos_base!$H$10*parametros_recargas!$H$43+sobrestock_sustitutos!$H$183/12</f>
        <v>208.224618742251</v>
      </c>
      <c r="K202" s="23" t="n">
        <f aca="false">datos_base!$H$10*parametros_recargas!$I$43+sobrestock_sustitutos!$H$183/12</f>
        <v>208.224618742251</v>
      </c>
      <c r="L202" s="23" t="n">
        <f aca="false">datos_base!$H$10*parametros_recargas!$J$43+sobrestock_sustitutos!$H$183/12</f>
        <v>208.224618742251</v>
      </c>
      <c r="M202" s="23" t="n">
        <f aca="false">datos_base!$H$10*parametros_recargas!$K$43+sobrestock_sustitutos!$H$183/12</f>
        <v>208.224618742251</v>
      </c>
      <c r="N202" s="23" t="n">
        <f aca="false">datos_base!$H$10*parametros_recargas!$L$43+sobrestock_sustitutos!$H$183/12</f>
        <v>208.224618742251</v>
      </c>
      <c r="O202" s="23" t="n">
        <f aca="false">datos_base!$H$10*parametros_recargas!$M$43+sobrestock_sustitutos!$H$183/12</f>
        <v>208.224618742251</v>
      </c>
      <c r="P202" s="7" t="n">
        <f aca="false">SUM(D202:O202)</f>
        <v>2498.69542490701</v>
      </c>
      <c r="Q202" s="13" t="n">
        <f aca="false">sobrestock_sustitutos!$H$183</f>
        <v>223</v>
      </c>
    </row>
    <row r="203" customFormat="false" ht="15" hidden="false" customHeight="false" outlineLevel="0" collapsed="false">
      <c r="A203" s="12" t="str">
        <f aca="false">parametros_recargas!A60</f>
        <v>CO₂ 2 kg</v>
      </c>
      <c r="B203" s="12" t="str">
        <f aca="false">parametros_recargas!B60</f>
        <v>CO₂</v>
      </c>
      <c r="C203" s="22" t="n">
        <f aca="false">parametros_recargas!C60</f>
        <v>1</v>
      </c>
      <c r="D203" s="23" t="n">
        <f aca="false">datos_base!$H$11*parametros_recargas!$B$43+sobrestock_sustitutos!$H$184/12</f>
        <v>1052.60919448185</v>
      </c>
      <c r="E203" s="23" t="n">
        <f aca="false">datos_base!$H$11*parametros_recargas!$C$43+sobrestock_sustitutos!$H$184/12</f>
        <v>1052.60919448185</v>
      </c>
      <c r="F203" s="23" t="n">
        <f aca="false">datos_base!$H$11*parametros_recargas!$D$43+sobrestock_sustitutos!$H$184/12</f>
        <v>1052.60919448185</v>
      </c>
      <c r="G203" s="23" t="n">
        <f aca="false">datos_base!$H$11*parametros_recargas!$E$43+sobrestock_sustitutos!$H$184/12</f>
        <v>1052.60919448185</v>
      </c>
      <c r="H203" s="23" t="n">
        <f aca="false">datos_base!$H$11*parametros_recargas!$F$43+sobrestock_sustitutos!$H$184/12</f>
        <v>1052.60919448185</v>
      </c>
      <c r="I203" s="23" t="n">
        <f aca="false">datos_base!$H$11*parametros_recargas!$G$43+sobrestock_sustitutos!$H$184/12</f>
        <v>1052.60919448185</v>
      </c>
      <c r="J203" s="23" t="n">
        <f aca="false">datos_base!$H$11*parametros_recargas!$H$43+sobrestock_sustitutos!$H$184/12</f>
        <v>1052.60919448185</v>
      </c>
      <c r="K203" s="23" t="n">
        <f aca="false">datos_base!$H$11*parametros_recargas!$I$43+sobrestock_sustitutos!$H$184/12</f>
        <v>1052.60919448185</v>
      </c>
      <c r="L203" s="23" t="n">
        <f aca="false">datos_base!$H$11*parametros_recargas!$J$43+sobrestock_sustitutos!$H$184/12</f>
        <v>1052.60919448185</v>
      </c>
      <c r="M203" s="23" t="n">
        <f aca="false">datos_base!$H$11*parametros_recargas!$K$43+sobrestock_sustitutos!$H$184/12</f>
        <v>1052.60919448185</v>
      </c>
      <c r="N203" s="23" t="n">
        <f aca="false">datos_base!$H$11*parametros_recargas!$L$43+sobrestock_sustitutos!$H$184/12</f>
        <v>1052.60919448185</v>
      </c>
      <c r="O203" s="23" t="n">
        <f aca="false">datos_base!$H$11*parametros_recargas!$M$43+sobrestock_sustitutos!$H$184/12</f>
        <v>1052.60919448185</v>
      </c>
      <c r="P203" s="7" t="n">
        <f aca="false">SUM(D203:O203)</f>
        <v>12631.3103337822</v>
      </c>
      <c r="Q203" s="13" t="n">
        <f aca="false">sobrestock_sustitutos!$H$184</f>
        <v>0</v>
      </c>
    </row>
    <row r="204" customFormat="false" ht="15" hidden="false" customHeight="false" outlineLevel="0" collapsed="false">
      <c r="A204" s="12" t="str">
        <f aca="false">parametros_recargas!A61</f>
        <v>CO₂ 5 kg</v>
      </c>
      <c r="B204" s="12" t="str">
        <f aca="false">parametros_recargas!B61</f>
        <v>CO₂</v>
      </c>
      <c r="C204" s="22" t="n">
        <f aca="false">parametros_recargas!C61</f>
        <v>1</v>
      </c>
      <c r="D204" s="23" t="n">
        <f aca="false">datos_base!$H$12*parametros_recargas!$B$43+sobrestock_sustitutos!$H$185/12</f>
        <v>484.216333781628</v>
      </c>
      <c r="E204" s="23" t="n">
        <f aca="false">datos_base!$H$12*parametros_recargas!$C$43+sobrestock_sustitutos!$H$185/12</f>
        <v>484.216333781628</v>
      </c>
      <c r="F204" s="23" t="n">
        <f aca="false">datos_base!$H$12*parametros_recargas!$D$43+sobrestock_sustitutos!$H$185/12</f>
        <v>484.216333781628</v>
      </c>
      <c r="G204" s="23" t="n">
        <f aca="false">datos_base!$H$12*parametros_recargas!$E$43+sobrestock_sustitutos!$H$185/12</f>
        <v>484.216333781628</v>
      </c>
      <c r="H204" s="23" t="n">
        <f aca="false">datos_base!$H$12*parametros_recargas!$F$43+sobrestock_sustitutos!$H$185/12</f>
        <v>484.216333781628</v>
      </c>
      <c r="I204" s="23" t="n">
        <f aca="false">datos_base!$H$12*parametros_recargas!$G$43+sobrestock_sustitutos!$H$185/12</f>
        <v>484.216333781628</v>
      </c>
      <c r="J204" s="23" t="n">
        <f aca="false">datos_base!$H$12*parametros_recargas!$H$43+sobrestock_sustitutos!$H$185/12</f>
        <v>484.216333781628</v>
      </c>
      <c r="K204" s="23" t="n">
        <f aca="false">datos_base!$H$12*parametros_recargas!$I$43+sobrestock_sustitutos!$H$185/12</f>
        <v>484.216333781628</v>
      </c>
      <c r="L204" s="23" t="n">
        <f aca="false">datos_base!$H$12*parametros_recargas!$J$43+sobrestock_sustitutos!$H$185/12</f>
        <v>484.216333781628</v>
      </c>
      <c r="M204" s="23" t="n">
        <f aca="false">datos_base!$H$12*parametros_recargas!$K$43+sobrestock_sustitutos!$H$185/12</f>
        <v>484.216333781628</v>
      </c>
      <c r="N204" s="23" t="n">
        <f aca="false">datos_base!$H$12*parametros_recargas!$L$43+sobrestock_sustitutos!$H$185/12</f>
        <v>484.216333781628</v>
      </c>
      <c r="O204" s="23" t="n">
        <f aca="false">datos_base!$H$12*parametros_recargas!$M$43+sobrestock_sustitutos!$H$185/12</f>
        <v>484.216333781628</v>
      </c>
      <c r="P204" s="7" t="n">
        <f aca="false">SUM(D204:O204)</f>
        <v>5810.59600537953</v>
      </c>
      <c r="Q204" s="13" t="n">
        <f aca="false">sobrestock_sustitutos!$H$185</f>
        <v>1644</v>
      </c>
    </row>
    <row r="205" customFormat="false" ht="15" hidden="false" customHeight="false" outlineLevel="0" collapsed="false">
      <c r="A205" s="12" t="str">
        <f aca="false">parametros_recargas!A62</f>
        <v>HCFC/HFC 5 kg</v>
      </c>
      <c r="B205" s="12" t="str">
        <f aca="false">parametros_recargas!B62</f>
        <v>Halogenado</v>
      </c>
      <c r="C205" s="22" t="n">
        <f aca="false">parametros_recargas!C62</f>
        <v>1</v>
      </c>
      <c r="D205" s="23" t="n">
        <f aca="false">datos_base!$H$13*parametros_recargas!$B$43+sobrestock_sustitutos!$H$186/12</f>
        <v>61.4590760031822</v>
      </c>
      <c r="E205" s="23" t="n">
        <f aca="false">datos_base!$H$13*parametros_recargas!$C$43+sobrestock_sustitutos!$H$186/12</f>
        <v>61.4590760031822</v>
      </c>
      <c r="F205" s="23" t="n">
        <f aca="false">datos_base!$H$13*parametros_recargas!$D$43+sobrestock_sustitutos!$H$186/12</f>
        <v>61.4590760031822</v>
      </c>
      <c r="G205" s="23" t="n">
        <f aca="false">datos_base!$H$13*parametros_recargas!$E$43+sobrestock_sustitutos!$H$186/12</f>
        <v>61.4590760031822</v>
      </c>
      <c r="H205" s="23" t="n">
        <f aca="false">datos_base!$H$13*parametros_recargas!$F$43+sobrestock_sustitutos!$H$186/12</f>
        <v>61.4590760031822</v>
      </c>
      <c r="I205" s="23" t="n">
        <f aca="false">datos_base!$H$13*parametros_recargas!$G$43+sobrestock_sustitutos!$H$186/12</f>
        <v>61.4590760031822</v>
      </c>
      <c r="J205" s="23" t="n">
        <f aca="false">datos_base!$H$13*parametros_recargas!$H$43+sobrestock_sustitutos!$H$186/12</f>
        <v>61.4590760031822</v>
      </c>
      <c r="K205" s="23" t="n">
        <f aca="false">datos_base!$H$13*parametros_recargas!$I$43+sobrestock_sustitutos!$H$186/12</f>
        <v>61.4590760031822</v>
      </c>
      <c r="L205" s="23" t="n">
        <f aca="false">datos_base!$H$13*parametros_recargas!$J$43+sobrestock_sustitutos!$H$186/12</f>
        <v>61.4590760031822</v>
      </c>
      <c r="M205" s="23" t="n">
        <f aca="false">datos_base!$H$13*parametros_recargas!$K$43+sobrestock_sustitutos!$H$186/12</f>
        <v>61.4590760031822</v>
      </c>
      <c r="N205" s="23" t="n">
        <f aca="false">datos_base!$H$13*parametros_recargas!$L$43+sobrestock_sustitutos!$H$186/12</f>
        <v>61.4590760031822</v>
      </c>
      <c r="O205" s="23" t="n">
        <f aca="false">datos_base!$H$13*parametros_recargas!$M$43+sobrestock_sustitutos!$H$186/12</f>
        <v>61.4590760031822</v>
      </c>
      <c r="P205" s="7" t="n">
        <f aca="false">SUM(D205:O205)</f>
        <v>737.508912038186</v>
      </c>
      <c r="Q205" s="13" t="n">
        <f aca="false">sobrestock_sustitutos!$H$186</f>
        <v>65</v>
      </c>
    </row>
    <row r="206" customFormat="false" ht="15" hidden="false" customHeight="false" outlineLevel="0" collapsed="false">
      <c r="A206" s="12" t="str">
        <f aca="false">parametros_recargas!A63</f>
        <v>Clase D 9 l</v>
      </c>
      <c r="B206" s="12" t="str">
        <f aca="false">parametros_recargas!B63</f>
        <v>Clase D</v>
      </c>
      <c r="C206" s="22" t="n">
        <f aca="false">parametros_recargas!C63</f>
        <v>1</v>
      </c>
      <c r="D206" s="23" t="n">
        <f aca="false">datos_base!$H$14*parametros_recargas!$B$43+sobrestock_sustitutos!$H$187/12</f>
        <v>21.8129894625864</v>
      </c>
      <c r="E206" s="23" t="n">
        <f aca="false">datos_base!$H$14*parametros_recargas!$C$43+sobrestock_sustitutos!$H$187/12</f>
        <v>21.8129894625864</v>
      </c>
      <c r="F206" s="23" t="n">
        <f aca="false">datos_base!$H$14*parametros_recargas!$D$43+sobrestock_sustitutos!$H$187/12</f>
        <v>21.8129894625864</v>
      </c>
      <c r="G206" s="23" t="n">
        <f aca="false">datos_base!$H$14*parametros_recargas!$E$43+sobrestock_sustitutos!$H$187/12</f>
        <v>21.8129894625864</v>
      </c>
      <c r="H206" s="23" t="n">
        <f aca="false">datos_base!$H$14*parametros_recargas!$F$43+sobrestock_sustitutos!$H$187/12</f>
        <v>21.8129894625864</v>
      </c>
      <c r="I206" s="23" t="n">
        <f aca="false">datos_base!$H$14*parametros_recargas!$G$43+sobrestock_sustitutos!$H$187/12</f>
        <v>21.8129894625864</v>
      </c>
      <c r="J206" s="23" t="n">
        <f aca="false">datos_base!$H$14*parametros_recargas!$H$43+sobrestock_sustitutos!$H$187/12</f>
        <v>21.8129894625864</v>
      </c>
      <c r="K206" s="23" t="n">
        <f aca="false">datos_base!$H$14*parametros_recargas!$I$43+sobrestock_sustitutos!$H$187/12</f>
        <v>21.8129894625864</v>
      </c>
      <c r="L206" s="23" t="n">
        <f aca="false">datos_base!$H$14*parametros_recargas!$J$43+sobrestock_sustitutos!$H$187/12</f>
        <v>21.8129894625864</v>
      </c>
      <c r="M206" s="23" t="n">
        <f aca="false">datos_base!$H$14*parametros_recargas!$K$43+sobrestock_sustitutos!$H$187/12</f>
        <v>21.8129894625864</v>
      </c>
      <c r="N206" s="23" t="n">
        <f aca="false">datos_base!$H$14*parametros_recargas!$L$43+sobrestock_sustitutos!$H$187/12</f>
        <v>21.8129894625864</v>
      </c>
      <c r="O206" s="23" t="n">
        <f aca="false">datos_base!$H$14*parametros_recargas!$M$43+sobrestock_sustitutos!$H$187/12</f>
        <v>21.8129894625864</v>
      </c>
      <c r="P206" s="7" t="n">
        <f aca="false">SUM(D206:O206)</f>
        <v>261.755873551037</v>
      </c>
      <c r="Q206" s="13" t="n">
        <f aca="false">sobrestock_sustitutos!$H$187</f>
        <v>28</v>
      </c>
    </row>
    <row r="207" customFormat="false" ht="15" hidden="false" customHeight="false" outlineLevel="0" collapsed="false">
      <c r="A207" s="12" t="str">
        <f aca="false">parametros_recargas!A64</f>
        <v>ABC 25 kg s/ruedas</v>
      </c>
      <c r="B207" s="12" t="str">
        <f aca="false">parametros_recargas!B64</f>
        <v>ABC</v>
      </c>
      <c r="C207" s="22" t="n">
        <f aca="false">parametros_recargas!C64</f>
        <v>3</v>
      </c>
      <c r="D207" s="23" t="n">
        <f aca="false">datos_base!$H$15*parametros_recargas!$B$43+sobrestock_sustitutos!$H$188/12</f>
        <v>47.0019988132833</v>
      </c>
      <c r="E207" s="23" t="n">
        <f aca="false">datos_base!$H$15*parametros_recargas!$C$43+sobrestock_sustitutos!$H$188/12</f>
        <v>47.0019988132833</v>
      </c>
      <c r="F207" s="23" t="n">
        <f aca="false">datos_base!$H$15*parametros_recargas!$D$43+sobrestock_sustitutos!$H$188/12</f>
        <v>47.0019988132833</v>
      </c>
      <c r="G207" s="23" t="n">
        <f aca="false">datos_base!$H$15*parametros_recargas!$E$43+sobrestock_sustitutos!$H$188/12</f>
        <v>47.0019988132833</v>
      </c>
      <c r="H207" s="23" t="n">
        <f aca="false">datos_base!$H$15*parametros_recargas!$F$43+sobrestock_sustitutos!$H$188/12</f>
        <v>47.0019988132833</v>
      </c>
      <c r="I207" s="23" t="n">
        <f aca="false">datos_base!$H$15*parametros_recargas!$G$43+sobrestock_sustitutos!$H$188/12</f>
        <v>47.0019988132833</v>
      </c>
      <c r="J207" s="23" t="n">
        <f aca="false">datos_base!$H$15*parametros_recargas!$H$43+sobrestock_sustitutos!$H$188/12</f>
        <v>47.0019988132833</v>
      </c>
      <c r="K207" s="23" t="n">
        <f aca="false">datos_base!$H$15*parametros_recargas!$I$43+sobrestock_sustitutos!$H$188/12</f>
        <v>47.0019988132833</v>
      </c>
      <c r="L207" s="23" t="n">
        <f aca="false">datos_base!$H$15*parametros_recargas!$J$43+sobrestock_sustitutos!$H$188/12</f>
        <v>47.0019988132833</v>
      </c>
      <c r="M207" s="23" t="n">
        <f aca="false">datos_base!$H$15*parametros_recargas!$K$43+sobrestock_sustitutos!$H$188/12</f>
        <v>47.0019988132833</v>
      </c>
      <c r="N207" s="23" t="n">
        <f aca="false">datos_base!$H$15*parametros_recargas!$L$43+sobrestock_sustitutos!$H$188/12</f>
        <v>47.0019988132833</v>
      </c>
      <c r="O207" s="23" t="n">
        <f aca="false">datos_base!$H$15*parametros_recargas!$M$43+sobrestock_sustitutos!$H$188/12</f>
        <v>47.0019988132833</v>
      </c>
      <c r="P207" s="7" t="n">
        <f aca="false">SUM(D207:O207)</f>
        <v>564.023985759399</v>
      </c>
      <c r="Q207" s="13" t="n">
        <f aca="false">sobrestock_sustitutos!$H$188</f>
        <v>0</v>
      </c>
    </row>
    <row r="208" customFormat="false" ht="15" hidden="false" customHeight="false" outlineLevel="0" collapsed="false">
      <c r="A208" s="12" t="str">
        <f aca="false">parametros_recargas!A65</f>
        <v>ABC 50 kg s/ruedas</v>
      </c>
      <c r="B208" s="12" t="str">
        <f aca="false">parametros_recargas!B65</f>
        <v>ABC</v>
      </c>
      <c r="C208" s="22" t="n">
        <f aca="false">parametros_recargas!C65</f>
        <v>3</v>
      </c>
      <c r="D208" s="23" t="n">
        <f aca="false">datos_base!$H$16*parametros_recargas!$B$43+sobrestock_sustitutos!$H$189/12</f>
        <v>121.904397424811</v>
      </c>
      <c r="E208" s="23" t="n">
        <f aca="false">datos_base!$H$16*parametros_recargas!$C$43+sobrestock_sustitutos!$H$189/12</f>
        <v>121.904397424811</v>
      </c>
      <c r="F208" s="23" t="n">
        <f aca="false">datos_base!$H$16*parametros_recargas!$D$43+sobrestock_sustitutos!$H$189/12</f>
        <v>121.904397424811</v>
      </c>
      <c r="G208" s="23" t="n">
        <f aca="false">datos_base!$H$16*parametros_recargas!$E$43+sobrestock_sustitutos!$H$189/12</f>
        <v>121.904397424811</v>
      </c>
      <c r="H208" s="23" t="n">
        <f aca="false">datos_base!$H$16*parametros_recargas!$F$43+sobrestock_sustitutos!$H$189/12</f>
        <v>121.904397424811</v>
      </c>
      <c r="I208" s="23" t="n">
        <f aca="false">datos_base!$H$16*parametros_recargas!$G$43+sobrestock_sustitutos!$H$189/12</f>
        <v>121.904397424811</v>
      </c>
      <c r="J208" s="23" t="n">
        <f aca="false">datos_base!$H$16*parametros_recargas!$H$43+sobrestock_sustitutos!$H$189/12</f>
        <v>121.904397424811</v>
      </c>
      <c r="K208" s="23" t="n">
        <f aca="false">datos_base!$H$16*parametros_recargas!$I$43+sobrestock_sustitutos!$H$189/12</f>
        <v>121.904397424811</v>
      </c>
      <c r="L208" s="23" t="n">
        <f aca="false">datos_base!$H$16*parametros_recargas!$J$43+sobrestock_sustitutos!$H$189/12</f>
        <v>121.904397424811</v>
      </c>
      <c r="M208" s="23" t="n">
        <f aca="false">datos_base!$H$16*parametros_recargas!$K$43+sobrestock_sustitutos!$H$189/12</f>
        <v>121.904397424811</v>
      </c>
      <c r="N208" s="23" t="n">
        <f aca="false">datos_base!$H$16*parametros_recargas!$L$43+sobrestock_sustitutos!$H$189/12</f>
        <v>121.904397424811</v>
      </c>
      <c r="O208" s="23" t="n">
        <f aca="false">datos_base!$H$16*parametros_recargas!$M$43+sobrestock_sustitutos!$H$189/12</f>
        <v>121.904397424811</v>
      </c>
      <c r="P208" s="7" t="n">
        <f aca="false">SUM(D208:O208)</f>
        <v>1462.85276909774</v>
      </c>
      <c r="Q208" s="13" t="n">
        <f aca="false">sobrestock_sustitutos!$H$189</f>
        <v>222</v>
      </c>
    </row>
    <row r="209" customFormat="false" ht="15" hidden="false" customHeight="false" outlineLevel="0" collapsed="false">
      <c r="A209" s="12" t="str">
        <f aca="false">parametros_recargas!A66</f>
        <v>ABC 70 kg s/ruedas</v>
      </c>
      <c r="B209" s="12" t="str">
        <f aca="false">parametros_recargas!B66</f>
        <v>ABC</v>
      </c>
      <c r="C209" s="22" t="n">
        <f aca="false">parametros_recargas!C66</f>
        <v>3</v>
      </c>
      <c r="D209" s="23" t="n">
        <f aca="false">datos_base!$H$17*parametros_recargas!$B$43+sobrestock_sustitutos!$H$190/12</f>
        <v>22.5609594208858</v>
      </c>
      <c r="E209" s="23" t="n">
        <f aca="false">datos_base!$H$17*parametros_recargas!$C$43+sobrestock_sustitutos!$H$190/12</f>
        <v>22.5609594208858</v>
      </c>
      <c r="F209" s="23" t="n">
        <f aca="false">datos_base!$H$17*parametros_recargas!$D$43+sobrestock_sustitutos!$H$190/12</f>
        <v>22.5609594208858</v>
      </c>
      <c r="G209" s="23" t="n">
        <f aca="false">datos_base!$H$17*parametros_recargas!$E$43+sobrestock_sustitutos!$H$190/12</f>
        <v>22.5609594208858</v>
      </c>
      <c r="H209" s="23" t="n">
        <f aca="false">datos_base!$H$17*parametros_recargas!$F$43+sobrestock_sustitutos!$H$190/12</f>
        <v>22.5609594208858</v>
      </c>
      <c r="I209" s="23" t="n">
        <f aca="false">datos_base!$H$17*parametros_recargas!$G$43+sobrestock_sustitutos!$H$190/12</f>
        <v>22.5609594208858</v>
      </c>
      <c r="J209" s="23" t="n">
        <f aca="false">datos_base!$H$17*parametros_recargas!$H$43+sobrestock_sustitutos!$H$190/12</f>
        <v>22.5609594208858</v>
      </c>
      <c r="K209" s="23" t="n">
        <f aca="false">datos_base!$H$17*parametros_recargas!$I$43+sobrestock_sustitutos!$H$190/12</f>
        <v>22.5609594208858</v>
      </c>
      <c r="L209" s="23" t="n">
        <f aca="false">datos_base!$H$17*parametros_recargas!$J$43+sobrestock_sustitutos!$H$190/12</f>
        <v>22.5609594208858</v>
      </c>
      <c r="M209" s="23" t="n">
        <f aca="false">datos_base!$H$17*parametros_recargas!$K$43+sobrestock_sustitutos!$H$190/12</f>
        <v>22.5609594208858</v>
      </c>
      <c r="N209" s="23" t="n">
        <f aca="false">datos_base!$H$17*parametros_recargas!$L$43+sobrestock_sustitutos!$H$190/12</f>
        <v>22.5609594208858</v>
      </c>
      <c r="O209" s="23" t="n">
        <f aca="false">datos_base!$H$17*parametros_recargas!$M$43+sobrestock_sustitutos!$H$190/12</f>
        <v>22.5609594208858</v>
      </c>
      <c r="P209" s="7" t="n">
        <f aca="false">SUM(D209:O209)</f>
        <v>270.73151305063</v>
      </c>
      <c r="Q209" s="13" t="n">
        <f aca="false">sobrestock_sustitutos!$H$190</f>
        <v>0</v>
      </c>
    </row>
    <row r="210" customFormat="false" ht="15" hidden="false" customHeight="false" outlineLevel="0" collapsed="false">
      <c r="A210" s="12" t="str">
        <f aca="false">parametros_recargas!A67</f>
        <v>ABC 100 kg s/ruedas</v>
      </c>
      <c r="B210" s="12" t="str">
        <f aca="false">parametros_recargas!B67</f>
        <v>ABC</v>
      </c>
      <c r="C210" s="22" t="n">
        <f aca="false">parametros_recargas!C67</f>
        <v>3</v>
      </c>
      <c r="D210" s="23" t="n">
        <f aca="false">datos_base!$H$18*parametros_recargas!$B$43+sobrestock_sustitutos!$H$191/12</f>
        <v>19.7073063201329</v>
      </c>
      <c r="E210" s="23" t="n">
        <f aca="false">datos_base!$H$18*parametros_recargas!$C$43+sobrestock_sustitutos!$H$191/12</f>
        <v>19.7073063201329</v>
      </c>
      <c r="F210" s="23" t="n">
        <f aca="false">datos_base!$H$18*parametros_recargas!$D$43+sobrestock_sustitutos!$H$191/12</f>
        <v>19.7073063201329</v>
      </c>
      <c r="G210" s="23" t="n">
        <f aca="false">datos_base!$H$18*parametros_recargas!$E$43+sobrestock_sustitutos!$H$191/12</f>
        <v>19.7073063201329</v>
      </c>
      <c r="H210" s="23" t="n">
        <f aca="false">datos_base!$H$18*parametros_recargas!$F$43+sobrestock_sustitutos!$H$191/12</f>
        <v>19.7073063201329</v>
      </c>
      <c r="I210" s="23" t="n">
        <f aca="false">datos_base!$H$18*parametros_recargas!$G$43+sobrestock_sustitutos!$H$191/12</f>
        <v>19.7073063201329</v>
      </c>
      <c r="J210" s="23" t="n">
        <f aca="false">datos_base!$H$18*parametros_recargas!$H$43+sobrestock_sustitutos!$H$191/12</f>
        <v>19.7073063201329</v>
      </c>
      <c r="K210" s="23" t="n">
        <f aca="false">datos_base!$H$18*parametros_recargas!$I$43+sobrestock_sustitutos!$H$191/12</f>
        <v>19.7073063201329</v>
      </c>
      <c r="L210" s="23" t="n">
        <f aca="false">datos_base!$H$18*parametros_recargas!$J$43+sobrestock_sustitutos!$H$191/12</f>
        <v>19.7073063201329</v>
      </c>
      <c r="M210" s="23" t="n">
        <f aca="false">datos_base!$H$18*parametros_recargas!$K$43+sobrestock_sustitutos!$H$191/12</f>
        <v>19.7073063201329</v>
      </c>
      <c r="N210" s="23" t="n">
        <f aca="false">datos_base!$H$18*parametros_recargas!$L$43+sobrestock_sustitutos!$H$191/12</f>
        <v>19.7073063201329</v>
      </c>
      <c r="O210" s="23" t="n">
        <f aca="false">datos_base!$H$18*parametros_recargas!$M$43+sobrestock_sustitutos!$H$191/12</f>
        <v>19.7073063201329</v>
      </c>
      <c r="P210" s="7" t="n">
        <f aca="false">SUM(D210:O210)</f>
        <v>236.487675841595</v>
      </c>
      <c r="Q210" s="13" t="n">
        <f aca="false">sobrestock_sustitutos!$H$191</f>
        <v>56</v>
      </c>
    </row>
    <row r="211" customFormat="false" ht="15" hidden="false" customHeight="false" outlineLevel="0" collapsed="false">
      <c r="A211" s="6" t="s">
        <v>269</v>
      </c>
      <c r="D211" s="7" t="n">
        <f aca="false">SUM(D194:D210)</f>
        <v>17775.1388227707</v>
      </c>
      <c r="E211" s="7" t="n">
        <f aca="false">SUM(E194:E210)</f>
        <v>17775.1388227707</v>
      </c>
      <c r="F211" s="7" t="n">
        <f aca="false">SUM(F194:F210)</f>
        <v>17775.1388227707</v>
      </c>
      <c r="G211" s="7" t="n">
        <f aca="false">SUM(G194:G210)</f>
        <v>17775.1388227707</v>
      </c>
      <c r="H211" s="7" t="n">
        <f aca="false">SUM(H194:H210)</f>
        <v>17775.1388227707</v>
      </c>
      <c r="I211" s="7" t="n">
        <f aca="false">SUM(I194:I210)</f>
        <v>17775.1388227707</v>
      </c>
      <c r="J211" s="7" t="n">
        <f aca="false">SUM(J194:J210)</f>
        <v>17775.1388227707</v>
      </c>
      <c r="K211" s="7" t="n">
        <f aca="false">SUM(K194:K210)</f>
        <v>17775.1388227707</v>
      </c>
      <c r="L211" s="7" t="n">
        <f aca="false">SUM(L194:L210)</f>
        <v>17775.1388227707</v>
      </c>
      <c r="M211" s="7" t="n">
        <f aca="false">SUM(M194:M210)</f>
        <v>17775.1388227707</v>
      </c>
      <c r="N211" s="7" t="n">
        <f aca="false">SUM(N194:N210)</f>
        <v>17775.1388227707</v>
      </c>
      <c r="O211" s="7" t="n">
        <f aca="false">SUM(O194:O210)</f>
        <v>17775.1388227707</v>
      </c>
      <c r="P211" s="7" t="n">
        <f aca="false">SUM(P194:P210)</f>
        <v>213301.665873248</v>
      </c>
    </row>
    <row r="212" customFormat="false" ht="15" hidden="false" customHeight="false" outlineLevel="0" collapsed="false">
      <c r="A212" s="6" t="s">
        <v>270</v>
      </c>
    </row>
    <row r="213" customFormat="false" ht="15" hidden="false" customHeight="false" outlineLevel="0" collapsed="false">
      <c r="A213" s="4" t="s">
        <v>139</v>
      </c>
      <c r="D213" s="23" t="n">
        <f aca="false">SUMPRODUCT(($B$194:$B$210=$A213)*D$194:D$210*$C$194:$C$210)</f>
        <v>15800.0005888681</v>
      </c>
      <c r="E213" s="23" t="n">
        <f aca="false">SUMPRODUCT(($B$194:$B$210=$A213)*E$194:E$210*$C$194:$C$210)</f>
        <v>15800.0005888681</v>
      </c>
      <c r="F213" s="23" t="n">
        <f aca="false">SUMPRODUCT(($B$194:$B$210=$A213)*F$194:F$210*$C$194:$C$210)</f>
        <v>15800.0005888681</v>
      </c>
      <c r="G213" s="23" t="n">
        <f aca="false">SUMPRODUCT(($B$194:$B$210=$A213)*G$194:G$210*$C$194:$C$210)</f>
        <v>15800.0005888681</v>
      </c>
      <c r="H213" s="23" t="n">
        <f aca="false">SUMPRODUCT(($B$194:$B$210=$A213)*H$194:H$210*$C$194:$C$210)</f>
        <v>15800.0005888681</v>
      </c>
      <c r="I213" s="23" t="n">
        <f aca="false">SUMPRODUCT(($B$194:$B$210=$A213)*I$194:I$210*$C$194:$C$210)</f>
        <v>15800.0005888681</v>
      </c>
      <c r="J213" s="23" t="n">
        <f aca="false">SUMPRODUCT(($B$194:$B$210=$A213)*J$194:J$210*$C$194:$C$210)</f>
        <v>15800.0005888681</v>
      </c>
      <c r="K213" s="23" t="n">
        <f aca="false">SUMPRODUCT(($B$194:$B$210=$A213)*K$194:K$210*$C$194:$C$210)</f>
        <v>15800.0005888681</v>
      </c>
      <c r="L213" s="23" t="n">
        <f aca="false">SUMPRODUCT(($B$194:$B$210=$A213)*L$194:L$210*$C$194:$C$210)</f>
        <v>15800.0005888681</v>
      </c>
      <c r="M213" s="23" t="n">
        <f aca="false">SUMPRODUCT(($B$194:$B$210=$A213)*M$194:M$210*$C$194:$C$210)</f>
        <v>15800.0005888681</v>
      </c>
      <c r="N213" s="23" t="n">
        <f aca="false">SUMPRODUCT(($B$194:$B$210=$A213)*N$194:N$210*$C$194:$C$210)</f>
        <v>15800.0005888681</v>
      </c>
      <c r="O213" s="23" t="n">
        <f aca="false">SUMPRODUCT(($B$194:$B$210=$A213)*O$194:O$210*$C$194:$C$210)</f>
        <v>15800.0005888681</v>
      </c>
      <c r="P213" s="23" t="n">
        <f aca="false">SUMPRODUCT(($B$194:$B$210=$A213)*P$194:P$210*$C$194:$C$210)</f>
        <v>189600.007066418</v>
      </c>
    </row>
    <row r="214" customFormat="false" ht="15" hidden="false" customHeight="false" outlineLevel="0" collapsed="false">
      <c r="A214" s="4" t="s">
        <v>145</v>
      </c>
      <c r="D214" s="23" t="n">
        <f aca="false">SUMPRODUCT(($B$194:$B$210=$A214)*D$194:D$210*$C$194:$C$210)</f>
        <v>24.544151218042</v>
      </c>
      <c r="E214" s="23" t="n">
        <f aca="false">SUMPRODUCT(($B$194:$B$210=$A214)*E$194:E$210*$C$194:$C$210)</f>
        <v>24.544151218042</v>
      </c>
      <c r="F214" s="23" t="n">
        <f aca="false">SUMPRODUCT(($B$194:$B$210=$A214)*F$194:F$210*$C$194:$C$210)</f>
        <v>24.544151218042</v>
      </c>
      <c r="G214" s="23" t="n">
        <f aca="false">SUMPRODUCT(($B$194:$B$210=$A214)*G$194:G$210*$C$194:$C$210)</f>
        <v>24.544151218042</v>
      </c>
      <c r="H214" s="23" t="n">
        <f aca="false">SUMPRODUCT(($B$194:$B$210=$A214)*H$194:H$210*$C$194:$C$210)</f>
        <v>24.544151218042</v>
      </c>
      <c r="I214" s="23" t="n">
        <f aca="false">SUMPRODUCT(($B$194:$B$210=$A214)*I$194:I$210*$C$194:$C$210)</f>
        <v>24.544151218042</v>
      </c>
      <c r="J214" s="23" t="n">
        <f aca="false">SUMPRODUCT(($B$194:$B$210=$A214)*J$194:J$210*$C$194:$C$210)</f>
        <v>24.544151218042</v>
      </c>
      <c r="K214" s="23" t="n">
        <f aca="false">SUMPRODUCT(($B$194:$B$210=$A214)*K$194:K$210*$C$194:$C$210)</f>
        <v>24.544151218042</v>
      </c>
      <c r="L214" s="23" t="n">
        <f aca="false">SUMPRODUCT(($B$194:$B$210=$A214)*L$194:L$210*$C$194:$C$210)</f>
        <v>24.544151218042</v>
      </c>
      <c r="M214" s="23" t="n">
        <f aca="false">SUMPRODUCT(($B$194:$B$210=$A214)*M$194:M$210*$C$194:$C$210)</f>
        <v>24.544151218042</v>
      </c>
      <c r="N214" s="23" t="n">
        <f aca="false">SUMPRODUCT(($B$194:$B$210=$A214)*N$194:N$210*$C$194:$C$210)</f>
        <v>24.544151218042</v>
      </c>
      <c r="O214" s="23" t="n">
        <f aca="false">SUMPRODUCT(($B$194:$B$210=$A214)*O$194:O$210*$C$194:$C$210)</f>
        <v>24.544151218042</v>
      </c>
      <c r="P214" s="23" t="n">
        <f aca="false">SUMPRODUCT(($B$194:$B$210=$A214)*P$194:P$210*$C$194:$C$210)</f>
        <v>294.529814616504</v>
      </c>
    </row>
    <row r="215" customFormat="false" ht="15" hidden="false" customHeight="false" outlineLevel="0" collapsed="false">
      <c r="A215" s="4" t="s">
        <v>151</v>
      </c>
      <c r="D215" s="23" t="n">
        <f aca="false">SUMPRODUCT(($B$194:$B$210=$A215)*D$194:D$210*$C$194:$C$210)</f>
        <v>21.8129894625864</v>
      </c>
      <c r="E215" s="23" t="n">
        <f aca="false">SUMPRODUCT(($B$194:$B$210=$A215)*E$194:E$210*$C$194:$C$210)</f>
        <v>21.8129894625864</v>
      </c>
      <c r="F215" s="23" t="n">
        <f aca="false">SUMPRODUCT(($B$194:$B$210=$A215)*F$194:F$210*$C$194:$C$210)</f>
        <v>21.8129894625864</v>
      </c>
      <c r="G215" s="23" t="n">
        <f aca="false">SUMPRODUCT(($B$194:$B$210=$A215)*G$194:G$210*$C$194:$C$210)</f>
        <v>21.8129894625864</v>
      </c>
      <c r="H215" s="23" t="n">
        <f aca="false">SUMPRODUCT(($B$194:$B$210=$A215)*H$194:H$210*$C$194:$C$210)</f>
        <v>21.8129894625864</v>
      </c>
      <c r="I215" s="23" t="n">
        <f aca="false">SUMPRODUCT(($B$194:$B$210=$A215)*I$194:I$210*$C$194:$C$210)</f>
        <v>21.8129894625864</v>
      </c>
      <c r="J215" s="23" t="n">
        <f aca="false">SUMPRODUCT(($B$194:$B$210=$A215)*J$194:J$210*$C$194:$C$210)</f>
        <v>21.8129894625864</v>
      </c>
      <c r="K215" s="23" t="n">
        <f aca="false">SUMPRODUCT(($B$194:$B$210=$A215)*K$194:K$210*$C$194:$C$210)</f>
        <v>21.8129894625864</v>
      </c>
      <c r="L215" s="23" t="n">
        <f aca="false">SUMPRODUCT(($B$194:$B$210=$A215)*L$194:L$210*$C$194:$C$210)</f>
        <v>21.8129894625864</v>
      </c>
      <c r="M215" s="23" t="n">
        <f aca="false">SUMPRODUCT(($B$194:$B$210=$A215)*M$194:M$210*$C$194:$C$210)</f>
        <v>21.8129894625864</v>
      </c>
      <c r="N215" s="23" t="n">
        <f aca="false">SUMPRODUCT(($B$194:$B$210=$A215)*N$194:N$210*$C$194:$C$210)</f>
        <v>21.8129894625864</v>
      </c>
      <c r="O215" s="23" t="n">
        <f aca="false">SUMPRODUCT(($B$194:$B$210=$A215)*O$194:O$210*$C$194:$C$210)</f>
        <v>21.8129894625864</v>
      </c>
      <c r="P215" s="23" t="n">
        <f aca="false">SUMPRODUCT(($B$194:$B$210=$A215)*P$194:P$210*$C$194:$C$210)</f>
        <v>261.755873551037</v>
      </c>
    </row>
    <row r="216" customFormat="false" ht="15" hidden="false" customHeight="false" outlineLevel="0" collapsed="false">
      <c r="A216" s="4" t="s">
        <v>142</v>
      </c>
      <c r="D216" s="23" t="n">
        <f aca="false">SUMPRODUCT(($B$194:$B$210=$A216)*D$194:D$210*$C$194:$C$210)</f>
        <v>425.849352262421</v>
      </c>
      <c r="E216" s="23" t="n">
        <f aca="false">SUMPRODUCT(($B$194:$B$210=$A216)*E$194:E$210*$C$194:$C$210)</f>
        <v>425.849352262421</v>
      </c>
      <c r="F216" s="23" t="n">
        <f aca="false">SUMPRODUCT(($B$194:$B$210=$A216)*F$194:F$210*$C$194:$C$210)</f>
        <v>425.849352262421</v>
      </c>
      <c r="G216" s="23" t="n">
        <f aca="false">SUMPRODUCT(($B$194:$B$210=$A216)*G$194:G$210*$C$194:$C$210)</f>
        <v>425.849352262421</v>
      </c>
      <c r="H216" s="23" t="n">
        <f aca="false">SUMPRODUCT(($B$194:$B$210=$A216)*H$194:H$210*$C$194:$C$210)</f>
        <v>425.849352262421</v>
      </c>
      <c r="I216" s="23" t="n">
        <f aca="false">SUMPRODUCT(($B$194:$B$210=$A216)*I$194:I$210*$C$194:$C$210)</f>
        <v>425.849352262421</v>
      </c>
      <c r="J216" s="23" t="n">
        <f aca="false">SUMPRODUCT(($B$194:$B$210=$A216)*J$194:J$210*$C$194:$C$210)</f>
        <v>425.849352262421</v>
      </c>
      <c r="K216" s="23" t="n">
        <f aca="false">SUMPRODUCT(($B$194:$B$210=$A216)*K$194:K$210*$C$194:$C$210)</f>
        <v>425.849352262421</v>
      </c>
      <c r="L216" s="23" t="n">
        <f aca="false">SUMPRODUCT(($B$194:$B$210=$A216)*L$194:L$210*$C$194:$C$210)</f>
        <v>425.849352262421</v>
      </c>
      <c r="M216" s="23" t="n">
        <f aca="false">SUMPRODUCT(($B$194:$B$210=$A216)*M$194:M$210*$C$194:$C$210)</f>
        <v>425.849352262421</v>
      </c>
      <c r="N216" s="23" t="n">
        <f aca="false">SUMPRODUCT(($B$194:$B$210=$A216)*N$194:N$210*$C$194:$C$210)</f>
        <v>425.849352262421</v>
      </c>
      <c r="O216" s="23" t="n">
        <f aca="false">SUMPRODUCT(($B$194:$B$210=$A216)*O$194:O$210*$C$194:$C$210)</f>
        <v>425.849352262421</v>
      </c>
      <c r="P216" s="23" t="n">
        <f aca="false">SUMPRODUCT(($B$194:$B$210=$A216)*P$194:P$210*$C$194:$C$210)</f>
        <v>5110.19222714906</v>
      </c>
    </row>
    <row r="217" customFormat="false" ht="15" hidden="false" customHeight="false" outlineLevel="0" collapsed="false">
      <c r="A217" s="4" t="s">
        <v>143</v>
      </c>
      <c r="D217" s="23" t="n">
        <f aca="false">SUMPRODUCT(($B$194:$B$210=$A217)*D$194:D$210*$C$194:$C$210)</f>
        <v>200.729485583023</v>
      </c>
      <c r="E217" s="23" t="n">
        <f aca="false">SUMPRODUCT(($B$194:$B$210=$A217)*E$194:E$210*$C$194:$C$210)</f>
        <v>200.729485583023</v>
      </c>
      <c r="F217" s="23" t="n">
        <f aca="false">SUMPRODUCT(($B$194:$B$210=$A217)*F$194:F$210*$C$194:$C$210)</f>
        <v>200.729485583023</v>
      </c>
      <c r="G217" s="23" t="n">
        <f aca="false">SUMPRODUCT(($B$194:$B$210=$A217)*G$194:G$210*$C$194:$C$210)</f>
        <v>200.729485583023</v>
      </c>
      <c r="H217" s="23" t="n">
        <f aca="false">SUMPRODUCT(($B$194:$B$210=$A217)*H$194:H$210*$C$194:$C$210)</f>
        <v>200.729485583023</v>
      </c>
      <c r="I217" s="23" t="n">
        <f aca="false">SUMPRODUCT(($B$194:$B$210=$A217)*I$194:I$210*$C$194:$C$210)</f>
        <v>200.729485583023</v>
      </c>
      <c r="J217" s="23" t="n">
        <f aca="false">SUMPRODUCT(($B$194:$B$210=$A217)*J$194:J$210*$C$194:$C$210)</f>
        <v>200.729485583023</v>
      </c>
      <c r="K217" s="23" t="n">
        <f aca="false">SUMPRODUCT(($B$194:$B$210=$A217)*K$194:K$210*$C$194:$C$210)</f>
        <v>200.729485583023</v>
      </c>
      <c r="L217" s="23" t="n">
        <f aca="false">SUMPRODUCT(($B$194:$B$210=$A217)*L$194:L$210*$C$194:$C$210)</f>
        <v>200.729485583023</v>
      </c>
      <c r="M217" s="23" t="n">
        <f aca="false">SUMPRODUCT(($B$194:$B$210=$A217)*M$194:M$210*$C$194:$C$210)</f>
        <v>200.729485583023</v>
      </c>
      <c r="N217" s="23" t="n">
        <f aca="false">SUMPRODUCT(($B$194:$B$210=$A217)*N$194:N$210*$C$194:$C$210)</f>
        <v>200.729485583023</v>
      </c>
      <c r="O217" s="23" t="n">
        <f aca="false">SUMPRODUCT(($B$194:$B$210=$A217)*O$194:O$210*$C$194:$C$210)</f>
        <v>200.729485583023</v>
      </c>
      <c r="P217" s="23" t="n">
        <f aca="false">SUMPRODUCT(($B$194:$B$210=$A217)*P$194:P$210*$C$194:$C$210)</f>
        <v>2408.75382699627</v>
      </c>
    </row>
    <row r="218" customFormat="false" ht="15" hidden="false" customHeight="false" outlineLevel="0" collapsed="false">
      <c r="A218" s="4" t="s">
        <v>146</v>
      </c>
      <c r="D218" s="23" t="n">
        <f aca="false">SUMPRODUCT(($B$194:$B$210=$A218)*D$194:D$210*$C$194:$C$210)</f>
        <v>208.224618742251</v>
      </c>
      <c r="E218" s="23" t="n">
        <f aca="false">SUMPRODUCT(($B$194:$B$210=$A218)*E$194:E$210*$C$194:$C$210)</f>
        <v>208.224618742251</v>
      </c>
      <c r="F218" s="23" t="n">
        <f aca="false">SUMPRODUCT(($B$194:$B$210=$A218)*F$194:F$210*$C$194:$C$210)</f>
        <v>208.224618742251</v>
      </c>
      <c r="G218" s="23" t="n">
        <f aca="false">SUMPRODUCT(($B$194:$B$210=$A218)*G$194:G$210*$C$194:$C$210)</f>
        <v>208.224618742251</v>
      </c>
      <c r="H218" s="23" t="n">
        <f aca="false">SUMPRODUCT(($B$194:$B$210=$A218)*H$194:H$210*$C$194:$C$210)</f>
        <v>208.224618742251</v>
      </c>
      <c r="I218" s="23" t="n">
        <f aca="false">SUMPRODUCT(($B$194:$B$210=$A218)*I$194:I$210*$C$194:$C$210)</f>
        <v>208.224618742251</v>
      </c>
      <c r="J218" s="23" t="n">
        <f aca="false">SUMPRODUCT(($B$194:$B$210=$A218)*J$194:J$210*$C$194:$C$210)</f>
        <v>208.224618742251</v>
      </c>
      <c r="K218" s="23" t="n">
        <f aca="false">SUMPRODUCT(($B$194:$B$210=$A218)*K$194:K$210*$C$194:$C$210)</f>
        <v>208.224618742251</v>
      </c>
      <c r="L218" s="23" t="n">
        <f aca="false">SUMPRODUCT(($B$194:$B$210=$A218)*L$194:L$210*$C$194:$C$210)</f>
        <v>208.224618742251</v>
      </c>
      <c r="M218" s="23" t="n">
        <f aca="false">SUMPRODUCT(($B$194:$B$210=$A218)*M$194:M$210*$C$194:$C$210)</f>
        <v>208.224618742251</v>
      </c>
      <c r="N218" s="23" t="n">
        <f aca="false">SUMPRODUCT(($B$194:$B$210=$A218)*N$194:N$210*$C$194:$C$210)</f>
        <v>208.224618742251</v>
      </c>
      <c r="O218" s="23" t="n">
        <f aca="false">SUMPRODUCT(($B$194:$B$210=$A218)*O$194:O$210*$C$194:$C$210)</f>
        <v>208.224618742251</v>
      </c>
      <c r="P218" s="23" t="n">
        <f aca="false">SUMPRODUCT(($B$194:$B$210=$A218)*P$194:P$210*$C$194:$C$210)</f>
        <v>2498.69542490701</v>
      </c>
    </row>
    <row r="219" customFormat="false" ht="15" hidden="false" customHeight="false" outlineLevel="0" collapsed="false">
      <c r="A219" s="4" t="s">
        <v>147</v>
      </c>
      <c r="D219" s="23" t="n">
        <f aca="false">SUMPRODUCT(($B$194:$B$210=$A219)*D$194:D$210*$C$194:$C$210)</f>
        <v>1536.82552826348</v>
      </c>
      <c r="E219" s="23" t="n">
        <f aca="false">SUMPRODUCT(($B$194:$B$210=$A219)*E$194:E$210*$C$194:$C$210)</f>
        <v>1536.82552826348</v>
      </c>
      <c r="F219" s="23" t="n">
        <f aca="false">SUMPRODUCT(($B$194:$B$210=$A219)*F$194:F$210*$C$194:$C$210)</f>
        <v>1536.82552826348</v>
      </c>
      <c r="G219" s="23" t="n">
        <f aca="false">SUMPRODUCT(($B$194:$B$210=$A219)*G$194:G$210*$C$194:$C$210)</f>
        <v>1536.82552826348</v>
      </c>
      <c r="H219" s="23" t="n">
        <f aca="false">SUMPRODUCT(($B$194:$B$210=$A219)*H$194:H$210*$C$194:$C$210)</f>
        <v>1536.82552826348</v>
      </c>
      <c r="I219" s="23" t="n">
        <f aca="false">SUMPRODUCT(($B$194:$B$210=$A219)*I$194:I$210*$C$194:$C$210)</f>
        <v>1536.82552826348</v>
      </c>
      <c r="J219" s="23" t="n">
        <f aca="false">SUMPRODUCT(($B$194:$B$210=$A219)*J$194:J$210*$C$194:$C$210)</f>
        <v>1536.82552826348</v>
      </c>
      <c r="K219" s="23" t="n">
        <f aca="false">SUMPRODUCT(($B$194:$B$210=$A219)*K$194:K$210*$C$194:$C$210)</f>
        <v>1536.82552826348</v>
      </c>
      <c r="L219" s="23" t="n">
        <f aca="false">SUMPRODUCT(($B$194:$B$210=$A219)*L$194:L$210*$C$194:$C$210)</f>
        <v>1536.82552826348</v>
      </c>
      <c r="M219" s="23" t="n">
        <f aca="false">SUMPRODUCT(($B$194:$B$210=$A219)*M$194:M$210*$C$194:$C$210)</f>
        <v>1536.82552826348</v>
      </c>
      <c r="N219" s="23" t="n">
        <f aca="false">SUMPRODUCT(($B$194:$B$210=$A219)*N$194:N$210*$C$194:$C$210)</f>
        <v>1536.82552826348</v>
      </c>
      <c r="O219" s="23" t="n">
        <f aca="false">SUMPRODUCT(($B$194:$B$210=$A219)*O$194:O$210*$C$194:$C$210)</f>
        <v>1536.82552826348</v>
      </c>
      <c r="P219" s="23" t="n">
        <f aca="false">SUMPRODUCT(($B$194:$B$210=$A219)*P$194:P$210*$C$194:$C$210)</f>
        <v>18441.9063391618</v>
      </c>
    </row>
    <row r="220" customFormat="false" ht="15" hidden="false" customHeight="false" outlineLevel="0" collapsed="false">
      <c r="A220" s="4" t="s">
        <v>150</v>
      </c>
      <c r="D220" s="23" t="n">
        <f aca="false">SUMPRODUCT(($B$194:$B$210=$A220)*D$194:D$210*$C$194:$C$210)</f>
        <v>61.4590760031822</v>
      </c>
      <c r="E220" s="23" t="n">
        <f aca="false">SUMPRODUCT(($B$194:$B$210=$A220)*E$194:E$210*$C$194:$C$210)</f>
        <v>61.4590760031822</v>
      </c>
      <c r="F220" s="23" t="n">
        <f aca="false">SUMPRODUCT(($B$194:$B$210=$A220)*F$194:F$210*$C$194:$C$210)</f>
        <v>61.4590760031822</v>
      </c>
      <c r="G220" s="23" t="n">
        <f aca="false">SUMPRODUCT(($B$194:$B$210=$A220)*G$194:G$210*$C$194:$C$210)</f>
        <v>61.4590760031822</v>
      </c>
      <c r="H220" s="23" t="n">
        <f aca="false">SUMPRODUCT(($B$194:$B$210=$A220)*H$194:H$210*$C$194:$C$210)</f>
        <v>61.4590760031822</v>
      </c>
      <c r="I220" s="23" t="n">
        <f aca="false">SUMPRODUCT(($B$194:$B$210=$A220)*I$194:I$210*$C$194:$C$210)</f>
        <v>61.4590760031822</v>
      </c>
      <c r="J220" s="23" t="n">
        <f aca="false">SUMPRODUCT(($B$194:$B$210=$A220)*J$194:J$210*$C$194:$C$210)</f>
        <v>61.4590760031822</v>
      </c>
      <c r="K220" s="23" t="n">
        <f aca="false">SUMPRODUCT(($B$194:$B$210=$A220)*K$194:K$210*$C$194:$C$210)</f>
        <v>61.4590760031822</v>
      </c>
      <c r="L220" s="23" t="n">
        <f aca="false">SUMPRODUCT(($B$194:$B$210=$A220)*L$194:L$210*$C$194:$C$210)</f>
        <v>61.4590760031822</v>
      </c>
      <c r="M220" s="23" t="n">
        <f aca="false">SUMPRODUCT(($B$194:$B$210=$A220)*M$194:M$210*$C$194:$C$210)</f>
        <v>61.4590760031822</v>
      </c>
      <c r="N220" s="23" t="n">
        <f aca="false">SUMPRODUCT(($B$194:$B$210=$A220)*N$194:N$210*$C$194:$C$210)</f>
        <v>61.4590760031822</v>
      </c>
      <c r="O220" s="23" t="n">
        <f aca="false">SUMPRODUCT(($B$194:$B$210=$A220)*O$194:O$210*$C$194:$C$210)</f>
        <v>61.4590760031822</v>
      </c>
      <c r="P220" s="23" t="n">
        <f aca="false">SUMPRODUCT(($B$194:$B$210=$A220)*P$194:P$210*$C$194:$C$210)</f>
        <v>737.508912038186</v>
      </c>
    </row>
    <row r="221" customFormat="false" ht="15" hidden="false" customHeight="false" outlineLevel="0" collapsed="false">
      <c r="A221" s="6" t="s">
        <v>271</v>
      </c>
      <c r="D221" s="24" t="n">
        <f aca="false">SUMPRODUCT(D$194:D$210*parametros_recargas!$D$51:$D$67)</f>
        <v>736.36981759785</v>
      </c>
      <c r="E221" s="24" t="n">
        <f aca="false">SUMPRODUCT(E$194:E$210*parametros_recargas!$D$51:$D$67)</f>
        <v>736.36981759785</v>
      </c>
      <c r="F221" s="24" t="n">
        <f aca="false">SUMPRODUCT(F$194:F$210*parametros_recargas!$D$51:$D$67)</f>
        <v>736.36981759785</v>
      </c>
      <c r="G221" s="24" t="n">
        <f aca="false">SUMPRODUCT(G$194:G$210*parametros_recargas!$D$51:$D$67)</f>
        <v>736.36981759785</v>
      </c>
      <c r="H221" s="24" t="n">
        <f aca="false">SUMPRODUCT(H$194:H$210*parametros_recargas!$D$51:$D$67)</f>
        <v>736.36981759785</v>
      </c>
      <c r="I221" s="24" t="n">
        <f aca="false">SUMPRODUCT(I$194:I$210*parametros_recargas!$D$51:$D$67)</f>
        <v>736.36981759785</v>
      </c>
      <c r="J221" s="24" t="n">
        <f aca="false">SUMPRODUCT(J$194:J$210*parametros_recargas!$D$51:$D$67)</f>
        <v>736.36981759785</v>
      </c>
      <c r="K221" s="24" t="n">
        <f aca="false">SUMPRODUCT(K$194:K$210*parametros_recargas!$D$51:$D$67)</f>
        <v>736.36981759785</v>
      </c>
      <c r="L221" s="24" t="n">
        <f aca="false">SUMPRODUCT(L$194:L$210*parametros_recargas!$D$51:$D$67)</f>
        <v>736.36981759785</v>
      </c>
      <c r="M221" s="24" t="n">
        <f aca="false">SUMPRODUCT(M$194:M$210*parametros_recargas!$D$51:$D$67)</f>
        <v>736.36981759785</v>
      </c>
      <c r="N221" s="24" t="n">
        <f aca="false">SUMPRODUCT(N$194:N$210*parametros_recargas!$D$51:$D$67)</f>
        <v>736.36981759785</v>
      </c>
      <c r="O221" s="24" t="n">
        <f aca="false">SUMPRODUCT(O$194:O$210*parametros_recargas!$D$51:$D$67)</f>
        <v>736.36981759785</v>
      </c>
      <c r="P221" s="24" t="n">
        <f aca="false">SUMPRODUCT(P$194:P$210*parametros_recargas!$D$51:$D$67)</f>
        <v>8836.4378111742</v>
      </c>
    </row>
    <row r="225" customFormat="false" ht="23.85" hidden="false" customHeight="false" outlineLevel="0" collapsed="false">
      <c r="A225" s="21" t="n">
        <v>2033</v>
      </c>
      <c r="B225" s="3" t="s">
        <v>266</v>
      </c>
      <c r="C225" s="3" t="s">
        <v>267</v>
      </c>
      <c r="D225" s="3" t="s">
        <v>120</v>
      </c>
      <c r="E225" s="3" t="s">
        <v>121</v>
      </c>
      <c r="F225" s="3" t="s">
        <v>122</v>
      </c>
      <c r="G225" s="3" t="s">
        <v>123</v>
      </c>
      <c r="H225" s="3" t="s">
        <v>124</v>
      </c>
      <c r="I225" s="3" t="s">
        <v>125</v>
      </c>
      <c r="J225" s="3" t="s">
        <v>126</v>
      </c>
      <c r="K225" s="3" t="s">
        <v>127</v>
      </c>
      <c r="L225" s="3" t="s">
        <v>128</v>
      </c>
      <c r="M225" s="3" t="s">
        <v>129</v>
      </c>
      <c r="N225" s="3" t="s">
        <v>130</v>
      </c>
      <c r="O225" s="3" t="s">
        <v>131</v>
      </c>
      <c r="P225" s="3" t="s">
        <v>132</v>
      </c>
      <c r="Q225" s="3" t="s">
        <v>268</v>
      </c>
    </row>
    <row r="226" customFormat="false" ht="15" hidden="false" customHeight="false" outlineLevel="0" collapsed="false">
      <c r="A226" s="12" t="str">
        <f aca="false">parametros_recargas!A51</f>
        <v>ABC 1 kg</v>
      </c>
      <c r="B226" s="12" t="str">
        <f aca="false">parametros_recargas!B51</f>
        <v>ABC</v>
      </c>
      <c r="C226" s="22" t="n">
        <f aca="false">parametros_recargas!C51</f>
        <v>1</v>
      </c>
      <c r="D226" s="23" t="n">
        <f aca="false">datos_base!$I$2*parametros_recargas!$B$44+sobrestock_sustitutos!$I$175/12</f>
        <v>10166.6138939358</v>
      </c>
      <c r="E226" s="23" t="n">
        <f aca="false">datos_base!$I$2*parametros_recargas!$C$44+sobrestock_sustitutos!$I$175/12</f>
        <v>10166.6138939358</v>
      </c>
      <c r="F226" s="23" t="n">
        <f aca="false">datos_base!$I$2*parametros_recargas!$D$44+sobrestock_sustitutos!$I$175/12</f>
        <v>10166.6138939358</v>
      </c>
      <c r="G226" s="23" t="n">
        <f aca="false">datos_base!$I$2*parametros_recargas!$E$44+sobrestock_sustitutos!$I$175/12</f>
        <v>10166.6138939358</v>
      </c>
      <c r="H226" s="23" t="n">
        <f aca="false">datos_base!$I$2*parametros_recargas!$F$44+sobrestock_sustitutos!$I$175/12</f>
        <v>10166.6138939358</v>
      </c>
      <c r="I226" s="23" t="n">
        <f aca="false">datos_base!$I$2*parametros_recargas!$G$44+sobrestock_sustitutos!$I$175/12</f>
        <v>10166.6138939358</v>
      </c>
      <c r="J226" s="23" t="n">
        <f aca="false">datos_base!$I$2*parametros_recargas!$H$44+sobrestock_sustitutos!$I$175/12</f>
        <v>10166.6138939358</v>
      </c>
      <c r="K226" s="23" t="n">
        <f aca="false">datos_base!$I$2*parametros_recargas!$I$44+sobrestock_sustitutos!$I$175/12</f>
        <v>10166.6138939358</v>
      </c>
      <c r="L226" s="23" t="n">
        <f aca="false">datos_base!$I$2*parametros_recargas!$J$44+sobrestock_sustitutos!$I$175/12</f>
        <v>10166.6138939358</v>
      </c>
      <c r="M226" s="23" t="n">
        <f aca="false">datos_base!$I$2*parametros_recargas!$K$44+sobrestock_sustitutos!$I$175/12</f>
        <v>10166.6138939358</v>
      </c>
      <c r="N226" s="23" t="n">
        <f aca="false">datos_base!$I$2*parametros_recargas!$L$44+sobrestock_sustitutos!$I$175/12</f>
        <v>10166.6138939358</v>
      </c>
      <c r="O226" s="23" t="n">
        <f aca="false">datos_base!$I$2*parametros_recargas!$M$44+sobrestock_sustitutos!$I$175/12</f>
        <v>10166.6138939358</v>
      </c>
      <c r="P226" s="7" t="n">
        <f aca="false">SUM(D226:O226)</f>
        <v>121999.36672723</v>
      </c>
      <c r="Q226" s="13" t="n">
        <f aca="false">sobrestock_sustitutos!$I$175</f>
        <v>0</v>
      </c>
    </row>
    <row r="227" customFormat="false" ht="15" hidden="false" customHeight="false" outlineLevel="0" collapsed="false">
      <c r="A227" s="12" t="str">
        <f aca="false">parametros_recargas!A52</f>
        <v>ABC 2,5 kg</v>
      </c>
      <c r="B227" s="12" t="str">
        <f aca="false">parametros_recargas!B52</f>
        <v>ABC</v>
      </c>
      <c r="C227" s="22" t="n">
        <f aca="false">parametros_recargas!C52</f>
        <v>1</v>
      </c>
      <c r="D227" s="23" t="n">
        <f aca="false">datos_base!$I$3*parametros_recargas!$B$44+sobrestock_sustitutos!$I$176/12</f>
        <v>845.994278432625</v>
      </c>
      <c r="E227" s="23" t="n">
        <f aca="false">datos_base!$I$3*parametros_recargas!$C$44+sobrestock_sustitutos!$I$176/12</f>
        <v>845.994278432625</v>
      </c>
      <c r="F227" s="23" t="n">
        <f aca="false">datos_base!$I$3*parametros_recargas!$D$44+sobrestock_sustitutos!$I$176/12</f>
        <v>845.994278432625</v>
      </c>
      <c r="G227" s="23" t="n">
        <f aca="false">datos_base!$I$3*parametros_recargas!$E$44+sobrestock_sustitutos!$I$176/12</f>
        <v>845.994278432625</v>
      </c>
      <c r="H227" s="23" t="n">
        <f aca="false">datos_base!$I$3*parametros_recargas!$F$44+sobrestock_sustitutos!$I$176/12</f>
        <v>845.994278432625</v>
      </c>
      <c r="I227" s="23" t="n">
        <f aca="false">datos_base!$I$3*parametros_recargas!$G$44+sobrestock_sustitutos!$I$176/12</f>
        <v>845.994278432625</v>
      </c>
      <c r="J227" s="23" t="n">
        <f aca="false">datos_base!$I$3*parametros_recargas!$H$44+sobrestock_sustitutos!$I$176/12</f>
        <v>845.994278432625</v>
      </c>
      <c r="K227" s="23" t="n">
        <f aca="false">datos_base!$I$3*parametros_recargas!$I$44+sobrestock_sustitutos!$I$176/12</f>
        <v>845.994278432625</v>
      </c>
      <c r="L227" s="23" t="n">
        <f aca="false">datos_base!$I$3*parametros_recargas!$J$44+sobrestock_sustitutos!$I$176/12</f>
        <v>845.994278432625</v>
      </c>
      <c r="M227" s="23" t="n">
        <f aca="false">datos_base!$I$3*parametros_recargas!$K$44+sobrestock_sustitutos!$I$176/12</f>
        <v>845.994278432625</v>
      </c>
      <c r="N227" s="23" t="n">
        <f aca="false">datos_base!$I$3*parametros_recargas!$L$44+sobrestock_sustitutos!$I$176/12</f>
        <v>845.994278432625</v>
      </c>
      <c r="O227" s="23" t="n">
        <f aca="false">datos_base!$I$3*parametros_recargas!$M$44+sobrestock_sustitutos!$I$176/12</f>
        <v>845.994278432625</v>
      </c>
      <c r="P227" s="7" t="n">
        <f aca="false">SUM(D227:O227)</f>
        <v>10151.9313411915</v>
      </c>
      <c r="Q227" s="13" t="n">
        <f aca="false">sobrestock_sustitutos!$I$176</f>
        <v>0</v>
      </c>
    </row>
    <row r="228" customFormat="false" ht="15" hidden="false" customHeight="false" outlineLevel="0" collapsed="false">
      <c r="A228" s="12" t="str">
        <f aca="false">parametros_recargas!A53</f>
        <v>ABC 5 kg</v>
      </c>
      <c r="B228" s="12" t="str">
        <f aca="false">parametros_recargas!B53</f>
        <v>ABC</v>
      </c>
      <c r="C228" s="22" t="n">
        <f aca="false">parametros_recargas!C53</f>
        <v>1</v>
      </c>
      <c r="D228" s="23" t="n">
        <f aca="false">datos_base!$I$4*parametros_recargas!$B$44+sobrestock_sustitutos!$I$177/12</f>
        <v>6337.77192829492</v>
      </c>
      <c r="E228" s="23" t="n">
        <f aca="false">datos_base!$I$4*parametros_recargas!$C$44+sobrestock_sustitutos!$I$177/12</f>
        <v>6337.77192829492</v>
      </c>
      <c r="F228" s="23" t="n">
        <f aca="false">datos_base!$I$4*parametros_recargas!$D$44+sobrestock_sustitutos!$I$177/12</f>
        <v>6337.77192829492</v>
      </c>
      <c r="G228" s="23" t="n">
        <f aca="false">datos_base!$I$4*parametros_recargas!$E$44+sobrestock_sustitutos!$I$177/12</f>
        <v>6337.77192829492</v>
      </c>
      <c r="H228" s="23" t="n">
        <f aca="false">datos_base!$I$4*parametros_recargas!$F$44+sobrestock_sustitutos!$I$177/12</f>
        <v>6337.77192829492</v>
      </c>
      <c r="I228" s="23" t="n">
        <f aca="false">datos_base!$I$4*parametros_recargas!$G$44+sobrestock_sustitutos!$I$177/12</f>
        <v>6337.77192829492</v>
      </c>
      <c r="J228" s="23" t="n">
        <f aca="false">datos_base!$I$4*parametros_recargas!$H$44+sobrestock_sustitutos!$I$177/12</f>
        <v>6337.77192829492</v>
      </c>
      <c r="K228" s="23" t="n">
        <f aca="false">datos_base!$I$4*parametros_recargas!$I$44+sobrestock_sustitutos!$I$177/12</f>
        <v>6337.77192829492</v>
      </c>
      <c r="L228" s="23" t="n">
        <f aca="false">datos_base!$I$4*parametros_recargas!$J$44+sobrestock_sustitutos!$I$177/12</f>
        <v>6337.77192829492</v>
      </c>
      <c r="M228" s="23" t="n">
        <f aca="false">datos_base!$I$4*parametros_recargas!$K$44+sobrestock_sustitutos!$I$177/12</f>
        <v>6337.77192829492</v>
      </c>
      <c r="N228" s="23" t="n">
        <f aca="false">datos_base!$I$4*parametros_recargas!$L$44+sobrestock_sustitutos!$I$177/12</f>
        <v>6337.77192829492</v>
      </c>
      <c r="O228" s="23" t="n">
        <f aca="false">datos_base!$I$4*parametros_recargas!$M$44+sobrestock_sustitutos!$I$177/12</f>
        <v>6337.77192829492</v>
      </c>
      <c r="P228" s="7" t="n">
        <f aca="false">SUM(D228:O228)</f>
        <v>76053.263139539</v>
      </c>
      <c r="Q228" s="13" t="n">
        <f aca="false">sobrestock_sustitutos!$I$177</f>
        <v>13961</v>
      </c>
    </row>
    <row r="229" customFormat="false" ht="15" hidden="false" customHeight="false" outlineLevel="0" collapsed="false">
      <c r="A229" s="12" t="str">
        <f aca="false">parametros_recargas!A54</f>
        <v>ABC 10 kg</v>
      </c>
      <c r="B229" s="12" t="str">
        <f aca="false">parametros_recargas!B54</f>
        <v>ABC</v>
      </c>
      <c r="C229" s="22" t="n">
        <f aca="false">parametros_recargas!C54</f>
        <v>1</v>
      </c>
      <c r="D229" s="23" t="n">
        <f aca="false">datos_base!$I$5*parametros_recargas!$B$44+sobrestock_sustitutos!$I$178/12</f>
        <v>365.659412265633</v>
      </c>
      <c r="E229" s="23" t="n">
        <f aca="false">datos_base!$I$5*parametros_recargas!$C$44+sobrestock_sustitutos!$I$178/12</f>
        <v>365.659412265633</v>
      </c>
      <c r="F229" s="23" t="n">
        <f aca="false">datos_base!$I$5*parametros_recargas!$D$44+sobrestock_sustitutos!$I$178/12</f>
        <v>365.659412265633</v>
      </c>
      <c r="G229" s="23" t="n">
        <f aca="false">datos_base!$I$5*parametros_recargas!$E$44+sobrestock_sustitutos!$I$178/12</f>
        <v>365.659412265633</v>
      </c>
      <c r="H229" s="23" t="n">
        <f aca="false">datos_base!$I$5*parametros_recargas!$F$44+sobrestock_sustitutos!$I$178/12</f>
        <v>365.659412265633</v>
      </c>
      <c r="I229" s="23" t="n">
        <f aca="false">datos_base!$I$5*parametros_recargas!$G$44+sobrestock_sustitutos!$I$178/12</f>
        <v>365.659412265633</v>
      </c>
      <c r="J229" s="23" t="n">
        <f aca="false">datos_base!$I$5*parametros_recargas!$H$44+sobrestock_sustitutos!$I$178/12</f>
        <v>365.659412265633</v>
      </c>
      <c r="K229" s="23" t="n">
        <f aca="false">datos_base!$I$5*parametros_recargas!$I$44+sobrestock_sustitutos!$I$178/12</f>
        <v>365.659412265633</v>
      </c>
      <c r="L229" s="23" t="n">
        <f aca="false">datos_base!$I$5*parametros_recargas!$J$44+sobrestock_sustitutos!$I$178/12</f>
        <v>365.659412265633</v>
      </c>
      <c r="M229" s="23" t="n">
        <f aca="false">datos_base!$I$5*parametros_recargas!$K$44+sobrestock_sustitutos!$I$178/12</f>
        <v>365.659412265633</v>
      </c>
      <c r="N229" s="23" t="n">
        <f aca="false">datos_base!$I$5*parametros_recargas!$L$44+sobrestock_sustitutos!$I$178/12</f>
        <v>365.659412265633</v>
      </c>
      <c r="O229" s="23" t="n">
        <f aca="false">datos_base!$I$5*parametros_recargas!$M$44+sobrestock_sustitutos!$I$178/12</f>
        <v>365.659412265633</v>
      </c>
      <c r="P229" s="7" t="n">
        <f aca="false">SUM(D229:O229)</f>
        <v>4387.9129471876</v>
      </c>
      <c r="Q229" s="13" t="n">
        <f aca="false">sobrestock_sustitutos!$I$178</f>
        <v>712</v>
      </c>
    </row>
    <row r="230" customFormat="false" ht="15" hidden="false" customHeight="false" outlineLevel="0" collapsed="false">
      <c r="A230" s="12" t="str">
        <f aca="false">parametros_recargas!A55</f>
        <v>Agua 10 l</v>
      </c>
      <c r="B230" s="12" t="str">
        <f aca="false">parametros_recargas!B55</f>
        <v>Agua</v>
      </c>
      <c r="C230" s="22" t="n">
        <f aca="false">parametros_recargas!C55</f>
        <v>1</v>
      </c>
      <c r="D230" s="23" t="n">
        <f aca="false">datos_base!$I$6*parametros_recargas!$B$44+sobrestock_sustitutos!$I$179/12</f>
        <v>499.032688317204</v>
      </c>
      <c r="E230" s="23" t="n">
        <f aca="false">datos_base!$I$6*parametros_recargas!$C$44+sobrestock_sustitutos!$I$179/12</f>
        <v>499.032688317204</v>
      </c>
      <c r="F230" s="23" t="n">
        <f aca="false">datos_base!$I$6*parametros_recargas!$D$44+sobrestock_sustitutos!$I$179/12</f>
        <v>499.032688317204</v>
      </c>
      <c r="G230" s="23" t="n">
        <f aca="false">datos_base!$I$6*parametros_recargas!$E$44+sobrestock_sustitutos!$I$179/12</f>
        <v>499.032688317204</v>
      </c>
      <c r="H230" s="23" t="n">
        <f aca="false">datos_base!$I$6*parametros_recargas!$F$44+sobrestock_sustitutos!$I$179/12</f>
        <v>499.032688317204</v>
      </c>
      <c r="I230" s="23" t="n">
        <f aca="false">datos_base!$I$6*parametros_recargas!$G$44+sobrestock_sustitutos!$I$179/12</f>
        <v>499.032688317204</v>
      </c>
      <c r="J230" s="23" t="n">
        <f aca="false">datos_base!$I$6*parametros_recargas!$H$44+sobrestock_sustitutos!$I$179/12</f>
        <v>499.032688317204</v>
      </c>
      <c r="K230" s="23" t="n">
        <f aca="false">datos_base!$I$6*parametros_recargas!$I$44+sobrestock_sustitutos!$I$179/12</f>
        <v>499.032688317204</v>
      </c>
      <c r="L230" s="23" t="n">
        <f aca="false">datos_base!$I$6*parametros_recargas!$J$44+sobrestock_sustitutos!$I$179/12</f>
        <v>499.032688317204</v>
      </c>
      <c r="M230" s="23" t="n">
        <f aca="false">datos_base!$I$6*parametros_recargas!$K$44+sobrestock_sustitutos!$I$179/12</f>
        <v>499.032688317204</v>
      </c>
      <c r="N230" s="23" t="n">
        <f aca="false">datos_base!$I$6*parametros_recargas!$L$44+sobrestock_sustitutos!$I$179/12</f>
        <v>499.032688317204</v>
      </c>
      <c r="O230" s="23" t="n">
        <f aca="false">datos_base!$I$6*parametros_recargas!$M$44+sobrestock_sustitutos!$I$179/12</f>
        <v>499.032688317204</v>
      </c>
      <c r="P230" s="7" t="n">
        <f aca="false">SUM(D230:O230)</f>
        <v>5988.39225980645</v>
      </c>
      <c r="Q230" s="13" t="n">
        <f aca="false">sobrestock_sustitutos!$I$179</f>
        <v>814</v>
      </c>
    </row>
    <row r="231" customFormat="false" ht="15" hidden="false" customHeight="false" outlineLevel="0" collapsed="false">
      <c r="A231" s="12" t="str">
        <f aca="false">parametros_recargas!A56</f>
        <v>AFFF 10 l</v>
      </c>
      <c r="B231" s="12" t="str">
        <f aca="false">parametros_recargas!B56</f>
        <v>AFFF</v>
      </c>
      <c r="C231" s="22" t="n">
        <f aca="false">parametros_recargas!C56</f>
        <v>1</v>
      </c>
      <c r="D231" s="23" t="n">
        <f aca="false">datos_base!$I$7*parametros_recargas!$B$44+sobrestock_sustitutos!$I$180/12</f>
        <v>92.5859807719304</v>
      </c>
      <c r="E231" s="23" t="n">
        <f aca="false">datos_base!$I$7*parametros_recargas!$C$44+sobrestock_sustitutos!$I$180/12</f>
        <v>92.5859807719304</v>
      </c>
      <c r="F231" s="23" t="n">
        <f aca="false">datos_base!$I$7*parametros_recargas!$D$44+sobrestock_sustitutos!$I$180/12</f>
        <v>92.5859807719304</v>
      </c>
      <c r="G231" s="23" t="n">
        <f aca="false">datos_base!$I$7*parametros_recargas!$E$44+sobrestock_sustitutos!$I$180/12</f>
        <v>92.5859807719304</v>
      </c>
      <c r="H231" s="23" t="n">
        <f aca="false">datos_base!$I$7*parametros_recargas!$F$44+sobrestock_sustitutos!$I$180/12</f>
        <v>92.5859807719304</v>
      </c>
      <c r="I231" s="23" t="n">
        <f aca="false">datos_base!$I$7*parametros_recargas!$G$44+sobrestock_sustitutos!$I$180/12</f>
        <v>92.5859807719304</v>
      </c>
      <c r="J231" s="23" t="n">
        <f aca="false">datos_base!$I$7*parametros_recargas!$H$44+sobrestock_sustitutos!$I$180/12</f>
        <v>92.5859807719304</v>
      </c>
      <c r="K231" s="23" t="n">
        <f aca="false">datos_base!$I$7*parametros_recargas!$I$44+sobrestock_sustitutos!$I$180/12</f>
        <v>92.5859807719304</v>
      </c>
      <c r="L231" s="23" t="n">
        <f aca="false">datos_base!$I$7*parametros_recargas!$J$44+sobrestock_sustitutos!$I$180/12</f>
        <v>92.5859807719304</v>
      </c>
      <c r="M231" s="23" t="n">
        <f aca="false">datos_base!$I$7*parametros_recargas!$K$44+sobrestock_sustitutos!$I$180/12</f>
        <v>92.5859807719304</v>
      </c>
      <c r="N231" s="23" t="n">
        <f aca="false">datos_base!$I$7*parametros_recargas!$L$44+sobrestock_sustitutos!$I$180/12</f>
        <v>92.5859807719304</v>
      </c>
      <c r="O231" s="23" t="n">
        <f aca="false">datos_base!$I$7*parametros_recargas!$M$44+sobrestock_sustitutos!$I$180/12</f>
        <v>92.5859807719304</v>
      </c>
      <c r="P231" s="7" t="n">
        <f aca="false">SUM(D231:O231)</f>
        <v>1111.03176926316</v>
      </c>
      <c r="Q231" s="13" t="n">
        <f aca="false">sobrestock_sustitutos!$I$180</f>
        <v>149</v>
      </c>
    </row>
    <row r="232" customFormat="false" ht="15" hidden="false" customHeight="false" outlineLevel="0" collapsed="false">
      <c r="A232" s="12" t="str">
        <f aca="false">parametros_recargas!A57</f>
        <v>AFFF 50 l s/ruedas</v>
      </c>
      <c r="B232" s="12" t="str">
        <f aca="false">parametros_recargas!B57</f>
        <v>AFFF</v>
      </c>
      <c r="C232" s="22" t="n">
        <f aca="false">parametros_recargas!C57</f>
        <v>3</v>
      </c>
      <c r="D232" s="23" t="n">
        <f aca="false">datos_base!$I$8*parametros_recargas!$B$44+sobrestock_sustitutos!$I$181/12</f>
        <v>48.7658796252273</v>
      </c>
      <c r="E232" s="23" t="n">
        <f aca="false">datos_base!$I$8*parametros_recargas!$C$44+sobrestock_sustitutos!$I$181/12</f>
        <v>48.7658796252273</v>
      </c>
      <c r="F232" s="23" t="n">
        <f aca="false">datos_base!$I$8*parametros_recargas!$D$44+sobrestock_sustitutos!$I$181/12</f>
        <v>48.7658796252273</v>
      </c>
      <c r="G232" s="23" t="n">
        <f aca="false">datos_base!$I$8*parametros_recargas!$E$44+sobrestock_sustitutos!$I$181/12</f>
        <v>48.7658796252273</v>
      </c>
      <c r="H232" s="23" t="n">
        <f aca="false">datos_base!$I$8*parametros_recargas!$F$44+sobrestock_sustitutos!$I$181/12</f>
        <v>48.7658796252273</v>
      </c>
      <c r="I232" s="23" t="n">
        <f aca="false">datos_base!$I$8*parametros_recargas!$G$44+sobrestock_sustitutos!$I$181/12</f>
        <v>48.7658796252273</v>
      </c>
      <c r="J232" s="23" t="n">
        <f aca="false">datos_base!$I$8*parametros_recargas!$H$44+sobrestock_sustitutos!$I$181/12</f>
        <v>48.7658796252273</v>
      </c>
      <c r="K232" s="23" t="n">
        <f aca="false">datos_base!$I$8*parametros_recargas!$I$44+sobrestock_sustitutos!$I$181/12</f>
        <v>48.7658796252273</v>
      </c>
      <c r="L232" s="23" t="n">
        <f aca="false">datos_base!$I$8*parametros_recargas!$J$44+sobrestock_sustitutos!$I$181/12</f>
        <v>48.7658796252273</v>
      </c>
      <c r="M232" s="23" t="n">
        <f aca="false">datos_base!$I$8*parametros_recargas!$K$44+sobrestock_sustitutos!$I$181/12</f>
        <v>48.7658796252273</v>
      </c>
      <c r="N232" s="23" t="n">
        <f aca="false">datos_base!$I$8*parametros_recargas!$L$44+sobrestock_sustitutos!$I$181/12</f>
        <v>48.7658796252273</v>
      </c>
      <c r="O232" s="23" t="n">
        <f aca="false">datos_base!$I$8*parametros_recargas!$M$44+sobrestock_sustitutos!$I$181/12</f>
        <v>48.7658796252273</v>
      </c>
      <c r="P232" s="7" t="n">
        <f aca="false">SUM(D232:O232)</f>
        <v>585.190555502727</v>
      </c>
      <c r="Q232" s="13" t="n">
        <f aca="false">sobrestock_sustitutos!$I$181</f>
        <v>79</v>
      </c>
    </row>
    <row r="233" customFormat="false" ht="15" hidden="false" customHeight="false" outlineLevel="0" collapsed="false">
      <c r="A233" s="12" t="str">
        <f aca="false">parametros_recargas!A58</f>
        <v>BC 5 kg</v>
      </c>
      <c r="B233" s="12" t="str">
        <f aca="false">parametros_recargas!B58</f>
        <v>BC</v>
      </c>
      <c r="C233" s="22" t="n">
        <f aca="false">parametros_recargas!C58</f>
        <v>1</v>
      </c>
      <c r="D233" s="23" t="n">
        <f aca="false">datos_base!$I$9*parametros_recargas!$B$44+sobrestock_sustitutos!$I$182/12</f>
        <v>28.9742152942938</v>
      </c>
      <c r="E233" s="23" t="n">
        <f aca="false">datos_base!$I$9*parametros_recargas!$C$44+sobrestock_sustitutos!$I$182/12</f>
        <v>28.9742152942938</v>
      </c>
      <c r="F233" s="23" t="n">
        <f aca="false">datos_base!$I$9*parametros_recargas!$D$44+sobrestock_sustitutos!$I$182/12</f>
        <v>28.9742152942938</v>
      </c>
      <c r="G233" s="23" t="n">
        <f aca="false">datos_base!$I$9*parametros_recargas!$E$44+sobrestock_sustitutos!$I$182/12</f>
        <v>28.9742152942938</v>
      </c>
      <c r="H233" s="23" t="n">
        <f aca="false">datos_base!$I$9*parametros_recargas!$F$44+sobrestock_sustitutos!$I$182/12</f>
        <v>28.9742152942938</v>
      </c>
      <c r="I233" s="23" t="n">
        <f aca="false">datos_base!$I$9*parametros_recargas!$G$44+sobrestock_sustitutos!$I$182/12</f>
        <v>28.9742152942938</v>
      </c>
      <c r="J233" s="23" t="n">
        <f aca="false">datos_base!$I$9*parametros_recargas!$H$44+sobrestock_sustitutos!$I$182/12</f>
        <v>28.9742152942938</v>
      </c>
      <c r="K233" s="23" t="n">
        <f aca="false">datos_base!$I$9*parametros_recargas!$I$44+sobrestock_sustitutos!$I$182/12</f>
        <v>28.9742152942938</v>
      </c>
      <c r="L233" s="23" t="n">
        <f aca="false">datos_base!$I$9*parametros_recargas!$J$44+sobrestock_sustitutos!$I$182/12</f>
        <v>28.9742152942938</v>
      </c>
      <c r="M233" s="23" t="n">
        <f aca="false">datos_base!$I$9*parametros_recargas!$K$44+sobrestock_sustitutos!$I$182/12</f>
        <v>28.9742152942938</v>
      </c>
      <c r="N233" s="23" t="n">
        <f aca="false">datos_base!$I$9*parametros_recargas!$L$44+sobrestock_sustitutos!$I$182/12</f>
        <v>28.9742152942938</v>
      </c>
      <c r="O233" s="23" t="n">
        <f aca="false">datos_base!$I$9*parametros_recargas!$M$44+sobrestock_sustitutos!$I$182/12</f>
        <v>28.9742152942938</v>
      </c>
      <c r="P233" s="7" t="n">
        <f aca="false">SUM(D233:O233)</f>
        <v>347.690583531525</v>
      </c>
      <c r="Q233" s="13" t="n">
        <f aca="false">sobrestock_sustitutos!$I$182</f>
        <v>57</v>
      </c>
    </row>
    <row r="234" customFormat="false" ht="15" hidden="false" customHeight="false" outlineLevel="0" collapsed="false">
      <c r="A234" s="12" t="str">
        <f aca="false">parametros_recargas!A59</f>
        <v>Sales K 6 l</v>
      </c>
      <c r="B234" s="12" t="str">
        <f aca="false">parametros_recargas!B59</f>
        <v>Sales K</v>
      </c>
      <c r="C234" s="22" t="n">
        <f aca="false">parametros_recargas!C59</f>
        <v>1</v>
      </c>
      <c r="D234" s="23" t="n">
        <f aca="false">datos_base!$I$10*parametros_recargas!$B$44+sobrestock_sustitutos!$I$183/12</f>
        <v>245.422812100315</v>
      </c>
      <c r="E234" s="23" t="n">
        <f aca="false">datos_base!$I$10*parametros_recargas!$C$44+sobrestock_sustitutos!$I$183/12</f>
        <v>245.422812100315</v>
      </c>
      <c r="F234" s="23" t="n">
        <f aca="false">datos_base!$I$10*parametros_recargas!$D$44+sobrestock_sustitutos!$I$183/12</f>
        <v>245.422812100315</v>
      </c>
      <c r="G234" s="23" t="n">
        <f aca="false">datos_base!$I$10*parametros_recargas!$E$44+sobrestock_sustitutos!$I$183/12</f>
        <v>245.422812100315</v>
      </c>
      <c r="H234" s="23" t="n">
        <f aca="false">datos_base!$I$10*parametros_recargas!$F$44+sobrestock_sustitutos!$I$183/12</f>
        <v>245.422812100315</v>
      </c>
      <c r="I234" s="23" t="n">
        <f aca="false">datos_base!$I$10*parametros_recargas!$G$44+sobrestock_sustitutos!$I$183/12</f>
        <v>245.422812100315</v>
      </c>
      <c r="J234" s="23" t="n">
        <f aca="false">datos_base!$I$10*parametros_recargas!$H$44+sobrestock_sustitutos!$I$183/12</f>
        <v>245.422812100315</v>
      </c>
      <c r="K234" s="23" t="n">
        <f aca="false">datos_base!$I$10*parametros_recargas!$I$44+sobrestock_sustitutos!$I$183/12</f>
        <v>245.422812100315</v>
      </c>
      <c r="L234" s="23" t="n">
        <f aca="false">datos_base!$I$10*parametros_recargas!$J$44+sobrestock_sustitutos!$I$183/12</f>
        <v>245.422812100315</v>
      </c>
      <c r="M234" s="23" t="n">
        <f aca="false">datos_base!$I$10*parametros_recargas!$K$44+sobrestock_sustitutos!$I$183/12</f>
        <v>245.422812100315</v>
      </c>
      <c r="N234" s="23" t="n">
        <f aca="false">datos_base!$I$10*parametros_recargas!$L$44+sobrestock_sustitutos!$I$183/12</f>
        <v>245.422812100315</v>
      </c>
      <c r="O234" s="23" t="n">
        <f aca="false">datos_base!$I$10*parametros_recargas!$M$44+sobrestock_sustitutos!$I$183/12</f>
        <v>245.422812100315</v>
      </c>
      <c r="P234" s="7" t="n">
        <f aca="false">SUM(D234:O234)</f>
        <v>2945.07374520378</v>
      </c>
      <c r="Q234" s="13" t="n">
        <f aca="false">sobrestock_sustitutos!$I$183</f>
        <v>398</v>
      </c>
    </row>
    <row r="235" customFormat="false" ht="15" hidden="false" customHeight="false" outlineLevel="0" collapsed="false">
      <c r="A235" s="12" t="str">
        <f aca="false">parametros_recargas!A60</f>
        <v>CO₂ 2 kg</v>
      </c>
      <c r="B235" s="12" t="str">
        <f aca="false">parametros_recargas!B60</f>
        <v>CO₂</v>
      </c>
      <c r="C235" s="22" t="n">
        <f aca="false">parametros_recargas!C60</f>
        <v>1</v>
      </c>
      <c r="D235" s="23" t="n">
        <f aca="false">datos_base!$I$11*parametros_recargas!$B$44+sobrestock_sustitutos!$I$184/12</f>
        <v>1163.5675590477</v>
      </c>
      <c r="E235" s="23" t="n">
        <f aca="false">datos_base!$I$11*parametros_recargas!$C$44+sobrestock_sustitutos!$I$184/12</f>
        <v>1163.5675590477</v>
      </c>
      <c r="F235" s="23" t="n">
        <f aca="false">datos_base!$I$11*parametros_recargas!$D$44+sobrestock_sustitutos!$I$184/12</f>
        <v>1163.5675590477</v>
      </c>
      <c r="G235" s="23" t="n">
        <f aca="false">datos_base!$I$11*parametros_recargas!$E$44+sobrestock_sustitutos!$I$184/12</f>
        <v>1163.5675590477</v>
      </c>
      <c r="H235" s="23" t="n">
        <f aca="false">datos_base!$I$11*parametros_recargas!$F$44+sobrestock_sustitutos!$I$184/12</f>
        <v>1163.5675590477</v>
      </c>
      <c r="I235" s="23" t="n">
        <f aca="false">datos_base!$I$11*parametros_recargas!$G$44+sobrestock_sustitutos!$I$184/12</f>
        <v>1163.5675590477</v>
      </c>
      <c r="J235" s="23" t="n">
        <f aca="false">datos_base!$I$11*parametros_recargas!$H$44+sobrestock_sustitutos!$I$184/12</f>
        <v>1163.5675590477</v>
      </c>
      <c r="K235" s="23" t="n">
        <f aca="false">datos_base!$I$11*parametros_recargas!$I$44+sobrestock_sustitutos!$I$184/12</f>
        <v>1163.5675590477</v>
      </c>
      <c r="L235" s="23" t="n">
        <f aca="false">datos_base!$I$11*parametros_recargas!$J$44+sobrestock_sustitutos!$I$184/12</f>
        <v>1163.5675590477</v>
      </c>
      <c r="M235" s="23" t="n">
        <f aca="false">datos_base!$I$11*parametros_recargas!$K$44+sobrestock_sustitutos!$I$184/12</f>
        <v>1163.5675590477</v>
      </c>
      <c r="N235" s="23" t="n">
        <f aca="false">datos_base!$I$11*parametros_recargas!$L$44+sobrestock_sustitutos!$I$184/12</f>
        <v>1163.5675590477</v>
      </c>
      <c r="O235" s="23" t="n">
        <f aca="false">datos_base!$I$11*parametros_recargas!$M$44+sobrestock_sustitutos!$I$184/12</f>
        <v>1163.5675590477</v>
      </c>
      <c r="P235" s="7" t="n">
        <f aca="false">SUM(D235:O235)</f>
        <v>13962.8107085724</v>
      </c>
      <c r="Q235" s="13" t="n">
        <f aca="false">sobrestock_sustitutos!$I$184</f>
        <v>0</v>
      </c>
    </row>
    <row r="236" customFormat="false" ht="15" hidden="false" customHeight="false" outlineLevel="0" collapsed="false">
      <c r="A236" s="12" t="str">
        <f aca="false">parametros_recargas!A61</f>
        <v>CO₂ 5 kg</v>
      </c>
      <c r="B236" s="12" t="str">
        <f aca="false">parametros_recargas!B61</f>
        <v>CO₂</v>
      </c>
      <c r="C236" s="22" t="n">
        <f aca="false">parametros_recargas!C61</f>
        <v>1</v>
      </c>
      <c r="D236" s="23" t="n">
        <f aca="false">datos_base!$I$12*parametros_recargas!$B$44+sobrestock_sustitutos!$I$185/12</f>
        <v>636.555043119345</v>
      </c>
      <c r="E236" s="23" t="n">
        <f aca="false">datos_base!$I$12*parametros_recargas!$C$44+sobrestock_sustitutos!$I$185/12</f>
        <v>636.555043119345</v>
      </c>
      <c r="F236" s="23" t="n">
        <f aca="false">datos_base!$I$12*parametros_recargas!$D$44+sobrestock_sustitutos!$I$185/12</f>
        <v>636.555043119345</v>
      </c>
      <c r="G236" s="23" t="n">
        <f aca="false">datos_base!$I$12*parametros_recargas!$E$44+sobrestock_sustitutos!$I$185/12</f>
        <v>636.555043119345</v>
      </c>
      <c r="H236" s="23" t="n">
        <f aca="false">datos_base!$I$12*parametros_recargas!$F$44+sobrestock_sustitutos!$I$185/12</f>
        <v>636.555043119345</v>
      </c>
      <c r="I236" s="23" t="n">
        <f aca="false">datos_base!$I$12*parametros_recargas!$G$44+sobrestock_sustitutos!$I$185/12</f>
        <v>636.555043119345</v>
      </c>
      <c r="J236" s="23" t="n">
        <f aca="false">datos_base!$I$12*parametros_recargas!$H$44+sobrestock_sustitutos!$I$185/12</f>
        <v>636.555043119345</v>
      </c>
      <c r="K236" s="23" t="n">
        <f aca="false">datos_base!$I$12*parametros_recargas!$I$44+sobrestock_sustitutos!$I$185/12</f>
        <v>636.555043119345</v>
      </c>
      <c r="L236" s="23" t="n">
        <f aca="false">datos_base!$I$12*parametros_recargas!$J$44+sobrestock_sustitutos!$I$185/12</f>
        <v>636.555043119345</v>
      </c>
      <c r="M236" s="23" t="n">
        <f aca="false">datos_base!$I$12*parametros_recargas!$K$44+sobrestock_sustitutos!$I$185/12</f>
        <v>636.555043119345</v>
      </c>
      <c r="N236" s="23" t="n">
        <f aca="false">datos_base!$I$12*parametros_recargas!$L$44+sobrestock_sustitutos!$I$185/12</f>
        <v>636.555043119345</v>
      </c>
      <c r="O236" s="23" t="n">
        <f aca="false">datos_base!$I$12*parametros_recargas!$M$44+sobrestock_sustitutos!$I$185/12</f>
        <v>636.555043119345</v>
      </c>
      <c r="P236" s="7" t="n">
        <f aca="false">SUM(D236:O236)</f>
        <v>7638.66051743215</v>
      </c>
      <c r="Q236" s="13" t="n">
        <f aca="false">sobrestock_sustitutos!$I$185</f>
        <v>2935</v>
      </c>
    </row>
    <row r="237" customFormat="false" ht="15" hidden="false" customHeight="false" outlineLevel="0" collapsed="false">
      <c r="A237" s="12" t="str">
        <f aca="false">parametros_recargas!A62</f>
        <v>HCFC/HFC 5 kg</v>
      </c>
      <c r="B237" s="12" t="str">
        <f aca="false">parametros_recargas!B62</f>
        <v>Halogenado</v>
      </c>
      <c r="C237" s="22" t="n">
        <f aca="false">parametros_recargas!C62</f>
        <v>1</v>
      </c>
      <c r="D237" s="23" t="n">
        <f aca="false">datos_base!$I$13*parametros_recargas!$B$44+sobrestock_sustitutos!$I$186/12</f>
        <v>73.4314580206495</v>
      </c>
      <c r="E237" s="23" t="n">
        <f aca="false">datos_base!$I$13*parametros_recargas!$C$44+sobrestock_sustitutos!$I$186/12</f>
        <v>73.4314580206495</v>
      </c>
      <c r="F237" s="23" t="n">
        <f aca="false">datos_base!$I$13*parametros_recargas!$D$44+sobrestock_sustitutos!$I$186/12</f>
        <v>73.4314580206495</v>
      </c>
      <c r="G237" s="23" t="n">
        <f aca="false">datos_base!$I$13*parametros_recargas!$E$44+sobrestock_sustitutos!$I$186/12</f>
        <v>73.4314580206495</v>
      </c>
      <c r="H237" s="23" t="n">
        <f aca="false">datos_base!$I$13*parametros_recargas!$F$44+sobrestock_sustitutos!$I$186/12</f>
        <v>73.4314580206495</v>
      </c>
      <c r="I237" s="23" t="n">
        <f aca="false">datos_base!$I$13*parametros_recargas!$G$44+sobrestock_sustitutos!$I$186/12</f>
        <v>73.4314580206495</v>
      </c>
      <c r="J237" s="23" t="n">
        <f aca="false">datos_base!$I$13*parametros_recargas!$H$44+sobrestock_sustitutos!$I$186/12</f>
        <v>73.4314580206495</v>
      </c>
      <c r="K237" s="23" t="n">
        <f aca="false">datos_base!$I$13*parametros_recargas!$I$44+sobrestock_sustitutos!$I$186/12</f>
        <v>73.4314580206495</v>
      </c>
      <c r="L237" s="23" t="n">
        <f aca="false">datos_base!$I$13*parametros_recargas!$J$44+sobrestock_sustitutos!$I$186/12</f>
        <v>73.4314580206495</v>
      </c>
      <c r="M237" s="23" t="n">
        <f aca="false">datos_base!$I$13*parametros_recargas!$K$44+sobrestock_sustitutos!$I$186/12</f>
        <v>73.4314580206495</v>
      </c>
      <c r="N237" s="23" t="n">
        <f aca="false">datos_base!$I$13*parametros_recargas!$L$44+sobrestock_sustitutos!$I$186/12</f>
        <v>73.4314580206495</v>
      </c>
      <c r="O237" s="23" t="n">
        <f aca="false">datos_base!$I$13*parametros_recargas!$M$44+sobrestock_sustitutos!$I$186/12</f>
        <v>73.4314580206495</v>
      </c>
      <c r="P237" s="7" t="n">
        <f aca="false">SUM(D237:O237)</f>
        <v>881.177496247794</v>
      </c>
      <c r="Q237" s="13" t="n">
        <f aca="false">sobrestock_sustitutos!$I$186</f>
        <v>118</v>
      </c>
    </row>
    <row r="238" customFormat="false" ht="15" hidden="false" customHeight="false" outlineLevel="0" collapsed="false">
      <c r="A238" s="12" t="str">
        <f aca="false">parametros_recargas!A63</f>
        <v>Clase D 9 l</v>
      </c>
      <c r="B238" s="12" t="str">
        <f aca="false">parametros_recargas!B63</f>
        <v>Clase D</v>
      </c>
      <c r="C238" s="22" t="n">
        <f aca="false">parametros_recargas!C63</f>
        <v>1</v>
      </c>
      <c r="D238" s="23" t="n">
        <f aca="false">datos_base!$I$14*parametros_recargas!$B$44+sobrestock_sustitutos!$I$187/12</f>
        <v>26.0126475615436</v>
      </c>
      <c r="E238" s="23" t="n">
        <f aca="false">datos_base!$I$14*parametros_recargas!$C$44+sobrestock_sustitutos!$I$187/12</f>
        <v>26.0126475615436</v>
      </c>
      <c r="F238" s="23" t="n">
        <f aca="false">datos_base!$I$14*parametros_recargas!$D$44+sobrestock_sustitutos!$I$187/12</f>
        <v>26.0126475615436</v>
      </c>
      <c r="G238" s="23" t="n">
        <f aca="false">datos_base!$I$14*parametros_recargas!$E$44+sobrestock_sustitutos!$I$187/12</f>
        <v>26.0126475615436</v>
      </c>
      <c r="H238" s="23" t="n">
        <f aca="false">datos_base!$I$14*parametros_recargas!$F$44+sobrestock_sustitutos!$I$187/12</f>
        <v>26.0126475615436</v>
      </c>
      <c r="I238" s="23" t="n">
        <f aca="false">datos_base!$I$14*parametros_recargas!$G$44+sobrestock_sustitutos!$I$187/12</f>
        <v>26.0126475615436</v>
      </c>
      <c r="J238" s="23" t="n">
        <f aca="false">datos_base!$I$14*parametros_recargas!$H$44+sobrestock_sustitutos!$I$187/12</f>
        <v>26.0126475615436</v>
      </c>
      <c r="K238" s="23" t="n">
        <f aca="false">datos_base!$I$14*parametros_recargas!$I$44+sobrestock_sustitutos!$I$187/12</f>
        <v>26.0126475615436</v>
      </c>
      <c r="L238" s="23" t="n">
        <f aca="false">datos_base!$I$14*parametros_recargas!$J$44+sobrestock_sustitutos!$I$187/12</f>
        <v>26.0126475615436</v>
      </c>
      <c r="M238" s="23" t="n">
        <f aca="false">datos_base!$I$14*parametros_recargas!$K$44+sobrestock_sustitutos!$I$187/12</f>
        <v>26.0126475615436</v>
      </c>
      <c r="N238" s="23" t="n">
        <f aca="false">datos_base!$I$14*parametros_recargas!$L$44+sobrestock_sustitutos!$I$187/12</f>
        <v>26.0126475615436</v>
      </c>
      <c r="O238" s="23" t="n">
        <f aca="false">datos_base!$I$14*parametros_recargas!$M$44+sobrestock_sustitutos!$I$187/12</f>
        <v>26.0126475615436</v>
      </c>
      <c r="P238" s="7" t="n">
        <f aca="false">SUM(D238:O238)</f>
        <v>312.151770738523</v>
      </c>
      <c r="Q238" s="13" t="n">
        <f aca="false">sobrestock_sustitutos!$I$187</f>
        <v>51</v>
      </c>
    </row>
    <row r="239" customFormat="false" ht="15" hidden="false" customHeight="false" outlineLevel="0" collapsed="false">
      <c r="A239" s="12" t="str">
        <f aca="false">parametros_recargas!A64</f>
        <v>ABC 25 kg s/ruedas</v>
      </c>
      <c r="B239" s="12" t="str">
        <f aca="false">parametros_recargas!B64</f>
        <v>ABC</v>
      </c>
      <c r="C239" s="22" t="n">
        <f aca="false">parametros_recargas!C64</f>
        <v>3</v>
      </c>
      <c r="D239" s="23" t="n">
        <f aca="false">datos_base!$I$15*parametros_recargas!$B$44+sobrestock_sustitutos!$I$188/12</f>
        <v>52.7700094686749</v>
      </c>
      <c r="E239" s="23" t="n">
        <f aca="false">datos_base!$I$15*parametros_recargas!$C$44+sobrestock_sustitutos!$I$188/12</f>
        <v>52.7700094686749</v>
      </c>
      <c r="F239" s="23" t="n">
        <f aca="false">datos_base!$I$15*parametros_recargas!$D$44+sobrestock_sustitutos!$I$188/12</f>
        <v>52.7700094686749</v>
      </c>
      <c r="G239" s="23" t="n">
        <f aca="false">datos_base!$I$15*parametros_recargas!$E$44+sobrestock_sustitutos!$I$188/12</f>
        <v>52.7700094686749</v>
      </c>
      <c r="H239" s="23" t="n">
        <f aca="false">datos_base!$I$15*parametros_recargas!$F$44+sobrestock_sustitutos!$I$188/12</f>
        <v>52.7700094686749</v>
      </c>
      <c r="I239" s="23" t="n">
        <f aca="false">datos_base!$I$15*parametros_recargas!$G$44+sobrestock_sustitutos!$I$188/12</f>
        <v>52.7700094686749</v>
      </c>
      <c r="J239" s="23" t="n">
        <f aca="false">datos_base!$I$15*parametros_recargas!$H$44+sobrestock_sustitutos!$I$188/12</f>
        <v>52.7700094686749</v>
      </c>
      <c r="K239" s="23" t="n">
        <f aca="false">datos_base!$I$15*parametros_recargas!$I$44+sobrestock_sustitutos!$I$188/12</f>
        <v>52.7700094686749</v>
      </c>
      <c r="L239" s="23" t="n">
        <f aca="false">datos_base!$I$15*parametros_recargas!$J$44+sobrestock_sustitutos!$I$188/12</f>
        <v>52.7700094686749</v>
      </c>
      <c r="M239" s="23" t="n">
        <f aca="false">datos_base!$I$15*parametros_recargas!$K$44+sobrestock_sustitutos!$I$188/12</f>
        <v>52.7700094686749</v>
      </c>
      <c r="N239" s="23" t="n">
        <f aca="false">datos_base!$I$15*parametros_recargas!$L$44+sobrestock_sustitutos!$I$188/12</f>
        <v>52.7700094686749</v>
      </c>
      <c r="O239" s="23" t="n">
        <f aca="false">datos_base!$I$15*parametros_recargas!$M$44+sobrestock_sustitutos!$I$188/12</f>
        <v>52.7700094686749</v>
      </c>
      <c r="P239" s="7" t="n">
        <f aca="false">SUM(D239:O239)</f>
        <v>633.240113624099</v>
      </c>
      <c r="Q239" s="13" t="n">
        <f aca="false">sobrestock_sustitutos!$I$188</f>
        <v>0</v>
      </c>
    </row>
    <row r="240" customFormat="false" ht="15" hidden="false" customHeight="false" outlineLevel="0" collapsed="false">
      <c r="A240" s="12" t="str">
        <f aca="false">parametros_recargas!A65</f>
        <v>ABC 50 kg s/ruedas</v>
      </c>
      <c r="B240" s="12" t="str">
        <f aca="false">parametros_recargas!B65</f>
        <v>ABC</v>
      </c>
      <c r="C240" s="22" t="n">
        <f aca="false">parametros_recargas!C65</f>
        <v>3</v>
      </c>
      <c r="D240" s="23" t="n">
        <f aca="false">datos_base!$I$16*parametros_recargas!$B$44+sobrestock_sustitutos!$I$189/12</f>
        <v>148.344020807359</v>
      </c>
      <c r="E240" s="23" t="n">
        <f aca="false">datos_base!$I$16*parametros_recargas!$C$44+sobrestock_sustitutos!$I$189/12</f>
        <v>148.344020807359</v>
      </c>
      <c r="F240" s="23" t="n">
        <f aca="false">datos_base!$I$16*parametros_recargas!$D$44+sobrestock_sustitutos!$I$189/12</f>
        <v>148.344020807359</v>
      </c>
      <c r="G240" s="23" t="n">
        <f aca="false">datos_base!$I$16*parametros_recargas!$E$44+sobrestock_sustitutos!$I$189/12</f>
        <v>148.344020807359</v>
      </c>
      <c r="H240" s="23" t="n">
        <f aca="false">datos_base!$I$16*parametros_recargas!$F$44+sobrestock_sustitutos!$I$189/12</f>
        <v>148.344020807359</v>
      </c>
      <c r="I240" s="23" t="n">
        <f aca="false">datos_base!$I$16*parametros_recargas!$G$44+sobrestock_sustitutos!$I$189/12</f>
        <v>148.344020807359</v>
      </c>
      <c r="J240" s="23" t="n">
        <f aca="false">datos_base!$I$16*parametros_recargas!$H$44+sobrestock_sustitutos!$I$189/12</f>
        <v>148.344020807359</v>
      </c>
      <c r="K240" s="23" t="n">
        <f aca="false">datos_base!$I$16*parametros_recargas!$I$44+sobrestock_sustitutos!$I$189/12</f>
        <v>148.344020807359</v>
      </c>
      <c r="L240" s="23" t="n">
        <f aca="false">datos_base!$I$16*parametros_recargas!$J$44+sobrestock_sustitutos!$I$189/12</f>
        <v>148.344020807359</v>
      </c>
      <c r="M240" s="23" t="n">
        <f aca="false">datos_base!$I$16*parametros_recargas!$K$44+sobrestock_sustitutos!$I$189/12</f>
        <v>148.344020807359</v>
      </c>
      <c r="N240" s="23" t="n">
        <f aca="false">datos_base!$I$16*parametros_recargas!$L$44+sobrestock_sustitutos!$I$189/12</f>
        <v>148.344020807359</v>
      </c>
      <c r="O240" s="23" t="n">
        <f aca="false">datos_base!$I$16*parametros_recargas!$M$44+sobrestock_sustitutos!$I$189/12</f>
        <v>148.344020807359</v>
      </c>
      <c r="P240" s="7" t="n">
        <f aca="false">SUM(D240:O240)</f>
        <v>1780.12824968831</v>
      </c>
      <c r="Q240" s="13" t="n">
        <f aca="false">sobrestock_sustitutos!$I$189</f>
        <v>387</v>
      </c>
    </row>
    <row r="241" customFormat="false" ht="15" hidden="false" customHeight="false" outlineLevel="0" collapsed="false">
      <c r="A241" s="12" t="str">
        <f aca="false">parametros_recargas!A66</f>
        <v>ABC 70 kg s/ruedas</v>
      </c>
      <c r="B241" s="12" t="str">
        <f aca="false">parametros_recargas!B66</f>
        <v>ABC</v>
      </c>
      <c r="C241" s="22" t="n">
        <f aca="false">parametros_recargas!C66</f>
        <v>3</v>
      </c>
      <c r="D241" s="23" t="n">
        <f aca="false">datos_base!$I$17*parametros_recargas!$B$44+sobrestock_sustitutos!$I$190/12</f>
        <v>25.3296045236111</v>
      </c>
      <c r="E241" s="23" t="n">
        <f aca="false">datos_base!$I$17*parametros_recargas!$C$44+sobrestock_sustitutos!$I$190/12</f>
        <v>25.3296045236111</v>
      </c>
      <c r="F241" s="23" t="n">
        <f aca="false">datos_base!$I$17*parametros_recargas!$D$44+sobrestock_sustitutos!$I$190/12</f>
        <v>25.3296045236111</v>
      </c>
      <c r="G241" s="23" t="n">
        <f aca="false">datos_base!$I$17*parametros_recargas!$E$44+sobrestock_sustitutos!$I$190/12</f>
        <v>25.3296045236111</v>
      </c>
      <c r="H241" s="23" t="n">
        <f aca="false">datos_base!$I$17*parametros_recargas!$F$44+sobrestock_sustitutos!$I$190/12</f>
        <v>25.3296045236111</v>
      </c>
      <c r="I241" s="23" t="n">
        <f aca="false">datos_base!$I$17*parametros_recargas!$G$44+sobrestock_sustitutos!$I$190/12</f>
        <v>25.3296045236111</v>
      </c>
      <c r="J241" s="23" t="n">
        <f aca="false">datos_base!$I$17*parametros_recargas!$H$44+sobrestock_sustitutos!$I$190/12</f>
        <v>25.3296045236111</v>
      </c>
      <c r="K241" s="23" t="n">
        <f aca="false">datos_base!$I$17*parametros_recargas!$I$44+sobrestock_sustitutos!$I$190/12</f>
        <v>25.3296045236111</v>
      </c>
      <c r="L241" s="23" t="n">
        <f aca="false">datos_base!$I$17*parametros_recargas!$J$44+sobrestock_sustitutos!$I$190/12</f>
        <v>25.3296045236111</v>
      </c>
      <c r="M241" s="23" t="n">
        <f aca="false">datos_base!$I$17*parametros_recargas!$K$44+sobrestock_sustitutos!$I$190/12</f>
        <v>25.3296045236111</v>
      </c>
      <c r="N241" s="23" t="n">
        <f aca="false">datos_base!$I$17*parametros_recargas!$L$44+sobrestock_sustitutos!$I$190/12</f>
        <v>25.3296045236111</v>
      </c>
      <c r="O241" s="23" t="n">
        <f aca="false">datos_base!$I$17*parametros_recargas!$M$44+sobrestock_sustitutos!$I$190/12</f>
        <v>25.3296045236111</v>
      </c>
      <c r="P241" s="7" t="n">
        <f aca="false">SUM(D241:O241)</f>
        <v>303.955254283333</v>
      </c>
      <c r="Q241" s="13" t="n">
        <f aca="false">sobrestock_sustitutos!$I$190</f>
        <v>0</v>
      </c>
    </row>
    <row r="242" customFormat="false" ht="15" hidden="false" customHeight="false" outlineLevel="0" collapsed="false">
      <c r="A242" s="12" t="str">
        <f aca="false">parametros_recargas!A67</f>
        <v>ABC 100 kg s/ruedas</v>
      </c>
      <c r="B242" s="12" t="str">
        <f aca="false">parametros_recargas!B67</f>
        <v>ABC</v>
      </c>
      <c r="C242" s="22" t="n">
        <f aca="false">parametros_recargas!C67</f>
        <v>3</v>
      </c>
      <c r="D242" s="23" t="n">
        <f aca="false">datos_base!$I$18*parametros_recargas!$B$44+sobrestock_sustitutos!$I$191/12</f>
        <v>24.969736349074</v>
      </c>
      <c r="E242" s="23" t="n">
        <f aca="false">datos_base!$I$18*parametros_recargas!$C$44+sobrestock_sustitutos!$I$191/12</f>
        <v>24.969736349074</v>
      </c>
      <c r="F242" s="23" t="n">
        <f aca="false">datos_base!$I$18*parametros_recargas!$D$44+sobrestock_sustitutos!$I$191/12</f>
        <v>24.969736349074</v>
      </c>
      <c r="G242" s="23" t="n">
        <f aca="false">datos_base!$I$18*parametros_recargas!$E$44+sobrestock_sustitutos!$I$191/12</f>
        <v>24.969736349074</v>
      </c>
      <c r="H242" s="23" t="n">
        <f aca="false">datos_base!$I$18*parametros_recargas!$F$44+sobrestock_sustitutos!$I$191/12</f>
        <v>24.969736349074</v>
      </c>
      <c r="I242" s="23" t="n">
        <f aca="false">datos_base!$I$18*parametros_recargas!$G$44+sobrestock_sustitutos!$I$191/12</f>
        <v>24.969736349074</v>
      </c>
      <c r="J242" s="23" t="n">
        <f aca="false">datos_base!$I$18*parametros_recargas!$H$44+sobrestock_sustitutos!$I$191/12</f>
        <v>24.969736349074</v>
      </c>
      <c r="K242" s="23" t="n">
        <f aca="false">datos_base!$I$18*parametros_recargas!$I$44+sobrestock_sustitutos!$I$191/12</f>
        <v>24.969736349074</v>
      </c>
      <c r="L242" s="23" t="n">
        <f aca="false">datos_base!$I$18*parametros_recargas!$J$44+sobrestock_sustitutos!$I$191/12</f>
        <v>24.969736349074</v>
      </c>
      <c r="M242" s="23" t="n">
        <f aca="false">datos_base!$I$18*parametros_recargas!$K$44+sobrestock_sustitutos!$I$191/12</f>
        <v>24.969736349074</v>
      </c>
      <c r="N242" s="23" t="n">
        <f aca="false">datos_base!$I$18*parametros_recargas!$L$44+sobrestock_sustitutos!$I$191/12</f>
        <v>24.969736349074</v>
      </c>
      <c r="O242" s="23" t="n">
        <f aca="false">datos_base!$I$18*parametros_recargas!$M$44+sobrestock_sustitutos!$I$191/12</f>
        <v>24.969736349074</v>
      </c>
      <c r="P242" s="7" t="n">
        <f aca="false">SUM(D242:O242)</f>
        <v>299.636836188889</v>
      </c>
      <c r="Q242" s="13" t="n">
        <f aca="false">sobrestock_sustitutos!$I$191</f>
        <v>97</v>
      </c>
    </row>
    <row r="243" customFormat="false" ht="15" hidden="false" customHeight="false" outlineLevel="0" collapsed="false">
      <c r="A243" s="6" t="s">
        <v>269</v>
      </c>
      <c r="D243" s="7" t="n">
        <f aca="false">SUM(D226:D242)</f>
        <v>20781.8011679359</v>
      </c>
      <c r="E243" s="7" t="n">
        <f aca="false">SUM(E226:E242)</f>
        <v>20781.8011679359</v>
      </c>
      <c r="F243" s="7" t="n">
        <f aca="false">SUM(F226:F242)</f>
        <v>20781.8011679359</v>
      </c>
      <c r="G243" s="7" t="n">
        <f aca="false">SUM(G226:G242)</f>
        <v>20781.8011679359</v>
      </c>
      <c r="H243" s="7" t="n">
        <f aca="false">SUM(H226:H242)</f>
        <v>20781.8011679359</v>
      </c>
      <c r="I243" s="7" t="n">
        <f aca="false">SUM(I226:I242)</f>
        <v>20781.8011679359</v>
      </c>
      <c r="J243" s="7" t="n">
        <f aca="false">SUM(J226:J242)</f>
        <v>20781.8011679359</v>
      </c>
      <c r="K243" s="7" t="n">
        <f aca="false">SUM(K226:K242)</f>
        <v>20781.8011679359</v>
      </c>
      <c r="L243" s="7" t="n">
        <f aca="false">SUM(L226:L242)</f>
        <v>20781.8011679359</v>
      </c>
      <c r="M243" s="7" t="n">
        <f aca="false">SUM(M226:M242)</f>
        <v>20781.8011679359</v>
      </c>
      <c r="N243" s="7" t="n">
        <f aca="false">SUM(N226:N242)</f>
        <v>20781.8011679359</v>
      </c>
      <c r="O243" s="7" t="n">
        <f aca="false">SUM(O226:O242)</f>
        <v>20781.8011679359</v>
      </c>
      <c r="P243" s="7" t="n">
        <f aca="false">SUM(P226:P242)</f>
        <v>249381.614015231</v>
      </c>
    </row>
    <row r="244" customFormat="false" ht="15" hidden="false" customHeight="false" outlineLevel="0" collapsed="false">
      <c r="A244" s="6" t="s">
        <v>270</v>
      </c>
    </row>
    <row r="245" customFormat="false" ht="15" hidden="false" customHeight="false" outlineLevel="0" collapsed="false">
      <c r="A245" s="4" t="s">
        <v>139</v>
      </c>
      <c r="D245" s="23" t="n">
        <f aca="false">SUMPRODUCT(($B$226:$B$242=$A245)*D$226:D$242*$C$226:$C$242)</f>
        <v>18470.2796263752</v>
      </c>
      <c r="E245" s="23" t="n">
        <f aca="false">SUMPRODUCT(($B$226:$B$242=$A245)*E$226:E$242*$C$226:$C$242)</f>
        <v>18470.2796263752</v>
      </c>
      <c r="F245" s="23" t="n">
        <f aca="false">SUMPRODUCT(($B$226:$B$242=$A245)*F$226:F$242*$C$226:$C$242)</f>
        <v>18470.2796263752</v>
      </c>
      <c r="G245" s="23" t="n">
        <f aca="false">SUMPRODUCT(($B$226:$B$242=$A245)*G$226:G$242*$C$226:$C$242)</f>
        <v>18470.2796263752</v>
      </c>
      <c r="H245" s="23" t="n">
        <f aca="false">SUMPRODUCT(($B$226:$B$242=$A245)*H$226:H$242*$C$226:$C$242)</f>
        <v>18470.2796263752</v>
      </c>
      <c r="I245" s="23" t="n">
        <f aca="false">SUMPRODUCT(($B$226:$B$242=$A245)*I$226:I$242*$C$226:$C$242)</f>
        <v>18470.2796263752</v>
      </c>
      <c r="J245" s="23" t="n">
        <f aca="false">SUMPRODUCT(($B$226:$B$242=$A245)*J$226:J$242*$C$226:$C$242)</f>
        <v>18470.2796263752</v>
      </c>
      <c r="K245" s="23" t="n">
        <f aca="false">SUMPRODUCT(($B$226:$B$242=$A245)*K$226:K$242*$C$226:$C$242)</f>
        <v>18470.2796263752</v>
      </c>
      <c r="L245" s="23" t="n">
        <f aca="false">SUMPRODUCT(($B$226:$B$242=$A245)*L$226:L$242*$C$226:$C$242)</f>
        <v>18470.2796263752</v>
      </c>
      <c r="M245" s="23" t="n">
        <f aca="false">SUMPRODUCT(($B$226:$B$242=$A245)*M$226:M$242*$C$226:$C$242)</f>
        <v>18470.2796263752</v>
      </c>
      <c r="N245" s="23" t="n">
        <f aca="false">SUMPRODUCT(($B$226:$B$242=$A245)*N$226:N$242*$C$226:$C$242)</f>
        <v>18470.2796263752</v>
      </c>
      <c r="O245" s="23" t="n">
        <f aca="false">SUMPRODUCT(($B$226:$B$242=$A245)*O$226:O$242*$C$226:$C$242)</f>
        <v>18470.2796263752</v>
      </c>
      <c r="P245" s="23" t="n">
        <f aca="false">SUMPRODUCT(($B$226:$B$242=$A245)*P$226:P$242*$C$226:$C$242)</f>
        <v>221643.355516502</v>
      </c>
    </row>
    <row r="246" customFormat="false" ht="15" hidden="false" customHeight="false" outlineLevel="0" collapsed="false">
      <c r="A246" s="4" t="s">
        <v>145</v>
      </c>
      <c r="D246" s="23" t="n">
        <f aca="false">SUMPRODUCT(($B$226:$B$242=$A246)*D$226:D$242*$C$226:$C$242)</f>
        <v>28.9742152942938</v>
      </c>
      <c r="E246" s="23" t="n">
        <f aca="false">SUMPRODUCT(($B$226:$B$242=$A246)*E$226:E$242*$C$226:$C$242)</f>
        <v>28.9742152942938</v>
      </c>
      <c r="F246" s="23" t="n">
        <f aca="false">SUMPRODUCT(($B$226:$B$242=$A246)*F$226:F$242*$C$226:$C$242)</f>
        <v>28.9742152942938</v>
      </c>
      <c r="G246" s="23" t="n">
        <f aca="false">SUMPRODUCT(($B$226:$B$242=$A246)*G$226:G$242*$C$226:$C$242)</f>
        <v>28.9742152942938</v>
      </c>
      <c r="H246" s="23" t="n">
        <f aca="false">SUMPRODUCT(($B$226:$B$242=$A246)*H$226:H$242*$C$226:$C$242)</f>
        <v>28.9742152942938</v>
      </c>
      <c r="I246" s="23" t="n">
        <f aca="false">SUMPRODUCT(($B$226:$B$242=$A246)*I$226:I$242*$C$226:$C$242)</f>
        <v>28.9742152942938</v>
      </c>
      <c r="J246" s="23" t="n">
        <f aca="false">SUMPRODUCT(($B$226:$B$242=$A246)*J$226:J$242*$C$226:$C$242)</f>
        <v>28.9742152942938</v>
      </c>
      <c r="K246" s="23" t="n">
        <f aca="false">SUMPRODUCT(($B$226:$B$242=$A246)*K$226:K$242*$C$226:$C$242)</f>
        <v>28.9742152942938</v>
      </c>
      <c r="L246" s="23" t="n">
        <f aca="false">SUMPRODUCT(($B$226:$B$242=$A246)*L$226:L$242*$C$226:$C$242)</f>
        <v>28.9742152942938</v>
      </c>
      <c r="M246" s="23" t="n">
        <f aca="false">SUMPRODUCT(($B$226:$B$242=$A246)*M$226:M$242*$C$226:$C$242)</f>
        <v>28.9742152942938</v>
      </c>
      <c r="N246" s="23" t="n">
        <f aca="false">SUMPRODUCT(($B$226:$B$242=$A246)*N$226:N$242*$C$226:$C$242)</f>
        <v>28.9742152942938</v>
      </c>
      <c r="O246" s="23" t="n">
        <f aca="false">SUMPRODUCT(($B$226:$B$242=$A246)*O$226:O$242*$C$226:$C$242)</f>
        <v>28.9742152942938</v>
      </c>
      <c r="P246" s="23" t="n">
        <f aca="false">SUMPRODUCT(($B$226:$B$242=$A246)*P$226:P$242*$C$226:$C$242)</f>
        <v>347.690583531525</v>
      </c>
    </row>
    <row r="247" customFormat="false" ht="15" hidden="false" customHeight="false" outlineLevel="0" collapsed="false">
      <c r="A247" s="4" t="s">
        <v>151</v>
      </c>
      <c r="D247" s="23" t="n">
        <f aca="false">SUMPRODUCT(($B$226:$B$242=$A247)*D$226:D$242*$C$226:$C$242)</f>
        <v>26.0126475615436</v>
      </c>
      <c r="E247" s="23" t="n">
        <f aca="false">SUMPRODUCT(($B$226:$B$242=$A247)*E$226:E$242*$C$226:$C$242)</f>
        <v>26.0126475615436</v>
      </c>
      <c r="F247" s="23" t="n">
        <f aca="false">SUMPRODUCT(($B$226:$B$242=$A247)*F$226:F$242*$C$226:$C$242)</f>
        <v>26.0126475615436</v>
      </c>
      <c r="G247" s="23" t="n">
        <f aca="false">SUMPRODUCT(($B$226:$B$242=$A247)*G$226:G$242*$C$226:$C$242)</f>
        <v>26.0126475615436</v>
      </c>
      <c r="H247" s="23" t="n">
        <f aca="false">SUMPRODUCT(($B$226:$B$242=$A247)*H$226:H$242*$C$226:$C$242)</f>
        <v>26.0126475615436</v>
      </c>
      <c r="I247" s="23" t="n">
        <f aca="false">SUMPRODUCT(($B$226:$B$242=$A247)*I$226:I$242*$C$226:$C$242)</f>
        <v>26.0126475615436</v>
      </c>
      <c r="J247" s="23" t="n">
        <f aca="false">SUMPRODUCT(($B$226:$B$242=$A247)*J$226:J$242*$C$226:$C$242)</f>
        <v>26.0126475615436</v>
      </c>
      <c r="K247" s="23" t="n">
        <f aca="false">SUMPRODUCT(($B$226:$B$242=$A247)*K$226:K$242*$C$226:$C$242)</f>
        <v>26.0126475615436</v>
      </c>
      <c r="L247" s="23" t="n">
        <f aca="false">SUMPRODUCT(($B$226:$B$242=$A247)*L$226:L$242*$C$226:$C$242)</f>
        <v>26.0126475615436</v>
      </c>
      <c r="M247" s="23" t="n">
        <f aca="false">SUMPRODUCT(($B$226:$B$242=$A247)*M$226:M$242*$C$226:$C$242)</f>
        <v>26.0126475615436</v>
      </c>
      <c r="N247" s="23" t="n">
        <f aca="false">SUMPRODUCT(($B$226:$B$242=$A247)*N$226:N$242*$C$226:$C$242)</f>
        <v>26.0126475615436</v>
      </c>
      <c r="O247" s="23" t="n">
        <f aca="false">SUMPRODUCT(($B$226:$B$242=$A247)*O$226:O$242*$C$226:$C$242)</f>
        <v>26.0126475615436</v>
      </c>
      <c r="P247" s="23" t="n">
        <f aca="false">SUMPRODUCT(($B$226:$B$242=$A247)*P$226:P$242*$C$226:$C$242)</f>
        <v>312.151770738523</v>
      </c>
    </row>
    <row r="248" customFormat="false" ht="15" hidden="false" customHeight="false" outlineLevel="0" collapsed="false">
      <c r="A248" s="4" t="s">
        <v>142</v>
      </c>
      <c r="D248" s="23" t="n">
        <f aca="false">SUMPRODUCT(($B$226:$B$242=$A248)*D$226:D$242*$C$226:$C$242)</f>
        <v>499.032688317204</v>
      </c>
      <c r="E248" s="23" t="n">
        <f aca="false">SUMPRODUCT(($B$226:$B$242=$A248)*E$226:E$242*$C$226:$C$242)</f>
        <v>499.032688317204</v>
      </c>
      <c r="F248" s="23" t="n">
        <f aca="false">SUMPRODUCT(($B$226:$B$242=$A248)*F$226:F$242*$C$226:$C$242)</f>
        <v>499.032688317204</v>
      </c>
      <c r="G248" s="23" t="n">
        <f aca="false">SUMPRODUCT(($B$226:$B$242=$A248)*G$226:G$242*$C$226:$C$242)</f>
        <v>499.032688317204</v>
      </c>
      <c r="H248" s="23" t="n">
        <f aca="false">SUMPRODUCT(($B$226:$B$242=$A248)*H$226:H$242*$C$226:$C$242)</f>
        <v>499.032688317204</v>
      </c>
      <c r="I248" s="23" t="n">
        <f aca="false">SUMPRODUCT(($B$226:$B$242=$A248)*I$226:I$242*$C$226:$C$242)</f>
        <v>499.032688317204</v>
      </c>
      <c r="J248" s="23" t="n">
        <f aca="false">SUMPRODUCT(($B$226:$B$242=$A248)*J$226:J$242*$C$226:$C$242)</f>
        <v>499.032688317204</v>
      </c>
      <c r="K248" s="23" t="n">
        <f aca="false">SUMPRODUCT(($B$226:$B$242=$A248)*K$226:K$242*$C$226:$C$242)</f>
        <v>499.032688317204</v>
      </c>
      <c r="L248" s="23" t="n">
        <f aca="false">SUMPRODUCT(($B$226:$B$242=$A248)*L$226:L$242*$C$226:$C$242)</f>
        <v>499.032688317204</v>
      </c>
      <c r="M248" s="23" t="n">
        <f aca="false">SUMPRODUCT(($B$226:$B$242=$A248)*M$226:M$242*$C$226:$C$242)</f>
        <v>499.032688317204</v>
      </c>
      <c r="N248" s="23" t="n">
        <f aca="false">SUMPRODUCT(($B$226:$B$242=$A248)*N$226:N$242*$C$226:$C$242)</f>
        <v>499.032688317204</v>
      </c>
      <c r="O248" s="23" t="n">
        <f aca="false">SUMPRODUCT(($B$226:$B$242=$A248)*O$226:O$242*$C$226:$C$242)</f>
        <v>499.032688317204</v>
      </c>
      <c r="P248" s="23" t="n">
        <f aca="false">SUMPRODUCT(($B$226:$B$242=$A248)*P$226:P$242*$C$226:$C$242)</f>
        <v>5988.39225980645</v>
      </c>
    </row>
    <row r="249" customFormat="false" ht="15" hidden="false" customHeight="false" outlineLevel="0" collapsed="false">
      <c r="A249" s="4" t="s">
        <v>143</v>
      </c>
      <c r="D249" s="23" t="n">
        <f aca="false">SUMPRODUCT(($B$226:$B$242=$A249)*D$226:D$242*$C$226:$C$242)</f>
        <v>238.883619647612</v>
      </c>
      <c r="E249" s="23" t="n">
        <f aca="false">SUMPRODUCT(($B$226:$B$242=$A249)*E$226:E$242*$C$226:$C$242)</f>
        <v>238.883619647612</v>
      </c>
      <c r="F249" s="23" t="n">
        <f aca="false">SUMPRODUCT(($B$226:$B$242=$A249)*F$226:F$242*$C$226:$C$242)</f>
        <v>238.883619647612</v>
      </c>
      <c r="G249" s="23" t="n">
        <f aca="false">SUMPRODUCT(($B$226:$B$242=$A249)*G$226:G$242*$C$226:$C$242)</f>
        <v>238.883619647612</v>
      </c>
      <c r="H249" s="23" t="n">
        <f aca="false">SUMPRODUCT(($B$226:$B$242=$A249)*H$226:H$242*$C$226:$C$242)</f>
        <v>238.883619647612</v>
      </c>
      <c r="I249" s="23" t="n">
        <f aca="false">SUMPRODUCT(($B$226:$B$242=$A249)*I$226:I$242*$C$226:$C$242)</f>
        <v>238.883619647612</v>
      </c>
      <c r="J249" s="23" t="n">
        <f aca="false">SUMPRODUCT(($B$226:$B$242=$A249)*J$226:J$242*$C$226:$C$242)</f>
        <v>238.883619647612</v>
      </c>
      <c r="K249" s="23" t="n">
        <f aca="false">SUMPRODUCT(($B$226:$B$242=$A249)*K$226:K$242*$C$226:$C$242)</f>
        <v>238.883619647612</v>
      </c>
      <c r="L249" s="23" t="n">
        <f aca="false">SUMPRODUCT(($B$226:$B$242=$A249)*L$226:L$242*$C$226:$C$242)</f>
        <v>238.883619647612</v>
      </c>
      <c r="M249" s="23" t="n">
        <f aca="false">SUMPRODUCT(($B$226:$B$242=$A249)*M$226:M$242*$C$226:$C$242)</f>
        <v>238.883619647612</v>
      </c>
      <c r="N249" s="23" t="n">
        <f aca="false">SUMPRODUCT(($B$226:$B$242=$A249)*N$226:N$242*$C$226:$C$242)</f>
        <v>238.883619647612</v>
      </c>
      <c r="O249" s="23" t="n">
        <f aca="false">SUMPRODUCT(($B$226:$B$242=$A249)*O$226:O$242*$C$226:$C$242)</f>
        <v>238.883619647612</v>
      </c>
      <c r="P249" s="23" t="n">
        <f aca="false">SUMPRODUCT(($B$226:$B$242=$A249)*P$226:P$242*$C$226:$C$242)</f>
        <v>2866.60343577135</v>
      </c>
    </row>
    <row r="250" customFormat="false" ht="15" hidden="false" customHeight="false" outlineLevel="0" collapsed="false">
      <c r="A250" s="4" t="s">
        <v>146</v>
      </c>
      <c r="D250" s="23" t="n">
        <f aca="false">SUMPRODUCT(($B$226:$B$242=$A250)*D$226:D$242*$C$226:$C$242)</f>
        <v>245.422812100315</v>
      </c>
      <c r="E250" s="23" t="n">
        <f aca="false">SUMPRODUCT(($B$226:$B$242=$A250)*E$226:E$242*$C$226:$C$242)</f>
        <v>245.422812100315</v>
      </c>
      <c r="F250" s="23" t="n">
        <f aca="false">SUMPRODUCT(($B$226:$B$242=$A250)*F$226:F$242*$C$226:$C$242)</f>
        <v>245.422812100315</v>
      </c>
      <c r="G250" s="23" t="n">
        <f aca="false">SUMPRODUCT(($B$226:$B$242=$A250)*G$226:G$242*$C$226:$C$242)</f>
        <v>245.422812100315</v>
      </c>
      <c r="H250" s="23" t="n">
        <f aca="false">SUMPRODUCT(($B$226:$B$242=$A250)*H$226:H$242*$C$226:$C$242)</f>
        <v>245.422812100315</v>
      </c>
      <c r="I250" s="23" t="n">
        <f aca="false">SUMPRODUCT(($B$226:$B$242=$A250)*I$226:I$242*$C$226:$C$242)</f>
        <v>245.422812100315</v>
      </c>
      <c r="J250" s="23" t="n">
        <f aca="false">SUMPRODUCT(($B$226:$B$242=$A250)*J$226:J$242*$C$226:$C$242)</f>
        <v>245.422812100315</v>
      </c>
      <c r="K250" s="23" t="n">
        <f aca="false">SUMPRODUCT(($B$226:$B$242=$A250)*K$226:K$242*$C$226:$C$242)</f>
        <v>245.422812100315</v>
      </c>
      <c r="L250" s="23" t="n">
        <f aca="false">SUMPRODUCT(($B$226:$B$242=$A250)*L$226:L$242*$C$226:$C$242)</f>
        <v>245.422812100315</v>
      </c>
      <c r="M250" s="23" t="n">
        <f aca="false">SUMPRODUCT(($B$226:$B$242=$A250)*M$226:M$242*$C$226:$C$242)</f>
        <v>245.422812100315</v>
      </c>
      <c r="N250" s="23" t="n">
        <f aca="false">SUMPRODUCT(($B$226:$B$242=$A250)*N$226:N$242*$C$226:$C$242)</f>
        <v>245.422812100315</v>
      </c>
      <c r="O250" s="23" t="n">
        <f aca="false">SUMPRODUCT(($B$226:$B$242=$A250)*O$226:O$242*$C$226:$C$242)</f>
        <v>245.422812100315</v>
      </c>
      <c r="P250" s="23" t="n">
        <f aca="false">SUMPRODUCT(($B$226:$B$242=$A250)*P$226:P$242*$C$226:$C$242)</f>
        <v>2945.07374520378</v>
      </c>
    </row>
    <row r="251" customFormat="false" ht="15" hidden="false" customHeight="false" outlineLevel="0" collapsed="false">
      <c r="A251" s="4" t="s">
        <v>147</v>
      </c>
      <c r="D251" s="23" t="n">
        <f aca="false">SUMPRODUCT(($B$226:$B$242=$A251)*D$226:D$242*$C$226:$C$242)</f>
        <v>1800.12260216704</v>
      </c>
      <c r="E251" s="23" t="n">
        <f aca="false">SUMPRODUCT(($B$226:$B$242=$A251)*E$226:E$242*$C$226:$C$242)</f>
        <v>1800.12260216704</v>
      </c>
      <c r="F251" s="23" t="n">
        <f aca="false">SUMPRODUCT(($B$226:$B$242=$A251)*F$226:F$242*$C$226:$C$242)</f>
        <v>1800.12260216704</v>
      </c>
      <c r="G251" s="23" t="n">
        <f aca="false">SUMPRODUCT(($B$226:$B$242=$A251)*G$226:G$242*$C$226:$C$242)</f>
        <v>1800.12260216704</v>
      </c>
      <c r="H251" s="23" t="n">
        <f aca="false">SUMPRODUCT(($B$226:$B$242=$A251)*H$226:H$242*$C$226:$C$242)</f>
        <v>1800.12260216704</v>
      </c>
      <c r="I251" s="23" t="n">
        <f aca="false">SUMPRODUCT(($B$226:$B$242=$A251)*I$226:I$242*$C$226:$C$242)</f>
        <v>1800.12260216704</v>
      </c>
      <c r="J251" s="23" t="n">
        <f aca="false">SUMPRODUCT(($B$226:$B$242=$A251)*J$226:J$242*$C$226:$C$242)</f>
        <v>1800.12260216704</v>
      </c>
      <c r="K251" s="23" t="n">
        <f aca="false">SUMPRODUCT(($B$226:$B$242=$A251)*K$226:K$242*$C$226:$C$242)</f>
        <v>1800.12260216704</v>
      </c>
      <c r="L251" s="23" t="n">
        <f aca="false">SUMPRODUCT(($B$226:$B$242=$A251)*L$226:L$242*$C$226:$C$242)</f>
        <v>1800.12260216704</v>
      </c>
      <c r="M251" s="23" t="n">
        <f aca="false">SUMPRODUCT(($B$226:$B$242=$A251)*M$226:M$242*$C$226:$C$242)</f>
        <v>1800.12260216704</v>
      </c>
      <c r="N251" s="23" t="n">
        <f aca="false">SUMPRODUCT(($B$226:$B$242=$A251)*N$226:N$242*$C$226:$C$242)</f>
        <v>1800.12260216704</v>
      </c>
      <c r="O251" s="23" t="n">
        <f aca="false">SUMPRODUCT(($B$226:$B$242=$A251)*O$226:O$242*$C$226:$C$242)</f>
        <v>1800.12260216704</v>
      </c>
      <c r="P251" s="23" t="n">
        <f aca="false">SUMPRODUCT(($B$226:$B$242=$A251)*P$226:P$242*$C$226:$C$242)</f>
        <v>21601.4712260045</v>
      </c>
    </row>
    <row r="252" customFormat="false" ht="15" hidden="false" customHeight="false" outlineLevel="0" collapsed="false">
      <c r="A252" s="4" t="s">
        <v>150</v>
      </c>
      <c r="D252" s="23" t="n">
        <f aca="false">SUMPRODUCT(($B$226:$B$242=$A252)*D$226:D$242*$C$226:$C$242)</f>
        <v>73.4314580206495</v>
      </c>
      <c r="E252" s="23" t="n">
        <f aca="false">SUMPRODUCT(($B$226:$B$242=$A252)*E$226:E$242*$C$226:$C$242)</f>
        <v>73.4314580206495</v>
      </c>
      <c r="F252" s="23" t="n">
        <f aca="false">SUMPRODUCT(($B$226:$B$242=$A252)*F$226:F$242*$C$226:$C$242)</f>
        <v>73.4314580206495</v>
      </c>
      <c r="G252" s="23" t="n">
        <f aca="false">SUMPRODUCT(($B$226:$B$242=$A252)*G$226:G$242*$C$226:$C$242)</f>
        <v>73.4314580206495</v>
      </c>
      <c r="H252" s="23" t="n">
        <f aca="false">SUMPRODUCT(($B$226:$B$242=$A252)*H$226:H$242*$C$226:$C$242)</f>
        <v>73.4314580206495</v>
      </c>
      <c r="I252" s="23" t="n">
        <f aca="false">SUMPRODUCT(($B$226:$B$242=$A252)*I$226:I$242*$C$226:$C$242)</f>
        <v>73.4314580206495</v>
      </c>
      <c r="J252" s="23" t="n">
        <f aca="false">SUMPRODUCT(($B$226:$B$242=$A252)*J$226:J$242*$C$226:$C$242)</f>
        <v>73.4314580206495</v>
      </c>
      <c r="K252" s="23" t="n">
        <f aca="false">SUMPRODUCT(($B$226:$B$242=$A252)*K$226:K$242*$C$226:$C$242)</f>
        <v>73.4314580206495</v>
      </c>
      <c r="L252" s="23" t="n">
        <f aca="false">SUMPRODUCT(($B$226:$B$242=$A252)*L$226:L$242*$C$226:$C$242)</f>
        <v>73.4314580206495</v>
      </c>
      <c r="M252" s="23" t="n">
        <f aca="false">SUMPRODUCT(($B$226:$B$242=$A252)*M$226:M$242*$C$226:$C$242)</f>
        <v>73.4314580206495</v>
      </c>
      <c r="N252" s="23" t="n">
        <f aca="false">SUMPRODUCT(($B$226:$B$242=$A252)*N$226:N$242*$C$226:$C$242)</f>
        <v>73.4314580206495</v>
      </c>
      <c r="O252" s="23" t="n">
        <f aca="false">SUMPRODUCT(($B$226:$B$242=$A252)*O$226:O$242*$C$226:$C$242)</f>
        <v>73.4314580206495</v>
      </c>
      <c r="P252" s="23" t="n">
        <f aca="false">SUMPRODUCT(($B$226:$B$242=$A252)*P$226:P$242*$C$226:$C$242)</f>
        <v>881.177496247794</v>
      </c>
    </row>
    <row r="253" customFormat="false" ht="15" hidden="false" customHeight="false" outlineLevel="0" collapsed="false">
      <c r="A253" s="6" t="s">
        <v>271</v>
      </c>
      <c r="D253" s="24" t="n">
        <f aca="false">SUMPRODUCT(D$226:D$242*parametros_recargas!$D$51:$D$67)</f>
        <v>936.734293893292</v>
      </c>
      <c r="E253" s="24" t="n">
        <f aca="false">SUMPRODUCT(E$226:E$242*parametros_recargas!$D$51:$D$67)</f>
        <v>936.734293893292</v>
      </c>
      <c r="F253" s="24" t="n">
        <f aca="false">SUMPRODUCT(F$226:F$242*parametros_recargas!$D$51:$D$67)</f>
        <v>936.734293893292</v>
      </c>
      <c r="G253" s="24" t="n">
        <f aca="false">SUMPRODUCT(G$226:G$242*parametros_recargas!$D$51:$D$67)</f>
        <v>936.734293893292</v>
      </c>
      <c r="H253" s="24" t="n">
        <f aca="false">SUMPRODUCT(H$226:H$242*parametros_recargas!$D$51:$D$67)</f>
        <v>936.734293893292</v>
      </c>
      <c r="I253" s="24" t="n">
        <f aca="false">SUMPRODUCT(I$226:I$242*parametros_recargas!$D$51:$D$67)</f>
        <v>936.734293893292</v>
      </c>
      <c r="J253" s="24" t="n">
        <f aca="false">SUMPRODUCT(J$226:J$242*parametros_recargas!$D$51:$D$67)</f>
        <v>936.734293893292</v>
      </c>
      <c r="K253" s="24" t="n">
        <f aca="false">SUMPRODUCT(K$226:K$242*parametros_recargas!$D$51:$D$67)</f>
        <v>936.734293893292</v>
      </c>
      <c r="L253" s="24" t="n">
        <f aca="false">SUMPRODUCT(L$226:L$242*parametros_recargas!$D$51:$D$67)</f>
        <v>936.734293893292</v>
      </c>
      <c r="M253" s="24" t="n">
        <f aca="false">SUMPRODUCT(M$226:M$242*parametros_recargas!$D$51:$D$67)</f>
        <v>936.734293893292</v>
      </c>
      <c r="N253" s="24" t="n">
        <f aca="false">SUMPRODUCT(N$226:N$242*parametros_recargas!$D$51:$D$67)</f>
        <v>936.734293893292</v>
      </c>
      <c r="O253" s="24" t="n">
        <f aca="false">SUMPRODUCT(O$226:O$242*parametros_recargas!$D$51:$D$67)</f>
        <v>936.734293893292</v>
      </c>
      <c r="P253" s="24" t="n">
        <f aca="false">SUMPRODUCT(P$226:P$242*parametros_recargas!$D$51:$D$67)</f>
        <v>11240.8115267195</v>
      </c>
    </row>
    <row r="257" customFormat="false" ht="23.85" hidden="false" customHeight="false" outlineLevel="0" collapsed="false">
      <c r="A257" s="21" t="n">
        <v>2034</v>
      </c>
      <c r="B257" s="3" t="s">
        <v>266</v>
      </c>
      <c r="C257" s="3" t="s">
        <v>267</v>
      </c>
      <c r="D257" s="3" t="s">
        <v>120</v>
      </c>
      <c r="E257" s="3" t="s">
        <v>121</v>
      </c>
      <c r="F257" s="3" t="s">
        <v>122</v>
      </c>
      <c r="G257" s="3" t="s">
        <v>123</v>
      </c>
      <c r="H257" s="3" t="s">
        <v>124</v>
      </c>
      <c r="I257" s="3" t="s">
        <v>125</v>
      </c>
      <c r="J257" s="3" t="s">
        <v>126</v>
      </c>
      <c r="K257" s="3" t="s">
        <v>127</v>
      </c>
      <c r="L257" s="3" t="s">
        <v>128</v>
      </c>
      <c r="M257" s="3" t="s">
        <v>129</v>
      </c>
      <c r="N257" s="3" t="s">
        <v>130</v>
      </c>
      <c r="O257" s="3" t="s">
        <v>131</v>
      </c>
      <c r="P257" s="3" t="s">
        <v>132</v>
      </c>
      <c r="Q257" s="3" t="s">
        <v>268</v>
      </c>
    </row>
    <row r="258" customFormat="false" ht="15" hidden="false" customHeight="false" outlineLevel="0" collapsed="false">
      <c r="A258" s="12" t="str">
        <f aca="false">parametros_recargas!A51</f>
        <v>ABC 1 kg</v>
      </c>
      <c r="B258" s="12" t="str">
        <f aca="false">parametros_recargas!B51</f>
        <v>ABC</v>
      </c>
      <c r="C258" s="22" t="n">
        <f aca="false">parametros_recargas!C51</f>
        <v>1</v>
      </c>
      <c r="D258" s="23" t="n">
        <f aca="false">datos_base!$J$2*parametros_recargas!$B$45+sobrestock_sustitutos!$J$175/12</f>
        <v>10895.3532620395</v>
      </c>
      <c r="E258" s="23" t="n">
        <f aca="false">datos_base!$J$2*parametros_recargas!$C$45+sobrestock_sustitutos!$J$175/12</f>
        <v>10895.3532620395</v>
      </c>
      <c r="F258" s="23" t="n">
        <f aca="false">datos_base!$J$2*parametros_recargas!$D$45+sobrestock_sustitutos!$J$175/12</f>
        <v>10895.3532620395</v>
      </c>
      <c r="G258" s="23" t="n">
        <f aca="false">datos_base!$J$2*parametros_recargas!$E$45+sobrestock_sustitutos!$J$175/12</f>
        <v>10895.3532620395</v>
      </c>
      <c r="H258" s="23" t="n">
        <f aca="false">datos_base!$J$2*parametros_recargas!$F$45+sobrestock_sustitutos!$J$175/12</f>
        <v>10895.3532620395</v>
      </c>
      <c r="I258" s="23" t="n">
        <f aca="false">datos_base!$J$2*parametros_recargas!$G$45+sobrestock_sustitutos!$J$175/12</f>
        <v>10895.3532620395</v>
      </c>
      <c r="J258" s="23" t="n">
        <f aca="false">datos_base!$J$2*parametros_recargas!$H$45+sobrestock_sustitutos!$J$175/12</f>
        <v>10895.3532620395</v>
      </c>
      <c r="K258" s="23" t="n">
        <f aca="false">datos_base!$J$2*parametros_recargas!$I$45+sobrestock_sustitutos!$J$175/12</f>
        <v>10895.3532620395</v>
      </c>
      <c r="L258" s="23" t="n">
        <f aca="false">datos_base!$J$2*parametros_recargas!$J$45+sobrestock_sustitutos!$J$175/12</f>
        <v>10895.3532620395</v>
      </c>
      <c r="M258" s="23" t="n">
        <f aca="false">datos_base!$J$2*parametros_recargas!$K$45+sobrestock_sustitutos!$J$175/12</f>
        <v>10895.3532620395</v>
      </c>
      <c r="N258" s="23" t="n">
        <f aca="false">datos_base!$J$2*parametros_recargas!$L$45+sobrestock_sustitutos!$J$175/12</f>
        <v>10895.3532620395</v>
      </c>
      <c r="O258" s="23" t="n">
        <f aca="false">datos_base!$J$2*parametros_recargas!$M$45+sobrestock_sustitutos!$J$175/12</f>
        <v>10895.3532620395</v>
      </c>
      <c r="P258" s="7" t="n">
        <f aca="false">SUM(D258:O258)</f>
        <v>130744.239144474</v>
      </c>
      <c r="Q258" s="13" t="n">
        <f aca="false">sobrestock_sustitutos!$J$175</f>
        <v>0</v>
      </c>
    </row>
    <row r="259" customFormat="false" ht="15" hidden="false" customHeight="false" outlineLevel="0" collapsed="false">
      <c r="A259" s="12" t="str">
        <f aca="false">parametros_recargas!A52</f>
        <v>ABC 2,5 kg</v>
      </c>
      <c r="B259" s="12" t="str">
        <f aca="false">parametros_recargas!B52</f>
        <v>ABC</v>
      </c>
      <c r="C259" s="22" t="n">
        <f aca="false">parametros_recargas!C52</f>
        <v>1</v>
      </c>
      <c r="D259" s="23" t="n">
        <f aca="false">datos_base!$J$3*parametros_recargas!$B$45+sobrestock_sustitutos!$J$176/12</f>
        <v>915.379446568428</v>
      </c>
      <c r="E259" s="23" t="n">
        <f aca="false">datos_base!$J$3*parametros_recargas!$C$45+sobrestock_sustitutos!$J$176/12</f>
        <v>915.379446568428</v>
      </c>
      <c r="F259" s="23" t="n">
        <f aca="false">datos_base!$J$3*parametros_recargas!$D$45+sobrestock_sustitutos!$J$176/12</f>
        <v>915.379446568428</v>
      </c>
      <c r="G259" s="23" t="n">
        <f aca="false">datos_base!$J$3*parametros_recargas!$E$45+sobrestock_sustitutos!$J$176/12</f>
        <v>915.379446568428</v>
      </c>
      <c r="H259" s="23" t="n">
        <f aca="false">datos_base!$J$3*parametros_recargas!$F$45+sobrestock_sustitutos!$J$176/12</f>
        <v>915.379446568428</v>
      </c>
      <c r="I259" s="23" t="n">
        <f aca="false">datos_base!$J$3*parametros_recargas!$G$45+sobrestock_sustitutos!$J$176/12</f>
        <v>915.379446568428</v>
      </c>
      <c r="J259" s="23" t="n">
        <f aca="false">datos_base!$J$3*parametros_recargas!$H$45+sobrestock_sustitutos!$J$176/12</f>
        <v>915.379446568428</v>
      </c>
      <c r="K259" s="23" t="n">
        <f aca="false">datos_base!$J$3*parametros_recargas!$I$45+sobrestock_sustitutos!$J$176/12</f>
        <v>915.379446568428</v>
      </c>
      <c r="L259" s="23" t="n">
        <f aca="false">datos_base!$J$3*parametros_recargas!$J$45+sobrestock_sustitutos!$J$176/12</f>
        <v>915.379446568428</v>
      </c>
      <c r="M259" s="23" t="n">
        <f aca="false">datos_base!$J$3*parametros_recargas!$K$45+sobrestock_sustitutos!$J$176/12</f>
        <v>915.379446568428</v>
      </c>
      <c r="N259" s="23" t="n">
        <f aca="false">datos_base!$J$3*parametros_recargas!$L$45+sobrestock_sustitutos!$J$176/12</f>
        <v>915.379446568428</v>
      </c>
      <c r="O259" s="23" t="n">
        <f aca="false">datos_base!$J$3*parametros_recargas!$M$45+sobrestock_sustitutos!$J$176/12</f>
        <v>915.379446568428</v>
      </c>
      <c r="P259" s="7" t="n">
        <f aca="false">SUM(D259:O259)</f>
        <v>10984.5533588211</v>
      </c>
      <c r="Q259" s="13" t="n">
        <f aca="false">sobrestock_sustitutos!$J$176</f>
        <v>0</v>
      </c>
    </row>
    <row r="260" customFormat="false" ht="15" hidden="false" customHeight="false" outlineLevel="0" collapsed="false">
      <c r="A260" s="12" t="str">
        <f aca="false">parametros_recargas!A53</f>
        <v>ABC 5 kg</v>
      </c>
      <c r="B260" s="12" t="str">
        <f aca="false">parametros_recargas!B53</f>
        <v>ABC</v>
      </c>
      <c r="C260" s="22" t="n">
        <f aca="false">parametros_recargas!C53</f>
        <v>1</v>
      </c>
      <c r="D260" s="23" t="n">
        <f aca="false">datos_base!$J$4*parametros_recargas!$B$45+sobrestock_sustitutos!$J$177/12</f>
        <v>7170.37960782914</v>
      </c>
      <c r="E260" s="23" t="n">
        <f aca="false">datos_base!$J$4*parametros_recargas!$C$45+sobrestock_sustitutos!$J$177/12</f>
        <v>7170.37960782914</v>
      </c>
      <c r="F260" s="23" t="n">
        <f aca="false">datos_base!$J$4*parametros_recargas!$D$45+sobrestock_sustitutos!$J$177/12</f>
        <v>7170.37960782914</v>
      </c>
      <c r="G260" s="23" t="n">
        <f aca="false">datos_base!$J$4*parametros_recargas!$E$45+sobrestock_sustitutos!$J$177/12</f>
        <v>7170.37960782914</v>
      </c>
      <c r="H260" s="23" t="n">
        <f aca="false">datos_base!$J$4*parametros_recargas!$F$45+sobrestock_sustitutos!$J$177/12</f>
        <v>7170.37960782914</v>
      </c>
      <c r="I260" s="23" t="n">
        <f aca="false">datos_base!$J$4*parametros_recargas!$G$45+sobrestock_sustitutos!$J$177/12</f>
        <v>7170.37960782914</v>
      </c>
      <c r="J260" s="23" t="n">
        <f aca="false">datos_base!$J$4*parametros_recargas!$H$45+sobrestock_sustitutos!$J$177/12</f>
        <v>7170.37960782914</v>
      </c>
      <c r="K260" s="23" t="n">
        <f aca="false">datos_base!$J$4*parametros_recargas!$I$45+sobrestock_sustitutos!$J$177/12</f>
        <v>7170.37960782914</v>
      </c>
      <c r="L260" s="23" t="n">
        <f aca="false">datos_base!$J$4*parametros_recargas!$J$45+sobrestock_sustitutos!$J$177/12</f>
        <v>7170.37960782914</v>
      </c>
      <c r="M260" s="23" t="n">
        <f aca="false">datos_base!$J$4*parametros_recargas!$K$45+sobrestock_sustitutos!$J$177/12</f>
        <v>7170.37960782914</v>
      </c>
      <c r="N260" s="23" t="n">
        <f aca="false">datos_base!$J$4*parametros_recargas!$L$45+sobrestock_sustitutos!$J$177/12</f>
        <v>7170.37960782914</v>
      </c>
      <c r="O260" s="23" t="n">
        <f aca="false">datos_base!$J$4*parametros_recargas!$M$45+sobrestock_sustitutos!$J$177/12</f>
        <v>7170.37960782914</v>
      </c>
      <c r="P260" s="7" t="n">
        <f aca="false">SUM(D260:O260)</f>
        <v>86044.5552939497</v>
      </c>
      <c r="Q260" s="13" t="n">
        <f aca="false">sobrestock_sustitutos!$J$177</f>
        <v>19065</v>
      </c>
    </row>
    <row r="261" customFormat="false" ht="15" hidden="false" customHeight="false" outlineLevel="0" collapsed="false">
      <c r="A261" s="12" t="str">
        <f aca="false">parametros_recargas!A54</f>
        <v>ABC 10 kg</v>
      </c>
      <c r="B261" s="12" t="str">
        <f aca="false">parametros_recargas!B54</f>
        <v>ABC</v>
      </c>
      <c r="C261" s="22" t="n">
        <f aca="false">parametros_recargas!C54</f>
        <v>1</v>
      </c>
      <c r="D261" s="23" t="n">
        <f aca="false">datos_base!$J$5*parametros_recargas!$B$45+sobrestock_sustitutos!$J$178/12</f>
        <v>411.385155008482</v>
      </c>
      <c r="E261" s="23" t="n">
        <f aca="false">datos_base!$J$5*parametros_recargas!$C$45+sobrestock_sustitutos!$J$178/12</f>
        <v>411.385155008482</v>
      </c>
      <c r="F261" s="23" t="n">
        <f aca="false">datos_base!$J$5*parametros_recargas!$D$45+sobrestock_sustitutos!$J$178/12</f>
        <v>411.385155008482</v>
      </c>
      <c r="G261" s="23" t="n">
        <f aca="false">datos_base!$J$5*parametros_recargas!$E$45+sobrestock_sustitutos!$J$178/12</f>
        <v>411.385155008482</v>
      </c>
      <c r="H261" s="23" t="n">
        <f aca="false">datos_base!$J$5*parametros_recargas!$F$45+sobrestock_sustitutos!$J$178/12</f>
        <v>411.385155008482</v>
      </c>
      <c r="I261" s="23" t="n">
        <f aca="false">datos_base!$J$5*parametros_recargas!$G$45+sobrestock_sustitutos!$J$178/12</f>
        <v>411.385155008482</v>
      </c>
      <c r="J261" s="23" t="n">
        <f aca="false">datos_base!$J$5*parametros_recargas!$H$45+sobrestock_sustitutos!$J$178/12</f>
        <v>411.385155008482</v>
      </c>
      <c r="K261" s="23" t="n">
        <f aca="false">datos_base!$J$5*parametros_recargas!$I$45+sobrestock_sustitutos!$J$178/12</f>
        <v>411.385155008482</v>
      </c>
      <c r="L261" s="23" t="n">
        <f aca="false">datos_base!$J$5*parametros_recargas!$J$45+sobrestock_sustitutos!$J$178/12</f>
        <v>411.385155008482</v>
      </c>
      <c r="M261" s="23" t="n">
        <f aca="false">datos_base!$J$5*parametros_recargas!$K$45+sobrestock_sustitutos!$J$178/12</f>
        <v>411.385155008482</v>
      </c>
      <c r="N261" s="23" t="n">
        <f aca="false">datos_base!$J$5*parametros_recargas!$L$45+sobrestock_sustitutos!$J$178/12</f>
        <v>411.385155008482</v>
      </c>
      <c r="O261" s="23" t="n">
        <f aca="false">datos_base!$J$5*parametros_recargas!$M$45+sobrestock_sustitutos!$J$178/12</f>
        <v>411.385155008482</v>
      </c>
      <c r="P261" s="7" t="n">
        <f aca="false">SUM(D261:O261)</f>
        <v>4936.62186010178</v>
      </c>
      <c r="Q261" s="13" t="n">
        <f aca="false">sobrestock_sustitutos!$J$178</f>
        <v>971</v>
      </c>
    </row>
    <row r="262" customFormat="false" ht="15" hidden="false" customHeight="false" outlineLevel="0" collapsed="false">
      <c r="A262" s="12" t="str">
        <f aca="false">parametros_recargas!A55</f>
        <v>Agua 10 l</v>
      </c>
      <c r="B262" s="12" t="str">
        <f aca="false">parametros_recargas!B55</f>
        <v>Agua</v>
      </c>
      <c r="C262" s="22" t="n">
        <f aca="false">parametros_recargas!C55</f>
        <v>1</v>
      </c>
      <c r="D262" s="23" t="n">
        <f aca="false">datos_base!$J$6*parametros_recargas!$B$45+sobrestock_sustitutos!$J$179/12</f>
        <v>559.934701150066</v>
      </c>
      <c r="E262" s="23" t="n">
        <f aca="false">datos_base!$J$6*parametros_recargas!$C$45+sobrestock_sustitutos!$J$179/12</f>
        <v>559.934701150066</v>
      </c>
      <c r="F262" s="23" t="n">
        <f aca="false">datos_base!$J$6*parametros_recargas!$D$45+sobrestock_sustitutos!$J$179/12</f>
        <v>559.934701150066</v>
      </c>
      <c r="G262" s="23" t="n">
        <f aca="false">datos_base!$J$6*parametros_recargas!$E$45+sobrestock_sustitutos!$J$179/12</f>
        <v>559.934701150066</v>
      </c>
      <c r="H262" s="23" t="n">
        <f aca="false">datos_base!$J$6*parametros_recargas!$F$45+sobrestock_sustitutos!$J$179/12</f>
        <v>559.934701150066</v>
      </c>
      <c r="I262" s="23" t="n">
        <f aca="false">datos_base!$J$6*parametros_recargas!$G$45+sobrestock_sustitutos!$J$179/12</f>
        <v>559.934701150066</v>
      </c>
      <c r="J262" s="23" t="n">
        <f aca="false">datos_base!$J$6*parametros_recargas!$H$45+sobrestock_sustitutos!$J$179/12</f>
        <v>559.934701150066</v>
      </c>
      <c r="K262" s="23" t="n">
        <f aca="false">datos_base!$J$6*parametros_recargas!$I$45+sobrestock_sustitutos!$J$179/12</f>
        <v>559.934701150066</v>
      </c>
      <c r="L262" s="23" t="n">
        <f aca="false">datos_base!$J$6*parametros_recargas!$J$45+sobrestock_sustitutos!$J$179/12</f>
        <v>559.934701150066</v>
      </c>
      <c r="M262" s="23" t="n">
        <f aca="false">datos_base!$J$6*parametros_recargas!$K$45+sobrestock_sustitutos!$J$179/12</f>
        <v>559.934701150066</v>
      </c>
      <c r="N262" s="23" t="n">
        <f aca="false">datos_base!$J$6*parametros_recargas!$L$45+sobrestock_sustitutos!$J$179/12</f>
        <v>559.934701150066</v>
      </c>
      <c r="O262" s="23" t="n">
        <f aca="false">datos_base!$J$6*parametros_recargas!$M$45+sobrestock_sustitutos!$J$179/12</f>
        <v>559.934701150066</v>
      </c>
      <c r="P262" s="7" t="n">
        <f aca="false">SUM(D262:O262)</f>
        <v>6719.21641380079</v>
      </c>
      <c r="Q262" s="13" t="n">
        <f aca="false">sobrestock_sustitutos!$J$179</f>
        <v>1128</v>
      </c>
    </row>
    <row r="263" customFormat="false" ht="15" hidden="false" customHeight="false" outlineLevel="0" collapsed="false">
      <c r="A263" s="12" t="str">
        <f aca="false">parametros_recargas!A56</f>
        <v>AFFF 10 l</v>
      </c>
      <c r="B263" s="12" t="str">
        <f aca="false">parametros_recargas!B56</f>
        <v>AFFF</v>
      </c>
      <c r="C263" s="22" t="n">
        <f aca="false">parametros_recargas!C56</f>
        <v>1</v>
      </c>
      <c r="D263" s="23" t="n">
        <f aca="false">datos_base!$J$7*parametros_recargas!$B$45+sobrestock_sustitutos!$J$180/12</f>
        <v>105.138778311695</v>
      </c>
      <c r="E263" s="23" t="n">
        <f aca="false">datos_base!$J$7*parametros_recargas!$C$45+sobrestock_sustitutos!$J$180/12</f>
        <v>105.138778311695</v>
      </c>
      <c r="F263" s="23" t="n">
        <f aca="false">datos_base!$J$7*parametros_recargas!$D$45+sobrestock_sustitutos!$J$180/12</f>
        <v>105.138778311695</v>
      </c>
      <c r="G263" s="23" t="n">
        <f aca="false">datos_base!$J$7*parametros_recargas!$E$45+sobrestock_sustitutos!$J$180/12</f>
        <v>105.138778311695</v>
      </c>
      <c r="H263" s="23" t="n">
        <f aca="false">datos_base!$J$7*parametros_recargas!$F$45+sobrestock_sustitutos!$J$180/12</f>
        <v>105.138778311695</v>
      </c>
      <c r="I263" s="23" t="n">
        <f aca="false">datos_base!$J$7*parametros_recargas!$G$45+sobrestock_sustitutos!$J$180/12</f>
        <v>105.138778311695</v>
      </c>
      <c r="J263" s="23" t="n">
        <f aca="false">datos_base!$J$7*parametros_recargas!$H$45+sobrestock_sustitutos!$J$180/12</f>
        <v>105.138778311695</v>
      </c>
      <c r="K263" s="23" t="n">
        <f aca="false">datos_base!$J$7*parametros_recargas!$I$45+sobrestock_sustitutos!$J$180/12</f>
        <v>105.138778311695</v>
      </c>
      <c r="L263" s="23" t="n">
        <f aca="false">datos_base!$J$7*parametros_recargas!$J$45+sobrestock_sustitutos!$J$180/12</f>
        <v>105.138778311695</v>
      </c>
      <c r="M263" s="23" t="n">
        <f aca="false">datos_base!$J$7*parametros_recargas!$K$45+sobrestock_sustitutos!$J$180/12</f>
        <v>105.138778311695</v>
      </c>
      <c r="N263" s="23" t="n">
        <f aca="false">datos_base!$J$7*parametros_recargas!$L$45+sobrestock_sustitutos!$J$180/12</f>
        <v>105.138778311695</v>
      </c>
      <c r="O263" s="23" t="n">
        <f aca="false">datos_base!$J$7*parametros_recargas!$M$45+sobrestock_sustitutos!$J$180/12</f>
        <v>105.138778311695</v>
      </c>
      <c r="P263" s="7" t="n">
        <f aca="false">SUM(D263:O263)</f>
        <v>1261.66533974034</v>
      </c>
      <c r="Q263" s="13" t="n">
        <f aca="false">sobrestock_sustitutos!$J$180</f>
        <v>210</v>
      </c>
    </row>
    <row r="264" customFormat="false" ht="15" hidden="false" customHeight="false" outlineLevel="0" collapsed="false">
      <c r="A264" s="12" t="str">
        <f aca="false">parametros_recargas!A57</f>
        <v>AFFF 50 l s/ruedas</v>
      </c>
      <c r="B264" s="12" t="str">
        <f aca="false">parametros_recargas!B57</f>
        <v>AFFF</v>
      </c>
      <c r="C264" s="22" t="n">
        <f aca="false">parametros_recargas!C57</f>
        <v>3</v>
      </c>
      <c r="D264" s="23" t="n">
        <f aca="false">datos_base!$J$8*parametros_recargas!$B$45+sobrestock_sustitutos!$J$181/12</f>
        <v>55.1238084776774</v>
      </c>
      <c r="E264" s="23" t="n">
        <f aca="false">datos_base!$J$8*parametros_recargas!$C$45+sobrestock_sustitutos!$J$181/12</f>
        <v>55.1238084776774</v>
      </c>
      <c r="F264" s="23" t="n">
        <f aca="false">datos_base!$J$8*parametros_recargas!$D$45+sobrestock_sustitutos!$J$181/12</f>
        <v>55.1238084776774</v>
      </c>
      <c r="G264" s="23" t="n">
        <f aca="false">datos_base!$J$8*parametros_recargas!$E$45+sobrestock_sustitutos!$J$181/12</f>
        <v>55.1238084776774</v>
      </c>
      <c r="H264" s="23" t="n">
        <f aca="false">datos_base!$J$8*parametros_recargas!$F$45+sobrestock_sustitutos!$J$181/12</f>
        <v>55.1238084776774</v>
      </c>
      <c r="I264" s="23" t="n">
        <f aca="false">datos_base!$J$8*parametros_recargas!$G$45+sobrestock_sustitutos!$J$181/12</f>
        <v>55.1238084776774</v>
      </c>
      <c r="J264" s="23" t="n">
        <f aca="false">datos_base!$J$8*parametros_recargas!$H$45+sobrestock_sustitutos!$J$181/12</f>
        <v>55.1238084776774</v>
      </c>
      <c r="K264" s="23" t="n">
        <f aca="false">datos_base!$J$8*parametros_recargas!$I$45+sobrestock_sustitutos!$J$181/12</f>
        <v>55.1238084776774</v>
      </c>
      <c r="L264" s="23" t="n">
        <f aca="false">datos_base!$J$8*parametros_recargas!$J$45+sobrestock_sustitutos!$J$181/12</f>
        <v>55.1238084776774</v>
      </c>
      <c r="M264" s="23" t="n">
        <f aca="false">datos_base!$J$8*parametros_recargas!$K$45+sobrestock_sustitutos!$J$181/12</f>
        <v>55.1238084776774</v>
      </c>
      <c r="N264" s="23" t="n">
        <f aca="false">datos_base!$J$8*parametros_recargas!$L$45+sobrestock_sustitutos!$J$181/12</f>
        <v>55.1238084776774</v>
      </c>
      <c r="O264" s="23" t="n">
        <f aca="false">datos_base!$J$8*parametros_recargas!$M$45+sobrestock_sustitutos!$J$181/12</f>
        <v>55.1238084776774</v>
      </c>
      <c r="P264" s="7" t="n">
        <f aca="false">SUM(D264:O264)</f>
        <v>661.485701732128</v>
      </c>
      <c r="Q264" s="13" t="n">
        <f aca="false">sobrestock_sustitutos!$J$181</f>
        <v>111</v>
      </c>
    </row>
    <row r="265" customFormat="false" ht="15" hidden="false" customHeight="false" outlineLevel="0" collapsed="false">
      <c r="A265" s="12" t="str">
        <f aca="false">parametros_recargas!A58</f>
        <v>BC 5 kg</v>
      </c>
      <c r="B265" s="12" t="str">
        <f aca="false">parametros_recargas!B58</f>
        <v>BC</v>
      </c>
      <c r="C265" s="22" t="n">
        <f aca="false">parametros_recargas!C58</f>
        <v>1</v>
      </c>
      <c r="D265" s="23" t="n">
        <f aca="false">datos_base!$J$9*parametros_recargas!$B$45+sobrestock_sustitutos!$J$182/12</f>
        <v>32.8576095168221</v>
      </c>
      <c r="E265" s="23" t="n">
        <f aca="false">datos_base!$J$9*parametros_recargas!$C$45+sobrestock_sustitutos!$J$182/12</f>
        <v>32.8576095168221</v>
      </c>
      <c r="F265" s="23" t="n">
        <f aca="false">datos_base!$J$9*parametros_recargas!$D$45+sobrestock_sustitutos!$J$182/12</f>
        <v>32.8576095168221</v>
      </c>
      <c r="G265" s="23" t="n">
        <f aca="false">datos_base!$J$9*parametros_recargas!$E$45+sobrestock_sustitutos!$J$182/12</f>
        <v>32.8576095168221</v>
      </c>
      <c r="H265" s="23" t="n">
        <f aca="false">datos_base!$J$9*parametros_recargas!$F$45+sobrestock_sustitutos!$J$182/12</f>
        <v>32.8576095168221</v>
      </c>
      <c r="I265" s="23" t="n">
        <f aca="false">datos_base!$J$9*parametros_recargas!$G$45+sobrestock_sustitutos!$J$182/12</f>
        <v>32.8576095168221</v>
      </c>
      <c r="J265" s="23" t="n">
        <f aca="false">datos_base!$J$9*parametros_recargas!$H$45+sobrestock_sustitutos!$J$182/12</f>
        <v>32.8576095168221</v>
      </c>
      <c r="K265" s="23" t="n">
        <f aca="false">datos_base!$J$9*parametros_recargas!$I$45+sobrestock_sustitutos!$J$182/12</f>
        <v>32.8576095168221</v>
      </c>
      <c r="L265" s="23" t="n">
        <f aca="false">datos_base!$J$9*parametros_recargas!$J$45+sobrestock_sustitutos!$J$182/12</f>
        <v>32.8576095168221</v>
      </c>
      <c r="M265" s="23" t="n">
        <f aca="false">datos_base!$J$9*parametros_recargas!$K$45+sobrestock_sustitutos!$J$182/12</f>
        <v>32.8576095168221</v>
      </c>
      <c r="N265" s="23" t="n">
        <f aca="false">datos_base!$J$9*parametros_recargas!$L$45+sobrestock_sustitutos!$J$182/12</f>
        <v>32.8576095168221</v>
      </c>
      <c r="O265" s="23" t="n">
        <f aca="false">datos_base!$J$9*parametros_recargas!$M$45+sobrestock_sustitutos!$J$182/12</f>
        <v>32.8576095168221</v>
      </c>
      <c r="P265" s="7" t="n">
        <f aca="false">SUM(D265:O265)</f>
        <v>394.291314201865</v>
      </c>
      <c r="Q265" s="13" t="n">
        <f aca="false">sobrestock_sustitutos!$J$182</f>
        <v>77</v>
      </c>
    </row>
    <row r="266" customFormat="false" ht="15" hidden="false" customHeight="false" outlineLevel="0" collapsed="false">
      <c r="A266" s="12" t="str">
        <f aca="false">parametros_recargas!A59</f>
        <v>Sales K 6 l</v>
      </c>
      <c r="B266" s="12" t="str">
        <f aca="false">parametros_recargas!B59</f>
        <v>Sales K</v>
      </c>
      <c r="C266" s="22" t="n">
        <f aca="false">parametros_recargas!C59</f>
        <v>1</v>
      </c>
      <c r="D266" s="23" t="n">
        <f aca="false">datos_base!$J$10*parametros_recargas!$B$45+sobrestock_sustitutos!$J$183/12</f>
        <v>275.83809335721</v>
      </c>
      <c r="E266" s="23" t="n">
        <f aca="false">datos_base!$J$10*parametros_recargas!$C$45+sobrestock_sustitutos!$J$183/12</f>
        <v>275.83809335721</v>
      </c>
      <c r="F266" s="23" t="n">
        <f aca="false">datos_base!$J$10*parametros_recargas!$D$45+sobrestock_sustitutos!$J$183/12</f>
        <v>275.83809335721</v>
      </c>
      <c r="G266" s="23" t="n">
        <f aca="false">datos_base!$J$10*parametros_recargas!$E$45+sobrestock_sustitutos!$J$183/12</f>
        <v>275.83809335721</v>
      </c>
      <c r="H266" s="23" t="n">
        <f aca="false">datos_base!$J$10*parametros_recargas!$F$45+sobrestock_sustitutos!$J$183/12</f>
        <v>275.83809335721</v>
      </c>
      <c r="I266" s="23" t="n">
        <f aca="false">datos_base!$J$10*parametros_recargas!$G$45+sobrestock_sustitutos!$J$183/12</f>
        <v>275.83809335721</v>
      </c>
      <c r="J266" s="23" t="n">
        <f aca="false">datos_base!$J$10*parametros_recargas!$H$45+sobrestock_sustitutos!$J$183/12</f>
        <v>275.83809335721</v>
      </c>
      <c r="K266" s="23" t="n">
        <f aca="false">datos_base!$J$10*parametros_recargas!$I$45+sobrestock_sustitutos!$J$183/12</f>
        <v>275.83809335721</v>
      </c>
      <c r="L266" s="23" t="n">
        <f aca="false">datos_base!$J$10*parametros_recargas!$J$45+sobrestock_sustitutos!$J$183/12</f>
        <v>275.83809335721</v>
      </c>
      <c r="M266" s="23" t="n">
        <f aca="false">datos_base!$J$10*parametros_recargas!$K$45+sobrestock_sustitutos!$J$183/12</f>
        <v>275.83809335721</v>
      </c>
      <c r="N266" s="23" t="n">
        <f aca="false">datos_base!$J$10*parametros_recargas!$L$45+sobrestock_sustitutos!$J$183/12</f>
        <v>275.83809335721</v>
      </c>
      <c r="O266" s="23" t="n">
        <f aca="false">datos_base!$J$10*parametros_recargas!$M$45+sobrestock_sustitutos!$J$183/12</f>
        <v>275.83809335721</v>
      </c>
      <c r="P266" s="7" t="n">
        <f aca="false">SUM(D266:O266)</f>
        <v>3310.05712028652</v>
      </c>
      <c r="Q266" s="13" t="n">
        <f aca="false">sobrestock_sustitutos!$J$183</f>
        <v>555</v>
      </c>
    </row>
    <row r="267" customFormat="false" ht="15" hidden="false" customHeight="false" outlineLevel="0" collapsed="false">
      <c r="A267" s="12" t="str">
        <f aca="false">parametros_recargas!A60</f>
        <v>CO₂ 2 kg</v>
      </c>
      <c r="B267" s="12" t="str">
        <f aca="false">parametros_recargas!B60</f>
        <v>CO₂</v>
      </c>
      <c r="C267" s="22" t="n">
        <f aca="false">parametros_recargas!C60</f>
        <v>1</v>
      </c>
      <c r="D267" s="23" t="n">
        <f aca="false">datos_base!$J$11*parametros_recargas!$B$45+sobrestock_sustitutos!$J$184/12</f>
        <v>1255.18343035965</v>
      </c>
      <c r="E267" s="23" t="n">
        <f aca="false">datos_base!$J$11*parametros_recargas!$C$45+sobrestock_sustitutos!$J$184/12</f>
        <v>1255.18343035965</v>
      </c>
      <c r="F267" s="23" t="n">
        <f aca="false">datos_base!$J$11*parametros_recargas!$D$45+sobrestock_sustitutos!$J$184/12</f>
        <v>1255.18343035965</v>
      </c>
      <c r="G267" s="23" t="n">
        <f aca="false">datos_base!$J$11*parametros_recargas!$E$45+sobrestock_sustitutos!$J$184/12</f>
        <v>1255.18343035965</v>
      </c>
      <c r="H267" s="23" t="n">
        <f aca="false">datos_base!$J$11*parametros_recargas!$F$45+sobrestock_sustitutos!$J$184/12</f>
        <v>1255.18343035965</v>
      </c>
      <c r="I267" s="23" t="n">
        <f aca="false">datos_base!$J$11*parametros_recargas!$G$45+sobrestock_sustitutos!$J$184/12</f>
        <v>1255.18343035965</v>
      </c>
      <c r="J267" s="23" t="n">
        <f aca="false">datos_base!$J$11*parametros_recargas!$H$45+sobrestock_sustitutos!$J$184/12</f>
        <v>1255.18343035965</v>
      </c>
      <c r="K267" s="23" t="n">
        <f aca="false">datos_base!$J$11*parametros_recargas!$I$45+sobrestock_sustitutos!$J$184/12</f>
        <v>1255.18343035965</v>
      </c>
      <c r="L267" s="23" t="n">
        <f aca="false">datos_base!$J$11*parametros_recargas!$J$45+sobrestock_sustitutos!$J$184/12</f>
        <v>1255.18343035965</v>
      </c>
      <c r="M267" s="23" t="n">
        <f aca="false">datos_base!$J$11*parametros_recargas!$K$45+sobrestock_sustitutos!$J$184/12</f>
        <v>1255.18343035965</v>
      </c>
      <c r="N267" s="23" t="n">
        <f aca="false">datos_base!$J$11*parametros_recargas!$L$45+sobrestock_sustitutos!$J$184/12</f>
        <v>1255.18343035965</v>
      </c>
      <c r="O267" s="23" t="n">
        <f aca="false">datos_base!$J$11*parametros_recargas!$M$45+sobrestock_sustitutos!$J$184/12</f>
        <v>1255.18343035965</v>
      </c>
      <c r="P267" s="7" t="n">
        <f aca="false">SUM(D267:O267)</f>
        <v>15062.2011643158</v>
      </c>
      <c r="Q267" s="13" t="n">
        <f aca="false">sobrestock_sustitutos!$J$184</f>
        <v>0</v>
      </c>
    </row>
    <row r="268" customFormat="false" ht="15" hidden="false" customHeight="false" outlineLevel="0" collapsed="false">
      <c r="A268" s="12" t="str">
        <f aca="false">parametros_recargas!A61</f>
        <v>CO₂ 5 kg</v>
      </c>
      <c r="B268" s="12" t="str">
        <f aca="false">parametros_recargas!B61</f>
        <v>CO₂</v>
      </c>
      <c r="C268" s="22" t="n">
        <f aca="false">parametros_recargas!C61</f>
        <v>1</v>
      </c>
      <c r="D268" s="23" t="n">
        <f aca="false">datos_base!$J$12*parametros_recargas!$B$45+sobrestock_sustitutos!$J$185/12</f>
        <v>765.043743199012</v>
      </c>
      <c r="E268" s="23" t="n">
        <f aca="false">datos_base!$J$12*parametros_recargas!$C$45+sobrestock_sustitutos!$J$185/12</f>
        <v>765.043743199012</v>
      </c>
      <c r="F268" s="23" t="n">
        <f aca="false">datos_base!$J$12*parametros_recargas!$D$45+sobrestock_sustitutos!$J$185/12</f>
        <v>765.043743199012</v>
      </c>
      <c r="G268" s="23" t="n">
        <f aca="false">datos_base!$J$12*parametros_recargas!$E$45+sobrestock_sustitutos!$J$185/12</f>
        <v>765.043743199012</v>
      </c>
      <c r="H268" s="23" t="n">
        <f aca="false">datos_base!$J$12*parametros_recargas!$F$45+sobrestock_sustitutos!$J$185/12</f>
        <v>765.043743199012</v>
      </c>
      <c r="I268" s="23" t="n">
        <f aca="false">datos_base!$J$12*parametros_recargas!$G$45+sobrestock_sustitutos!$J$185/12</f>
        <v>765.043743199012</v>
      </c>
      <c r="J268" s="23" t="n">
        <f aca="false">datos_base!$J$12*parametros_recargas!$H$45+sobrestock_sustitutos!$J$185/12</f>
        <v>765.043743199012</v>
      </c>
      <c r="K268" s="23" t="n">
        <f aca="false">datos_base!$J$12*parametros_recargas!$I$45+sobrestock_sustitutos!$J$185/12</f>
        <v>765.043743199012</v>
      </c>
      <c r="L268" s="23" t="n">
        <f aca="false">datos_base!$J$12*parametros_recargas!$J$45+sobrestock_sustitutos!$J$185/12</f>
        <v>765.043743199012</v>
      </c>
      <c r="M268" s="23" t="n">
        <f aca="false">datos_base!$J$12*parametros_recargas!$K$45+sobrestock_sustitutos!$J$185/12</f>
        <v>765.043743199012</v>
      </c>
      <c r="N268" s="23" t="n">
        <f aca="false">datos_base!$J$12*parametros_recargas!$L$45+sobrestock_sustitutos!$J$185/12</f>
        <v>765.043743199012</v>
      </c>
      <c r="O268" s="23" t="n">
        <f aca="false">datos_base!$J$12*parametros_recargas!$M$45+sobrestock_sustitutos!$J$185/12</f>
        <v>765.043743199012</v>
      </c>
      <c r="P268" s="7" t="n">
        <f aca="false">SUM(D268:O268)</f>
        <v>9180.52491838814</v>
      </c>
      <c r="Q268" s="13" t="n">
        <f aca="false">sobrestock_sustitutos!$J$185</f>
        <v>4066</v>
      </c>
    </row>
    <row r="269" customFormat="false" ht="15" hidden="false" customHeight="false" outlineLevel="0" collapsed="false">
      <c r="A269" s="12" t="str">
        <f aca="false">parametros_recargas!A62</f>
        <v>HCFC/HFC 5 kg</v>
      </c>
      <c r="B269" s="12" t="str">
        <f aca="false">parametros_recargas!B62</f>
        <v>Halogenado</v>
      </c>
      <c r="C269" s="22" t="n">
        <f aca="false">parametros_recargas!C62</f>
        <v>1</v>
      </c>
      <c r="D269" s="23" t="n">
        <f aca="false">datos_base!$J$13*parametros_recargas!$B$45+sobrestock_sustitutos!$J$186/12</f>
        <v>83.4141886274099</v>
      </c>
      <c r="E269" s="23" t="n">
        <f aca="false">datos_base!$J$13*parametros_recargas!$C$45+sobrestock_sustitutos!$J$186/12</f>
        <v>83.4141886274099</v>
      </c>
      <c r="F269" s="23" t="n">
        <f aca="false">datos_base!$J$13*parametros_recargas!$D$45+sobrestock_sustitutos!$J$186/12</f>
        <v>83.4141886274099</v>
      </c>
      <c r="G269" s="23" t="n">
        <f aca="false">datos_base!$J$13*parametros_recargas!$E$45+sobrestock_sustitutos!$J$186/12</f>
        <v>83.4141886274099</v>
      </c>
      <c r="H269" s="23" t="n">
        <f aca="false">datos_base!$J$13*parametros_recargas!$F$45+sobrestock_sustitutos!$J$186/12</f>
        <v>83.4141886274099</v>
      </c>
      <c r="I269" s="23" t="n">
        <f aca="false">datos_base!$J$13*parametros_recargas!$G$45+sobrestock_sustitutos!$J$186/12</f>
        <v>83.4141886274099</v>
      </c>
      <c r="J269" s="23" t="n">
        <f aca="false">datos_base!$J$13*parametros_recargas!$H$45+sobrestock_sustitutos!$J$186/12</f>
        <v>83.4141886274099</v>
      </c>
      <c r="K269" s="23" t="n">
        <f aca="false">datos_base!$J$13*parametros_recargas!$I$45+sobrestock_sustitutos!$J$186/12</f>
        <v>83.4141886274099</v>
      </c>
      <c r="L269" s="23" t="n">
        <f aca="false">datos_base!$J$13*parametros_recargas!$J$45+sobrestock_sustitutos!$J$186/12</f>
        <v>83.4141886274099</v>
      </c>
      <c r="M269" s="23" t="n">
        <f aca="false">datos_base!$J$13*parametros_recargas!$K$45+sobrestock_sustitutos!$J$186/12</f>
        <v>83.4141886274099</v>
      </c>
      <c r="N269" s="23" t="n">
        <f aca="false">datos_base!$J$13*parametros_recargas!$L$45+sobrestock_sustitutos!$J$186/12</f>
        <v>83.4141886274099</v>
      </c>
      <c r="O269" s="23" t="n">
        <f aca="false">datos_base!$J$13*parametros_recargas!$M$45+sobrestock_sustitutos!$J$186/12</f>
        <v>83.4141886274099</v>
      </c>
      <c r="P269" s="7" t="n">
        <f aca="false">SUM(D269:O269)</f>
        <v>1000.97026352892</v>
      </c>
      <c r="Q269" s="13" t="n">
        <f aca="false">sobrestock_sustitutos!$J$186</f>
        <v>167</v>
      </c>
    </row>
    <row r="270" customFormat="false" ht="15" hidden="false" customHeight="false" outlineLevel="0" collapsed="false">
      <c r="A270" s="12" t="str">
        <f aca="false">parametros_recargas!A63</f>
        <v>Clase D 9 l</v>
      </c>
      <c r="B270" s="12" t="str">
        <f aca="false">parametros_recargas!B63</f>
        <v>Clase D</v>
      </c>
      <c r="C270" s="22" t="n">
        <f aca="false">parametros_recargas!C63</f>
        <v>1</v>
      </c>
      <c r="D270" s="23" t="n">
        <f aca="false">datos_base!$J$14*parametros_recargas!$B$45+sobrestock_sustitutos!$J$187/12</f>
        <v>29.5751979509064</v>
      </c>
      <c r="E270" s="23" t="n">
        <f aca="false">datos_base!$J$14*parametros_recargas!$C$45+sobrestock_sustitutos!$J$187/12</f>
        <v>29.5751979509064</v>
      </c>
      <c r="F270" s="23" t="n">
        <f aca="false">datos_base!$J$14*parametros_recargas!$D$45+sobrestock_sustitutos!$J$187/12</f>
        <v>29.5751979509064</v>
      </c>
      <c r="G270" s="23" t="n">
        <f aca="false">datos_base!$J$14*parametros_recargas!$E$45+sobrestock_sustitutos!$J$187/12</f>
        <v>29.5751979509064</v>
      </c>
      <c r="H270" s="23" t="n">
        <f aca="false">datos_base!$J$14*parametros_recargas!$F$45+sobrestock_sustitutos!$J$187/12</f>
        <v>29.5751979509064</v>
      </c>
      <c r="I270" s="23" t="n">
        <f aca="false">datos_base!$J$14*parametros_recargas!$G$45+sobrestock_sustitutos!$J$187/12</f>
        <v>29.5751979509064</v>
      </c>
      <c r="J270" s="23" t="n">
        <f aca="false">datos_base!$J$14*parametros_recargas!$H$45+sobrestock_sustitutos!$J$187/12</f>
        <v>29.5751979509064</v>
      </c>
      <c r="K270" s="23" t="n">
        <f aca="false">datos_base!$J$14*parametros_recargas!$I$45+sobrestock_sustitutos!$J$187/12</f>
        <v>29.5751979509064</v>
      </c>
      <c r="L270" s="23" t="n">
        <f aca="false">datos_base!$J$14*parametros_recargas!$J$45+sobrestock_sustitutos!$J$187/12</f>
        <v>29.5751979509064</v>
      </c>
      <c r="M270" s="23" t="n">
        <f aca="false">datos_base!$J$14*parametros_recargas!$K$45+sobrestock_sustitutos!$J$187/12</f>
        <v>29.5751979509064</v>
      </c>
      <c r="N270" s="23" t="n">
        <f aca="false">datos_base!$J$14*parametros_recargas!$L$45+sobrestock_sustitutos!$J$187/12</f>
        <v>29.5751979509064</v>
      </c>
      <c r="O270" s="23" t="n">
        <f aca="false">datos_base!$J$14*parametros_recargas!$M$45+sobrestock_sustitutos!$J$187/12</f>
        <v>29.5751979509064</v>
      </c>
      <c r="P270" s="7" t="n">
        <f aca="false">SUM(D270:O270)</f>
        <v>354.902375410877</v>
      </c>
      <c r="Q270" s="13" t="n">
        <f aca="false">sobrestock_sustitutos!$J$187</f>
        <v>69</v>
      </c>
    </row>
    <row r="271" customFormat="false" ht="15" hidden="false" customHeight="false" outlineLevel="0" collapsed="false">
      <c r="A271" s="12" t="str">
        <f aca="false">parametros_recargas!A64</f>
        <v>ABC 25 kg s/ruedas</v>
      </c>
      <c r="B271" s="12" t="str">
        <f aca="false">parametros_recargas!B64</f>
        <v>ABC</v>
      </c>
      <c r="C271" s="22" t="n">
        <f aca="false">parametros_recargas!C64</f>
        <v>3</v>
      </c>
      <c r="D271" s="23" t="n">
        <f aca="false">datos_base!$J$15*parametros_recargas!$B$45+sobrestock_sustitutos!$J$188/12</f>
        <v>57.2561007363952</v>
      </c>
      <c r="E271" s="23" t="n">
        <f aca="false">datos_base!$J$15*parametros_recargas!$C$45+sobrestock_sustitutos!$J$188/12</f>
        <v>57.2561007363952</v>
      </c>
      <c r="F271" s="23" t="n">
        <f aca="false">datos_base!$J$15*parametros_recargas!$D$45+sobrestock_sustitutos!$J$188/12</f>
        <v>57.2561007363952</v>
      </c>
      <c r="G271" s="23" t="n">
        <f aca="false">datos_base!$J$15*parametros_recargas!$E$45+sobrestock_sustitutos!$J$188/12</f>
        <v>57.2561007363952</v>
      </c>
      <c r="H271" s="23" t="n">
        <f aca="false">datos_base!$J$15*parametros_recargas!$F$45+sobrestock_sustitutos!$J$188/12</f>
        <v>57.2561007363952</v>
      </c>
      <c r="I271" s="23" t="n">
        <f aca="false">datos_base!$J$15*parametros_recargas!$G$45+sobrestock_sustitutos!$J$188/12</f>
        <v>57.2561007363952</v>
      </c>
      <c r="J271" s="23" t="n">
        <f aca="false">datos_base!$J$15*parametros_recargas!$H$45+sobrestock_sustitutos!$J$188/12</f>
        <v>57.2561007363952</v>
      </c>
      <c r="K271" s="23" t="n">
        <f aca="false">datos_base!$J$15*parametros_recargas!$I$45+sobrestock_sustitutos!$J$188/12</f>
        <v>57.2561007363952</v>
      </c>
      <c r="L271" s="23" t="n">
        <f aca="false">datos_base!$J$15*parametros_recargas!$J$45+sobrestock_sustitutos!$J$188/12</f>
        <v>57.2561007363952</v>
      </c>
      <c r="M271" s="23" t="n">
        <f aca="false">datos_base!$J$15*parametros_recargas!$K$45+sobrestock_sustitutos!$J$188/12</f>
        <v>57.2561007363952</v>
      </c>
      <c r="N271" s="23" t="n">
        <f aca="false">datos_base!$J$15*parametros_recargas!$L$45+sobrestock_sustitutos!$J$188/12</f>
        <v>57.2561007363952</v>
      </c>
      <c r="O271" s="23" t="n">
        <f aca="false">datos_base!$J$15*parametros_recargas!$M$45+sobrestock_sustitutos!$J$188/12</f>
        <v>57.2561007363952</v>
      </c>
      <c r="P271" s="7" t="n">
        <f aca="false">SUM(D271:O271)</f>
        <v>687.073208836743</v>
      </c>
      <c r="Q271" s="13" t="n">
        <f aca="false">sobrestock_sustitutos!$J$188</f>
        <v>0</v>
      </c>
    </row>
    <row r="272" customFormat="false" ht="15" hidden="false" customHeight="false" outlineLevel="0" collapsed="false">
      <c r="A272" s="12" t="str">
        <f aca="false">parametros_recargas!A65</f>
        <v>ABC 50 kg s/ruedas</v>
      </c>
      <c r="B272" s="12" t="str">
        <f aca="false">parametros_recargas!B65</f>
        <v>ABC</v>
      </c>
      <c r="C272" s="22" t="n">
        <f aca="false">parametros_recargas!C65</f>
        <v>3</v>
      </c>
      <c r="D272" s="23" t="n">
        <f aca="false">datos_base!$J$16*parametros_recargas!$B$45+sobrestock_sustitutos!$J$189/12</f>
        <v>170.546754894089</v>
      </c>
      <c r="E272" s="23" t="n">
        <f aca="false">datos_base!$J$16*parametros_recargas!$C$45+sobrestock_sustitutos!$J$189/12</f>
        <v>170.546754894089</v>
      </c>
      <c r="F272" s="23" t="n">
        <f aca="false">datos_base!$J$16*parametros_recargas!$D$45+sobrestock_sustitutos!$J$189/12</f>
        <v>170.546754894089</v>
      </c>
      <c r="G272" s="23" t="n">
        <f aca="false">datos_base!$J$16*parametros_recargas!$E$45+sobrestock_sustitutos!$J$189/12</f>
        <v>170.546754894089</v>
      </c>
      <c r="H272" s="23" t="n">
        <f aca="false">datos_base!$J$16*parametros_recargas!$F$45+sobrestock_sustitutos!$J$189/12</f>
        <v>170.546754894089</v>
      </c>
      <c r="I272" s="23" t="n">
        <f aca="false">datos_base!$J$16*parametros_recargas!$G$45+sobrestock_sustitutos!$J$189/12</f>
        <v>170.546754894089</v>
      </c>
      <c r="J272" s="23" t="n">
        <f aca="false">datos_base!$J$16*parametros_recargas!$H$45+sobrestock_sustitutos!$J$189/12</f>
        <v>170.546754894089</v>
      </c>
      <c r="K272" s="23" t="n">
        <f aca="false">datos_base!$J$16*parametros_recargas!$I$45+sobrestock_sustitutos!$J$189/12</f>
        <v>170.546754894089</v>
      </c>
      <c r="L272" s="23" t="n">
        <f aca="false">datos_base!$J$16*parametros_recargas!$J$45+sobrestock_sustitutos!$J$189/12</f>
        <v>170.546754894089</v>
      </c>
      <c r="M272" s="23" t="n">
        <f aca="false">datos_base!$J$16*parametros_recargas!$K$45+sobrestock_sustitutos!$J$189/12</f>
        <v>170.546754894089</v>
      </c>
      <c r="N272" s="23" t="n">
        <f aca="false">datos_base!$J$16*parametros_recargas!$L$45+sobrestock_sustitutos!$J$189/12</f>
        <v>170.546754894089</v>
      </c>
      <c r="O272" s="23" t="n">
        <f aca="false">datos_base!$J$16*parametros_recargas!$M$45+sobrestock_sustitutos!$J$189/12</f>
        <v>170.546754894089</v>
      </c>
      <c r="P272" s="7" t="n">
        <f aca="false">SUM(D272:O272)</f>
        <v>2046.56105872907</v>
      </c>
      <c r="Q272" s="13" t="n">
        <f aca="false">sobrestock_sustitutos!$J$189</f>
        <v>535</v>
      </c>
    </row>
    <row r="273" customFormat="false" ht="15" hidden="false" customHeight="false" outlineLevel="0" collapsed="false">
      <c r="A273" s="12" t="str">
        <f aca="false">parametros_recargas!A66</f>
        <v>ABC 70 kg s/ruedas</v>
      </c>
      <c r="B273" s="12" t="str">
        <f aca="false">parametros_recargas!B66</f>
        <v>ABC</v>
      </c>
      <c r="C273" s="22" t="n">
        <f aca="false">parametros_recargas!C66</f>
        <v>3</v>
      </c>
      <c r="D273" s="23" t="n">
        <f aca="false">datos_base!$J$17*parametros_recargas!$B$45+sobrestock_sustitutos!$J$190/12</f>
        <v>27.4829283653324</v>
      </c>
      <c r="E273" s="23" t="n">
        <f aca="false">datos_base!$J$17*parametros_recargas!$C$45+sobrestock_sustitutos!$J$190/12</f>
        <v>27.4829283653324</v>
      </c>
      <c r="F273" s="23" t="n">
        <f aca="false">datos_base!$J$17*parametros_recargas!$D$45+sobrestock_sustitutos!$J$190/12</f>
        <v>27.4829283653324</v>
      </c>
      <c r="G273" s="23" t="n">
        <f aca="false">datos_base!$J$17*parametros_recargas!$E$45+sobrestock_sustitutos!$J$190/12</f>
        <v>27.4829283653324</v>
      </c>
      <c r="H273" s="23" t="n">
        <f aca="false">datos_base!$J$17*parametros_recargas!$F$45+sobrestock_sustitutos!$J$190/12</f>
        <v>27.4829283653324</v>
      </c>
      <c r="I273" s="23" t="n">
        <f aca="false">datos_base!$J$17*parametros_recargas!$G$45+sobrestock_sustitutos!$J$190/12</f>
        <v>27.4829283653324</v>
      </c>
      <c r="J273" s="23" t="n">
        <f aca="false">datos_base!$J$17*parametros_recargas!$H$45+sobrestock_sustitutos!$J$190/12</f>
        <v>27.4829283653324</v>
      </c>
      <c r="K273" s="23" t="n">
        <f aca="false">datos_base!$J$17*parametros_recargas!$I$45+sobrestock_sustitutos!$J$190/12</f>
        <v>27.4829283653324</v>
      </c>
      <c r="L273" s="23" t="n">
        <f aca="false">datos_base!$J$17*parametros_recargas!$J$45+sobrestock_sustitutos!$J$190/12</f>
        <v>27.4829283653324</v>
      </c>
      <c r="M273" s="23" t="n">
        <f aca="false">datos_base!$J$17*parametros_recargas!$K$45+sobrestock_sustitutos!$J$190/12</f>
        <v>27.4829283653324</v>
      </c>
      <c r="N273" s="23" t="n">
        <f aca="false">datos_base!$J$17*parametros_recargas!$L$45+sobrestock_sustitutos!$J$190/12</f>
        <v>27.4829283653324</v>
      </c>
      <c r="O273" s="23" t="n">
        <f aca="false">datos_base!$J$17*parametros_recargas!$M$45+sobrestock_sustitutos!$J$190/12</f>
        <v>27.4829283653324</v>
      </c>
      <c r="P273" s="7" t="n">
        <f aca="false">SUM(D273:O273)</f>
        <v>329.795140383989</v>
      </c>
      <c r="Q273" s="13" t="n">
        <f aca="false">sobrestock_sustitutos!$J$190</f>
        <v>0</v>
      </c>
    </row>
    <row r="274" customFormat="false" ht="15" hidden="false" customHeight="false" outlineLevel="0" collapsed="false">
      <c r="A274" s="12" t="str">
        <f aca="false">parametros_recargas!A67</f>
        <v>ABC 100 kg s/ruedas</v>
      </c>
      <c r="B274" s="12" t="str">
        <f aca="false">parametros_recargas!B67</f>
        <v>ABC</v>
      </c>
      <c r="C274" s="22" t="n">
        <f aca="false">parametros_recargas!C67</f>
        <v>3</v>
      </c>
      <c r="D274" s="23" t="n">
        <f aca="false">datos_base!$J$18*parametros_recargas!$B$45+sobrestock_sustitutos!$J$191/12</f>
        <v>29.4886188904504</v>
      </c>
      <c r="E274" s="23" t="n">
        <f aca="false">datos_base!$J$18*parametros_recargas!$C$45+sobrestock_sustitutos!$J$191/12</f>
        <v>29.4886188904504</v>
      </c>
      <c r="F274" s="23" t="n">
        <f aca="false">datos_base!$J$18*parametros_recargas!$D$45+sobrestock_sustitutos!$J$191/12</f>
        <v>29.4886188904504</v>
      </c>
      <c r="G274" s="23" t="n">
        <f aca="false">datos_base!$J$18*parametros_recargas!$E$45+sobrestock_sustitutos!$J$191/12</f>
        <v>29.4886188904504</v>
      </c>
      <c r="H274" s="23" t="n">
        <f aca="false">datos_base!$J$18*parametros_recargas!$F$45+sobrestock_sustitutos!$J$191/12</f>
        <v>29.4886188904504</v>
      </c>
      <c r="I274" s="23" t="n">
        <f aca="false">datos_base!$J$18*parametros_recargas!$G$45+sobrestock_sustitutos!$J$191/12</f>
        <v>29.4886188904504</v>
      </c>
      <c r="J274" s="23" t="n">
        <f aca="false">datos_base!$J$18*parametros_recargas!$H$45+sobrestock_sustitutos!$J$191/12</f>
        <v>29.4886188904504</v>
      </c>
      <c r="K274" s="23" t="n">
        <f aca="false">datos_base!$J$18*parametros_recargas!$I$45+sobrestock_sustitutos!$J$191/12</f>
        <v>29.4886188904504</v>
      </c>
      <c r="L274" s="23" t="n">
        <f aca="false">datos_base!$J$18*parametros_recargas!$J$45+sobrestock_sustitutos!$J$191/12</f>
        <v>29.4886188904504</v>
      </c>
      <c r="M274" s="23" t="n">
        <f aca="false">datos_base!$J$18*parametros_recargas!$K$45+sobrestock_sustitutos!$J$191/12</f>
        <v>29.4886188904504</v>
      </c>
      <c r="N274" s="23" t="n">
        <f aca="false">datos_base!$J$18*parametros_recargas!$L$45+sobrestock_sustitutos!$J$191/12</f>
        <v>29.4886188904504</v>
      </c>
      <c r="O274" s="23" t="n">
        <f aca="false">datos_base!$J$18*parametros_recargas!$M$45+sobrestock_sustitutos!$J$191/12</f>
        <v>29.4886188904504</v>
      </c>
      <c r="P274" s="7" t="n">
        <f aca="false">SUM(D274:O274)</f>
        <v>353.863426685405</v>
      </c>
      <c r="Q274" s="13" t="n">
        <f aca="false">sobrestock_sustitutos!$J$191</f>
        <v>134</v>
      </c>
    </row>
    <row r="275" customFormat="false" ht="15" hidden="false" customHeight="false" outlineLevel="0" collapsed="false">
      <c r="A275" s="6" t="s">
        <v>269</v>
      </c>
      <c r="D275" s="7" t="n">
        <f aca="false">SUM(D258:D274)</f>
        <v>22839.3814252822</v>
      </c>
      <c r="E275" s="7" t="n">
        <f aca="false">SUM(E258:E274)</f>
        <v>22839.3814252822</v>
      </c>
      <c r="F275" s="7" t="n">
        <f aca="false">SUM(F258:F274)</f>
        <v>22839.3814252822</v>
      </c>
      <c r="G275" s="7" t="n">
        <f aca="false">SUM(G258:G274)</f>
        <v>22839.3814252822</v>
      </c>
      <c r="H275" s="7" t="n">
        <f aca="false">SUM(H258:H274)</f>
        <v>22839.3814252822</v>
      </c>
      <c r="I275" s="7" t="n">
        <f aca="false">SUM(I258:I274)</f>
        <v>22839.3814252822</v>
      </c>
      <c r="J275" s="7" t="n">
        <f aca="false">SUM(J258:J274)</f>
        <v>22839.3814252822</v>
      </c>
      <c r="K275" s="7" t="n">
        <f aca="false">SUM(K258:K274)</f>
        <v>22839.3814252822</v>
      </c>
      <c r="L275" s="7" t="n">
        <f aca="false">SUM(L258:L274)</f>
        <v>22839.3814252822</v>
      </c>
      <c r="M275" s="7" t="n">
        <f aca="false">SUM(M258:M274)</f>
        <v>22839.3814252822</v>
      </c>
      <c r="N275" s="7" t="n">
        <f aca="false">SUM(N258:N274)</f>
        <v>22839.3814252822</v>
      </c>
      <c r="O275" s="7" t="n">
        <f aca="false">SUM(O258:O274)</f>
        <v>22839.3814252822</v>
      </c>
      <c r="P275" s="7" t="n">
        <f aca="false">SUM(P258:P274)</f>
        <v>274072.577103387</v>
      </c>
    </row>
    <row r="276" customFormat="false" ht="15" hidden="false" customHeight="false" outlineLevel="0" collapsed="false">
      <c r="A276" s="6" t="s">
        <v>270</v>
      </c>
    </row>
    <row r="277" customFormat="false" ht="15" hidden="false" customHeight="false" outlineLevel="0" collapsed="false">
      <c r="A277" s="4" t="s">
        <v>139</v>
      </c>
      <c r="D277" s="23" t="n">
        <f aca="false">SUMPRODUCT(($B$258:$B$274=$A277)*D$258:D$274*$C$258:$C$274)</f>
        <v>20246.8206801043</v>
      </c>
      <c r="E277" s="23" t="n">
        <f aca="false">SUMPRODUCT(($B$258:$B$274=$A277)*E$258:E$274*$C$258:$C$274)</f>
        <v>20246.8206801043</v>
      </c>
      <c r="F277" s="23" t="n">
        <f aca="false">SUMPRODUCT(($B$258:$B$274=$A277)*F$258:F$274*$C$258:$C$274)</f>
        <v>20246.8206801043</v>
      </c>
      <c r="G277" s="23" t="n">
        <f aca="false">SUMPRODUCT(($B$258:$B$274=$A277)*G$258:G$274*$C$258:$C$274)</f>
        <v>20246.8206801043</v>
      </c>
      <c r="H277" s="23" t="n">
        <f aca="false">SUMPRODUCT(($B$258:$B$274=$A277)*H$258:H$274*$C$258:$C$274)</f>
        <v>20246.8206801043</v>
      </c>
      <c r="I277" s="23" t="n">
        <f aca="false">SUMPRODUCT(($B$258:$B$274=$A277)*I$258:I$274*$C$258:$C$274)</f>
        <v>20246.8206801043</v>
      </c>
      <c r="J277" s="23" t="n">
        <f aca="false">SUMPRODUCT(($B$258:$B$274=$A277)*J$258:J$274*$C$258:$C$274)</f>
        <v>20246.8206801043</v>
      </c>
      <c r="K277" s="23" t="n">
        <f aca="false">SUMPRODUCT(($B$258:$B$274=$A277)*K$258:K$274*$C$258:$C$274)</f>
        <v>20246.8206801043</v>
      </c>
      <c r="L277" s="23" t="n">
        <f aca="false">SUMPRODUCT(($B$258:$B$274=$A277)*L$258:L$274*$C$258:$C$274)</f>
        <v>20246.8206801043</v>
      </c>
      <c r="M277" s="23" t="n">
        <f aca="false">SUMPRODUCT(($B$258:$B$274=$A277)*M$258:M$274*$C$258:$C$274)</f>
        <v>20246.8206801043</v>
      </c>
      <c r="N277" s="23" t="n">
        <f aca="false">SUMPRODUCT(($B$258:$B$274=$A277)*N$258:N$274*$C$258:$C$274)</f>
        <v>20246.8206801043</v>
      </c>
      <c r="O277" s="23" t="n">
        <f aca="false">SUMPRODUCT(($B$258:$B$274=$A277)*O$258:O$274*$C$258:$C$274)</f>
        <v>20246.8206801043</v>
      </c>
      <c r="P277" s="23" t="n">
        <f aca="false">SUMPRODUCT(($B$258:$B$274=$A277)*P$258:P$274*$C$258:$C$274)</f>
        <v>242961.848161252</v>
      </c>
    </row>
    <row r="278" customFormat="false" ht="15" hidden="false" customHeight="false" outlineLevel="0" collapsed="false">
      <c r="A278" s="4" t="s">
        <v>145</v>
      </c>
      <c r="D278" s="23" t="n">
        <f aca="false">SUMPRODUCT(($B$258:$B$274=$A278)*D$258:D$274*$C$258:$C$274)</f>
        <v>32.8576095168221</v>
      </c>
      <c r="E278" s="23" t="n">
        <f aca="false">SUMPRODUCT(($B$258:$B$274=$A278)*E$258:E$274*$C$258:$C$274)</f>
        <v>32.8576095168221</v>
      </c>
      <c r="F278" s="23" t="n">
        <f aca="false">SUMPRODUCT(($B$258:$B$274=$A278)*F$258:F$274*$C$258:$C$274)</f>
        <v>32.8576095168221</v>
      </c>
      <c r="G278" s="23" t="n">
        <f aca="false">SUMPRODUCT(($B$258:$B$274=$A278)*G$258:G$274*$C$258:$C$274)</f>
        <v>32.8576095168221</v>
      </c>
      <c r="H278" s="23" t="n">
        <f aca="false">SUMPRODUCT(($B$258:$B$274=$A278)*H$258:H$274*$C$258:$C$274)</f>
        <v>32.8576095168221</v>
      </c>
      <c r="I278" s="23" t="n">
        <f aca="false">SUMPRODUCT(($B$258:$B$274=$A278)*I$258:I$274*$C$258:$C$274)</f>
        <v>32.8576095168221</v>
      </c>
      <c r="J278" s="23" t="n">
        <f aca="false">SUMPRODUCT(($B$258:$B$274=$A278)*J$258:J$274*$C$258:$C$274)</f>
        <v>32.8576095168221</v>
      </c>
      <c r="K278" s="23" t="n">
        <f aca="false">SUMPRODUCT(($B$258:$B$274=$A278)*K$258:K$274*$C$258:$C$274)</f>
        <v>32.8576095168221</v>
      </c>
      <c r="L278" s="23" t="n">
        <f aca="false">SUMPRODUCT(($B$258:$B$274=$A278)*L$258:L$274*$C$258:$C$274)</f>
        <v>32.8576095168221</v>
      </c>
      <c r="M278" s="23" t="n">
        <f aca="false">SUMPRODUCT(($B$258:$B$274=$A278)*M$258:M$274*$C$258:$C$274)</f>
        <v>32.8576095168221</v>
      </c>
      <c r="N278" s="23" t="n">
        <f aca="false">SUMPRODUCT(($B$258:$B$274=$A278)*N$258:N$274*$C$258:$C$274)</f>
        <v>32.8576095168221</v>
      </c>
      <c r="O278" s="23" t="n">
        <f aca="false">SUMPRODUCT(($B$258:$B$274=$A278)*O$258:O$274*$C$258:$C$274)</f>
        <v>32.8576095168221</v>
      </c>
      <c r="P278" s="23" t="n">
        <f aca="false">SUMPRODUCT(($B$258:$B$274=$A278)*P$258:P$274*$C$258:$C$274)</f>
        <v>394.291314201865</v>
      </c>
    </row>
    <row r="279" customFormat="false" ht="15" hidden="false" customHeight="false" outlineLevel="0" collapsed="false">
      <c r="A279" s="4" t="s">
        <v>151</v>
      </c>
      <c r="D279" s="23" t="n">
        <f aca="false">SUMPRODUCT(($B$258:$B$274=$A279)*D$258:D$274*$C$258:$C$274)</f>
        <v>29.5751979509064</v>
      </c>
      <c r="E279" s="23" t="n">
        <f aca="false">SUMPRODUCT(($B$258:$B$274=$A279)*E$258:E$274*$C$258:$C$274)</f>
        <v>29.5751979509064</v>
      </c>
      <c r="F279" s="23" t="n">
        <f aca="false">SUMPRODUCT(($B$258:$B$274=$A279)*F$258:F$274*$C$258:$C$274)</f>
        <v>29.5751979509064</v>
      </c>
      <c r="G279" s="23" t="n">
        <f aca="false">SUMPRODUCT(($B$258:$B$274=$A279)*G$258:G$274*$C$258:$C$274)</f>
        <v>29.5751979509064</v>
      </c>
      <c r="H279" s="23" t="n">
        <f aca="false">SUMPRODUCT(($B$258:$B$274=$A279)*H$258:H$274*$C$258:$C$274)</f>
        <v>29.5751979509064</v>
      </c>
      <c r="I279" s="23" t="n">
        <f aca="false">SUMPRODUCT(($B$258:$B$274=$A279)*I$258:I$274*$C$258:$C$274)</f>
        <v>29.5751979509064</v>
      </c>
      <c r="J279" s="23" t="n">
        <f aca="false">SUMPRODUCT(($B$258:$B$274=$A279)*J$258:J$274*$C$258:$C$274)</f>
        <v>29.5751979509064</v>
      </c>
      <c r="K279" s="23" t="n">
        <f aca="false">SUMPRODUCT(($B$258:$B$274=$A279)*K$258:K$274*$C$258:$C$274)</f>
        <v>29.5751979509064</v>
      </c>
      <c r="L279" s="23" t="n">
        <f aca="false">SUMPRODUCT(($B$258:$B$274=$A279)*L$258:L$274*$C$258:$C$274)</f>
        <v>29.5751979509064</v>
      </c>
      <c r="M279" s="23" t="n">
        <f aca="false">SUMPRODUCT(($B$258:$B$274=$A279)*M$258:M$274*$C$258:$C$274)</f>
        <v>29.5751979509064</v>
      </c>
      <c r="N279" s="23" t="n">
        <f aca="false">SUMPRODUCT(($B$258:$B$274=$A279)*N$258:N$274*$C$258:$C$274)</f>
        <v>29.5751979509064</v>
      </c>
      <c r="O279" s="23" t="n">
        <f aca="false">SUMPRODUCT(($B$258:$B$274=$A279)*O$258:O$274*$C$258:$C$274)</f>
        <v>29.5751979509064</v>
      </c>
      <c r="P279" s="23" t="n">
        <f aca="false">SUMPRODUCT(($B$258:$B$274=$A279)*P$258:P$274*$C$258:$C$274)</f>
        <v>354.902375410877</v>
      </c>
    </row>
    <row r="280" customFormat="false" ht="15" hidden="false" customHeight="false" outlineLevel="0" collapsed="false">
      <c r="A280" s="4" t="s">
        <v>142</v>
      </c>
      <c r="D280" s="23" t="n">
        <f aca="false">SUMPRODUCT(($B$258:$B$274=$A280)*D$258:D$274*$C$258:$C$274)</f>
        <v>559.934701150066</v>
      </c>
      <c r="E280" s="23" t="n">
        <f aca="false">SUMPRODUCT(($B$258:$B$274=$A280)*E$258:E$274*$C$258:$C$274)</f>
        <v>559.934701150066</v>
      </c>
      <c r="F280" s="23" t="n">
        <f aca="false">SUMPRODUCT(($B$258:$B$274=$A280)*F$258:F$274*$C$258:$C$274)</f>
        <v>559.934701150066</v>
      </c>
      <c r="G280" s="23" t="n">
        <f aca="false">SUMPRODUCT(($B$258:$B$274=$A280)*G$258:G$274*$C$258:$C$274)</f>
        <v>559.934701150066</v>
      </c>
      <c r="H280" s="23" t="n">
        <f aca="false">SUMPRODUCT(($B$258:$B$274=$A280)*H$258:H$274*$C$258:$C$274)</f>
        <v>559.934701150066</v>
      </c>
      <c r="I280" s="23" t="n">
        <f aca="false">SUMPRODUCT(($B$258:$B$274=$A280)*I$258:I$274*$C$258:$C$274)</f>
        <v>559.934701150066</v>
      </c>
      <c r="J280" s="23" t="n">
        <f aca="false">SUMPRODUCT(($B$258:$B$274=$A280)*J$258:J$274*$C$258:$C$274)</f>
        <v>559.934701150066</v>
      </c>
      <c r="K280" s="23" t="n">
        <f aca="false">SUMPRODUCT(($B$258:$B$274=$A280)*K$258:K$274*$C$258:$C$274)</f>
        <v>559.934701150066</v>
      </c>
      <c r="L280" s="23" t="n">
        <f aca="false">SUMPRODUCT(($B$258:$B$274=$A280)*L$258:L$274*$C$258:$C$274)</f>
        <v>559.934701150066</v>
      </c>
      <c r="M280" s="23" t="n">
        <f aca="false">SUMPRODUCT(($B$258:$B$274=$A280)*M$258:M$274*$C$258:$C$274)</f>
        <v>559.934701150066</v>
      </c>
      <c r="N280" s="23" t="n">
        <f aca="false">SUMPRODUCT(($B$258:$B$274=$A280)*N$258:N$274*$C$258:$C$274)</f>
        <v>559.934701150066</v>
      </c>
      <c r="O280" s="23" t="n">
        <f aca="false">SUMPRODUCT(($B$258:$B$274=$A280)*O$258:O$274*$C$258:$C$274)</f>
        <v>559.934701150066</v>
      </c>
      <c r="P280" s="23" t="n">
        <f aca="false">SUMPRODUCT(($B$258:$B$274=$A280)*P$258:P$274*$C$258:$C$274)</f>
        <v>6719.21641380079</v>
      </c>
    </row>
    <row r="281" customFormat="false" ht="15" hidden="false" customHeight="false" outlineLevel="0" collapsed="false">
      <c r="A281" s="4" t="s">
        <v>143</v>
      </c>
      <c r="D281" s="23" t="n">
        <f aca="false">SUMPRODUCT(($B$258:$B$274=$A281)*D$258:D$274*$C$258:$C$274)</f>
        <v>270.510203744727</v>
      </c>
      <c r="E281" s="23" t="n">
        <f aca="false">SUMPRODUCT(($B$258:$B$274=$A281)*E$258:E$274*$C$258:$C$274)</f>
        <v>270.510203744727</v>
      </c>
      <c r="F281" s="23" t="n">
        <f aca="false">SUMPRODUCT(($B$258:$B$274=$A281)*F$258:F$274*$C$258:$C$274)</f>
        <v>270.510203744727</v>
      </c>
      <c r="G281" s="23" t="n">
        <f aca="false">SUMPRODUCT(($B$258:$B$274=$A281)*G$258:G$274*$C$258:$C$274)</f>
        <v>270.510203744727</v>
      </c>
      <c r="H281" s="23" t="n">
        <f aca="false">SUMPRODUCT(($B$258:$B$274=$A281)*H$258:H$274*$C$258:$C$274)</f>
        <v>270.510203744727</v>
      </c>
      <c r="I281" s="23" t="n">
        <f aca="false">SUMPRODUCT(($B$258:$B$274=$A281)*I$258:I$274*$C$258:$C$274)</f>
        <v>270.510203744727</v>
      </c>
      <c r="J281" s="23" t="n">
        <f aca="false">SUMPRODUCT(($B$258:$B$274=$A281)*J$258:J$274*$C$258:$C$274)</f>
        <v>270.510203744727</v>
      </c>
      <c r="K281" s="23" t="n">
        <f aca="false">SUMPRODUCT(($B$258:$B$274=$A281)*K$258:K$274*$C$258:$C$274)</f>
        <v>270.510203744727</v>
      </c>
      <c r="L281" s="23" t="n">
        <f aca="false">SUMPRODUCT(($B$258:$B$274=$A281)*L$258:L$274*$C$258:$C$274)</f>
        <v>270.510203744727</v>
      </c>
      <c r="M281" s="23" t="n">
        <f aca="false">SUMPRODUCT(($B$258:$B$274=$A281)*M$258:M$274*$C$258:$C$274)</f>
        <v>270.510203744727</v>
      </c>
      <c r="N281" s="23" t="n">
        <f aca="false">SUMPRODUCT(($B$258:$B$274=$A281)*N$258:N$274*$C$258:$C$274)</f>
        <v>270.510203744727</v>
      </c>
      <c r="O281" s="23" t="n">
        <f aca="false">SUMPRODUCT(($B$258:$B$274=$A281)*O$258:O$274*$C$258:$C$274)</f>
        <v>270.510203744727</v>
      </c>
      <c r="P281" s="23" t="n">
        <f aca="false">SUMPRODUCT(($B$258:$B$274=$A281)*P$258:P$274*$C$258:$C$274)</f>
        <v>3246.12244493672</v>
      </c>
    </row>
    <row r="282" customFormat="false" ht="15" hidden="false" customHeight="false" outlineLevel="0" collapsed="false">
      <c r="A282" s="4" t="s">
        <v>146</v>
      </c>
      <c r="D282" s="23" t="n">
        <f aca="false">SUMPRODUCT(($B$258:$B$274=$A282)*D$258:D$274*$C$258:$C$274)</f>
        <v>275.83809335721</v>
      </c>
      <c r="E282" s="23" t="n">
        <f aca="false">SUMPRODUCT(($B$258:$B$274=$A282)*E$258:E$274*$C$258:$C$274)</f>
        <v>275.83809335721</v>
      </c>
      <c r="F282" s="23" t="n">
        <f aca="false">SUMPRODUCT(($B$258:$B$274=$A282)*F$258:F$274*$C$258:$C$274)</f>
        <v>275.83809335721</v>
      </c>
      <c r="G282" s="23" t="n">
        <f aca="false">SUMPRODUCT(($B$258:$B$274=$A282)*G$258:G$274*$C$258:$C$274)</f>
        <v>275.83809335721</v>
      </c>
      <c r="H282" s="23" t="n">
        <f aca="false">SUMPRODUCT(($B$258:$B$274=$A282)*H$258:H$274*$C$258:$C$274)</f>
        <v>275.83809335721</v>
      </c>
      <c r="I282" s="23" t="n">
        <f aca="false">SUMPRODUCT(($B$258:$B$274=$A282)*I$258:I$274*$C$258:$C$274)</f>
        <v>275.83809335721</v>
      </c>
      <c r="J282" s="23" t="n">
        <f aca="false">SUMPRODUCT(($B$258:$B$274=$A282)*J$258:J$274*$C$258:$C$274)</f>
        <v>275.83809335721</v>
      </c>
      <c r="K282" s="23" t="n">
        <f aca="false">SUMPRODUCT(($B$258:$B$274=$A282)*K$258:K$274*$C$258:$C$274)</f>
        <v>275.83809335721</v>
      </c>
      <c r="L282" s="23" t="n">
        <f aca="false">SUMPRODUCT(($B$258:$B$274=$A282)*L$258:L$274*$C$258:$C$274)</f>
        <v>275.83809335721</v>
      </c>
      <c r="M282" s="23" t="n">
        <f aca="false">SUMPRODUCT(($B$258:$B$274=$A282)*M$258:M$274*$C$258:$C$274)</f>
        <v>275.83809335721</v>
      </c>
      <c r="N282" s="23" t="n">
        <f aca="false">SUMPRODUCT(($B$258:$B$274=$A282)*N$258:N$274*$C$258:$C$274)</f>
        <v>275.83809335721</v>
      </c>
      <c r="O282" s="23" t="n">
        <f aca="false">SUMPRODUCT(($B$258:$B$274=$A282)*O$258:O$274*$C$258:$C$274)</f>
        <v>275.83809335721</v>
      </c>
      <c r="P282" s="23" t="n">
        <f aca="false">SUMPRODUCT(($B$258:$B$274=$A282)*P$258:P$274*$C$258:$C$274)</f>
        <v>3310.05712028652</v>
      </c>
    </row>
    <row r="283" customFormat="false" ht="15" hidden="false" customHeight="false" outlineLevel="0" collapsed="false">
      <c r="A283" s="4" t="s">
        <v>147</v>
      </c>
      <c r="D283" s="23" t="n">
        <f aca="false">SUMPRODUCT(($B$258:$B$274=$A283)*D$258:D$274*$C$258:$C$274)</f>
        <v>2020.22717355866</v>
      </c>
      <c r="E283" s="23" t="n">
        <f aca="false">SUMPRODUCT(($B$258:$B$274=$A283)*E$258:E$274*$C$258:$C$274)</f>
        <v>2020.22717355866</v>
      </c>
      <c r="F283" s="23" t="n">
        <f aca="false">SUMPRODUCT(($B$258:$B$274=$A283)*F$258:F$274*$C$258:$C$274)</f>
        <v>2020.22717355866</v>
      </c>
      <c r="G283" s="23" t="n">
        <f aca="false">SUMPRODUCT(($B$258:$B$274=$A283)*G$258:G$274*$C$258:$C$274)</f>
        <v>2020.22717355866</v>
      </c>
      <c r="H283" s="23" t="n">
        <f aca="false">SUMPRODUCT(($B$258:$B$274=$A283)*H$258:H$274*$C$258:$C$274)</f>
        <v>2020.22717355866</v>
      </c>
      <c r="I283" s="23" t="n">
        <f aca="false">SUMPRODUCT(($B$258:$B$274=$A283)*I$258:I$274*$C$258:$C$274)</f>
        <v>2020.22717355866</v>
      </c>
      <c r="J283" s="23" t="n">
        <f aca="false">SUMPRODUCT(($B$258:$B$274=$A283)*J$258:J$274*$C$258:$C$274)</f>
        <v>2020.22717355866</v>
      </c>
      <c r="K283" s="23" t="n">
        <f aca="false">SUMPRODUCT(($B$258:$B$274=$A283)*K$258:K$274*$C$258:$C$274)</f>
        <v>2020.22717355866</v>
      </c>
      <c r="L283" s="23" t="n">
        <f aca="false">SUMPRODUCT(($B$258:$B$274=$A283)*L$258:L$274*$C$258:$C$274)</f>
        <v>2020.22717355866</v>
      </c>
      <c r="M283" s="23" t="n">
        <f aca="false">SUMPRODUCT(($B$258:$B$274=$A283)*M$258:M$274*$C$258:$C$274)</f>
        <v>2020.22717355866</v>
      </c>
      <c r="N283" s="23" t="n">
        <f aca="false">SUMPRODUCT(($B$258:$B$274=$A283)*N$258:N$274*$C$258:$C$274)</f>
        <v>2020.22717355866</v>
      </c>
      <c r="O283" s="23" t="n">
        <f aca="false">SUMPRODUCT(($B$258:$B$274=$A283)*O$258:O$274*$C$258:$C$274)</f>
        <v>2020.22717355866</v>
      </c>
      <c r="P283" s="23" t="n">
        <f aca="false">SUMPRODUCT(($B$258:$B$274=$A283)*P$258:P$274*$C$258:$C$274)</f>
        <v>24242.7260827039</v>
      </c>
    </row>
    <row r="284" customFormat="false" ht="15" hidden="false" customHeight="false" outlineLevel="0" collapsed="false">
      <c r="A284" s="4" t="s">
        <v>150</v>
      </c>
      <c r="D284" s="23" t="n">
        <f aca="false">SUMPRODUCT(($B$258:$B$274=$A284)*D$258:D$274*$C$258:$C$274)</f>
        <v>83.4141886274099</v>
      </c>
      <c r="E284" s="23" t="n">
        <f aca="false">SUMPRODUCT(($B$258:$B$274=$A284)*E$258:E$274*$C$258:$C$274)</f>
        <v>83.4141886274099</v>
      </c>
      <c r="F284" s="23" t="n">
        <f aca="false">SUMPRODUCT(($B$258:$B$274=$A284)*F$258:F$274*$C$258:$C$274)</f>
        <v>83.4141886274099</v>
      </c>
      <c r="G284" s="23" t="n">
        <f aca="false">SUMPRODUCT(($B$258:$B$274=$A284)*G$258:G$274*$C$258:$C$274)</f>
        <v>83.4141886274099</v>
      </c>
      <c r="H284" s="23" t="n">
        <f aca="false">SUMPRODUCT(($B$258:$B$274=$A284)*H$258:H$274*$C$258:$C$274)</f>
        <v>83.4141886274099</v>
      </c>
      <c r="I284" s="23" t="n">
        <f aca="false">SUMPRODUCT(($B$258:$B$274=$A284)*I$258:I$274*$C$258:$C$274)</f>
        <v>83.4141886274099</v>
      </c>
      <c r="J284" s="23" t="n">
        <f aca="false">SUMPRODUCT(($B$258:$B$274=$A284)*J$258:J$274*$C$258:$C$274)</f>
        <v>83.4141886274099</v>
      </c>
      <c r="K284" s="23" t="n">
        <f aca="false">SUMPRODUCT(($B$258:$B$274=$A284)*K$258:K$274*$C$258:$C$274)</f>
        <v>83.4141886274099</v>
      </c>
      <c r="L284" s="23" t="n">
        <f aca="false">SUMPRODUCT(($B$258:$B$274=$A284)*L$258:L$274*$C$258:$C$274)</f>
        <v>83.4141886274099</v>
      </c>
      <c r="M284" s="23" t="n">
        <f aca="false">SUMPRODUCT(($B$258:$B$274=$A284)*M$258:M$274*$C$258:$C$274)</f>
        <v>83.4141886274099</v>
      </c>
      <c r="N284" s="23" t="n">
        <f aca="false">SUMPRODUCT(($B$258:$B$274=$A284)*N$258:N$274*$C$258:$C$274)</f>
        <v>83.4141886274099</v>
      </c>
      <c r="O284" s="23" t="n">
        <f aca="false">SUMPRODUCT(($B$258:$B$274=$A284)*O$258:O$274*$C$258:$C$274)</f>
        <v>83.4141886274099</v>
      </c>
      <c r="P284" s="23" t="n">
        <f aca="false">SUMPRODUCT(($B$258:$B$274=$A284)*P$258:P$274*$C$258:$C$274)</f>
        <v>1000.97026352892</v>
      </c>
    </row>
    <row r="285" customFormat="false" ht="15" hidden="false" customHeight="false" outlineLevel="0" collapsed="false">
      <c r="A285" s="6" t="s">
        <v>271</v>
      </c>
      <c r="D285" s="24" t="n">
        <f aca="false">SUMPRODUCT(D$258:D$274*parametros_recargas!$D$51:$D$67)</f>
        <v>1104.94195456296</v>
      </c>
      <c r="E285" s="24" t="n">
        <f aca="false">SUMPRODUCT(E$258:E$274*parametros_recargas!$D$51:$D$67)</f>
        <v>1104.94195456296</v>
      </c>
      <c r="F285" s="24" t="n">
        <f aca="false">SUMPRODUCT(F$258:F$274*parametros_recargas!$D$51:$D$67)</f>
        <v>1104.94195456296</v>
      </c>
      <c r="G285" s="24" t="n">
        <f aca="false">SUMPRODUCT(G$258:G$274*parametros_recargas!$D$51:$D$67)</f>
        <v>1104.94195456296</v>
      </c>
      <c r="H285" s="24" t="n">
        <f aca="false">SUMPRODUCT(H$258:H$274*parametros_recargas!$D$51:$D$67)</f>
        <v>1104.94195456296</v>
      </c>
      <c r="I285" s="24" t="n">
        <f aca="false">SUMPRODUCT(I$258:I$274*parametros_recargas!$D$51:$D$67)</f>
        <v>1104.94195456296</v>
      </c>
      <c r="J285" s="24" t="n">
        <f aca="false">SUMPRODUCT(J$258:J$274*parametros_recargas!$D$51:$D$67)</f>
        <v>1104.94195456296</v>
      </c>
      <c r="K285" s="24" t="n">
        <f aca="false">SUMPRODUCT(K$258:K$274*parametros_recargas!$D$51:$D$67)</f>
        <v>1104.94195456296</v>
      </c>
      <c r="L285" s="24" t="n">
        <f aca="false">SUMPRODUCT(L$258:L$274*parametros_recargas!$D$51:$D$67)</f>
        <v>1104.94195456296</v>
      </c>
      <c r="M285" s="24" t="n">
        <f aca="false">SUMPRODUCT(M$258:M$274*parametros_recargas!$D$51:$D$67)</f>
        <v>1104.94195456296</v>
      </c>
      <c r="N285" s="24" t="n">
        <f aca="false">SUMPRODUCT(N$258:N$274*parametros_recargas!$D$51:$D$67)</f>
        <v>1104.94195456296</v>
      </c>
      <c r="O285" s="24" t="n">
        <f aca="false">SUMPRODUCT(O$258:O$274*parametros_recargas!$D$51:$D$67)</f>
        <v>1104.94195456296</v>
      </c>
      <c r="P285" s="24" t="n">
        <f aca="false">SUMPRODUCT(P$258:P$274*parametros_recargas!$D$51:$D$67)</f>
        <v>13259.3034547555</v>
      </c>
    </row>
    <row r="289" customFormat="false" ht="23.85" hidden="false" customHeight="false" outlineLevel="0" collapsed="false">
      <c r="A289" s="21" t="n">
        <v>2035</v>
      </c>
      <c r="B289" s="3" t="s">
        <v>266</v>
      </c>
      <c r="C289" s="3" t="s">
        <v>267</v>
      </c>
      <c r="D289" s="3" t="s">
        <v>120</v>
      </c>
      <c r="E289" s="3" t="s">
        <v>121</v>
      </c>
      <c r="F289" s="3" t="s">
        <v>122</v>
      </c>
      <c r="G289" s="3" t="s">
        <v>123</v>
      </c>
      <c r="H289" s="3" t="s">
        <v>124</v>
      </c>
      <c r="I289" s="3" t="s">
        <v>125</v>
      </c>
      <c r="J289" s="3" t="s">
        <v>126</v>
      </c>
      <c r="K289" s="3" t="s">
        <v>127</v>
      </c>
      <c r="L289" s="3" t="s">
        <v>128</v>
      </c>
      <c r="M289" s="3" t="s">
        <v>129</v>
      </c>
      <c r="N289" s="3" t="s">
        <v>130</v>
      </c>
      <c r="O289" s="3" t="s">
        <v>131</v>
      </c>
      <c r="P289" s="3" t="s">
        <v>132</v>
      </c>
      <c r="Q289" s="3" t="s">
        <v>268</v>
      </c>
    </row>
    <row r="290" customFormat="false" ht="15" hidden="false" customHeight="false" outlineLevel="0" collapsed="false">
      <c r="A290" s="12" t="str">
        <f aca="false">parametros_recargas!A51</f>
        <v>ABC 1 kg</v>
      </c>
      <c r="B290" s="12" t="str">
        <f aca="false">parametros_recargas!B51</f>
        <v>ABC</v>
      </c>
      <c r="C290" s="22" t="n">
        <f aca="false">parametros_recargas!C51</f>
        <v>1</v>
      </c>
      <c r="D290" s="23" t="n">
        <f aca="false">datos_base!$K$2*parametros_recargas!$B$46+sobrestock_sustitutos!$K$175/12</f>
        <v>11642.2378185722</v>
      </c>
      <c r="E290" s="23" t="n">
        <f aca="false">datos_base!$K$2*parametros_recargas!$C$46+sobrestock_sustitutos!$K$175/12</f>
        <v>11642.2378185722</v>
      </c>
      <c r="F290" s="23" t="n">
        <f aca="false">datos_base!$K$2*parametros_recargas!$D$46+sobrestock_sustitutos!$K$175/12</f>
        <v>11642.2378185722</v>
      </c>
      <c r="G290" s="23" t="n">
        <f aca="false">datos_base!$K$2*parametros_recargas!$E$46+sobrestock_sustitutos!$K$175/12</f>
        <v>11642.2378185722</v>
      </c>
      <c r="H290" s="23" t="n">
        <f aca="false">datos_base!$K$2*parametros_recargas!$F$46+sobrestock_sustitutos!$K$175/12</f>
        <v>11642.2378185722</v>
      </c>
      <c r="I290" s="23" t="n">
        <f aca="false">datos_base!$K$2*parametros_recargas!$G$46+sobrestock_sustitutos!$K$175/12</f>
        <v>11642.2378185722</v>
      </c>
      <c r="J290" s="23" t="n">
        <f aca="false">datos_base!$K$2*parametros_recargas!$H$46+sobrestock_sustitutos!$K$175/12</f>
        <v>11642.2378185722</v>
      </c>
      <c r="K290" s="23" t="n">
        <f aca="false">datos_base!$K$2*parametros_recargas!$I$46+sobrestock_sustitutos!$K$175/12</f>
        <v>11642.2378185722</v>
      </c>
      <c r="L290" s="23" t="n">
        <f aca="false">datos_base!$K$2*parametros_recargas!$J$46+sobrestock_sustitutos!$K$175/12</f>
        <v>11642.2378185722</v>
      </c>
      <c r="M290" s="23" t="n">
        <f aca="false">datos_base!$K$2*parametros_recargas!$K$46+sobrestock_sustitutos!$K$175/12</f>
        <v>11642.2378185722</v>
      </c>
      <c r="N290" s="23" t="n">
        <f aca="false">datos_base!$K$2*parametros_recargas!$L$46+sobrestock_sustitutos!$K$175/12</f>
        <v>11642.2378185722</v>
      </c>
      <c r="O290" s="23" t="n">
        <f aca="false">datos_base!$K$2*parametros_recargas!$M$46+sobrestock_sustitutos!$K$175/12</f>
        <v>11642.2378185722</v>
      </c>
      <c r="P290" s="7" t="n">
        <f aca="false">SUM(D290:O290)</f>
        <v>139706.853822866</v>
      </c>
      <c r="Q290" s="13" t="n">
        <f aca="false">sobrestock_sustitutos!$K$175</f>
        <v>0</v>
      </c>
    </row>
    <row r="291" customFormat="false" ht="15" hidden="false" customHeight="false" outlineLevel="0" collapsed="false">
      <c r="A291" s="12" t="str">
        <f aca="false">parametros_recargas!A52</f>
        <v>ABC 2,5 kg</v>
      </c>
      <c r="B291" s="12" t="str">
        <f aca="false">parametros_recargas!B52</f>
        <v>ABC</v>
      </c>
      <c r="C291" s="22" t="n">
        <f aca="false">parametros_recargas!C52</f>
        <v>1</v>
      </c>
      <c r="D291" s="23" t="n">
        <f aca="false">datos_base!$K$3*parametros_recargas!$B$46+sobrestock_sustitutos!$K$176/12</f>
        <v>985.837587495586</v>
      </c>
      <c r="E291" s="23" t="n">
        <f aca="false">datos_base!$K$3*parametros_recargas!$C$46+sobrestock_sustitutos!$K$176/12</f>
        <v>985.837587495586</v>
      </c>
      <c r="F291" s="23" t="n">
        <f aca="false">datos_base!$K$3*parametros_recargas!$D$46+sobrestock_sustitutos!$K$176/12</f>
        <v>985.837587495586</v>
      </c>
      <c r="G291" s="23" t="n">
        <f aca="false">datos_base!$K$3*parametros_recargas!$E$46+sobrestock_sustitutos!$K$176/12</f>
        <v>985.837587495586</v>
      </c>
      <c r="H291" s="23" t="n">
        <f aca="false">datos_base!$K$3*parametros_recargas!$F$46+sobrestock_sustitutos!$K$176/12</f>
        <v>985.837587495586</v>
      </c>
      <c r="I291" s="23" t="n">
        <f aca="false">datos_base!$K$3*parametros_recargas!$G$46+sobrestock_sustitutos!$K$176/12</f>
        <v>985.837587495586</v>
      </c>
      <c r="J291" s="23" t="n">
        <f aca="false">datos_base!$K$3*parametros_recargas!$H$46+sobrestock_sustitutos!$K$176/12</f>
        <v>985.837587495586</v>
      </c>
      <c r="K291" s="23" t="n">
        <f aca="false">datos_base!$K$3*parametros_recargas!$I$46+sobrestock_sustitutos!$K$176/12</f>
        <v>985.837587495586</v>
      </c>
      <c r="L291" s="23" t="n">
        <f aca="false">datos_base!$K$3*parametros_recargas!$J$46+sobrestock_sustitutos!$K$176/12</f>
        <v>985.837587495586</v>
      </c>
      <c r="M291" s="23" t="n">
        <f aca="false">datos_base!$K$3*parametros_recargas!$K$46+sobrestock_sustitutos!$K$176/12</f>
        <v>985.837587495586</v>
      </c>
      <c r="N291" s="23" t="n">
        <f aca="false">datos_base!$K$3*parametros_recargas!$L$46+sobrestock_sustitutos!$K$176/12</f>
        <v>985.837587495586</v>
      </c>
      <c r="O291" s="23" t="n">
        <f aca="false">datos_base!$K$3*parametros_recargas!$M$46+sobrestock_sustitutos!$K$176/12</f>
        <v>985.837587495586</v>
      </c>
      <c r="P291" s="7" t="n">
        <f aca="false">SUM(D291:O291)</f>
        <v>11830.051049947</v>
      </c>
      <c r="Q291" s="13" t="n">
        <f aca="false">sobrestock_sustitutos!$K$176</f>
        <v>0</v>
      </c>
    </row>
    <row r="292" customFormat="false" ht="15" hidden="false" customHeight="false" outlineLevel="0" collapsed="false">
      <c r="A292" s="12" t="str">
        <f aca="false">parametros_recargas!A53</f>
        <v>ABC 5 kg</v>
      </c>
      <c r="B292" s="12" t="str">
        <f aca="false">parametros_recargas!B53</f>
        <v>ABC</v>
      </c>
      <c r="C292" s="22" t="n">
        <f aca="false">parametros_recargas!C53</f>
        <v>1</v>
      </c>
      <c r="D292" s="23" t="n">
        <f aca="false">datos_base!$K$4*parametros_recargas!$B$46+sobrestock_sustitutos!$K$177/12</f>
        <v>7925.48798992464</v>
      </c>
      <c r="E292" s="23" t="n">
        <f aca="false">datos_base!$K$4*parametros_recargas!$C$46+sobrestock_sustitutos!$K$177/12</f>
        <v>7925.48798992464</v>
      </c>
      <c r="F292" s="23" t="n">
        <f aca="false">datos_base!$K$4*parametros_recargas!$D$46+sobrestock_sustitutos!$K$177/12</f>
        <v>7925.48798992464</v>
      </c>
      <c r="G292" s="23" t="n">
        <f aca="false">datos_base!$K$4*parametros_recargas!$E$46+sobrestock_sustitutos!$K$177/12</f>
        <v>7925.48798992464</v>
      </c>
      <c r="H292" s="23" t="n">
        <f aca="false">datos_base!$K$4*parametros_recargas!$F$46+sobrestock_sustitutos!$K$177/12</f>
        <v>7925.48798992464</v>
      </c>
      <c r="I292" s="23" t="n">
        <f aca="false">datos_base!$K$4*parametros_recargas!$G$46+sobrestock_sustitutos!$K$177/12</f>
        <v>7925.48798992464</v>
      </c>
      <c r="J292" s="23" t="n">
        <f aca="false">datos_base!$K$4*parametros_recargas!$H$46+sobrestock_sustitutos!$K$177/12</f>
        <v>7925.48798992464</v>
      </c>
      <c r="K292" s="23" t="n">
        <f aca="false">datos_base!$K$4*parametros_recargas!$I$46+sobrestock_sustitutos!$K$177/12</f>
        <v>7925.48798992464</v>
      </c>
      <c r="L292" s="23" t="n">
        <f aca="false">datos_base!$K$4*parametros_recargas!$J$46+sobrestock_sustitutos!$K$177/12</f>
        <v>7925.48798992464</v>
      </c>
      <c r="M292" s="23" t="n">
        <f aca="false">datos_base!$K$4*parametros_recargas!$K$46+sobrestock_sustitutos!$K$177/12</f>
        <v>7925.48798992464</v>
      </c>
      <c r="N292" s="23" t="n">
        <f aca="false">datos_base!$K$4*parametros_recargas!$L$46+sobrestock_sustitutos!$K$177/12</f>
        <v>7925.48798992464</v>
      </c>
      <c r="O292" s="23" t="n">
        <f aca="false">datos_base!$K$4*parametros_recargas!$M$46+sobrestock_sustitutos!$K$177/12</f>
        <v>7925.48798992464</v>
      </c>
      <c r="P292" s="7" t="n">
        <f aca="false">SUM(D292:O292)</f>
        <v>95105.8558790957</v>
      </c>
      <c r="Q292" s="13" t="n">
        <f aca="false">sobrestock_sustitutos!$K$177</f>
        <v>23150</v>
      </c>
    </row>
    <row r="293" customFormat="false" ht="15" hidden="false" customHeight="false" outlineLevel="0" collapsed="false">
      <c r="A293" s="12" t="str">
        <f aca="false">parametros_recargas!A54</f>
        <v>ABC 10 kg</v>
      </c>
      <c r="B293" s="12" t="str">
        <f aca="false">parametros_recargas!B54</f>
        <v>ABC</v>
      </c>
      <c r="C293" s="22" t="n">
        <f aca="false">parametros_recargas!C54</f>
        <v>1</v>
      </c>
      <c r="D293" s="23" t="n">
        <f aca="false">datos_base!$K$5*parametros_recargas!$B$46+sobrestock_sustitutos!$K$178/12</f>
        <v>453.215108155122</v>
      </c>
      <c r="E293" s="23" t="n">
        <f aca="false">datos_base!$K$5*parametros_recargas!$C$46+sobrestock_sustitutos!$K$178/12</f>
        <v>453.215108155122</v>
      </c>
      <c r="F293" s="23" t="n">
        <f aca="false">datos_base!$K$5*parametros_recargas!$D$46+sobrestock_sustitutos!$K$178/12</f>
        <v>453.215108155122</v>
      </c>
      <c r="G293" s="23" t="n">
        <f aca="false">datos_base!$K$5*parametros_recargas!$E$46+sobrestock_sustitutos!$K$178/12</f>
        <v>453.215108155122</v>
      </c>
      <c r="H293" s="23" t="n">
        <f aca="false">datos_base!$K$5*parametros_recargas!$F$46+sobrestock_sustitutos!$K$178/12</f>
        <v>453.215108155122</v>
      </c>
      <c r="I293" s="23" t="n">
        <f aca="false">datos_base!$K$5*parametros_recargas!$G$46+sobrestock_sustitutos!$K$178/12</f>
        <v>453.215108155122</v>
      </c>
      <c r="J293" s="23" t="n">
        <f aca="false">datos_base!$K$5*parametros_recargas!$H$46+sobrestock_sustitutos!$K$178/12</f>
        <v>453.215108155122</v>
      </c>
      <c r="K293" s="23" t="n">
        <f aca="false">datos_base!$K$5*parametros_recargas!$I$46+sobrestock_sustitutos!$K$178/12</f>
        <v>453.215108155122</v>
      </c>
      <c r="L293" s="23" t="n">
        <f aca="false">datos_base!$K$5*parametros_recargas!$J$46+sobrestock_sustitutos!$K$178/12</f>
        <v>453.215108155122</v>
      </c>
      <c r="M293" s="23" t="n">
        <f aca="false">datos_base!$K$5*parametros_recargas!$K$46+sobrestock_sustitutos!$K$178/12</f>
        <v>453.215108155122</v>
      </c>
      <c r="N293" s="23" t="n">
        <f aca="false">datos_base!$K$5*parametros_recargas!$L$46+sobrestock_sustitutos!$K$178/12</f>
        <v>453.215108155122</v>
      </c>
      <c r="O293" s="23" t="n">
        <f aca="false">datos_base!$K$5*parametros_recargas!$M$46+sobrestock_sustitutos!$K$178/12</f>
        <v>453.215108155122</v>
      </c>
      <c r="P293" s="7" t="n">
        <f aca="false">SUM(D293:O293)</f>
        <v>5438.58129786147</v>
      </c>
      <c r="Q293" s="13" t="n">
        <f aca="false">sobrestock_sustitutos!$K$178</f>
        <v>1178</v>
      </c>
    </row>
    <row r="294" customFormat="false" ht="15" hidden="false" customHeight="false" outlineLevel="0" collapsed="false">
      <c r="A294" s="12" t="str">
        <f aca="false">parametros_recargas!A55</f>
        <v>Agua 10 l</v>
      </c>
      <c r="B294" s="12" t="str">
        <f aca="false">parametros_recargas!B55</f>
        <v>Agua</v>
      </c>
      <c r="C294" s="22" t="n">
        <f aca="false">parametros_recargas!C55</f>
        <v>1</v>
      </c>
      <c r="D294" s="23" t="n">
        <f aca="false">datos_base!$K$6*parametros_recargas!$B$46+sobrestock_sustitutos!$K$179/12</f>
        <v>616.581746734774</v>
      </c>
      <c r="E294" s="23" t="n">
        <f aca="false">datos_base!$K$6*parametros_recargas!$C$46+sobrestock_sustitutos!$K$179/12</f>
        <v>616.581746734774</v>
      </c>
      <c r="F294" s="23" t="n">
        <f aca="false">datos_base!$K$6*parametros_recargas!$D$46+sobrestock_sustitutos!$K$179/12</f>
        <v>616.581746734774</v>
      </c>
      <c r="G294" s="23" t="n">
        <f aca="false">datos_base!$K$6*parametros_recargas!$E$46+sobrestock_sustitutos!$K$179/12</f>
        <v>616.581746734774</v>
      </c>
      <c r="H294" s="23" t="n">
        <f aca="false">datos_base!$K$6*parametros_recargas!$F$46+sobrestock_sustitutos!$K$179/12</f>
        <v>616.581746734774</v>
      </c>
      <c r="I294" s="23" t="n">
        <f aca="false">datos_base!$K$6*parametros_recargas!$G$46+sobrestock_sustitutos!$K$179/12</f>
        <v>616.581746734774</v>
      </c>
      <c r="J294" s="23" t="n">
        <f aca="false">datos_base!$K$6*parametros_recargas!$H$46+sobrestock_sustitutos!$K$179/12</f>
        <v>616.581746734774</v>
      </c>
      <c r="K294" s="23" t="n">
        <f aca="false">datos_base!$K$6*parametros_recargas!$I$46+sobrestock_sustitutos!$K$179/12</f>
        <v>616.581746734774</v>
      </c>
      <c r="L294" s="23" t="n">
        <f aca="false">datos_base!$K$6*parametros_recargas!$J$46+sobrestock_sustitutos!$K$179/12</f>
        <v>616.581746734774</v>
      </c>
      <c r="M294" s="23" t="n">
        <f aca="false">datos_base!$K$6*parametros_recargas!$K$46+sobrestock_sustitutos!$K$179/12</f>
        <v>616.581746734774</v>
      </c>
      <c r="N294" s="23" t="n">
        <f aca="false">datos_base!$K$6*parametros_recargas!$L$46+sobrestock_sustitutos!$K$179/12</f>
        <v>616.581746734774</v>
      </c>
      <c r="O294" s="23" t="n">
        <f aca="false">datos_base!$K$6*parametros_recargas!$M$46+sobrestock_sustitutos!$K$179/12</f>
        <v>616.581746734774</v>
      </c>
      <c r="P294" s="7" t="n">
        <f aca="false">SUM(D294:O294)</f>
        <v>7398.98096081728</v>
      </c>
      <c r="Q294" s="13" t="n">
        <f aca="false">sobrestock_sustitutos!$K$179</f>
        <v>1384</v>
      </c>
    </row>
    <row r="295" customFormat="false" ht="15" hidden="false" customHeight="false" outlineLevel="0" collapsed="false">
      <c r="A295" s="12" t="str">
        <f aca="false">parametros_recargas!A56</f>
        <v>AFFF 10 l</v>
      </c>
      <c r="B295" s="12" t="str">
        <f aca="false">parametros_recargas!B56</f>
        <v>AFFF</v>
      </c>
      <c r="C295" s="22" t="n">
        <f aca="false">parametros_recargas!C56</f>
        <v>1</v>
      </c>
      <c r="D295" s="23" t="n">
        <f aca="false">datos_base!$K$7*parametros_recargas!$B$46+sobrestock_sustitutos!$K$180/12</f>
        <v>116.915236090235</v>
      </c>
      <c r="E295" s="23" t="n">
        <f aca="false">datos_base!$K$7*parametros_recargas!$C$46+sobrestock_sustitutos!$K$180/12</f>
        <v>116.915236090235</v>
      </c>
      <c r="F295" s="23" t="n">
        <f aca="false">datos_base!$K$7*parametros_recargas!$D$46+sobrestock_sustitutos!$K$180/12</f>
        <v>116.915236090235</v>
      </c>
      <c r="G295" s="23" t="n">
        <f aca="false">datos_base!$K$7*parametros_recargas!$E$46+sobrestock_sustitutos!$K$180/12</f>
        <v>116.915236090235</v>
      </c>
      <c r="H295" s="23" t="n">
        <f aca="false">datos_base!$K$7*parametros_recargas!$F$46+sobrestock_sustitutos!$K$180/12</f>
        <v>116.915236090235</v>
      </c>
      <c r="I295" s="23" t="n">
        <f aca="false">datos_base!$K$7*parametros_recargas!$G$46+sobrestock_sustitutos!$K$180/12</f>
        <v>116.915236090235</v>
      </c>
      <c r="J295" s="23" t="n">
        <f aca="false">datos_base!$K$7*parametros_recargas!$H$46+sobrestock_sustitutos!$K$180/12</f>
        <v>116.915236090235</v>
      </c>
      <c r="K295" s="23" t="n">
        <f aca="false">datos_base!$K$7*parametros_recargas!$I$46+sobrestock_sustitutos!$K$180/12</f>
        <v>116.915236090235</v>
      </c>
      <c r="L295" s="23" t="n">
        <f aca="false">datos_base!$K$7*parametros_recargas!$J$46+sobrestock_sustitutos!$K$180/12</f>
        <v>116.915236090235</v>
      </c>
      <c r="M295" s="23" t="n">
        <f aca="false">datos_base!$K$7*parametros_recargas!$K$46+sobrestock_sustitutos!$K$180/12</f>
        <v>116.915236090235</v>
      </c>
      <c r="N295" s="23" t="n">
        <f aca="false">datos_base!$K$7*parametros_recargas!$L$46+sobrestock_sustitutos!$K$180/12</f>
        <v>116.915236090235</v>
      </c>
      <c r="O295" s="23" t="n">
        <f aca="false">datos_base!$K$7*parametros_recargas!$M$46+sobrestock_sustitutos!$K$180/12</f>
        <v>116.915236090235</v>
      </c>
      <c r="P295" s="7" t="n">
        <f aca="false">SUM(D295:O295)</f>
        <v>1402.98283308282</v>
      </c>
      <c r="Q295" s="13" t="n">
        <f aca="false">sobrestock_sustitutos!$K$180</f>
        <v>261</v>
      </c>
    </row>
    <row r="296" customFormat="false" ht="15" hidden="false" customHeight="false" outlineLevel="0" collapsed="false">
      <c r="A296" s="12" t="str">
        <f aca="false">parametros_recargas!A57</f>
        <v>AFFF 50 l s/ruedas</v>
      </c>
      <c r="B296" s="12" t="str">
        <f aca="false">parametros_recargas!B57</f>
        <v>AFFF</v>
      </c>
      <c r="C296" s="22" t="n">
        <f aca="false">parametros_recargas!C57</f>
        <v>3</v>
      </c>
      <c r="D296" s="23" t="n">
        <f aca="false">datos_base!$K$8*parametros_recargas!$B$46+sobrestock_sustitutos!$K$181/12</f>
        <v>61.0236642925877</v>
      </c>
      <c r="E296" s="23" t="n">
        <f aca="false">datos_base!$K$8*parametros_recargas!$C$46+sobrestock_sustitutos!$K$181/12</f>
        <v>61.0236642925877</v>
      </c>
      <c r="F296" s="23" t="n">
        <f aca="false">datos_base!$K$8*parametros_recargas!$D$46+sobrestock_sustitutos!$K$181/12</f>
        <v>61.0236642925877</v>
      </c>
      <c r="G296" s="23" t="n">
        <f aca="false">datos_base!$K$8*parametros_recargas!$E$46+sobrestock_sustitutos!$K$181/12</f>
        <v>61.0236642925877</v>
      </c>
      <c r="H296" s="23" t="n">
        <f aca="false">datos_base!$K$8*parametros_recargas!$F$46+sobrestock_sustitutos!$K$181/12</f>
        <v>61.0236642925877</v>
      </c>
      <c r="I296" s="23" t="n">
        <f aca="false">datos_base!$K$8*parametros_recargas!$G$46+sobrestock_sustitutos!$K$181/12</f>
        <v>61.0236642925877</v>
      </c>
      <c r="J296" s="23" t="n">
        <f aca="false">datos_base!$K$8*parametros_recargas!$H$46+sobrestock_sustitutos!$K$181/12</f>
        <v>61.0236642925877</v>
      </c>
      <c r="K296" s="23" t="n">
        <f aca="false">datos_base!$K$8*parametros_recargas!$I$46+sobrestock_sustitutos!$K$181/12</f>
        <v>61.0236642925877</v>
      </c>
      <c r="L296" s="23" t="n">
        <f aca="false">datos_base!$K$8*parametros_recargas!$J$46+sobrestock_sustitutos!$K$181/12</f>
        <v>61.0236642925877</v>
      </c>
      <c r="M296" s="23" t="n">
        <f aca="false">datos_base!$K$8*parametros_recargas!$K$46+sobrestock_sustitutos!$K$181/12</f>
        <v>61.0236642925877</v>
      </c>
      <c r="N296" s="23" t="n">
        <f aca="false">datos_base!$K$8*parametros_recargas!$L$46+sobrestock_sustitutos!$K$181/12</f>
        <v>61.0236642925877</v>
      </c>
      <c r="O296" s="23" t="n">
        <f aca="false">datos_base!$K$8*parametros_recargas!$M$46+sobrestock_sustitutos!$K$181/12</f>
        <v>61.0236642925877</v>
      </c>
      <c r="P296" s="7" t="n">
        <f aca="false">SUM(D296:O296)</f>
        <v>732.283971511053</v>
      </c>
      <c r="Q296" s="13" t="n">
        <f aca="false">sobrestock_sustitutos!$K$181</f>
        <v>137</v>
      </c>
    </row>
    <row r="297" customFormat="false" ht="15" hidden="false" customHeight="false" outlineLevel="0" collapsed="false">
      <c r="A297" s="12" t="str">
        <f aca="false">parametros_recargas!A58</f>
        <v>BC 5 kg</v>
      </c>
      <c r="B297" s="12" t="str">
        <f aca="false">parametros_recargas!B58</f>
        <v>BC</v>
      </c>
      <c r="C297" s="22" t="n">
        <f aca="false">parametros_recargas!C58</f>
        <v>1</v>
      </c>
      <c r="D297" s="23" t="n">
        <f aca="false">datos_base!$K$9*parametros_recargas!$B$46+sobrestock_sustitutos!$K$182/12</f>
        <v>36.5935705830839</v>
      </c>
      <c r="E297" s="23" t="n">
        <f aca="false">datos_base!$K$9*parametros_recargas!$C$46+sobrestock_sustitutos!$K$182/12</f>
        <v>36.5935705830839</v>
      </c>
      <c r="F297" s="23" t="n">
        <f aca="false">datos_base!$K$9*parametros_recargas!$D$46+sobrestock_sustitutos!$K$182/12</f>
        <v>36.5935705830839</v>
      </c>
      <c r="G297" s="23" t="n">
        <f aca="false">datos_base!$K$9*parametros_recargas!$E$46+sobrestock_sustitutos!$K$182/12</f>
        <v>36.5935705830839</v>
      </c>
      <c r="H297" s="23" t="n">
        <f aca="false">datos_base!$K$9*parametros_recargas!$F$46+sobrestock_sustitutos!$K$182/12</f>
        <v>36.5935705830839</v>
      </c>
      <c r="I297" s="23" t="n">
        <f aca="false">datos_base!$K$9*parametros_recargas!$G$46+sobrestock_sustitutos!$K$182/12</f>
        <v>36.5935705830839</v>
      </c>
      <c r="J297" s="23" t="n">
        <f aca="false">datos_base!$K$9*parametros_recargas!$H$46+sobrestock_sustitutos!$K$182/12</f>
        <v>36.5935705830839</v>
      </c>
      <c r="K297" s="23" t="n">
        <f aca="false">datos_base!$K$9*parametros_recargas!$I$46+sobrestock_sustitutos!$K$182/12</f>
        <v>36.5935705830839</v>
      </c>
      <c r="L297" s="23" t="n">
        <f aca="false">datos_base!$K$9*parametros_recargas!$J$46+sobrestock_sustitutos!$K$182/12</f>
        <v>36.5935705830839</v>
      </c>
      <c r="M297" s="23" t="n">
        <f aca="false">datos_base!$K$9*parametros_recargas!$K$46+sobrestock_sustitutos!$K$182/12</f>
        <v>36.5935705830839</v>
      </c>
      <c r="N297" s="23" t="n">
        <f aca="false">datos_base!$K$9*parametros_recargas!$L$46+sobrestock_sustitutos!$K$182/12</f>
        <v>36.5935705830839</v>
      </c>
      <c r="O297" s="23" t="n">
        <f aca="false">datos_base!$K$9*parametros_recargas!$M$46+sobrestock_sustitutos!$K$182/12</f>
        <v>36.5935705830839</v>
      </c>
      <c r="P297" s="7" t="n">
        <f aca="false">SUM(D297:O297)</f>
        <v>439.122846997007</v>
      </c>
      <c r="Q297" s="13" t="n">
        <f aca="false">sobrestock_sustitutos!$K$182</f>
        <v>95</v>
      </c>
    </row>
    <row r="298" customFormat="false" ht="15" hidden="false" customHeight="false" outlineLevel="0" collapsed="false">
      <c r="A298" s="12" t="str">
        <f aca="false">parametros_recargas!A59</f>
        <v>Sales K 6 l</v>
      </c>
      <c r="B298" s="12" t="str">
        <f aca="false">parametros_recargas!B59</f>
        <v>Sales K</v>
      </c>
      <c r="C298" s="22" t="n">
        <f aca="false">parametros_recargas!C59</f>
        <v>1</v>
      </c>
      <c r="D298" s="23" t="n">
        <f aca="false">datos_base!$K$10*parametros_recargas!$B$46+sobrestock_sustitutos!$K$183/12</f>
        <v>304.026399972922</v>
      </c>
      <c r="E298" s="23" t="n">
        <f aca="false">datos_base!$K$10*parametros_recargas!$C$46+sobrestock_sustitutos!$K$183/12</f>
        <v>304.026399972922</v>
      </c>
      <c r="F298" s="23" t="n">
        <f aca="false">datos_base!$K$10*parametros_recargas!$D$46+sobrestock_sustitutos!$K$183/12</f>
        <v>304.026399972922</v>
      </c>
      <c r="G298" s="23" t="n">
        <f aca="false">datos_base!$K$10*parametros_recargas!$E$46+sobrestock_sustitutos!$K$183/12</f>
        <v>304.026399972922</v>
      </c>
      <c r="H298" s="23" t="n">
        <f aca="false">datos_base!$K$10*parametros_recargas!$F$46+sobrestock_sustitutos!$K$183/12</f>
        <v>304.026399972922</v>
      </c>
      <c r="I298" s="23" t="n">
        <f aca="false">datos_base!$K$10*parametros_recargas!$G$46+sobrestock_sustitutos!$K$183/12</f>
        <v>304.026399972922</v>
      </c>
      <c r="J298" s="23" t="n">
        <f aca="false">datos_base!$K$10*parametros_recargas!$H$46+sobrestock_sustitutos!$K$183/12</f>
        <v>304.026399972922</v>
      </c>
      <c r="K298" s="23" t="n">
        <f aca="false">datos_base!$K$10*parametros_recargas!$I$46+sobrestock_sustitutos!$K$183/12</f>
        <v>304.026399972922</v>
      </c>
      <c r="L298" s="23" t="n">
        <f aca="false">datos_base!$K$10*parametros_recargas!$J$46+sobrestock_sustitutos!$K$183/12</f>
        <v>304.026399972922</v>
      </c>
      <c r="M298" s="23" t="n">
        <f aca="false">datos_base!$K$10*parametros_recargas!$K$46+sobrestock_sustitutos!$K$183/12</f>
        <v>304.026399972922</v>
      </c>
      <c r="N298" s="23" t="n">
        <f aca="false">datos_base!$K$10*parametros_recargas!$L$46+sobrestock_sustitutos!$K$183/12</f>
        <v>304.026399972922</v>
      </c>
      <c r="O298" s="23" t="n">
        <f aca="false">datos_base!$K$10*parametros_recargas!$M$46+sobrestock_sustitutos!$K$183/12</f>
        <v>304.026399972922</v>
      </c>
      <c r="P298" s="7" t="n">
        <f aca="false">SUM(D298:O298)</f>
        <v>3648.31679967506</v>
      </c>
      <c r="Q298" s="13" t="n">
        <f aca="false">sobrestock_sustitutos!$K$183</f>
        <v>682</v>
      </c>
    </row>
    <row r="299" customFormat="false" ht="15" hidden="false" customHeight="false" outlineLevel="0" collapsed="false">
      <c r="A299" s="12" t="str">
        <f aca="false">parametros_recargas!A60</f>
        <v>CO₂ 2 kg</v>
      </c>
      <c r="B299" s="12" t="str">
        <f aca="false">parametros_recargas!B60</f>
        <v>CO₂</v>
      </c>
      <c r="C299" s="22" t="n">
        <f aca="false">parametros_recargas!C60</f>
        <v>1</v>
      </c>
      <c r="D299" s="23" t="n">
        <f aca="false">datos_base!$K$11*parametros_recargas!$B$46+sobrestock_sustitutos!$K$184/12</f>
        <v>1348.46569837936</v>
      </c>
      <c r="E299" s="23" t="n">
        <f aca="false">datos_base!$K$11*parametros_recargas!$C$46+sobrestock_sustitutos!$K$184/12</f>
        <v>1348.46569837936</v>
      </c>
      <c r="F299" s="23" t="n">
        <f aca="false">datos_base!$K$11*parametros_recargas!$D$46+sobrestock_sustitutos!$K$184/12</f>
        <v>1348.46569837936</v>
      </c>
      <c r="G299" s="23" t="n">
        <f aca="false">datos_base!$K$11*parametros_recargas!$E$46+sobrestock_sustitutos!$K$184/12</f>
        <v>1348.46569837936</v>
      </c>
      <c r="H299" s="23" t="n">
        <f aca="false">datos_base!$K$11*parametros_recargas!$F$46+sobrestock_sustitutos!$K$184/12</f>
        <v>1348.46569837936</v>
      </c>
      <c r="I299" s="23" t="n">
        <f aca="false">datos_base!$K$11*parametros_recargas!$G$46+sobrestock_sustitutos!$K$184/12</f>
        <v>1348.46569837936</v>
      </c>
      <c r="J299" s="23" t="n">
        <f aca="false">datos_base!$K$11*parametros_recargas!$H$46+sobrestock_sustitutos!$K$184/12</f>
        <v>1348.46569837936</v>
      </c>
      <c r="K299" s="23" t="n">
        <f aca="false">datos_base!$K$11*parametros_recargas!$I$46+sobrestock_sustitutos!$K$184/12</f>
        <v>1348.46569837936</v>
      </c>
      <c r="L299" s="23" t="n">
        <f aca="false">datos_base!$K$11*parametros_recargas!$J$46+sobrestock_sustitutos!$K$184/12</f>
        <v>1348.46569837936</v>
      </c>
      <c r="M299" s="23" t="n">
        <f aca="false">datos_base!$K$11*parametros_recargas!$K$46+sobrestock_sustitutos!$K$184/12</f>
        <v>1348.46569837936</v>
      </c>
      <c r="N299" s="23" t="n">
        <f aca="false">datos_base!$K$11*parametros_recargas!$L$46+sobrestock_sustitutos!$K$184/12</f>
        <v>1348.46569837936</v>
      </c>
      <c r="O299" s="23" t="n">
        <f aca="false">datos_base!$K$11*parametros_recargas!$M$46+sobrestock_sustitutos!$K$184/12</f>
        <v>1348.46569837936</v>
      </c>
      <c r="P299" s="7" t="n">
        <f aca="false">SUM(D299:O299)</f>
        <v>16181.5883805524</v>
      </c>
      <c r="Q299" s="13" t="n">
        <f aca="false">sobrestock_sustitutos!$K$184</f>
        <v>0</v>
      </c>
    </row>
    <row r="300" customFormat="false" ht="15" hidden="false" customHeight="false" outlineLevel="0" collapsed="false">
      <c r="A300" s="12" t="str">
        <f aca="false">parametros_recargas!A61</f>
        <v>CO₂ 5 kg</v>
      </c>
      <c r="B300" s="12" t="str">
        <f aca="false">parametros_recargas!B61</f>
        <v>CO₂</v>
      </c>
      <c r="C300" s="22" t="n">
        <f aca="false">parametros_recargas!C61</f>
        <v>1</v>
      </c>
      <c r="D300" s="23" t="n">
        <f aca="false">datos_base!$K$12*parametros_recargas!$B$46+sobrestock_sustitutos!$K$185/12</f>
        <v>877.008447160319</v>
      </c>
      <c r="E300" s="23" t="n">
        <f aca="false">datos_base!$K$12*parametros_recargas!$C$46+sobrestock_sustitutos!$K$185/12</f>
        <v>877.008447160319</v>
      </c>
      <c r="F300" s="23" t="n">
        <f aca="false">datos_base!$K$12*parametros_recargas!$D$46+sobrestock_sustitutos!$K$185/12</f>
        <v>877.008447160319</v>
      </c>
      <c r="G300" s="23" t="n">
        <f aca="false">datos_base!$K$12*parametros_recargas!$E$46+sobrestock_sustitutos!$K$185/12</f>
        <v>877.008447160319</v>
      </c>
      <c r="H300" s="23" t="n">
        <f aca="false">datos_base!$K$12*parametros_recargas!$F$46+sobrestock_sustitutos!$K$185/12</f>
        <v>877.008447160319</v>
      </c>
      <c r="I300" s="23" t="n">
        <f aca="false">datos_base!$K$12*parametros_recargas!$G$46+sobrestock_sustitutos!$K$185/12</f>
        <v>877.008447160319</v>
      </c>
      <c r="J300" s="23" t="n">
        <f aca="false">datos_base!$K$12*parametros_recargas!$H$46+sobrestock_sustitutos!$K$185/12</f>
        <v>877.008447160319</v>
      </c>
      <c r="K300" s="23" t="n">
        <f aca="false">datos_base!$K$12*parametros_recargas!$I$46+sobrestock_sustitutos!$K$185/12</f>
        <v>877.008447160319</v>
      </c>
      <c r="L300" s="23" t="n">
        <f aca="false">datos_base!$K$12*parametros_recargas!$J$46+sobrestock_sustitutos!$K$185/12</f>
        <v>877.008447160319</v>
      </c>
      <c r="M300" s="23" t="n">
        <f aca="false">datos_base!$K$12*parametros_recargas!$K$46+sobrestock_sustitutos!$K$185/12</f>
        <v>877.008447160319</v>
      </c>
      <c r="N300" s="23" t="n">
        <f aca="false">datos_base!$K$12*parametros_recargas!$L$46+sobrestock_sustitutos!$K$185/12</f>
        <v>877.008447160319</v>
      </c>
      <c r="O300" s="23" t="n">
        <f aca="false">datos_base!$K$12*parametros_recargas!$M$46+sobrestock_sustitutos!$K$185/12</f>
        <v>877.008447160319</v>
      </c>
      <c r="P300" s="7" t="n">
        <f aca="false">SUM(D300:O300)</f>
        <v>10524.1013659238</v>
      </c>
      <c r="Q300" s="13" t="n">
        <f aca="false">sobrestock_sustitutos!$K$185</f>
        <v>4994</v>
      </c>
    </row>
    <row r="301" customFormat="false" ht="15" hidden="false" customHeight="false" outlineLevel="0" collapsed="false">
      <c r="A301" s="12" t="str">
        <f aca="false">parametros_recargas!A62</f>
        <v>HCFC/HFC 5 kg</v>
      </c>
      <c r="B301" s="12" t="str">
        <f aca="false">parametros_recargas!B62</f>
        <v>Halogenado</v>
      </c>
      <c r="C301" s="22" t="n">
        <f aca="false">parametros_recargas!C62</f>
        <v>1</v>
      </c>
      <c r="D301" s="23" t="n">
        <f aca="false">datos_base!$K$13*parametros_recargas!$B$46+sobrestock_sustitutos!$K$186/12</f>
        <v>92.6934367746014</v>
      </c>
      <c r="E301" s="23" t="n">
        <f aca="false">datos_base!$K$13*parametros_recargas!$C$46+sobrestock_sustitutos!$K$186/12</f>
        <v>92.6934367746014</v>
      </c>
      <c r="F301" s="23" t="n">
        <f aca="false">datos_base!$K$13*parametros_recargas!$D$46+sobrestock_sustitutos!$K$186/12</f>
        <v>92.6934367746014</v>
      </c>
      <c r="G301" s="23" t="n">
        <f aca="false">datos_base!$K$13*parametros_recargas!$E$46+sobrestock_sustitutos!$K$186/12</f>
        <v>92.6934367746014</v>
      </c>
      <c r="H301" s="23" t="n">
        <f aca="false">datos_base!$K$13*parametros_recargas!$F$46+sobrestock_sustitutos!$K$186/12</f>
        <v>92.6934367746014</v>
      </c>
      <c r="I301" s="23" t="n">
        <f aca="false">datos_base!$K$13*parametros_recargas!$G$46+sobrestock_sustitutos!$K$186/12</f>
        <v>92.6934367746014</v>
      </c>
      <c r="J301" s="23" t="n">
        <f aca="false">datos_base!$K$13*parametros_recargas!$H$46+sobrestock_sustitutos!$K$186/12</f>
        <v>92.6934367746014</v>
      </c>
      <c r="K301" s="23" t="n">
        <f aca="false">datos_base!$K$13*parametros_recargas!$I$46+sobrestock_sustitutos!$K$186/12</f>
        <v>92.6934367746014</v>
      </c>
      <c r="L301" s="23" t="n">
        <f aca="false">datos_base!$K$13*parametros_recargas!$J$46+sobrestock_sustitutos!$K$186/12</f>
        <v>92.6934367746014</v>
      </c>
      <c r="M301" s="23" t="n">
        <f aca="false">datos_base!$K$13*parametros_recargas!$K$46+sobrestock_sustitutos!$K$186/12</f>
        <v>92.6934367746014</v>
      </c>
      <c r="N301" s="23" t="n">
        <f aca="false">datos_base!$K$13*parametros_recargas!$L$46+sobrestock_sustitutos!$K$186/12</f>
        <v>92.6934367746014</v>
      </c>
      <c r="O301" s="23" t="n">
        <f aca="false">datos_base!$K$13*parametros_recargas!$M$46+sobrestock_sustitutos!$K$186/12</f>
        <v>92.6934367746014</v>
      </c>
      <c r="P301" s="7" t="n">
        <f aca="false">SUM(D301:O301)</f>
        <v>1112.32124129522</v>
      </c>
      <c r="Q301" s="13" t="n">
        <f aca="false">sobrestock_sustitutos!$K$186</f>
        <v>207</v>
      </c>
    </row>
    <row r="302" customFormat="false" ht="15" hidden="false" customHeight="false" outlineLevel="0" collapsed="false">
      <c r="A302" s="12" t="str">
        <f aca="false">parametros_recargas!A63</f>
        <v>Clase D 9 l</v>
      </c>
      <c r="B302" s="12" t="str">
        <f aca="false">parametros_recargas!B63</f>
        <v>Clase D</v>
      </c>
      <c r="C302" s="22" t="n">
        <f aca="false">parametros_recargas!C63</f>
        <v>1</v>
      </c>
      <c r="D302" s="23" t="n">
        <f aca="false">datos_base!$K$14*parametros_recargas!$B$46+sobrestock_sustitutos!$K$187/12</f>
        <v>32.9848091595509</v>
      </c>
      <c r="E302" s="23" t="n">
        <f aca="false">datos_base!$K$14*parametros_recargas!$C$46+sobrestock_sustitutos!$K$187/12</f>
        <v>32.9848091595509</v>
      </c>
      <c r="F302" s="23" t="n">
        <f aca="false">datos_base!$K$14*parametros_recargas!$D$46+sobrestock_sustitutos!$K$187/12</f>
        <v>32.9848091595509</v>
      </c>
      <c r="G302" s="23" t="n">
        <f aca="false">datos_base!$K$14*parametros_recargas!$E$46+sobrestock_sustitutos!$K$187/12</f>
        <v>32.9848091595509</v>
      </c>
      <c r="H302" s="23" t="n">
        <f aca="false">datos_base!$K$14*parametros_recargas!$F$46+sobrestock_sustitutos!$K$187/12</f>
        <v>32.9848091595509</v>
      </c>
      <c r="I302" s="23" t="n">
        <f aca="false">datos_base!$K$14*parametros_recargas!$G$46+sobrestock_sustitutos!$K$187/12</f>
        <v>32.9848091595509</v>
      </c>
      <c r="J302" s="23" t="n">
        <f aca="false">datos_base!$K$14*parametros_recargas!$H$46+sobrestock_sustitutos!$K$187/12</f>
        <v>32.9848091595509</v>
      </c>
      <c r="K302" s="23" t="n">
        <f aca="false">datos_base!$K$14*parametros_recargas!$I$46+sobrestock_sustitutos!$K$187/12</f>
        <v>32.9848091595509</v>
      </c>
      <c r="L302" s="23" t="n">
        <f aca="false">datos_base!$K$14*parametros_recargas!$J$46+sobrestock_sustitutos!$K$187/12</f>
        <v>32.9848091595509</v>
      </c>
      <c r="M302" s="23" t="n">
        <f aca="false">datos_base!$K$14*parametros_recargas!$K$46+sobrestock_sustitutos!$K$187/12</f>
        <v>32.9848091595509</v>
      </c>
      <c r="N302" s="23" t="n">
        <f aca="false">datos_base!$K$14*parametros_recargas!$L$46+sobrestock_sustitutos!$K$187/12</f>
        <v>32.9848091595509</v>
      </c>
      <c r="O302" s="23" t="n">
        <f aca="false">datos_base!$K$14*parametros_recargas!$M$46+sobrestock_sustitutos!$K$187/12</f>
        <v>32.9848091595509</v>
      </c>
      <c r="P302" s="7" t="n">
        <f aca="false">SUM(D302:O302)</f>
        <v>395.817709914611</v>
      </c>
      <c r="Q302" s="13" t="n">
        <f aca="false">sobrestock_sustitutos!$K$187</f>
        <v>85</v>
      </c>
    </row>
    <row r="303" customFormat="false" ht="15" hidden="false" customHeight="false" outlineLevel="0" collapsed="false">
      <c r="A303" s="12" t="str">
        <f aca="false">parametros_recargas!A64</f>
        <v>ABC 25 kg s/ruedas</v>
      </c>
      <c r="B303" s="12" t="str">
        <f aca="false">parametros_recargas!B64</f>
        <v>ABC</v>
      </c>
      <c r="C303" s="22" t="n">
        <f aca="false">parametros_recargas!C64</f>
        <v>3</v>
      </c>
      <c r="D303" s="23" t="n">
        <f aca="false">datos_base!$K$15*parametros_recargas!$B$46+sobrestock_sustitutos!$K$188/12</f>
        <v>61.8012202708012</v>
      </c>
      <c r="E303" s="23" t="n">
        <f aca="false">datos_base!$K$15*parametros_recargas!$C$46+sobrestock_sustitutos!$K$188/12</f>
        <v>61.8012202708012</v>
      </c>
      <c r="F303" s="23" t="n">
        <f aca="false">datos_base!$K$15*parametros_recargas!$D$46+sobrestock_sustitutos!$K$188/12</f>
        <v>61.8012202708012</v>
      </c>
      <c r="G303" s="23" t="n">
        <f aca="false">datos_base!$K$15*parametros_recargas!$E$46+sobrestock_sustitutos!$K$188/12</f>
        <v>61.8012202708012</v>
      </c>
      <c r="H303" s="23" t="n">
        <f aca="false">datos_base!$K$15*parametros_recargas!$F$46+sobrestock_sustitutos!$K$188/12</f>
        <v>61.8012202708012</v>
      </c>
      <c r="I303" s="23" t="n">
        <f aca="false">datos_base!$K$15*parametros_recargas!$G$46+sobrestock_sustitutos!$K$188/12</f>
        <v>61.8012202708012</v>
      </c>
      <c r="J303" s="23" t="n">
        <f aca="false">datos_base!$K$15*parametros_recargas!$H$46+sobrestock_sustitutos!$K$188/12</f>
        <v>61.8012202708012</v>
      </c>
      <c r="K303" s="23" t="n">
        <f aca="false">datos_base!$K$15*parametros_recargas!$I$46+sobrestock_sustitutos!$K$188/12</f>
        <v>61.8012202708012</v>
      </c>
      <c r="L303" s="23" t="n">
        <f aca="false">datos_base!$K$15*parametros_recargas!$J$46+sobrestock_sustitutos!$K$188/12</f>
        <v>61.8012202708012</v>
      </c>
      <c r="M303" s="23" t="n">
        <f aca="false">datos_base!$K$15*parametros_recargas!$K$46+sobrestock_sustitutos!$K$188/12</f>
        <v>61.8012202708012</v>
      </c>
      <c r="N303" s="23" t="n">
        <f aca="false">datos_base!$K$15*parametros_recargas!$L$46+sobrestock_sustitutos!$K$188/12</f>
        <v>61.8012202708012</v>
      </c>
      <c r="O303" s="23" t="n">
        <f aca="false">datos_base!$K$15*parametros_recargas!$M$46+sobrestock_sustitutos!$K$188/12</f>
        <v>61.8012202708012</v>
      </c>
      <c r="P303" s="7" t="n">
        <f aca="false">SUM(D303:O303)</f>
        <v>741.614643249615</v>
      </c>
      <c r="Q303" s="13" t="n">
        <f aca="false">sobrestock_sustitutos!$K$188</f>
        <v>0</v>
      </c>
    </row>
    <row r="304" customFormat="false" ht="15" hidden="false" customHeight="false" outlineLevel="0" collapsed="false">
      <c r="A304" s="12" t="str">
        <f aca="false">parametros_recargas!A65</f>
        <v>ABC 50 kg s/ruedas</v>
      </c>
      <c r="B304" s="12" t="str">
        <f aca="false">parametros_recargas!B65</f>
        <v>ABC</v>
      </c>
      <c r="C304" s="22" t="n">
        <f aca="false">parametros_recargas!C65</f>
        <v>3</v>
      </c>
      <c r="D304" s="23" t="n">
        <f aca="false">datos_base!$K$16*parametros_recargas!$B$46+sobrestock_sustitutos!$K$189/12</f>
        <v>190.37935117939</v>
      </c>
      <c r="E304" s="23" t="n">
        <f aca="false">datos_base!$K$16*parametros_recargas!$C$46+sobrestock_sustitutos!$K$189/12</f>
        <v>190.37935117939</v>
      </c>
      <c r="F304" s="23" t="n">
        <f aca="false">datos_base!$K$16*parametros_recargas!$D$46+sobrestock_sustitutos!$K$189/12</f>
        <v>190.37935117939</v>
      </c>
      <c r="G304" s="23" t="n">
        <f aca="false">datos_base!$K$16*parametros_recargas!$E$46+sobrestock_sustitutos!$K$189/12</f>
        <v>190.37935117939</v>
      </c>
      <c r="H304" s="23" t="n">
        <f aca="false">datos_base!$K$16*parametros_recargas!$F$46+sobrestock_sustitutos!$K$189/12</f>
        <v>190.37935117939</v>
      </c>
      <c r="I304" s="23" t="n">
        <f aca="false">datos_base!$K$16*parametros_recargas!$G$46+sobrestock_sustitutos!$K$189/12</f>
        <v>190.37935117939</v>
      </c>
      <c r="J304" s="23" t="n">
        <f aca="false">datos_base!$K$16*parametros_recargas!$H$46+sobrestock_sustitutos!$K$189/12</f>
        <v>190.37935117939</v>
      </c>
      <c r="K304" s="23" t="n">
        <f aca="false">datos_base!$K$16*parametros_recargas!$I$46+sobrestock_sustitutos!$K$189/12</f>
        <v>190.37935117939</v>
      </c>
      <c r="L304" s="23" t="n">
        <f aca="false">datos_base!$K$16*parametros_recargas!$J$46+sobrestock_sustitutos!$K$189/12</f>
        <v>190.37935117939</v>
      </c>
      <c r="M304" s="23" t="n">
        <f aca="false">datos_base!$K$16*parametros_recargas!$K$46+sobrestock_sustitutos!$K$189/12</f>
        <v>190.37935117939</v>
      </c>
      <c r="N304" s="23" t="n">
        <f aca="false">datos_base!$K$16*parametros_recargas!$L$46+sobrestock_sustitutos!$K$189/12</f>
        <v>190.37935117939</v>
      </c>
      <c r="O304" s="23" t="n">
        <f aca="false">datos_base!$K$16*parametros_recargas!$M$46+sobrestock_sustitutos!$K$189/12</f>
        <v>190.37935117939</v>
      </c>
      <c r="P304" s="7" t="n">
        <f aca="false">SUM(D304:O304)</f>
        <v>2284.55221415268</v>
      </c>
      <c r="Q304" s="13" t="n">
        <f aca="false">sobrestock_sustitutos!$K$189</f>
        <v>653</v>
      </c>
    </row>
    <row r="305" customFormat="false" ht="15" hidden="false" customHeight="false" outlineLevel="0" collapsed="false">
      <c r="A305" s="12" t="str">
        <f aca="false">parametros_recargas!A66</f>
        <v>ABC 70 kg s/ruedas</v>
      </c>
      <c r="B305" s="12" t="str">
        <f aca="false">parametros_recargas!B66</f>
        <v>ABC</v>
      </c>
      <c r="C305" s="22" t="n">
        <f aca="false">parametros_recargas!C66</f>
        <v>3</v>
      </c>
      <c r="D305" s="23" t="n">
        <f aca="false">datos_base!$K$17*parametros_recargas!$B$46+sobrestock_sustitutos!$K$190/12</f>
        <v>29.6645857323571</v>
      </c>
      <c r="E305" s="23" t="n">
        <f aca="false">datos_base!$K$17*parametros_recargas!$C$46+sobrestock_sustitutos!$K$190/12</f>
        <v>29.6645857323571</v>
      </c>
      <c r="F305" s="23" t="n">
        <f aca="false">datos_base!$K$17*parametros_recargas!$D$46+sobrestock_sustitutos!$K$190/12</f>
        <v>29.6645857323571</v>
      </c>
      <c r="G305" s="23" t="n">
        <f aca="false">datos_base!$K$17*parametros_recargas!$E$46+sobrestock_sustitutos!$K$190/12</f>
        <v>29.6645857323571</v>
      </c>
      <c r="H305" s="23" t="n">
        <f aca="false">datos_base!$K$17*parametros_recargas!$F$46+sobrestock_sustitutos!$K$190/12</f>
        <v>29.6645857323571</v>
      </c>
      <c r="I305" s="23" t="n">
        <f aca="false">datos_base!$K$17*parametros_recargas!$G$46+sobrestock_sustitutos!$K$190/12</f>
        <v>29.6645857323571</v>
      </c>
      <c r="J305" s="23" t="n">
        <f aca="false">datos_base!$K$17*parametros_recargas!$H$46+sobrestock_sustitutos!$K$190/12</f>
        <v>29.6645857323571</v>
      </c>
      <c r="K305" s="23" t="n">
        <f aca="false">datos_base!$K$17*parametros_recargas!$I$46+sobrestock_sustitutos!$K$190/12</f>
        <v>29.6645857323571</v>
      </c>
      <c r="L305" s="23" t="n">
        <f aca="false">datos_base!$K$17*parametros_recargas!$J$46+sobrestock_sustitutos!$K$190/12</f>
        <v>29.6645857323571</v>
      </c>
      <c r="M305" s="23" t="n">
        <f aca="false">datos_base!$K$17*parametros_recargas!$K$46+sobrestock_sustitutos!$K$190/12</f>
        <v>29.6645857323571</v>
      </c>
      <c r="N305" s="23" t="n">
        <f aca="false">datos_base!$K$17*parametros_recargas!$L$46+sobrestock_sustitutos!$K$190/12</f>
        <v>29.6645857323571</v>
      </c>
      <c r="O305" s="23" t="n">
        <f aca="false">datos_base!$K$17*parametros_recargas!$M$46+sobrestock_sustitutos!$K$190/12</f>
        <v>29.6645857323571</v>
      </c>
      <c r="P305" s="7" t="n">
        <f aca="false">SUM(D305:O305)</f>
        <v>355.975028788286</v>
      </c>
      <c r="Q305" s="13" t="n">
        <f aca="false">sobrestock_sustitutos!$K$190</f>
        <v>0</v>
      </c>
    </row>
    <row r="306" customFormat="false" ht="15" hidden="false" customHeight="false" outlineLevel="0" collapsed="false">
      <c r="A306" s="12" t="str">
        <f aca="false">parametros_recargas!A67</f>
        <v>ABC 100 kg s/ruedas</v>
      </c>
      <c r="B306" s="12" t="str">
        <f aca="false">parametros_recargas!B67</f>
        <v>ABC</v>
      </c>
      <c r="C306" s="22" t="n">
        <f aca="false">parametros_recargas!C67</f>
        <v>3</v>
      </c>
      <c r="D306" s="23" t="n">
        <f aca="false">datos_base!$K$18*parametros_recargas!$B$46+sobrestock_sustitutos!$K$191/12</f>
        <v>33.4430571153623</v>
      </c>
      <c r="E306" s="23" t="n">
        <f aca="false">datos_base!$K$18*parametros_recargas!$C$46+sobrestock_sustitutos!$K$191/12</f>
        <v>33.4430571153623</v>
      </c>
      <c r="F306" s="23" t="n">
        <f aca="false">datos_base!$K$18*parametros_recargas!$D$46+sobrestock_sustitutos!$K$191/12</f>
        <v>33.4430571153623</v>
      </c>
      <c r="G306" s="23" t="n">
        <f aca="false">datos_base!$K$18*parametros_recargas!$E$46+sobrestock_sustitutos!$K$191/12</f>
        <v>33.4430571153623</v>
      </c>
      <c r="H306" s="23" t="n">
        <f aca="false">datos_base!$K$18*parametros_recargas!$F$46+sobrestock_sustitutos!$K$191/12</f>
        <v>33.4430571153623</v>
      </c>
      <c r="I306" s="23" t="n">
        <f aca="false">datos_base!$K$18*parametros_recargas!$G$46+sobrestock_sustitutos!$K$191/12</f>
        <v>33.4430571153623</v>
      </c>
      <c r="J306" s="23" t="n">
        <f aca="false">datos_base!$K$18*parametros_recargas!$H$46+sobrestock_sustitutos!$K$191/12</f>
        <v>33.4430571153623</v>
      </c>
      <c r="K306" s="23" t="n">
        <f aca="false">datos_base!$K$18*parametros_recargas!$I$46+sobrestock_sustitutos!$K$191/12</f>
        <v>33.4430571153623</v>
      </c>
      <c r="L306" s="23" t="n">
        <f aca="false">datos_base!$K$18*parametros_recargas!$J$46+sobrestock_sustitutos!$K$191/12</f>
        <v>33.4430571153623</v>
      </c>
      <c r="M306" s="23" t="n">
        <f aca="false">datos_base!$K$18*parametros_recargas!$K$46+sobrestock_sustitutos!$K$191/12</f>
        <v>33.4430571153623</v>
      </c>
      <c r="N306" s="23" t="n">
        <f aca="false">datos_base!$K$18*parametros_recargas!$L$46+sobrestock_sustitutos!$K$191/12</f>
        <v>33.4430571153623</v>
      </c>
      <c r="O306" s="23" t="n">
        <f aca="false">datos_base!$K$18*parametros_recargas!$M$46+sobrestock_sustitutos!$K$191/12</f>
        <v>33.4430571153623</v>
      </c>
      <c r="P306" s="7" t="n">
        <f aca="false">SUM(D306:O306)</f>
        <v>401.316685384348</v>
      </c>
      <c r="Q306" s="13" t="n">
        <f aca="false">sobrestock_sustitutos!$K$191</f>
        <v>164</v>
      </c>
    </row>
    <row r="307" customFormat="false" ht="15" hidden="false" customHeight="false" outlineLevel="0" collapsed="false">
      <c r="A307" s="6" t="s">
        <v>269</v>
      </c>
      <c r="D307" s="7" t="n">
        <f aca="false">SUM(D290:D306)</f>
        <v>24808.3597275929</v>
      </c>
      <c r="E307" s="7" t="n">
        <f aca="false">SUM(E290:E306)</f>
        <v>24808.3597275929</v>
      </c>
      <c r="F307" s="7" t="n">
        <f aca="false">SUM(F290:F306)</f>
        <v>24808.3597275929</v>
      </c>
      <c r="G307" s="7" t="n">
        <f aca="false">SUM(G290:G306)</f>
        <v>24808.3597275929</v>
      </c>
      <c r="H307" s="7" t="n">
        <f aca="false">SUM(H290:H306)</f>
        <v>24808.3597275929</v>
      </c>
      <c r="I307" s="7" t="n">
        <f aca="false">SUM(I290:I306)</f>
        <v>24808.3597275929</v>
      </c>
      <c r="J307" s="7" t="n">
        <f aca="false">SUM(J290:J306)</f>
        <v>24808.3597275929</v>
      </c>
      <c r="K307" s="7" t="n">
        <f aca="false">SUM(K290:K306)</f>
        <v>24808.3597275929</v>
      </c>
      <c r="L307" s="7" t="n">
        <f aca="false">SUM(L290:L306)</f>
        <v>24808.3597275929</v>
      </c>
      <c r="M307" s="7" t="n">
        <f aca="false">SUM(M290:M306)</f>
        <v>24808.3597275929</v>
      </c>
      <c r="N307" s="7" t="n">
        <f aca="false">SUM(N290:N306)</f>
        <v>24808.3597275929</v>
      </c>
      <c r="O307" s="7" t="n">
        <f aca="false">SUM(O290:O306)</f>
        <v>24808.3597275929</v>
      </c>
      <c r="P307" s="7" t="n">
        <f aca="false">SUM(P290:P306)</f>
        <v>297700.316731115</v>
      </c>
    </row>
    <row r="308" customFormat="false" ht="15" hidden="false" customHeight="false" outlineLevel="0" collapsed="false">
      <c r="A308" s="6" t="s">
        <v>270</v>
      </c>
    </row>
    <row r="309" customFormat="false" ht="15" hidden="false" customHeight="false" outlineLevel="0" collapsed="false">
      <c r="A309" s="4" t="s">
        <v>139</v>
      </c>
      <c r="D309" s="23" t="n">
        <f aca="false">SUMPRODUCT(($B$290:$B$306=$A309)*D$290:D$306*$C$290:$C$306)</f>
        <v>21952.6431470413</v>
      </c>
      <c r="E309" s="23" t="n">
        <f aca="false">SUMPRODUCT(($B$290:$B$306=$A309)*E$290:E$306*$C$290:$C$306)</f>
        <v>21952.6431470413</v>
      </c>
      <c r="F309" s="23" t="n">
        <f aca="false">SUMPRODUCT(($B$290:$B$306=$A309)*F$290:F$306*$C$290:$C$306)</f>
        <v>21952.6431470413</v>
      </c>
      <c r="G309" s="23" t="n">
        <f aca="false">SUMPRODUCT(($B$290:$B$306=$A309)*G$290:G$306*$C$290:$C$306)</f>
        <v>21952.6431470413</v>
      </c>
      <c r="H309" s="23" t="n">
        <f aca="false">SUMPRODUCT(($B$290:$B$306=$A309)*H$290:H$306*$C$290:$C$306)</f>
        <v>21952.6431470413</v>
      </c>
      <c r="I309" s="23" t="n">
        <f aca="false">SUMPRODUCT(($B$290:$B$306=$A309)*I$290:I$306*$C$290:$C$306)</f>
        <v>21952.6431470413</v>
      </c>
      <c r="J309" s="23" t="n">
        <f aca="false">SUMPRODUCT(($B$290:$B$306=$A309)*J$290:J$306*$C$290:$C$306)</f>
        <v>21952.6431470413</v>
      </c>
      <c r="K309" s="23" t="n">
        <f aca="false">SUMPRODUCT(($B$290:$B$306=$A309)*K$290:K$306*$C$290:$C$306)</f>
        <v>21952.6431470413</v>
      </c>
      <c r="L309" s="23" t="n">
        <f aca="false">SUMPRODUCT(($B$290:$B$306=$A309)*L$290:L$306*$C$290:$C$306)</f>
        <v>21952.6431470413</v>
      </c>
      <c r="M309" s="23" t="n">
        <f aca="false">SUMPRODUCT(($B$290:$B$306=$A309)*M$290:M$306*$C$290:$C$306)</f>
        <v>21952.6431470413</v>
      </c>
      <c r="N309" s="23" t="n">
        <f aca="false">SUMPRODUCT(($B$290:$B$306=$A309)*N$290:N$306*$C$290:$C$306)</f>
        <v>21952.6431470413</v>
      </c>
      <c r="O309" s="23" t="n">
        <f aca="false">SUMPRODUCT(($B$290:$B$306=$A309)*O$290:O$306*$C$290:$C$306)</f>
        <v>21952.6431470413</v>
      </c>
      <c r="P309" s="23" t="n">
        <f aca="false">SUMPRODUCT(($B$290:$B$306=$A309)*P$290:P$306*$C$290:$C$306)</f>
        <v>263431.717764495</v>
      </c>
    </row>
    <row r="310" customFormat="false" ht="15" hidden="false" customHeight="false" outlineLevel="0" collapsed="false">
      <c r="A310" s="4" t="s">
        <v>145</v>
      </c>
      <c r="D310" s="23" t="n">
        <f aca="false">SUMPRODUCT(($B$290:$B$306=$A310)*D$290:D$306*$C$290:$C$306)</f>
        <v>36.5935705830839</v>
      </c>
      <c r="E310" s="23" t="n">
        <f aca="false">SUMPRODUCT(($B$290:$B$306=$A310)*E$290:E$306*$C$290:$C$306)</f>
        <v>36.5935705830839</v>
      </c>
      <c r="F310" s="23" t="n">
        <f aca="false">SUMPRODUCT(($B$290:$B$306=$A310)*F$290:F$306*$C$290:$C$306)</f>
        <v>36.5935705830839</v>
      </c>
      <c r="G310" s="23" t="n">
        <f aca="false">SUMPRODUCT(($B$290:$B$306=$A310)*G$290:G$306*$C$290:$C$306)</f>
        <v>36.5935705830839</v>
      </c>
      <c r="H310" s="23" t="n">
        <f aca="false">SUMPRODUCT(($B$290:$B$306=$A310)*H$290:H$306*$C$290:$C$306)</f>
        <v>36.5935705830839</v>
      </c>
      <c r="I310" s="23" t="n">
        <f aca="false">SUMPRODUCT(($B$290:$B$306=$A310)*I$290:I$306*$C$290:$C$306)</f>
        <v>36.5935705830839</v>
      </c>
      <c r="J310" s="23" t="n">
        <f aca="false">SUMPRODUCT(($B$290:$B$306=$A310)*J$290:J$306*$C$290:$C$306)</f>
        <v>36.5935705830839</v>
      </c>
      <c r="K310" s="23" t="n">
        <f aca="false">SUMPRODUCT(($B$290:$B$306=$A310)*K$290:K$306*$C$290:$C$306)</f>
        <v>36.5935705830839</v>
      </c>
      <c r="L310" s="23" t="n">
        <f aca="false">SUMPRODUCT(($B$290:$B$306=$A310)*L$290:L$306*$C$290:$C$306)</f>
        <v>36.5935705830839</v>
      </c>
      <c r="M310" s="23" t="n">
        <f aca="false">SUMPRODUCT(($B$290:$B$306=$A310)*M$290:M$306*$C$290:$C$306)</f>
        <v>36.5935705830839</v>
      </c>
      <c r="N310" s="23" t="n">
        <f aca="false">SUMPRODUCT(($B$290:$B$306=$A310)*N$290:N$306*$C$290:$C$306)</f>
        <v>36.5935705830839</v>
      </c>
      <c r="O310" s="23" t="n">
        <f aca="false">SUMPRODUCT(($B$290:$B$306=$A310)*O$290:O$306*$C$290:$C$306)</f>
        <v>36.5935705830839</v>
      </c>
      <c r="P310" s="23" t="n">
        <f aca="false">SUMPRODUCT(($B$290:$B$306=$A310)*P$290:P$306*$C$290:$C$306)</f>
        <v>439.122846997007</v>
      </c>
    </row>
    <row r="311" customFormat="false" ht="15" hidden="false" customHeight="false" outlineLevel="0" collapsed="false">
      <c r="A311" s="4" t="s">
        <v>151</v>
      </c>
      <c r="D311" s="23" t="n">
        <f aca="false">SUMPRODUCT(($B$290:$B$306=$A311)*D$290:D$306*$C$290:$C$306)</f>
        <v>32.9848091595509</v>
      </c>
      <c r="E311" s="23" t="n">
        <f aca="false">SUMPRODUCT(($B$290:$B$306=$A311)*E$290:E$306*$C$290:$C$306)</f>
        <v>32.9848091595509</v>
      </c>
      <c r="F311" s="23" t="n">
        <f aca="false">SUMPRODUCT(($B$290:$B$306=$A311)*F$290:F$306*$C$290:$C$306)</f>
        <v>32.9848091595509</v>
      </c>
      <c r="G311" s="23" t="n">
        <f aca="false">SUMPRODUCT(($B$290:$B$306=$A311)*G$290:G$306*$C$290:$C$306)</f>
        <v>32.9848091595509</v>
      </c>
      <c r="H311" s="23" t="n">
        <f aca="false">SUMPRODUCT(($B$290:$B$306=$A311)*H$290:H$306*$C$290:$C$306)</f>
        <v>32.9848091595509</v>
      </c>
      <c r="I311" s="23" t="n">
        <f aca="false">SUMPRODUCT(($B$290:$B$306=$A311)*I$290:I$306*$C$290:$C$306)</f>
        <v>32.9848091595509</v>
      </c>
      <c r="J311" s="23" t="n">
        <f aca="false">SUMPRODUCT(($B$290:$B$306=$A311)*J$290:J$306*$C$290:$C$306)</f>
        <v>32.9848091595509</v>
      </c>
      <c r="K311" s="23" t="n">
        <f aca="false">SUMPRODUCT(($B$290:$B$306=$A311)*K$290:K$306*$C$290:$C$306)</f>
        <v>32.9848091595509</v>
      </c>
      <c r="L311" s="23" t="n">
        <f aca="false">SUMPRODUCT(($B$290:$B$306=$A311)*L$290:L$306*$C$290:$C$306)</f>
        <v>32.9848091595509</v>
      </c>
      <c r="M311" s="23" t="n">
        <f aca="false">SUMPRODUCT(($B$290:$B$306=$A311)*M$290:M$306*$C$290:$C$306)</f>
        <v>32.9848091595509</v>
      </c>
      <c r="N311" s="23" t="n">
        <f aca="false">SUMPRODUCT(($B$290:$B$306=$A311)*N$290:N$306*$C$290:$C$306)</f>
        <v>32.9848091595509</v>
      </c>
      <c r="O311" s="23" t="n">
        <f aca="false">SUMPRODUCT(($B$290:$B$306=$A311)*O$290:O$306*$C$290:$C$306)</f>
        <v>32.9848091595509</v>
      </c>
      <c r="P311" s="23" t="n">
        <f aca="false">SUMPRODUCT(($B$290:$B$306=$A311)*P$290:P$306*$C$290:$C$306)</f>
        <v>395.817709914611</v>
      </c>
    </row>
    <row r="312" customFormat="false" ht="15" hidden="false" customHeight="false" outlineLevel="0" collapsed="false">
      <c r="A312" s="4" t="s">
        <v>142</v>
      </c>
      <c r="D312" s="23" t="n">
        <f aca="false">SUMPRODUCT(($B$290:$B$306=$A312)*D$290:D$306*$C$290:$C$306)</f>
        <v>616.581746734774</v>
      </c>
      <c r="E312" s="23" t="n">
        <f aca="false">SUMPRODUCT(($B$290:$B$306=$A312)*E$290:E$306*$C$290:$C$306)</f>
        <v>616.581746734774</v>
      </c>
      <c r="F312" s="23" t="n">
        <f aca="false">SUMPRODUCT(($B$290:$B$306=$A312)*F$290:F$306*$C$290:$C$306)</f>
        <v>616.581746734774</v>
      </c>
      <c r="G312" s="23" t="n">
        <f aca="false">SUMPRODUCT(($B$290:$B$306=$A312)*G$290:G$306*$C$290:$C$306)</f>
        <v>616.581746734774</v>
      </c>
      <c r="H312" s="23" t="n">
        <f aca="false">SUMPRODUCT(($B$290:$B$306=$A312)*H$290:H$306*$C$290:$C$306)</f>
        <v>616.581746734774</v>
      </c>
      <c r="I312" s="23" t="n">
        <f aca="false">SUMPRODUCT(($B$290:$B$306=$A312)*I$290:I$306*$C$290:$C$306)</f>
        <v>616.581746734774</v>
      </c>
      <c r="J312" s="23" t="n">
        <f aca="false">SUMPRODUCT(($B$290:$B$306=$A312)*J$290:J$306*$C$290:$C$306)</f>
        <v>616.581746734774</v>
      </c>
      <c r="K312" s="23" t="n">
        <f aca="false">SUMPRODUCT(($B$290:$B$306=$A312)*K$290:K$306*$C$290:$C$306)</f>
        <v>616.581746734774</v>
      </c>
      <c r="L312" s="23" t="n">
        <f aca="false">SUMPRODUCT(($B$290:$B$306=$A312)*L$290:L$306*$C$290:$C$306)</f>
        <v>616.581746734774</v>
      </c>
      <c r="M312" s="23" t="n">
        <f aca="false">SUMPRODUCT(($B$290:$B$306=$A312)*M$290:M$306*$C$290:$C$306)</f>
        <v>616.581746734774</v>
      </c>
      <c r="N312" s="23" t="n">
        <f aca="false">SUMPRODUCT(($B$290:$B$306=$A312)*N$290:N$306*$C$290:$C$306)</f>
        <v>616.581746734774</v>
      </c>
      <c r="O312" s="23" t="n">
        <f aca="false">SUMPRODUCT(($B$290:$B$306=$A312)*O$290:O$306*$C$290:$C$306)</f>
        <v>616.581746734774</v>
      </c>
      <c r="P312" s="23" t="n">
        <f aca="false">SUMPRODUCT(($B$290:$B$306=$A312)*P$290:P$306*$C$290:$C$306)</f>
        <v>7398.98096081728</v>
      </c>
    </row>
    <row r="313" customFormat="false" ht="15" hidden="false" customHeight="false" outlineLevel="0" collapsed="false">
      <c r="A313" s="4" t="s">
        <v>143</v>
      </c>
      <c r="D313" s="23" t="n">
        <f aca="false">SUMPRODUCT(($B$290:$B$306=$A313)*D$290:D$306*$C$290:$C$306)</f>
        <v>299.986228967999</v>
      </c>
      <c r="E313" s="23" t="n">
        <f aca="false">SUMPRODUCT(($B$290:$B$306=$A313)*E$290:E$306*$C$290:$C$306)</f>
        <v>299.986228967999</v>
      </c>
      <c r="F313" s="23" t="n">
        <f aca="false">SUMPRODUCT(($B$290:$B$306=$A313)*F$290:F$306*$C$290:$C$306)</f>
        <v>299.986228967999</v>
      </c>
      <c r="G313" s="23" t="n">
        <f aca="false">SUMPRODUCT(($B$290:$B$306=$A313)*G$290:G$306*$C$290:$C$306)</f>
        <v>299.986228967999</v>
      </c>
      <c r="H313" s="23" t="n">
        <f aca="false">SUMPRODUCT(($B$290:$B$306=$A313)*H$290:H$306*$C$290:$C$306)</f>
        <v>299.986228967999</v>
      </c>
      <c r="I313" s="23" t="n">
        <f aca="false">SUMPRODUCT(($B$290:$B$306=$A313)*I$290:I$306*$C$290:$C$306)</f>
        <v>299.986228967999</v>
      </c>
      <c r="J313" s="23" t="n">
        <f aca="false">SUMPRODUCT(($B$290:$B$306=$A313)*J$290:J$306*$C$290:$C$306)</f>
        <v>299.986228967999</v>
      </c>
      <c r="K313" s="23" t="n">
        <f aca="false">SUMPRODUCT(($B$290:$B$306=$A313)*K$290:K$306*$C$290:$C$306)</f>
        <v>299.986228967999</v>
      </c>
      <c r="L313" s="23" t="n">
        <f aca="false">SUMPRODUCT(($B$290:$B$306=$A313)*L$290:L$306*$C$290:$C$306)</f>
        <v>299.986228967999</v>
      </c>
      <c r="M313" s="23" t="n">
        <f aca="false">SUMPRODUCT(($B$290:$B$306=$A313)*M$290:M$306*$C$290:$C$306)</f>
        <v>299.986228967999</v>
      </c>
      <c r="N313" s="23" t="n">
        <f aca="false">SUMPRODUCT(($B$290:$B$306=$A313)*N$290:N$306*$C$290:$C$306)</f>
        <v>299.986228967999</v>
      </c>
      <c r="O313" s="23" t="n">
        <f aca="false">SUMPRODUCT(($B$290:$B$306=$A313)*O$290:O$306*$C$290:$C$306)</f>
        <v>299.986228967999</v>
      </c>
      <c r="P313" s="23" t="n">
        <f aca="false">SUMPRODUCT(($B$290:$B$306=$A313)*P$290:P$306*$C$290:$C$306)</f>
        <v>3599.83474761598</v>
      </c>
    </row>
    <row r="314" customFormat="false" ht="15" hidden="false" customHeight="false" outlineLevel="0" collapsed="false">
      <c r="A314" s="4" t="s">
        <v>146</v>
      </c>
      <c r="D314" s="23" t="n">
        <f aca="false">SUMPRODUCT(($B$290:$B$306=$A314)*D$290:D$306*$C$290:$C$306)</f>
        <v>304.026399972922</v>
      </c>
      <c r="E314" s="23" t="n">
        <f aca="false">SUMPRODUCT(($B$290:$B$306=$A314)*E$290:E$306*$C$290:$C$306)</f>
        <v>304.026399972922</v>
      </c>
      <c r="F314" s="23" t="n">
        <f aca="false">SUMPRODUCT(($B$290:$B$306=$A314)*F$290:F$306*$C$290:$C$306)</f>
        <v>304.026399972922</v>
      </c>
      <c r="G314" s="23" t="n">
        <f aca="false">SUMPRODUCT(($B$290:$B$306=$A314)*G$290:G$306*$C$290:$C$306)</f>
        <v>304.026399972922</v>
      </c>
      <c r="H314" s="23" t="n">
        <f aca="false">SUMPRODUCT(($B$290:$B$306=$A314)*H$290:H$306*$C$290:$C$306)</f>
        <v>304.026399972922</v>
      </c>
      <c r="I314" s="23" t="n">
        <f aca="false">SUMPRODUCT(($B$290:$B$306=$A314)*I$290:I$306*$C$290:$C$306)</f>
        <v>304.026399972922</v>
      </c>
      <c r="J314" s="23" t="n">
        <f aca="false">SUMPRODUCT(($B$290:$B$306=$A314)*J$290:J$306*$C$290:$C$306)</f>
        <v>304.026399972922</v>
      </c>
      <c r="K314" s="23" t="n">
        <f aca="false">SUMPRODUCT(($B$290:$B$306=$A314)*K$290:K$306*$C$290:$C$306)</f>
        <v>304.026399972922</v>
      </c>
      <c r="L314" s="23" t="n">
        <f aca="false">SUMPRODUCT(($B$290:$B$306=$A314)*L$290:L$306*$C$290:$C$306)</f>
        <v>304.026399972922</v>
      </c>
      <c r="M314" s="23" t="n">
        <f aca="false">SUMPRODUCT(($B$290:$B$306=$A314)*M$290:M$306*$C$290:$C$306)</f>
        <v>304.026399972922</v>
      </c>
      <c r="N314" s="23" t="n">
        <f aca="false">SUMPRODUCT(($B$290:$B$306=$A314)*N$290:N$306*$C$290:$C$306)</f>
        <v>304.026399972922</v>
      </c>
      <c r="O314" s="23" t="n">
        <f aca="false">SUMPRODUCT(($B$290:$B$306=$A314)*O$290:O$306*$C$290:$C$306)</f>
        <v>304.026399972922</v>
      </c>
      <c r="P314" s="23" t="n">
        <f aca="false">SUMPRODUCT(($B$290:$B$306=$A314)*P$290:P$306*$C$290:$C$306)</f>
        <v>3648.31679967506</v>
      </c>
    </row>
    <row r="315" customFormat="false" ht="15" hidden="false" customHeight="false" outlineLevel="0" collapsed="false">
      <c r="A315" s="4" t="s">
        <v>147</v>
      </c>
      <c r="D315" s="23" t="n">
        <f aca="false">SUMPRODUCT(($B$290:$B$306=$A315)*D$290:D$306*$C$290:$C$306)</f>
        <v>2225.47414553968</v>
      </c>
      <c r="E315" s="23" t="n">
        <f aca="false">SUMPRODUCT(($B$290:$B$306=$A315)*E$290:E$306*$C$290:$C$306)</f>
        <v>2225.47414553968</v>
      </c>
      <c r="F315" s="23" t="n">
        <f aca="false">SUMPRODUCT(($B$290:$B$306=$A315)*F$290:F$306*$C$290:$C$306)</f>
        <v>2225.47414553968</v>
      </c>
      <c r="G315" s="23" t="n">
        <f aca="false">SUMPRODUCT(($B$290:$B$306=$A315)*G$290:G$306*$C$290:$C$306)</f>
        <v>2225.47414553968</v>
      </c>
      <c r="H315" s="23" t="n">
        <f aca="false">SUMPRODUCT(($B$290:$B$306=$A315)*H$290:H$306*$C$290:$C$306)</f>
        <v>2225.47414553968</v>
      </c>
      <c r="I315" s="23" t="n">
        <f aca="false">SUMPRODUCT(($B$290:$B$306=$A315)*I$290:I$306*$C$290:$C$306)</f>
        <v>2225.47414553968</v>
      </c>
      <c r="J315" s="23" t="n">
        <f aca="false">SUMPRODUCT(($B$290:$B$306=$A315)*J$290:J$306*$C$290:$C$306)</f>
        <v>2225.47414553968</v>
      </c>
      <c r="K315" s="23" t="n">
        <f aca="false">SUMPRODUCT(($B$290:$B$306=$A315)*K$290:K$306*$C$290:$C$306)</f>
        <v>2225.47414553968</v>
      </c>
      <c r="L315" s="23" t="n">
        <f aca="false">SUMPRODUCT(($B$290:$B$306=$A315)*L$290:L$306*$C$290:$C$306)</f>
        <v>2225.47414553968</v>
      </c>
      <c r="M315" s="23" t="n">
        <f aca="false">SUMPRODUCT(($B$290:$B$306=$A315)*M$290:M$306*$C$290:$C$306)</f>
        <v>2225.47414553968</v>
      </c>
      <c r="N315" s="23" t="n">
        <f aca="false">SUMPRODUCT(($B$290:$B$306=$A315)*N$290:N$306*$C$290:$C$306)</f>
        <v>2225.47414553968</v>
      </c>
      <c r="O315" s="23" t="n">
        <f aca="false">SUMPRODUCT(($B$290:$B$306=$A315)*O$290:O$306*$C$290:$C$306)</f>
        <v>2225.47414553968</v>
      </c>
      <c r="P315" s="23" t="n">
        <f aca="false">SUMPRODUCT(($B$290:$B$306=$A315)*P$290:P$306*$C$290:$C$306)</f>
        <v>26705.6897464762</v>
      </c>
    </row>
    <row r="316" customFormat="false" ht="15" hidden="false" customHeight="false" outlineLevel="0" collapsed="false">
      <c r="A316" s="4" t="s">
        <v>150</v>
      </c>
      <c r="D316" s="23" t="n">
        <f aca="false">SUMPRODUCT(($B$290:$B$306=$A316)*D$290:D$306*$C$290:$C$306)</f>
        <v>92.6934367746014</v>
      </c>
      <c r="E316" s="23" t="n">
        <f aca="false">SUMPRODUCT(($B$290:$B$306=$A316)*E$290:E$306*$C$290:$C$306)</f>
        <v>92.6934367746014</v>
      </c>
      <c r="F316" s="23" t="n">
        <f aca="false">SUMPRODUCT(($B$290:$B$306=$A316)*F$290:F$306*$C$290:$C$306)</f>
        <v>92.6934367746014</v>
      </c>
      <c r="G316" s="23" t="n">
        <f aca="false">SUMPRODUCT(($B$290:$B$306=$A316)*G$290:G$306*$C$290:$C$306)</f>
        <v>92.6934367746014</v>
      </c>
      <c r="H316" s="23" t="n">
        <f aca="false">SUMPRODUCT(($B$290:$B$306=$A316)*H$290:H$306*$C$290:$C$306)</f>
        <v>92.6934367746014</v>
      </c>
      <c r="I316" s="23" t="n">
        <f aca="false">SUMPRODUCT(($B$290:$B$306=$A316)*I$290:I$306*$C$290:$C$306)</f>
        <v>92.6934367746014</v>
      </c>
      <c r="J316" s="23" t="n">
        <f aca="false">SUMPRODUCT(($B$290:$B$306=$A316)*J$290:J$306*$C$290:$C$306)</f>
        <v>92.6934367746014</v>
      </c>
      <c r="K316" s="23" t="n">
        <f aca="false">SUMPRODUCT(($B$290:$B$306=$A316)*K$290:K$306*$C$290:$C$306)</f>
        <v>92.6934367746014</v>
      </c>
      <c r="L316" s="23" t="n">
        <f aca="false">SUMPRODUCT(($B$290:$B$306=$A316)*L$290:L$306*$C$290:$C$306)</f>
        <v>92.6934367746014</v>
      </c>
      <c r="M316" s="23" t="n">
        <f aca="false">SUMPRODUCT(($B$290:$B$306=$A316)*M$290:M$306*$C$290:$C$306)</f>
        <v>92.6934367746014</v>
      </c>
      <c r="N316" s="23" t="n">
        <f aca="false">SUMPRODUCT(($B$290:$B$306=$A316)*N$290:N$306*$C$290:$C$306)</f>
        <v>92.6934367746014</v>
      </c>
      <c r="O316" s="23" t="n">
        <f aca="false">SUMPRODUCT(($B$290:$B$306=$A316)*O$290:O$306*$C$290:$C$306)</f>
        <v>92.6934367746014</v>
      </c>
      <c r="P316" s="23" t="n">
        <f aca="false">SUMPRODUCT(($B$290:$B$306=$A316)*P$290:P$306*$C$290:$C$306)</f>
        <v>1112.32124129522</v>
      </c>
    </row>
    <row r="317" customFormat="false" ht="15" hidden="false" customHeight="false" outlineLevel="0" collapsed="false">
      <c r="A317" s="6" t="s">
        <v>271</v>
      </c>
      <c r="D317" s="24" t="n">
        <f aca="false">SUMPRODUCT(D$290:D$306*parametros_recargas!$D$51:$D$67)</f>
        <v>1253.32032575082</v>
      </c>
      <c r="E317" s="24" t="n">
        <f aca="false">SUMPRODUCT(E$290:E$306*parametros_recargas!$D$51:$D$67)</f>
        <v>1253.32032575082</v>
      </c>
      <c r="F317" s="24" t="n">
        <f aca="false">SUMPRODUCT(F$290:F$306*parametros_recargas!$D$51:$D$67)</f>
        <v>1253.32032575082</v>
      </c>
      <c r="G317" s="24" t="n">
        <f aca="false">SUMPRODUCT(G$290:G$306*parametros_recargas!$D$51:$D$67)</f>
        <v>1253.32032575082</v>
      </c>
      <c r="H317" s="24" t="n">
        <f aca="false">SUMPRODUCT(H$290:H$306*parametros_recargas!$D$51:$D$67)</f>
        <v>1253.32032575082</v>
      </c>
      <c r="I317" s="24" t="n">
        <f aca="false">SUMPRODUCT(I$290:I$306*parametros_recargas!$D$51:$D$67)</f>
        <v>1253.32032575082</v>
      </c>
      <c r="J317" s="24" t="n">
        <f aca="false">SUMPRODUCT(J$290:J$306*parametros_recargas!$D$51:$D$67)</f>
        <v>1253.32032575082</v>
      </c>
      <c r="K317" s="24" t="n">
        <f aca="false">SUMPRODUCT(K$290:K$306*parametros_recargas!$D$51:$D$67)</f>
        <v>1253.32032575082</v>
      </c>
      <c r="L317" s="24" t="n">
        <f aca="false">SUMPRODUCT(L$290:L$306*parametros_recargas!$D$51:$D$67)</f>
        <v>1253.32032575082</v>
      </c>
      <c r="M317" s="24" t="n">
        <f aca="false">SUMPRODUCT(M$290:M$306*parametros_recargas!$D$51:$D$67)</f>
        <v>1253.32032575082</v>
      </c>
      <c r="N317" s="24" t="n">
        <f aca="false">SUMPRODUCT(N$290:N$306*parametros_recargas!$D$51:$D$67)</f>
        <v>1253.32032575082</v>
      </c>
      <c r="O317" s="24" t="n">
        <f aca="false">SUMPRODUCT(O$290:O$306*parametros_recargas!$D$51:$D$67)</f>
        <v>1253.32032575082</v>
      </c>
      <c r="P317" s="24" t="n">
        <f aca="false">SUMPRODUCT(P$290:P$306*parametros_recargas!$D$51:$D$67)</f>
        <v>15039.8439090098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9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3" t="s">
        <v>272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273</v>
      </c>
      <c r="O1" s="3" t="s">
        <v>274</v>
      </c>
      <c r="P1" s="3" t="s">
        <v>275</v>
      </c>
    </row>
    <row r="2" customFormat="false" ht="15" hidden="false" customHeight="false" outlineLevel="0" collapsed="false">
      <c r="A2" s="12" t="str">
        <f aca="false">parametros_recargas!$B$72</f>
        <v>Recepción y registro</v>
      </c>
      <c r="B2" s="23" t="n">
        <f aca="false">parametros_recargas!$E$72*'Plan mensual'!D21+parametros_recargas!$F$72*'Plan mensual'!D22+parametros_recargas!$G$72*'Plan mensual'!D23+parametros_recargas!$H$72*'Plan mensual'!D24+parametros_recargas!$I$72*'Plan mensual'!D25+parametros_recargas!$J$72*'Plan mensual'!D26+parametros_recargas!$K$72*'Plan mensual'!D27+parametros_recargas!$L$72*'Plan mensual'!D28</f>
        <v>414.818938349055</v>
      </c>
      <c r="C2" s="23" t="n">
        <f aca="false">parametros_recargas!$E$72*'Plan mensual'!E21+parametros_recargas!$F$72*'Plan mensual'!E22+parametros_recargas!$G$72*'Plan mensual'!E23+parametros_recargas!$H$72*'Plan mensual'!E24+parametros_recargas!$I$72*'Plan mensual'!E25+parametros_recargas!$J$72*'Plan mensual'!E26+parametros_recargas!$K$72*'Plan mensual'!E27+parametros_recargas!$L$72*'Plan mensual'!E28</f>
        <v>414.818938349055</v>
      </c>
      <c r="D2" s="23" t="n">
        <f aca="false">parametros_recargas!$E$72*'Plan mensual'!F21+parametros_recargas!$F$72*'Plan mensual'!F22+parametros_recargas!$G$72*'Plan mensual'!F23+parametros_recargas!$H$72*'Plan mensual'!F24+parametros_recargas!$I$72*'Plan mensual'!F25+parametros_recargas!$J$72*'Plan mensual'!F26+parametros_recargas!$K$72*'Plan mensual'!F27+parametros_recargas!$L$72*'Plan mensual'!F28</f>
        <v>414.818938349055</v>
      </c>
      <c r="E2" s="23" t="n">
        <f aca="false">parametros_recargas!$E$72*'Plan mensual'!G21+parametros_recargas!$F$72*'Plan mensual'!G22+parametros_recargas!$G$72*'Plan mensual'!G23+parametros_recargas!$H$72*'Plan mensual'!G24+parametros_recargas!$I$72*'Plan mensual'!G25+parametros_recargas!$J$72*'Plan mensual'!G26+parametros_recargas!$K$72*'Plan mensual'!G27+parametros_recargas!$L$72*'Plan mensual'!G28</f>
        <v>414.818938349055</v>
      </c>
      <c r="F2" s="23" t="n">
        <f aca="false">parametros_recargas!$E$72*'Plan mensual'!H21+parametros_recargas!$F$72*'Plan mensual'!H22+parametros_recargas!$G$72*'Plan mensual'!H23+parametros_recargas!$H$72*'Plan mensual'!H24+parametros_recargas!$I$72*'Plan mensual'!H25+parametros_recargas!$J$72*'Plan mensual'!H26+parametros_recargas!$K$72*'Plan mensual'!H27+parametros_recargas!$L$72*'Plan mensual'!H28</f>
        <v>414.818938349055</v>
      </c>
      <c r="G2" s="23" t="n">
        <f aca="false">parametros_recargas!$E$72*'Plan mensual'!I21+parametros_recargas!$F$72*'Plan mensual'!I22+parametros_recargas!$G$72*'Plan mensual'!I23+parametros_recargas!$H$72*'Plan mensual'!I24+parametros_recargas!$I$72*'Plan mensual'!I25+parametros_recargas!$J$72*'Plan mensual'!I26+parametros_recargas!$K$72*'Plan mensual'!I27+parametros_recargas!$L$72*'Plan mensual'!I28</f>
        <v>414.818938349055</v>
      </c>
      <c r="H2" s="23" t="n">
        <f aca="false">parametros_recargas!$E$72*'Plan mensual'!J21+parametros_recargas!$F$72*'Plan mensual'!J22+parametros_recargas!$G$72*'Plan mensual'!J23+parametros_recargas!$H$72*'Plan mensual'!J24+parametros_recargas!$I$72*'Plan mensual'!J25+parametros_recargas!$J$72*'Plan mensual'!J26+parametros_recargas!$K$72*'Plan mensual'!J27+parametros_recargas!$L$72*'Plan mensual'!J28</f>
        <v>414.818938349055</v>
      </c>
      <c r="I2" s="23" t="n">
        <f aca="false">parametros_recargas!$E$72*'Plan mensual'!K21+parametros_recargas!$F$72*'Plan mensual'!K22+parametros_recargas!$G$72*'Plan mensual'!K23+parametros_recargas!$H$72*'Plan mensual'!K24+parametros_recargas!$I$72*'Plan mensual'!K25+parametros_recargas!$J$72*'Plan mensual'!K26+parametros_recargas!$K$72*'Plan mensual'!K27+parametros_recargas!$L$72*'Plan mensual'!K28</f>
        <v>414.818938349055</v>
      </c>
      <c r="J2" s="23" t="n">
        <f aca="false">parametros_recargas!$E$72*'Plan mensual'!L21+parametros_recargas!$F$72*'Plan mensual'!L22+parametros_recargas!$G$72*'Plan mensual'!L23+parametros_recargas!$H$72*'Plan mensual'!L24+parametros_recargas!$I$72*'Plan mensual'!L25+parametros_recargas!$J$72*'Plan mensual'!L26+parametros_recargas!$K$72*'Plan mensual'!L27+parametros_recargas!$L$72*'Plan mensual'!L28</f>
        <v>414.818938349055</v>
      </c>
      <c r="K2" s="23" t="n">
        <f aca="false">parametros_recargas!$E$72*'Plan mensual'!M21+parametros_recargas!$F$72*'Plan mensual'!M22+parametros_recargas!$G$72*'Plan mensual'!M23+parametros_recargas!$H$72*'Plan mensual'!M24+parametros_recargas!$I$72*'Plan mensual'!M25+parametros_recargas!$J$72*'Plan mensual'!M26+parametros_recargas!$K$72*'Plan mensual'!M27+parametros_recargas!$L$72*'Plan mensual'!M28</f>
        <v>414.818938349055</v>
      </c>
      <c r="L2" s="23" t="n">
        <f aca="false">parametros_recargas!$E$72*'Plan mensual'!N21+parametros_recargas!$F$72*'Plan mensual'!N22+parametros_recargas!$G$72*'Plan mensual'!N23+parametros_recargas!$H$72*'Plan mensual'!N24+parametros_recargas!$I$72*'Plan mensual'!N25+parametros_recargas!$J$72*'Plan mensual'!N26+parametros_recargas!$K$72*'Plan mensual'!N27+parametros_recargas!$L$72*'Plan mensual'!N28</f>
        <v>414.818938349055</v>
      </c>
      <c r="M2" s="23" t="n">
        <f aca="false">parametros_recargas!$E$72*'Plan mensual'!O21+parametros_recargas!$F$72*'Plan mensual'!O22+parametros_recargas!$G$72*'Plan mensual'!O23+parametros_recargas!$H$72*'Plan mensual'!O24+parametros_recargas!$I$72*'Plan mensual'!O25+parametros_recargas!$J$72*'Plan mensual'!O26+parametros_recargas!$K$72*'Plan mensual'!O27+parametros_recargas!$L$72*'Plan mensual'!O28</f>
        <v>414.818938349055</v>
      </c>
      <c r="N2" s="7" t="n">
        <f aca="false">SUM(B2:M2)</f>
        <v>4977.82726018866</v>
      </c>
      <c r="O2" s="24" t="n">
        <f aca="false">MAX(B2:M2)</f>
        <v>414.818938349055</v>
      </c>
      <c r="P2" s="15" t="n">
        <f aca="false">O2/parametros_recargas!$B$6</f>
        <v>2.7654595889937</v>
      </c>
    </row>
    <row r="3" customFormat="false" ht="15" hidden="false" customHeight="false" outlineLevel="0" collapsed="false">
      <c r="A3" s="12" t="str">
        <f aca="false">parametros_recargas!$B$73</f>
        <v>Inspección visual</v>
      </c>
      <c r="B3" s="23" t="n">
        <f aca="false">parametros_recargas!$E$73*'Plan mensual'!D21+parametros_recargas!$F$73*'Plan mensual'!D22+parametros_recargas!$G$73*'Plan mensual'!D23+parametros_recargas!$H$73*'Plan mensual'!D24+parametros_recargas!$I$73*'Plan mensual'!D25+parametros_recargas!$J$73*'Plan mensual'!D26+parametros_recargas!$K$73*'Plan mensual'!D27+parametros_recargas!$L$73*'Plan mensual'!D28</f>
        <v>414.818938349055</v>
      </c>
      <c r="C3" s="23" t="n">
        <f aca="false">parametros_recargas!$E$73*'Plan mensual'!E21+parametros_recargas!$F$73*'Plan mensual'!E22+parametros_recargas!$G$73*'Plan mensual'!E23+parametros_recargas!$H$73*'Plan mensual'!E24+parametros_recargas!$I$73*'Plan mensual'!E25+parametros_recargas!$J$73*'Plan mensual'!E26+parametros_recargas!$K$73*'Plan mensual'!E27+parametros_recargas!$L$73*'Plan mensual'!E28</f>
        <v>414.818938349055</v>
      </c>
      <c r="D3" s="23" t="n">
        <f aca="false">parametros_recargas!$E$73*'Plan mensual'!F21+parametros_recargas!$F$73*'Plan mensual'!F22+parametros_recargas!$G$73*'Plan mensual'!F23+parametros_recargas!$H$73*'Plan mensual'!F24+parametros_recargas!$I$73*'Plan mensual'!F25+parametros_recargas!$J$73*'Plan mensual'!F26+parametros_recargas!$K$73*'Plan mensual'!F27+parametros_recargas!$L$73*'Plan mensual'!F28</f>
        <v>414.818938349055</v>
      </c>
      <c r="E3" s="23" t="n">
        <f aca="false">parametros_recargas!$E$73*'Plan mensual'!G21+parametros_recargas!$F$73*'Plan mensual'!G22+parametros_recargas!$G$73*'Plan mensual'!G23+parametros_recargas!$H$73*'Plan mensual'!G24+parametros_recargas!$I$73*'Plan mensual'!G25+parametros_recargas!$J$73*'Plan mensual'!G26+parametros_recargas!$K$73*'Plan mensual'!G27+parametros_recargas!$L$73*'Plan mensual'!G28</f>
        <v>414.818938349055</v>
      </c>
      <c r="F3" s="23" t="n">
        <f aca="false">parametros_recargas!$E$73*'Plan mensual'!H21+parametros_recargas!$F$73*'Plan mensual'!H22+parametros_recargas!$G$73*'Plan mensual'!H23+parametros_recargas!$H$73*'Plan mensual'!H24+parametros_recargas!$I$73*'Plan mensual'!H25+parametros_recargas!$J$73*'Plan mensual'!H26+parametros_recargas!$K$73*'Plan mensual'!H27+parametros_recargas!$L$73*'Plan mensual'!H28</f>
        <v>414.818938349055</v>
      </c>
      <c r="G3" s="23" t="n">
        <f aca="false">parametros_recargas!$E$73*'Plan mensual'!I21+parametros_recargas!$F$73*'Plan mensual'!I22+parametros_recargas!$G$73*'Plan mensual'!I23+parametros_recargas!$H$73*'Plan mensual'!I24+parametros_recargas!$I$73*'Plan mensual'!I25+parametros_recargas!$J$73*'Plan mensual'!I26+parametros_recargas!$K$73*'Plan mensual'!I27+parametros_recargas!$L$73*'Plan mensual'!I28</f>
        <v>414.818938349055</v>
      </c>
      <c r="H3" s="23" t="n">
        <f aca="false">parametros_recargas!$E$73*'Plan mensual'!J21+parametros_recargas!$F$73*'Plan mensual'!J22+parametros_recargas!$G$73*'Plan mensual'!J23+parametros_recargas!$H$73*'Plan mensual'!J24+parametros_recargas!$I$73*'Plan mensual'!J25+parametros_recargas!$J$73*'Plan mensual'!J26+parametros_recargas!$K$73*'Plan mensual'!J27+parametros_recargas!$L$73*'Plan mensual'!J28</f>
        <v>414.818938349055</v>
      </c>
      <c r="I3" s="23" t="n">
        <f aca="false">parametros_recargas!$E$73*'Plan mensual'!K21+parametros_recargas!$F$73*'Plan mensual'!K22+parametros_recargas!$G$73*'Plan mensual'!K23+parametros_recargas!$H$73*'Plan mensual'!K24+parametros_recargas!$I$73*'Plan mensual'!K25+parametros_recargas!$J$73*'Plan mensual'!K26+parametros_recargas!$K$73*'Plan mensual'!K27+parametros_recargas!$L$73*'Plan mensual'!K28</f>
        <v>414.818938349055</v>
      </c>
      <c r="J3" s="23" t="n">
        <f aca="false">parametros_recargas!$E$73*'Plan mensual'!L21+parametros_recargas!$F$73*'Plan mensual'!L22+parametros_recargas!$G$73*'Plan mensual'!L23+parametros_recargas!$H$73*'Plan mensual'!L24+parametros_recargas!$I$73*'Plan mensual'!L25+parametros_recargas!$J$73*'Plan mensual'!L26+parametros_recargas!$K$73*'Plan mensual'!L27+parametros_recargas!$L$73*'Plan mensual'!L28</f>
        <v>414.818938349055</v>
      </c>
      <c r="K3" s="23" t="n">
        <f aca="false">parametros_recargas!$E$73*'Plan mensual'!M21+parametros_recargas!$F$73*'Plan mensual'!M22+parametros_recargas!$G$73*'Plan mensual'!M23+parametros_recargas!$H$73*'Plan mensual'!M24+parametros_recargas!$I$73*'Plan mensual'!M25+parametros_recargas!$J$73*'Plan mensual'!M26+parametros_recargas!$K$73*'Plan mensual'!M27+parametros_recargas!$L$73*'Plan mensual'!M28</f>
        <v>414.818938349055</v>
      </c>
      <c r="L3" s="23" t="n">
        <f aca="false">parametros_recargas!$E$73*'Plan mensual'!N21+parametros_recargas!$F$73*'Plan mensual'!N22+parametros_recargas!$G$73*'Plan mensual'!N23+parametros_recargas!$H$73*'Plan mensual'!N24+parametros_recargas!$I$73*'Plan mensual'!N25+parametros_recargas!$J$73*'Plan mensual'!N26+parametros_recargas!$K$73*'Plan mensual'!N27+parametros_recargas!$L$73*'Plan mensual'!N28</f>
        <v>414.818938349055</v>
      </c>
      <c r="M3" s="23" t="n">
        <f aca="false">parametros_recargas!$E$73*'Plan mensual'!O21+parametros_recargas!$F$73*'Plan mensual'!O22+parametros_recargas!$G$73*'Plan mensual'!O23+parametros_recargas!$H$73*'Plan mensual'!O24+parametros_recargas!$I$73*'Plan mensual'!O25+parametros_recargas!$J$73*'Plan mensual'!O26+parametros_recargas!$K$73*'Plan mensual'!O27+parametros_recargas!$L$73*'Plan mensual'!O28</f>
        <v>414.818938349055</v>
      </c>
      <c r="N3" s="7" t="n">
        <f aca="false">SUM(B3:M3)</f>
        <v>4977.82726018866</v>
      </c>
      <c r="O3" s="24" t="n">
        <f aca="false">MAX(B3:M3)</f>
        <v>414.818938349055</v>
      </c>
      <c r="P3" s="15" t="n">
        <f aca="false">O3/parametros_recargas!$B$6</f>
        <v>2.7654595889937</v>
      </c>
    </row>
    <row r="4" customFormat="false" ht="15" hidden="false" customHeight="false" outlineLevel="0" collapsed="false">
      <c r="A4" s="12" t="str">
        <f aca="false">parametros_recargas!$B$74</f>
        <v>Descarga ABC — ruta recuperable</v>
      </c>
      <c r="B4" s="23" t="n">
        <f aca="false">parametros_recargas!$E$74*'Plan mensual'!D21+parametros_recargas!$F$74*'Plan mensual'!D22+parametros_recargas!$G$74*'Plan mensual'!D23+parametros_recargas!$H$74*'Plan mensual'!D24+parametros_recargas!$I$74*'Plan mensual'!D25+parametros_recargas!$J$74*'Plan mensual'!D26+parametros_recargas!$K$74*'Plan mensual'!D27+parametros_recargas!$L$74*'Plan mensual'!D28</f>
        <v>306.929567593787</v>
      </c>
      <c r="C4" s="23" t="n">
        <f aca="false">parametros_recargas!$E$74*'Plan mensual'!E21+parametros_recargas!$F$74*'Plan mensual'!E22+parametros_recargas!$G$74*'Plan mensual'!E23+parametros_recargas!$H$74*'Plan mensual'!E24+parametros_recargas!$I$74*'Plan mensual'!E25+parametros_recargas!$J$74*'Plan mensual'!E26+parametros_recargas!$K$74*'Plan mensual'!E27+parametros_recargas!$L$74*'Plan mensual'!E28</f>
        <v>306.929567593787</v>
      </c>
      <c r="D4" s="23" t="n">
        <f aca="false">parametros_recargas!$E$74*'Plan mensual'!F21+parametros_recargas!$F$74*'Plan mensual'!F22+parametros_recargas!$G$74*'Plan mensual'!F23+parametros_recargas!$H$74*'Plan mensual'!F24+parametros_recargas!$I$74*'Plan mensual'!F25+parametros_recargas!$J$74*'Plan mensual'!F26+parametros_recargas!$K$74*'Plan mensual'!F27+parametros_recargas!$L$74*'Plan mensual'!F28</f>
        <v>306.929567593787</v>
      </c>
      <c r="E4" s="23" t="n">
        <f aca="false">parametros_recargas!$E$74*'Plan mensual'!G21+parametros_recargas!$F$74*'Plan mensual'!G22+parametros_recargas!$G$74*'Plan mensual'!G23+parametros_recargas!$H$74*'Plan mensual'!G24+parametros_recargas!$I$74*'Plan mensual'!G25+parametros_recargas!$J$74*'Plan mensual'!G26+parametros_recargas!$K$74*'Plan mensual'!G27+parametros_recargas!$L$74*'Plan mensual'!G28</f>
        <v>306.929567593787</v>
      </c>
      <c r="F4" s="23" t="n">
        <f aca="false">parametros_recargas!$E$74*'Plan mensual'!H21+parametros_recargas!$F$74*'Plan mensual'!H22+parametros_recargas!$G$74*'Plan mensual'!H23+parametros_recargas!$H$74*'Plan mensual'!H24+parametros_recargas!$I$74*'Plan mensual'!H25+parametros_recargas!$J$74*'Plan mensual'!H26+parametros_recargas!$K$74*'Plan mensual'!H27+parametros_recargas!$L$74*'Plan mensual'!H28</f>
        <v>306.929567593787</v>
      </c>
      <c r="G4" s="23" t="n">
        <f aca="false">parametros_recargas!$E$74*'Plan mensual'!I21+parametros_recargas!$F$74*'Plan mensual'!I22+parametros_recargas!$G$74*'Plan mensual'!I23+parametros_recargas!$H$74*'Plan mensual'!I24+parametros_recargas!$I$74*'Plan mensual'!I25+parametros_recargas!$J$74*'Plan mensual'!I26+parametros_recargas!$K$74*'Plan mensual'!I27+parametros_recargas!$L$74*'Plan mensual'!I28</f>
        <v>306.929567593787</v>
      </c>
      <c r="H4" s="23" t="n">
        <f aca="false">parametros_recargas!$E$74*'Plan mensual'!J21+parametros_recargas!$F$74*'Plan mensual'!J22+parametros_recargas!$G$74*'Plan mensual'!J23+parametros_recargas!$H$74*'Plan mensual'!J24+parametros_recargas!$I$74*'Plan mensual'!J25+parametros_recargas!$J$74*'Plan mensual'!J26+parametros_recargas!$K$74*'Plan mensual'!J27+parametros_recargas!$L$74*'Plan mensual'!J28</f>
        <v>306.929567593787</v>
      </c>
      <c r="I4" s="23" t="n">
        <f aca="false">parametros_recargas!$E$74*'Plan mensual'!K21+parametros_recargas!$F$74*'Plan mensual'!K22+parametros_recargas!$G$74*'Plan mensual'!K23+parametros_recargas!$H$74*'Plan mensual'!K24+parametros_recargas!$I$74*'Plan mensual'!K25+parametros_recargas!$J$74*'Plan mensual'!K26+parametros_recargas!$K$74*'Plan mensual'!K27+parametros_recargas!$L$74*'Plan mensual'!K28</f>
        <v>306.929567593787</v>
      </c>
      <c r="J4" s="23" t="n">
        <f aca="false">parametros_recargas!$E$74*'Plan mensual'!L21+parametros_recargas!$F$74*'Plan mensual'!L22+parametros_recargas!$G$74*'Plan mensual'!L23+parametros_recargas!$H$74*'Plan mensual'!L24+parametros_recargas!$I$74*'Plan mensual'!L25+parametros_recargas!$J$74*'Plan mensual'!L26+parametros_recargas!$K$74*'Plan mensual'!L27+parametros_recargas!$L$74*'Plan mensual'!L28</f>
        <v>306.929567593787</v>
      </c>
      <c r="K4" s="23" t="n">
        <f aca="false">parametros_recargas!$E$74*'Plan mensual'!M21+parametros_recargas!$F$74*'Plan mensual'!M22+parametros_recargas!$G$74*'Plan mensual'!M23+parametros_recargas!$H$74*'Plan mensual'!M24+parametros_recargas!$I$74*'Plan mensual'!M25+parametros_recargas!$J$74*'Plan mensual'!M26+parametros_recargas!$K$74*'Plan mensual'!M27+parametros_recargas!$L$74*'Plan mensual'!M28</f>
        <v>306.929567593787</v>
      </c>
      <c r="L4" s="23" t="n">
        <f aca="false">parametros_recargas!$E$74*'Plan mensual'!N21+parametros_recargas!$F$74*'Plan mensual'!N22+parametros_recargas!$G$74*'Plan mensual'!N23+parametros_recargas!$H$74*'Plan mensual'!N24+parametros_recargas!$I$74*'Plan mensual'!N25+parametros_recargas!$J$74*'Plan mensual'!N26+parametros_recargas!$K$74*'Plan mensual'!N27+parametros_recargas!$L$74*'Plan mensual'!N28</f>
        <v>306.929567593787</v>
      </c>
      <c r="M4" s="23" t="n">
        <f aca="false">parametros_recargas!$E$74*'Plan mensual'!O21+parametros_recargas!$F$74*'Plan mensual'!O22+parametros_recargas!$G$74*'Plan mensual'!O23+parametros_recargas!$H$74*'Plan mensual'!O24+parametros_recargas!$I$74*'Plan mensual'!O25+parametros_recargas!$J$74*'Plan mensual'!O26+parametros_recargas!$K$74*'Plan mensual'!O27+parametros_recargas!$L$74*'Plan mensual'!O28</f>
        <v>306.929567593787</v>
      </c>
      <c r="N4" s="7" t="n">
        <f aca="false">SUM(B4:M4)</f>
        <v>3683.15481112545</v>
      </c>
      <c r="O4" s="24" t="n">
        <f aca="false">MAX(B4:M4)</f>
        <v>306.929567593787</v>
      </c>
      <c r="P4" s="15" t="n">
        <f aca="false">O4/parametros_recargas!$B$6</f>
        <v>2.04619711729192</v>
      </c>
    </row>
    <row r="5" customFormat="false" ht="15" hidden="false" customHeight="false" outlineLevel="0" collapsed="false">
      <c r="A5" s="12" t="str">
        <f aca="false">parametros_recargas!$B$75</f>
        <v>Descarga ABC — ruta descarte</v>
      </c>
      <c r="B5" s="23" t="n">
        <f aca="false">parametros_recargas!$E$75*'Plan mensual'!D21+parametros_recargas!$F$75*'Plan mensual'!D22+parametros_recargas!$G$75*'Plan mensual'!D23+parametros_recargas!$H$75*'Plan mensual'!D24+parametros_recargas!$I$75*'Plan mensual'!D25+parametros_recargas!$J$75*'Plan mensual'!D26+parametros_recargas!$K$75*'Plan mensual'!D27+parametros_recargas!$L$75*'Plan mensual'!D28</f>
        <v>36.1093608933867</v>
      </c>
      <c r="C5" s="23" t="n">
        <f aca="false">parametros_recargas!$E$75*'Plan mensual'!E21+parametros_recargas!$F$75*'Plan mensual'!E22+parametros_recargas!$G$75*'Plan mensual'!E23+parametros_recargas!$H$75*'Plan mensual'!E24+parametros_recargas!$I$75*'Plan mensual'!E25+parametros_recargas!$J$75*'Plan mensual'!E26+parametros_recargas!$K$75*'Plan mensual'!E27+parametros_recargas!$L$75*'Plan mensual'!E28</f>
        <v>36.1093608933867</v>
      </c>
      <c r="D5" s="23" t="n">
        <f aca="false">parametros_recargas!$E$75*'Plan mensual'!F21+parametros_recargas!$F$75*'Plan mensual'!F22+parametros_recargas!$G$75*'Plan mensual'!F23+parametros_recargas!$H$75*'Plan mensual'!F24+parametros_recargas!$I$75*'Plan mensual'!F25+parametros_recargas!$J$75*'Plan mensual'!F26+parametros_recargas!$K$75*'Plan mensual'!F27+parametros_recargas!$L$75*'Plan mensual'!F28</f>
        <v>36.1093608933867</v>
      </c>
      <c r="E5" s="23" t="n">
        <f aca="false">parametros_recargas!$E$75*'Plan mensual'!G21+parametros_recargas!$F$75*'Plan mensual'!G22+parametros_recargas!$G$75*'Plan mensual'!G23+parametros_recargas!$H$75*'Plan mensual'!G24+parametros_recargas!$I$75*'Plan mensual'!G25+parametros_recargas!$J$75*'Plan mensual'!G26+parametros_recargas!$K$75*'Plan mensual'!G27+parametros_recargas!$L$75*'Plan mensual'!G28</f>
        <v>36.1093608933867</v>
      </c>
      <c r="F5" s="23" t="n">
        <f aca="false">parametros_recargas!$E$75*'Plan mensual'!H21+parametros_recargas!$F$75*'Plan mensual'!H22+parametros_recargas!$G$75*'Plan mensual'!H23+parametros_recargas!$H$75*'Plan mensual'!H24+parametros_recargas!$I$75*'Plan mensual'!H25+parametros_recargas!$J$75*'Plan mensual'!H26+parametros_recargas!$K$75*'Plan mensual'!H27+parametros_recargas!$L$75*'Plan mensual'!H28</f>
        <v>36.1093608933867</v>
      </c>
      <c r="G5" s="23" t="n">
        <f aca="false">parametros_recargas!$E$75*'Plan mensual'!I21+parametros_recargas!$F$75*'Plan mensual'!I22+parametros_recargas!$G$75*'Plan mensual'!I23+parametros_recargas!$H$75*'Plan mensual'!I24+parametros_recargas!$I$75*'Plan mensual'!I25+parametros_recargas!$J$75*'Plan mensual'!I26+parametros_recargas!$K$75*'Plan mensual'!I27+parametros_recargas!$L$75*'Plan mensual'!I28</f>
        <v>36.1093608933867</v>
      </c>
      <c r="H5" s="23" t="n">
        <f aca="false">parametros_recargas!$E$75*'Plan mensual'!J21+parametros_recargas!$F$75*'Plan mensual'!J22+parametros_recargas!$G$75*'Plan mensual'!J23+parametros_recargas!$H$75*'Plan mensual'!J24+parametros_recargas!$I$75*'Plan mensual'!J25+parametros_recargas!$J$75*'Plan mensual'!J26+parametros_recargas!$K$75*'Plan mensual'!J27+parametros_recargas!$L$75*'Plan mensual'!J28</f>
        <v>36.1093608933867</v>
      </c>
      <c r="I5" s="23" t="n">
        <f aca="false">parametros_recargas!$E$75*'Plan mensual'!K21+parametros_recargas!$F$75*'Plan mensual'!K22+parametros_recargas!$G$75*'Plan mensual'!K23+parametros_recargas!$H$75*'Plan mensual'!K24+parametros_recargas!$I$75*'Plan mensual'!K25+parametros_recargas!$J$75*'Plan mensual'!K26+parametros_recargas!$K$75*'Plan mensual'!K27+parametros_recargas!$L$75*'Plan mensual'!K28</f>
        <v>36.1093608933867</v>
      </c>
      <c r="J5" s="23" t="n">
        <f aca="false">parametros_recargas!$E$75*'Plan mensual'!L21+parametros_recargas!$F$75*'Plan mensual'!L22+parametros_recargas!$G$75*'Plan mensual'!L23+parametros_recargas!$H$75*'Plan mensual'!L24+parametros_recargas!$I$75*'Plan mensual'!L25+parametros_recargas!$J$75*'Plan mensual'!L26+parametros_recargas!$K$75*'Plan mensual'!L27+parametros_recargas!$L$75*'Plan mensual'!L28</f>
        <v>36.1093608933867</v>
      </c>
      <c r="K5" s="23" t="n">
        <f aca="false">parametros_recargas!$E$75*'Plan mensual'!M21+parametros_recargas!$F$75*'Plan mensual'!M22+parametros_recargas!$G$75*'Plan mensual'!M23+parametros_recargas!$H$75*'Plan mensual'!M24+parametros_recargas!$I$75*'Plan mensual'!M25+parametros_recargas!$J$75*'Plan mensual'!M26+parametros_recargas!$K$75*'Plan mensual'!M27+parametros_recargas!$L$75*'Plan mensual'!M28</f>
        <v>36.1093608933867</v>
      </c>
      <c r="L5" s="23" t="n">
        <f aca="false">parametros_recargas!$E$75*'Plan mensual'!N21+parametros_recargas!$F$75*'Plan mensual'!N22+parametros_recargas!$G$75*'Plan mensual'!N23+parametros_recargas!$H$75*'Plan mensual'!N24+parametros_recargas!$I$75*'Plan mensual'!N25+parametros_recargas!$J$75*'Plan mensual'!N26+parametros_recargas!$K$75*'Plan mensual'!N27+parametros_recargas!$L$75*'Plan mensual'!N28</f>
        <v>36.1093608933867</v>
      </c>
      <c r="M5" s="23" t="n">
        <f aca="false">parametros_recargas!$E$75*'Plan mensual'!O21+parametros_recargas!$F$75*'Plan mensual'!O22+parametros_recargas!$G$75*'Plan mensual'!O23+parametros_recargas!$H$75*'Plan mensual'!O24+parametros_recargas!$I$75*'Plan mensual'!O25+parametros_recargas!$J$75*'Plan mensual'!O26+parametros_recargas!$K$75*'Plan mensual'!O27+parametros_recargas!$L$75*'Plan mensual'!O28</f>
        <v>36.1093608933867</v>
      </c>
      <c r="N5" s="7" t="n">
        <f aca="false">SUM(B5:M5)</f>
        <v>433.312330720641</v>
      </c>
      <c r="O5" s="24" t="n">
        <f aca="false">MAX(B5:M5)</f>
        <v>36.1093608933867</v>
      </c>
      <c r="P5" s="15" t="n">
        <f aca="false">O5/parametros_recargas!$B$6</f>
        <v>0.240729072622578</v>
      </c>
    </row>
    <row r="6" customFormat="false" ht="15" hidden="false" customHeight="false" outlineLevel="0" collapsed="false">
      <c r="A6" s="12" t="str">
        <f aca="false">parametros_recargas!$B$76</f>
        <v>Descarga BC</v>
      </c>
      <c r="B6" s="23" t="n">
        <f aca="false">parametros_recargas!$E$76*'Plan mensual'!D21+parametros_recargas!$F$76*'Plan mensual'!D22+parametros_recargas!$G$76*'Plan mensual'!D23+parametros_recargas!$H$76*'Plan mensual'!D24+parametros_recargas!$I$76*'Plan mensual'!D25+parametros_recargas!$J$76*'Plan mensual'!D26+parametros_recargas!$K$76*'Plan mensual'!D27+parametros_recargas!$L$76*'Plan mensual'!D28</f>
        <v>0.40496477983295</v>
      </c>
      <c r="C6" s="23" t="n">
        <f aca="false">parametros_recargas!$E$76*'Plan mensual'!E21+parametros_recargas!$F$76*'Plan mensual'!E22+parametros_recargas!$G$76*'Plan mensual'!E23+parametros_recargas!$H$76*'Plan mensual'!E24+parametros_recargas!$I$76*'Plan mensual'!E25+parametros_recargas!$J$76*'Plan mensual'!E26+parametros_recargas!$K$76*'Plan mensual'!E27+parametros_recargas!$L$76*'Plan mensual'!E28</f>
        <v>0.40496477983295</v>
      </c>
      <c r="D6" s="23" t="n">
        <f aca="false">parametros_recargas!$E$76*'Plan mensual'!F21+parametros_recargas!$F$76*'Plan mensual'!F22+parametros_recargas!$G$76*'Plan mensual'!F23+parametros_recargas!$H$76*'Plan mensual'!F24+parametros_recargas!$I$76*'Plan mensual'!F25+parametros_recargas!$J$76*'Plan mensual'!F26+parametros_recargas!$K$76*'Plan mensual'!F27+parametros_recargas!$L$76*'Plan mensual'!F28</f>
        <v>0.40496477983295</v>
      </c>
      <c r="E6" s="23" t="n">
        <f aca="false">parametros_recargas!$E$76*'Plan mensual'!G21+parametros_recargas!$F$76*'Plan mensual'!G22+parametros_recargas!$G$76*'Plan mensual'!G23+parametros_recargas!$H$76*'Plan mensual'!G24+parametros_recargas!$I$76*'Plan mensual'!G25+parametros_recargas!$J$76*'Plan mensual'!G26+parametros_recargas!$K$76*'Plan mensual'!G27+parametros_recargas!$L$76*'Plan mensual'!G28</f>
        <v>0.40496477983295</v>
      </c>
      <c r="F6" s="23" t="n">
        <f aca="false">parametros_recargas!$E$76*'Plan mensual'!H21+parametros_recargas!$F$76*'Plan mensual'!H22+parametros_recargas!$G$76*'Plan mensual'!H23+parametros_recargas!$H$76*'Plan mensual'!H24+parametros_recargas!$I$76*'Plan mensual'!H25+parametros_recargas!$J$76*'Plan mensual'!H26+parametros_recargas!$K$76*'Plan mensual'!H27+parametros_recargas!$L$76*'Plan mensual'!H28</f>
        <v>0.40496477983295</v>
      </c>
      <c r="G6" s="23" t="n">
        <f aca="false">parametros_recargas!$E$76*'Plan mensual'!I21+parametros_recargas!$F$76*'Plan mensual'!I22+parametros_recargas!$G$76*'Plan mensual'!I23+parametros_recargas!$H$76*'Plan mensual'!I24+parametros_recargas!$I$76*'Plan mensual'!I25+parametros_recargas!$J$76*'Plan mensual'!I26+parametros_recargas!$K$76*'Plan mensual'!I27+parametros_recargas!$L$76*'Plan mensual'!I28</f>
        <v>0.40496477983295</v>
      </c>
      <c r="H6" s="23" t="n">
        <f aca="false">parametros_recargas!$E$76*'Plan mensual'!J21+parametros_recargas!$F$76*'Plan mensual'!J22+parametros_recargas!$G$76*'Plan mensual'!J23+parametros_recargas!$H$76*'Plan mensual'!J24+parametros_recargas!$I$76*'Plan mensual'!J25+parametros_recargas!$J$76*'Plan mensual'!J26+parametros_recargas!$K$76*'Plan mensual'!J27+parametros_recargas!$L$76*'Plan mensual'!J28</f>
        <v>0.40496477983295</v>
      </c>
      <c r="I6" s="23" t="n">
        <f aca="false">parametros_recargas!$E$76*'Plan mensual'!K21+parametros_recargas!$F$76*'Plan mensual'!K22+parametros_recargas!$G$76*'Plan mensual'!K23+parametros_recargas!$H$76*'Plan mensual'!K24+parametros_recargas!$I$76*'Plan mensual'!K25+parametros_recargas!$J$76*'Plan mensual'!K26+parametros_recargas!$K$76*'Plan mensual'!K27+parametros_recargas!$L$76*'Plan mensual'!K28</f>
        <v>0.40496477983295</v>
      </c>
      <c r="J6" s="23" t="n">
        <f aca="false">parametros_recargas!$E$76*'Plan mensual'!L21+parametros_recargas!$F$76*'Plan mensual'!L22+parametros_recargas!$G$76*'Plan mensual'!L23+parametros_recargas!$H$76*'Plan mensual'!L24+parametros_recargas!$I$76*'Plan mensual'!L25+parametros_recargas!$J$76*'Plan mensual'!L26+parametros_recargas!$K$76*'Plan mensual'!L27+parametros_recargas!$L$76*'Plan mensual'!L28</f>
        <v>0.40496477983295</v>
      </c>
      <c r="K6" s="23" t="n">
        <f aca="false">parametros_recargas!$E$76*'Plan mensual'!M21+parametros_recargas!$F$76*'Plan mensual'!M22+parametros_recargas!$G$76*'Plan mensual'!M23+parametros_recargas!$H$76*'Plan mensual'!M24+parametros_recargas!$I$76*'Plan mensual'!M25+parametros_recargas!$J$76*'Plan mensual'!M26+parametros_recargas!$K$76*'Plan mensual'!M27+parametros_recargas!$L$76*'Plan mensual'!M28</f>
        <v>0.40496477983295</v>
      </c>
      <c r="L6" s="23" t="n">
        <f aca="false">parametros_recargas!$E$76*'Plan mensual'!N21+parametros_recargas!$F$76*'Plan mensual'!N22+parametros_recargas!$G$76*'Plan mensual'!N23+parametros_recargas!$H$76*'Plan mensual'!N24+parametros_recargas!$I$76*'Plan mensual'!N25+parametros_recargas!$J$76*'Plan mensual'!N26+parametros_recargas!$K$76*'Plan mensual'!N27+parametros_recargas!$L$76*'Plan mensual'!N28</f>
        <v>0.40496477983295</v>
      </c>
      <c r="M6" s="23" t="n">
        <f aca="false">parametros_recargas!$E$76*'Plan mensual'!O21+parametros_recargas!$F$76*'Plan mensual'!O22+parametros_recargas!$G$76*'Plan mensual'!O23+parametros_recargas!$H$76*'Plan mensual'!O24+parametros_recargas!$I$76*'Plan mensual'!O25+parametros_recargas!$J$76*'Plan mensual'!O26+parametros_recargas!$K$76*'Plan mensual'!O27+parametros_recargas!$L$76*'Plan mensual'!O28</f>
        <v>0.40496477983295</v>
      </c>
      <c r="N6" s="7" t="n">
        <f aca="false">SUM(B6:M6)</f>
        <v>4.85957735799541</v>
      </c>
      <c r="O6" s="24" t="n">
        <f aca="false">MAX(B6:M6)</f>
        <v>0.40496477983295</v>
      </c>
      <c r="P6" s="15" t="n">
        <f aca="false">O6/parametros_recargas!$B$6</f>
        <v>0.00269976519888634</v>
      </c>
    </row>
    <row r="7" customFormat="false" ht="15" hidden="false" customHeight="false" outlineLevel="0" collapsed="false">
      <c r="A7" s="12" t="str">
        <f aca="false">parametros_recargas!$B$77</f>
        <v>Descarga de agua / AFFF / sales K</v>
      </c>
      <c r="B7" s="23" t="n">
        <f aca="false">parametros_recargas!$E$77*'Plan mensual'!D21+parametros_recargas!$F$77*'Plan mensual'!D22+parametros_recargas!$G$77*'Plan mensual'!D23+parametros_recargas!$H$77*'Plan mensual'!D24+parametros_recargas!$I$77*'Plan mensual'!D25+parametros_recargas!$J$77*'Plan mensual'!D26+parametros_recargas!$K$77*'Plan mensual'!D27+parametros_recargas!$L$77*'Plan mensual'!D28</f>
        <v>17.6834626458417</v>
      </c>
      <c r="C7" s="23" t="n">
        <f aca="false">parametros_recargas!$E$77*'Plan mensual'!E21+parametros_recargas!$F$77*'Plan mensual'!E22+parametros_recargas!$G$77*'Plan mensual'!E23+parametros_recargas!$H$77*'Plan mensual'!E24+parametros_recargas!$I$77*'Plan mensual'!E25+parametros_recargas!$J$77*'Plan mensual'!E26+parametros_recargas!$K$77*'Plan mensual'!E27+parametros_recargas!$L$77*'Plan mensual'!E28</f>
        <v>17.6834626458417</v>
      </c>
      <c r="D7" s="23" t="n">
        <f aca="false">parametros_recargas!$E$77*'Plan mensual'!F21+parametros_recargas!$F$77*'Plan mensual'!F22+parametros_recargas!$G$77*'Plan mensual'!F23+parametros_recargas!$H$77*'Plan mensual'!F24+parametros_recargas!$I$77*'Plan mensual'!F25+parametros_recargas!$J$77*'Plan mensual'!F26+parametros_recargas!$K$77*'Plan mensual'!F27+parametros_recargas!$L$77*'Plan mensual'!F28</f>
        <v>17.6834626458417</v>
      </c>
      <c r="E7" s="23" t="n">
        <f aca="false">parametros_recargas!$E$77*'Plan mensual'!G21+parametros_recargas!$F$77*'Plan mensual'!G22+parametros_recargas!$G$77*'Plan mensual'!G23+parametros_recargas!$H$77*'Plan mensual'!G24+parametros_recargas!$I$77*'Plan mensual'!G25+parametros_recargas!$J$77*'Plan mensual'!G26+parametros_recargas!$K$77*'Plan mensual'!G27+parametros_recargas!$L$77*'Plan mensual'!G28</f>
        <v>17.6834626458417</v>
      </c>
      <c r="F7" s="23" t="n">
        <f aca="false">parametros_recargas!$E$77*'Plan mensual'!H21+parametros_recargas!$F$77*'Plan mensual'!H22+parametros_recargas!$G$77*'Plan mensual'!H23+parametros_recargas!$H$77*'Plan mensual'!H24+parametros_recargas!$I$77*'Plan mensual'!H25+parametros_recargas!$J$77*'Plan mensual'!H26+parametros_recargas!$K$77*'Plan mensual'!H27+parametros_recargas!$L$77*'Plan mensual'!H28</f>
        <v>17.6834626458417</v>
      </c>
      <c r="G7" s="23" t="n">
        <f aca="false">parametros_recargas!$E$77*'Plan mensual'!I21+parametros_recargas!$F$77*'Plan mensual'!I22+parametros_recargas!$G$77*'Plan mensual'!I23+parametros_recargas!$H$77*'Plan mensual'!I24+parametros_recargas!$I$77*'Plan mensual'!I25+parametros_recargas!$J$77*'Plan mensual'!I26+parametros_recargas!$K$77*'Plan mensual'!I27+parametros_recargas!$L$77*'Plan mensual'!I28</f>
        <v>17.6834626458417</v>
      </c>
      <c r="H7" s="23" t="n">
        <f aca="false">parametros_recargas!$E$77*'Plan mensual'!J21+parametros_recargas!$F$77*'Plan mensual'!J22+parametros_recargas!$G$77*'Plan mensual'!J23+parametros_recargas!$H$77*'Plan mensual'!J24+parametros_recargas!$I$77*'Plan mensual'!J25+parametros_recargas!$J$77*'Plan mensual'!J26+parametros_recargas!$K$77*'Plan mensual'!J27+parametros_recargas!$L$77*'Plan mensual'!J28</f>
        <v>17.6834626458417</v>
      </c>
      <c r="I7" s="23" t="n">
        <f aca="false">parametros_recargas!$E$77*'Plan mensual'!K21+parametros_recargas!$F$77*'Plan mensual'!K22+parametros_recargas!$G$77*'Plan mensual'!K23+parametros_recargas!$H$77*'Plan mensual'!K24+parametros_recargas!$I$77*'Plan mensual'!K25+parametros_recargas!$J$77*'Plan mensual'!K26+parametros_recargas!$K$77*'Plan mensual'!K27+parametros_recargas!$L$77*'Plan mensual'!K28</f>
        <v>17.6834626458417</v>
      </c>
      <c r="J7" s="23" t="n">
        <f aca="false">parametros_recargas!$E$77*'Plan mensual'!L21+parametros_recargas!$F$77*'Plan mensual'!L22+parametros_recargas!$G$77*'Plan mensual'!L23+parametros_recargas!$H$77*'Plan mensual'!L24+parametros_recargas!$I$77*'Plan mensual'!L25+parametros_recargas!$J$77*'Plan mensual'!L26+parametros_recargas!$K$77*'Plan mensual'!L27+parametros_recargas!$L$77*'Plan mensual'!L28</f>
        <v>17.6834626458417</v>
      </c>
      <c r="K7" s="23" t="n">
        <f aca="false">parametros_recargas!$E$77*'Plan mensual'!M21+parametros_recargas!$F$77*'Plan mensual'!M22+parametros_recargas!$G$77*'Plan mensual'!M23+parametros_recargas!$H$77*'Plan mensual'!M24+parametros_recargas!$I$77*'Plan mensual'!M25+parametros_recargas!$J$77*'Plan mensual'!M26+parametros_recargas!$K$77*'Plan mensual'!M27+parametros_recargas!$L$77*'Plan mensual'!M28</f>
        <v>17.6834626458417</v>
      </c>
      <c r="L7" s="23" t="n">
        <f aca="false">parametros_recargas!$E$77*'Plan mensual'!N21+parametros_recargas!$F$77*'Plan mensual'!N22+parametros_recargas!$G$77*'Plan mensual'!N23+parametros_recargas!$H$77*'Plan mensual'!N24+parametros_recargas!$I$77*'Plan mensual'!N25+parametros_recargas!$J$77*'Plan mensual'!N26+parametros_recargas!$K$77*'Plan mensual'!N27+parametros_recargas!$L$77*'Plan mensual'!N28</f>
        <v>17.6834626458417</v>
      </c>
      <c r="M7" s="23" t="n">
        <f aca="false">parametros_recargas!$E$77*'Plan mensual'!O21+parametros_recargas!$F$77*'Plan mensual'!O22+parametros_recargas!$G$77*'Plan mensual'!O23+parametros_recargas!$H$77*'Plan mensual'!O24+parametros_recargas!$I$77*'Plan mensual'!O25+parametros_recargas!$J$77*'Plan mensual'!O26+parametros_recargas!$K$77*'Plan mensual'!O27+parametros_recargas!$L$77*'Plan mensual'!O28</f>
        <v>17.6834626458417</v>
      </c>
      <c r="N7" s="7" t="n">
        <f aca="false">SUM(B7:M7)</f>
        <v>212.201551750101</v>
      </c>
      <c r="O7" s="24" t="n">
        <f aca="false">MAX(B7:M7)</f>
        <v>17.6834626458417</v>
      </c>
      <c r="P7" s="15" t="n">
        <f aca="false">O7/parametros_recargas!$B$6</f>
        <v>0.117889750972278</v>
      </c>
    </row>
    <row r="8" customFormat="false" ht="15" hidden="false" customHeight="false" outlineLevel="0" collapsed="false">
      <c r="A8" s="12" t="str">
        <f aca="false">parametros_recargas!$B$78</f>
        <v>Recuperación de CO₂</v>
      </c>
      <c r="B8" s="23" t="n">
        <f aca="false">parametros_recargas!$E$78*'Plan mensual'!D21+parametros_recargas!$F$78*'Plan mensual'!D22+parametros_recargas!$G$78*'Plan mensual'!D23+parametros_recargas!$H$78*'Plan mensual'!D24+parametros_recargas!$I$78*'Plan mensual'!D25+parametros_recargas!$J$78*'Plan mensual'!D26+parametros_recargas!$K$78*'Plan mensual'!D27+parametros_recargas!$L$78*'Plan mensual'!D28</f>
        <v>8.53800776770297</v>
      </c>
      <c r="C8" s="23" t="n">
        <f aca="false">parametros_recargas!$E$78*'Plan mensual'!E21+parametros_recargas!$F$78*'Plan mensual'!E22+parametros_recargas!$G$78*'Plan mensual'!E23+parametros_recargas!$H$78*'Plan mensual'!E24+parametros_recargas!$I$78*'Plan mensual'!E25+parametros_recargas!$J$78*'Plan mensual'!E26+parametros_recargas!$K$78*'Plan mensual'!E27+parametros_recargas!$L$78*'Plan mensual'!E28</f>
        <v>8.53800776770297</v>
      </c>
      <c r="D8" s="23" t="n">
        <f aca="false">parametros_recargas!$E$78*'Plan mensual'!F21+parametros_recargas!$F$78*'Plan mensual'!F22+parametros_recargas!$G$78*'Plan mensual'!F23+parametros_recargas!$H$78*'Plan mensual'!F24+parametros_recargas!$I$78*'Plan mensual'!F25+parametros_recargas!$J$78*'Plan mensual'!F26+parametros_recargas!$K$78*'Plan mensual'!F27+parametros_recargas!$L$78*'Plan mensual'!F28</f>
        <v>8.53800776770297</v>
      </c>
      <c r="E8" s="23" t="n">
        <f aca="false">parametros_recargas!$E$78*'Plan mensual'!G21+parametros_recargas!$F$78*'Plan mensual'!G22+parametros_recargas!$G$78*'Plan mensual'!G23+parametros_recargas!$H$78*'Plan mensual'!G24+parametros_recargas!$I$78*'Plan mensual'!G25+parametros_recargas!$J$78*'Plan mensual'!G26+parametros_recargas!$K$78*'Plan mensual'!G27+parametros_recargas!$L$78*'Plan mensual'!G28</f>
        <v>8.53800776770297</v>
      </c>
      <c r="F8" s="23" t="n">
        <f aca="false">parametros_recargas!$E$78*'Plan mensual'!H21+parametros_recargas!$F$78*'Plan mensual'!H22+parametros_recargas!$G$78*'Plan mensual'!H23+parametros_recargas!$H$78*'Plan mensual'!H24+parametros_recargas!$I$78*'Plan mensual'!H25+parametros_recargas!$J$78*'Plan mensual'!H26+parametros_recargas!$K$78*'Plan mensual'!H27+parametros_recargas!$L$78*'Plan mensual'!H28</f>
        <v>8.53800776770297</v>
      </c>
      <c r="G8" s="23" t="n">
        <f aca="false">parametros_recargas!$E$78*'Plan mensual'!I21+parametros_recargas!$F$78*'Plan mensual'!I22+parametros_recargas!$G$78*'Plan mensual'!I23+parametros_recargas!$H$78*'Plan mensual'!I24+parametros_recargas!$I$78*'Plan mensual'!I25+parametros_recargas!$J$78*'Plan mensual'!I26+parametros_recargas!$K$78*'Plan mensual'!I27+parametros_recargas!$L$78*'Plan mensual'!I28</f>
        <v>8.53800776770297</v>
      </c>
      <c r="H8" s="23" t="n">
        <f aca="false">parametros_recargas!$E$78*'Plan mensual'!J21+parametros_recargas!$F$78*'Plan mensual'!J22+parametros_recargas!$G$78*'Plan mensual'!J23+parametros_recargas!$H$78*'Plan mensual'!J24+parametros_recargas!$I$78*'Plan mensual'!J25+parametros_recargas!$J$78*'Plan mensual'!J26+parametros_recargas!$K$78*'Plan mensual'!J27+parametros_recargas!$L$78*'Plan mensual'!J28</f>
        <v>8.53800776770297</v>
      </c>
      <c r="I8" s="23" t="n">
        <f aca="false">parametros_recargas!$E$78*'Plan mensual'!K21+parametros_recargas!$F$78*'Plan mensual'!K22+parametros_recargas!$G$78*'Plan mensual'!K23+parametros_recargas!$H$78*'Plan mensual'!K24+parametros_recargas!$I$78*'Plan mensual'!K25+parametros_recargas!$J$78*'Plan mensual'!K26+parametros_recargas!$K$78*'Plan mensual'!K27+parametros_recargas!$L$78*'Plan mensual'!K28</f>
        <v>8.53800776770297</v>
      </c>
      <c r="J8" s="23" t="n">
        <f aca="false">parametros_recargas!$E$78*'Plan mensual'!L21+parametros_recargas!$F$78*'Plan mensual'!L22+parametros_recargas!$G$78*'Plan mensual'!L23+parametros_recargas!$H$78*'Plan mensual'!L24+parametros_recargas!$I$78*'Plan mensual'!L25+parametros_recargas!$J$78*'Plan mensual'!L26+parametros_recargas!$K$78*'Plan mensual'!L27+parametros_recargas!$L$78*'Plan mensual'!L28</f>
        <v>8.53800776770297</v>
      </c>
      <c r="K8" s="23" t="n">
        <f aca="false">parametros_recargas!$E$78*'Plan mensual'!M21+parametros_recargas!$F$78*'Plan mensual'!M22+parametros_recargas!$G$78*'Plan mensual'!M23+parametros_recargas!$H$78*'Plan mensual'!M24+parametros_recargas!$I$78*'Plan mensual'!M25+parametros_recargas!$J$78*'Plan mensual'!M26+parametros_recargas!$K$78*'Plan mensual'!M27+parametros_recargas!$L$78*'Plan mensual'!M28</f>
        <v>8.53800776770297</v>
      </c>
      <c r="L8" s="23" t="n">
        <f aca="false">parametros_recargas!$E$78*'Plan mensual'!N21+parametros_recargas!$F$78*'Plan mensual'!N22+parametros_recargas!$G$78*'Plan mensual'!N23+parametros_recargas!$H$78*'Plan mensual'!N24+parametros_recargas!$I$78*'Plan mensual'!N25+parametros_recargas!$J$78*'Plan mensual'!N26+parametros_recargas!$K$78*'Plan mensual'!N27+parametros_recargas!$L$78*'Plan mensual'!N28</f>
        <v>8.53800776770297</v>
      </c>
      <c r="M8" s="23" t="n">
        <f aca="false">parametros_recargas!$E$78*'Plan mensual'!O21+parametros_recargas!$F$78*'Plan mensual'!O22+parametros_recargas!$G$78*'Plan mensual'!O23+parametros_recargas!$H$78*'Plan mensual'!O24+parametros_recargas!$I$78*'Plan mensual'!O25+parametros_recargas!$J$78*'Plan mensual'!O26+parametros_recargas!$K$78*'Plan mensual'!O27+parametros_recargas!$L$78*'Plan mensual'!O28</f>
        <v>8.53800776770297</v>
      </c>
      <c r="N8" s="7" t="n">
        <f aca="false">SUM(B8:M8)</f>
        <v>102.456093212436</v>
      </c>
      <c r="O8" s="24" t="n">
        <f aca="false">MAX(B8:M8)</f>
        <v>8.53800776770297</v>
      </c>
      <c r="P8" s="15" t="n">
        <f aca="false">O8/parametros_recargas!$B$6</f>
        <v>0.0569200517846865</v>
      </c>
    </row>
    <row r="9" customFormat="false" ht="15" hidden="false" customHeight="false" outlineLevel="0" collapsed="false">
      <c r="A9" s="12" t="str">
        <f aca="false">parametros_recargas!$B$79</f>
        <v>Recuperación de halogenado</v>
      </c>
      <c r="B9" s="23" t="n">
        <f aca="false">parametros_recargas!$E$79*'Plan mensual'!D21+parametros_recargas!$F$79*'Plan mensual'!D22+parametros_recargas!$G$79*'Plan mensual'!D23+parametros_recargas!$H$79*'Plan mensual'!D24+parametros_recargas!$I$79*'Plan mensual'!D25+parametros_recargas!$J$79*'Plan mensual'!D26+parametros_recargas!$K$79*'Plan mensual'!D27+parametros_recargas!$L$79*'Plan mensual'!D28</f>
        <v>0.26997653471704</v>
      </c>
      <c r="C9" s="23" t="n">
        <f aca="false">parametros_recargas!$E$79*'Plan mensual'!E21+parametros_recargas!$F$79*'Plan mensual'!E22+parametros_recargas!$G$79*'Plan mensual'!E23+parametros_recargas!$H$79*'Plan mensual'!E24+parametros_recargas!$I$79*'Plan mensual'!E25+parametros_recargas!$J$79*'Plan mensual'!E26+parametros_recargas!$K$79*'Plan mensual'!E27+parametros_recargas!$L$79*'Plan mensual'!E28</f>
        <v>0.26997653471704</v>
      </c>
      <c r="D9" s="23" t="n">
        <f aca="false">parametros_recargas!$E$79*'Plan mensual'!F21+parametros_recargas!$F$79*'Plan mensual'!F22+parametros_recargas!$G$79*'Plan mensual'!F23+parametros_recargas!$H$79*'Plan mensual'!F24+parametros_recargas!$I$79*'Plan mensual'!F25+parametros_recargas!$J$79*'Plan mensual'!F26+parametros_recargas!$K$79*'Plan mensual'!F27+parametros_recargas!$L$79*'Plan mensual'!F28</f>
        <v>0.26997653471704</v>
      </c>
      <c r="E9" s="23" t="n">
        <f aca="false">parametros_recargas!$E$79*'Plan mensual'!G21+parametros_recargas!$F$79*'Plan mensual'!G22+parametros_recargas!$G$79*'Plan mensual'!G23+parametros_recargas!$H$79*'Plan mensual'!G24+parametros_recargas!$I$79*'Plan mensual'!G25+parametros_recargas!$J$79*'Plan mensual'!G26+parametros_recargas!$K$79*'Plan mensual'!G27+parametros_recargas!$L$79*'Plan mensual'!G28</f>
        <v>0.26997653471704</v>
      </c>
      <c r="F9" s="23" t="n">
        <f aca="false">parametros_recargas!$E$79*'Plan mensual'!H21+parametros_recargas!$F$79*'Plan mensual'!H22+parametros_recargas!$G$79*'Plan mensual'!H23+parametros_recargas!$H$79*'Plan mensual'!H24+parametros_recargas!$I$79*'Plan mensual'!H25+parametros_recargas!$J$79*'Plan mensual'!H26+parametros_recargas!$K$79*'Plan mensual'!H27+parametros_recargas!$L$79*'Plan mensual'!H28</f>
        <v>0.26997653471704</v>
      </c>
      <c r="G9" s="23" t="n">
        <f aca="false">parametros_recargas!$E$79*'Plan mensual'!I21+parametros_recargas!$F$79*'Plan mensual'!I22+parametros_recargas!$G$79*'Plan mensual'!I23+parametros_recargas!$H$79*'Plan mensual'!I24+parametros_recargas!$I$79*'Plan mensual'!I25+parametros_recargas!$J$79*'Plan mensual'!I26+parametros_recargas!$K$79*'Plan mensual'!I27+parametros_recargas!$L$79*'Plan mensual'!I28</f>
        <v>0.26997653471704</v>
      </c>
      <c r="H9" s="23" t="n">
        <f aca="false">parametros_recargas!$E$79*'Plan mensual'!J21+parametros_recargas!$F$79*'Plan mensual'!J22+parametros_recargas!$G$79*'Plan mensual'!J23+parametros_recargas!$H$79*'Plan mensual'!J24+parametros_recargas!$I$79*'Plan mensual'!J25+parametros_recargas!$J$79*'Plan mensual'!J26+parametros_recargas!$K$79*'Plan mensual'!J27+parametros_recargas!$L$79*'Plan mensual'!J28</f>
        <v>0.26997653471704</v>
      </c>
      <c r="I9" s="23" t="n">
        <f aca="false">parametros_recargas!$E$79*'Plan mensual'!K21+parametros_recargas!$F$79*'Plan mensual'!K22+parametros_recargas!$G$79*'Plan mensual'!K23+parametros_recargas!$H$79*'Plan mensual'!K24+parametros_recargas!$I$79*'Plan mensual'!K25+parametros_recargas!$J$79*'Plan mensual'!K26+parametros_recargas!$K$79*'Plan mensual'!K27+parametros_recargas!$L$79*'Plan mensual'!K28</f>
        <v>0.26997653471704</v>
      </c>
      <c r="J9" s="23" t="n">
        <f aca="false">parametros_recargas!$E$79*'Plan mensual'!L21+parametros_recargas!$F$79*'Plan mensual'!L22+parametros_recargas!$G$79*'Plan mensual'!L23+parametros_recargas!$H$79*'Plan mensual'!L24+parametros_recargas!$I$79*'Plan mensual'!L25+parametros_recargas!$J$79*'Plan mensual'!L26+parametros_recargas!$K$79*'Plan mensual'!L27+parametros_recargas!$L$79*'Plan mensual'!L28</f>
        <v>0.26997653471704</v>
      </c>
      <c r="K9" s="23" t="n">
        <f aca="false">parametros_recargas!$E$79*'Plan mensual'!M21+parametros_recargas!$F$79*'Plan mensual'!M22+parametros_recargas!$G$79*'Plan mensual'!M23+parametros_recargas!$H$79*'Plan mensual'!M24+parametros_recargas!$I$79*'Plan mensual'!M25+parametros_recargas!$J$79*'Plan mensual'!M26+parametros_recargas!$K$79*'Plan mensual'!M27+parametros_recargas!$L$79*'Plan mensual'!M28</f>
        <v>0.26997653471704</v>
      </c>
      <c r="L9" s="23" t="n">
        <f aca="false">parametros_recargas!$E$79*'Plan mensual'!N21+parametros_recargas!$F$79*'Plan mensual'!N22+parametros_recargas!$G$79*'Plan mensual'!N23+parametros_recargas!$H$79*'Plan mensual'!N24+parametros_recargas!$I$79*'Plan mensual'!N25+parametros_recargas!$J$79*'Plan mensual'!N26+parametros_recargas!$K$79*'Plan mensual'!N27+parametros_recargas!$L$79*'Plan mensual'!N28</f>
        <v>0.26997653471704</v>
      </c>
      <c r="M9" s="23" t="n">
        <f aca="false">parametros_recargas!$E$79*'Plan mensual'!O21+parametros_recargas!$F$79*'Plan mensual'!O22+parametros_recargas!$G$79*'Plan mensual'!O23+parametros_recargas!$H$79*'Plan mensual'!O24+parametros_recargas!$I$79*'Plan mensual'!O25+parametros_recargas!$J$79*'Plan mensual'!O26+parametros_recargas!$K$79*'Plan mensual'!O27+parametros_recargas!$L$79*'Plan mensual'!O28</f>
        <v>0.26997653471704</v>
      </c>
      <c r="N9" s="7" t="n">
        <f aca="false">SUM(B9:M9)</f>
        <v>3.23971841660448</v>
      </c>
      <c r="O9" s="24" t="n">
        <f aca="false">MAX(B9:M9)</f>
        <v>0.26997653471704</v>
      </c>
      <c r="P9" s="15" t="n">
        <f aca="false">O9/parametros_recargas!$B$6</f>
        <v>0.00179984356478026</v>
      </c>
    </row>
    <row r="10" customFormat="false" ht="15" hidden="false" customHeight="false" outlineLevel="0" collapsed="false">
      <c r="A10" s="12" t="str">
        <f aca="false">parametros_recargas!$B$80</f>
        <v>Desarme y limpieza — recinto</v>
      </c>
      <c r="B10" s="23" t="n">
        <f aca="false">parametros_recargas!$E$80*'Plan mensual'!D21+parametros_recargas!$F$80*'Plan mensual'!D22+parametros_recargas!$G$80*'Plan mensual'!D23+parametros_recargas!$H$80*'Plan mensual'!D24+parametros_recargas!$I$80*'Plan mensual'!D25+parametros_recargas!$J$80*'Plan mensual'!D26+parametros_recargas!$K$80*'Plan mensual'!D27+parametros_recargas!$L$80*'Plan mensual'!D28</f>
        <v>361.903538493533</v>
      </c>
      <c r="C10" s="23" t="n">
        <f aca="false">parametros_recargas!$E$80*'Plan mensual'!E21+parametros_recargas!$F$80*'Plan mensual'!E22+parametros_recargas!$G$80*'Plan mensual'!E23+parametros_recargas!$H$80*'Plan mensual'!E24+parametros_recargas!$I$80*'Plan mensual'!E25+parametros_recargas!$J$80*'Plan mensual'!E26+parametros_recargas!$K$80*'Plan mensual'!E27+parametros_recargas!$L$80*'Plan mensual'!E28</f>
        <v>361.903538493533</v>
      </c>
      <c r="D10" s="23" t="n">
        <f aca="false">parametros_recargas!$E$80*'Plan mensual'!F21+parametros_recargas!$F$80*'Plan mensual'!F22+parametros_recargas!$G$80*'Plan mensual'!F23+parametros_recargas!$H$80*'Plan mensual'!F24+parametros_recargas!$I$80*'Plan mensual'!F25+parametros_recargas!$J$80*'Plan mensual'!F26+parametros_recargas!$K$80*'Plan mensual'!F27+parametros_recargas!$L$80*'Plan mensual'!F28</f>
        <v>361.903538493533</v>
      </c>
      <c r="E10" s="23" t="n">
        <f aca="false">parametros_recargas!$E$80*'Plan mensual'!G21+parametros_recargas!$F$80*'Plan mensual'!G22+parametros_recargas!$G$80*'Plan mensual'!G23+parametros_recargas!$H$80*'Plan mensual'!G24+parametros_recargas!$I$80*'Plan mensual'!G25+parametros_recargas!$J$80*'Plan mensual'!G26+parametros_recargas!$K$80*'Plan mensual'!G27+parametros_recargas!$L$80*'Plan mensual'!G28</f>
        <v>361.903538493533</v>
      </c>
      <c r="F10" s="23" t="n">
        <f aca="false">parametros_recargas!$E$80*'Plan mensual'!H21+parametros_recargas!$F$80*'Plan mensual'!H22+parametros_recargas!$G$80*'Plan mensual'!H23+parametros_recargas!$H$80*'Plan mensual'!H24+parametros_recargas!$I$80*'Plan mensual'!H25+parametros_recargas!$J$80*'Plan mensual'!H26+parametros_recargas!$K$80*'Plan mensual'!H27+parametros_recargas!$L$80*'Plan mensual'!H28</f>
        <v>361.903538493533</v>
      </c>
      <c r="G10" s="23" t="n">
        <f aca="false">parametros_recargas!$E$80*'Plan mensual'!I21+parametros_recargas!$F$80*'Plan mensual'!I22+parametros_recargas!$G$80*'Plan mensual'!I23+parametros_recargas!$H$80*'Plan mensual'!I24+parametros_recargas!$I$80*'Plan mensual'!I25+parametros_recargas!$J$80*'Plan mensual'!I26+parametros_recargas!$K$80*'Plan mensual'!I27+parametros_recargas!$L$80*'Plan mensual'!I28</f>
        <v>361.903538493533</v>
      </c>
      <c r="H10" s="23" t="n">
        <f aca="false">parametros_recargas!$E$80*'Plan mensual'!J21+parametros_recargas!$F$80*'Plan mensual'!J22+parametros_recargas!$G$80*'Plan mensual'!J23+parametros_recargas!$H$80*'Plan mensual'!J24+parametros_recargas!$I$80*'Plan mensual'!J25+parametros_recargas!$J$80*'Plan mensual'!J26+parametros_recargas!$K$80*'Plan mensual'!J27+parametros_recargas!$L$80*'Plan mensual'!J28</f>
        <v>361.903538493533</v>
      </c>
      <c r="I10" s="23" t="n">
        <f aca="false">parametros_recargas!$E$80*'Plan mensual'!K21+parametros_recargas!$F$80*'Plan mensual'!K22+parametros_recargas!$G$80*'Plan mensual'!K23+parametros_recargas!$H$80*'Plan mensual'!K24+parametros_recargas!$I$80*'Plan mensual'!K25+parametros_recargas!$J$80*'Plan mensual'!K26+parametros_recargas!$K$80*'Plan mensual'!K27+parametros_recargas!$L$80*'Plan mensual'!K28</f>
        <v>361.903538493533</v>
      </c>
      <c r="J10" s="23" t="n">
        <f aca="false">parametros_recargas!$E$80*'Plan mensual'!L21+parametros_recargas!$F$80*'Plan mensual'!L22+parametros_recargas!$G$80*'Plan mensual'!L23+parametros_recargas!$H$80*'Plan mensual'!L24+parametros_recargas!$I$80*'Plan mensual'!L25+parametros_recargas!$J$80*'Plan mensual'!L26+parametros_recargas!$K$80*'Plan mensual'!L27+parametros_recargas!$L$80*'Plan mensual'!L28</f>
        <v>361.903538493533</v>
      </c>
      <c r="K10" s="23" t="n">
        <f aca="false">parametros_recargas!$E$80*'Plan mensual'!M21+parametros_recargas!$F$80*'Plan mensual'!M22+parametros_recargas!$G$80*'Plan mensual'!M23+parametros_recargas!$H$80*'Plan mensual'!M24+parametros_recargas!$I$80*'Plan mensual'!M25+parametros_recargas!$J$80*'Plan mensual'!M26+parametros_recargas!$K$80*'Plan mensual'!M27+parametros_recargas!$L$80*'Plan mensual'!M28</f>
        <v>361.903538493533</v>
      </c>
      <c r="L10" s="23" t="n">
        <f aca="false">parametros_recargas!$E$80*'Plan mensual'!N21+parametros_recargas!$F$80*'Plan mensual'!N22+parametros_recargas!$G$80*'Plan mensual'!N23+parametros_recargas!$H$80*'Plan mensual'!N24+parametros_recargas!$I$80*'Plan mensual'!N25+parametros_recargas!$J$80*'Plan mensual'!N26+parametros_recargas!$K$80*'Plan mensual'!N27+parametros_recargas!$L$80*'Plan mensual'!N28</f>
        <v>361.903538493533</v>
      </c>
      <c r="M10" s="23" t="n">
        <f aca="false">parametros_recargas!$E$80*'Plan mensual'!O21+parametros_recargas!$F$80*'Plan mensual'!O22+parametros_recargas!$G$80*'Plan mensual'!O23+parametros_recargas!$H$80*'Plan mensual'!O24+parametros_recargas!$I$80*'Plan mensual'!O25+parametros_recargas!$J$80*'Plan mensual'!O26+parametros_recargas!$K$80*'Plan mensual'!O27+parametros_recargas!$L$80*'Plan mensual'!O28</f>
        <v>361.903538493533</v>
      </c>
      <c r="N10" s="7" t="n">
        <f aca="false">SUM(B10:M10)</f>
        <v>4342.8424619224</v>
      </c>
      <c r="O10" s="24" t="n">
        <f aca="false">MAX(B10:M10)</f>
        <v>361.903538493533</v>
      </c>
      <c r="P10" s="15" t="n">
        <f aca="false">O10/parametros_recargas!$B$6</f>
        <v>2.41269025662356</v>
      </c>
    </row>
    <row r="11" customFormat="false" ht="15" hidden="false" customHeight="false" outlineLevel="0" collapsed="false">
      <c r="A11" s="12" t="str">
        <f aca="false">parametros_recargas!$B$81</f>
        <v>Desarme e inspección interior — zona general</v>
      </c>
      <c r="B11" s="23" t="n">
        <f aca="false">parametros_recargas!$E$81*'Plan mensual'!D21+parametros_recargas!$F$81*'Plan mensual'!D22+parametros_recargas!$G$81*'Plan mensual'!D23+parametros_recargas!$H$81*'Plan mensual'!D24+parametros_recargas!$I$81*'Plan mensual'!D25+parametros_recargas!$J$81*'Plan mensual'!D26+parametros_recargas!$K$81*'Plan mensual'!D27+parametros_recargas!$L$81*'Plan mensual'!D28</f>
        <v>26.4914469482618</v>
      </c>
      <c r="C11" s="23" t="n">
        <f aca="false">parametros_recargas!$E$81*'Plan mensual'!E21+parametros_recargas!$F$81*'Plan mensual'!E22+parametros_recargas!$G$81*'Plan mensual'!E23+parametros_recargas!$H$81*'Plan mensual'!E24+parametros_recargas!$I$81*'Plan mensual'!E25+parametros_recargas!$J$81*'Plan mensual'!E26+parametros_recargas!$K$81*'Plan mensual'!E27+parametros_recargas!$L$81*'Plan mensual'!E28</f>
        <v>26.4914469482618</v>
      </c>
      <c r="D11" s="23" t="n">
        <f aca="false">parametros_recargas!$E$81*'Plan mensual'!F21+parametros_recargas!$F$81*'Plan mensual'!F22+parametros_recargas!$G$81*'Plan mensual'!F23+parametros_recargas!$H$81*'Plan mensual'!F24+parametros_recargas!$I$81*'Plan mensual'!F25+parametros_recargas!$J$81*'Plan mensual'!F26+parametros_recargas!$K$81*'Plan mensual'!F27+parametros_recargas!$L$81*'Plan mensual'!F28</f>
        <v>26.4914469482618</v>
      </c>
      <c r="E11" s="23" t="n">
        <f aca="false">parametros_recargas!$E$81*'Plan mensual'!G21+parametros_recargas!$F$81*'Plan mensual'!G22+parametros_recargas!$G$81*'Plan mensual'!G23+parametros_recargas!$H$81*'Plan mensual'!G24+parametros_recargas!$I$81*'Plan mensual'!G25+parametros_recargas!$J$81*'Plan mensual'!G26+parametros_recargas!$K$81*'Plan mensual'!G27+parametros_recargas!$L$81*'Plan mensual'!G28</f>
        <v>26.4914469482618</v>
      </c>
      <c r="F11" s="23" t="n">
        <f aca="false">parametros_recargas!$E$81*'Plan mensual'!H21+parametros_recargas!$F$81*'Plan mensual'!H22+parametros_recargas!$G$81*'Plan mensual'!H23+parametros_recargas!$H$81*'Plan mensual'!H24+parametros_recargas!$I$81*'Plan mensual'!H25+parametros_recargas!$J$81*'Plan mensual'!H26+parametros_recargas!$K$81*'Plan mensual'!H27+parametros_recargas!$L$81*'Plan mensual'!H28</f>
        <v>26.4914469482618</v>
      </c>
      <c r="G11" s="23" t="n">
        <f aca="false">parametros_recargas!$E$81*'Plan mensual'!I21+parametros_recargas!$F$81*'Plan mensual'!I22+parametros_recargas!$G$81*'Plan mensual'!I23+parametros_recargas!$H$81*'Plan mensual'!I24+parametros_recargas!$I$81*'Plan mensual'!I25+parametros_recargas!$J$81*'Plan mensual'!I26+parametros_recargas!$K$81*'Plan mensual'!I27+parametros_recargas!$L$81*'Plan mensual'!I28</f>
        <v>26.4914469482618</v>
      </c>
      <c r="H11" s="23" t="n">
        <f aca="false">parametros_recargas!$E$81*'Plan mensual'!J21+parametros_recargas!$F$81*'Plan mensual'!J22+parametros_recargas!$G$81*'Plan mensual'!J23+parametros_recargas!$H$81*'Plan mensual'!J24+parametros_recargas!$I$81*'Plan mensual'!J25+parametros_recargas!$J$81*'Plan mensual'!J26+parametros_recargas!$K$81*'Plan mensual'!J27+parametros_recargas!$L$81*'Plan mensual'!J28</f>
        <v>26.4914469482618</v>
      </c>
      <c r="I11" s="23" t="n">
        <f aca="false">parametros_recargas!$E$81*'Plan mensual'!K21+parametros_recargas!$F$81*'Plan mensual'!K22+parametros_recargas!$G$81*'Plan mensual'!K23+parametros_recargas!$H$81*'Plan mensual'!K24+parametros_recargas!$I$81*'Plan mensual'!K25+parametros_recargas!$J$81*'Plan mensual'!K26+parametros_recargas!$K$81*'Plan mensual'!K27+parametros_recargas!$L$81*'Plan mensual'!K28</f>
        <v>26.4914469482618</v>
      </c>
      <c r="J11" s="23" t="n">
        <f aca="false">parametros_recargas!$E$81*'Plan mensual'!L21+parametros_recargas!$F$81*'Plan mensual'!L22+parametros_recargas!$G$81*'Plan mensual'!L23+parametros_recargas!$H$81*'Plan mensual'!L24+parametros_recargas!$I$81*'Plan mensual'!L25+parametros_recargas!$J$81*'Plan mensual'!L26+parametros_recargas!$K$81*'Plan mensual'!L27+parametros_recargas!$L$81*'Plan mensual'!L28</f>
        <v>26.4914469482618</v>
      </c>
      <c r="K11" s="23" t="n">
        <f aca="false">parametros_recargas!$E$81*'Plan mensual'!M21+parametros_recargas!$F$81*'Plan mensual'!M22+parametros_recargas!$G$81*'Plan mensual'!M23+parametros_recargas!$H$81*'Plan mensual'!M24+parametros_recargas!$I$81*'Plan mensual'!M25+parametros_recargas!$J$81*'Plan mensual'!M26+parametros_recargas!$K$81*'Plan mensual'!M27+parametros_recargas!$L$81*'Plan mensual'!M28</f>
        <v>26.4914469482618</v>
      </c>
      <c r="L11" s="23" t="n">
        <f aca="false">parametros_recargas!$E$81*'Plan mensual'!N21+parametros_recargas!$F$81*'Plan mensual'!N22+parametros_recargas!$G$81*'Plan mensual'!N23+parametros_recargas!$H$81*'Plan mensual'!N24+parametros_recargas!$I$81*'Plan mensual'!N25+parametros_recargas!$J$81*'Plan mensual'!N26+parametros_recargas!$K$81*'Plan mensual'!N27+parametros_recargas!$L$81*'Plan mensual'!N28</f>
        <v>26.4914469482618</v>
      </c>
      <c r="M11" s="23" t="n">
        <f aca="false">parametros_recargas!$E$81*'Plan mensual'!O21+parametros_recargas!$F$81*'Plan mensual'!O22+parametros_recargas!$G$81*'Plan mensual'!O23+parametros_recargas!$H$81*'Plan mensual'!O24+parametros_recargas!$I$81*'Plan mensual'!O25+parametros_recargas!$J$81*'Plan mensual'!O26+parametros_recargas!$K$81*'Plan mensual'!O27+parametros_recargas!$L$81*'Plan mensual'!O28</f>
        <v>26.4914469482618</v>
      </c>
      <c r="N11" s="7" t="n">
        <f aca="false">SUM(B11:M11)</f>
        <v>317.897363379141</v>
      </c>
      <c r="O11" s="24" t="n">
        <f aca="false">MAX(B11:M11)</f>
        <v>26.4914469482618</v>
      </c>
      <c r="P11" s="15" t="n">
        <f aca="false">O11/parametros_recargas!$B$6</f>
        <v>0.176609646321745</v>
      </c>
    </row>
    <row r="12" customFormat="false" ht="15" hidden="false" customHeight="false" outlineLevel="0" collapsed="false">
      <c r="A12" s="12" t="str">
        <f aca="false">parametros_recargas!$B$82</f>
        <v>Laboratorio — Puffer y mufla</v>
      </c>
      <c r="B12" s="23" t="n">
        <f aca="false">parametros_recargas!$E$82*'Plan mensual'!D21+parametros_recargas!$F$82*'Plan mensual'!D22+parametros_recargas!$G$82*'Plan mensual'!D23+parametros_recargas!$H$82*'Plan mensual'!D24+parametros_recargas!$I$82*'Plan mensual'!D25+parametros_recargas!$J$82*'Plan mensual'!D26+parametros_recargas!$K$82*'Plan mensual'!D27+parametros_recargas!$L$82*'Plan mensual'!D28</f>
        <v>0.3614985737137</v>
      </c>
      <c r="C12" s="23" t="n">
        <f aca="false">parametros_recargas!$E$82*'Plan mensual'!E21+parametros_recargas!$F$82*'Plan mensual'!E22+parametros_recargas!$G$82*'Plan mensual'!E23+parametros_recargas!$H$82*'Plan mensual'!E24+parametros_recargas!$I$82*'Plan mensual'!E25+parametros_recargas!$J$82*'Plan mensual'!E26+parametros_recargas!$K$82*'Plan mensual'!E27+parametros_recargas!$L$82*'Plan mensual'!E28</f>
        <v>0.3614985737137</v>
      </c>
      <c r="D12" s="23" t="n">
        <f aca="false">parametros_recargas!$E$82*'Plan mensual'!F21+parametros_recargas!$F$82*'Plan mensual'!F22+parametros_recargas!$G$82*'Plan mensual'!F23+parametros_recargas!$H$82*'Plan mensual'!F24+parametros_recargas!$I$82*'Plan mensual'!F25+parametros_recargas!$J$82*'Plan mensual'!F26+parametros_recargas!$K$82*'Plan mensual'!F27+parametros_recargas!$L$82*'Plan mensual'!F28</f>
        <v>0.3614985737137</v>
      </c>
      <c r="E12" s="23" t="n">
        <f aca="false">parametros_recargas!$E$82*'Plan mensual'!G21+parametros_recargas!$F$82*'Plan mensual'!G22+parametros_recargas!$G$82*'Plan mensual'!G23+parametros_recargas!$H$82*'Plan mensual'!G24+parametros_recargas!$I$82*'Plan mensual'!G25+parametros_recargas!$J$82*'Plan mensual'!G26+parametros_recargas!$K$82*'Plan mensual'!G27+parametros_recargas!$L$82*'Plan mensual'!G28</f>
        <v>0.3614985737137</v>
      </c>
      <c r="F12" s="23" t="n">
        <f aca="false">parametros_recargas!$E$82*'Plan mensual'!H21+parametros_recargas!$F$82*'Plan mensual'!H22+parametros_recargas!$G$82*'Plan mensual'!H23+parametros_recargas!$H$82*'Plan mensual'!H24+parametros_recargas!$I$82*'Plan mensual'!H25+parametros_recargas!$J$82*'Plan mensual'!H26+parametros_recargas!$K$82*'Plan mensual'!H27+parametros_recargas!$L$82*'Plan mensual'!H28</f>
        <v>0.3614985737137</v>
      </c>
      <c r="G12" s="23" t="n">
        <f aca="false">parametros_recargas!$E$82*'Plan mensual'!I21+parametros_recargas!$F$82*'Plan mensual'!I22+parametros_recargas!$G$82*'Plan mensual'!I23+parametros_recargas!$H$82*'Plan mensual'!I24+parametros_recargas!$I$82*'Plan mensual'!I25+parametros_recargas!$J$82*'Plan mensual'!I26+parametros_recargas!$K$82*'Plan mensual'!I27+parametros_recargas!$L$82*'Plan mensual'!I28</f>
        <v>0.3614985737137</v>
      </c>
      <c r="H12" s="23" t="n">
        <f aca="false">parametros_recargas!$E$82*'Plan mensual'!J21+parametros_recargas!$F$82*'Plan mensual'!J22+parametros_recargas!$G$82*'Plan mensual'!J23+parametros_recargas!$H$82*'Plan mensual'!J24+parametros_recargas!$I$82*'Plan mensual'!J25+parametros_recargas!$J$82*'Plan mensual'!J26+parametros_recargas!$K$82*'Plan mensual'!J27+parametros_recargas!$L$82*'Plan mensual'!J28</f>
        <v>0.3614985737137</v>
      </c>
      <c r="I12" s="23" t="n">
        <f aca="false">parametros_recargas!$E$82*'Plan mensual'!K21+parametros_recargas!$F$82*'Plan mensual'!K22+parametros_recargas!$G$82*'Plan mensual'!K23+parametros_recargas!$H$82*'Plan mensual'!K24+parametros_recargas!$I$82*'Plan mensual'!K25+parametros_recargas!$J$82*'Plan mensual'!K26+parametros_recargas!$K$82*'Plan mensual'!K27+parametros_recargas!$L$82*'Plan mensual'!K28</f>
        <v>0.3614985737137</v>
      </c>
      <c r="J12" s="23" t="n">
        <f aca="false">parametros_recargas!$E$82*'Plan mensual'!L21+parametros_recargas!$F$82*'Plan mensual'!L22+parametros_recargas!$G$82*'Plan mensual'!L23+parametros_recargas!$H$82*'Plan mensual'!L24+parametros_recargas!$I$82*'Plan mensual'!L25+parametros_recargas!$J$82*'Plan mensual'!L26+parametros_recargas!$K$82*'Plan mensual'!L27+parametros_recargas!$L$82*'Plan mensual'!L28</f>
        <v>0.3614985737137</v>
      </c>
      <c r="K12" s="23" t="n">
        <f aca="false">parametros_recargas!$E$82*'Plan mensual'!M21+parametros_recargas!$F$82*'Plan mensual'!M22+parametros_recargas!$G$82*'Plan mensual'!M23+parametros_recargas!$H$82*'Plan mensual'!M24+parametros_recargas!$I$82*'Plan mensual'!M25+parametros_recargas!$J$82*'Plan mensual'!M26+parametros_recargas!$K$82*'Plan mensual'!M27+parametros_recargas!$L$82*'Plan mensual'!M28</f>
        <v>0.3614985737137</v>
      </c>
      <c r="L12" s="23" t="n">
        <f aca="false">parametros_recargas!$E$82*'Plan mensual'!N21+parametros_recargas!$F$82*'Plan mensual'!N22+parametros_recargas!$G$82*'Plan mensual'!N23+parametros_recargas!$H$82*'Plan mensual'!N24+parametros_recargas!$I$82*'Plan mensual'!N25+parametros_recargas!$J$82*'Plan mensual'!N26+parametros_recargas!$K$82*'Plan mensual'!N27+parametros_recargas!$L$82*'Plan mensual'!N28</f>
        <v>0.3614985737137</v>
      </c>
      <c r="M12" s="23" t="n">
        <f aca="false">parametros_recargas!$E$82*'Plan mensual'!O21+parametros_recargas!$F$82*'Plan mensual'!O22+parametros_recargas!$G$82*'Plan mensual'!O23+parametros_recargas!$H$82*'Plan mensual'!O24+parametros_recargas!$I$82*'Plan mensual'!O25+parametros_recargas!$J$82*'Plan mensual'!O26+parametros_recargas!$K$82*'Plan mensual'!O27+parametros_recargas!$L$82*'Plan mensual'!O28</f>
        <v>0.3614985737137</v>
      </c>
      <c r="N12" s="7" t="n">
        <f aca="false">SUM(B12:M12)</f>
        <v>4.3379828845644</v>
      </c>
      <c r="O12" s="24" t="n">
        <f aca="false">MAX(B12:M12)</f>
        <v>0.3614985737137</v>
      </c>
      <c r="P12" s="15" t="n">
        <f aca="false">O12/parametros_recargas!$B$6</f>
        <v>0.00240999049142467</v>
      </c>
    </row>
    <row r="13" customFormat="false" ht="15" hidden="false" customHeight="false" outlineLevel="0" collapsed="false">
      <c r="A13" s="12" t="str">
        <f aca="false">parametros_recargas!$B$83</f>
        <v>Prueba hidráulica</v>
      </c>
      <c r="B13" s="23" t="n">
        <f aca="false">parametros_recargas!$E$83*'Plan mensual'!D21+parametros_recargas!$F$83*'Plan mensual'!D22+parametros_recargas!$G$83*'Plan mensual'!D23+parametros_recargas!$H$83*'Plan mensual'!D24+parametros_recargas!$I$83*'Plan mensual'!D25+parametros_recargas!$J$83*'Plan mensual'!D26+parametros_recargas!$K$83*'Plan mensual'!D27+parametros_recargas!$L$83*'Plan mensual'!D28</f>
        <v>88.2688264635635</v>
      </c>
      <c r="C13" s="23" t="n">
        <f aca="false">parametros_recargas!$E$83*'Plan mensual'!E21+parametros_recargas!$F$83*'Plan mensual'!E22+parametros_recargas!$G$83*'Plan mensual'!E23+parametros_recargas!$H$83*'Plan mensual'!E24+parametros_recargas!$I$83*'Plan mensual'!E25+parametros_recargas!$J$83*'Plan mensual'!E26+parametros_recargas!$K$83*'Plan mensual'!E27+parametros_recargas!$L$83*'Plan mensual'!E28</f>
        <v>88.2688264635635</v>
      </c>
      <c r="D13" s="23" t="n">
        <f aca="false">parametros_recargas!$E$83*'Plan mensual'!F21+parametros_recargas!$F$83*'Plan mensual'!F22+parametros_recargas!$G$83*'Plan mensual'!F23+parametros_recargas!$H$83*'Plan mensual'!F24+parametros_recargas!$I$83*'Plan mensual'!F25+parametros_recargas!$J$83*'Plan mensual'!F26+parametros_recargas!$K$83*'Plan mensual'!F27+parametros_recargas!$L$83*'Plan mensual'!F28</f>
        <v>88.2688264635635</v>
      </c>
      <c r="E13" s="23" t="n">
        <f aca="false">parametros_recargas!$E$83*'Plan mensual'!G21+parametros_recargas!$F$83*'Plan mensual'!G22+parametros_recargas!$G$83*'Plan mensual'!G23+parametros_recargas!$H$83*'Plan mensual'!G24+parametros_recargas!$I$83*'Plan mensual'!G25+parametros_recargas!$J$83*'Plan mensual'!G26+parametros_recargas!$K$83*'Plan mensual'!G27+parametros_recargas!$L$83*'Plan mensual'!G28</f>
        <v>88.2688264635635</v>
      </c>
      <c r="F13" s="23" t="n">
        <f aca="false">parametros_recargas!$E$83*'Plan mensual'!H21+parametros_recargas!$F$83*'Plan mensual'!H22+parametros_recargas!$G$83*'Plan mensual'!H23+parametros_recargas!$H$83*'Plan mensual'!H24+parametros_recargas!$I$83*'Plan mensual'!H25+parametros_recargas!$J$83*'Plan mensual'!H26+parametros_recargas!$K$83*'Plan mensual'!H27+parametros_recargas!$L$83*'Plan mensual'!H28</f>
        <v>88.2688264635635</v>
      </c>
      <c r="G13" s="23" t="n">
        <f aca="false">parametros_recargas!$E$83*'Plan mensual'!I21+parametros_recargas!$F$83*'Plan mensual'!I22+parametros_recargas!$G$83*'Plan mensual'!I23+parametros_recargas!$H$83*'Plan mensual'!I24+parametros_recargas!$I$83*'Plan mensual'!I25+parametros_recargas!$J$83*'Plan mensual'!I26+parametros_recargas!$K$83*'Plan mensual'!I27+parametros_recargas!$L$83*'Plan mensual'!I28</f>
        <v>88.2688264635635</v>
      </c>
      <c r="H13" s="23" t="n">
        <f aca="false">parametros_recargas!$E$83*'Plan mensual'!J21+parametros_recargas!$F$83*'Plan mensual'!J22+parametros_recargas!$G$83*'Plan mensual'!J23+parametros_recargas!$H$83*'Plan mensual'!J24+parametros_recargas!$I$83*'Plan mensual'!J25+parametros_recargas!$J$83*'Plan mensual'!J26+parametros_recargas!$K$83*'Plan mensual'!J27+parametros_recargas!$L$83*'Plan mensual'!J28</f>
        <v>88.2688264635635</v>
      </c>
      <c r="I13" s="23" t="n">
        <f aca="false">parametros_recargas!$E$83*'Plan mensual'!K21+parametros_recargas!$F$83*'Plan mensual'!K22+parametros_recargas!$G$83*'Plan mensual'!K23+parametros_recargas!$H$83*'Plan mensual'!K24+parametros_recargas!$I$83*'Plan mensual'!K25+parametros_recargas!$J$83*'Plan mensual'!K26+parametros_recargas!$K$83*'Plan mensual'!K27+parametros_recargas!$L$83*'Plan mensual'!K28</f>
        <v>88.2688264635635</v>
      </c>
      <c r="J13" s="23" t="n">
        <f aca="false">parametros_recargas!$E$83*'Plan mensual'!L21+parametros_recargas!$F$83*'Plan mensual'!L22+parametros_recargas!$G$83*'Plan mensual'!L23+parametros_recargas!$H$83*'Plan mensual'!L24+parametros_recargas!$I$83*'Plan mensual'!L25+parametros_recargas!$J$83*'Plan mensual'!L26+parametros_recargas!$K$83*'Plan mensual'!L27+parametros_recargas!$L$83*'Plan mensual'!L28</f>
        <v>88.2688264635635</v>
      </c>
      <c r="K13" s="23" t="n">
        <f aca="false">parametros_recargas!$E$83*'Plan mensual'!M21+parametros_recargas!$F$83*'Plan mensual'!M22+parametros_recargas!$G$83*'Plan mensual'!M23+parametros_recargas!$H$83*'Plan mensual'!M24+parametros_recargas!$I$83*'Plan mensual'!M25+parametros_recargas!$J$83*'Plan mensual'!M26+parametros_recargas!$K$83*'Plan mensual'!M27+parametros_recargas!$L$83*'Plan mensual'!M28</f>
        <v>88.2688264635635</v>
      </c>
      <c r="L13" s="23" t="n">
        <f aca="false">parametros_recargas!$E$83*'Plan mensual'!N21+parametros_recargas!$F$83*'Plan mensual'!N22+parametros_recargas!$G$83*'Plan mensual'!N23+parametros_recargas!$H$83*'Plan mensual'!N24+parametros_recargas!$I$83*'Plan mensual'!N25+parametros_recargas!$J$83*'Plan mensual'!N26+parametros_recargas!$K$83*'Plan mensual'!N27+parametros_recargas!$L$83*'Plan mensual'!N28</f>
        <v>88.2688264635635</v>
      </c>
      <c r="M13" s="23" t="n">
        <f aca="false">parametros_recargas!$E$83*'Plan mensual'!O21+parametros_recargas!$F$83*'Plan mensual'!O22+parametros_recargas!$G$83*'Plan mensual'!O23+parametros_recargas!$H$83*'Plan mensual'!O24+parametros_recargas!$I$83*'Plan mensual'!O25+parametros_recargas!$J$83*'Plan mensual'!O26+parametros_recargas!$K$83*'Plan mensual'!O27+parametros_recargas!$L$83*'Plan mensual'!O28</f>
        <v>88.2688264635635</v>
      </c>
      <c r="N13" s="7" t="n">
        <f aca="false">SUM(B13:M13)</f>
        <v>1059.22591756276</v>
      </c>
      <c r="O13" s="24" t="n">
        <f aca="false">MAX(B13:M13)</f>
        <v>88.2688264635635</v>
      </c>
      <c r="P13" s="15" t="n">
        <f aca="false">O13/parametros_recargas!$B$6</f>
        <v>0.588458843090424</v>
      </c>
    </row>
    <row r="14" customFormat="false" ht="15" hidden="false" customHeight="false" outlineLevel="0" collapsed="false">
      <c r="A14" s="12" t="str">
        <f aca="false">parametros_recargas!$B$84</f>
        <v>Secado</v>
      </c>
      <c r="B14" s="23" t="n">
        <f aca="false">parametros_recargas!$E$84*'Plan mensual'!D21+parametros_recargas!$F$84*'Plan mensual'!D22+parametros_recargas!$G$84*'Plan mensual'!D23+parametros_recargas!$H$84*'Plan mensual'!D24+parametros_recargas!$I$84*'Plan mensual'!D25+parametros_recargas!$J$84*'Plan mensual'!D26+parametros_recargas!$K$84*'Plan mensual'!D27+parametros_recargas!$L$84*'Plan mensual'!D28</f>
        <v>83.046130525578</v>
      </c>
      <c r="C14" s="23" t="n">
        <f aca="false">parametros_recargas!$E$84*'Plan mensual'!E21+parametros_recargas!$F$84*'Plan mensual'!E22+parametros_recargas!$G$84*'Plan mensual'!E23+parametros_recargas!$H$84*'Plan mensual'!E24+parametros_recargas!$I$84*'Plan mensual'!E25+parametros_recargas!$J$84*'Plan mensual'!E26+parametros_recargas!$K$84*'Plan mensual'!E27+parametros_recargas!$L$84*'Plan mensual'!E28</f>
        <v>83.046130525578</v>
      </c>
      <c r="D14" s="23" t="n">
        <f aca="false">parametros_recargas!$E$84*'Plan mensual'!F21+parametros_recargas!$F$84*'Plan mensual'!F22+parametros_recargas!$G$84*'Plan mensual'!F23+parametros_recargas!$H$84*'Plan mensual'!F24+parametros_recargas!$I$84*'Plan mensual'!F25+parametros_recargas!$J$84*'Plan mensual'!F26+parametros_recargas!$K$84*'Plan mensual'!F27+parametros_recargas!$L$84*'Plan mensual'!F28</f>
        <v>83.046130525578</v>
      </c>
      <c r="E14" s="23" t="n">
        <f aca="false">parametros_recargas!$E$84*'Plan mensual'!G21+parametros_recargas!$F$84*'Plan mensual'!G22+parametros_recargas!$G$84*'Plan mensual'!G23+parametros_recargas!$H$84*'Plan mensual'!G24+parametros_recargas!$I$84*'Plan mensual'!G25+parametros_recargas!$J$84*'Plan mensual'!G26+parametros_recargas!$K$84*'Plan mensual'!G27+parametros_recargas!$L$84*'Plan mensual'!G28</f>
        <v>83.046130525578</v>
      </c>
      <c r="F14" s="23" t="n">
        <f aca="false">parametros_recargas!$E$84*'Plan mensual'!H21+parametros_recargas!$F$84*'Plan mensual'!H22+parametros_recargas!$G$84*'Plan mensual'!H23+parametros_recargas!$H$84*'Plan mensual'!H24+parametros_recargas!$I$84*'Plan mensual'!H25+parametros_recargas!$J$84*'Plan mensual'!H26+parametros_recargas!$K$84*'Plan mensual'!H27+parametros_recargas!$L$84*'Plan mensual'!H28</f>
        <v>83.046130525578</v>
      </c>
      <c r="G14" s="23" t="n">
        <f aca="false">parametros_recargas!$E$84*'Plan mensual'!I21+parametros_recargas!$F$84*'Plan mensual'!I22+parametros_recargas!$G$84*'Plan mensual'!I23+parametros_recargas!$H$84*'Plan mensual'!I24+parametros_recargas!$I$84*'Plan mensual'!I25+parametros_recargas!$J$84*'Plan mensual'!I26+parametros_recargas!$K$84*'Plan mensual'!I27+parametros_recargas!$L$84*'Plan mensual'!I28</f>
        <v>83.046130525578</v>
      </c>
      <c r="H14" s="23" t="n">
        <f aca="false">parametros_recargas!$E$84*'Plan mensual'!J21+parametros_recargas!$F$84*'Plan mensual'!J22+parametros_recargas!$G$84*'Plan mensual'!J23+parametros_recargas!$H$84*'Plan mensual'!J24+parametros_recargas!$I$84*'Plan mensual'!J25+parametros_recargas!$J$84*'Plan mensual'!J26+parametros_recargas!$K$84*'Plan mensual'!J27+parametros_recargas!$L$84*'Plan mensual'!J28</f>
        <v>83.046130525578</v>
      </c>
      <c r="I14" s="23" t="n">
        <f aca="false">parametros_recargas!$E$84*'Plan mensual'!K21+parametros_recargas!$F$84*'Plan mensual'!K22+parametros_recargas!$G$84*'Plan mensual'!K23+parametros_recargas!$H$84*'Plan mensual'!K24+parametros_recargas!$I$84*'Plan mensual'!K25+parametros_recargas!$J$84*'Plan mensual'!K26+parametros_recargas!$K$84*'Plan mensual'!K27+parametros_recargas!$L$84*'Plan mensual'!K28</f>
        <v>83.046130525578</v>
      </c>
      <c r="J14" s="23" t="n">
        <f aca="false">parametros_recargas!$E$84*'Plan mensual'!L21+parametros_recargas!$F$84*'Plan mensual'!L22+parametros_recargas!$G$84*'Plan mensual'!L23+parametros_recargas!$H$84*'Plan mensual'!L24+parametros_recargas!$I$84*'Plan mensual'!L25+parametros_recargas!$J$84*'Plan mensual'!L26+parametros_recargas!$K$84*'Plan mensual'!L27+parametros_recargas!$L$84*'Plan mensual'!L28</f>
        <v>83.046130525578</v>
      </c>
      <c r="K14" s="23" t="n">
        <f aca="false">parametros_recargas!$E$84*'Plan mensual'!M21+parametros_recargas!$F$84*'Plan mensual'!M22+parametros_recargas!$G$84*'Plan mensual'!M23+parametros_recargas!$H$84*'Plan mensual'!M24+parametros_recargas!$I$84*'Plan mensual'!M25+parametros_recargas!$J$84*'Plan mensual'!M26+parametros_recargas!$K$84*'Plan mensual'!M27+parametros_recargas!$L$84*'Plan mensual'!M28</f>
        <v>83.046130525578</v>
      </c>
      <c r="L14" s="23" t="n">
        <f aca="false">parametros_recargas!$E$84*'Plan mensual'!N21+parametros_recargas!$F$84*'Plan mensual'!N22+parametros_recargas!$G$84*'Plan mensual'!N23+parametros_recargas!$H$84*'Plan mensual'!N24+parametros_recargas!$I$84*'Plan mensual'!N25+parametros_recargas!$J$84*'Plan mensual'!N26+parametros_recargas!$K$84*'Plan mensual'!N27+parametros_recargas!$L$84*'Plan mensual'!N28</f>
        <v>83.046130525578</v>
      </c>
      <c r="M14" s="23" t="n">
        <f aca="false">parametros_recargas!$E$84*'Plan mensual'!O21+parametros_recargas!$F$84*'Plan mensual'!O22+parametros_recargas!$G$84*'Plan mensual'!O23+parametros_recargas!$H$84*'Plan mensual'!O24+parametros_recargas!$I$84*'Plan mensual'!O25+parametros_recargas!$J$84*'Plan mensual'!O26+parametros_recargas!$K$84*'Plan mensual'!O27+parametros_recargas!$L$84*'Plan mensual'!O28</f>
        <v>83.046130525578</v>
      </c>
      <c r="N14" s="7" t="n">
        <f aca="false">SUM(B14:M14)</f>
        <v>996.553566306936</v>
      </c>
      <c r="O14" s="24" t="n">
        <f aca="false">MAX(B14:M14)</f>
        <v>83.046130525578</v>
      </c>
      <c r="P14" s="15" t="n">
        <f aca="false">O14/parametros_recargas!$B$6</f>
        <v>0.55364087017052</v>
      </c>
    </row>
    <row r="15" customFormat="false" ht="15" hidden="false" customHeight="false" outlineLevel="0" collapsed="false">
      <c r="A15" s="12" t="str">
        <f aca="false">parametros_recargas!$B$85</f>
        <v>Inspección interior con videoscopio</v>
      </c>
      <c r="B15" s="23" t="n">
        <f aca="false">parametros_recargas!$E$85*'Plan mensual'!D21+parametros_recargas!$F$85*'Plan mensual'!D22+parametros_recargas!$G$85*'Plan mensual'!D23+parametros_recargas!$H$85*'Plan mensual'!D24+parametros_recargas!$I$85*'Plan mensual'!D25+parametros_recargas!$J$85*'Plan mensual'!D26+parametros_recargas!$K$85*'Plan mensual'!D27+parametros_recargas!$L$85*'Plan mensual'!D28</f>
        <v>83.046130525578</v>
      </c>
      <c r="C15" s="23" t="n">
        <f aca="false">parametros_recargas!$E$85*'Plan mensual'!E21+parametros_recargas!$F$85*'Plan mensual'!E22+parametros_recargas!$G$85*'Plan mensual'!E23+parametros_recargas!$H$85*'Plan mensual'!E24+parametros_recargas!$I$85*'Plan mensual'!E25+parametros_recargas!$J$85*'Plan mensual'!E26+parametros_recargas!$K$85*'Plan mensual'!E27+parametros_recargas!$L$85*'Plan mensual'!E28</f>
        <v>83.046130525578</v>
      </c>
      <c r="D15" s="23" t="n">
        <f aca="false">parametros_recargas!$E$85*'Plan mensual'!F21+parametros_recargas!$F$85*'Plan mensual'!F22+parametros_recargas!$G$85*'Plan mensual'!F23+parametros_recargas!$H$85*'Plan mensual'!F24+parametros_recargas!$I$85*'Plan mensual'!F25+parametros_recargas!$J$85*'Plan mensual'!F26+parametros_recargas!$K$85*'Plan mensual'!F27+parametros_recargas!$L$85*'Plan mensual'!F28</f>
        <v>83.046130525578</v>
      </c>
      <c r="E15" s="23" t="n">
        <f aca="false">parametros_recargas!$E$85*'Plan mensual'!G21+parametros_recargas!$F$85*'Plan mensual'!G22+parametros_recargas!$G$85*'Plan mensual'!G23+parametros_recargas!$H$85*'Plan mensual'!G24+parametros_recargas!$I$85*'Plan mensual'!G25+parametros_recargas!$J$85*'Plan mensual'!G26+parametros_recargas!$K$85*'Plan mensual'!G27+parametros_recargas!$L$85*'Plan mensual'!G28</f>
        <v>83.046130525578</v>
      </c>
      <c r="F15" s="23" t="n">
        <f aca="false">parametros_recargas!$E$85*'Plan mensual'!H21+parametros_recargas!$F$85*'Plan mensual'!H22+parametros_recargas!$G$85*'Plan mensual'!H23+parametros_recargas!$H$85*'Plan mensual'!H24+parametros_recargas!$I$85*'Plan mensual'!H25+parametros_recargas!$J$85*'Plan mensual'!H26+parametros_recargas!$K$85*'Plan mensual'!H27+parametros_recargas!$L$85*'Plan mensual'!H28</f>
        <v>83.046130525578</v>
      </c>
      <c r="G15" s="23" t="n">
        <f aca="false">parametros_recargas!$E$85*'Plan mensual'!I21+parametros_recargas!$F$85*'Plan mensual'!I22+parametros_recargas!$G$85*'Plan mensual'!I23+parametros_recargas!$H$85*'Plan mensual'!I24+parametros_recargas!$I$85*'Plan mensual'!I25+parametros_recargas!$J$85*'Plan mensual'!I26+parametros_recargas!$K$85*'Plan mensual'!I27+parametros_recargas!$L$85*'Plan mensual'!I28</f>
        <v>83.046130525578</v>
      </c>
      <c r="H15" s="23" t="n">
        <f aca="false">parametros_recargas!$E$85*'Plan mensual'!J21+parametros_recargas!$F$85*'Plan mensual'!J22+parametros_recargas!$G$85*'Plan mensual'!J23+parametros_recargas!$H$85*'Plan mensual'!J24+parametros_recargas!$I$85*'Plan mensual'!J25+parametros_recargas!$J$85*'Plan mensual'!J26+parametros_recargas!$K$85*'Plan mensual'!J27+parametros_recargas!$L$85*'Plan mensual'!J28</f>
        <v>83.046130525578</v>
      </c>
      <c r="I15" s="23" t="n">
        <f aca="false">parametros_recargas!$E$85*'Plan mensual'!K21+parametros_recargas!$F$85*'Plan mensual'!K22+parametros_recargas!$G$85*'Plan mensual'!K23+parametros_recargas!$H$85*'Plan mensual'!K24+parametros_recargas!$I$85*'Plan mensual'!K25+parametros_recargas!$J$85*'Plan mensual'!K26+parametros_recargas!$K$85*'Plan mensual'!K27+parametros_recargas!$L$85*'Plan mensual'!K28</f>
        <v>83.046130525578</v>
      </c>
      <c r="J15" s="23" t="n">
        <f aca="false">parametros_recargas!$E$85*'Plan mensual'!L21+parametros_recargas!$F$85*'Plan mensual'!L22+parametros_recargas!$G$85*'Plan mensual'!L23+parametros_recargas!$H$85*'Plan mensual'!L24+parametros_recargas!$I$85*'Plan mensual'!L25+parametros_recargas!$J$85*'Plan mensual'!L26+parametros_recargas!$K$85*'Plan mensual'!L27+parametros_recargas!$L$85*'Plan mensual'!L28</f>
        <v>83.046130525578</v>
      </c>
      <c r="K15" s="23" t="n">
        <f aca="false">parametros_recargas!$E$85*'Plan mensual'!M21+parametros_recargas!$F$85*'Plan mensual'!M22+parametros_recargas!$G$85*'Plan mensual'!M23+parametros_recargas!$H$85*'Plan mensual'!M24+parametros_recargas!$I$85*'Plan mensual'!M25+parametros_recargas!$J$85*'Plan mensual'!M26+parametros_recargas!$K$85*'Plan mensual'!M27+parametros_recargas!$L$85*'Plan mensual'!M28</f>
        <v>83.046130525578</v>
      </c>
      <c r="L15" s="23" t="n">
        <f aca="false">parametros_recargas!$E$85*'Plan mensual'!N21+parametros_recargas!$F$85*'Plan mensual'!N22+parametros_recargas!$G$85*'Plan mensual'!N23+parametros_recargas!$H$85*'Plan mensual'!N24+parametros_recargas!$I$85*'Plan mensual'!N25+parametros_recargas!$J$85*'Plan mensual'!N26+parametros_recargas!$K$85*'Plan mensual'!N27+parametros_recargas!$L$85*'Plan mensual'!N28</f>
        <v>83.046130525578</v>
      </c>
      <c r="M15" s="23" t="n">
        <f aca="false">parametros_recargas!$E$85*'Plan mensual'!O21+parametros_recargas!$F$85*'Plan mensual'!O22+parametros_recargas!$G$85*'Plan mensual'!O23+parametros_recargas!$H$85*'Plan mensual'!O24+parametros_recargas!$I$85*'Plan mensual'!O25+parametros_recargas!$J$85*'Plan mensual'!O26+parametros_recargas!$K$85*'Plan mensual'!O27+parametros_recargas!$L$85*'Plan mensual'!O28</f>
        <v>83.046130525578</v>
      </c>
      <c r="N15" s="7" t="n">
        <f aca="false">SUM(B15:M15)</f>
        <v>996.553566306936</v>
      </c>
      <c r="O15" s="24" t="n">
        <f aca="false">MAX(B15:M15)</f>
        <v>83.046130525578</v>
      </c>
      <c r="P15" s="15" t="n">
        <f aca="false">O15/parametros_recargas!$B$6</f>
        <v>0.55364087017052</v>
      </c>
    </row>
    <row r="16" customFormat="false" ht="15" hidden="false" customHeight="false" outlineLevel="0" collapsed="false">
      <c r="A16" s="12" t="str">
        <f aca="false">parametros_recargas!$B$86</f>
        <v>Pintura</v>
      </c>
      <c r="B16" s="23" t="n">
        <f aca="false">parametros_recargas!$E$86*'Plan mensual'!D21+parametros_recargas!$F$86*'Plan mensual'!D22+parametros_recargas!$G$86*'Plan mensual'!D23+parametros_recargas!$H$86*'Plan mensual'!D24+parametros_recargas!$I$86*'Plan mensual'!D25+parametros_recargas!$J$86*'Plan mensual'!D26+parametros_recargas!$K$86*'Plan mensual'!D27+parametros_recargas!$L$86*'Plan mensual'!D28</f>
        <v>41.4818938349055</v>
      </c>
      <c r="C16" s="23" t="n">
        <f aca="false">parametros_recargas!$E$86*'Plan mensual'!E21+parametros_recargas!$F$86*'Plan mensual'!E22+parametros_recargas!$G$86*'Plan mensual'!E23+parametros_recargas!$H$86*'Plan mensual'!E24+parametros_recargas!$I$86*'Plan mensual'!E25+parametros_recargas!$J$86*'Plan mensual'!E26+parametros_recargas!$K$86*'Plan mensual'!E27+parametros_recargas!$L$86*'Plan mensual'!E28</f>
        <v>41.4818938349055</v>
      </c>
      <c r="D16" s="23" t="n">
        <f aca="false">parametros_recargas!$E$86*'Plan mensual'!F21+parametros_recargas!$F$86*'Plan mensual'!F22+parametros_recargas!$G$86*'Plan mensual'!F23+parametros_recargas!$H$86*'Plan mensual'!F24+parametros_recargas!$I$86*'Plan mensual'!F25+parametros_recargas!$J$86*'Plan mensual'!F26+parametros_recargas!$K$86*'Plan mensual'!F27+parametros_recargas!$L$86*'Plan mensual'!F28</f>
        <v>41.4818938349055</v>
      </c>
      <c r="E16" s="23" t="n">
        <f aca="false">parametros_recargas!$E$86*'Plan mensual'!G21+parametros_recargas!$F$86*'Plan mensual'!G22+parametros_recargas!$G$86*'Plan mensual'!G23+parametros_recargas!$H$86*'Plan mensual'!G24+parametros_recargas!$I$86*'Plan mensual'!G25+parametros_recargas!$J$86*'Plan mensual'!G26+parametros_recargas!$K$86*'Plan mensual'!G27+parametros_recargas!$L$86*'Plan mensual'!G28</f>
        <v>41.4818938349055</v>
      </c>
      <c r="F16" s="23" t="n">
        <f aca="false">parametros_recargas!$E$86*'Plan mensual'!H21+parametros_recargas!$F$86*'Plan mensual'!H22+parametros_recargas!$G$86*'Plan mensual'!H23+parametros_recargas!$H$86*'Plan mensual'!H24+parametros_recargas!$I$86*'Plan mensual'!H25+parametros_recargas!$J$86*'Plan mensual'!H26+parametros_recargas!$K$86*'Plan mensual'!H27+parametros_recargas!$L$86*'Plan mensual'!H28</f>
        <v>41.4818938349055</v>
      </c>
      <c r="G16" s="23" t="n">
        <f aca="false">parametros_recargas!$E$86*'Plan mensual'!I21+parametros_recargas!$F$86*'Plan mensual'!I22+parametros_recargas!$G$86*'Plan mensual'!I23+parametros_recargas!$H$86*'Plan mensual'!I24+parametros_recargas!$I$86*'Plan mensual'!I25+parametros_recargas!$J$86*'Plan mensual'!I26+parametros_recargas!$K$86*'Plan mensual'!I27+parametros_recargas!$L$86*'Plan mensual'!I28</f>
        <v>41.4818938349055</v>
      </c>
      <c r="H16" s="23" t="n">
        <f aca="false">parametros_recargas!$E$86*'Plan mensual'!J21+parametros_recargas!$F$86*'Plan mensual'!J22+parametros_recargas!$G$86*'Plan mensual'!J23+parametros_recargas!$H$86*'Plan mensual'!J24+parametros_recargas!$I$86*'Plan mensual'!J25+parametros_recargas!$J$86*'Plan mensual'!J26+parametros_recargas!$K$86*'Plan mensual'!J27+parametros_recargas!$L$86*'Plan mensual'!J28</f>
        <v>41.4818938349055</v>
      </c>
      <c r="I16" s="23" t="n">
        <f aca="false">parametros_recargas!$E$86*'Plan mensual'!K21+parametros_recargas!$F$86*'Plan mensual'!K22+parametros_recargas!$G$86*'Plan mensual'!K23+parametros_recargas!$H$86*'Plan mensual'!K24+parametros_recargas!$I$86*'Plan mensual'!K25+parametros_recargas!$J$86*'Plan mensual'!K26+parametros_recargas!$K$86*'Plan mensual'!K27+parametros_recargas!$L$86*'Plan mensual'!K28</f>
        <v>41.4818938349055</v>
      </c>
      <c r="J16" s="23" t="n">
        <f aca="false">parametros_recargas!$E$86*'Plan mensual'!L21+parametros_recargas!$F$86*'Plan mensual'!L22+parametros_recargas!$G$86*'Plan mensual'!L23+parametros_recargas!$H$86*'Plan mensual'!L24+parametros_recargas!$I$86*'Plan mensual'!L25+parametros_recargas!$J$86*'Plan mensual'!L26+parametros_recargas!$K$86*'Plan mensual'!L27+parametros_recargas!$L$86*'Plan mensual'!L28</f>
        <v>41.4818938349055</v>
      </c>
      <c r="K16" s="23" t="n">
        <f aca="false">parametros_recargas!$E$86*'Plan mensual'!M21+parametros_recargas!$F$86*'Plan mensual'!M22+parametros_recargas!$G$86*'Plan mensual'!M23+parametros_recargas!$H$86*'Plan mensual'!M24+parametros_recargas!$I$86*'Plan mensual'!M25+parametros_recargas!$J$86*'Plan mensual'!M26+parametros_recargas!$K$86*'Plan mensual'!M27+parametros_recargas!$L$86*'Plan mensual'!M28</f>
        <v>41.4818938349055</v>
      </c>
      <c r="L16" s="23" t="n">
        <f aca="false">parametros_recargas!$E$86*'Plan mensual'!N21+parametros_recargas!$F$86*'Plan mensual'!N22+parametros_recargas!$G$86*'Plan mensual'!N23+parametros_recargas!$H$86*'Plan mensual'!N24+parametros_recargas!$I$86*'Plan mensual'!N25+parametros_recargas!$J$86*'Plan mensual'!N26+parametros_recargas!$K$86*'Plan mensual'!N27+parametros_recargas!$L$86*'Plan mensual'!N28</f>
        <v>41.4818938349055</v>
      </c>
      <c r="M16" s="23" t="n">
        <f aca="false">parametros_recargas!$E$86*'Plan mensual'!O21+parametros_recargas!$F$86*'Plan mensual'!O22+parametros_recargas!$G$86*'Plan mensual'!O23+parametros_recargas!$H$86*'Plan mensual'!O24+parametros_recargas!$I$86*'Plan mensual'!O25+parametros_recargas!$J$86*'Plan mensual'!O26+parametros_recargas!$K$86*'Plan mensual'!O27+parametros_recargas!$L$86*'Plan mensual'!O28</f>
        <v>41.4818938349055</v>
      </c>
      <c r="N16" s="7" t="n">
        <f aca="false">SUM(B16:M16)</f>
        <v>497.782726018866</v>
      </c>
      <c r="O16" s="24" t="n">
        <f aca="false">MAX(B16:M16)</f>
        <v>41.4818938349055</v>
      </c>
      <c r="P16" s="15" t="n">
        <f aca="false">O16/parametros_recargas!$B$6</f>
        <v>0.27654595889937</v>
      </c>
    </row>
    <row r="17" customFormat="false" ht="15" hidden="false" customHeight="false" outlineLevel="0" collapsed="false">
      <c r="A17" s="12" t="str">
        <f aca="false">parametros_recargas!$B$87</f>
        <v>Carga de polvo ABC</v>
      </c>
      <c r="B17" s="23" t="n">
        <f aca="false">parametros_recargas!$E$87*'Plan mensual'!D21+parametros_recargas!$F$87*'Plan mensual'!D22+parametros_recargas!$G$87*'Plan mensual'!D23+parametros_recargas!$H$87*'Plan mensual'!D24+parametros_recargas!$I$87*'Plan mensual'!D25+parametros_recargas!$J$87*'Plan mensual'!D26+parametros_recargas!$K$87*'Plan mensual'!D27+parametros_recargas!$L$87*'Plan mensual'!D28</f>
        <v>361.093608933867</v>
      </c>
      <c r="C17" s="23" t="n">
        <f aca="false">parametros_recargas!$E$87*'Plan mensual'!E21+parametros_recargas!$F$87*'Plan mensual'!E22+parametros_recargas!$G$87*'Plan mensual'!E23+parametros_recargas!$H$87*'Plan mensual'!E24+parametros_recargas!$I$87*'Plan mensual'!E25+parametros_recargas!$J$87*'Plan mensual'!E26+parametros_recargas!$K$87*'Plan mensual'!E27+parametros_recargas!$L$87*'Plan mensual'!E28</f>
        <v>361.093608933867</v>
      </c>
      <c r="D17" s="23" t="n">
        <f aca="false">parametros_recargas!$E$87*'Plan mensual'!F21+parametros_recargas!$F$87*'Plan mensual'!F22+parametros_recargas!$G$87*'Plan mensual'!F23+parametros_recargas!$H$87*'Plan mensual'!F24+parametros_recargas!$I$87*'Plan mensual'!F25+parametros_recargas!$J$87*'Plan mensual'!F26+parametros_recargas!$K$87*'Plan mensual'!F27+parametros_recargas!$L$87*'Plan mensual'!F28</f>
        <v>361.093608933867</v>
      </c>
      <c r="E17" s="23" t="n">
        <f aca="false">parametros_recargas!$E$87*'Plan mensual'!G21+parametros_recargas!$F$87*'Plan mensual'!G22+parametros_recargas!$G$87*'Plan mensual'!G23+parametros_recargas!$H$87*'Plan mensual'!G24+parametros_recargas!$I$87*'Plan mensual'!G25+parametros_recargas!$J$87*'Plan mensual'!G26+parametros_recargas!$K$87*'Plan mensual'!G27+parametros_recargas!$L$87*'Plan mensual'!G28</f>
        <v>361.093608933867</v>
      </c>
      <c r="F17" s="23" t="n">
        <f aca="false">parametros_recargas!$E$87*'Plan mensual'!H21+parametros_recargas!$F$87*'Plan mensual'!H22+parametros_recargas!$G$87*'Plan mensual'!H23+parametros_recargas!$H$87*'Plan mensual'!H24+parametros_recargas!$I$87*'Plan mensual'!H25+parametros_recargas!$J$87*'Plan mensual'!H26+parametros_recargas!$K$87*'Plan mensual'!H27+parametros_recargas!$L$87*'Plan mensual'!H28</f>
        <v>361.093608933867</v>
      </c>
      <c r="G17" s="23" t="n">
        <f aca="false">parametros_recargas!$E$87*'Plan mensual'!I21+parametros_recargas!$F$87*'Plan mensual'!I22+parametros_recargas!$G$87*'Plan mensual'!I23+parametros_recargas!$H$87*'Plan mensual'!I24+parametros_recargas!$I$87*'Plan mensual'!I25+parametros_recargas!$J$87*'Plan mensual'!I26+parametros_recargas!$K$87*'Plan mensual'!I27+parametros_recargas!$L$87*'Plan mensual'!I28</f>
        <v>361.093608933867</v>
      </c>
      <c r="H17" s="23" t="n">
        <f aca="false">parametros_recargas!$E$87*'Plan mensual'!J21+parametros_recargas!$F$87*'Plan mensual'!J22+parametros_recargas!$G$87*'Plan mensual'!J23+parametros_recargas!$H$87*'Plan mensual'!J24+parametros_recargas!$I$87*'Plan mensual'!J25+parametros_recargas!$J$87*'Plan mensual'!J26+parametros_recargas!$K$87*'Plan mensual'!J27+parametros_recargas!$L$87*'Plan mensual'!J28</f>
        <v>361.093608933867</v>
      </c>
      <c r="I17" s="23" t="n">
        <f aca="false">parametros_recargas!$E$87*'Plan mensual'!K21+parametros_recargas!$F$87*'Plan mensual'!K22+parametros_recargas!$G$87*'Plan mensual'!K23+parametros_recargas!$H$87*'Plan mensual'!K24+parametros_recargas!$I$87*'Plan mensual'!K25+parametros_recargas!$J$87*'Plan mensual'!K26+parametros_recargas!$K$87*'Plan mensual'!K27+parametros_recargas!$L$87*'Plan mensual'!K28</f>
        <v>361.093608933867</v>
      </c>
      <c r="J17" s="23" t="n">
        <f aca="false">parametros_recargas!$E$87*'Plan mensual'!L21+parametros_recargas!$F$87*'Plan mensual'!L22+parametros_recargas!$G$87*'Plan mensual'!L23+parametros_recargas!$H$87*'Plan mensual'!L24+parametros_recargas!$I$87*'Plan mensual'!L25+parametros_recargas!$J$87*'Plan mensual'!L26+parametros_recargas!$K$87*'Plan mensual'!L27+parametros_recargas!$L$87*'Plan mensual'!L28</f>
        <v>361.093608933867</v>
      </c>
      <c r="K17" s="23" t="n">
        <f aca="false">parametros_recargas!$E$87*'Plan mensual'!M21+parametros_recargas!$F$87*'Plan mensual'!M22+parametros_recargas!$G$87*'Plan mensual'!M23+parametros_recargas!$H$87*'Plan mensual'!M24+parametros_recargas!$I$87*'Plan mensual'!M25+parametros_recargas!$J$87*'Plan mensual'!M26+parametros_recargas!$K$87*'Plan mensual'!M27+parametros_recargas!$L$87*'Plan mensual'!M28</f>
        <v>361.093608933867</v>
      </c>
      <c r="L17" s="23" t="n">
        <f aca="false">parametros_recargas!$E$87*'Plan mensual'!N21+parametros_recargas!$F$87*'Plan mensual'!N22+parametros_recargas!$G$87*'Plan mensual'!N23+parametros_recargas!$H$87*'Plan mensual'!N24+parametros_recargas!$I$87*'Plan mensual'!N25+parametros_recargas!$J$87*'Plan mensual'!N26+parametros_recargas!$K$87*'Plan mensual'!N27+parametros_recargas!$L$87*'Plan mensual'!N28</f>
        <v>361.093608933867</v>
      </c>
      <c r="M17" s="23" t="n">
        <f aca="false">parametros_recargas!$E$87*'Plan mensual'!O21+parametros_recargas!$F$87*'Plan mensual'!O22+parametros_recargas!$G$87*'Plan mensual'!O23+parametros_recargas!$H$87*'Plan mensual'!O24+parametros_recargas!$I$87*'Plan mensual'!O25+parametros_recargas!$J$87*'Plan mensual'!O26+parametros_recargas!$K$87*'Plan mensual'!O27+parametros_recargas!$L$87*'Plan mensual'!O28</f>
        <v>361.093608933867</v>
      </c>
      <c r="N17" s="7" t="n">
        <f aca="false">SUM(B17:M17)</f>
        <v>4333.12330720641</v>
      </c>
      <c r="O17" s="24" t="n">
        <f aca="false">MAX(B17:M17)</f>
        <v>361.093608933867</v>
      </c>
      <c r="P17" s="15" t="n">
        <f aca="false">O17/parametros_recargas!$B$6</f>
        <v>2.40729072622578</v>
      </c>
    </row>
    <row r="18" customFormat="false" ht="15" hidden="false" customHeight="false" outlineLevel="0" collapsed="false">
      <c r="A18" s="12" t="str">
        <f aca="false">parametros_recargas!$B$88</f>
        <v>Carga de polvo BC</v>
      </c>
      <c r="B18" s="23" t="n">
        <f aca="false">parametros_recargas!$E$88*'Plan mensual'!D21+parametros_recargas!$F$88*'Plan mensual'!D22+parametros_recargas!$G$88*'Plan mensual'!D23+parametros_recargas!$H$88*'Plan mensual'!D24+parametros_recargas!$I$88*'Plan mensual'!D25+parametros_recargas!$J$88*'Plan mensual'!D26+parametros_recargas!$K$88*'Plan mensual'!D27+parametros_recargas!$L$88*'Plan mensual'!D28</f>
        <v>0.40496477983295</v>
      </c>
      <c r="C18" s="23" t="n">
        <f aca="false">parametros_recargas!$E$88*'Plan mensual'!E21+parametros_recargas!$F$88*'Plan mensual'!E22+parametros_recargas!$G$88*'Plan mensual'!E23+parametros_recargas!$H$88*'Plan mensual'!E24+parametros_recargas!$I$88*'Plan mensual'!E25+parametros_recargas!$J$88*'Plan mensual'!E26+parametros_recargas!$K$88*'Plan mensual'!E27+parametros_recargas!$L$88*'Plan mensual'!E28</f>
        <v>0.40496477983295</v>
      </c>
      <c r="D18" s="23" t="n">
        <f aca="false">parametros_recargas!$E$88*'Plan mensual'!F21+parametros_recargas!$F$88*'Plan mensual'!F22+parametros_recargas!$G$88*'Plan mensual'!F23+parametros_recargas!$H$88*'Plan mensual'!F24+parametros_recargas!$I$88*'Plan mensual'!F25+parametros_recargas!$J$88*'Plan mensual'!F26+parametros_recargas!$K$88*'Plan mensual'!F27+parametros_recargas!$L$88*'Plan mensual'!F28</f>
        <v>0.40496477983295</v>
      </c>
      <c r="E18" s="23" t="n">
        <f aca="false">parametros_recargas!$E$88*'Plan mensual'!G21+parametros_recargas!$F$88*'Plan mensual'!G22+parametros_recargas!$G$88*'Plan mensual'!G23+parametros_recargas!$H$88*'Plan mensual'!G24+parametros_recargas!$I$88*'Plan mensual'!G25+parametros_recargas!$J$88*'Plan mensual'!G26+parametros_recargas!$K$88*'Plan mensual'!G27+parametros_recargas!$L$88*'Plan mensual'!G28</f>
        <v>0.40496477983295</v>
      </c>
      <c r="F18" s="23" t="n">
        <f aca="false">parametros_recargas!$E$88*'Plan mensual'!H21+parametros_recargas!$F$88*'Plan mensual'!H22+parametros_recargas!$G$88*'Plan mensual'!H23+parametros_recargas!$H$88*'Plan mensual'!H24+parametros_recargas!$I$88*'Plan mensual'!H25+parametros_recargas!$J$88*'Plan mensual'!H26+parametros_recargas!$K$88*'Plan mensual'!H27+parametros_recargas!$L$88*'Plan mensual'!H28</f>
        <v>0.40496477983295</v>
      </c>
      <c r="G18" s="23" t="n">
        <f aca="false">parametros_recargas!$E$88*'Plan mensual'!I21+parametros_recargas!$F$88*'Plan mensual'!I22+parametros_recargas!$G$88*'Plan mensual'!I23+parametros_recargas!$H$88*'Plan mensual'!I24+parametros_recargas!$I$88*'Plan mensual'!I25+parametros_recargas!$J$88*'Plan mensual'!I26+parametros_recargas!$K$88*'Plan mensual'!I27+parametros_recargas!$L$88*'Plan mensual'!I28</f>
        <v>0.40496477983295</v>
      </c>
      <c r="H18" s="23" t="n">
        <f aca="false">parametros_recargas!$E$88*'Plan mensual'!J21+parametros_recargas!$F$88*'Plan mensual'!J22+parametros_recargas!$G$88*'Plan mensual'!J23+parametros_recargas!$H$88*'Plan mensual'!J24+parametros_recargas!$I$88*'Plan mensual'!J25+parametros_recargas!$J$88*'Plan mensual'!J26+parametros_recargas!$K$88*'Plan mensual'!J27+parametros_recargas!$L$88*'Plan mensual'!J28</f>
        <v>0.40496477983295</v>
      </c>
      <c r="I18" s="23" t="n">
        <f aca="false">parametros_recargas!$E$88*'Plan mensual'!K21+parametros_recargas!$F$88*'Plan mensual'!K22+parametros_recargas!$G$88*'Plan mensual'!K23+parametros_recargas!$H$88*'Plan mensual'!K24+parametros_recargas!$I$88*'Plan mensual'!K25+parametros_recargas!$J$88*'Plan mensual'!K26+parametros_recargas!$K$88*'Plan mensual'!K27+parametros_recargas!$L$88*'Plan mensual'!K28</f>
        <v>0.40496477983295</v>
      </c>
      <c r="J18" s="23" t="n">
        <f aca="false">parametros_recargas!$E$88*'Plan mensual'!L21+parametros_recargas!$F$88*'Plan mensual'!L22+parametros_recargas!$G$88*'Plan mensual'!L23+parametros_recargas!$H$88*'Plan mensual'!L24+parametros_recargas!$I$88*'Plan mensual'!L25+parametros_recargas!$J$88*'Plan mensual'!L26+parametros_recargas!$K$88*'Plan mensual'!L27+parametros_recargas!$L$88*'Plan mensual'!L28</f>
        <v>0.40496477983295</v>
      </c>
      <c r="K18" s="23" t="n">
        <f aca="false">parametros_recargas!$E$88*'Plan mensual'!M21+parametros_recargas!$F$88*'Plan mensual'!M22+parametros_recargas!$G$88*'Plan mensual'!M23+parametros_recargas!$H$88*'Plan mensual'!M24+parametros_recargas!$I$88*'Plan mensual'!M25+parametros_recargas!$J$88*'Plan mensual'!M26+parametros_recargas!$K$88*'Plan mensual'!M27+parametros_recargas!$L$88*'Plan mensual'!M28</f>
        <v>0.40496477983295</v>
      </c>
      <c r="L18" s="23" t="n">
        <f aca="false">parametros_recargas!$E$88*'Plan mensual'!N21+parametros_recargas!$F$88*'Plan mensual'!N22+parametros_recargas!$G$88*'Plan mensual'!N23+parametros_recargas!$H$88*'Plan mensual'!N24+parametros_recargas!$I$88*'Plan mensual'!N25+parametros_recargas!$J$88*'Plan mensual'!N26+parametros_recargas!$K$88*'Plan mensual'!N27+parametros_recargas!$L$88*'Plan mensual'!N28</f>
        <v>0.40496477983295</v>
      </c>
      <c r="M18" s="23" t="n">
        <f aca="false">parametros_recargas!$E$88*'Plan mensual'!O21+parametros_recargas!$F$88*'Plan mensual'!O22+parametros_recargas!$G$88*'Plan mensual'!O23+parametros_recargas!$H$88*'Plan mensual'!O24+parametros_recargas!$I$88*'Plan mensual'!O25+parametros_recargas!$J$88*'Plan mensual'!O26+parametros_recargas!$K$88*'Plan mensual'!O27+parametros_recargas!$L$88*'Plan mensual'!O28</f>
        <v>0.40496477983295</v>
      </c>
      <c r="N18" s="7" t="n">
        <f aca="false">SUM(B18:M18)</f>
        <v>4.85957735799541</v>
      </c>
      <c r="O18" s="24" t="n">
        <f aca="false">MAX(B18:M18)</f>
        <v>0.40496477983295</v>
      </c>
      <c r="P18" s="15" t="n">
        <f aca="false">O18/parametros_recargas!$B$6</f>
        <v>0.00269976519888634</v>
      </c>
    </row>
    <row r="19" customFormat="false" ht="15" hidden="false" customHeight="false" outlineLevel="0" collapsed="false">
      <c r="A19" s="12" t="str">
        <f aca="false">parametros_recargas!$B$89</f>
        <v>Descarga y carga Clase D</v>
      </c>
      <c r="B19" s="23" t="n">
        <f aca="false">parametros_recargas!$E$89*'Plan mensual'!D21+parametros_recargas!$F$89*'Plan mensual'!D22+parametros_recargas!$G$89*'Plan mensual'!D23+parametros_recargas!$H$89*'Plan mensual'!D24+parametros_recargas!$I$89*'Plan mensual'!D25+parametros_recargas!$J$89*'Plan mensual'!D26+parametros_recargas!$K$89*'Plan mensual'!D27+parametros_recargas!$L$89*'Plan mensual'!D28</f>
        <v>0.40496477983295</v>
      </c>
      <c r="C19" s="23" t="n">
        <f aca="false">parametros_recargas!$E$89*'Plan mensual'!E21+parametros_recargas!$F$89*'Plan mensual'!E22+parametros_recargas!$G$89*'Plan mensual'!E23+parametros_recargas!$H$89*'Plan mensual'!E24+parametros_recargas!$I$89*'Plan mensual'!E25+parametros_recargas!$J$89*'Plan mensual'!E26+parametros_recargas!$K$89*'Plan mensual'!E27+parametros_recargas!$L$89*'Plan mensual'!E28</f>
        <v>0.40496477983295</v>
      </c>
      <c r="D19" s="23" t="n">
        <f aca="false">parametros_recargas!$E$89*'Plan mensual'!F21+parametros_recargas!$F$89*'Plan mensual'!F22+parametros_recargas!$G$89*'Plan mensual'!F23+parametros_recargas!$H$89*'Plan mensual'!F24+parametros_recargas!$I$89*'Plan mensual'!F25+parametros_recargas!$J$89*'Plan mensual'!F26+parametros_recargas!$K$89*'Plan mensual'!F27+parametros_recargas!$L$89*'Plan mensual'!F28</f>
        <v>0.40496477983295</v>
      </c>
      <c r="E19" s="23" t="n">
        <f aca="false">parametros_recargas!$E$89*'Plan mensual'!G21+parametros_recargas!$F$89*'Plan mensual'!G22+parametros_recargas!$G$89*'Plan mensual'!G23+parametros_recargas!$H$89*'Plan mensual'!G24+parametros_recargas!$I$89*'Plan mensual'!G25+parametros_recargas!$J$89*'Plan mensual'!G26+parametros_recargas!$K$89*'Plan mensual'!G27+parametros_recargas!$L$89*'Plan mensual'!G28</f>
        <v>0.40496477983295</v>
      </c>
      <c r="F19" s="23" t="n">
        <f aca="false">parametros_recargas!$E$89*'Plan mensual'!H21+parametros_recargas!$F$89*'Plan mensual'!H22+parametros_recargas!$G$89*'Plan mensual'!H23+parametros_recargas!$H$89*'Plan mensual'!H24+parametros_recargas!$I$89*'Plan mensual'!H25+parametros_recargas!$J$89*'Plan mensual'!H26+parametros_recargas!$K$89*'Plan mensual'!H27+parametros_recargas!$L$89*'Plan mensual'!H28</f>
        <v>0.40496477983295</v>
      </c>
      <c r="G19" s="23" t="n">
        <f aca="false">parametros_recargas!$E$89*'Plan mensual'!I21+parametros_recargas!$F$89*'Plan mensual'!I22+parametros_recargas!$G$89*'Plan mensual'!I23+parametros_recargas!$H$89*'Plan mensual'!I24+parametros_recargas!$I$89*'Plan mensual'!I25+parametros_recargas!$J$89*'Plan mensual'!I26+parametros_recargas!$K$89*'Plan mensual'!I27+parametros_recargas!$L$89*'Plan mensual'!I28</f>
        <v>0.40496477983295</v>
      </c>
      <c r="H19" s="23" t="n">
        <f aca="false">parametros_recargas!$E$89*'Plan mensual'!J21+parametros_recargas!$F$89*'Plan mensual'!J22+parametros_recargas!$G$89*'Plan mensual'!J23+parametros_recargas!$H$89*'Plan mensual'!J24+parametros_recargas!$I$89*'Plan mensual'!J25+parametros_recargas!$J$89*'Plan mensual'!J26+parametros_recargas!$K$89*'Plan mensual'!J27+parametros_recargas!$L$89*'Plan mensual'!J28</f>
        <v>0.40496477983295</v>
      </c>
      <c r="I19" s="23" t="n">
        <f aca="false">parametros_recargas!$E$89*'Plan mensual'!K21+parametros_recargas!$F$89*'Plan mensual'!K22+parametros_recargas!$G$89*'Plan mensual'!K23+parametros_recargas!$H$89*'Plan mensual'!K24+parametros_recargas!$I$89*'Plan mensual'!K25+parametros_recargas!$J$89*'Plan mensual'!K26+parametros_recargas!$K$89*'Plan mensual'!K27+parametros_recargas!$L$89*'Plan mensual'!K28</f>
        <v>0.40496477983295</v>
      </c>
      <c r="J19" s="23" t="n">
        <f aca="false">parametros_recargas!$E$89*'Plan mensual'!L21+parametros_recargas!$F$89*'Plan mensual'!L22+parametros_recargas!$G$89*'Plan mensual'!L23+parametros_recargas!$H$89*'Plan mensual'!L24+parametros_recargas!$I$89*'Plan mensual'!L25+parametros_recargas!$J$89*'Plan mensual'!L26+parametros_recargas!$K$89*'Plan mensual'!L27+parametros_recargas!$L$89*'Plan mensual'!L28</f>
        <v>0.40496477983295</v>
      </c>
      <c r="K19" s="23" t="n">
        <f aca="false">parametros_recargas!$E$89*'Plan mensual'!M21+parametros_recargas!$F$89*'Plan mensual'!M22+parametros_recargas!$G$89*'Plan mensual'!M23+parametros_recargas!$H$89*'Plan mensual'!M24+parametros_recargas!$I$89*'Plan mensual'!M25+parametros_recargas!$J$89*'Plan mensual'!M26+parametros_recargas!$K$89*'Plan mensual'!M27+parametros_recargas!$L$89*'Plan mensual'!M28</f>
        <v>0.40496477983295</v>
      </c>
      <c r="L19" s="23" t="n">
        <f aca="false">parametros_recargas!$E$89*'Plan mensual'!N21+parametros_recargas!$F$89*'Plan mensual'!N22+parametros_recargas!$G$89*'Plan mensual'!N23+parametros_recargas!$H$89*'Plan mensual'!N24+parametros_recargas!$I$89*'Plan mensual'!N25+parametros_recargas!$J$89*'Plan mensual'!N26+parametros_recargas!$K$89*'Plan mensual'!N27+parametros_recargas!$L$89*'Plan mensual'!N28</f>
        <v>0.40496477983295</v>
      </c>
      <c r="M19" s="23" t="n">
        <f aca="false">parametros_recargas!$E$89*'Plan mensual'!O21+parametros_recargas!$F$89*'Plan mensual'!O22+parametros_recargas!$G$89*'Plan mensual'!O23+parametros_recargas!$H$89*'Plan mensual'!O24+parametros_recargas!$I$89*'Plan mensual'!O25+parametros_recargas!$J$89*'Plan mensual'!O26+parametros_recargas!$K$89*'Plan mensual'!O27+parametros_recargas!$L$89*'Plan mensual'!O28</f>
        <v>0.40496477983295</v>
      </c>
      <c r="N19" s="7" t="n">
        <f aca="false">SUM(B19:M19)</f>
        <v>4.85957735799541</v>
      </c>
      <c r="O19" s="24" t="n">
        <f aca="false">MAX(B19:M19)</f>
        <v>0.40496477983295</v>
      </c>
      <c r="P19" s="15" t="n">
        <f aca="false">O19/parametros_recargas!$B$6</f>
        <v>0.00269976519888634</v>
      </c>
    </row>
    <row r="20" customFormat="false" ht="15" hidden="false" customHeight="false" outlineLevel="0" collapsed="false">
      <c r="A20" s="12" t="str">
        <f aca="false">parametros_recargas!$B$90</f>
        <v>Carga de agua / AFFF / sales K</v>
      </c>
      <c r="B20" s="23" t="n">
        <f aca="false">parametros_recargas!$E$90*'Plan mensual'!D21+parametros_recargas!$F$90*'Plan mensual'!D22+parametros_recargas!$G$90*'Plan mensual'!D23+parametros_recargas!$H$90*'Plan mensual'!D24+parametros_recargas!$I$90*'Plan mensual'!D25+parametros_recargas!$J$90*'Plan mensual'!D26+parametros_recargas!$K$90*'Plan mensual'!D27+parametros_recargas!$L$90*'Plan mensual'!D28</f>
        <v>17.6834626458417</v>
      </c>
      <c r="C20" s="23" t="n">
        <f aca="false">parametros_recargas!$E$90*'Plan mensual'!E21+parametros_recargas!$F$90*'Plan mensual'!E22+parametros_recargas!$G$90*'Plan mensual'!E23+parametros_recargas!$H$90*'Plan mensual'!E24+parametros_recargas!$I$90*'Plan mensual'!E25+parametros_recargas!$J$90*'Plan mensual'!E26+parametros_recargas!$K$90*'Plan mensual'!E27+parametros_recargas!$L$90*'Plan mensual'!E28</f>
        <v>17.6834626458417</v>
      </c>
      <c r="D20" s="23" t="n">
        <f aca="false">parametros_recargas!$E$90*'Plan mensual'!F21+parametros_recargas!$F$90*'Plan mensual'!F22+parametros_recargas!$G$90*'Plan mensual'!F23+parametros_recargas!$H$90*'Plan mensual'!F24+parametros_recargas!$I$90*'Plan mensual'!F25+parametros_recargas!$J$90*'Plan mensual'!F26+parametros_recargas!$K$90*'Plan mensual'!F27+parametros_recargas!$L$90*'Plan mensual'!F28</f>
        <v>17.6834626458417</v>
      </c>
      <c r="E20" s="23" t="n">
        <f aca="false">parametros_recargas!$E$90*'Plan mensual'!G21+parametros_recargas!$F$90*'Plan mensual'!G22+parametros_recargas!$G$90*'Plan mensual'!G23+parametros_recargas!$H$90*'Plan mensual'!G24+parametros_recargas!$I$90*'Plan mensual'!G25+parametros_recargas!$J$90*'Plan mensual'!G26+parametros_recargas!$K$90*'Plan mensual'!G27+parametros_recargas!$L$90*'Plan mensual'!G28</f>
        <v>17.6834626458417</v>
      </c>
      <c r="F20" s="23" t="n">
        <f aca="false">parametros_recargas!$E$90*'Plan mensual'!H21+parametros_recargas!$F$90*'Plan mensual'!H22+parametros_recargas!$G$90*'Plan mensual'!H23+parametros_recargas!$H$90*'Plan mensual'!H24+parametros_recargas!$I$90*'Plan mensual'!H25+parametros_recargas!$J$90*'Plan mensual'!H26+parametros_recargas!$K$90*'Plan mensual'!H27+parametros_recargas!$L$90*'Plan mensual'!H28</f>
        <v>17.6834626458417</v>
      </c>
      <c r="G20" s="23" t="n">
        <f aca="false">parametros_recargas!$E$90*'Plan mensual'!I21+parametros_recargas!$F$90*'Plan mensual'!I22+parametros_recargas!$G$90*'Plan mensual'!I23+parametros_recargas!$H$90*'Plan mensual'!I24+parametros_recargas!$I$90*'Plan mensual'!I25+parametros_recargas!$J$90*'Plan mensual'!I26+parametros_recargas!$K$90*'Plan mensual'!I27+parametros_recargas!$L$90*'Plan mensual'!I28</f>
        <v>17.6834626458417</v>
      </c>
      <c r="H20" s="23" t="n">
        <f aca="false">parametros_recargas!$E$90*'Plan mensual'!J21+parametros_recargas!$F$90*'Plan mensual'!J22+parametros_recargas!$G$90*'Plan mensual'!J23+parametros_recargas!$H$90*'Plan mensual'!J24+parametros_recargas!$I$90*'Plan mensual'!J25+parametros_recargas!$J$90*'Plan mensual'!J26+parametros_recargas!$K$90*'Plan mensual'!J27+parametros_recargas!$L$90*'Plan mensual'!J28</f>
        <v>17.6834626458417</v>
      </c>
      <c r="I20" s="23" t="n">
        <f aca="false">parametros_recargas!$E$90*'Plan mensual'!K21+parametros_recargas!$F$90*'Plan mensual'!K22+parametros_recargas!$G$90*'Plan mensual'!K23+parametros_recargas!$H$90*'Plan mensual'!K24+parametros_recargas!$I$90*'Plan mensual'!K25+parametros_recargas!$J$90*'Plan mensual'!K26+parametros_recargas!$K$90*'Plan mensual'!K27+parametros_recargas!$L$90*'Plan mensual'!K28</f>
        <v>17.6834626458417</v>
      </c>
      <c r="J20" s="23" t="n">
        <f aca="false">parametros_recargas!$E$90*'Plan mensual'!L21+parametros_recargas!$F$90*'Plan mensual'!L22+parametros_recargas!$G$90*'Plan mensual'!L23+parametros_recargas!$H$90*'Plan mensual'!L24+parametros_recargas!$I$90*'Plan mensual'!L25+parametros_recargas!$J$90*'Plan mensual'!L26+parametros_recargas!$K$90*'Plan mensual'!L27+parametros_recargas!$L$90*'Plan mensual'!L28</f>
        <v>17.6834626458417</v>
      </c>
      <c r="K20" s="23" t="n">
        <f aca="false">parametros_recargas!$E$90*'Plan mensual'!M21+parametros_recargas!$F$90*'Plan mensual'!M22+parametros_recargas!$G$90*'Plan mensual'!M23+parametros_recargas!$H$90*'Plan mensual'!M24+parametros_recargas!$I$90*'Plan mensual'!M25+parametros_recargas!$J$90*'Plan mensual'!M26+parametros_recargas!$K$90*'Plan mensual'!M27+parametros_recargas!$L$90*'Plan mensual'!M28</f>
        <v>17.6834626458417</v>
      </c>
      <c r="L20" s="23" t="n">
        <f aca="false">parametros_recargas!$E$90*'Plan mensual'!N21+parametros_recargas!$F$90*'Plan mensual'!N22+parametros_recargas!$G$90*'Plan mensual'!N23+parametros_recargas!$H$90*'Plan mensual'!N24+parametros_recargas!$I$90*'Plan mensual'!N25+parametros_recargas!$J$90*'Plan mensual'!N26+parametros_recargas!$K$90*'Plan mensual'!N27+parametros_recargas!$L$90*'Plan mensual'!N28</f>
        <v>17.6834626458417</v>
      </c>
      <c r="M20" s="23" t="n">
        <f aca="false">parametros_recargas!$E$90*'Plan mensual'!O21+parametros_recargas!$F$90*'Plan mensual'!O22+parametros_recargas!$G$90*'Plan mensual'!O23+parametros_recargas!$H$90*'Plan mensual'!O24+parametros_recargas!$I$90*'Plan mensual'!O25+parametros_recargas!$J$90*'Plan mensual'!O26+parametros_recargas!$K$90*'Plan mensual'!O27+parametros_recargas!$L$90*'Plan mensual'!O28</f>
        <v>17.6834626458417</v>
      </c>
      <c r="N20" s="7" t="n">
        <f aca="false">SUM(B20:M20)</f>
        <v>212.201551750101</v>
      </c>
      <c r="O20" s="24" t="n">
        <f aca="false">MAX(B20:M20)</f>
        <v>17.6834626458417</v>
      </c>
      <c r="P20" s="15" t="n">
        <f aca="false">O20/parametros_recargas!$B$6</f>
        <v>0.117889750972278</v>
      </c>
    </row>
    <row r="21" customFormat="false" ht="15" hidden="false" customHeight="false" outlineLevel="0" collapsed="false">
      <c r="A21" s="12" t="str">
        <f aca="false">parametros_recargas!$B$91</f>
        <v>Carga de CO₂</v>
      </c>
      <c r="B21" s="23" t="n">
        <f aca="false">parametros_recargas!$E$91*'Plan mensual'!D21+parametros_recargas!$F$91*'Plan mensual'!D22+parametros_recargas!$G$91*'Plan mensual'!D23+parametros_recargas!$H$91*'Plan mensual'!D24+parametros_recargas!$I$91*'Plan mensual'!D25+parametros_recargas!$J$91*'Plan mensual'!D26+parametros_recargas!$K$91*'Plan mensual'!D27+parametros_recargas!$L$91*'Plan mensual'!D28</f>
        <v>10.2456093212436</v>
      </c>
      <c r="C21" s="23" t="n">
        <f aca="false">parametros_recargas!$E$91*'Plan mensual'!E21+parametros_recargas!$F$91*'Plan mensual'!E22+parametros_recargas!$G$91*'Plan mensual'!E23+parametros_recargas!$H$91*'Plan mensual'!E24+parametros_recargas!$I$91*'Plan mensual'!E25+parametros_recargas!$J$91*'Plan mensual'!E26+parametros_recargas!$K$91*'Plan mensual'!E27+parametros_recargas!$L$91*'Plan mensual'!E28</f>
        <v>10.2456093212436</v>
      </c>
      <c r="D21" s="23" t="n">
        <f aca="false">parametros_recargas!$E$91*'Plan mensual'!F21+parametros_recargas!$F$91*'Plan mensual'!F22+parametros_recargas!$G$91*'Plan mensual'!F23+parametros_recargas!$H$91*'Plan mensual'!F24+parametros_recargas!$I$91*'Plan mensual'!F25+parametros_recargas!$J$91*'Plan mensual'!F26+parametros_recargas!$K$91*'Plan mensual'!F27+parametros_recargas!$L$91*'Plan mensual'!F28</f>
        <v>10.2456093212436</v>
      </c>
      <c r="E21" s="23" t="n">
        <f aca="false">parametros_recargas!$E$91*'Plan mensual'!G21+parametros_recargas!$F$91*'Plan mensual'!G22+parametros_recargas!$G$91*'Plan mensual'!G23+parametros_recargas!$H$91*'Plan mensual'!G24+parametros_recargas!$I$91*'Plan mensual'!G25+parametros_recargas!$J$91*'Plan mensual'!G26+parametros_recargas!$K$91*'Plan mensual'!G27+parametros_recargas!$L$91*'Plan mensual'!G28</f>
        <v>10.2456093212436</v>
      </c>
      <c r="F21" s="23" t="n">
        <f aca="false">parametros_recargas!$E$91*'Plan mensual'!H21+parametros_recargas!$F$91*'Plan mensual'!H22+parametros_recargas!$G$91*'Plan mensual'!H23+parametros_recargas!$H$91*'Plan mensual'!H24+parametros_recargas!$I$91*'Plan mensual'!H25+parametros_recargas!$J$91*'Plan mensual'!H26+parametros_recargas!$K$91*'Plan mensual'!H27+parametros_recargas!$L$91*'Plan mensual'!H28</f>
        <v>10.2456093212436</v>
      </c>
      <c r="G21" s="23" t="n">
        <f aca="false">parametros_recargas!$E$91*'Plan mensual'!I21+parametros_recargas!$F$91*'Plan mensual'!I22+parametros_recargas!$G$91*'Plan mensual'!I23+parametros_recargas!$H$91*'Plan mensual'!I24+parametros_recargas!$I$91*'Plan mensual'!I25+parametros_recargas!$J$91*'Plan mensual'!I26+parametros_recargas!$K$91*'Plan mensual'!I27+parametros_recargas!$L$91*'Plan mensual'!I28</f>
        <v>10.2456093212436</v>
      </c>
      <c r="H21" s="23" t="n">
        <f aca="false">parametros_recargas!$E$91*'Plan mensual'!J21+parametros_recargas!$F$91*'Plan mensual'!J22+parametros_recargas!$G$91*'Plan mensual'!J23+parametros_recargas!$H$91*'Plan mensual'!J24+parametros_recargas!$I$91*'Plan mensual'!J25+parametros_recargas!$J$91*'Plan mensual'!J26+parametros_recargas!$K$91*'Plan mensual'!J27+parametros_recargas!$L$91*'Plan mensual'!J28</f>
        <v>10.2456093212436</v>
      </c>
      <c r="I21" s="23" t="n">
        <f aca="false">parametros_recargas!$E$91*'Plan mensual'!K21+parametros_recargas!$F$91*'Plan mensual'!K22+parametros_recargas!$G$91*'Plan mensual'!K23+parametros_recargas!$H$91*'Plan mensual'!K24+parametros_recargas!$I$91*'Plan mensual'!K25+parametros_recargas!$J$91*'Plan mensual'!K26+parametros_recargas!$K$91*'Plan mensual'!K27+parametros_recargas!$L$91*'Plan mensual'!K28</f>
        <v>10.2456093212436</v>
      </c>
      <c r="J21" s="23" t="n">
        <f aca="false">parametros_recargas!$E$91*'Plan mensual'!L21+parametros_recargas!$F$91*'Plan mensual'!L22+parametros_recargas!$G$91*'Plan mensual'!L23+parametros_recargas!$H$91*'Plan mensual'!L24+parametros_recargas!$I$91*'Plan mensual'!L25+parametros_recargas!$J$91*'Plan mensual'!L26+parametros_recargas!$K$91*'Plan mensual'!L27+parametros_recargas!$L$91*'Plan mensual'!L28</f>
        <v>10.2456093212436</v>
      </c>
      <c r="K21" s="23" t="n">
        <f aca="false">parametros_recargas!$E$91*'Plan mensual'!M21+parametros_recargas!$F$91*'Plan mensual'!M22+parametros_recargas!$G$91*'Plan mensual'!M23+parametros_recargas!$H$91*'Plan mensual'!M24+parametros_recargas!$I$91*'Plan mensual'!M25+parametros_recargas!$J$91*'Plan mensual'!M26+parametros_recargas!$K$91*'Plan mensual'!M27+parametros_recargas!$L$91*'Plan mensual'!M28</f>
        <v>10.2456093212436</v>
      </c>
      <c r="L21" s="23" t="n">
        <f aca="false">parametros_recargas!$E$91*'Plan mensual'!N21+parametros_recargas!$F$91*'Plan mensual'!N22+parametros_recargas!$G$91*'Plan mensual'!N23+parametros_recargas!$H$91*'Plan mensual'!N24+parametros_recargas!$I$91*'Plan mensual'!N25+parametros_recargas!$J$91*'Plan mensual'!N26+parametros_recargas!$K$91*'Plan mensual'!N27+parametros_recargas!$L$91*'Plan mensual'!N28</f>
        <v>10.2456093212436</v>
      </c>
      <c r="M21" s="23" t="n">
        <f aca="false">parametros_recargas!$E$91*'Plan mensual'!O21+parametros_recargas!$F$91*'Plan mensual'!O22+parametros_recargas!$G$91*'Plan mensual'!O23+parametros_recargas!$H$91*'Plan mensual'!O24+parametros_recargas!$I$91*'Plan mensual'!O25+parametros_recargas!$J$91*'Plan mensual'!O26+parametros_recargas!$K$91*'Plan mensual'!O27+parametros_recargas!$L$91*'Plan mensual'!O28</f>
        <v>10.2456093212436</v>
      </c>
      <c r="N21" s="7" t="n">
        <f aca="false">SUM(B21:M21)</f>
        <v>122.947311854923</v>
      </c>
      <c r="O21" s="24" t="n">
        <f aca="false">MAX(B21:M21)</f>
        <v>10.2456093212436</v>
      </c>
      <c r="P21" s="15" t="n">
        <f aca="false">O21/parametros_recargas!$B$6</f>
        <v>0.0683040621416238</v>
      </c>
    </row>
    <row r="22" customFormat="false" ht="15" hidden="false" customHeight="false" outlineLevel="0" collapsed="false">
      <c r="A22" s="12" t="str">
        <f aca="false">parametros_recargas!$B$92</f>
        <v>Ensamblaje y marbete — recinto</v>
      </c>
      <c r="B22" s="23" t="n">
        <f aca="false">parametros_recargas!$E$92*'Plan mensual'!D21+parametros_recargas!$F$92*'Plan mensual'!D22+parametros_recargas!$G$92*'Plan mensual'!D23+parametros_recargas!$H$92*'Plan mensual'!D24+parametros_recargas!$I$92*'Plan mensual'!D25+parametros_recargas!$J$92*'Plan mensual'!D26+parametros_recargas!$K$92*'Plan mensual'!D27+parametros_recargas!$L$92*'Plan mensual'!D28</f>
        <v>361.903538493533</v>
      </c>
      <c r="C22" s="23" t="n">
        <f aca="false">parametros_recargas!$E$92*'Plan mensual'!E21+parametros_recargas!$F$92*'Plan mensual'!E22+parametros_recargas!$G$92*'Plan mensual'!E23+parametros_recargas!$H$92*'Plan mensual'!E24+parametros_recargas!$I$92*'Plan mensual'!E25+parametros_recargas!$J$92*'Plan mensual'!E26+parametros_recargas!$K$92*'Plan mensual'!E27+parametros_recargas!$L$92*'Plan mensual'!E28</f>
        <v>361.903538493533</v>
      </c>
      <c r="D22" s="23" t="n">
        <f aca="false">parametros_recargas!$E$92*'Plan mensual'!F21+parametros_recargas!$F$92*'Plan mensual'!F22+parametros_recargas!$G$92*'Plan mensual'!F23+parametros_recargas!$H$92*'Plan mensual'!F24+parametros_recargas!$I$92*'Plan mensual'!F25+parametros_recargas!$J$92*'Plan mensual'!F26+parametros_recargas!$K$92*'Plan mensual'!F27+parametros_recargas!$L$92*'Plan mensual'!F28</f>
        <v>361.903538493533</v>
      </c>
      <c r="E22" s="23" t="n">
        <f aca="false">parametros_recargas!$E$92*'Plan mensual'!G21+parametros_recargas!$F$92*'Plan mensual'!G22+parametros_recargas!$G$92*'Plan mensual'!G23+parametros_recargas!$H$92*'Plan mensual'!G24+parametros_recargas!$I$92*'Plan mensual'!G25+parametros_recargas!$J$92*'Plan mensual'!G26+parametros_recargas!$K$92*'Plan mensual'!G27+parametros_recargas!$L$92*'Plan mensual'!G28</f>
        <v>361.903538493533</v>
      </c>
      <c r="F22" s="23" t="n">
        <f aca="false">parametros_recargas!$E$92*'Plan mensual'!H21+parametros_recargas!$F$92*'Plan mensual'!H22+parametros_recargas!$G$92*'Plan mensual'!H23+parametros_recargas!$H$92*'Plan mensual'!H24+parametros_recargas!$I$92*'Plan mensual'!H25+parametros_recargas!$J$92*'Plan mensual'!H26+parametros_recargas!$K$92*'Plan mensual'!H27+parametros_recargas!$L$92*'Plan mensual'!H28</f>
        <v>361.903538493533</v>
      </c>
      <c r="G22" s="23" t="n">
        <f aca="false">parametros_recargas!$E$92*'Plan mensual'!I21+parametros_recargas!$F$92*'Plan mensual'!I22+parametros_recargas!$G$92*'Plan mensual'!I23+parametros_recargas!$H$92*'Plan mensual'!I24+parametros_recargas!$I$92*'Plan mensual'!I25+parametros_recargas!$J$92*'Plan mensual'!I26+parametros_recargas!$K$92*'Plan mensual'!I27+parametros_recargas!$L$92*'Plan mensual'!I28</f>
        <v>361.903538493533</v>
      </c>
      <c r="H22" s="23" t="n">
        <f aca="false">parametros_recargas!$E$92*'Plan mensual'!J21+parametros_recargas!$F$92*'Plan mensual'!J22+parametros_recargas!$G$92*'Plan mensual'!J23+parametros_recargas!$H$92*'Plan mensual'!J24+parametros_recargas!$I$92*'Plan mensual'!J25+parametros_recargas!$J$92*'Plan mensual'!J26+parametros_recargas!$K$92*'Plan mensual'!J27+parametros_recargas!$L$92*'Plan mensual'!J28</f>
        <v>361.903538493533</v>
      </c>
      <c r="I22" s="23" t="n">
        <f aca="false">parametros_recargas!$E$92*'Plan mensual'!K21+parametros_recargas!$F$92*'Plan mensual'!K22+parametros_recargas!$G$92*'Plan mensual'!K23+parametros_recargas!$H$92*'Plan mensual'!K24+parametros_recargas!$I$92*'Plan mensual'!K25+parametros_recargas!$J$92*'Plan mensual'!K26+parametros_recargas!$K$92*'Plan mensual'!K27+parametros_recargas!$L$92*'Plan mensual'!K28</f>
        <v>361.903538493533</v>
      </c>
      <c r="J22" s="23" t="n">
        <f aca="false">parametros_recargas!$E$92*'Plan mensual'!L21+parametros_recargas!$F$92*'Plan mensual'!L22+parametros_recargas!$G$92*'Plan mensual'!L23+parametros_recargas!$H$92*'Plan mensual'!L24+parametros_recargas!$I$92*'Plan mensual'!L25+parametros_recargas!$J$92*'Plan mensual'!L26+parametros_recargas!$K$92*'Plan mensual'!L27+parametros_recargas!$L$92*'Plan mensual'!L28</f>
        <v>361.903538493533</v>
      </c>
      <c r="K22" s="23" t="n">
        <f aca="false">parametros_recargas!$E$92*'Plan mensual'!M21+parametros_recargas!$F$92*'Plan mensual'!M22+parametros_recargas!$G$92*'Plan mensual'!M23+parametros_recargas!$H$92*'Plan mensual'!M24+parametros_recargas!$I$92*'Plan mensual'!M25+parametros_recargas!$J$92*'Plan mensual'!M26+parametros_recargas!$K$92*'Plan mensual'!M27+parametros_recargas!$L$92*'Plan mensual'!M28</f>
        <v>361.903538493533</v>
      </c>
      <c r="L22" s="23" t="n">
        <f aca="false">parametros_recargas!$E$92*'Plan mensual'!N21+parametros_recargas!$F$92*'Plan mensual'!N22+parametros_recargas!$G$92*'Plan mensual'!N23+parametros_recargas!$H$92*'Plan mensual'!N24+parametros_recargas!$I$92*'Plan mensual'!N25+parametros_recargas!$J$92*'Plan mensual'!N26+parametros_recargas!$K$92*'Plan mensual'!N27+parametros_recargas!$L$92*'Plan mensual'!N28</f>
        <v>361.903538493533</v>
      </c>
      <c r="M22" s="23" t="n">
        <f aca="false">parametros_recargas!$E$92*'Plan mensual'!O21+parametros_recargas!$F$92*'Plan mensual'!O22+parametros_recargas!$G$92*'Plan mensual'!O23+parametros_recargas!$H$92*'Plan mensual'!O24+parametros_recargas!$I$92*'Plan mensual'!O25+parametros_recargas!$J$92*'Plan mensual'!O26+parametros_recargas!$K$92*'Plan mensual'!O27+parametros_recargas!$L$92*'Plan mensual'!O28</f>
        <v>361.903538493533</v>
      </c>
      <c r="N22" s="7" t="n">
        <f aca="false">SUM(B22:M22)</f>
        <v>4342.8424619224</v>
      </c>
      <c r="O22" s="24" t="n">
        <f aca="false">MAX(B22:M22)</f>
        <v>361.903538493533</v>
      </c>
      <c r="P22" s="15" t="n">
        <f aca="false">O22/parametros_recargas!$B$6</f>
        <v>2.41269025662356</v>
      </c>
    </row>
    <row r="23" customFormat="false" ht="15" hidden="false" customHeight="false" outlineLevel="0" collapsed="false">
      <c r="A23" s="12" t="str">
        <f aca="false">parametros_recargas!$B$93</f>
        <v>Presurización — recinto</v>
      </c>
      <c r="B23" s="23" t="n">
        <f aca="false">parametros_recargas!$E$93*'Plan mensual'!D21+parametros_recargas!$F$93*'Plan mensual'!D22+parametros_recargas!$G$93*'Plan mensual'!D23+parametros_recargas!$H$93*'Plan mensual'!D24+parametros_recargas!$I$93*'Plan mensual'!D25+parametros_recargas!$J$93*'Plan mensual'!D26+parametros_recargas!$K$93*'Plan mensual'!D27+parametros_recargas!$L$93*'Plan mensual'!D28</f>
        <v>361.903538493533</v>
      </c>
      <c r="C23" s="23" t="n">
        <f aca="false">parametros_recargas!$E$93*'Plan mensual'!E21+parametros_recargas!$F$93*'Plan mensual'!E22+parametros_recargas!$G$93*'Plan mensual'!E23+parametros_recargas!$H$93*'Plan mensual'!E24+parametros_recargas!$I$93*'Plan mensual'!E25+parametros_recargas!$J$93*'Plan mensual'!E26+parametros_recargas!$K$93*'Plan mensual'!E27+parametros_recargas!$L$93*'Plan mensual'!E28</f>
        <v>361.903538493533</v>
      </c>
      <c r="D23" s="23" t="n">
        <f aca="false">parametros_recargas!$E$93*'Plan mensual'!F21+parametros_recargas!$F$93*'Plan mensual'!F22+parametros_recargas!$G$93*'Plan mensual'!F23+parametros_recargas!$H$93*'Plan mensual'!F24+parametros_recargas!$I$93*'Plan mensual'!F25+parametros_recargas!$J$93*'Plan mensual'!F26+parametros_recargas!$K$93*'Plan mensual'!F27+parametros_recargas!$L$93*'Plan mensual'!F28</f>
        <v>361.903538493533</v>
      </c>
      <c r="E23" s="23" t="n">
        <f aca="false">parametros_recargas!$E$93*'Plan mensual'!G21+parametros_recargas!$F$93*'Plan mensual'!G22+parametros_recargas!$G$93*'Plan mensual'!G23+parametros_recargas!$H$93*'Plan mensual'!G24+parametros_recargas!$I$93*'Plan mensual'!G25+parametros_recargas!$J$93*'Plan mensual'!G26+parametros_recargas!$K$93*'Plan mensual'!G27+parametros_recargas!$L$93*'Plan mensual'!G28</f>
        <v>361.903538493533</v>
      </c>
      <c r="F23" s="23" t="n">
        <f aca="false">parametros_recargas!$E$93*'Plan mensual'!H21+parametros_recargas!$F$93*'Plan mensual'!H22+parametros_recargas!$G$93*'Plan mensual'!H23+parametros_recargas!$H$93*'Plan mensual'!H24+parametros_recargas!$I$93*'Plan mensual'!H25+parametros_recargas!$J$93*'Plan mensual'!H26+parametros_recargas!$K$93*'Plan mensual'!H27+parametros_recargas!$L$93*'Plan mensual'!H28</f>
        <v>361.903538493533</v>
      </c>
      <c r="G23" s="23" t="n">
        <f aca="false">parametros_recargas!$E$93*'Plan mensual'!I21+parametros_recargas!$F$93*'Plan mensual'!I22+parametros_recargas!$G$93*'Plan mensual'!I23+parametros_recargas!$H$93*'Plan mensual'!I24+parametros_recargas!$I$93*'Plan mensual'!I25+parametros_recargas!$J$93*'Plan mensual'!I26+parametros_recargas!$K$93*'Plan mensual'!I27+parametros_recargas!$L$93*'Plan mensual'!I28</f>
        <v>361.903538493533</v>
      </c>
      <c r="H23" s="23" t="n">
        <f aca="false">parametros_recargas!$E$93*'Plan mensual'!J21+parametros_recargas!$F$93*'Plan mensual'!J22+parametros_recargas!$G$93*'Plan mensual'!J23+parametros_recargas!$H$93*'Plan mensual'!J24+parametros_recargas!$I$93*'Plan mensual'!J25+parametros_recargas!$J$93*'Plan mensual'!J26+parametros_recargas!$K$93*'Plan mensual'!J27+parametros_recargas!$L$93*'Plan mensual'!J28</f>
        <v>361.903538493533</v>
      </c>
      <c r="I23" s="23" t="n">
        <f aca="false">parametros_recargas!$E$93*'Plan mensual'!K21+parametros_recargas!$F$93*'Plan mensual'!K22+parametros_recargas!$G$93*'Plan mensual'!K23+parametros_recargas!$H$93*'Plan mensual'!K24+parametros_recargas!$I$93*'Plan mensual'!K25+parametros_recargas!$J$93*'Plan mensual'!K26+parametros_recargas!$K$93*'Plan mensual'!K27+parametros_recargas!$L$93*'Plan mensual'!K28</f>
        <v>361.903538493533</v>
      </c>
      <c r="J23" s="23" t="n">
        <f aca="false">parametros_recargas!$E$93*'Plan mensual'!L21+parametros_recargas!$F$93*'Plan mensual'!L22+parametros_recargas!$G$93*'Plan mensual'!L23+parametros_recargas!$H$93*'Plan mensual'!L24+parametros_recargas!$I$93*'Plan mensual'!L25+parametros_recargas!$J$93*'Plan mensual'!L26+parametros_recargas!$K$93*'Plan mensual'!L27+parametros_recargas!$L$93*'Plan mensual'!L28</f>
        <v>361.903538493533</v>
      </c>
      <c r="K23" s="23" t="n">
        <f aca="false">parametros_recargas!$E$93*'Plan mensual'!M21+parametros_recargas!$F$93*'Plan mensual'!M22+parametros_recargas!$G$93*'Plan mensual'!M23+parametros_recargas!$H$93*'Plan mensual'!M24+parametros_recargas!$I$93*'Plan mensual'!M25+parametros_recargas!$J$93*'Plan mensual'!M26+parametros_recargas!$K$93*'Plan mensual'!M27+parametros_recargas!$L$93*'Plan mensual'!M28</f>
        <v>361.903538493533</v>
      </c>
      <c r="L23" s="23" t="n">
        <f aca="false">parametros_recargas!$E$93*'Plan mensual'!N21+parametros_recargas!$F$93*'Plan mensual'!N22+parametros_recargas!$G$93*'Plan mensual'!N23+parametros_recargas!$H$93*'Plan mensual'!N24+parametros_recargas!$I$93*'Plan mensual'!N25+parametros_recargas!$J$93*'Plan mensual'!N26+parametros_recargas!$K$93*'Plan mensual'!N27+parametros_recargas!$L$93*'Plan mensual'!N28</f>
        <v>361.903538493533</v>
      </c>
      <c r="M23" s="23" t="n">
        <f aca="false">parametros_recargas!$E$93*'Plan mensual'!O21+parametros_recargas!$F$93*'Plan mensual'!O22+parametros_recargas!$G$93*'Plan mensual'!O23+parametros_recargas!$H$93*'Plan mensual'!O24+parametros_recargas!$I$93*'Plan mensual'!O25+parametros_recargas!$J$93*'Plan mensual'!O26+parametros_recargas!$K$93*'Plan mensual'!O27+parametros_recargas!$L$93*'Plan mensual'!O28</f>
        <v>361.903538493533</v>
      </c>
      <c r="N23" s="7" t="n">
        <f aca="false">SUM(B23:M23)</f>
        <v>4342.8424619224</v>
      </c>
      <c r="O23" s="24" t="n">
        <f aca="false">MAX(B23:M23)</f>
        <v>361.903538493533</v>
      </c>
      <c r="P23" s="15" t="n">
        <f aca="false">O23/parametros_recargas!$B$6</f>
        <v>2.41269025662356</v>
      </c>
    </row>
    <row r="24" customFormat="false" ht="15" hidden="false" customHeight="false" outlineLevel="0" collapsed="false">
      <c r="A24" s="12" t="str">
        <f aca="false">parametros_recargas!$B$94</f>
        <v>Ensamblaje y presurización — zona general</v>
      </c>
      <c r="B24" s="23" t="n">
        <f aca="false">parametros_recargas!$E$94*'Plan mensual'!D21+parametros_recargas!$F$94*'Plan mensual'!D22+parametros_recargas!$G$94*'Plan mensual'!D23+parametros_recargas!$H$94*'Plan mensual'!D24+parametros_recargas!$I$94*'Plan mensual'!D25+parametros_recargas!$J$94*'Plan mensual'!D26+parametros_recargas!$K$94*'Plan mensual'!D27+parametros_recargas!$L$94*'Plan mensual'!D28</f>
        <v>26.4914469482618</v>
      </c>
      <c r="C24" s="23" t="n">
        <f aca="false">parametros_recargas!$E$94*'Plan mensual'!E21+parametros_recargas!$F$94*'Plan mensual'!E22+parametros_recargas!$G$94*'Plan mensual'!E23+parametros_recargas!$H$94*'Plan mensual'!E24+parametros_recargas!$I$94*'Plan mensual'!E25+parametros_recargas!$J$94*'Plan mensual'!E26+parametros_recargas!$K$94*'Plan mensual'!E27+parametros_recargas!$L$94*'Plan mensual'!E28</f>
        <v>26.4914469482618</v>
      </c>
      <c r="D24" s="23" t="n">
        <f aca="false">parametros_recargas!$E$94*'Plan mensual'!F21+parametros_recargas!$F$94*'Plan mensual'!F22+parametros_recargas!$G$94*'Plan mensual'!F23+parametros_recargas!$H$94*'Plan mensual'!F24+parametros_recargas!$I$94*'Plan mensual'!F25+parametros_recargas!$J$94*'Plan mensual'!F26+parametros_recargas!$K$94*'Plan mensual'!F27+parametros_recargas!$L$94*'Plan mensual'!F28</f>
        <v>26.4914469482618</v>
      </c>
      <c r="E24" s="23" t="n">
        <f aca="false">parametros_recargas!$E$94*'Plan mensual'!G21+parametros_recargas!$F$94*'Plan mensual'!G22+parametros_recargas!$G$94*'Plan mensual'!G23+parametros_recargas!$H$94*'Plan mensual'!G24+parametros_recargas!$I$94*'Plan mensual'!G25+parametros_recargas!$J$94*'Plan mensual'!G26+parametros_recargas!$K$94*'Plan mensual'!G27+parametros_recargas!$L$94*'Plan mensual'!G28</f>
        <v>26.4914469482618</v>
      </c>
      <c r="F24" s="23" t="n">
        <f aca="false">parametros_recargas!$E$94*'Plan mensual'!H21+parametros_recargas!$F$94*'Plan mensual'!H22+parametros_recargas!$G$94*'Plan mensual'!H23+parametros_recargas!$H$94*'Plan mensual'!H24+parametros_recargas!$I$94*'Plan mensual'!H25+parametros_recargas!$J$94*'Plan mensual'!H26+parametros_recargas!$K$94*'Plan mensual'!H27+parametros_recargas!$L$94*'Plan mensual'!H28</f>
        <v>26.4914469482618</v>
      </c>
      <c r="G24" s="23" t="n">
        <f aca="false">parametros_recargas!$E$94*'Plan mensual'!I21+parametros_recargas!$F$94*'Plan mensual'!I22+parametros_recargas!$G$94*'Plan mensual'!I23+parametros_recargas!$H$94*'Plan mensual'!I24+parametros_recargas!$I$94*'Plan mensual'!I25+parametros_recargas!$J$94*'Plan mensual'!I26+parametros_recargas!$K$94*'Plan mensual'!I27+parametros_recargas!$L$94*'Plan mensual'!I28</f>
        <v>26.4914469482618</v>
      </c>
      <c r="H24" s="23" t="n">
        <f aca="false">parametros_recargas!$E$94*'Plan mensual'!J21+parametros_recargas!$F$94*'Plan mensual'!J22+parametros_recargas!$G$94*'Plan mensual'!J23+parametros_recargas!$H$94*'Plan mensual'!J24+parametros_recargas!$I$94*'Plan mensual'!J25+parametros_recargas!$J$94*'Plan mensual'!J26+parametros_recargas!$K$94*'Plan mensual'!J27+parametros_recargas!$L$94*'Plan mensual'!J28</f>
        <v>26.4914469482618</v>
      </c>
      <c r="I24" s="23" t="n">
        <f aca="false">parametros_recargas!$E$94*'Plan mensual'!K21+parametros_recargas!$F$94*'Plan mensual'!K22+parametros_recargas!$G$94*'Plan mensual'!K23+parametros_recargas!$H$94*'Plan mensual'!K24+parametros_recargas!$I$94*'Plan mensual'!K25+parametros_recargas!$J$94*'Plan mensual'!K26+parametros_recargas!$K$94*'Plan mensual'!K27+parametros_recargas!$L$94*'Plan mensual'!K28</f>
        <v>26.4914469482618</v>
      </c>
      <c r="J24" s="23" t="n">
        <f aca="false">parametros_recargas!$E$94*'Plan mensual'!L21+parametros_recargas!$F$94*'Plan mensual'!L22+parametros_recargas!$G$94*'Plan mensual'!L23+parametros_recargas!$H$94*'Plan mensual'!L24+parametros_recargas!$I$94*'Plan mensual'!L25+parametros_recargas!$J$94*'Plan mensual'!L26+parametros_recargas!$K$94*'Plan mensual'!L27+parametros_recargas!$L$94*'Plan mensual'!L28</f>
        <v>26.4914469482618</v>
      </c>
      <c r="K24" s="23" t="n">
        <f aca="false">parametros_recargas!$E$94*'Plan mensual'!M21+parametros_recargas!$F$94*'Plan mensual'!M22+parametros_recargas!$G$94*'Plan mensual'!M23+parametros_recargas!$H$94*'Plan mensual'!M24+parametros_recargas!$I$94*'Plan mensual'!M25+parametros_recargas!$J$94*'Plan mensual'!M26+parametros_recargas!$K$94*'Plan mensual'!M27+parametros_recargas!$L$94*'Plan mensual'!M28</f>
        <v>26.4914469482618</v>
      </c>
      <c r="L24" s="23" t="n">
        <f aca="false">parametros_recargas!$E$94*'Plan mensual'!N21+parametros_recargas!$F$94*'Plan mensual'!N22+parametros_recargas!$G$94*'Plan mensual'!N23+parametros_recargas!$H$94*'Plan mensual'!N24+parametros_recargas!$I$94*'Plan mensual'!N25+parametros_recargas!$J$94*'Plan mensual'!N26+parametros_recargas!$K$94*'Plan mensual'!N27+parametros_recargas!$L$94*'Plan mensual'!N28</f>
        <v>26.4914469482618</v>
      </c>
      <c r="M24" s="23" t="n">
        <f aca="false">parametros_recargas!$E$94*'Plan mensual'!O21+parametros_recargas!$F$94*'Plan mensual'!O22+parametros_recargas!$G$94*'Plan mensual'!O23+parametros_recargas!$H$94*'Plan mensual'!O24+parametros_recargas!$I$94*'Plan mensual'!O25+parametros_recargas!$J$94*'Plan mensual'!O26+parametros_recargas!$K$94*'Plan mensual'!O27+parametros_recargas!$L$94*'Plan mensual'!O28</f>
        <v>26.4914469482618</v>
      </c>
      <c r="N24" s="7" t="n">
        <f aca="false">SUM(B24:M24)</f>
        <v>317.897363379141</v>
      </c>
      <c r="O24" s="24" t="n">
        <f aca="false">MAX(B24:M24)</f>
        <v>26.4914469482618</v>
      </c>
      <c r="P24" s="15" t="n">
        <f aca="false">O24/parametros_recargas!$B$6</f>
        <v>0.176609646321745</v>
      </c>
    </row>
    <row r="25" customFormat="false" ht="15" hidden="false" customHeight="false" outlineLevel="0" collapsed="false">
      <c r="A25" s="12" t="str">
        <f aca="false">parametros_recargas!$B$95</f>
        <v>Carga y presurización de halogenado</v>
      </c>
      <c r="B25" s="23" t="n">
        <f aca="false">parametros_recargas!$E$95*'Plan mensual'!D21+parametros_recargas!$F$95*'Plan mensual'!D22+parametros_recargas!$G$95*'Plan mensual'!D23+parametros_recargas!$H$95*'Plan mensual'!D24+parametros_recargas!$I$95*'Plan mensual'!D25+parametros_recargas!$J$95*'Plan mensual'!D26+parametros_recargas!$K$95*'Plan mensual'!D27+parametros_recargas!$L$95*'Plan mensual'!D28</f>
        <v>0.26997653471704</v>
      </c>
      <c r="C25" s="23" t="n">
        <f aca="false">parametros_recargas!$E$95*'Plan mensual'!E21+parametros_recargas!$F$95*'Plan mensual'!E22+parametros_recargas!$G$95*'Plan mensual'!E23+parametros_recargas!$H$95*'Plan mensual'!E24+parametros_recargas!$I$95*'Plan mensual'!E25+parametros_recargas!$J$95*'Plan mensual'!E26+parametros_recargas!$K$95*'Plan mensual'!E27+parametros_recargas!$L$95*'Plan mensual'!E28</f>
        <v>0.26997653471704</v>
      </c>
      <c r="D25" s="23" t="n">
        <f aca="false">parametros_recargas!$E$95*'Plan mensual'!F21+parametros_recargas!$F$95*'Plan mensual'!F22+parametros_recargas!$G$95*'Plan mensual'!F23+parametros_recargas!$H$95*'Plan mensual'!F24+parametros_recargas!$I$95*'Plan mensual'!F25+parametros_recargas!$J$95*'Plan mensual'!F26+parametros_recargas!$K$95*'Plan mensual'!F27+parametros_recargas!$L$95*'Plan mensual'!F28</f>
        <v>0.26997653471704</v>
      </c>
      <c r="E25" s="23" t="n">
        <f aca="false">parametros_recargas!$E$95*'Plan mensual'!G21+parametros_recargas!$F$95*'Plan mensual'!G22+parametros_recargas!$G$95*'Plan mensual'!G23+parametros_recargas!$H$95*'Plan mensual'!G24+parametros_recargas!$I$95*'Plan mensual'!G25+parametros_recargas!$J$95*'Plan mensual'!G26+parametros_recargas!$K$95*'Plan mensual'!G27+parametros_recargas!$L$95*'Plan mensual'!G28</f>
        <v>0.26997653471704</v>
      </c>
      <c r="F25" s="23" t="n">
        <f aca="false">parametros_recargas!$E$95*'Plan mensual'!H21+parametros_recargas!$F$95*'Plan mensual'!H22+parametros_recargas!$G$95*'Plan mensual'!H23+parametros_recargas!$H$95*'Plan mensual'!H24+parametros_recargas!$I$95*'Plan mensual'!H25+parametros_recargas!$J$95*'Plan mensual'!H26+parametros_recargas!$K$95*'Plan mensual'!H27+parametros_recargas!$L$95*'Plan mensual'!H28</f>
        <v>0.26997653471704</v>
      </c>
      <c r="G25" s="23" t="n">
        <f aca="false">parametros_recargas!$E$95*'Plan mensual'!I21+parametros_recargas!$F$95*'Plan mensual'!I22+parametros_recargas!$G$95*'Plan mensual'!I23+parametros_recargas!$H$95*'Plan mensual'!I24+parametros_recargas!$I$95*'Plan mensual'!I25+parametros_recargas!$J$95*'Plan mensual'!I26+parametros_recargas!$K$95*'Plan mensual'!I27+parametros_recargas!$L$95*'Plan mensual'!I28</f>
        <v>0.26997653471704</v>
      </c>
      <c r="H25" s="23" t="n">
        <f aca="false">parametros_recargas!$E$95*'Plan mensual'!J21+parametros_recargas!$F$95*'Plan mensual'!J22+parametros_recargas!$G$95*'Plan mensual'!J23+parametros_recargas!$H$95*'Plan mensual'!J24+parametros_recargas!$I$95*'Plan mensual'!J25+parametros_recargas!$J$95*'Plan mensual'!J26+parametros_recargas!$K$95*'Plan mensual'!J27+parametros_recargas!$L$95*'Plan mensual'!J28</f>
        <v>0.26997653471704</v>
      </c>
      <c r="I25" s="23" t="n">
        <f aca="false">parametros_recargas!$E$95*'Plan mensual'!K21+parametros_recargas!$F$95*'Plan mensual'!K22+parametros_recargas!$G$95*'Plan mensual'!K23+parametros_recargas!$H$95*'Plan mensual'!K24+parametros_recargas!$I$95*'Plan mensual'!K25+parametros_recargas!$J$95*'Plan mensual'!K26+parametros_recargas!$K$95*'Plan mensual'!K27+parametros_recargas!$L$95*'Plan mensual'!K28</f>
        <v>0.26997653471704</v>
      </c>
      <c r="J25" s="23" t="n">
        <f aca="false">parametros_recargas!$E$95*'Plan mensual'!L21+parametros_recargas!$F$95*'Plan mensual'!L22+parametros_recargas!$G$95*'Plan mensual'!L23+parametros_recargas!$H$95*'Plan mensual'!L24+parametros_recargas!$I$95*'Plan mensual'!L25+parametros_recargas!$J$95*'Plan mensual'!L26+parametros_recargas!$K$95*'Plan mensual'!L27+parametros_recargas!$L$95*'Plan mensual'!L28</f>
        <v>0.26997653471704</v>
      </c>
      <c r="K25" s="23" t="n">
        <f aca="false">parametros_recargas!$E$95*'Plan mensual'!M21+parametros_recargas!$F$95*'Plan mensual'!M22+parametros_recargas!$G$95*'Plan mensual'!M23+parametros_recargas!$H$95*'Plan mensual'!M24+parametros_recargas!$I$95*'Plan mensual'!M25+parametros_recargas!$J$95*'Plan mensual'!M26+parametros_recargas!$K$95*'Plan mensual'!M27+parametros_recargas!$L$95*'Plan mensual'!M28</f>
        <v>0.26997653471704</v>
      </c>
      <c r="L25" s="23" t="n">
        <f aca="false">parametros_recargas!$E$95*'Plan mensual'!N21+parametros_recargas!$F$95*'Plan mensual'!N22+parametros_recargas!$G$95*'Plan mensual'!N23+parametros_recargas!$H$95*'Plan mensual'!N24+parametros_recargas!$I$95*'Plan mensual'!N25+parametros_recargas!$J$95*'Plan mensual'!N26+parametros_recargas!$K$95*'Plan mensual'!N27+parametros_recargas!$L$95*'Plan mensual'!N28</f>
        <v>0.26997653471704</v>
      </c>
      <c r="M25" s="23" t="n">
        <f aca="false">parametros_recargas!$E$95*'Plan mensual'!O21+parametros_recargas!$F$95*'Plan mensual'!O22+parametros_recargas!$G$95*'Plan mensual'!O23+parametros_recargas!$H$95*'Plan mensual'!O24+parametros_recargas!$I$95*'Plan mensual'!O25+parametros_recargas!$J$95*'Plan mensual'!O26+parametros_recargas!$K$95*'Plan mensual'!O27+parametros_recargas!$L$95*'Plan mensual'!O28</f>
        <v>0.26997653471704</v>
      </c>
      <c r="N25" s="7" t="n">
        <f aca="false">SUM(B25:M25)</f>
        <v>3.23971841660448</v>
      </c>
      <c r="O25" s="24" t="n">
        <f aca="false">MAX(B25:M25)</f>
        <v>0.26997653471704</v>
      </c>
      <c r="P25" s="15" t="n">
        <f aca="false">O25/parametros_recargas!$B$6</f>
        <v>0.00179984356478026</v>
      </c>
    </row>
    <row r="26" customFormat="false" ht="15" hidden="false" customHeight="false" outlineLevel="0" collapsed="false">
      <c r="A26" s="12" t="str">
        <f aca="false">parametros_recargas!$B$96</f>
        <v>Control de peso (CO₂ y halogenados sin recarga)</v>
      </c>
      <c r="B26" s="23" t="n">
        <f aca="false">parametros_recargas!$E$96*'Plan mensual'!D21+parametros_recargas!$F$96*'Plan mensual'!D22+parametros_recargas!$G$96*'Plan mensual'!D23+parametros_recargas!$H$96*'Plan mensual'!D24+parametros_recargas!$I$96*'Plan mensual'!D25+parametros_recargas!$J$96*'Plan mensual'!D26+parametros_recargas!$K$96*'Plan mensual'!D27+parametros_recargas!$L$96*'Plan mensual'!D28</f>
        <v>24.7163513537194</v>
      </c>
      <c r="C26" s="23" t="n">
        <f aca="false">parametros_recargas!$E$96*'Plan mensual'!E21+parametros_recargas!$F$96*'Plan mensual'!E22+parametros_recargas!$G$96*'Plan mensual'!E23+parametros_recargas!$H$96*'Plan mensual'!E24+parametros_recargas!$I$96*'Plan mensual'!E25+parametros_recargas!$J$96*'Plan mensual'!E26+parametros_recargas!$K$96*'Plan mensual'!E27+parametros_recargas!$L$96*'Plan mensual'!E28</f>
        <v>24.7163513537194</v>
      </c>
      <c r="D26" s="23" t="n">
        <f aca="false">parametros_recargas!$E$96*'Plan mensual'!F21+parametros_recargas!$F$96*'Plan mensual'!F22+parametros_recargas!$G$96*'Plan mensual'!F23+parametros_recargas!$H$96*'Plan mensual'!F24+parametros_recargas!$I$96*'Plan mensual'!F25+parametros_recargas!$J$96*'Plan mensual'!F26+parametros_recargas!$K$96*'Plan mensual'!F27+parametros_recargas!$L$96*'Plan mensual'!F28</f>
        <v>24.7163513537194</v>
      </c>
      <c r="E26" s="23" t="n">
        <f aca="false">parametros_recargas!$E$96*'Plan mensual'!G21+parametros_recargas!$F$96*'Plan mensual'!G22+parametros_recargas!$G$96*'Plan mensual'!G23+parametros_recargas!$H$96*'Plan mensual'!G24+parametros_recargas!$I$96*'Plan mensual'!G25+parametros_recargas!$J$96*'Plan mensual'!G26+parametros_recargas!$K$96*'Plan mensual'!G27+parametros_recargas!$L$96*'Plan mensual'!G28</f>
        <v>24.7163513537194</v>
      </c>
      <c r="F26" s="23" t="n">
        <f aca="false">parametros_recargas!$E$96*'Plan mensual'!H21+parametros_recargas!$F$96*'Plan mensual'!H22+parametros_recargas!$G$96*'Plan mensual'!H23+parametros_recargas!$H$96*'Plan mensual'!H24+parametros_recargas!$I$96*'Plan mensual'!H25+parametros_recargas!$J$96*'Plan mensual'!H26+parametros_recargas!$K$96*'Plan mensual'!H27+parametros_recargas!$L$96*'Plan mensual'!H28</f>
        <v>24.7163513537194</v>
      </c>
      <c r="G26" s="23" t="n">
        <f aca="false">parametros_recargas!$E$96*'Plan mensual'!I21+parametros_recargas!$F$96*'Plan mensual'!I22+parametros_recargas!$G$96*'Plan mensual'!I23+parametros_recargas!$H$96*'Plan mensual'!I24+parametros_recargas!$I$96*'Plan mensual'!I25+parametros_recargas!$J$96*'Plan mensual'!I26+parametros_recargas!$K$96*'Plan mensual'!I27+parametros_recargas!$L$96*'Plan mensual'!I28</f>
        <v>24.7163513537194</v>
      </c>
      <c r="H26" s="23" t="n">
        <f aca="false">parametros_recargas!$E$96*'Plan mensual'!J21+parametros_recargas!$F$96*'Plan mensual'!J22+parametros_recargas!$G$96*'Plan mensual'!J23+parametros_recargas!$H$96*'Plan mensual'!J24+parametros_recargas!$I$96*'Plan mensual'!J25+parametros_recargas!$J$96*'Plan mensual'!J26+parametros_recargas!$K$96*'Plan mensual'!J27+parametros_recargas!$L$96*'Plan mensual'!J28</f>
        <v>24.7163513537194</v>
      </c>
      <c r="I26" s="23" t="n">
        <f aca="false">parametros_recargas!$E$96*'Plan mensual'!K21+parametros_recargas!$F$96*'Plan mensual'!K22+parametros_recargas!$G$96*'Plan mensual'!K23+parametros_recargas!$H$96*'Plan mensual'!K24+parametros_recargas!$I$96*'Plan mensual'!K25+parametros_recargas!$J$96*'Plan mensual'!K26+parametros_recargas!$K$96*'Plan mensual'!K27+parametros_recargas!$L$96*'Plan mensual'!K28</f>
        <v>24.7163513537194</v>
      </c>
      <c r="J26" s="23" t="n">
        <f aca="false">parametros_recargas!$E$96*'Plan mensual'!L21+parametros_recargas!$F$96*'Plan mensual'!L22+parametros_recargas!$G$96*'Plan mensual'!L23+parametros_recargas!$H$96*'Plan mensual'!L24+parametros_recargas!$I$96*'Plan mensual'!L25+parametros_recargas!$J$96*'Plan mensual'!L26+parametros_recargas!$K$96*'Plan mensual'!L27+parametros_recargas!$L$96*'Plan mensual'!L28</f>
        <v>24.7163513537194</v>
      </c>
      <c r="K26" s="23" t="n">
        <f aca="false">parametros_recargas!$E$96*'Plan mensual'!M21+parametros_recargas!$F$96*'Plan mensual'!M22+parametros_recargas!$G$96*'Plan mensual'!M23+parametros_recargas!$H$96*'Plan mensual'!M24+parametros_recargas!$I$96*'Plan mensual'!M25+parametros_recargas!$J$96*'Plan mensual'!M26+parametros_recargas!$K$96*'Plan mensual'!M27+parametros_recargas!$L$96*'Plan mensual'!M28</f>
        <v>24.7163513537194</v>
      </c>
      <c r="L26" s="23" t="n">
        <f aca="false">parametros_recargas!$E$96*'Plan mensual'!N21+parametros_recargas!$F$96*'Plan mensual'!N22+parametros_recargas!$G$96*'Plan mensual'!N23+parametros_recargas!$H$96*'Plan mensual'!N24+parametros_recargas!$I$96*'Plan mensual'!N25+parametros_recargas!$J$96*'Plan mensual'!N26+parametros_recargas!$K$96*'Plan mensual'!N27+parametros_recargas!$L$96*'Plan mensual'!N28</f>
        <v>24.7163513537194</v>
      </c>
      <c r="M26" s="23" t="n">
        <f aca="false">parametros_recargas!$E$96*'Plan mensual'!O21+parametros_recargas!$F$96*'Plan mensual'!O22+parametros_recargas!$G$96*'Plan mensual'!O23+parametros_recargas!$H$96*'Plan mensual'!O24+parametros_recargas!$I$96*'Plan mensual'!O25+parametros_recargas!$J$96*'Plan mensual'!O26+parametros_recargas!$K$96*'Plan mensual'!O27+parametros_recargas!$L$96*'Plan mensual'!O28</f>
        <v>24.7163513537194</v>
      </c>
      <c r="N26" s="7" t="n">
        <f aca="false">SUM(B26:M26)</f>
        <v>296.596216244633</v>
      </c>
      <c r="O26" s="24" t="n">
        <f aca="false">MAX(B26:M26)</f>
        <v>24.7163513537194</v>
      </c>
      <c r="P26" s="15" t="n">
        <f aca="false">O26/parametros_recargas!$B$6</f>
        <v>0.164775675691463</v>
      </c>
    </row>
    <row r="27" customFormat="false" ht="15" hidden="false" customHeight="false" outlineLevel="0" collapsed="false">
      <c r="A27" s="12" t="str">
        <f aca="false">parametros_recargas!$B$97</f>
        <v>Ensayo de pérdidas</v>
      </c>
      <c r="B27" s="23" t="n">
        <f aca="false">parametros_recargas!$E$97*'Plan mensual'!D21+parametros_recargas!$F$97*'Plan mensual'!D22+parametros_recargas!$G$97*'Plan mensual'!D23+parametros_recargas!$H$97*'Plan mensual'!D24+parametros_recargas!$I$97*'Plan mensual'!D25+parametros_recargas!$J$97*'Plan mensual'!D26+parametros_recargas!$K$97*'Plan mensual'!D27+parametros_recargas!$L$97*'Plan mensual'!D28</f>
        <v>414.818938349055</v>
      </c>
      <c r="C27" s="23" t="n">
        <f aca="false">parametros_recargas!$E$97*'Plan mensual'!E21+parametros_recargas!$F$97*'Plan mensual'!E22+parametros_recargas!$G$97*'Plan mensual'!E23+parametros_recargas!$H$97*'Plan mensual'!E24+parametros_recargas!$I$97*'Plan mensual'!E25+parametros_recargas!$J$97*'Plan mensual'!E26+parametros_recargas!$K$97*'Plan mensual'!E27+parametros_recargas!$L$97*'Plan mensual'!E28</f>
        <v>414.818938349055</v>
      </c>
      <c r="D27" s="23" t="n">
        <f aca="false">parametros_recargas!$E$97*'Plan mensual'!F21+parametros_recargas!$F$97*'Plan mensual'!F22+parametros_recargas!$G$97*'Plan mensual'!F23+parametros_recargas!$H$97*'Plan mensual'!F24+parametros_recargas!$I$97*'Plan mensual'!F25+parametros_recargas!$J$97*'Plan mensual'!F26+parametros_recargas!$K$97*'Plan mensual'!F27+parametros_recargas!$L$97*'Plan mensual'!F28</f>
        <v>414.818938349055</v>
      </c>
      <c r="E27" s="23" t="n">
        <f aca="false">parametros_recargas!$E$97*'Plan mensual'!G21+parametros_recargas!$F$97*'Plan mensual'!G22+parametros_recargas!$G$97*'Plan mensual'!G23+parametros_recargas!$H$97*'Plan mensual'!G24+parametros_recargas!$I$97*'Plan mensual'!G25+parametros_recargas!$J$97*'Plan mensual'!G26+parametros_recargas!$K$97*'Plan mensual'!G27+parametros_recargas!$L$97*'Plan mensual'!G28</f>
        <v>414.818938349055</v>
      </c>
      <c r="F27" s="23" t="n">
        <f aca="false">parametros_recargas!$E$97*'Plan mensual'!H21+parametros_recargas!$F$97*'Plan mensual'!H22+parametros_recargas!$G$97*'Plan mensual'!H23+parametros_recargas!$H$97*'Plan mensual'!H24+parametros_recargas!$I$97*'Plan mensual'!H25+parametros_recargas!$J$97*'Plan mensual'!H26+parametros_recargas!$K$97*'Plan mensual'!H27+parametros_recargas!$L$97*'Plan mensual'!H28</f>
        <v>414.818938349055</v>
      </c>
      <c r="G27" s="23" t="n">
        <f aca="false">parametros_recargas!$E$97*'Plan mensual'!I21+parametros_recargas!$F$97*'Plan mensual'!I22+parametros_recargas!$G$97*'Plan mensual'!I23+parametros_recargas!$H$97*'Plan mensual'!I24+parametros_recargas!$I$97*'Plan mensual'!I25+parametros_recargas!$J$97*'Plan mensual'!I26+parametros_recargas!$K$97*'Plan mensual'!I27+parametros_recargas!$L$97*'Plan mensual'!I28</f>
        <v>414.818938349055</v>
      </c>
      <c r="H27" s="23" t="n">
        <f aca="false">parametros_recargas!$E$97*'Plan mensual'!J21+parametros_recargas!$F$97*'Plan mensual'!J22+parametros_recargas!$G$97*'Plan mensual'!J23+parametros_recargas!$H$97*'Plan mensual'!J24+parametros_recargas!$I$97*'Plan mensual'!J25+parametros_recargas!$J$97*'Plan mensual'!J26+parametros_recargas!$K$97*'Plan mensual'!J27+parametros_recargas!$L$97*'Plan mensual'!J28</f>
        <v>414.818938349055</v>
      </c>
      <c r="I27" s="23" t="n">
        <f aca="false">parametros_recargas!$E$97*'Plan mensual'!K21+parametros_recargas!$F$97*'Plan mensual'!K22+parametros_recargas!$G$97*'Plan mensual'!K23+parametros_recargas!$H$97*'Plan mensual'!K24+parametros_recargas!$I$97*'Plan mensual'!K25+parametros_recargas!$J$97*'Plan mensual'!K26+parametros_recargas!$K$97*'Plan mensual'!K27+parametros_recargas!$L$97*'Plan mensual'!K28</f>
        <v>414.818938349055</v>
      </c>
      <c r="J27" s="23" t="n">
        <f aca="false">parametros_recargas!$E$97*'Plan mensual'!L21+parametros_recargas!$F$97*'Plan mensual'!L22+parametros_recargas!$G$97*'Plan mensual'!L23+parametros_recargas!$H$97*'Plan mensual'!L24+parametros_recargas!$I$97*'Plan mensual'!L25+parametros_recargas!$J$97*'Plan mensual'!L26+parametros_recargas!$K$97*'Plan mensual'!L27+parametros_recargas!$L$97*'Plan mensual'!L28</f>
        <v>414.818938349055</v>
      </c>
      <c r="K27" s="23" t="n">
        <f aca="false">parametros_recargas!$E$97*'Plan mensual'!M21+parametros_recargas!$F$97*'Plan mensual'!M22+parametros_recargas!$G$97*'Plan mensual'!M23+parametros_recargas!$H$97*'Plan mensual'!M24+parametros_recargas!$I$97*'Plan mensual'!M25+parametros_recargas!$J$97*'Plan mensual'!M26+parametros_recargas!$K$97*'Plan mensual'!M27+parametros_recargas!$L$97*'Plan mensual'!M28</f>
        <v>414.818938349055</v>
      </c>
      <c r="L27" s="23" t="n">
        <f aca="false">parametros_recargas!$E$97*'Plan mensual'!N21+parametros_recargas!$F$97*'Plan mensual'!N22+parametros_recargas!$G$97*'Plan mensual'!N23+parametros_recargas!$H$97*'Plan mensual'!N24+parametros_recargas!$I$97*'Plan mensual'!N25+parametros_recargas!$J$97*'Plan mensual'!N26+parametros_recargas!$K$97*'Plan mensual'!N27+parametros_recargas!$L$97*'Plan mensual'!N28</f>
        <v>414.818938349055</v>
      </c>
      <c r="M27" s="23" t="n">
        <f aca="false">parametros_recargas!$E$97*'Plan mensual'!O21+parametros_recargas!$F$97*'Plan mensual'!O22+parametros_recargas!$G$97*'Plan mensual'!O23+parametros_recargas!$H$97*'Plan mensual'!O24+parametros_recargas!$I$97*'Plan mensual'!O25+parametros_recargas!$J$97*'Plan mensual'!O26+parametros_recargas!$K$97*'Plan mensual'!O27+parametros_recargas!$L$97*'Plan mensual'!O28</f>
        <v>414.818938349055</v>
      </c>
      <c r="N27" s="7" t="n">
        <f aca="false">SUM(B27:M27)</f>
        <v>4977.82726018866</v>
      </c>
      <c r="O27" s="24" t="n">
        <f aca="false">MAX(B27:M27)</f>
        <v>414.818938349055</v>
      </c>
      <c r="P27" s="15" t="n">
        <f aca="false">O27/parametros_recargas!$B$6</f>
        <v>2.7654595889937</v>
      </c>
    </row>
    <row r="28" customFormat="false" ht="15" hidden="false" customHeight="false" outlineLevel="0" collapsed="false">
      <c r="A28" s="12" t="str">
        <f aca="false">parametros_recargas!$B$98</f>
        <v>Precinto, etiqueta y despacho</v>
      </c>
      <c r="B28" s="23" t="n">
        <f aca="false">parametros_recargas!$E$98*'Plan mensual'!D21+parametros_recargas!$F$98*'Plan mensual'!D22+parametros_recargas!$G$98*'Plan mensual'!D23+parametros_recargas!$H$98*'Plan mensual'!D24+parametros_recargas!$I$98*'Plan mensual'!D25+parametros_recargas!$J$98*'Plan mensual'!D26+parametros_recargas!$K$98*'Plan mensual'!D27+parametros_recargas!$L$98*'Plan mensual'!D28</f>
        <v>414.818938349055</v>
      </c>
      <c r="C28" s="23" t="n">
        <f aca="false">parametros_recargas!$E$98*'Plan mensual'!E21+parametros_recargas!$F$98*'Plan mensual'!E22+parametros_recargas!$G$98*'Plan mensual'!E23+parametros_recargas!$H$98*'Plan mensual'!E24+parametros_recargas!$I$98*'Plan mensual'!E25+parametros_recargas!$J$98*'Plan mensual'!E26+parametros_recargas!$K$98*'Plan mensual'!E27+parametros_recargas!$L$98*'Plan mensual'!E28</f>
        <v>414.818938349055</v>
      </c>
      <c r="D28" s="23" t="n">
        <f aca="false">parametros_recargas!$E$98*'Plan mensual'!F21+parametros_recargas!$F$98*'Plan mensual'!F22+parametros_recargas!$G$98*'Plan mensual'!F23+parametros_recargas!$H$98*'Plan mensual'!F24+parametros_recargas!$I$98*'Plan mensual'!F25+parametros_recargas!$J$98*'Plan mensual'!F26+parametros_recargas!$K$98*'Plan mensual'!F27+parametros_recargas!$L$98*'Plan mensual'!F28</f>
        <v>414.818938349055</v>
      </c>
      <c r="E28" s="23" t="n">
        <f aca="false">parametros_recargas!$E$98*'Plan mensual'!G21+parametros_recargas!$F$98*'Plan mensual'!G22+parametros_recargas!$G$98*'Plan mensual'!G23+parametros_recargas!$H$98*'Plan mensual'!G24+parametros_recargas!$I$98*'Plan mensual'!G25+parametros_recargas!$J$98*'Plan mensual'!G26+parametros_recargas!$K$98*'Plan mensual'!G27+parametros_recargas!$L$98*'Plan mensual'!G28</f>
        <v>414.818938349055</v>
      </c>
      <c r="F28" s="23" t="n">
        <f aca="false">parametros_recargas!$E$98*'Plan mensual'!H21+parametros_recargas!$F$98*'Plan mensual'!H22+parametros_recargas!$G$98*'Plan mensual'!H23+parametros_recargas!$H$98*'Plan mensual'!H24+parametros_recargas!$I$98*'Plan mensual'!H25+parametros_recargas!$J$98*'Plan mensual'!H26+parametros_recargas!$K$98*'Plan mensual'!H27+parametros_recargas!$L$98*'Plan mensual'!H28</f>
        <v>414.818938349055</v>
      </c>
      <c r="G28" s="23" t="n">
        <f aca="false">parametros_recargas!$E$98*'Plan mensual'!I21+parametros_recargas!$F$98*'Plan mensual'!I22+parametros_recargas!$G$98*'Plan mensual'!I23+parametros_recargas!$H$98*'Plan mensual'!I24+parametros_recargas!$I$98*'Plan mensual'!I25+parametros_recargas!$J$98*'Plan mensual'!I26+parametros_recargas!$K$98*'Plan mensual'!I27+parametros_recargas!$L$98*'Plan mensual'!I28</f>
        <v>414.818938349055</v>
      </c>
      <c r="H28" s="23" t="n">
        <f aca="false">parametros_recargas!$E$98*'Plan mensual'!J21+parametros_recargas!$F$98*'Plan mensual'!J22+parametros_recargas!$G$98*'Plan mensual'!J23+parametros_recargas!$H$98*'Plan mensual'!J24+parametros_recargas!$I$98*'Plan mensual'!J25+parametros_recargas!$J$98*'Plan mensual'!J26+parametros_recargas!$K$98*'Plan mensual'!J27+parametros_recargas!$L$98*'Plan mensual'!J28</f>
        <v>414.818938349055</v>
      </c>
      <c r="I28" s="23" t="n">
        <f aca="false">parametros_recargas!$E$98*'Plan mensual'!K21+parametros_recargas!$F$98*'Plan mensual'!K22+parametros_recargas!$G$98*'Plan mensual'!K23+parametros_recargas!$H$98*'Plan mensual'!K24+parametros_recargas!$I$98*'Plan mensual'!K25+parametros_recargas!$J$98*'Plan mensual'!K26+parametros_recargas!$K$98*'Plan mensual'!K27+parametros_recargas!$L$98*'Plan mensual'!K28</f>
        <v>414.818938349055</v>
      </c>
      <c r="J28" s="23" t="n">
        <f aca="false">parametros_recargas!$E$98*'Plan mensual'!L21+parametros_recargas!$F$98*'Plan mensual'!L22+parametros_recargas!$G$98*'Plan mensual'!L23+parametros_recargas!$H$98*'Plan mensual'!L24+parametros_recargas!$I$98*'Plan mensual'!L25+parametros_recargas!$J$98*'Plan mensual'!L26+parametros_recargas!$K$98*'Plan mensual'!L27+parametros_recargas!$L$98*'Plan mensual'!L28</f>
        <v>414.818938349055</v>
      </c>
      <c r="K28" s="23" t="n">
        <f aca="false">parametros_recargas!$E$98*'Plan mensual'!M21+parametros_recargas!$F$98*'Plan mensual'!M22+parametros_recargas!$G$98*'Plan mensual'!M23+parametros_recargas!$H$98*'Plan mensual'!M24+parametros_recargas!$I$98*'Plan mensual'!M25+parametros_recargas!$J$98*'Plan mensual'!M26+parametros_recargas!$K$98*'Plan mensual'!M27+parametros_recargas!$L$98*'Plan mensual'!M28</f>
        <v>414.818938349055</v>
      </c>
      <c r="L28" s="23" t="n">
        <f aca="false">parametros_recargas!$E$98*'Plan mensual'!N21+parametros_recargas!$F$98*'Plan mensual'!N22+parametros_recargas!$G$98*'Plan mensual'!N23+parametros_recargas!$H$98*'Plan mensual'!N24+parametros_recargas!$I$98*'Plan mensual'!N25+parametros_recargas!$J$98*'Plan mensual'!N26+parametros_recargas!$K$98*'Plan mensual'!N27+parametros_recargas!$L$98*'Plan mensual'!N28</f>
        <v>414.818938349055</v>
      </c>
      <c r="M28" s="23" t="n">
        <f aca="false">parametros_recargas!$E$98*'Plan mensual'!O21+parametros_recargas!$F$98*'Plan mensual'!O22+parametros_recargas!$G$98*'Plan mensual'!O23+parametros_recargas!$H$98*'Plan mensual'!O24+parametros_recargas!$I$98*'Plan mensual'!O25+parametros_recargas!$J$98*'Plan mensual'!O26+parametros_recargas!$K$98*'Plan mensual'!O27+parametros_recargas!$L$98*'Plan mensual'!O28</f>
        <v>414.818938349055</v>
      </c>
      <c r="N28" s="7" t="n">
        <f aca="false">SUM(B28:M28)</f>
        <v>4977.82726018866</v>
      </c>
      <c r="O28" s="24" t="n">
        <f aca="false">MAX(B28:M28)</f>
        <v>414.818938349055</v>
      </c>
      <c r="P28" s="15" t="n">
        <f aca="false">O28/parametros_recargas!$B$6</f>
        <v>2.7654595889937</v>
      </c>
    </row>
    <row r="29" customFormat="false" ht="15" hidden="false" customHeight="false" outlineLevel="0" collapsed="false">
      <c r="A29" s="12" t="str">
        <f aca="false">parametros_recargas!$B$99</f>
        <v>Inutilización y disposición final</v>
      </c>
      <c r="B29" s="23" t="n">
        <f aca="false">parametros_recargas!$E$99*'Plan mensual'!D21+parametros_recargas!$F$99*'Plan mensual'!D22+parametros_recargas!$G$99*'Plan mensual'!D23+parametros_recargas!$H$99*'Plan mensual'!D24+parametros_recargas!$I$99*'Plan mensual'!D25+parametros_recargas!$J$99*'Plan mensual'!D26+parametros_recargas!$K$99*'Plan mensual'!D27+parametros_recargas!$L$99*'Plan mensual'!D28</f>
        <v>32.6163145500775</v>
      </c>
      <c r="C29" s="23" t="n">
        <f aca="false">parametros_recargas!$E$99*'Plan mensual'!E21+parametros_recargas!$F$99*'Plan mensual'!E22+parametros_recargas!$G$99*'Plan mensual'!E23+parametros_recargas!$H$99*'Plan mensual'!E24+parametros_recargas!$I$99*'Plan mensual'!E25+parametros_recargas!$J$99*'Plan mensual'!E26+parametros_recargas!$K$99*'Plan mensual'!E27+parametros_recargas!$L$99*'Plan mensual'!E28</f>
        <v>32.6163145500775</v>
      </c>
      <c r="D29" s="23" t="n">
        <f aca="false">parametros_recargas!$E$99*'Plan mensual'!F21+parametros_recargas!$F$99*'Plan mensual'!F22+parametros_recargas!$G$99*'Plan mensual'!F23+parametros_recargas!$H$99*'Plan mensual'!F24+parametros_recargas!$I$99*'Plan mensual'!F25+parametros_recargas!$J$99*'Plan mensual'!F26+parametros_recargas!$K$99*'Plan mensual'!F27+parametros_recargas!$L$99*'Plan mensual'!F28</f>
        <v>32.6163145500775</v>
      </c>
      <c r="E29" s="23" t="n">
        <f aca="false">parametros_recargas!$E$99*'Plan mensual'!G21+parametros_recargas!$F$99*'Plan mensual'!G22+parametros_recargas!$G$99*'Plan mensual'!G23+parametros_recargas!$H$99*'Plan mensual'!G24+parametros_recargas!$I$99*'Plan mensual'!G25+parametros_recargas!$J$99*'Plan mensual'!G26+parametros_recargas!$K$99*'Plan mensual'!G27+parametros_recargas!$L$99*'Plan mensual'!G28</f>
        <v>32.6163145500775</v>
      </c>
      <c r="F29" s="23" t="n">
        <f aca="false">parametros_recargas!$E$99*'Plan mensual'!H21+parametros_recargas!$F$99*'Plan mensual'!H22+parametros_recargas!$G$99*'Plan mensual'!H23+parametros_recargas!$H$99*'Plan mensual'!H24+parametros_recargas!$I$99*'Plan mensual'!H25+parametros_recargas!$J$99*'Plan mensual'!H26+parametros_recargas!$K$99*'Plan mensual'!H27+parametros_recargas!$L$99*'Plan mensual'!H28</f>
        <v>32.6163145500775</v>
      </c>
      <c r="G29" s="23" t="n">
        <f aca="false">parametros_recargas!$E$99*'Plan mensual'!I21+parametros_recargas!$F$99*'Plan mensual'!I22+parametros_recargas!$G$99*'Plan mensual'!I23+parametros_recargas!$H$99*'Plan mensual'!I24+parametros_recargas!$I$99*'Plan mensual'!I25+parametros_recargas!$J$99*'Plan mensual'!I26+parametros_recargas!$K$99*'Plan mensual'!I27+parametros_recargas!$L$99*'Plan mensual'!I28</f>
        <v>32.6163145500775</v>
      </c>
      <c r="H29" s="23" t="n">
        <f aca="false">parametros_recargas!$E$99*'Plan mensual'!J21+parametros_recargas!$F$99*'Plan mensual'!J22+parametros_recargas!$G$99*'Plan mensual'!J23+parametros_recargas!$H$99*'Plan mensual'!J24+parametros_recargas!$I$99*'Plan mensual'!J25+parametros_recargas!$J$99*'Plan mensual'!J26+parametros_recargas!$K$99*'Plan mensual'!J27+parametros_recargas!$L$99*'Plan mensual'!J28</f>
        <v>32.6163145500775</v>
      </c>
      <c r="I29" s="23" t="n">
        <f aca="false">parametros_recargas!$E$99*'Plan mensual'!K21+parametros_recargas!$F$99*'Plan mensual'!K22+parametros_recargas!$G$99*'Plan mensual'!K23+parametros_recargas!$H$99*'Plan mensual'!K24+parametros_recargas!$I$99*'Plan mensual'!K25+parametros_recargas!$J$99*'Plan mensual'!K26+parametros_recargas!$K$99*'Plan mensual'!K27+parametros_recargas!$L$99*'Plan mensual'!K28</f>
        <v>32.6163145500775</v>
      </c>
      <c r="J29" s="23" t="n">
        <f aca="false">parametros_recargas!$E$99*'Plan mensual'!L21+parametros_recargas!$F$99*'Plan mensual'!L22+parametros_recargas!$G$99*'Plan mensual'!L23+parametros_recargas!$H$99*'Plan mensual'!L24+parametros_recargas!$I$99*'Plan mensual'!L25+parametros_recargas!$J$99*'Plan mensual'!L26+parametros_recargas!$K$99*'Plan mensual'!L27+parametros_recargas!$L$99*'Plan mensual'!L28</f>
        <v>32.6163145500775</v>
      </c>
      <c r="K29" s="23" t="n">
        <f aca="false">parametros_recargas!$E$99*'Plan mensual'!M21+parametros_recargas!$F$99*'Plan mensual'!M22+parametros_recargas!$G$99*'Plan mensual'!M23+parametros_recargas!$H$99*'Plan mensual'!M24+parametros_recargas!$I$99*'Plan mensual'!M25+parametros_recargas!$J$99*'Plan mensual'!M26+parametros_recargas!$K$99*'Plan mensual'!M27+parametros_recargas!$L$99*'Plan mensual'!M28</f>
        <v>32.6163145500775</v>
      </c>
      <c r="L29" s="23" t="n">
        <f aca="false">parametros_recargas!$E$99*'Plan mensual'!N21+parametros_recargas!$F$99*'Plan mensual'!N22+parametros_recargas!$G$99*'Plan mensual'!N23+parametros_recargas!$H$99*'Plan mensual'!N24+parametros_recargas!$I$99*'Plan mensual'!N25+parametros_recargas!$J$99*'Plan mensual'!N26+parametros_recargas!$K$99*'Plan mensual'!N27+parametros_recargas!$L$99*'Plan mensual'!N28</f>
        <v>32.6163145500775</v>
      </c>
      <c r="M29" s="23" t="n">
        <f aca="false">parametros_recargas!$E$99*'Plan mensual'!O21+parametros_recargas!$F$99*'Plan mensual'!O22+parametros_recargas!$G$99*'Plan mensual'!O23+parametros_recargas!$H$99*'Plan mensual'!O24+parametros_recargas!$I$99*'Plan mensual'!O25+parametros_recargas!$J$99*'Plan mensual'!O26+parametros_recargas!$K$99*'Plan mensual'!O27+parametros_recargas!$L$99*'Plan mensual'!O28</f>
        <v>32.6163145500775</v>
      </c>
      <c r="N29" s="7" t="n">
        <f aca="false">SUM(B29:M29)</f>
        <v>391.395774600931</v>
      </c>
      <c r="O29" s="24" t="n">
        <f aca="false">MAX(B29:M29)</f>
        <v>32.6163145500775</v>
      </c>
      <c r="P29" s="15" t="n">
        <f aca="false">O29/parametros_recargas!$B$6</f>
        <v>0.217442097000517</v>
      </c>
    </row>
    <row r="30" customFormat="false" ht="15" hidden="false" customHeight="false" outlineLevel="0" collapsed="false">
      <c r="A30" s="12" t="str">
        <f aca="false">parametros_recargas!$B$100</f>
        <v>PH de mangueras (CO₂ y rodantes)</v>
      </c>
      <c r="B30" s="23" t="n">
        <f aca="false">'Plan mensual'!D29</f>
        <v>12.2839320701282</v>
      </c>
      <c r="C30" s="23" t="n">
        <f aca="false">'Plan mensual'!E29</f>
        <v>12.2839320701282</v>
      </c>
      <c r="D30" s="23" t="n">
        <f aca="false">'Plan mensual'!F29</f>
        <v>12.2839320701282</v>
      </c>
      <c r="E30" s="23" t="n">
        <f aca="false">'Plan mensual'!G29</f>
        <v>12.2839320701282</v>
      </c>
      <c r="F30" s="23" t="n">
        <f aca="false">'Plan mensual'!H29</f>
        <v>12.2839320701282</v>
      </c>
      <c r="G30" s="23" t="n">
        <f aca="false">'Plan mensual'!I29</f>
        <v>12.2839320701282</v>
      </c>
      <c r="H30" s="23" t="n">
        <f aca="false">'Plan mensual'!J29</f>
        <v>12.2839320701282</v>
      </c>
      <c r="I30" s="23" t="n">
        <f aca="false">'Plan mensual'!K29</f>
        <v>12.2839320701282</v>
      </c>
      <c r="J30" s="23" t="n">
        <f aca="false">'Plan mensual'!L29</f>
        <v>12.2839320701282</v>
      </c>
      <c r="K30" s="23" t="n">
        <f aca="false">'Plan mensual'!M29</f>
        <v>12.2839320701282</v>
      </c>
      <c r="L30" s="23" t="n">
        <f aca="false">'Plan mensual'!N29</f>
        <v>12.2839320701282</v>
      </c>
      <c r="M30" s="23" t="n">
        <f aca="false">'Plan mensual'!O29</f>
        <v>12.2839320701282</v>
      </c>
      <c r="N30" s="7" t="n">
        <f aca="false">SUM(B30:M30)</f>
        <v>147.407184841538</v>
      </c>
      <c r="O30" s="24" t="n">
        <f aca="false">MAX(B30:M30)</f>
        <v>12.2839320701282</v>
      </c>
      <c r="P30" s="15" t="n">
        <f aca="false">O30/parametros_recargas!$B$6</f>
        <v>0.0818928804675213</v>
      </c>
    </row>
    <row r="33" customFormat="false" ht="23.85" hidden="false" customHeight="false" outlineLevel="0" collapsed="false">
      <c r="A33" s="3" t="s">
        <v>276</v>
      </c>
      <c r="B33" s="3" t="s">
        <v>120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125</v>
      </c>
      <c r="H33" s="3" t="s">
        <v>126</v>
      </c>
      <c r="I33" s="3" t="s">
        <v>127</v>
      </c>
      <c r="J33" s="3" t="s">
        <v>128</v>
      </c>
      <c r="K33" s="3" t="s">
        <v>129</v>
      </c>
      <c r="L33" s="3" t="s">
        <v>130</v>
      </c>
      <c r="M33" s="3" t="s">
        <v>131</v>
      </c>
      <c r="N33" s="3" t="s">
        <v>273</v>
      </c>
      <c r="O33" s="3" t="s">
        <v>274</v>
      </c>
      <c r="P33" s="3" t="s">
        <v>275</v>
      </c>
    </row>
    <row r="34" customFormat="false" ht="15" hidden="false" customHeight="false" outlineLevel="0" collapsed="false">
      <c r="A34" s="12" t="str">
        <f aca="false">parametros_recargas!$B$72</f>
        <v>Recepción y registro</v>
      </c>
      <c r="B34" s="23" t="n">
        <f aca="false">parametros_recargas!$E$72*'Plan mensual'!D53+parametros_recargas!$F$72*'Plan mensual'!D54+parametros_recargas!$G$72*'Plan mensual'!D55+parametros_recargas!$H$72*'Plan mensual'!D56+parametros_recargas!$I$72*'Plan mensual'!D57+parametros_recargas!$J$72*'Plan mensual'!D58+parametros_recargas!$K$72*'Plan mensual'!D59+parametros_recargas!$L$72*'Plan mensual'!D60</f>
        <v>1871.47264729046</v>
      </c>
      <c r="C34" s="23" t="n">
        <f aca="false">parametros_recargas!$E$72*'Plan mensual'!E53+parametros_recargas!$F$72*'Plan mensual'!E54+parametros_recargas!$G$72*'Plan mensual'!E55+parametros_recargas!$H$72*'Plan mensual'!E56+parametros_recargas!$I$72*'Plan mensual'!E57+parametros_recargas!$J$72*'Plan mensual'!E58+parametros_recargas!$K$72*'Plan mensual'!E59+parametros_recargas!$L$72*'Plan mensual'!E60</f>
        <v>1871.47264729046</v>
      </c>
      <c r="D34" s="23" t="n">
        <f aca="false">parametros_recargas!$E$72*'Plan mensual'!F53+parametros_recargas!$F$72*'Plan mensual'!F54+parametros_recargas!$G$72*'Plan mensual'!F55+parametros_recargas!$H$72*'Plan mensual'!F56+parametros_recargas!$I$72*'Plan mensual'!F57+parametros_recargas!$J$72*'Plan mensual'!F58+parametros_recargas!$K$72*'Plan mensual'!F59+parametros_recargas!$L$72*'Plan mensual'!F60</f>
        <v>1871.47264729046</v>
      </c>
      <c r="E34" s="23" t="n">
        <f aca="false">parametros_recargas!$E$72*'Plan mensual'!G53+parametros_recargas!$F$72*'Plan mensual'!G54+parametros_recargas!$G$72*'Plan mensual'!G55+parametros_recargas!$H$72*'Plan mensual'!G56+parametros_recargas!$I$72*'Plan mensual'!G57+parametros_recargas!$J$72*'Plan mensual'!G58+parametros_recargas!$K$72*'Plan mensual'!G59+parametros_recargas!$L$72*'Plan mensual'!G60</f>
        <v>1871.47264729046</v>
      </c>
      <c r="F34" s="23" t="n">
        <f aca="false">parametros_recargas!$E$72*'Plan mensual'!H53+parametros_recargas!$F$72*'Plan mensual'!H54+parametros_recargas!$G$72*'Plan mensual'!H55+parametros_recargas!$H$72*'Plan mensual'!H56+parametros_recargas!$I$72*'Plan mensual'!H57+parametros_recargas!$J$72*'Plan mensual'!H58+parametros_recargas!$K$72*'Plan mensual'!H59+parametros_recargas!$L$72*'Plan mensual'!H60</f>
        <v>1871.47264729046</v>
      </c>
      <c r="G34" s="23" t="n">
        <f aca="false">parametros_recargas!$E$72*'Plan mensual'!I53+parametros_recargas!$F$72*'Plan mensual'!I54+parametros_recargas!$G$72*'Plan mensual'!I55+parametros_recargas!$H$72*'Plan mensual'!I56+parametros_recargas!$I$72*'Plan mensual'!I57+parametros_recargas!$J$72*'Plan mensual'!I58+parametros_recargas!$K$72*'Plan mensual'!I59+parametros_recargas!$L$72*'Plan mensual'!I60</f>
        <v>1871.47264729046</v>
      </c>
      <c r="H34" s="23" t="n">
        <f aca="false">parametros_recargas!$E$72*'Plan mensual'!J53+parametros_recargas!$F$72*'Plan mensual'!J54+parametros_recargas!$G$72*'Plan mensual'!J55+parametros_recargas!$H$72*'Plan mensual'!J56+parametros_recargas!$I$72*'Plan mensual'!J57+parametros_recargas!$J$72*'Plan mensual'!J58+parametros_recargas!$K$72*'Plan mensual'!J59+parametros_recargas!$L$72*'Plan mensual'!J60</f>
        <v>1871.47264729046</v>
      </c>
      <c r="I34" s="23" t="n">
        <f aca="false">parametros_recargas!$E$72*'Plan mensual'!K53+parametros_recargas!$F$72*'Plan mensual'!K54+parametros_recargas!$G$72*'Plan mensual'!K55+parametros_recargas!$H$72*'Plan mensual'!K56+parametros_recargas!$I$72*'Plan mensual'!K57+parametros_recargas!$J$72*'Plan mensual'!K58+parametros_recargas!$K$72*'Plan mensual'!K59+parametros_recargas!$L$72*'Plan mensual'!K60</f>
        <v>1871.47264729046</v>
      </c>
      <c r="J34" s="23" t="n">
        <f aca="false">parametros_recargas!$E$72*'Plan mensual'!L53+parametros_recargas!$F$72*'Plan mensual'!L54+parametros_recargas!$G$72*'Plan mensual'!L55+parametros_recargas!$H$72*'Plan mensual'!L56+parametros_recargas!$I$72*'Plan mensual'!L57+parametros_recargas!$J$72*'Plan mensual'!L58+parametros_recargas!$K$72*'Plan mensual'!L59+parametros_recargas!$L$72*'Plan mensual'!L60</f>
        <v>1871.47264729046</v>
      </c>
      <c r="K34" s="23" t="n">
        <f aca="false">parametros_recargas!$E$72*'Plan mensual'!M53+parametros_recargas!$F$72*'Plan mensual'!M54+parametros_recargas!$G$72*'Plan mensual'!M55+parametros_recargas!$H$72*'Plan mensual'!M56+parametros_recargas!$I$72*'Plan mensual'!M57+parametros_recargas!$J$72*'Plan mensual'!M58+parametros_recargas!$K$72*'Plan mensual'!M59+parametros_recargas!$L$72*'Plan mensual'!M60</f>
        <v>1871.47264729046</v>
      </c>
      <c r="L34" s="23" t="n">
        <f aca="false">parametros_recargas!$E$72*'Plan mensual'!N53+parametros_recargas!$F$72*'Plan mensual'!N54+parametros_recargas!$G$72*'Plan mensual'!N55+parametros_recargas!$H$72*'Plan mensual'!N56+parametros_recargas!$I$72*'Plan mensual'!N57+parametros_recargas!$J$72*'Plan mensual'!N58+parametros_recargas!$K$72*'Plan mensual'!N59+parametros_recargas!$L$72*'Plan mensual'!N60</f>
        <v>1871.47264729046</v>
      </c>
      <c r="M34" s="23" t="n">
        <f aca="false">parametros_recargas!$E$72*'Plan mensual'!O53+parametros_recargas!$F$72*'Plan mensual'!O54+parametros_recargas!$G$72*'Plan mensual'!O55+parametros_recargas!$H$72*'Plan mensual'!O56+parametros_recargas!$I$72*'Plan mensual'!O57+parametros_recargas!$J$72*'Plan mensual'!O58+parametros_recargas!$K$72*'Plan mensual'!O59+parametros_recargas!$L$72*'Plan mensual'!O60</f>
        <v>1871.47264729046</v>
      </c>
      <c r="N34" s="7" t="n">
        <f aca="false">SUM(B34:M34)</f>
        <v>22457.6717674855</v>
      </c>
      <c r="O34" s="24" t="n">
        <f aca="false">MAX(B34:M34)</f>
        <v>1871.47264729046</v>
      </c>
      <c r="P34" s="15" t="n">
        <f aca="false">O34/parametros_recargas!$B$6</f>
        <v>12.4764843152697</v>
      </c>
    </row>
    <row r="35" customFormat="false" ht="15" hidden="false" customHeight="false" outlineLevel="0" collapsed="false">
      <c r="A35" s="12" t="str">
        <f aca="false">parametros_recargas!$B$73</f>
        <v>Inspección visual</v>
      </c>
      <c r="B35" s="23" t="n">
        <f aca="false">parametros_recargas!$E$73*'Plan mensual'!D53+parametros_recargas!$F$73*'Plan mensual'!D54+parametros_recargas!$G$73*'Plan mensual'!D55+parametros_recargas!$H$73*'Plan mensual'!D56+parametros_recargas!$I$73*'Plan mensual'!D57+parametros_recargas!$J$73*'Plan mensual'!D58+parametros_recargas!$K$73*'Plan mensual'!D59+parametros_recargas!$L$73*'Plan mensual'!D60</f>
        <v>1871.47264729046</v>
      </c>
      <c r="C35" s="23" t="n">
        <f aca="false">parametros_recargas!$E$73*'Plan mensual'!E53+parametros_recargas!$F$73*'Plan mensual'!E54+parametros_recargas!$G$73*'Plan mensual'!E55+parametros_recargas!$H$73*'Plan mensual'!E56+parametros_recargas!$I$73*'Plan mensual'!E57+parametros_recargas!$J$73*'Plan mensual'!E58+parametros_recargas!$K$73*'Plan mensual'!E59+parametros_recargas!$L$73*'Plan mensual'!E60</f>
        <v>1871.47264729046</v>
      </c>
      <c r="D35" s="23" t="n">
        <f aca="false">parametros_recargas!$E$73*'Plan mensual'!F53+parametros_recargas!$F$73*'Plan mensual'!F54+parametros_recargas!$G$73*'Plan mensual'!F55+parametros_recargas!$H$73*'Plan mensual'!F56+parametros_recargas!$I$73*'Plan mensual'!F57+parametros_recargas!$J$73*'Plan mensual'!F58+parametros_recargas!$K$73*'Plan mensual'!F59+parametros_recargas!$L$73*'Plan mensual'!F60</f>
        <v>1871.47264729046</v>
      </c>
      <c r="E35" s="23" t="n">
        <f aca="false">parametros_recargas!$E$73*'Plan mensual'!G53+parametros_recargas!$F$73*'Plan mensual'!G54+parametros_recargas!$G$73*'Plan mensual'!G55+parametros_recargas!$H$73*'Plan mensual'!G56+parametros_recargas!$I$73*'Plan mensual'!G57+parametros_recargas!$J$73*'Plan mensual'!G58+parametros_recargas!$K$73*'Plan mensual'!G59+parametros_recargas!$L$73*'Plan mensual'!G60</f>
        <v>1871.47264729046</v>
      </c>
      <c r="F35" s="23" t="n">
        <f aca="false">parametros_recargas!$E$73*'Plan mensual'!H53+parametros_recargas!$F$73*'Plan mensual'!H54+parametros_recargas!$G$73*'Plan mensual'!H55+parametros_recargas!$H$73*'Plan mensual'!H56+parametros_recargas!$I$73*'Plan mensual'!H57+parametros_recargas!$J$73*'Plan mensual'!H58+parametros_recargas!$K$73*'Plan mensual'!H59+parametros_recargas!$L$73*'Plan mensual'!H60</f>
        <v>1871.47264729046</v>
      </c>
      <c r="G35" s="23" t="n">
        <f aca="false">parametros_recargas!$E$73*'Plan mensual'!I53+parametros_recargas!$F$73*'Plan mensual'!I54+parametros_recargas!$G$73*'Plan mensual'!I55+parametros_recargas!$H$73*'Plan mensual'!I56+parametros_recargas!$I$73*'Plan mensual'!I57+parametros_recargas!$J$73*'Plan mensual'!I58+parametros_recargas!$K$73*'Plan mensual'!I59+parametros_recargas!$L$73*'Plan mensual'!I60</f>
        <v>1871.47264729046</v>
      </c>
      <c r="H35" s="23" t="n">
        <f aca="false">parametros_recargas!$E$73*'Plan mensual'!J53+parametros_recargas!$F$73*'Plan mensual'!J54+parametros_recargas!$G$73*'Plan mensual'!J55+parametros_recargas!$H$73*'Plan mensual'!J56+parametros_recargas!$I$73*'Plan mensual'!J57+parametros_recargas!$J$73*'Plan mensual'!J58+parametros_recargas!$K$73*'Plan mensual'!J59+parametros_recargas!$L$73*'Plan mensual'!J60</f>
        <v>1871.47264729046</v>
      </c>
      <c r="I35" s="23" t="n">
        <f aca="false">parametros_recargas!$E$73*'Plan mensual'!K53+parametros_recargas!$F$73*'Plan mensual'!K54+parametros_recargas!$G$73*'Plan mensual'!K55+parametros_recargas!$H$73*'Plan mensual'!K56+parametros_recargas!$I$73*'Plan mensual'!K57+parametros_recargas!$J$73*'Plan mensual'!K58+parametros_recargas!$K$73*'Plan mensual'!K59+parametros_recargas!$L$73*'Plan mensual'!K60</f>
        <v>1871.47264729046</v>
      </c>
      <c r="J35" s="23" t="n">
        <f aca="false">parametros_recargas!$E$73*'Plan mensual'!L53+parametros_recargas!$F$73*'Plan mensual'!L54+parametros_recargas!$G$73*'Plan mensual'!L55+parametros_recargas!$H$73*'Plan mensual'!L56+parametros_recargas!$I$73*'Plan mensual'!L57+parametros_recargas!$J$73*'Plan mensual'!L58+parametros_recargas!$K$73*'Plan mensual'!L59+parametros_recargas!$L$73*'Plan mensual'!L60</f>
        <v>1871.47264729046</v>
      </c>
      <c r="K35" s="23" t="n">
        <f aca="false">parametros_recargas!$E$73*'Plan mensual'!M53+parametros_recargas!$F$73*'Plan mensual'!M54+parametros_recargas!$G$73*'Plan mensual'!M55+parametros_recargas!$H$73*'Plan mensual'!M56+parametros_recargas!$I$73*'Plan mensual'!M57+parametros_recargas!$J$73*'Plan mensual'!M58+parametros_recargas!$K$73*'Plan mensual'!M59+parametros_recargas!$L$73*'Plan mensual'!M60</f>
        <v>1871.47264729046</v>
      </c>
      <c r="L35" s="23" t="n">
        <f aca="false">parametros_recargas!$E$73*'Plan mensual'!N53+parametros_recargas!$F$73*'Plan mensual'!N54+parametros_recargas!$G$73*'Plan mensual'!N55+parametros_recargas!$H$73*'Plan mensual'!N56+parametros_recargas!$I$73*'Plan mensual'!N57+parametros_recargas!$J$73*'Plan mensual'!N58+parametros_recargas!$K$73*'Plan mensual'!N59+parametros_recargas!$L$73*'Plan mensual'!N60</f>
        <v>1871.47264729046</v>
      </c>
      <c r="M35" s="23" t="n">
        <f aca="false">parametros_recargas!$E$73*'Plan mensual'!O53+parametros_recargas!$F$73*'Plan mensual'!O54+parametros_recargas!$G$73*'Plan mensual'!O55+parametros_recargas!$H$73*'Plan mensual'!O56+parametros_recargas!$I$73*'Plan mensual'!O57+parametros_recargas!$J$73*'Plan mensual'!O58+parametros_recargas!$K$73*'Plan mensual'!O59+parametros_recargas!$L$73*'Plan mensual'!O60</f>
        <v>1871.47264729046</v>
      </c>
      <c r="N35" s="7" t="n">
        <f aca="false">SUM(B35:M35)</f>
        <v>22457.6717674855</v>
      </c>
      <c r="O35" s="24" t="n">
        <f aca="false">MAX(B35:M35)</f>
        <v>1871.47264729046</v>
      </c>
      <c r="P35" s="15" t="n">
        <f aca="false">O35/parametros_recargas!$B$6</f>
        <v>12.4764843152697</v>
      </c>
    </row>
    <row r="36" customFormat="false" ht="15" hidden="false" customHeight="false" outlineLevel="0" collapsed="false">
      <c r="A36" s="12" t="str">
        <f aca="false">parametros_recargas!$B$74</f>
        <v>Descarga ABC — ruta recuperable</v>
      </c>
      <c r="B36" s="23" t="n">
        <f aca="false">parametros_recargas!$E$74*'Plan mensual'!D53+parametros_recargas!$F$74*'Plan mensual'!D54+parametros_recargas!$G$74*'Plan mensual'!D55+parametros_recargas!$H$74*'Plan mensual'!D56+parametros_recargas!$I$74*'Plan mensual'!D57+parametros_recargas!$J$74*'Plan mensual'!D58+parametros_recargas!$K$74*'Plan mensual'!D59+parametros_recargas!$L$74*'Plan mensual'!D60</f>
        <v>1391.49047481583</v>
      </c>
      <c r="C36" s="23" t="n">
        <f aca="false">parametros_recargas!$E$74*'Plan mensual'!E53+parametros_recargas!$F$74*'Plan mensual'!E54+parametros_recargas!$G$74*'Plan mensual'!E55+parametros_recargas!$H$74*'Plan mensual'!E56+parametros_recargas!$I$74*'Plan mensual'!E57+parametros_recargas!$J$74*'Plan mensual'!E58+parametros_recargas!$K$74*'Plan mensual'!E59+parametros_recargas!$L$74*'Plan mensual'!E60</f>
        <v>1391.49047481583</v>
      </c>
      <c r="D36" s="23" t="n">
        <f aca="false">parametros_recargas!$E$74*'Plan mensual'!F53+parametros_recargas!$F$74*'Plan mensual'!F54+parametros_recargas!$G$74*'Plan mensual'!F55+parametros_recargas!$H$74*'Plan mensual'!F56+parametros_recargas!$I$74*'Plan mensual'!F57+parametros_recargas!$J$74*'Plan mensual'!F58+parametros_recargas!$K$74*'Plan mensual'!F59+parametros_recargas!$L$74*'Plan mensual'!F60</f>
        <v>1391.49047481583</v>
      </c>
      <c r="E36" s="23" t="n">
        <f aca="false">parametros_recargas!$E$74*'Plan mensual'!G53+parametros_recargas!$F$74*'Plan mensual'!G54+parametros_recargas!$G$74*'Plan mensual'!G55+parametros_recargas!$H$74*'Plan mensual'!G56+parametros_recargas!$I$74*'Plan mensual'!G57+parametros_recargas!$J$74*'Plan mensual'!G58+parametros_recargas!$K$74*'Plan mensual'!G59+parametros_recargas!$L$74*'Plan mensual'!G60</f>
        <v>1391.49047481583</v>
      </c>
      <c r="F36" s="23" t="n">
        <f aca="false">parametros_recargas!$E$74*'Plan mensual'!H53+parametros_recargas!$F$74*'Plan mensual'!H54+parametros_recargas!$G$74*'Plan mensual'!H55+parametros_recargas!$H$74*'Plan mensual'!H56+parametros_recargas!$I$74*'Plan mensual'!H57+parametros_recargas!$J$74*'Plan mensual'!H58+parametros_recargas!$K$74*'Plan mensual'!H59+parametros_recargas!$L$74*'Plan mensual'!H60</f>
        <v>1391.49047481583</v>
      </c>
      <c r="G36" s="23" t="n">
        <f aca="false">parametros_recargas!$E$74*'Plan mensual'!I53+parametros_recargas!$F$74*'Plan mensual'!I54+parametros_recargas!$G$74*'Plan mensual'!I55+parametros_recargas!$H$74*'Plan mensual'!I56+parametros_recargas!$I$74*'Plan mensual'!I57+parametros_recargas!$J$74*'Plan mensual'!I58+parametros_recargas!$K$74*'Plan mensual'!I59+parametros_recargas!$L$74*'Plan mensual'!I60</f>
        <v>1391.49047481583</v>
      </c>
      <c r="H36" s="23" t="n">
        <f aca="false">parametros_recargas!$E$74*'Plan mensual'!J53+parametros_recargas!$F$74*'Plan mensual'!J54+parametros_recargas!$G$74*'Plan mensual'!J55+parametros_recargas!$H$74*'Plan mensual'!J56+parametros_recargas!$I$74*'Plan mensual'!J57+parametros_recargas!$J$74*'Plan mensual'!J58+parametros_recargas!$K$74*'Plan mensual'!J59+parametros_recargas!$L$74*'Plan mensual'!J60</f>
        <v>1391.49047481583</v>
      </c>
      <c r="I36" s="23" t="n">
        <f aca="false">parametros_recargas!$E$74*'Plan mensual'!K53+parametros_recargas!$F$74*'Plan mensual'!K54+parametros_recargas!$G$74*'Plan mensual'!K55+parametros_recargas!$H$74*'Plan mensual'!K56+parametros_recargas!$I$74*'Plan mensual'!K57+parametros_recargas!$J$74*'Plan mensual'!K58+parametros_recargas!$K$74*'Plan mensual'!K59+parametros_recargas!$L$74*'Plan mensual'!K60</f>
        <v>1391.49047481583</v>
      </c>
      <c r="J36" s="23" t="n">
        <f aca="false">parametros_recargas!$E$74*'Plan mensual'!L53+parametros_recargas!$F$74*'Plan mensual'!L54+parametros_recargas!$G$74*'Plan mensual'!L55+parametros_recargas!$H$74*'Plan mensual'!L56+parametros_recargas!$I$74*'Plan mensual'!L57+parametros_recargas!$J$74*'Plan mensual'!L58+parametros_recargas!$K$74*'Plan mensual'!L59+parametros_recargas!$L$74*'Plan mensual'!L60</f>
        <v>1391.49047481583</v>
      </c>
      <c r="K36" s="23" t="n">
        <f aca="false">parametros_recargas!$E$74*'Plan mensual'!M53+parametros_recargas!$F$74*'Plan mensual'!M54+parametros_recargas!$G$74*'Plan mensual'!M55+parametros_recargas!$H$74*'Plan mensual'!M56+parametros_recargas!$I$74*'Plan mensual'!M57+parametros_recargas!$J$74*'Plan mensual'!M58+parametros_recargas!$K$74*'Plan mensual'!M59+parametros_recargas!$L$74*'Plan mensual'!M60</f>
        <v>1391.49047481583</v>
      </c>
      <c r="L36" s="23" t="n">
        <f aca="false">parametros_recargas!$E$74*'Plan mensual'!N53+parametros_recargas!$F$74*'Plan mensual'!N54+parametros_recargas!$G$74*'Plan mensual'!N55+parametros_recargas!$H$74*'Plan mensual'!N56+parametros_recargas!$I$74*'Plan mensual'!N57+parametros_recargas!$J$74*'Plan mensual'!N58+parametros_recargas!$K$74*'Plan mensual'!N59+parametros_recargas!$L$74*'Plan mensual'!N60</f>
        <v>1391.49047481583</v>
      </c>
      <c r="M36" s="23" t="n">
        <f aca="false">parametros_recargas!$E$74*'Plan mensual'!O53+parametros_recargas!$F$74*'Plan mensual'!O54+parametros_recargas!$G$74*'Plan mensual'!O55+parametros_recargas!$H$74*'Plan mensual'!O56+parametros_recargas!$I$74*'Plan mensual'!O57+parametros_recargas!$J$74*'Plan mensual'!O58+parametros_recargas!$K$74*'Plan mensual'!O59+parametros_recargas!$L$74*'Plan mensual'!O60</f>
        <v>1391.49047481583</v>
      </c>
      <c r="N36" s="7" t="n">
        <f aca="false">SUM(B36:M36)</f>
        <v>16697.88569779</v>
      </c>
      <c r="O36" s="24" t="n">
        <f aca="false">MAX(B36:M36)</f>
        <v>1391.49047481583</v>
      </c>
      <c r="P36" s="15" t="n">
        <f aca="false">O36/parametros_recargas!$B$6</f>
        <v>9.27660316543889</v>
      </c>
    </row>
    <row r="37" customFormat="false" ht="15" hidden="false" customHeight="false" outlineLevel="0" collapsed="false">
      <c r="A37" s="12" t="str">
        <f aca="false">parametros_recargas!$B$75</f>
        <v>Descarga ABC — ruta descarte</v>
      </c>
      <c r="B37" s="23" t="n">
        <f aca="false">parametros_recargas!$E$75*'Plan mensual'!D53+parametros_recargas!$F$75*'Plan mensual'!D54+parametros_recargas!$G$75*'Plan mensual'!D55+parametros_recargas!$H$75*'Plan mensual'!D56+parametros_recargas!$I$75*'Plan mensual'!D57+parametros_recargas!$J$75*'Plan mensual'!D58+parametros_recargas!$K$75*'Plan mensual'!D59+parametros_recargas!$L$75*'Plan mensual'!D60</f>
        <v>163.704761743039</v>
      </c>
      <c r="C37" s="23" t="n">
        <f aca="false">parametros_recargas!$E$75*'Plan mensual'!E53+parametros_recargas!$F$75*'Plan mensual'!E54+parametros_recargas!$G$75*'Plan mensual'!E55+parametros_recargas!$H$75*'Plan mensual'!E56+parametros_recargas!$I$75*'Plan mensual'!E57+parametros_recargas!$J$75*'Plan mensual'!E58+parametros_recargas!$K$75*'Plan mensual'!E59+parametros_recargas!$L$75*'Plan mensual'!E60</f>
        <v>163.704761743039</v>
      </c>
      <c r="D37" s="23" t="n">
        <f aca="false">parametros_recargas!$E$75*'Plan mensual'!F53+parametros_recargas!$F$75*'Plan mensual'!F54+parametros_recargas!$G$75*'Plan mensual'!F55+parametros_recargas!$H$75*'Plan mensual'!F56+parametros_recargas!$I$75*'Plan mensual'!F57+parametros_recargas!$J$75*'Plan mensual'!F58+parametros_recargas!$K$75*'Plan mensual'!F59+parametros_recargas!$L$75*'Plan mensual'!F60</f>
        <v>163.704761743039</v>
      </c>
      <c r="E37" s="23" t="n">
        <f aca="false">parametros_recargas!$E$75*'Plan mensual'!G53+parametros_recargas!$F$75*'Plan mensual'!G54+parametros_recargas!$G$75*'Plan mensual'!G55+parametros_recargas!$H$75*'Plan mensual'!G56+parametros_recargas!$I$75*'Plan mensual'!G57+parametros_recargas!$J$75*'Plan mensual'!G58+parametros_recargas!$K$75*'Plan mensual'!G59+parametros_recargas!$L$75*'Plan mensual'!G60</f>
        <v>163.704761743039</v>
      </c>
      <c r="F37" s="23" t="n">
        <f aca="false">parametros_recargas!$E$75*'Plan mensual'!H53+parametros_recargas!$F$75*'Plan mensual'!H54+parametros_recargas!$G$75*'Plan mensual'!H55+parametros_recargas!$H$75*'Plan mensual'!H56+parametros_recargas!$I$75*'Plan mensual'!H57+parametros_recargas!$J$75*'Plan mensual'!H58+parametros_recargas!$K$75*'Plan mensual'!H59+parametros_recargas!$L$75*'Plan mensual'!H60</f>
        <v>163.704761743039</v>
      </c>
      <c r="G37" s="23" t="n">
        <f aca="false">parametros_recargas!$E$75*'Plan mensual'!I53+parametros_recargas!$F$75*'Plan mensual'!I54+parametros_recargas!$G$75*'Plan mensual'!I55+parametros_recargas!$H$75*'Plan mensual'!I56+parametros_recargas!$I$75*'Plan mensual'!I57+parametros_recargas!$J$75*'Plan mensual'!I58+parametros_recargas!$K$75*'Plan mensual'!I59+parametros_recargas!$L$75*'Plan mensual'!I60</f>
        <v>163.704761743039</v>
      </c>
      <c r="H37" s="23" t="n">
        <f aca="false">parametros_recargas!$E$75*'Plan mensual'!J53+parametros_recargas!$F$75*'Plan mensual'!J54+parametros_recargas!$G$75*'Plan mensual'!J55+parametros_recargas!$H$75*'Plan mensual'!J56+parametros_recargas!$I$75*'Plan mensual'!J57+parametros_recargas!$J$75*'Plan mensual'!J58+parametros_recargas!$K$75*'Plan mensual'!J59+parametros_recargas!$L$75*'Plan mensual'!J60</f>
        <v>163.704761743039</v>
      </c>
      <c r="I37" s="23" t="n">
        <f aca="false">parametros_recargas!$E$75*'Plan mensual'!K53+parametros_recargas!$F$75*'Plan mensual'!K54+parametros_recargas!$G$75*'Plan mensual'!K55+parametros_recargas!$H$75*'Plan mensual'!K56+parametros_recargas!$I$75*'Plan mensual'!K57+parametros_recargas!$J$75*'Plan mensual'!K58+parametros_recargas!$K$75*'Plan mensual'!K59+parametros_recargas!$L$75*'Plan mensual'!K60</f>
        <v>163.704761743039</v>
      </c>
      <c r="J37" s="23" t="n">
        <f aca="false">parametros_recargas!$E$75*'Plan mensual'!L53+parametros_recargas!$F$75*'Plan mensual'!L54+parametros_recargas!$G$75*'Plan mensual'!L55+parametros_recargas!$H$75*'Plan mensual'!L56+parametros_recargas!$I$75*'Plan mensual'!L57+parametros_recargas!$J$75*'Plan mensual'!L58+parametros_recargas!$K$75*'Plan mensual'!L59+parametros_recargas!$L$75*'Plan mensual'!L60</f>
        <v>163.704761743039</v>
      </c>
      <c r="K37" s="23" t="n">
        <f aca="false">parametros_recargas!$E$75*'Plan mensual'!M53+parametros_recargas!$F$75*'Plan mensual'!M54+parametros_recargas!$G$75*'Plan mensual'!M55+parametros_recargas!$H$75*'Plan mensual'!M56+parametros_recargas!$I$75*'Plan mensual'!M57+parametros_recargas!$J$75*'Plan mensual'!M58+parametros_recargas!$K$75*'Plan mensual'!M59+parametros_recargas!$L$75*'Plan mensual'!M60</f>
        <v>163.704761743039</v>
      </c>
      <c r="L37" s="23" t="n">
        <f aca="false">parametros_recargas!$E$75*'Plan mensual'!N53+parametros_recargas!$F$75*'Plan mensual'!N54+parametros_recargas!$G$75*'Plan mensual'!N55+parametros_recargas!$H$75*'Plan mensual'!N56+parametros_recargas!$I$75*'Plan mensual'!N57+parametros_recargas!$J$75*'Plan mensual'!N58+parametros_recargas!$K$75*'Plan mensual'!N59+parametros_recargas!$L$75*'Plan mensual'!N60</f>
        <v>163.704761743039</v>
      </c>
      <c r="M37" s="23" t="n">
        <f aca="false">parametros_recargas!$E$75*'Plan mensual'!O53+parametros_recargas!$F$75*'Plan mensual'!O54+parametros_recargas!$G$75*'Plan mensual'!O55+parametros_recargas!$H$75*'Plan mensual'!O56+parametros_recargas!$I$75*'Plan mensual'!O57+parametros_recargas!$J$75*'Plan mensual'!O58+parametros_recargas!$K$75*'Plan mensual'!O59+parametros_recargas!$L$75*'Plan mensual'!O60</f>
        <v>163.704761743039</v>
      </c>
      <c r="N37" s="7" t="n">
        <f aca="false">SUM(B37:M37)</f>
        <v>1964.45714091647</v>
      </c>
      <c r="O37" s="24" t="n">
        <f aca="false">MAX(B37:M37)</f>
        <v>163.704761743039</v>
      </c>
      <c r="P37" s="15" t="n">
        <f aca="false">O37/parametros_recargas!$B$6</f>
        <v>1.09136507828693</v>
      </c>
    </row>
    <row r="38" customFormat="false" ht="15" hidden="false" customHeight="false" outlineLevel="0" collapsed="false">
      <c r="A38" s="12" t="str">
        <f aca="false">parametros_recargas!$B$76</f>
        <v>Descarga BC</v>
      </c>
      <c r="B38" s="23" t="n">
        <f aca="false">parametros_recargas!$E$76*'Plan mensual'!D53+parametros_recargas!$F$76*'Plan mensual'!D54+parametros_recargas!$G$76*'Plan mensual'!D55+parametros_recargas!$H$76*'Plan mensual'!D56+parametros_recargas!$I$76*'Plan mensual'!D57+parametros_recargas!$J$76*'Plan mensual'!D58+parametros_recargas!$K$76*'Plan mensual'!D59+parametros_recargas!$L$76*'Plan mensual'!D60</f>
        <v>2.87541022411688</v>
      </c>
      <c r="C38" s="23" t="n">
        <f aca="false">parametros_recargas!$E$76*'Plan mensual'!E53+parametros_recargas!$F$76*'Plan mensual'!E54+parametros_recargas!$G$76*'Plan mensual'!E55+parametros_recargas!$H$76*'Plan mensual'!E56+parametros_recargas!$I$76*'Plan mensual'!E57+parametros_recargas!$J$76*'Plan mensual'!E58+parametros_recargas!$K$76*'Plan mensual'!E59+parametros_recargas!$L$76*'Plan mensual'!E60</f>
        <v>2.87541022411688</v>
      </c>
      <c r="D38" s="23" t="n">
        <f aca="false">parametros_recargas!$E$76*'Plan mensual'!F53+parametros_recargas!$F$76*'Plan mensual'!F54+parametros_recargas!$G$76*'Plan mensual'!F55+parametros_recargas!$H$76*'Plan mensual'!F56+parametros_recargas!$I$76*'Plan mensual'!F57+parametros_recargas!$J$76*'Plan mensual'!F58+parametros_recargas!$K$76*'Plan mensual'!F59+parametros_recargas!$L$76*'Plan mensual'!F60</f>
        <v>2.87541022411688</v>
      </c>
      <c r="E38" s="23" t="n">
        <f aca="false">parametros_recargas!$E$76*'Plan mensual'!G53+parametros_recargas!$F$76*'Plan mensual'!G54+parametros_recargas!$G$76*'Plan mensual'!G55+parametros_recargas!$H$76*'Plan mensual'!G56+parametros_recargas!$I$76*'Plan mensual'!G57+parametros_recargas!$J$76*'Plan mensual'!G58+parametros_recargas!$K$76*'Plan mensual'!G59+parametros_recargas!$L$76*'Plan mensual'!G60</f>
        <v>2.87541022411688</v>
      </c>
      <c r="F38" s="23" t="n">
        <f aca="false">parametros_recargas!$E$76*'Plan mensual'!H53+parametros_recargas!$F$76*'Plan mensual'!H54+parametros_recargas!$G$76*'Plan mensual'!H55+parametros_recargas!$H$76*'Plan mensual'!H56+parametros_recargas!$I$76*'Plan mensual'!H57+parametros_recargas!$J$76*'Plan mensual'!H58+parametros_recargas!$K$76*'Plan mensual'!H59+parametros_recargas!$L$76*'Plan mensual'!H60</f>
        <v>2.87541022411688</v>
      </c>
      <c r="G38" s="23" t="n">
        <f aca="false">parametros_recargas!$E$76*'Plan mensual'!I53+parametros_recargas!$F$76*'Plan mensual'!I54+parametros_recargas!$G$76*'Plan mensual'!I55+parametros_recargas!$H$76*'Plan mensual'!I56+parametros_recargas!$I$76*'Plan mensual'!I57+parametros_recargas!$J$76*'Plan mensual'!I58+parametros_recargas!$K$76*'Plan mensual'!I59+parametros_recargas!$L$76*'Plan mensual'!I60</f>
        <v>2.87541022411688</v>
      </c>
      <c r="H38" s="23" t="n">
        <f aca="false">parametros_recargas!$E$76*'Plan mensual'!J53+parametros_recargas!$F$76*'Plan mensual'!J54+parametros_recargas!$G$76*'Plan mensual'!J55+parametros_recargas!$H$76*'Plan mensual'!J56+parametros_recargas!$I$76*'Plan mensual'!J57+parametros_recargas!$J$76*'Plan mensual'!J58+parametros_recargas!$K$76*'Plan mensual'!J59+parametros_recargas!$L$76*'Plan mensual'!J60</f>
        <v>2.87541022411688</v>
      </c>
      <c r="I38" s="23" t="n">
        <f aca="false">parametros_recargas!$E$76*'Plan mensual'!K53+parametros_recargas!$F$76*'Plan mensual'!K54+parametros_recargas!$G$76*'Plan mensual'!K55+parametros_recargas!$H$76*'Plan mensual'!K56+parametros_recargas!$I$76*'Plan mensual'!K57+parametros_recargas!$J$76*'Plan mensual'!K58+parametros_recargas!$K$76*'Plan mensual'!K59+parametros_recargas!$L$76*'Plan mensual'!K60</f>
        <v>2.87541022411688</v>
      </c>
      <c r="J38" s="23" t="n">
        <f aca="false">parametros_recargas!$E$76*'Plan mensual'!L53+parametros_recargas!$F$76*'Plan mensual'!L54+parametros_recargas!$G$76*'Plan mensual'!L55+parametros_recargas!$H$76*'Plan mensual'!L56+parametros_recargas!$I$76*'Plan mensual'!L57+parametros_recargas!$J$76*'Plan mensual'!L58+parametros_recargas!$K$76*'Plan mensual'!L59+parametros_recargas!$L$76*'Plan mensual'!L60</f>
        <v>2.87541022411688</v>
      </c>
      <c r="K38" s="23" t="n">
        <f aca="false">parametros_recargas!$E$76*'Plan mensual'!M53+parametros_recargas!$F$76*'Plan mensual'!M54+parametros_recargas!$G$76*'Plan mensual'!M55+parametros_recargas!$H$76*'Plan mensual'!M56+parametros_recargas!$I$76*'Plan mensual'!M57+parametros_recargas!$J$76*'Plan mensual'!M58+parametros_recargas!$K$76*'Plan mensual'!M59+parametros_recargas!$L$76*'Plan mensual'!M60</f>
        <v>2.87541022411688</v>
      </c>
      <c r="L38" s="23" t="n">
        <f aca="false">parametros_recargas!$E$76*'Plan mensual'!N53+parametros_recargas!$F$76*'Plan mensual'!N54+parametros_recargas!$G$76*'Plan mensual'!N55+parametros_recargas!$H$76*'Plan mensual'!N56+parametros_recargas!$I$76*'Plan mensual'!N57+parametros_recargas!$J$76*'Plan mensual'!N58+parametros_recargas!$K$76*'Plan mensual'!N59+parametros_recargas!$L$76*'Plan mensual'!N60</f>
        <v>2.87541022411688</v>
      </c>
      <c r="M38" s="23" t="n">
        <f aca="false">parametros_recargas!$E$76*'Plan mensual'!O53+parametros_recargas!$F$76*'Plan mensual'!O54+parametros_recargas!$G$76*'Plan mensual'!O55+parametros_recargas!$H$76*'Plan mensual'!O56+parametros_recargas!$I$76*'Plan mensual'!O57+parametros_recargas!$J$76*'Plan mensual'!O58+parametros_recargas!$K$76*'Plan mensual'!O59+parametros_recargas!$L$76*'Plan mensual'!O60</f>
        <v>2.87541022411688</v>
      </c>
      <c r="N38" s="7" t="n">
        <f aca="false">SUM(B38:M38)</f>
        <v>34.5049226894026</v>
      </c>
      <c r="O38" s="24" t="n">
        <f aca="false">MAX(B38:M38)</f>
        <v>2.87541022411688</v>
      </c>
      <c r="P38" s="15" t="n">
        <f aca="false">O38/parametros_recargas!$B$6</f>
        <v>0.0191694014941125</v>
      </c>
    </row>
    <row r="39" customFormat="false" ht="15" hidden="false" customHeight="false" outlineLevel="0" collapsed="false">
      <c r="A39" s="12" t="str">
        <f aca="false">parametros_recargas!$B$77</f>
        <v>Descarga de agua / AFFF / sales K</v>
      </c>
      <c r="B39" s="23" t="n">
        <f aca="false">parametros_recargas!$E$77*'Plan mensual'!D53+parametros_recargas!$F$77*'Plan mensual'!D54+parametros_recargas!$G$77*'Plan mensual'!D55+parametros_recargas!$H$77*'Plan mensual'!D56+parametros_recargas!$I$77*'Plan mensual'!D57+parametros_recargas!$J$77*'Plan mensual'!D58+parametros_recargas!$K$77*'Plan mensual'!D59+parametros_recargas!$L$77*'Plan mensual'!D60</f>
        <v>82.9345918794691</v>
      </c>
      <c r="C39" s="23" t="n">
        <f aca="false">parametros_recargas!$E$77*'Plan mensual'!E53+parametros_recargas!$F$77*'Plan mensual'!E54+parametros_recargas!$G$77*'Plan mensual'!E55+parametros_recargas!$H$77*'Plan mensual'!E56+parametros_recargas!$I$77*'Plan mensual'!E57+parametros_recargas!$J$77*'Plan mensual'!E58+parametros_recargas!$K$77*'Plan mensual'!E59+parametros_recargas!$L$77*'Plan mensual'!E60</f>
        <v>82.9345918794691</v>
      </c>
      <c r="D39" s="23" t="n">
        <f aca="false">parametros_recargas!$E$77*'Plan mensual'!F53+parametros_recargas!$F$77*'Plan mensual'!F54+parametros_recargas!$G$77*'Plan mensual'!F55+parametros_recargas!$H$77*'Plan mensual'!F56+parametros_recargas!$I$77*'Plan mensual'!F57+parametros_recargas!$J$77*'Plan mensual'!F58+parametros_recargas!$K$77*'Plan mensual'!F59+parametros_recargas!$L$77*'Plan mensual'!F60</f>
        <v>82.9345918794691</v>
      </c>
      <c r="E39" s="23" t="n">
        <f aca="false">parametros_recargas!$E$77*'Plan mensual'!G53+parametros_recargas!$F$77*'Plan mensual'!G54+parametros_recargas!$G$77*'Plan mensual'!G55+parametros_recargas!$H$77*'Plan mensual'!G56+parametros_recargas!$I$77*'Plan mensual'!G57+parametros_recargas!$J$77*'Plan mensual'!G58+parametros_recargas!$K$77*'Plan mensual'!G59+parametros_recargas!$L$77*'Plan mensual'!G60</f>
        <v>82.9345918794691</v>
      </c>
      <c r="F39" s="23" t="n">
        <f aca="false">parametros_recargas!$E$77*'Plan mensual'!H53+parametros_recargas!$F$77*'Plan mensual'!H54+parametros_recargas!$G$77*'Plan mensual'!H55+parametros_recargas!$H$77*'Plan mensual'!H56+parametros_recargas!$I$77*'Plan mensual'!H57+parametros_recargas!$J$77*'Plan mensual'!H58+parametros_recargas!$K$77*'Plan mensual'!H59+parametros_recargas!$L$77*'Plan mensual'!H60</f>
        <v>82.9345918794691</v>
      </c>
      <c r="G39" s="23" t="n">
        <f aca="false">parametros_recargas!$E$77*'Plan mensual'!I53+parametros_recargas!$F$77*'Plan mensual'!I54+parametros_recargas!$G$77*'Plan mensual'!I55+parametros_recargas!$H$77*'Plan mensual'!I56+parametros_recargas!$I$77*'Plan mensual'!I57+parametros_recargas!$J$77*'Plan mensual'!I58+parametros_recargas!$K$77*'Plan mensual'!I59+parametros_recargas!$L$77*'Plan mensual'!I60</f>
        <v>82.9345918794691</v>
      </c>
      <c r="H39" s="23" t="n">
        <f aca="false">parametros_recargas!$E$77*'Plan mensual'!J53+parametros_recargas!$F$77*'Plan mensual'!J54+parametros_recargas!$G$77*'Plan mensual'!J55+parametros_recargas!$H$77*'Plan mensual'!J56+parametros_recargas!$I$77*'Plan mensual'!J57+parametros_recargas!$J$77*'Plan mensual'!J58+parametros_recargas!$K$77*'Plan mensual'!J59+parametros_recargas!$L$77*'Plan mensual'!J60</f>
        <v>82.9345918794691</v>
      </c>
      <c r="I39" s="23" t="n">
        <f aca="false">parametros_recargas!$E$77*'Plan mensual'!K53+parametros_recargas!$F$77*'Plan mensual'!K54+parametros_recargas!$G$77*'Plan mensual'!K55+parametros_recargas!$H$77*'Plan mensual'!K56+parametros_recargas!$I$77*'Plan mensual'!K57+parametros_recargas!$J$77*'Plan mensual'!K58+parametros_recargas!$K$77*'Plan mensual'!K59+parametros_recargas!$L$77*'Plan mensual'!K60</f>
        <v>82.9345918794691</v>
      </c>
      <c r="J39" s="23" t="n">
        <f aca="false">parametros_recargas!$E$77*'Plan mensual'!L53+parametros_recargas!$F$77*'Plan mensual'!L54+parametros_recargas!$G$77*'Plan mensual'!L55+parametros_recargas!$H$77*'Plan mensual'!L56+parametros_recargas!$I$77*'Plan mensual'!L57+parametros_recargas!$J$77*'Plan mensual'!L58+parametros_recargas!$K$77*'Plan mensual'!L59+parametros_recargas!$L$77*'Plan mensual'!L60</f>
        <v>82.9345918794691</v>
      </c>
      <c r="K39" s="23" t="n">
        <f aca="false">parametros_recargas!$E$77*'Plan mensual'!M53+parametros_recargas!$F$77*'Plan mensual'!M54+parametros_recargas!$G$77*'Plan mensual'!M55+parametros_recargas!$H$77*'Plan mensual'!M56+parametros_recargas!$I$77*'Plan mensual'!M57+parametros_recargas!$J$77*'Plan mensual'!M58+parametros_recargas!$K$77*'Plan mensual'!M59+parametros_recargas!$L$77*'Plan mensual'!M60</f>
        <v>82.9345918794691</v>
      </c>
      <c r="L39" s="23" t="n">
        <f aca="false">parametros_recargas!$E$77*'Plan mensual'!N53+parametros_recargas!$F$77*'Plan mensual'!N54+parametros_recargas!$G$77*'Plan mensual'!N55+parametros_recargas!$H$77*'Plan mensual'!N56+parametros_recargas!$I$77*'Plan mensual'!N57+parametros_recargas!$J$77*'Plan mensual'!N58+parametros_recargas!$K$77*'Plan mensual'!N59+parametros_recargas!$L$77*'Plan mensual'!N60</f>
        <v>82.9345918794691</v>
      </c>
      <c r="M39" s="23" t="n">
        <f aca="false">parametros_recargas!$E$77*'Plan mensual'!O53+parametros_recargas!$F$77*'Plan mensual'!O54+parametros_recargas!$G$77*'Plan mensual'!O55+parametros_recargas!$H$77*'Plan mensual'!O56+parametros_recargas!$I$77*'Plan mensual'!O57+parametros_recargas!$J$77*'Plan mensual'!O58+parametros_recargas!$K$77*'Plan mensual'!O59+parametros_recargas!$L$77*'Plan mensual'!O60</f>
        <v>82.9345918794691</v>
      </c>
      <c r="N39" s="7" t="n">
        <f aca="false">SUM(B39:M39)</f>
        <v>995.215102553629</v>
      </c>
      <c r="O39" s="24" t="n">
        <f aca="false">MAX(B39:M39)</f>
        <v>82.9345918794691</v>
      </c>
      <c r="P39" s="15" t="n">
        <f aca="false">O39/parametros_recargas!$B$6</f>
        <v>0.552897279196461</v>
      </c>
    </row>
    <row r="40" customFormat="false" ht="15" hidden="false" customHeight="false" outlineLevel="0" collapsed="false">
      <c r="A40" s="12" t="str">
        <f aca="false">parametros_recargas!$B$78</f>
        <v>Recuperación de CO₂</v>
      </c>
      <c r="B40" s="23" t="n">
        <f aca="false">parametros_recargas!$E$78*'Plan mensual'!D53+parametros_recargas!$F$78*'Plan mensual'!D54+parametros_recargas!$G$78*'Plan mensual'!D55+parametros_recargas!$H$78*'Plan mensual'!D56+parametros_recargas!$I$78*'Plan mensual'!D57+parametros_recargas!$J$78*'Plan mensual'!D58+parametros_recargas!$K$78*'Plan mensual'!D59+parametros_recargas!$L$78*'Plan mensual'!D60</f>
        <v>34.7521756232985</v>
      </c>
      <c r="C40" s="23" t="n">
        <f aca="false">parametros_recargas!$E$78*'Plan mensual'!E53+parametros_recargas!$F$78*'Plan mensual'!E54+parametros_recargas!$G$78*'Plan mensual'!E55+parametros_recargas!$H$78*'Plan mensual'!E56+parametros_recargas!$I$78*'Plan mensual'!E57+parametros_recargas!$J$78*'Plan mensual'!E58+parametros_recargas!$K$78*'Plan mensual'!E59+parametros_recargas!$L$78*'Plan mensual'!E60</f>
        <v>34.7521756232985</v>
      </c>
      <c r="D40" s="23" t="n">
        <f aca="false">parametros_recargas!$E$78*'Plan mensual'!F53+parametros_recargas!$F$78*'Plan mensual'!F54+parametros_recargas!$G$78*'Plan mensual'!F55+parametros_recargas!$H$78*'Plan mensual'!F56+parametros_recargas!$I$78*'Plan mensual'!F57+parametros_recargas!$J$78*'Plan mensual'!F58+parametros_recargas!$K$78*'Plan mensual'!F59+parametros_recargas!$L$78*'Plan mensual'!F60</f>
        <v>34.7521756232985</v>
      </c>
      <c r="E40" s="23" t="n">
        <f aca="false">parametros_recargas!$E$78*'Plan mensual'!G53+parametros_recargas!$F$78*'Plan mensual'!G54+parametros_recargas!$G$78*'Plan mensual'!G55+parametros_recargas!$H$78*'Plan mensual'!G56+parametros_recargas!$I$78*'Plan mensual'!G57+parametros_recargas!$J$78*'Plan mensual'!G58+parametros_recargas!$K$78*'Plan mensual'!G59+parametros_recargas!$L$78*'Plan mensual'!G60</f>
        <v>34.7521756232985</v>
      </c>
      <c r="F40" s="23" t="n">
        <f aca="false">parametros_recargas!$E$78*'Plan mensual'!H53+parametros_recargas!$F$78*'Plan mensual'!H54+parametros_recargas!$G$78*'Plan mensual'!H55+parametros_recargas!$H$78*'Plan mensual'!H56+parametros_recargas!$I$78*'Plan mensual'!H57+parametros_recargas!$J$78*'Plan mensual'!H58+parametros_recargas!$K$78*'Plan mensual'!H59+parametros_recargas!$L$78*'Plan mensual'!H60</f>
        <v>34.7521756232985</v>
      </c>
      <c r="G40" s="23" t="n">
        <f aca="false">parametros_recargas!$E$78*'Plan mensual'!I53+parametros_recargas!$F$78*'Plan mensual'!I54+parametros_recargas!$G$78*'Plan mensual'!I55+parametros_recargas!$H$78*'Plan mensual'!I56+parametros_recargas!$I$78*'Plan mensual'!I57+parametros_recargas!$J$78*'Plan mensual'!I58+parametros_recargas!$K$78*'Plan mensual'!I59+parametros_recargas!$L$78*'Plan mensual'!I60</f>
        <v>34.7521756232985</v>
      </c>
      <c r="H40" s="23" t="n">
        <f aca="false">parametros_recargas!$E$78*'Plan mensual'!J53+parametros_recargas!$F$78*'Plan mensual'!J54+parametros_recargas!$G$78*'Plan mensual'!J55+parametros_recargas!$H$78*'Plan mensual'!J56+parametros_recargas!$I$78*'Plan mensual'!J57+parametros_recargas!$J$78*'Plan mensual'!J58+parametros_recargas!$K$78*'Plan mensual'!J59+parametros_recargas!$L$78*'Plan mensual'!J60</f>
        <v>34.7521756232985</v>
      </c>
      <c r="I40" s="23" t="n">
        <f aca="false">parametros_recargas!$E$78*'Plan mensual'!K53+parametros_recargas!$F$78*'Plan mensual'!K54+parametros_recargas!$G$78*'Plan mensual'!K55+parametros_recargas!$H$78*'Plan mensual'!K56+parametros_recargas!$I$78*'Plan mensual'!K57+parametros_recargas!$J$78*'Plan mensual'!K58+parametros_recargas!$K$78*'Plan mensual'!K59+parametros_recargas!$L$78*'Plan mensual'!K60</f>
        <v>34.7521756232985</v>
      </c>
      <c r="J40" s="23" t="n">
        <f aca="false">parametros_recargas!$E$78*'Plan mensual'!L53+parametros_recargas!$F$78*'Plan mensual'!L54+parametros_recargas!$G$78*'Plan mensual'!L55+parametros_recargas!$H$78*'Plan mensual'!L56+parametros_recargas!$I$78*'Plan mensual'!L57+parametros_recargas!$J$78*'Plan mensual'!L58+parametros_recargas!$K$78*'Plan mensual'!L59+parametros_recargas!$L$78*'Plan mensual'!L60</f>
        <v>34.7521756232985</v>
      </c>
      <c r="K40" s="23" t="n">
        <f aca="false">parametros_recargas!$E$78*'Plan mensual'!M53+parametros_recargas!$F$78*'Plan mensual'!M54+parametros_recargas!$G$78*'Plan mensual'!M55+parametros_recargas!$H$78*'Plan mensual'!M56+parametros_recargas!$I$78*'Plan mensual'!M57+parametros_recargas!$J$78*'Plan mensual'!M58+parametros_recargas!$K$78*'Plan mensual'!M59+parametros_recargas!$L$78*'Plan mensual'!M60</f>
        <v>34.7521756232985</v>
      </c>
      <c r="L40" s="23" t="n">
        <f aca="false">parametros_recargas!$E$78*'Plan mensual'!N53+parametros_recargas!$F$78*'Plan mensual'!N54+parametros_recargas!$G$78*'Plan mensual'!N55+parametros_recargas!$H$78*'Plan mensual'!N56+parametros_recargas!$I$78*'Plan mensual'!N57+parametros_recargas!$J$78*'Plan mensual'!N58+parametros_recargas!$K$78*'Plan mensual'!N59+parametros_recargas!$L$78*'Plan mensual'!N60</f>
        <v>34.7521756232985</v>
      </c>
      <c r="M40" s="23" t="n">
        <f aca="false">parametros_recargas!$E$78*'Plan mensual'!O53+parametros_recargas!$F$78*'Plan mensual'!O54+parametros_recargas!$G$78*'Plan mensual'!O55+parametros_recargas!$H$78*'Plan mensual'!O56+parametros_recargas!$I$78*'Plan mensual'!O57+parametros_recargas!$J$78*'Plan mensual'!O58+parametros_recargas!$K$78*'Plan mensual'!O59+parametros_recargas!$L$78*'Plan mensual'!O60</f>
        <v>34.7521756232985</v>
      </c>
      <c r="N40" s="7" t="n">
        <f aca="false">SUM(B40:M40)</f>
        <v>417.026107479582</v>
      </c>
      <c r="O40" s="24" t="n">
        <f aca="false">MAX(B40:M40)</f>
        <v>34.7521756232985</v>
      </c>
      <c r="P40" s="15" t="n">
        <f aca="false">O40/parametros_recargas!$B$6</f>
        <v>0.23168117082199</v>
      </c>
    </row>
    <row r="41" customFormat="false" ht="15" hidden="false" customHeight="false" outlineLevel="0" collapsed="false">
      <c r="A41" s="12" t="str">
        <f aca="false">parametros_recargas!$B$79</f>
        <v>Recuperación de halogenado</v>
      </c>
      <c r="B41" s="23" t="n">
        <f aca="false">parametros_recargas!$E$79*'Plan mensual'!D53+parametros_recargas!$F$79*'Plan mensual'!D54+parametros_recargas!$G$79*'Plan mensual'!D55+parametros_recargas!$H$79*'Plan mensual'!D56+parametros_recargas!$I$79*'Plan mensual'!D57+parametros_recargas!$J$79*'Plan mensual'!D58+parametros_recargas!$K$79*'Plan mensual'!D59+parametros_recargas!$L$79*'Plan mensual'!D60</f>
        <v>1.68272875979221</v>
      </c>
      <c r="C41" s="23" t="n">
        <f aca="false">parametros_recargas!$E$79*'Plan mensual'!E53+parametros_recargas!$F$79*'Plan mensual'!E54+parametros_recargas!$G$79*'Plan mensual'!E55+parametros_recargas!$H$79*'Plan mensual'!E56+parametros_recargas!$I$79*'Plan mensual'!E57+parametros_recargas!$J$79*'Plan mensual'!E58+parametros_recargas!$K$79*'Plan mensual'!E59+parametros_recargas!$L$79*'Plan mensual'!E60</f>
        <v>1.68272875979221</v>
      </c>
      <c r="D41" s="23" t="n">
        <f aca="false">parametros_recargas!$E$79*'Plan mensual'!F53+parametros_recargas!$F$79*'Plan mensual'!F54+parametros_recargas!$G$79*'Plan mensual'!F55+parametros_recargas!$H$79*'Plan mensual'!F56+parametros_recargas!$I$79*'Plan mensual'!F57+parametros_recargas!$J$79*'Plan mensual'!F58+parametros_recargas!$K$79*'Plan mensual'!F59+parametros_recargas!$L$79*'Plan mensual'!F60</f>
        <v>1.68272875979221</v>
      </c>
      <c r="E41" s="23" t="n">
        <f aca="false">parametros_recargas!$E$79*'Plan mensual'!G53+parametros_recargas!$F$79*'Plan mensual'!G54+parametros_recargas!$G$79*'Plan mensual'!G55+parametros_recargas!$H$79*'Plan mensual'!G56+parametros_recargas!$I$79*'Plan mensual'!G57+parametros_recargas!$J$79*'Plan mensual'!G58+parametros_recargas!$K$79*'Plan mensual'!G59+parametros_recargas!$L$79*'Plan mensual'!G60</f>
        <v>1.68272875979221</v>
      </c>
      <c r="F41" s="23" t="n">
        <f aca="false">parametros_recargas!$E$79*'Plan mensual'!H53+parametros_recargas!$F$79*'Plan mensual'!H54+parametros_recargas!$G$79*'Plan mensual'!H55+parametros_recargas!$H$79*'Plan mensual'!H56+parametros_recargas!$I$79*'Plan mensual'!H57+parametros_recargas!$J$79*'Plan mensual'!H58+parametros_recargas!$K$79*'Plan mensual'!H59+parametros_recargas!$L$79*'Plan mensual'!H60</f>
        <v>1.68272875979221</v>
      </c>
      <c r="G41" s="23" t="n">
        <f aca="false">parametros_recargas!$E$79*'Plan mensual'!I53+parametros_recargas!$F$79*'Plan mensual'!I54+parametros_recargas!$G$79*'Plan mensual'!I55+parametros_recargas!$H$79*'Plan mensual'!I56+parametros_recargas!$I$79*'Plan mensual'!I57+parametros_recargas!$J$79*'Plan mensual'!I58+parametros_recargas!$K$79*'Plan mensual'!I59+parametros_recargas!$L$79*'Plan mensual'!I60</f>
        <v>1.68272875979221</v>
      </c>
      <c r="H41" s="23" t="n">
        <f aca="false">parametros_recargas!$E$79*'Plan mensual'!J53+parametros_recargas!$F$79*'Plan mensual'!J54+parametros_recargas!$G$79*'Plan mensual'!J55+parametros_recargas!$H$79*'Plan mensual'!J56+parametros_recargas!$I$79*'Plan mensual'!J57+parametros_recargas!$J$79*'Plan mensual'!J58+parametros_recargas!$K$79*'Plan mensual'!J59+parametros_recargas!$L$79*'Plan mensual'!J60</f>
        <v>1.68272875979221</v>
      </c>
      <c r="I41" s="23" t="n">
        <f aca="false">parametros_recargas!$E$79*'Plan mensual'!K53+parametros_recargas!$F$79*'Plan mensual'!K54+parametros_recargas!$G$79*'Plan mensual'!K55+parametros_recargas!$H$79*'Plan mensual'!K56+parametros_recargas!$I$79*'Plan mensual'!K57+parametros_recargas!$J$79*'Plan mensual'!K58+parametros_recargas!$K$79*'Plan mensual'!K59+parametros_recargas!$L$79*'Plan mensual'!K60</f>
        <v>1.68272875979221</v>
      </c>
      <c r="J41" s="23" t="n">
        <f aca="false">parametros_recargas!$E$79*'Plan mensual'!L53+parametros_recargas!$F$79*'Plan mensual'!L54+parametros_recargas!$G$79*'Plan mensual'!L55+parametros_recargas!$H$79*'Plan mensual'!L56+parametros_recargas!$I$79*'Plan mensual'!L57+parametros_recargas!$J$79*'Plan mensual'!L58+parametros_recargas!$K$79*'Plan mensual'!L59+parametros_recargas!$L$79*'Plan mensual'!L60</f>
        <v>1.68272875979221</v>
      </c>
      <c r="K41" s="23" t="n">
        <f aca="false">parametros_recargas!$E$79*'Plan mensual'!M53+parametros_recargas!$F$79*'Plan mensual'!M54+parametros_recargas!$G$79*'Plan mensual'!M55+parametros_recargas!$H$79*'Plan mensual'!M56+parametros_recargas!$I$79*'Plan mensual'!M57+parametros_recargas!$J$79*'Plan mensual'!M58+parametros_recargas!$K$79*'Plan mensual'!M59+parametros_recargas!$L$79*'Plan mensual'!M60</f>
        <v>1.68272875979221</v>
      </c>
      <c r="L41" s="23" t="n">
        <f aca="false">parametros_recargas!$E$79*'Plan mensual'!N53+parametros_recargas!$F$79*'Plan mensual'!N54+parametros_recargas!$G$79*'Plan mensual'!N55+parametros_recargas!$H$79*'Plan mensual'!N56+parametros_recargas!$I$79*'Plan mensual'!N57+parametros_recargas!$J$79*'Plan mensual'!N58+parametros_recargas!$K$79*'Plan mensual'!N59+parametros_recargas!$L$79*'Plan mensual'!N60</f>
        <v>1.68272875979221</v>
      </c>
      <c r="M41" s="23" t="n">
        <f aca="false">parametros_recargas!$E$79*'Plan mensual'!O53+parametros_recargas!$F$79*'Plan mensual'!O54+parametros_recargas!$G$79*'Plan mensual'!O55+parametros_recargas!$H$79*'Plan mensual'!O56+parametros_recargas!$I$79*'Plan mensual'!O57+parametros_recargas!$J$79*'Plan mensual'!O58+parametros_recargas!$K$79*'Plan mensual'!O59+parametros_recargas!$L$79*'Plan mensual'!O60</f>
        <v>1.68272875979221</v>
      </c>
      <c r="N41" s="7" t="n">
        <f aca="false">SUM(B41:M41)</f>
        <v>20.1927451175066</v>
      </c>
      <c r="O41" s="24" t="n">
        <f aca="false">MAX(B41:M41)</f>
        <v>1.68272875979221</v>
      </c>
      <c r="P41" s="15" t="n">
        <f aca="false">O41/parametros_recargas!$B$6</f>
        <v>0.0112181917319481</v>
      </c>
    </row>
    <row r="42" customFormat="false" ht="15" hidden="false" customHeight="false" outlineLevel="0" collapsed="false">
      <c r="A42" s="12" t="str">
        <f aca="false">parametros_recargas!$B$80</f>
        <v>Desarme y limpieza — recinto</v>
      </c>
      <c r="B42" s="23" t="n">
        <f aca="false">parametros_recargas!$E$80*'Plan mensual'!D53+parametros_recargas!$F$80*'Plan mensual'!D54+parametros_recargas!$G$80*'Plan mensual'!D55+parametros_recargas!$H$80*'Plan mensual'!D56+parametros_recargas!$I$80*'Plan mensual'!D57+parametros_recargas!$J$80*'Plan mensual'!D58+parametros_recargas!$K$80*'Plan mensual'!D59+parametros_recargas!$L$80*'Plan mensual'!D60</f>
        <v>1642.79843787863</v>
      </c>
      <c r="C42" s="23" t="n">
        <f aca="false">parametros_recargas!$E$80*'Plan mensual'!E53+parametros_recargas!$F$80*'Plan mensual'!E54+parametros_recargas!$G$80*'Plan mensual'!E55+parametros_recargas!$H$80*'Plan mensual'!E56+parametros_recargas!$I$80*'Plan mensual'!E57+parametros_recargas!$J$80*'Plan mensual'!E58+parametros_recargas!$K$80*'Plan mensual'!E59+parametros_recargas!$L$80*'Plan mensual'!E60</f>
        <v>1642.79843787863</v>
      </c>
      <c r="D42" s="23" t="n">
        <f aca="false">parametros_recargas!$E$80*'Plan mensual'!F53+parametros_recargas!$F$80*'Plan mensual'!F54+parametros_recargas!$G$80*'Plan mensual'!F55+parametros_recargas!$H$80*'Plan mensual'!F56+parametros_recargas!$I$80*'Plan mensual'!F57+parametros_recargas!$J$80*'Plan mensual'!F58+parametros_recargas!$K$80*'Plan mensual'!F59+parametros_recargas!$L$80*'Plan mensual'!F60</f>
        <v>1642.79843787863</v>
      </c>
      <c r="E42" s="23" t="n">
        <f aca="false">parametros_recargas!$E$80*'Plan mensual'!G53+parametros_recargas!$F$80*'Plan mensual'!G54+parametros_recargas!$G$80*'Plan mensual'!G55+parametros_recargas!$H$80*'Plan mensual'!G56+parametros_recargas!$I$80*'Plan mensual'!G57+parametros_recargas!$J$80*'Plan mensual'!G58+parametros_recargas!$K$80*'Plan mensual'!G59+parametros_recargas!$L$80*'Plan mensual'!G60</f>
        <v>1642.79843787863</v>
      </c>
      <c r="F42" s="23" t="n">
        <f aca="false">parametros_recargas!$E$80*'Plan mensual'!H53+parametros_recargas!$F$80*'Plan mensual'!H54+parametros_recargas!$G$80*'Plan mensual'!H55+parametros_recargas!$H$80*'Plan mensual'!H56+parametros_recargas!$I$80*'Plan mensual'!H57+parametros_recargas!$J$80*'Plan mensual'!H58+parametros_recargas!$K$80*'Plan mensual'!H59+parametros_recargas!$L$80*'Plan mensual'!H60</f>
        <v>1642.79843787863</v>
      </c>
      <c r="G42" s="23" t="n">
        <f aca="false">parametros_recargas!$E$80*'Plan mensual'!I53+parametros_recargas!$F$80*'Plan mensual'!I54+parametros_recargas!$G$80*'Plan mensual'!I55+parametros_recargas!$H$80*'Plan mensual'!I56+parametros_recargas!$I$80*'Plan mensual'!I57+parametros_recargas!$J$80*'Plan mensual'!I58+parametros_recargas!$K$80*'Plan mensual'!I59+parametros_recargas!$L$80*'Plan mensual'!I60</f>
        <v>1642.79843787863</v>
      </c>
      <c r="H42" s="23" t="n">
        <f aca="false">parametros_recargas!$E$80*'Plan mensual'!J53+parametros_recargas!$F$80*'Plan mensual'!J54+parametros_recargas!$G$80*'Plan mensual'!J55+parametros_recargas!$H$80*'Plan mensual'!J56+parametros_recargas!$I$80*'Plan mensual'!J57+parametros_recargas!$J$80*'Plan mensual'!J58+parametros_recargas!$K$80*'Plan mensual'!J59+parametros_recargas!$L$80*'Plan mensual'!J60</f>
        <v>1642.79843787863</v>
      </c>
      <c r="I42" s="23" t="n">
        <f aca="false">parametros_recargas!$E$80*'Plan mensual'!K53+parametros_recargas!$F$80*'Plan mensual'!K54+parametros_recargas!$G$80*'Plan mensual'!K55+parametros_recargas!$H$80*'Plan mensual'!K56+parametros_recargas!$I$80*'Plan mensual'!K57+parametros_recargas!$J$80*'Plan mensual'!K58+parametros_recargas!$K$80*'Plan mensual'!K59+parametros_recargas!$L$80*'Plan mensual'!K60</f>
        <v>1642.79843787863</v>
      </c>
      <c r="J42" s="23" t="n">
        <f aca="false">parametros_recargas!$E$80*'Plan mensual'!L53+parametros_recargas!$F$80*'Plan mensual'!L54+parametros_recargas!$G$80*'Plan mensual'!L55+parametros_recargas!$H$80*'Plan mensual'!L56+parametros_recargas!$I$80*'Plan mensual'!L57+parametros_recargas!$J$80*'Plan mensual'!L58+parametros_recargas!$K$80*'Plan mensual'!L59+parametros_recargas!$L$80*'Plan mensual'!L60</f>
        <v>1642.79843787863</v>
      </c>
      <c r="K42" s="23" t="n">
        <f aca="false">parametros_recargas!$E$80*'Plan mensual'!M53+parametros_recargas!$F$80*'Plan mensual'!M54+parametros_recargas!$G$80*'Plan mensual'!M55+parametros_recargas!$H$80*'Plan mensual'!M56+parametros_recargas!$I$80*'Plan mensual'!M57+parametros_recargas!$J$80*'Plan mensual'!M58+parametros_recargas!$K$80*'Plan mensual'!M59+parametros_recargas!$L$80*'Plan mensual'!M60</f>
        <v>1642.79843787863</v>
      </c>
      <c r="L42" s="23" t="n">
        <f aca="false">parametros_recargas!$E$80*'Plan mensual'!N53+parametros_recargas!$F$80*'Plan mensual'!N54+parametros_recargas!$G$80*'Plan mensual'!N55+parametros_recargas!$H$80*'Plan mensual'!N56+parametros_recargas!$I$80*'Plan mensual'!N57+parametros_recargas!$J$80*'Plan mensual'!N58+parametros_recargas!$K$80*'Plan mensual'!N59+parametros_recargas!$L$80*'Plan mensual'!N60</f>
        <v>1642.79843787863</v>
      </c>
      <c r="M42" s="23" t="n">
        <f aca="false">parametros_recargas!$E$80*'Plan mensual'!O53+parametros_recargas!$F$80*'Plan mensual'!O54+parametros_recargas!$G$80*'Plan mensual'!O55+parametros_recargas!$H$80*'Plan mensual'!O56+parametros_recargas!$I$80*'Plan mensual'!O57+parametros_recargas!$J$80*'Plan mensual'!O58+parametros_recargas!$K$80*'Plan mensual'!O59+parametros_recargas!$L$80*'Plan mensual'!O60</f>
        <v>1642.79843787863</v>
      </c>
      <c r="N42" s="7" t="n">
        <f aca="false">SUM(B42:M42)</f>
        <v>19713.5812545435</v>
      </c>
      <c r="O42" s="24" t="n">
        <f aca="false">MAX(B42:M42)</f>
        <v>1642.79843787863</v>
      </c>
      <c r="P42" s="15" t="n">
        <f aca="false">O42/parametros_recargas!$B$6</f>
        <v>10.9519895858575</v>
      </c>
    </row>
    <row r="43" customFormat="false" ht="15" hidden="false" customHeight="false" outlineLevel="0" collapsed="false">
      <c r="A43" s="12" t="str">
        <f aca="false">parametros_recargas!$B$81</f>
        <v>Desarme e inspección interior — zona general</v>
      </c>
      <c r="B43" s="23" t="n">
        <f aca="false">parametros_recargas!$E$81*'Plan mensual'!D53+parametros_recargas!$F$81*'Plan mensual'!D54+parametros_recargas!$G$81*'Plan mensual'!D55+parametros_recargas!$H$81*'Plan mensual'!D56+parametros_recargas!$I$81*'Plan mensual'!D57+parametros_recargas!$J$81*'Plan mensual'!D58+parametros_recargas!$K$81*'Plan mensual'!D59+parametros_recargas!$L$81*'Plan mensual'!D60</f>
        <v>119.36949626256</v>
      </c>
      <c r="C43" s="23" t="n">
        <f aca="false">parametros_recargas!$E$81*'Plan mensual'!E53+parametros_recargas!$F$81*'Plan mensual'!E54+parametros_recargas!$G$81*'Plan mensual'!E55+parametros_recargas!$H$81*'Plan mensual'!E56+parametros_recargas!$I$81*'Plan mensual'!E57+parametros_recargas!$J$81*'Plan mensual'!E58+parametros_recargas!$K$81*'Plan mensual'!E59+parametros_recargas!$L$81*'Plan mensual'!E60</f>
        <v>119.36949626256</v>
      </c>
      <c r="D43" s="23" t="n">
        <f aca="false">parametros_recargas!$E$81*'Plan mensual'!F53+parametros_recargas!$F$81*'Plan mensual'!F54+parametros_recargas!$G$81*'Plan mensual'!F55+parametros_recargas!$H$81*'Plan mensual'!F56+parametros_recargas!$I$81*'Plan mensual'!F57+parametros_recargas!$J$81*'Plan mensual'!F58+parametros_recargas!$K$81*'Plan mensual'!F59+parametros_recargas!$L$81*'Plan mensual'!F60</f>
        <v>119.36949626256</v>
      </c>
      <c r="E43" s="23" t="n">
        <f aca="false">parametros_recargas!$E$81*'Plan mensual'!G53+parametros_recargas!$F$81*'Plan mensual'!G54+parametros_recargas!$G$81*'Plan mensual'!G55+parametros_recargas!$H$81*'Plan mensual'!G56+parametros_recargas!$I$81*'Plan mensual'!G57+parametros_recargas!$J$81*'Plan mensual'!G58+parametros_recargas!$K$81*'Plan mensual'!G59+parametros_recargas!$L$81*'Plan mensual'!G60</f>
        <v>119.36949626256</v>
      </c>
      <c r="F43" s="23" t="n">
        <f aca="false">parametros_recargas!$E$81*'Plan mensual'!H53+parametros_recargas!$F$81*'Plan mensual'!H54+parametros_recargas!$G$81*'Plan mensual'!H55+parametros_recargas!$H$81*'Plan mensual'!H56+parametros_recargas!$I$81*'Plan mensual'!H57+parametros_recargas!$J$81*'Plan mensual'!H58+parametros_recargas!$K$81*'Plan mensual'!H59+parametros_recargas!$L$81*'Plan mensual'!H60</f>
        <v>119.36949626256</v>
      </c>
      <c r="G43" s="23" t="n">
        <f aca="false">parametros_recargas!$E$81*'Plan mensual'!I53+parametros_recargas!$F$81*'Plan mensual'!I54+parametros_recargas!$G$81*'Plan mensual'!I55+parametros_recargas!$H$81*'Plan mensual'!I56+parametros_recargas!$I$81*'Plan mensual'!I57+parametros_recargas!$J$81*'Plan mensual'!I58+parametros_recargas!$K$81*'Plan mensual'!I59+parametros_recargas!$L$81*'Plan mensual'!I60</f>
        <v>119.36949626256</v>
      </c>
      <c r="H43" s="23" t="n">
        <f aca="false">parametros_recargas!$E$81*'Plan mensual'!J53+parametros_recargas!$F$81*'Plan mensual'!J54+parametros_recargas!$G$81*'Plan mensual'!J55+parametros_recargas!$H$81*'Plan mensual'!J56+parametros_recargas!$I$81*'Plan mensual'!J57+parametros_recargas!$J$81*'Plan mensual'!J58+parametros_recargas!$K$81*'Plan mensual'!J59+parametros_recargas!$L$81*'Plan mensual'!J60</f>
        <v>119.36949626256</v>
      </c>
      <c r="I43" s="23" t="n">
        <f aca="false">parametros_recargas!$E$81*'Plan mensual'!K53+parametros_recargas!$F$81*'Plan mensual'!K54+parametros_recargas!$G$81*'Plan mensual'!K55+parametros_recargas!$H$81*'Plan mensual'!K56+parametros_recargas!$I$81*'Plan mensual'!K57+parametros_recargas!$J$81*'Plan mensual'!K58+parametros_recargas!$K$81*'Plan mensual'!K59+parametros_recargas!$L$81*'Plan mensual'!K60</f>
        <v>119.36949626256</v>
      </c>
      <c r="J43" s="23" t="n">
        <f aca="false">parametros_recargas!$E$81*'Plan mensual'!L53+parametros_recargas!$F$81*'Plan mensual'!L54+parametros_recargas!$G$81*'Plan mensual'!L55+parametros_recargas!$H$81*'Plan mensual'!L56+parametros_recargas!$I$81*'Plan mensual'!L57+parametros_recargas!$J$81*'Plan mensual'!L58+parametros_recargas!$K$81*'Plan mensual'!L59+parametros_recargas!$L$81*'Plan mensual'!L60</f>
        <v>119.36949626256</v>
      </c>
      <c r="K43" s="23" t="n">
        <f aca="false">parametros_recargas!$E$81*'Plan mensual'!M53+parametros_recargas!$F$81*'Plan mensual'!M54+parametros_recargas!$G$81*'Plan mensual'!M55+parametros_recargas!$H$81*'Plan mensual'!M56+parametros_recargas!$I$81*'Plan mensual'!M57+parametros_recargas!$J$81*'Plan mensual'!M58+parametros_recargas!$K$81*'Plan mensual'!M59+parametros_recargas!$L$81*'Plan mensual'!M60</f>
        <v>119.36949626256</v>
      </c>
      <c r="L43" s="23" t="n">
        <f aca="false">parametros_recargas!$E$81*'Plan mensual'!N53+parametros_recargas!$F$81*'Plan mensual'!N54+parametros_recargas!$G$81*'Plan mensual'!N55+parametros_recargas!$H$81*'Plan mensual'!N56+parametros_recargas!$I$81*'Plan mensual'!N57+parametros_recargas!$J$81*'Plan mensual'!N58+parametros_recargas!$K$81*'Plan mensual'!N59+parametros_recargas!$L$81*'Plan mensual'!N60</f>
        <v>119.36949626256</v>
      </c>
      <c r="M43" s="23" t="n">
        <f aca="false">parametros_recargas!$E$81*'Plan mensual'!O53+parametros_recargas!$F$81*'Plan mensual'!O54+parametros_recargas!$G$81*'Plan mensual'!O55+parametros_recargas!$H$81*'Plan mensual'!O56+parametros_recargas!$I$81*'Plan mensual'!O57+parametros_recargas!$J$81*'Plan mensual'!O58+parametros_recargas!$K$81*'Plan mensual'!O59+parametros_recargas!$L$81*'Plan mensual'!O60</f>
        <v>119.36949626256</v>
      </c>
      <c r="N43" s="7" t="n">
        <f aca="false">SUM(B43:M43)</f>
        <v>1432.43395515072</v>
      </c>
      <c r="O43" s="24" t="n">
        <f aca="false">MAX(B43:M43)</f>
        <v>119.36949626256</v>
      </c>
      <c r="P43" s="15" t="n">
        <f aca="false">O43/parametros_recargas!$B$6</f>
        <v>0.795796641750399</v>
      </c>
    </row>
    <row r="44" customFormat="false" ht="15" hidden="false" customHeight="false" outlineLevel="0" collapsed="false">
      <c r="A44" s="12" t="str">
        <f aca="false">parametros_recargas!$B$82</f>
        <v>Laboratorio — Puffer y mufla</v>
      </c>
      <c r="B44" s="23" t="n">
        <f aca="false">parametros_recargas!$E$82*'Plan mensual'!D53+parametros_recargas!$F$82*'Plan mensual'!D54+parametros_recargas!$G$82*'Plan mensual'!D55+parametros_recargas!$H$82*'Plan mensual'!D56+parametros_recargas!$I$82*'Plan mensual'!D57+parametros_recargas!$J$82*'Plan mensual'!D58+parametros_recargas!$K$82*'Plan mensual'!D59+parametros_recargas!$L$82*'Plan mensual'!D60</f>
        <v>1.63992302765451</v>
      </c>
      <c r="C44" s="23" t="n">
        <f aca="false">parametros_recargas!$E$82*'Plan mensual'!E53+parametros_recargas!$F$82*'Plan mensual'!E54+parametros_recargas!$G$82*'Plan mensual'!E55+parametros_recargas!$H$82*'Plan mensual'!E56+parametros_recargas!$I$82*'Plan mensual'!E57+parametros_recargas!$J$82*'Plan mensual'!E58+parametros_recargas!$K$82*'Plan mensual'!E59+parametros_recargas!$L$82*'Plan mensual'!E60</f>
        <v>1.63992302765451</v>
      </c>
      <c r="D44" s="23" t="n">
        <f aca="false">parametros_recargas!$E$82*'Plan mensual'!F53+parametros_recargas!$F$82*'Plan mensual'!F54+parametros_recargas!$G$82*'Plan mensual'!F55+parametros_recargas!$H$82*'Plan mensual'!F56+parametros_recargas!$I$82*'Plan mensual'!F57+parametros_recargas!$J$82*'Plan mensual'!F58+parametros_recargas!$K$82*'Plan mensual'!F59+parametros_recargas!$L$82*'Plan mensual'!F60</f>
        <v>1.63992302765451</v>
      </c>
      <c r="E44" s="23" t="n">
        <f aca="false">parametros_recargas!$E$82*'Plan mensual'!G53+parametros_recargas!$F$82*'Plan mensual'!G54+parametros_recargas!$G$82*'Plan mensual'!G55+parametros_recargas!$H$82*'Plan mensual'!G56+parametros_recargas!$I$82*'Plan mensual'!G57+parametros_recargas!$J$82*'Plan mensual'!G58+parametros_recargas!$K$82*'Plan mensual'!G59+parametros_recargas!$L$82*'Plan mensual'!G60</f>
        <v>1.63992302765451</v>
      </c>
      <c r="F44" s="23" t="n">
        <f aca="false">parametros_recargas!$E$82*'Plan mensual'!H53+parametros_recargas!$F$82*'Plan mensual'!H54+parametros_recargas!$G$82*'Plan mensual'!H55+parametros_recargas!$H$82*'Plan mensual'!H56+parametros_recargas!$I$82*'Plan mensual'!H57+parametros_recargas!$J$82*'Plan mensual'!H58+parametros_recargas!$K$82*'Plan mensual'!H59+parametros_recargas!$L$82*'Plan mensual'!H60</f>
        <v>1.63992302765451</v>
      </c>
      <c r="G44" s="23" t="n">
        <f aca="false">parametros_recargas!$E$82*'Plan mensual'!I53+parametros_recargas!$F$82*'Plan mensual'!I54+parametros_recargas!$G$82*'Plan mensual'!I55+parametros_recargas!$H$82*'Plan mensual'!I56+parametros_recargas!$I$82*'Plan mensual'!I57+parametros_recargas!$J$82*'Plan mensual'!I58+parametros_recargas!$K$82*'Plan mensual'!I59+parametros_recargas!$L$82*'Plan mensual'!I60</f>
        <v>1.63992302765451</v>
      </c>
      <c r="H44" s="23" t="n">
        <f aca="false">parametros_recargas!$E$82*'Plan mensual'!J53+parametros_recargas!$F$82*'Plan mensual'!J54+parametros_recargas!$G$82*'Plan mensual'!J55+parametros_recargas!$H$82*'Plan mensual'!J56+parametros_recargas!$I$82*'Plan mensual'!J57+parametros_recargas!$J$82*'Plan mensual'!J58+parametros_recargas!$K$82*'Plan mensual'!J59+parametros_recargas!$L$82*'Plan mensual'!J60</f>
        <v>1.63992302765451</v>
      </c>
      <c r="I44" s="23" t="n">
        <f aca="false">parametros_recargas!$E$82*'Plan mensual'!K53+parametros_recargas!$F$82*'Plan mensual'!K54+parametros_recargas!$G$82*'Plan mensual'!K55+parametros_recargas!$H$82*'Plan mensual'!K56+parametros_recargas!$I$82*'Plan mensual'!K57+parametros_recargas!$J$82*'Plan mensual'!K58+parametros_recargas!$K$82*'Plan mensual'!K59+parametros_recargas!$L$82*'Plan mensual'!K60</f>
        <v>1.63992302765451</v>
      </c>
      <c r="J44" s="23" t="n">
        <f aca="false">parametros_recargas!$E$82*'Plan mensual'!L53+parametros_recargas!$F$82*'Plan mensual'!L54+parametros_recargas!$G$82*'Plan mensual'!L55+parametros_recargas!$H$82*'Plan mensual'!L56+parametros_recargas!$I$82*'Plan mensual'!L57+parametros_recargas!$J$82*'Plan mensual'!L58+parametros_recargas!$K$82*'Plan mensual'!L59+parametros_recargas!$L$82*'Plan mensual'!L60</f>
        <v>1.63992302765451</v>
      </c>
      <c r="K44" s="23" t="n">
        <f aca="false">parametros_recargas!$E$82*'Plan mensual'!M53+parametros_recargas!$F$82*'Plan mensual'!M54+parametros_recargas!$G$82*'Plan mensual'!M55+parametros_recargas!$H$82*'Plan mensual'!M56+parametros_recargas!$I$82*'Plan mensual'!M57+parametros_recargas!$J$82*'Plan mensual'!M58+parametros_recargas!$K$82*'Plan mensual'!M59+parametros_recargas!$L$82*'Plan mensual'!M60</f>
        <v>1.63992302765451</v>
      </c>
      <c r="L44" s="23" t="n">
        <f aca="false">parametros_recargas!$E$82*'Plan mensual'!N53+parametros_recargas!$F$82*'Plan mensual'!N54+parametros_recargas!$G$82*'Plan mensual'!N55+parametros_recargas!$H$82*'Plan mensual'!N56+parametros_recargas!$I$82*'Plan mensual'!N57+parametros_recargas!$J$82*'Plan mensual'!N58+parametros_recargas!$K$82*'Plan mensual'!N59+parametros_recargas!$L$82*'Plan mensual'!N60</f>
        <v>1.63992302765451</v>
      </c>
      <c r="M44" s="23" t="n">
        <f aca="false">parametros_recargas!$E$82*'Plan mensual'!O53+parametros_recargas!$F$82*'Plan mensual'!O54+parametros_recargas!$G$82*'Plan mensual'!O55+parametros_recargas!$H$82*'Plan mensual'!O56+parametros_recargas!$I$82*'Plan mensual'!O57+parametros_recargas!$J$82*'Plan mensual'!O58+parametros_recargas!$K$82*'Plan mensual'!O59+parametros_recargas!$L$82*'Plan mensual'!O60</f>
        <v>1.63992302765451</v>
      </c>
      <c r="N44" s="7" t="n">
        <f aca="false">SUM(B44:M44)</f>
        <v>19.6790763318541</v>
      </c>
      <c r="O44" s="24" t="n">
        <f aca="false">MAX(B44:M44)</f>
        <v>1.63992302765451</v>
      </c>
      <c r="P44" s="15" t="n">
        <f aca="false">O44/parametros_recargas!$B$6</f>
        <v>0.0109328201843634</v>
      </c>
    </row>
    <row r="45" customFormat="false" ht="15" hidden="false" customHeight="false" outlineLevel="0" collapsed="false">
      <c r="A45" s="12" t="str">
        <f aca="false">parametros_recargas!$B$83</f>
        <v>Prueba hidráulica</v>
      </c>
      <c r="B45" s="23" t="n">
        <f aca="false">parametros_recargas!$E$83*'Plan mensual'!D53+parametros_recargas!$F$83*'Plan mensual'!D54+parametros_recargas!$G$83*'Plan mensual'!D55+parametros_recargas!$H$83*'Plan mensual'!D56+parametros_recargas!$I$83*'Plan mensual'!D57+parametros_recargas!$J$83*'Plan mensual'!D58+parametros_recargas!$K$83*'Plan mensual'!D59+parametros_recargas!$L$83*'Plan mensual'!D60</f>
        <v>399.174907021932</v>
      </c>
      <c r="C45" s="23" t="n">
        <f aca="false">parametros_recargas!$E$83*'Plan mensual'!E53+parametros_recargas!$F$83*'Plan mensual'!E54+parametros_recargas!$G$83*'Plan mensual'!E55+parametros_recargas!$H$83*'Plan mensual'!E56+parametros_recargas!$I$83*'Plan mensual'!E57+parametros_recargas!$J$83*'Plan mensual'!E58+parametros_recargas!$K$83*'Plan mensual'!E59+parametros_recargas!$L$83*'Plan mensual'!E60</f>
        <v>399.174907021932</v>
      </c>
      <c r="D45" s="23" t="n">
        <f aca="false">parametros_recargas!$E$83*'Plan mensual'!F53+parametros_recargas!$F$83*'Plan mensual'!F54+parametros_recargas!$G$83*'Plan mensual'!F55+parametros_recargas!$H$83*'Plan mensual'!F56+parametros_recargas!$I$83*'Plan mensual'!F57+parametros_recargas!$J$83*'Plan mensual'!F58+parametros_recargas!$K$83*'Plan mensual'!F59+parametros_recargas!$L$83*'Plan mensual'!F60</f>
        <v>399.174907021932</v>
      </c>
      <c r="E45" s="23" t="n">
        <f aca="false">parametros_recargas!$E$83*'Plan mensual'!G53+parametros_recargas!$F$83*'Plan mensual'!G54+parametros_recargas!$G$83*'Plan mensual'!G55+parametros_recargas!$H$83*'Plan mensual'!G56+parametros_recargas!$I$83*'Plan mensual'!G57+parametros_recargas!$J$83*'Plan mensual'!G58+parametros_recargas!$K$83*'Plan mensual'!G59+parametros_recargas!$L$83*'Plan mensual'!G60</f>
        <v>399.174907021932</v>
      </c>
      <c r="F45" s="23" t="n">
        <f aca="false">parametros_recargas!$E$83*'Plan mensual'!H53+parametros_recargas!$F$83*'Plan mensual'!H54+parametros_recargas!$G$83*'Plan mensual'!H55+parametros_recargas!$H$83*'Plan mensual'!H56+parametros_recargas!$I$83*'Plan mensual'!H57+parametros_recargas!$J$83*'Plan mensual'!H58+parametros_recargas!$K$83*'Plan mensual'!H59+parametros_recargas!$L$83*'Plan mensual'!H60</f>
        <v>399.174907021932</v>
      </c>
      <c r="G45" s="23" t="n">
        <f aca="false">parametros_recargas!$E$83*'Plan mensual'!I53+parametros_recargas!$F$83*'Plan mensual'!I54+parametros_recargas!$G$83*'Plan mensual'!I55+parametros_recargas!$H$83*'Plan mensual'!I56+parametros_recargas!$I$83*'Plan mensual'!I57+parametros_recargas!$J$83*'Plan mensual'!I58+parametros_recargas!$K$83*'Plan mensual'!I59+parametros_recargas!$L$83*'Plan mensual'!I60</f>
        <v>399.174907021932</v>
      </c>
      <c r="H45" s="23" t="n">
        <f aca="false">parametros_recargas!$E$83*'Plan mensual'!J53+parametros_recargas!$F$83*'Plan mensual'!J54+parametros_recargas!$G$83*'Plan mensual'!J55+parametros_recargas!$H$83*'Plan mensual'!J56+parametros_recargas!$I$83*'Plan mensual'!J57+parametros_recargas!$J$83*'Plan mensual'!J58+parametros_recargas!$K$83*'Plan mensual'!J59+parametros_recargas!$L$83*'Plan mensual'!J60</f>
        <v>399.174907021932</v>
      </c>
      <c r="I45" s="23" t="n">
        <f aca="false">parametros_recargas!$E$83*'Plan mensual'!K53+parametros_recargas!$F$83*'Plan mensual'!K54+parametros_recargas!$G$83*'Plan mensual'!K55+parametros_recargas!$H$83*'Plan mensual'!K56+parametros_recargas!$I$83*'Plan mensual'!K57+parametros_recargas!$J$83*'Plan mensual'!K58+parametros_recargas!$K$83*'Plan mensual'!K59+parametros_recargas!$L$83*'Plan mensual'!K60</f>
        <v>399.174907021932</v>
      </c>
      <c r="J45" s="23" t="n">
        <f aca="false">parametros_recargas!$E$83*'Plan mensual'!L53+parametros_recargas!$F$83*'Plan mensual'!L54+parametros_recargas!$G$83*'Plan mensual'!L55+parametros_recargas!$H$83*'Plan mensual'!L56+parametros_recargas!$I$83*'Plan mensual'!L57+parametros_recargas!$J$83*'Plan mensual'!L58+parametros_recargas!$K$83*'Plan mensual'!L59+parametros_recargas!$L$83*'Plan mensual'!L60</f>
        <v>399.174907021932</v>
      </c>
      <c r="K45" s="23" t="n">
        <f aca="false">parametros_recargas!$E$83*'Plan mensual'!M53+parametros_recargas!$F$83*'Plan mensual'!M54+parametros_recargas!$G$83*'Plan mensual'!M55+parametros_recargas!$H$83*'Plan mensual'!M56+parametros_recargas!$I$83*'Plan mensual'!M57+parametros_recargas!$J$83*'Plan mensual'!M58+parametros_recargas!$K$83*'Plan mensual'!M59+parametros_recargas!$L$83*'Plan mensual'!M60</f>
        <v>399.174907021932</v>
      </c>
      <c r="L45" s="23" t="n">
        <f aca="false">parametros_recargas!$E$83*'Plan mensual'!N53+parametros_recargas!$F$83*'Plan mensual'!N54+parametros_recargas!$G$83*'Plan mensual'!N55+parametros_recargas!$H$83*'Plan mensual'!N56+parametros_recargas!$I$83*'Plan mensual'!N57+parametros_recargas!$J$83*'Plan mensual'!N58+parametros_recargas!$K$83*'Plan mensual'!N59+parametros_recargas!$L$83*'Plan mensual'!N60</f>
        <v>399.174907021932</v>
      </c>
      <c r="M45" s="23" t="n">
        <f aca="false">parametros_recargas!$E$83*'Plan mensual'!O53+parametros_recargas!$F$83*'Plan mensual'!O54+parametros_recargas!$G$83*'Plan mensual'!O55+parametros_recargas!$H$83*'Plan mensual'!O56+parametros_recargas!$I$83*'Plan mensual'!O57+parametros_recargas!$J$83*'Plan mensual'!O58+parametros_recargas!$K$83*'Plan mensual'!O59+parametros_recargas!$L$83*'Plan mensual'!O60</f>
        <v>399.174907021932</v>
      </c>
      <c r="N45" s="7" t="n">
        <f aca="false">SUM(B45:M45)</f>
        <v>4790.09888426319</v>
      </c>
      <c r="O45" s="24" t="n">
        <f aca="false">MAX(B45:M45)</f>
        <v>399.174907021932</v>
      </c>
      <c r="P45" s="15" t="n">
        <f aca="false">O45/parametros_recargas!$B$6</f>
        <v>2.66116604681288</v>
      </c>
    </row>
    <row r="46" customFormat="false" ht="15" hidden="false" customHeight="false" outlineLevel="0" collapsed="false">
      <c r="A46" s="12" t="str">
        <f aca="false">parametros_recargas!$B$84</f>
        <v>Secado</v>
      </c>
      <c r="B46" s="23" t="n">
        <f aca="false">parametros_recargas!$E$84*'Plan mensual'!D53+parametros_recargas!$F$84*'Plan mensual'!D54+parametros_recargas!$G$84*'Plan mensual'!D55+parametros_recargas!$H$84*'Plan mensual'!D56+parametros_recargas!$I$84*'Plan mensual'!D57+parametros_recargas!$J$84*'Plan mensual'!D58+parametros_recargas!$K$84*'Plan mensual'!D59+parametros_recargas!$L$84*'Plan mensual'!D60</f>
        <v>374.135595460984</v>
      </c>
      <c r="C46" s="23" t="n">
        <f aca="false">parametros_recargas!$E$84*'Plan mensual'!E53+parametros_recargas!$F$84*'Plan mensual'!E54+parametros_recargas!$G$84*'Plan mensual'!E55+parametros_recargas!$H$84*'Plan mensual'!E56+parametros_recargas!$I$84*'Plan mensual'!E57+parametros_recargas!$J$84*'Plan mensual'!E58+parametros_recargas!$K$84*'Plan mensual'!E59+parametros_recargas!$L$84*'Plan mensual'!E60</f>
        <v>374.135595460984</v>
      </c>
      <c r="D46" s="23" t="n">
        <f aca="false">parametros_recargas!$E$84*'Plan mensual'!F53+parametros_recargas!$F$84*'Plan mensual'!F54+parametros_recargas!$G$84*'Plan mensual'!F55+parametros_recargas!$H$84*'Plan mensual'!F56+parametros_recargas!$I$84*'Plan mensual'!F57+parametros_recargas!$J$84*'Plan mensual'!F58+parametros_recargas!$K$84*'Plan mensual'!F59+parametros_recargas!$L$84*'Plan mensual'!F60</f>
        <v>374.135595460984</v>
      </c>
      <c r="E46" s="23" t="n">
        <f aca="false">parametros_recargas!$E$84*'Plan mensual'!G53+parametros_recargas!$F$84*'Plan mensual'!G54+parametros_recargas!$G$84*'Plan mensual'!G55+parametros_recargas!$H$84*'Plan mensual'!G56+parametros_recargas!$I$84*'Plan mensual'!G57+parametros_recargas!$J$84*'Plan mensual'!G58+parametros_recargas!$K$84*'Plan mensual'!G59+parametros_recargas!$L$84*'Plan mensual'!G60</f>
        <v>374.135595460984</v>
      </c>
      <c r="F46" s="23" t="n">
        <f aca="false">parametros_recargas!$E$84*'Plan mensual'!H53+parametros_recargas!$F$84*'Plan mensual'!H54+parametros_recargas!$G$84*'Plan mensual'!H55+parametros_recargas!$H$84*'Plan mensual'!H56+parametros_recargas!$I$84*'Plan mensual'!H57+parametros_recargas!$J$84*'Plan mensual'!H58+parametros_recargas!$K$84*'Plan mensual'!H59+parametros_recargas!$L$84*'Plan mensual'!H60</f>
        <v>374.135595460984</v>
      </c>
      <c r="G46" s="23" t="n">
        <f aca="false">parametros_recargas!$E$84*'Plan mensual'!I53+parametros_recargas!$F$84*'Plan mensual'!I54+parametros_recargas!$G$84*'Plan mensual'!I55+parametros_recargas!$H$84*'Plan mensual'!I56+parametros_recargas!$I$84*'Plan mensual'!I57+parametros_recargas!$J$84*'Plan mensual'!I58+parametros_recargas!$K$84*'Plan mensual'!I59+parametros_recargas!$L$84*'Plan mensual'!I60</f>
        <v>374.135595460984</v>
      </c>
      <c r="H46" s="23" t="n">
        <f aca="false">parametros_recargas!$E$84*'Plan mensual'!J53+parametros_recargas!$F$84*'Plan mensual'!J54+parametros_recargas!$G$84*'Plan mensual'!J55+parametros_recargas!$H$84*'Plan mensual'!J56+parametros_recargas!$I$84*'Plan mensual'!J57+parametros_recargas!$J$84*'Plan mensual'!J58+parametros_recargas!$K$84*'Plan mensual'!J59+parametros_recargas!$L$84*'Plan mensual'!J60</f>
        <v>374.135595460984</v>
      </c>
      <c r="I46" s="23" t="n">
        <f aca="false">parametros_recargas!$E$84*'Plan mensual'!K53+parametros_recargas!$F$84*'Plan mensual'!K54+parametros_recargas!$G$84*'Plan mensual'!K55+parametros_recargas!$H$84*'Plan mensual'!K56+parametros_recargas!$I$84*'Plan mensual'!K57+parametros_recargas!$J$84*'Plan mensual'!K58+parametros_recargas!$K$84*'Plan mensual'!K59+parametros_recargas!$L$84*'Plan mensual'!K60</f>
        <v>374.135595460984</v>
      </c>
      <c r="J46" s="23" t="n">
        <f aca="false">parametros_recargas!$E$84*'Plan mensual'!L53+parametros_recargas!$F$84*'Plan mensual'!L54+parametros_recargas!$G$84*'Plan mensual'!L55+parametros_recargas!$H$84*'Plan mensual'!L56+parametros_recargas!$I$84*'Plan mensual'!L57+parametros_recargas!$J$84*'Plan mensual'!L58+parametros_recargas!$K$84*'Plan mensual'!L59+parametros_recargas!$L$84*'Plan mensual'!L60</f>
        <v>374.135595460984</v>
      </c>
      <c r="K46" s="23" t="n">
        <f aca="false">parametros_recargas!$E$84*'Plan mensual'!M53+parametros_recargas!$F$84*'Plan mensual'!M54+parametros_recargas!$G$84*'Plan mensual'!M55+parametros_recargas!$H$84*'Plan mensual'!M56+parametros_recargas!$I$84*'Plan mensual'!M57+parametros_recargas!$J$84*'Plan mensual'!M58+parametros_recargas!$K$84*'Plan mensual'!M59+parametros_recargas!$L$84*'Plan mensual'!M60</f>
        <v>374.135595460984</v>
      </c>
      <c r="L46" s="23" t="n">
        <f aca="false">parametros_recargas!$E$84*'Plan mensual'!N53+parametros_recargas!$F$84*'Plan mensual'!N54+parametros_recargas!$G$84*'Plan mensual'!N55+parametros_recargas!$H$84*'Plan mensual'!N56+parametros_recargas!$I$84*'Plan mensual'!N57+parametros_recargas!$J$84*'Plan mensual'!N58+parametros_recargas!$K$84*'Plan mensual'!N59+parametros_recargas!$L$84*'Plan mensual'!N60</f>
        <v>374.135595460984</v>
      </c>
      <c r="M46" s="23" t="n">
        <f aca="false">parametros_recargas!$E$84*'Plan mensual'!O53+parametros_recargas!$F$84*'Plan mensual'!O54+parametros_recargas!$G$84*'Plan mensual'!O55+parametros_recargas!$H$84*'Plan mensual'!O56+parametros_recargas!$I$84*'Plan mensual'!O57+parametros_recargas!$J$84*'Plan mensual'!O58+parametros_recargas!$K$84*'Plan mensual'!O59+parametros_recargas!$L$84*'Plan mensual'!O60</f>
        <v>374.135595460984</v>
      </c>
      <c r="N46" s="7" t="n">
        <f aca="false">SUM(B46:M46)</f>
        <v>4489.62714553181</v>
      </c>
      <c r="O46" s="24" t="n">
        <f aca="false">MAX(B46:M46)</f>
        <v>374.135595460984</v>
      </c>
      <c r="P46" s="15" t="n">
        <f aca="false">O46/parametros_recargas!$B$6</f>
        <v>2.49423730307323</v>
      </c>
    </row>
    <row r="47" customFormat="false" ht="15" hidden="false" customHeight="false" outlineLevel="0" collapsed="false">
      <c r="A47" s="12" t="str">
        <f aca="false">parametros_recargas!$B$85</f>
        <v>Inspección interior con videoscopio</v>
      </c>
      <c r="B47" s="23" t="n">
        <f aca="false">parametros_recargas!$E$85*'Plan mensual'!D53+parametros_recargas!$F$85*'Plan mensual'!D54+parametros_recargas!$G$85*'Plan mensual'!D55+parametros_recargas!$H$85*'Plan mensual'!D56+parametros_recargas!$I$85*'Plan mensual'!D57+parametros_recargas!$J$85*'Plan mensual'!D58+parametros_recargas!$K$85*'Plan mensual'!D59+parametros_recargas!$L$85*'Plan mensual'!D60</f>
        <v>374.135595460984</v>
      </c>
      <c r="C47" s="23" t="n">
        <f aca="false">parametros_recargas!$E$85*'Plan mensual'!E53+parametros_recargas!$F$85*'Plan mensual'!E54+parametros_recargas!$G$85*'Plan mensual'!E55+parametros_recargas!$H$85*'Plan mensual'!E56+parametros_recargas!$I$85*'Plan mensual'!E57+parametros_recargas!$J$85*'Plan mensual'!E58+parametros_recargas!$K$85*'Plan mensual'!E59+parametros_recargas!$L$85*'Plan mensual'!E60</f>
        <v>374.135595460984</v>
      </c>
      <c r="D47" s="23" t="n">
        <f aca="false">parametros_recargas!$E$85*'Plan mensual'!F53+parametros_recargas!$F$85*'Plan mensual'!F54+parametros_recargas!$G$85*'Plan mensual'!F55+parametros_recargas!$H$85*'Plan mensual'!F56+parametros_recargas!$I$85*'Plan mensual'!F57+parametros_recargas!$J$85*'Plan mensual'!F58+parametros_recargas!$K$85*'Plan mensual'!F59+parametros_recargas!$L$85*'Plan mensual'!F60</f>
        <v>374.135595460984</v>
      </c>
      <c r="E47" s="23" t="n">
        <f aca="false">parametros_recargas!$E$85*'Plan mensual'!G53+parametros_recargas!$F$85*'Plan mensual'!G54+parametros_recargas!$G$85*'Plan mensual'!G55+parametros_recargas!$H$85*'Plan mensual'!G56+parametros_recargas!$I$85*'Plan mensual'!G57+parametros_recargas!$J$85*'Plan mensual'!G58+parametros_recargas!$K$85*'Plan mensual'!G59+parametros_recargas!$L$85*'Plan mensual'!G60</f>
        <v>374.135595460984</v>
      </c>
      <c r="F47" s="23" t="n">
        <f aca="false">parametros_recargas!$E$85*'Plan mensual'!H53+parametros_recargas!$F$85*'Plan mensual'!H54+parametros_recargas!$G$85*'Plan mensual'!H55+parametros_recargas!$H$85*'Plan mensual'!H56+parametros_recargas!$I$85*'Plan mensual'!H57+parametros_recargas!$J$85*'Plan mensual'!H58+parametros_recargas!$K$85*'Plan mensual'!H59+parametros_recargas!$L$85*'Plan mensual'!H60</f>
        <v>374.135595460984</v>
      </c>
      <c r="G47" s="23" t="n">
        <f aca="false">parametros_recargas!$E$85*'Plan mensual'!I53+parametros_recargas!$F$85*'Plan mensual'!I54+parametros_recargas!$G$85*'Plan mensual'!I55+parametros_recargas!$H$85*'Plan mensual'!I56+parametros_recargas!$I$85*'Plan mensual'!I57+parametros_recargas!$J$85*'Plan mensual'!I58+parametros_recargas!$K$85*'Plan mensual'!I59+parametros_recargas!$L$85*'Plan mensual'!I60</f>
        <v>374.135595460984</v>
      </c>
      <c r="H47" s="23" t="n">
        <f aca="false">parametros_recargas!$E$85*'Plan mensual'!J53+parametros_recargas!$F$85*'Plan mensual'!J54+parametros_recargas!$G$85*'Plan mensual'!J55+parametros_recargas!$H$85*'Plan mensual'!J56+parametros_recargas!$I$85*'Plan mensual'!J57+parametros_recargas!$J$85*'Plan mensual'!J58+parametros_recargas!$K$85*'Plan mensual'!J59+parametros_recargas!$L$85*'Plan mensual'!J60</f>
        <v>374.135595460984</v>
      </c>
      <c r="I47" s="23" t="n">
        <f aca="false">parametros_recargas!$E$85*'Plan mensual'!K53+parametros_recargas!$F$85*'Plan mensual'!K54+parametros_recargas!$G$85*'Plan mensual'!K55+parametros_recargas!$H$85*'Plan mensual'!K56+parametros_recargas!$I$85*'Plan mensual'!K57+parametros_recargas!$J$85*'Plan mensual'!K58+parametros_recargas!$K$85*'Plan mensual'!K59+parametros_recargas!$L$85*'Plan mensual'!K60</f>
        <v>374.135595460984</v>
      </c>
      <c r="J47" s="23" t="n">
        <f aca="false">parametros_recargas!$E$85*'Plan mensual'!L53+parametros_recargas!$F$85*'Plan mensual'!L54+parametros_recargas!$G$85*'Plan mensual'!L55+parametros_recargas!$H$85*'Plan mensual'!L56+parametros_recargas!$I$85*'Plan mensual'!L57+parametros_recargas!$J$85*'Plan mensual'!L58+parametros_recargas!$K$85*'Plan mensual'!L59+parametros_recargas!$L$85*'Plan mensual'!L60</f>
        <v>374.135595460984</v>
      </c>
      <c r="K47" s="23" t="n">
        <f aca="false">parametros_recargas!$E$85*'Plan mensual'!M53+parametros_recargas!$F$85*'Plan mensual'!M54+parametros_recargas!$G$85*'Plan mensual'!M55+parametros_recargas!$H$85*'Plan mensual'!M56+parametros_recargas!$I$85*'Plan mensual'!M57+parametros_recargas!$J$85*'Plan mensual'!M58+parametros_recargas!$K$85*'Plan mensual'!M59+parametros_recargas!$L$85*'Plan mensual'!M60</f>
        <v>374.135595460984</v>
      </c>
      <c r="L47" s="23" t="n">
        <f aca="false">parametros_recargas!$E$85*'Plan mensual'!N53+parametros_recargas!$F$85*'Plan mensual'!N54+parametros_recargas!$G$85*'Plan mensual'!N55+parametros_recargas!$H$85*'Plan mensual'!N56+parametros_recargas!$I$85*'Plan mensual'!N57+parametros_recargas!$J$85*'Plan mensual'!N58+parametros_recargas!$K$85*'Plan mensual'!N59+parametros_recargas!$L$85*'Plan mensual'!N60</f>
        <v>374.135595460984</v>
      </c>
      <c r="M47" s="23" t="n">
        <f aca="false">parametros_recargas!$E$85*'Plan mensual'!O53+parametros_recargas!$F$85*'Plan mensual'!O54+parametros_recargas!$G$85*'Plan mensual'!O55+parametros_recargas!$H$85*'Plan mensual'!O56+parametros_recargas!$I$85*'Plan mensual'!O57+parametros_recargas!$J$85*'Plan mensual'!O58+parametros_recargas!$K$85*'Plan mensual'!O59+parametros_recargas!$L$85*'Plan mensual'!O60</f>
        <v>374.135595460984</v>
      </c>
      <c r="N47" s="7" t="n">
        <f aca="false">SUM(B47:M47)</f>
        <v>4489.62714553181</v>
      </c>
      <c r="O47" s="24" t="n">
        <f aca="false">MAX(B47:M47)</f>
        <v>374.135595460984</v>
      </c>
      <c r="P47" s="15" t="n">
        <f aca="false">O47/parametros_recargas!$B$6</f>
        <v>2.49423730307323</v>
      </c>
    </row>
    <row r="48" customFormat="false" ht="15" hidden="false" customHeight="false" outlineLevel="0" collapsed="false">
      <c r="A48" s="12" t="str">
        <f aca="false">parametros_recargas!$B$86</f>
        <v>Pintura</v>
      </c>
      <c r="B48" s="23" t="n">
        <f aca="false">parametros_recargas!$E$86*'Plan mensual'!D53+parametros_recargas!$F$86*'Plan mensual'!D54+parametros_recargas!$G$86*'Plan mensual'!D55+parametros_recargas!$H$86*'Plan mensual'!D56+parametros_recargas!$I$86*'Plan mensual'!D57+parametros_recargas!$J$86*'Plan mensual'!D58+parametros_recargas!$K$86*'Plan mensual'!D59+parametros_recargas!$L$86*'Plan mensual'!D60</f>
        <v>187.147264729046</v>
      </c>
      <c r="C48" s="23" t="n">
        <f aca="false">parametros_recargas!$E$86*'Plan mensual'!E53+parametros_recargas!$F$86*'Plan mensual'!E54+parametros_recargas!$G$86*'Plan mensual'!E55+parametros_recargas!$H$86*'Plan mensual'!E56+parametros_recargas!$I$86*'Plan mensual'!E57+parametros_recargas!$J$86*'Plan mensual'!E58+parametros_recargas!$K$86*'Plan mensual'!E59+parametros_recargas!$L$86*'Plan mensual'!E60</f>
        <v>187.147264729046</v>
      </c>
      <c r="D48" s="23" t="n">
        <f aca="false">parametros_recargas!$E$86*'Plan mensual'!F53+parametros_recargas!$F$86*'Plan mensual'!F54+parametros_recargas!$G$86*'Plan mensual'!F55+parametros_recargas!$H$86*'Plan mensual'!F56+parametros_recargas!$I$86*'Plan mensual'!F57+parametros_recargas!$J$86*'Plan mensual'!F58+parametros_recargas!$K$86*'Plan mensual'!F59+parametros_recargas!$L$86*'Plan mensual'!F60</f>
        <v>187.147264729046</v>
      </c>
      <c r="E48" s="23" t="n">
        <f aca="false">parametros_recargas!$E$86*'Plan mensual'!G53+parametros_recargas!$F$86*'Plan mensual'!G54+parametros_recargas!$G$86*'Plan mensual'!G55+parametros_recargas!$H$86*'Plan mensual'!G56+parametros_recargas!$I$86*'Plan mensual'!G57+parametros_recargas!$J$86*'Plan mensual'!G58+parametros_recargas!$K$86*'Plan mensual'!G59+parametros_recargas!$L$86*'Plan mensual'!G60</f>
        <v>187.147264729046</v>
      </c>
      <c r="F48" s="23" t="n">
        <f aca="false">parametros_recargas!$E$86*'Plan mensual'!H53+parametros_recargas!$F$86*'Plan mensual'!H54+parametros_recargas!$G$86*'Plan mensual'!H55+parametros_recargas!$H$86*'Plan mensual'!H56+parametros_recargas!$I$86*'Plan mensual'!H57+parametros_recargas!$J$86*'Plan mensual'!H58+parametros_recargas!$K$86*'Plan mensual'!H59+parametros_recargas!$L$86*'Plan mensual'!H60</f>
        <v>187.147264729046</v>
      </c>
      <c r="G48" s="23" t="n">
        <f aca="false">parametros_recargas!$E$86*'Plan mensual'!I53+parametros_recargas!$F$86*'Plan mensual'!I54+parametros_recargas!$G$86*'Plan mensual'!I55+parametros_recargas!$H$86*'Plan mensual'!I56+parametros_recargas!$I$86*'Plan mensual'!I57+parametros_recargas!$J$86*'Plan mensual'!I58+parametros_recargas!$K$86*'Plan mensual'!I59+parametros_recargas!$L$86*'Plan mensual'!I60</f>
        <v>187.147264729046</v>
      </c>
      <c r="H48" s="23" t="n">
        <f aca="false">parametros_recargas!$E$86*'Plan mensual'!J53+parametros_recargas!$F$86*'Plan mensual'!J54+parametros_recargas!$G$86*'Plan mensual'!J55+parametros_recargas!$H$86*'Plan mensual'!J56+parametros_recargas!$I$86*'Plan mensual'!J57+parametros_recargas!$J$86*'Plan mensual'!J58+parametros_recargas!$K$86*'Plan mensual'!J59+parametros_recargas!$L$86*'Plan mensual'!J60</f>
        <v>187.147264729046</v>
      </c>
      <c r="I48" s="23" t="n">
        <f aca="false">parametros_recargas!$E$86*'Plan mensual'!K53+parametros_recargas!$F$86*'Plan mensual'!K54+parametros_recargas!$G$86*'Plan mensual'!K55+parametros_recargas!$H$86*'Plan mensual'!K56+parametros_recargas!$I$86*'Plan mensual'!K57+parametros_recargas!$J$86*'Plan mensual'!K58+parametros_recargas!$K$86*'Plan mensual'!K59+parametros_recargas!$L$86*'Plan mensual'!K60</f>
        <v>187.147264729046</v>
      </c>
      <c r="J48" s="23" t="n">
        <f aca="false">parametros_recargas!$E$86*'Plan mensual'!L53+parametros_recargas!$F$86*'Plan mensual'!L54+parametros_recargas!$G$86*'Plan mensual'!L55+parametros_recargas!$H$86*'Plan mensual'!L56+parametros_recargas!$I$86*'Plan mensual'!L57+parametros_recargas!$J$86*'Plan mensual'!L58+parametros_recargas!$K$86*'Plan mensual'!L59+parametros_recargas!$L$86*'Plan mensual'!L60</f>
        <v>187.147264729046</v>
      </c>
      <c r="K48" s="23" t="n">
        <f aca="false">parametros_recargas!$E$86*'Plan mensual'!M53+parametros_recargas!$F$86*'Plan mensual'!M54+parametros_recargas!$G$86*'Plan mensual'!M55+parametros_recargas!$H$86*'Plan mensual'!M56+parametros_recargas!$I$86*'Plan mensual'!M57+parametros_recargas!$J$86*'Plan mensual'!M58+parametros_recargas!$K$86*'Plan mensual'!M59+parametros_recargas!$L$86*'Plan mensual'!M60</f>
        <v>187.147264729046</v>
      </c>
      <c r="L48" s="23" t="n">
        <f aca="false">parametros_recargas!$E$86*'Plan mensual'!N53+parametros_recargas!$F$86*'Plan mensual'!N54+parametros_recargas!$G$86*'Plan mensual'!N55+parametros_recargas!$H$86*'Plan mensual'!N56+parametros_recargas!$I$86*'Plan mensual'!N57+parametros_recargas!$J$86*'Plan mensual'!N58+parametros_recargas!$K$86*'Plan mensual'!N59+parametros_recargas!$L$86*'Plan mensual'!N60</f>
        <v>187.147264729046</v>
      </c>
      <c r="M48" s="23" t="n">
        <f aca="false">parametros_recargas!$E$86*'Plan mensual'!O53+parametros_recargas!$F$86*'Plan mensual'!O54+parametros_recargas!$G$86*'Plan mensual'!O55+parametros_recargas!$H$86*'Plan mensual'!O56+parametros_recargas!$I$86*'Plan mensual'!O57+parametros_recargas!$J$86*'Plan mensual'!O58+parametros_recargas!$K$86*'Plan mensual'!O59+parametros_recargas!$L$86*'Plan mensual'!O60</f>
        <v>187.147264729046</v>
      </c>
      <c r="N48" s="7" t="n">
        <f aca="false">SUM(B48:M48)</f>
        <v>2245.76717674855</v>
      </c>
      <c r="O48" s="24" t="n">
        <f aca="false">MAX(B48:M48)</f>
        <v>187.147264729046</v>
      </c>
      <c r="P48" s="15" t="n">
        <f aca="false">O48/parametros_recargas!$B$6</f>
        <v>1.24764843152697</v>
      </c>
    </row>
    <row r="49" customFormat="false" ht="15" hidden="false" customHeight="false" outlineLevel="0" collapsed="false">
      <c r="A49" s="12" t="str">
        <f aca="false">parametros_recargas!$B$87</f>
        <v>Carga de polvo ABC</v>
      </c>
      <c r="B49" s="23" t="n">
        <f aca="false">parametros_recargas!$E$87*'Plan mensual'!D53+parametros_recargas!$F$87*'Plan mensual'!D54+parametros_recargas!$G$87*'Plan mensual'!D55+parametros_recargas!$H$87*'Plan mensual'!D56+parametros_recargas!$I$87*'Plan mensual'!D57+parametros_recargas!$J$87*'Plan mensual'!D58+parametros_recargas!$K$87*'Plan mensual'!D59+parametros_recargas!$L$87*'Plan mensual'!D60</f>
        <v>1637.04761743039</v>
      </c>
      <c r="C49" s="23" t="n">
        <f aca="false">parametros_recargas!$E$87*'Plan mensual'!E53+parametros_recargas!$F$87*'Plan mensual'!E54+parametros_recargas!$G$87*'Plan mensual'!E55+parametros_recargas!$H$87*'Plan mensual'!E56+parametros_recargas!$I$87*'Plan mensual'!E57+parametros_recargas!$J$87*'Plan mensual'!E58+parametros_recargas!$K$87*'Plan mensual'!E59+parametros_recargas!$L$87*'Plan mensual'!E60</f>
        <v>1637.04761743039</v>
      </c>
      <c r="D49" s="23" t="n">
        <f aca="false">parametros_recargas!$E$87*'Plan mensual'!F53+parametros_recargas!$F$87*'Plan mensual'!F54+parametros_recargas!$G$87*'Plan mensual'!F55+parametros_recargas!$H$87*'Plan mensual'!F56+parametros_recargas!$I$87*'Plan mensual'!F57+parametros_recargas!$J$87*'Plan mensual'!F58+parametros_recargas!$K$87*'Plan mensual'!F59+parametros_recargas!$L$87*'Plan mensual'!F60</f>
        <v>1637.04761743039</v>
      </c>
      <c r="E49" s="23" t="n">
        <f aca="false">parametros_recargas!$E$87*'Plan mensual'!G53+parametros_recargas!$F$87*'Plan mensual'!G54+parametros_recargas!$G$87*'Plan mensual'!G55+parametros_recargas!$H$87*'Plan mensual'!G56+parametros_recargas!$I$87*'Plan mensual'!G57+parametros_recargas!$J$87*'Plan mensual'!G58+parametros_recargas!$K$87*'Plan mensual'!G59+parametros_recargas!$L$87*'Plan mensual'!G60</f>
        <v>1637.04761743039</v>
      </c>
      <c r="F49" s="23" t="n">
        <f aca="false">parametros_recargas!$E$87*'Plan mensual'!H53+parametros_recargas!$F$87*'Plan mensual'!H54+parametros_recargas!$G$87*'Plan mensual'!H55+parametros_recargas!$H$87*'Plan mensual'!H56+parametros_recargas!$I$87*'Plan mensual'!H57+parametros_recargas!$J$87*'Plan mensual'!H58+parametros_recargas!$K$87*'Plan mensual'!H59+parametros_recargas!$L$87*'Plan mensual'!H60</f>
        <v>1637.04761743039</v>
      </c>
      <c r="G49" s="23" t="n">
        <f aca="false">parametros_recargas!$E$87*'Plan mensual'!I53+parametros_recargas!$F$87*'Plan mensual'!I54+parametros_recargas!$G$87*'Plan mensual'!I55+parametros_recargas!$H$87*'Plan mensual'!I56+parametros_recargas!$I$87*'Plan mensual'!I57+parametros_recargas!$J$87*'Plan mensual'!I58+parametros_recargas!$K$87*'Plan mensual'!I59+parametros_recargas!$L$87*'Plan mensual'!I60</f>
        <v>1637.04761743039</v>
      </c>
      <c r="H49" s="23" t="n">
        <f aca="false">parametros_recargas!$E$87*'Plan mensual'!J53+parametros_recargas!$F$87*'Plan mensual'!J54+parametros_recargas!$G$87*'Plan mensual'!J55+parametros_recargas!$H$87*'Plan mensual'!J56+parametros_recargas!$I$87*'Plan mensual'!J57+parametros_recargas!$J$87*'Plan mensual'!J58+parametros_recargas!$K$87*'Plan mensual'!J59+parametros_recargas!$L$87*'Plan mensual'!J60</f>
        <v>1637.04761743039</v>
      </c>
      <c r="I49" s="23" t="n">
        <f aca="false">parametros_recargas!$E$87*'Plan mensual'!K53+parametros_recargas!$F$87*'Plan mensual'!K54+parametros_recargas!$G$87*'Plan mensual'!K55+parametros_recargas!$H$87*'Plan mensual'!K56+parametros_recargas!$I$87*'Plan mensual'!K57+parametros_recargas!$J$87*'Plan mensual'!K58+parametros_recargas!$K$87*'Plan mensual'!K59+parametros_recargas!$L$87*'Plan mensual'!K60</f>
        <v>1637.04761743039</v>
      </c>
      <c r="J49" s="23" t="n">
        <f aca="false">parametros_recargas!$E$87*'Plan mensual'!L53+parametros_recargas!$F$87*'Plan mensual'!L54+parametros_recargas!$G$87*'Plan mensual'!L55+parametros_recargas!$H$87*'Plan mensual'!L56+parametros_recargas!$I$87*'Plan mensual'!L57+parametros_recargas!$J$87*'Plan mensual'!L58+parametros_recargas!$K$87*'Plan mensual'!L59+parametros_recargas!$L$87*'Plan mensual'!L60</f>
        <v>1637.04761743039</v>
      </c>
      <c r="K49" s="23" t="n">
        <f aca="false">parametros_recargas!$E$87*'Plan mensual'!M53+parametros_recargas!$F$87*'Plan mensual'!M54+parametros_recargas!$G$87*'Plan mensual'!M55+parametros_recargas!$H$87*'Plan mensual'!M56+parametros_recargas!$I$87*'Plan mensual'!M57+parametros_recargas!$J$87*'Plan mensual'!M58+parametros_recargas!$K$87*'Plan mensual'!M59+parametros_recargas!$L$87*'Plan mensual'!M60</f>
        <v>1637.04761743039</v>
      </c>
      <c r="L49" s="23" t="n">
        <f aca="false">parametros_recargas!$E$87*'Plan mensual'!N53+parametros_recargas!$F$87*'Plan mensual'!N54+parametros_recargas!$G$87*'Plan mensual'!N55+parametros_recargas!$H$87*'Plan mensual'!N56+parametros_recargas!$I$87*'Plan mensual'!N57+parametros_recargas!$J$87*'Plan mensual'!N58+parametros_recargas!$K$87*'Plan mensual'!N59+parametros_recargas!$L$87*'Plan mensual'!N60</f>
        <v>1637.04761743039</v>
      </c>
      <c r="M49" s="23" t="n">
        <f aca="false">parametros_recargas!$E$87*'Plan mensual'!O53+parametros_recargas!$F$87*'Plan mensual'!O54+parametros_recargas!$G$87*'Plan mensual'!O55+parametros_recargas!$H$87*'Plan mensual'!O56+parametros_recargas!$I$87*'Plan mensual'!O57+parametros_recargas!$J$87*'Plan mensual'!O58+parametros_recargas!$K$87*'Plan mensual'!O59+parametros_recargas!$L$87*'Plan mensual'!O60</f>
        <v>1637.04761743039</v>
      </c>
      <c r="N49" s="7" t="n">
        <f aca="false">SUM(B49:M49)</f>
        <v>19644.5714091647</v>
      </c>
      <c r="O49" s="24" t="n">
        <f aca="false">MAX(B49:M49)</f>
        <v>1637.04761743039</v>
      </c>
      <c r="P49" s="15" t="n">
        <f aca="false">O49/parametros_recargas!$B$6</f>
        <v>10.9136507828693</v>
      </c>
    </row>
    <row r="50" customFormat="false" ht="15" hidden="false" customHeight="false" outlineLevel="0" collapsed="false">
      <c r="A50" s="12" t="str">
        <f aca="false">parametros_recargas!$B$88</f>
        <v>Carga de polvo BC</v>
      </c>
      <c r="B50" s="23" t="n">
        <f aca="false">parametros_recargas!$E$88*'Plan mensual'!D53+parametros_recargas!$F$88*'Plan mensual'!D54+parametros_recargas!$G$88*'Plan mensual'!D55+parametros_recargas!$H$88*'Plan mensual'!D56+parametros_recargas!$I$88*'Plan mensual'!D57+parametros_recargas!$J$88*'Plan mensual'!D58+parametros_recargas!$K$88*'Plan mensual'!D59+parametros_recargas!$L$88*'Plan mensual'!D60</f>
        <v>2.87541022411688</v>
      </c>
      <c r="C50" s="23" t="n">
        <f aca="false">parametros_recargas!$E$88*'Plan mensual'!E53+parametros_recargas!$F$88*'Plan mensual'!E54+parametros_recargas!$G$88*'Plan mensual'!E55+parametros_recargas!$H$88*'Plan mensual'!E56+parametros_recargas!$I$88*'Plan mensual'!E57+parametros_recargas!$J$88*'Plan mensual'!E58+parametros_recargas!$K$88*'Plan mensual'!E59+parametros_recargas!$L$88*'Plan mensual'!E60</f>
        <v>2.87541022411688</v>
      </c>
      <c r="D50" s="23" t="n">
        <f aca="false">parametros_recargas!$E$88*'Plan mensual'!F53+parametros_recargas!$F$88*'Plan mensual'!F54+parametros_recargas!$G$88*'Plan mensual'!F55+parametros_recargas!$H$88*'Plan mensual'!F56+parametros_recargas!$I$88*'Plan mensual'!F57+parametros_recargas!$J$88*'Plan mensual'!F58+parametros_recargas!$K$88*'Plan mensual'!F59+parametros_recargas!$L$88*'Plan mensual'!F60</f>
        <v>2.87541022411688</v>
      </c>
      <c r="E50" s="23" t="n">
        <f aca="false">parametros_recargas!$E$88*'Plan mensual'!G53+parametros_recargas!$F$88*'Plan mensual'!G54+parametros_recargas!$G$88*'Plan mensual'!G55+parametros_recargas!$H$88*'Plan mensual'!G56+parametros_recargas!$I$88*'Plan mensual'!G57+parametros_recargas!$J$88*'Plan mensual'!G58+parametros_recargas!$K$88*'Plan mensual'!G59+parametros_recargas!$L$88*'Plan mensual'!G60</f>
        <v>2.87541022411688</v>
      </c>
      <c r="F50" s="23" t="n">
        <f aca="false">parametros_recargas!$E$88*'Plan mensual'!H53+parametros_recargas!$F$88*'Plan mensual'!H54+parametros_recargas!$G$88*'Plan mensual'!H55+parametros_recargas!$H$88*'Plan mensual'!H56+parametros_recargas!$I$88*'Plan mensual'!H57+parametros_recargas!$J$88*'Plan mensual'!H58+parametros_recargas!$K$88*'Plan mensual'!H59+parametros_recargas!$L$88*'Plan mensual'!H60</f>
        <v>2.87541022411688</v>
      </c>
      <c r="G50" s="23" t="n">
        <f aca="false">parametros_recargas!$E$88*'Plan mensual'!I53+parametros_recargas!$F$88*'Plan mensual'!I54+parametros_recargas!$G$88*'Plan mensual'!I55+parametros_recargas!$H$88*'Plan mensual'!I56+parametros_recargas!$I$88*'Plan mensual'!I57+parametros_recargas!$J$88*'Plan mensual'!I58+parametros_recargas!$K$88*'Plan mensual'!I59+parametros_recargas!$L$88*'Plan mensual'!I60</f>
        <v>2.87541022411688</v>
      </c>
      <c r="H50" s="23" t="n">
        <f aca="false">parametros_recargas!$E$88*'Plan mensual'!J53+parametros_recargas!$F$88*'Plan mensual'!J54+parametros_recargas!$G$88*'Plan mensual'!J55+parametros_recargas!$H$88*'Plan mensual'!J56+parametros_recargas!$I$88*'Plan mensual'!J57+parametros_recargas!$J$88*'Plan mensual'!J58+parametros_recargas!$K$88*'Plan mensual'!J59+parametros_recargas!$L$88*'Plan mensual'!J60</f>
        <v>2.87541022411688</v>
      </c>
      <c r="I50" s="23" t="n">
        <f aca="false">parametros_recargas!$E$88*'Plan mensual'!K53+parametros_recargas!$F$88*'Plan mensual'!K54+parametros_recargas!$G$88*'Plan mensual'!K55+parametros_recargas!$H$88*'Plan mensual'!K56+parametros_recargas!$I$88*'Plan mensual'!K57+parametros_recargas!$J$88*'Plan mensual'!K58+parametros_recargas!$K$88*'Plan mensual'!K59+parametros_recargas!$L$88*'Plan mensual'!K60</f>
        <v>2.87541022411688</v>
      </c>
      <c r="J50" s="23" t="n">
        <f aca="false">parametros_recargas!$E$88*'Plan mensual'!L53+parametros_recargas!$F$88*'Plan mensual'!L54+parametros_recargas!$G$88*'Plan mensual'!L55+parametros_recargas!$H$88*'Plan mensual'!L56+parametros_recargas!$I$88*'Plan mensual'!L57+parametros_recargas!$J$88*'Plan mensual'!L58+parametros_recargas!$K$88*'Plan mensual'!L59+parametros_recargas!$L$88*'Plan mensual'!L60</f>
        <v>2.87541022411688</v>
      </c>
      <c r="K50" s="23" t="n">
        <f aca="false">parametros_recargas!$E$88*'Plan mensual'!M53+parametros_recargas!$F$88*'Plan mensual'!M54+parametros_recargas!$G$88*'Plan mensual'!M55+parametros_recargas!$H$88*'Plan mensual'!M56+parametros_recargas!$I$88*'Plan mensual'!M57+parametros_recargas!$J$88*'Plan mensual'!M58+parametros_recargas!$K$88*'Plan mensual'!M59+parametros_recargas!$L$88*'Plan mensual'!M60</f>
        <v>2.87541022411688</v>
      </c>
      <c r="L50" s="23" t="n">
        <f aca="false">parametros_recargas!$E$88*'Plan mensual'!N53+parametros_recargas!$F$88*'Plan mensual'!N54+parametros_recargas!$G$88*'Plan mensual'!N55+parametros_recargas!$H$88*'Plan mensual'!N56+parametros_recargas!$I$88*'Plan mensual'!N57+parametros_recargas!$J$88*'Plan mensual'!N58+parametros_recargas!$K$88*'Plan mensual'!N59+parametros_recargas!$L$88*'Plan mensual'!N60</f>
        <v>2.87541022411688</v>
      </c>
      <c r="M50" s="23" t="n">
        <f aca="false">parametros_recargas!$E$88*'Plan mensual'!O53+parametros_recargas!$F$88*'Plan mensual'!O54+parametros_recargas!$G$88*'Plan mensual'!O55+parametros_recargas!$H$88*'Plan mensual'!O56+parametros_recargas!$I$88*'Plan mensual'!O57+parametros_recargas!$J$88*'Plan mensual'!O58+parametros_recargas!$K$88*'Plan mensual'!O59+parametros_recargas!$L$88*'Plan mensual'!O60</f>
        <v>2.87541022411688</v>
      </c>
      <c r="N50" s="7" t="n">
        <f aca="false">SUM(B50:M50)</f>
        <v>34.5049226894026</v>
      </c>
      <c r="O50" s="24" t="n">
        <f aca="false">MAX(B50:M50)</f>
        <v>2.87541022411688</v>
      </c>
      <c r="P50" s="15" t="n">
        <f aca="false">O50/parametros_recargas!$B$6</f>
        <v>0.0191694014941125</v>
      </c>
    </row>
    <row r="51" customFormat="false" ht="15" hidden="false" customHeight="false" outlineLevel="0" collapsed="false">
      <c r="A51" s="12" t="str">
        <f aca="false">parametros_recargas!$B$89</f>
        <v>Descarga y carga Clase D</v>
      </c>
      <c r="B51" s="23" t="n">
        <f aca="false">parametros_recargas!$E$89*'Plan mensual'!D53+parametros_recargas!$F$89*'Plan mensual'!D54+parametros_recargas!$G$89*'Plan mensual'!D55+parametros_recargas!$H$89*'Plan mensual'!D56+parametros_recargas!$I$89*'Plan mensual'!D57+parametros_recargas!$J$89*'Plan mensual'!D58+parametros_recargas!$K$89*'Plan mensual'!D59+parametros_recargas!$L$89*'Plan mensual'!D60</f>
        <v>2.87541022411688</v>
      </c>
      <c r="C51" s="23" t="n">
        <f aca="false">parametros_recargas!$E$89*'Plan mensual'!E53+parametros_recargas!$F$89*'Plan mensual'!E54+parametros_recargas!$G$89*'Plan mensual'!E55+parametros_recargas!$H$89*'Plan mensual'!E56+parametros_recargas!$I$89*'Plan mensual'!E57+parametros_recargas!$J$89*'Plan mensual'!E58+parametros_recargas!$K$89*'Plan mensual'!E59+parametros_recargas!$L$89*'Plan mensual'!E60</f>
        <v>2.87541022411688</v>
      </c>
      <c r="D51" s="23" t="n">
        <f aca="false">parametros_recargas!$E$89*'Plan mensual'!F53+parametros_recargas!$F$89*'Plan mensual'!F54+parametros_recargas!$G$89*'Plan mensual'!F55+parametros_recargas!$H$89*'Plan mensual'!F56+parametros_recargas!$I$89*'Plan mensual'!F57+parametros_recargas!$J$89*'Plan mensual'!F58+parametros_recargas!$K$89*'Plan mensual'!F59+parametros_recargas!$L$89*'Plan mensual'!F60</f>
        <v>2.87541022411688</v>
      </c>
      <c r="E51" s="23" t="n">
        <f aca="false">parametros_recargas!$E$89*'Plan mensual'!G53+parametros_recargas!$F$89*'Plan mensual'!G54+parametros_recargas!$G$89*'Plan mensual'!G55+parametros_recargas!$H$89*'Plan mensual'!G56+parametros_recargas!$I$89*'Plan mensual'!G57+parametros_recargas!$J$89*'Plan mensual'!G58+parametros_recargas!$K$89*'Plan mensual'!G59+parametros_recargas!$L$89*'Plan mensual'!G60</f>
        <v>2.87541022411688</v>
      </c>
      <c r="F51" s="23" t="n">
        <f aca="false">parametros_recargas!$E$89*'Plan mensual'!H53+parametros_recargas!$F$89*'Plan mensual'!H54+parametros_recargas!$G$89*'Plan mensual'!H55+parametros_recargas!$H$89*'Plan mensual'!H56+parametros_recargas!$I$89*'Plan mensual'!H57+parametros_recargas!$J$89*'Plan mensual'!H58+parametros_recargas!$K$89*'Plan mensual'!H59+parametros_recargas!$L$89*'Plan mensual'!H60</f>
        <v>2.87541022411688</v>
      </c>
      <c r="G51" s="23" t="n">
        <f aca="false">parametros_recargas!$E$89*'Plan mensual'!I53+parametros_recargas!$F$89*'Plan mensual'!I54+parametros_recargas!$G$89*'Plan mensual'!I55+parametros_recargas!$H$89*'Plan mensual'!I56+parametros_recargas!$I$89*'Plan mensual'!I57+parametros_recargas!$J$89*'Plan mensual'!I58+parametros_recargas!$K$89*'Plan mensual'!I59+parametros_recargas!$L$89*'Plan mensual'!I60</f>
        <v>2.87541022411688</v>
      </c>
      <c r="H51" s="23" t="n">
        <f aca="false">parametros_recargas!$E$89*'Plan mensual'!J53+parametros_recargas!$F$89*'Plan mensual'!J54+parametros_recargas!$G$89*'Plan mensual'!J55+parametros_recargas!$H$89*'Plan mensual'!J56+parametros_recargas!$I$89*'Plan mensual'!J57+parametros_recargas!$J$89*'Plan mensual'!J58+parametros_recargas!$K$89*'Plan mensual'!J59+parametros_recargas!$L$89*'Plan mensual'!J60</f>
        <v>2.87541022411688</v>
      </c>
      <c r="I51" s="23" t="n">
        <f aca="false">parametros_recargas!$E$89*'Plan mensual'!K53+parametros_recargas!$F$89*'Plan mensual'!K54+parametros_recargas!$G$89*'Plan mensual'!K55+parametros_recargas!$H$89*'Plan mensual'!K56+parametros_recargas!$I$89*'Plan mensual'!K57+parametros_recargas!$J$89*'Plan mensual'!K58+parametros_recargas!$K$89*'Plan mensual'!K59+parametros_recargas!$L$89*'Plan mensual'!K60</f>
        <v>2.87541022411688</v>
      </c>
      <c r="J51" s="23" t="n">
        <f aca="false">parametros_recargas!$E$89*'Plan mensual'!L53+parametros_recargas!$F$89*'Plan mensual'!L54+parametros_recargas!$G$89*'Plan mensual'!L55+parametros_recargas!$H$89*'Plan mensual'!L56+parametros_recargas!$I$89*'Plan mensual'!L57+parametros_recargas!$J$89*'Plan mensual'!L58+parametros_recargas!$K$89*'Plan mensual'!L59+parametros_recargas!$L$89*'Plan mensual'!L60</f>
        <v>2.87541022411688</v>
      </c>
      <c r="K51" s="23" t="n">
        <f aca="false">parametros_recargas!$E$89*'Plan mensual'!M53+parametros_recargas!$F$89*'Plan mensual'!M54+parametros_recargas!$G$89*'Plan mensual'!M55+parametros_recargas!$H$89*'Plan mensual'!M56+parametros_recargas!$I$89*'Plan mensual'!M57+parametros_recargas!$J$89*'Plan mensual'!M58+parametros_recargas!$K$89*'Plan mensual'!M59+parametros_recargas!$L$89*'Plan mensual'!M60</f>
        <v>2.87541022411688</v>
      </c>
      <c r="L51" s="23" t="n">
        <f aca="false">parametros_recargas!$E$89*'Plan mensual'!N53+parametros_recargas!$F$89*'Plan mensual'!N54+parametros_recargas!$G$89*'Plan mensual'!N55+parametros_recargas!$H$89*'Plan mensual'!N56+parametros_recargas!$I$89*'Plan mensual'!N57+parametros_recargas!$J$89*'Plan mensual'!N58+parametros_recargas!$K$89*'Plan mensual'!N59+parametros_recargas!$L$89*'Plan mensual'!N60</f>
        <v>2.87541022411688</v>
      </c>
      <c r="M51" s="23" t="n">
        <f aca="false">parametros_recargas!$E$89*'Plan mensual'!O53+parametros_recargas!$F$89*'Plan mensual'!O54+parametros_recargas!$G$89*'Plan mensual'!O55+parametros_recargas!$H$89*'Plan mensual'!O56+parametros_recargas!$I$89*'Plan mensual'!O57+parametros_recargas!$J$89*'Plan mensual'!O58+parametros_recargas!$K$89*'Plan mensual'!O59+parametros_recargas!$L$89*'Plan mensual'!O60</f>
        <v>2.87541022411688</v>
      </c>
      <c r="N51" s="7" t="n">
        <f aca="false">SUM(B51:M51)</f>
        <v>34.5049226894026</v>
      </c>
      <c r="O51" s="24" t="n">
        <f aca="false">MAX(B51:M51)</f>
        <v>2.87541022411688</v>
      </c>
      <c r="P51" s="15" t="n">
        <f aca="false">O51/parametros_recargas!$B$6</f>
        <v>0.0191694014941125</v>
      </c>
    </row>
    <row r="52" customFormat="false" ht="15" hidden="false" customHeight="false" outlineLevel="0" collapsed="false">
      <c r="A52" s="12" t="str">
        <f aca="false">parametros_recargas!$B$90</f>
        <v>Carga de agua / AFFF / sales K</v>
      </c>
      <c r="B52" s="23" t="n">
        <f aca="false">parametros_recargas!$E$90*'Plan mensual'!D53+parametros_recargas!$F$90*'Plan mensual'!D54+parametros_recargas!$G$90*'Plan mensual'!D55+parametros_recargas!$H$90*'Plan mensual'!D56+parametros_recargas!$I$90*'Plan mensual'!D57+parametros_recargas!$J$90*'Plan mensual'!D58+parametros_recargas!$K$90*'Plan mensual'!D59+parametros_recargas!$L$90*'Plan mensual'!D60</f>
        <v>82.9345918794691</v>
      </c>
      <c r="C52" s="23" t="n">
        <f aca="false">parametros_recargas!$E$90*'Plan mensual'!E53+parametros_recargas!$F$90*'Plan mensual'!E54+parametros_recargas!$G$90*'Plan mensual'!E55+parametros_recargas!$H$90*'Plan mensual'!E56+parametros_recargas!$I$90*'Plan mensual'!E57+parametros_recargas!$J$90*'Plan mensual'!E58+parametros_recargas!$K$90*'Plan mensual'!E59+parametros_recargas!$L$90*'Plan mensual'!E60</f>
        <v>82.9345918794691</v>
      </c>
      <c r="D52" s="23" t="n">
        <f aca="false">parametros_recargas!$E$90*'Plan mensual'!F53+parametros_recargas!$F$90*'Plan mensual'!F54+parametros_recargas!$G$90*'Plan mensual'!F55+parametros_recargas!$H$90*'Plan mensual'!F56+parametros_recargas!$I$90*'Plan mensual'!F57+parametros_recargas!$J$90*'Plan mensual'!F58+parametros_recargas!$K$90*'Plan mensual'!F59+parametros_recargas!$L$90*'Plan mensual'!F60</f>
        <v>82.9345918794691</v>
      </c>
      <c r="E52" s="23" t="n">
        <f aca="false">parametros_recargas!$E$90*'Plan mensual'!G53+parametros_recargas!$F$90*'Plan mensual'!G54+parametros_recargas!$G$90*'Plan mensual'!G55+parametros_recargas!$H$90*'Plan mensual'!G56+parametros_recargas!$I$90*'Plan mensual'!G57+parametros_recargas!$J$90*'Plan mensual'!G58+parametros_recargas!$K$90*'Plan mensual'!G59+parametros_recargas!$L$90*'Plan mensual'!G60</f>
        <v>82.9345918794691</v>
      </c>
      <c r="F52" s="23" t="n">
        <f aca="false">parametros_recargas!$E$90*'Plan mensual'!H53+parametros_recargas!$F$90*'Plan mensual'!H54+parametros_recargas!$G$90*'Plan mensual'!H55+parametros_recargas!$H$90*'Plan mensual'!H56+parametros_recargas!$I$90*'Plan mensual'!H57+parametros_recargas!$J$90*'Plan mensual'!H58+parametros_recargas!$K$90*'Plan mensual'!H59+parametros_recargas!$L$90*'Plan mensual'!H60</f>
        <v>82.9345918794691</v>
      </c>
      <c r="G52" s="23" t="n">
        <f aca="false">parametros_recargas!$E$90*'Plan mensual'!I53+parametros_recargas!$F$90*'Plan mensual'!I54+parametros_recargas!$G$90*'Plan mensual'!I55+parametros_recargas!$H$90*'Plan mensual'!I56+parametros_recargas!$I$90*'Plan mensual'!I57+parametros_recargas!$J$90*'Plan mensual'!I58+parametros_recargas!$K$90*'Plan mensual'!I59+parametros_recargas!$L$90*'Plan mensual'!I60</f>
        <v>82.9345918794691</v>
      </c>
      <c r="H52" s="23" t="n">
        <f aca="false">parametros_recargas!$E$90*'Plan mensual'!J53+parametros_recargas!$F$90*'Plan mensual'!J54+parametros_recargas!$G$90*'Plan mensual'!J55+parametros_recargas!$H$90*'Plan mensual'!J56+parametros_recargas!$I$90*'Plan mensual'!J57+parametros_recargas!$J$90*'Plan mensual'!J58+parametros_recargas!$K$90*'Plan mensual'!J59+parametros_recargas!$L$90*'Plan mensual'!J60</f>
        <v>82.9345918794691</v>
      </c>
      <c r="I52" s="23" t="n">
        <f aca="false">parametros_recargas!$E$90*'Plan mensual'!K53+parametros_recargas!$F$90*'Plan mensual'!K54+parametros_recargas!$G$90*'Plan mensual'!K55+parametros_recargas!$H$90*'Plan mensual'!K56+parametros_recargas!$I$90*'Plan mensual'!K57+parametros_recargas!$J$90*'Plan mensual'!K58+parametros_recargas!$K$90*'Plan mensual'!K59+parametros_recargas!$L$90*'Plan mensual'!K60</f>
        <v>82.9345918794691</v>
      </c>
      <c r="J52" s="23" t="n">
        <f aca="false">parametros_recargas!$E$90*'Plan mensual'!L53+parametros_recargas!$F$90*'Plan mensual'!L54+parametros_recargas!$G$90*'Plan mensual'!L55+parametros_recargas!$H$90*'Plan mensual'!L56+parametros_recargas!$I$90*'Plan mensual'!L57+parametros_recargas!$J$90*'Plan mensual'!L58+parametros_recargas!$K$90*'Plan mensual'!L59+parametros_recargas!$L$90*'Plan mensual'!L60</f>
        <v>82.9345918794691</v>
      </c>
      <c r="K52" s="23" t="n">
        <f aca="false">parametros_recargas!$E$90*'Plan mensual'!M53+parametros_recargas!$F$90*'Plan mensual'!M54+parametros_recargas!$G$90*'Plan mensual'!M55+parametros_recargas!$H$90*'Plan mensual'!M56+parametros_recargas!$I$90*'Plan mensual'!M57+parametros_recargas!$J$90*'Plan mensual'!M58+parametros_recargas!$K$90*'Plan mensual'!M59+parametros_recargas!$L$90*'Plan mensual'!M60</f>
        <v>82.9345918794691</v>
      </c>
      <c r="L52" s="23" t="n">
        <f aca="false">parametros_recargas!$E$90*'Plan mensual'!N53+parametros_recargas!$F$90*'Plan mensual'!N54+parametros_recargas!$G$90*'Plan mensual'!N55+parametros_recargas!$H$90*'Plan mensual'!N56+parametros_recargas!$I$90*'Plan mensual'!N57+parametros_recargas!$J$90*'Plan mensual'!N58+parametros_recargas!$K$90*'Plan mensual'!N59+parametros_recargas!$L$90*'Plan mensual'!N60</f>
        <v>82.9345918794691</v>
      </c>
      <c r="M52" s="23" t="n">
        <f aca="false">parametros_recargas!$E$90*'Plan mensual'!O53+parametros_recargas!$F$90*'Plan mensual'!O54+parametros_recargas!$G$90*'Plan mensual'!O55+parametros_recargas!$H$90*'Plan mensual'!O56+parametros_recargas!$I$90*'Plan mensual'!O57+parametros_recargas!$J$90*'Plan mensual'!O58+parametros_recargas!$K$90*'Plan mensual'!O59+parametros_recargas!$L$90*'Plan mensual'!O60</f>
        <v>82.9345918794691</v>
      </c>
      <c r="N52" s="7" t="n">
        <f aca="false">SUM(B52:M52)</f>
        <v>995.215102553629</v>
      </c>
      <c r="O52" s="24" t="n">
        <f aca="false">MAX(B52:M52)</f>
        <v>82.9345918794691</v>
      </c>
      <c r="P52" s="15" t="n">
        <f aca="false">O52/parametros_recargas!$B$6</f>
        <v>0.552897279196461</v>
      </c>
    </row>
    <row r="53" customFormat="false" ht="15" hidden="false" customHeight="false" outlineLevel="0" collapsed="false">
      <c r="A53" s="12" t="str">
        <f aca="false">parametros_recargas!$B$91</f>
        <v>Carga de CO₂</v>
      </c>
      <c r="B53" s="23" t="n">
        <f aca="false">parametros_recargas!$E$91*'Plan mensual'!D53+parametros_recargas!$F$91*'Plan mensual'!D54+parametros_recargas!$G$91*'Plan mensual'!D55+parametros_recargas!$H$91*'Plan mensual'!D56+parametros_recargas!$I$91*'Plan mensual'!D57+parametros_recargas!$J$91*'Plan mensual'!D58+parametros_recargas!$K$91*'Plan mensual'!D59+parametros_recargas!$L$91*'Plan mensual'!D60</f>
        <v>41.7026107479582</v>
      </c>
      <c r="C53" s="23" t="n">
        <f aca="false">parametros_recargas!$E$91*'Plan mensual'!E53+parametros_recargas!$F$91*'Plan mensual'!E54+parametros_recargas!$G$91*'Plan mensual'!E55+parametros_recargas!$H$91*'Plan mensual'!E56+parametros_recargas!$I$91*'Plan mensual'!E57+parametros_recargas!$J$91*'Plan mensual'!E58+parametros_recargas!$K$91*'Plan mensual'!E59+parametros_recargas!$L$91*'Plan mensual'!E60</f>
        <v>41.7026107479582</v>
      </c>
      <c r="D53" s="23" t="n">
        <f aca="false">parametros_recargas!$E$91*'Plan mensual'!F53+parametros_recargas!$F$91*'Plan mensual'!F54+parametros_recargas!$G$91*'Plan mensual'!F55+parametros_recargas!$H$91*'Plan mensual'!F56+parametros_recargas!$I$91*'Plan mensual'!F57+parametros_recargas!$J$91*'Plan mensual'!F58+parametros_recargas!$K$91*'Plan mensual'!F59+parametros_recargas!$L$91*'Plan mensual'!F60</f>
        <v>41.7026107479582</v>
      </c>
      <c r="E53" s="23" t="n">
        <f aca="false">parametros_recargas!$E$91*'Plan mensual'!G53+parametros_recargas!$F$91*'Plan mensual'!G54+parametros_recargas!$G$91*'Plan mensual'!G55+parametros_recargas!$H$91*'Plan mensual'!G56+parametros_recargas!$I$91*'Plan mensual'!G57+parametros_recargas!$J$91*'Plan mensual'!G58+parametros_recargas!$K$91*'Plan mensual'!G59+parametros_recargas!$L$91*'Plan mensual'!G60</f>
        <v>41.7026107479582</v>
      </c>
      <c r="F53" s="23" t="n">
        <f aca="false">parametros_recargas!$E$91*'Plan mensual'!H53+parametros_recargas!$F$91*'Plan mensual'!H54+parametros_recargas!$G$91*'Plan mensual'!H55+parametros_recargas!$H$91*'Plan mensual'!H56+parametros_recargas!$I$91*'Plan mensual'!H57+parametros_recargas!$J$91*'Plan mensual'!H58+parametros_recargas!$K$91*'Plan mensual'!H59+parametros_recargas!$L$91*'Plan mensual'!H60</f>
        <v>41.7026107479582</v>
      </c>
      <c r="G53" s="23" t="n">
        <f aca="false">parametros_recargas!$E$91*'Plan mensual'!I53+parametros_recargas!$F$91*'Plan mensual'!I54+parametros_recargas!$G$91*'Plan mensual'!I55+parametros_recargas!$H$91*'Plan mensual'!I56+parametros_recargas!$I$91*'Plan mensual'!I57+parametros_recargas!$J$91*'Plan mensual'!I58+parametros_recargas!$K$91*'Plan mensual'!I59+parametros_recargas!$L$91*'Plan mensual'!I60</f>
        <v>41.7026107479582</v>
      </c>
      <c r="H53" s="23" t="n">
        <f aca="false">parametros_recargas!$E$91*'Plan mensual'!J53+parametros_recargas!$F$91*'Plan mensual'!J54+parametros_recargas!$G$91*'Plan mensual'!J55+parametros_recargas!$H$91*'Plan mensual'!J56+parametros_recargas!$I$91*'Plan mensual'!J57+parametros_recargas!$J$91*'Plan mensual'!J58+parametros_recargas!$K$91*'Plan mensual'!J59+parametros_recargas!$L$91*'Plan mensual'!J60</f>
        <v>41.7026107479582</v>
      </c>
      <c r="I53" s="23" t="n">
        <f aca="false">parametros_recargas!$E$91*'Plan mensual'!K53+parametros_recargas!$F$91*'Plan mensual'!K54+parametros_recargas!$G$91*'Plan mensual'!K55+parametros_recargas!$H$91*'Plan mensual'!K56+parametros_recargas!$I$91*'Plan mensual'!K57+parametros_recargas!$J$91*'Plan mensual'!K58+parametros_recargas!$K$91*'Plan mensual'!K59+parametros_recargas!$L$91*'Plan mensual'!K60</f>
        <v>41.7026107479582</v>
      </c>
      <c r="J53" s="23" t="n">
        <f aca="false">parametros_recargas!$E$91*'Plan mensual'!L53+parametros_recargas!$F$91*'Plan mensual'!L54+parametros_recargas!$G$91*'Plan mensual'!L55+parametros_recargas!$H$91*'Plan mensual'!L56+parametros_recargas!$I$91*'Plan mensual'!L57+parametros_recargas!$J$91*'Plan mensual'!L58+parametros_recargas!$K$91*'Plan mensual'!L59+parametros_recargas!$L$91*'Plan mensual'!L60</f>
        <v>41.7026107479582</v>
      </c>
      <c r="K53" s="23" t="n">
        <f aca="false">parametros_recargas!$E$91*'Plan mensual'!M53+parametros_recargas!$F$91*'Plan mensual'!M54+parametros_recargas!$G$91*'Plan mensual'!M55+parametros_recargas!$H$91*'Plan mensual'!M56+parametros_recargas!$I$91*'Plan mensual'!M57+parametros_recargas!$J$91*'Plan mensual'!M58+parametros_recargas!$K$91*'Plan mensual'!M59+parametros_recargas!$L$91*'Plan mensual'!M60</f>
        <v>41.7026107479582</v>
      </c>
      <c r="L53" s="23" t="n">
        <f aca="false">parametros_recargas!$E$91*'Plan mensual'!N53+parametros_recargas!$F$91*'Plan mensual'!N54+parametros_recargas!$G$91*'Plan mensual'!N55+parametros_recargas!$H$91*'Plan mensual'!N56+parametros_recargas!$I$91*'Plan mensual'!N57+parametros_recargas!$J$91*'Plan mensual'!N58+parametros_recargas!$K$91*'Plan mensual'!N59+parametros_recargas!$L$91*'Plan mensual'!N60</f>
        <v>41.7026107479582</v>
      </c>
      <c r="M53" s="23" t="n">
        <f aca="false">parametros_recargas!$E$91*'Plan mensual'!O53+parametros_recargas!$F$91*'Plan mensual'!O54+parametros_recargas!$G$91*'Plan mensual'!O55+parametros_recargas!$H$91*'Plan mensual'!O56+parametros_recargas!$I$91*'Plan mensual'!O57+parametros_recargas!$J$91*'Plan mensual'!O58+parametros_recargas!$K$91*'Plan mensual'!O59+parametros_recargas!$L$91*'Plan mensual'!O60</f>
        <v>41.7026107479582</v>
      </c>
      <c r="N53" s="7" t="n">
        <f aca="false">SUM(B53:M53)</f>
        <v>500.431328975498</v>
      </c>
      <c r="O53" s="24" t="n">
        <f aca="false">MAX(B53:M53)</f>
        <v>41.7026107479582</v>
      </c>
      <c r="P53" s="15" t="n">
        <f aca="false">O53/parametros_recargas!$B$6</f>
        <v>0.278017404986388</v>
      </c>
    </row>
    <row r="54" customFormat="false" ht="15" hidden="false" customHeight="false" outlineLevel="0" collapsed="false">
      <c r="A54" s="12" t="str">
        <f aca="false">parametros_recargas!$B$92</f>
        <v>Ensamblaje y marbete — recinto</v>
      </c>
      <c r="B54" s="23" t="n">
        <f aca="false">parametros_recargas!$E$92*'Plan mensual'!D53+parametros_recargas!$F$92*'Plan mensual'!D54+parametros_recargas!$G$92*'Plan mensual'!D55+parametros_recargas!$H$92*'Plan mensual'!D56+parametros_recargas!$I$92*'Plan mensual'!D57+parametros_recargas!$J$92*'Plan mensual'!D58+parametros_recargas!$K$92*'Plan mensual'!D59+parametros_recargas!$L$92*'Plan mensual'!D60</f>
        <v>1642.79843787863</v>
      </c>
      <c r="C54" s="23" t="n">
        <f aca="false">parametros_recargas!$E$92*'Plan mensual'!E53+parametros_recargas!$F$92*'Plan mensual'!E54+parametros_recargas!$G$92*'Plan mensual'!E55+parametros_recargas!$H$92*'Plan mensual'!E56+parametros_recargas!$I$92*'Plan mensual'!E57+parametros_recargas!$J$92*'Plan mensual'!E58+parametros_recargas!$K$92*'Plan mensual'!E59+parametros_recargas!$L$92*'Plan mensual'!E60</f>
        <v>1642.79843787863</v>
      </c>
      <c r="D54" s="23" t="n">
        <f aca="false">parametros_recargas!$E$92*'Plan mensual'!F53+parametros_recargas!$F$92*'Plan mensual'!F54+parametros_recargas!$G$92*'Plan mensual'!F55+parametros_recargas!$H$92*'Plan mensual'!F56+parametros_recargas!$I$92*'Plan mensual'!F57+parametros_recargas!$J$92*'Plan mensual'!F58+parametros_recargas!$K$92*'Plan mensual'!F59+parametros_recargas!$L$92*'Plan mensual'!F60</f>
        <v>1642.79843787863</v>
      </c>
      <c r="E54" s="23" t="n">
        <f aca="false">parametros_recargas!$E$92*'Plan mensual'!G53+parametros_recargas!$F$92*'Plan mensual'!G54+parametros_recargas!$G$92*'Plan mensual'!G55+parametros_recargas!$H$92*'Plan mensual'!G56+parametros_recargas!$I$92*'Plan mensual'!G57+parametros_recargas!$J$92*'Plan mensual'!G58+parametros_recargas!$K$92*'Plan mensual'!G59+parametros_recargas!$L$92*'Plan mensual'!G60</f>
        <v>1642.79843787863</v>
      </c>
      <c r="F54" s="23" t="n">
        <f aca="false">parametros_recargas!$E$92*'Plan mensual'!H53+parametros_recargas!$F$92*'Plan mensual'!H54+parametros_recargas!$G$92*'Plan mensual'!H55+parametros_recargas!$H$92*'Plan mensual'!H56+parametros_recargas!$I$92*'Plan mensual'!H57+parametros_recargas!$J$92*'Plan mensual'!H58+parametros_recargas!$K$92*'Plan mensual'!H59+parametros_recargas!$L$92*'Plan mensual'!H60</f>
        <v>1642.79843787863</v>
      </c>
      <c r="G54" s="23" t="n">
        <f aca="false">parametros_recargas!$E$92*'Plan mensual'!I53+parametros_recargas!$F$92*'Plan mensual'!I54+parametros_recargas!$G$92*'Plan mensual'!I55+parametros_recargas!$H$92*'Plan mensual'!I56+parametros_recargas!$I$92*'Plan mensual'!I57+parametros_recargas!$J$92*'Plan mensual'!I58+parametros_recargas!$K$92*'Plan mensual'!I59+parametros_recargas!$L$92*'Plan mensual'!I60</f>
        <v>1642.79843787863</v>
      </c>
      <c r="H54" s="23" t="n">
        <f aca="false">parametros_recargas!$E$92*'Plan mensual'!J53+parametros_recargas!$F$92*'Plan mensual'!J54+parametros_recargas!$G$92*'Plan mensual'!J55+parametros_recargas!$H$92*'Plan mensual'!J56+parametros_recargas!$I$92*'Plan mensual'!J57+parametros_recargas!$J$92*'Plan mensual'!J58+parametros_recargas!$K$92*'Plan mensual'!J59+parametros_recargas!$L$92*'Plan mensual'!J60</f>
        <v>1642.79843787863</v>
      </c>
      <c r="I54" s="23" t="n">
        <f aca="false">parametros_recargas!$E$92*'Plan mensual'!K53+parametros_recargas!$F$92*'Plan mensual'!K54+parametros_recargas!$G$92*'Plan mensual'!K55+parametros_recargas!$H$92*'Plan mensual'!K56+parametros_recargas!$I$92*'Plan mensual'!K57+parametros_recargas!$J$92*'Plan mensual'!K58+parametros_recargas!$K$92*'Plan mensual'!K59+parametros_recargas!$L$92*'Plan mensual'!K60</f>
        <v>1642.79843787863</v>
      </c>
      <c r="J54" s="23" t="n">
        <f aca="false">parametros_recargas!$E$92*'Plan mensual'!L53+parametros_recargas!$F$92*'Plan mensual'!L54+parametros_recargas!$G$92*'Plan mensual'!L55+parametros_recargas!$H$92*'Plan mensual'!L56+parametros_recargas!$I$92*'Plan mensual'!L57+parametros_recargas!$J$92*'Plan mensual'!L58+parametros_recargas!$K$92*'Plan mensual'!L59+parametros_recargas!$L$92*'Plan mensual'!L60</f>
        <v>1642.79843787863</v>
      </c>
      <c r="K54" s="23" t="n">
        <f aca="false">parametros_recargas!$E$92*'Plan mensual'!M53+parametros_recargas!$F$92*'Plan mensual'!M54+parametros_recargas!$G$92*'Plan mensual'!M55+parametros_recargas!$H$92*'Plan mensual'!M56+parametros_recargas!$I$92*'Plan mensual'!M57+parametros_recargas!$J$92*'Plan mensual'!M58+parametros_recargas!$K$92*'Plan mensual'!M59+parametros_recargas!$L$92*'Plan mensual'!M60</f>
        <v>1642.79843787863</v>
      </c>
      <c r="L54" s="23" t="n">
        <f aca="false">parametros_recargas!$E$92*'Plan mensual'!N53+parametros_recargas!$F$92*'Plan mensual'!N54+parametros_recargas!$G$92*'Plan mensual'!N55+parametros_recargas!$H$92*'Plan mensual'!N56+parametros_recargas!$I$92*'Plan mensual'!N57+parametros_recargas!$J$92*'Plan mensual'!N58+parametros_recargas!$K$92*'Plan mensual'!N59+parametros_recargas!$L$92*'Plan mensual'!N60</f>
        <v>1642.79843787863</v>
      </c>
      <c r="M54" s="23" t="n">
        <f aca="false">parametros_recargas!$E$92*'Plan mensual'!O53+parametros_recargas!$F$92*'Plan mensual'!O54+parametros_recargas!$G$92*'Plan mensual'!O55+parametros_recargas!$H$92*'Plan mensual'!O56+parametros_recargas!$I$92*'Plan mensual'!O57+parametros_recargas!$J$92*'Plan mensual'!O58+parametros_recargas!$K$92*'Plan mensual'!O59+parametros_recargas!$L$92*'Plan mensual'!O60</f>
        <v>1642.79843787863</v>
      </c>
      <c r="N54" s="7" t="n">
        <f aca="false">SUM(B54:M54)</f>
        <v>19713.5812545435</v>
      </c>
      <c r="O54" s="24" t="n">
        <f aca="false">MAX(B54:M54)</f>
        <v>1642.79843787863</v>
      </c>
      <c r="P54" s="15" t="n">
        <f aca="false">O54/parametros_recargas!$B$6</f>
        <v>10.9519895858575</v>
      </c>
    </row>
    <row r="55" customFormat="false" ht="15" hidden="false" customHeight="false" outlineLevel="0" collapsed="false">
      <c r="A55" s="12" t="str">
        <f aca="false">parametros_recargas!$B$93</f>
        <v>Presurización — recinto</v>
      </c>
      <c r="B55" s="23" t="n">
        <f aca="false">parametros_recargas!$E$93*'Plan mensual'!D53+parametros_recargas!$F$93*'Plan mensual'!D54+parametros_recargas!$G$93*'Plan mensual'!D55+parametros_recargas!$H$93*'Plan mensual'!D56+parametros_recargas!$I$93*'Plan mensual'!D57+parametros_recargas!$J$93*'Plan mensual'!D58+parametros_recargas!$K$93*'Plan mensual'!D59+parametros_recargas!$L$93*'Plan mensual'!D60</f>
        <v>1642.79843787863</v>
      </c>
      <c r="C55" s="23" t="n">
        <f aca="false">parametros_recargas!$E$93*'Plan mensual'!E53+parametros_recargas!$F$93*'Plan mensual'!E54+parametros_recargas!$G$93*'Plan mensual'!E55+parametros_recargas!$H$93*'Plan mensual'!E56+parametros_recargas!$I$93*'Plan mensual'!E57+parametros_recargas!$J$93*'Plan mensual'!E58+parametros_recargas!$K$93*'Plan mensual'!E59+parametros_recargas!$L$93*'Plan mensual'!E60</f>
        <v>1642.79843787863</v>
      </c>
      <c r="D55" s="23" t="n">
        <f aca="false">parametros_recargas!$E$93*'Plan mensual'!F53+parametros_recargas!$F$93*'Plan mensual'!F54+parametros_recargas!$G$93*'Plan mensual'!F55+parametros_recargas!$H$93*'Plan mensual'!F56+parametros_recargas!$I$93*'Plan mensual'!F57+parametros_recargas!$J$93*'Plan mensual'!F58+parametros_recargas!$K$93*'Plan mensual'!F59+parametros_recargas!$L$93*'Plan mensual'!F60</f>
        <v>1642.79843787863</v>
      </c>
      <c r="E55" s="23" t="n">
        <f aca="false">parametros_recargas!$E$93*'Plan mensual'!G53+parametros_recargas!$F$93*'Plan mensual'!G54+parametros_recargas!$G$93*'Plan mensual'!G55+parametros_recargas!$H$93*'Plan mensual'!G56+parametros_recargas!$I$93*'Plan mensual'!G57+parametros_recargas!$J$93*'Plan mensual'!G58+parametros_recargas!$K$93*'Plan mensual'!G59+parametros_recargas!$L$93*'Plan mensual'!G60</f>
        <v>1642.79843787863</v>
      </c>
      <c r="F55" s="23" t="n">
        <f aca="false">parametros_recargas!$E$93*'Plan mensual'!H53+parametros_recargas!$F$93*'Plan mensual'!H54+parametros_recargas!$G$93*'Plan mensual'!H55+parametros_recargas!$H$93*'Plan mensual'!H56+parametros_recargas!$I$93*'Plan mensual'!H57+parametros_recargas!$J$93*'Plan mensual'!H58+parametros_recargas!$K$93*'Plan mensual'!H59+parametros_recargas!$L$93*'Plan mensual'!H60</f>
        <v>1642.79843787863</v>
      </c>
      <c r="G55" s="23" t="n">
        <f aca="false">parametros_recargas!$E$93*'Plan mensual'!I53+parametros_recargas!$F$93*'Plan mensual'!I54+parametros_recargas!$G$93*'Plan mensual'!I55+parametros_recargas!$H$93*'Plan mensual'!I56+parametros_recargas!$I$93*'Plan mensual'!I57+parametros_recargas!$J$93*'Plan mensual'!I58+parametros_recargas!$K$93*'Plan mensual'!I59+parametros_recargas!$L$93*'Plan mensual'!I60</f>
        <v>1642.79843787863</v>
      </c>
      <c r="H55" s="23" t="n">
        <f aca="false">parametros_recargas!$E$93*'Plan mensual'!J53+parametros_recargas!$F$93*'Plan mensual'!J54+parametros_recargas!$G$93*'Plan mensual'!J55+parametros_recargas!$H$93*'Plan mensual'!J56+parametros_recargas!$I$93*'Plan mensual'!J57+parametros_recargas!$J$93*'Plan mensual'!J58+parametros_recargas!$K$93*'Plan mensual'!J59+parametros_recargas!$L$93*'Plan mensual'!J60</f>
        <v>1642.79843787863</v>
      </c>
      <c r="I55" s="23" t="n">
        <f aca="false">parametros_recargas!$E$93*'Plan mensual'!K53+parametros_recargas!$F$93*'Plan mensual'!K54+parametros_recargas!$G$93*'Plan mensual'!K55+parametros_recargas!$H$93*'Plan mensual'!K56+parametros_recargas!$I$93*'Plan mensual'!K57+parametros_recargas!$J$93*'Plan mensual'!K58+parametros_recargas!$K$93*'Plan mensual'!K59+parametros_recargas!$L$93*'Plan mensual'!K60</f>
        <v>1642.79843787863</v>
      </c>
      <c r="J55" s="23" t="n">
        <f aca="false">parametros_recargas!$E$93*'Plan mensual'!L53+parametros_recargas!$F$93*'Plan mensual'!L54+parametros_recargas!$G$93*'Plan mensual'!L55+parametros_recargas!$H$93*'Plan mensual'!L56+parametros_recargas!$I$93*'Plan mensual'!L57+parametros_recargas!$J$93*'Plan mensual'!L58+parametros_recargas!$K$93*'Plan mensual'!L59+parametros_recargas!$L$93*'Plan mensual'!L60</f>
        <v>1642.79843787863</v>
      </c>
      <c r="K55" s="23" t="n">
        <f aca="false">parametros_recargas!$E$93*'Plan mensual'!M53+parametros_recargas!$F$93*'Plan mensual'!M54+parametros_recargas!$G$93*'Plan mensual'!M55+parametros_recargas!$H$93*'Plan mensual'!M56+parametros_recargas!$I$93*'Plan mensual'!M57+parametros_recargas!$J$93*'Plan mensual'!M58+parametros_recargas!$K$93*'Plan mensual'!M59+parametros_recargas!$L$93*'Plan mensual'!M60</f>
        <v>1642.79843787863</v>
      </c>
      <c r="L55" s="23" t="n">
        <f aca="false">parametros_recargas!$E$93*'Plan mensual'!N53+parametros_recargas!$F$93*'Plan mensual'!N54+parametros_recargas!$G$93*'Plan mensual'!N55+parametros_recargas!$H$93*'Plan mensual'!N56+parametros_recargas!$I$93*'Plan mensual'!N57+parametros_recargas!$J$93*'Plan mensual'!N58+parametros_recargas!$K$93*'Plan mensual'!N59+parametros_recargas!$L$93*'Plan mensual'!N60</f>
        <v>1642.79843787863</v>
      </c>
      <c r="M55" s="23" t="n">
        <f aca="false">parametros_recargas!$E$93*'Plan mensual'!O53+parametros_recargas!$F$93*'Plan mensual'!O54+parametros_recargas!$G$93*'Plan mensual'!O55+parametros_recargas!$H$93*'Plan mensual'!O56+parametros_recargas!$I$93*'Plan mensual'!O57+parametros_recargas!$J$93*'Plan mensual'!O58+parametros_recargas!$K$93*'Plan mensual'!O59+parametros_recargas!$L$93*'Plan mensual'!O60</f>
        <v>1642.79843787863</v>
      </c>
      <c r="N55" s="7" t="n">
        <f aca="false">SUM(B55:M55)</f>
        <v>19713.5812545435</v>
      </c>
      <c r="O55" s="24" t="n">
        <f aca="false">MAX(B55:M55)</f>
        <v>1642.79843787863</v>
      </c>
      <c r="P55" s="15" t="n">
        <f aca="false">O55/parametros_recargas!$B$6</f>
        <v>10.9519895858575</v>
      </c>
    </row>
    <row r="56" customFormat="false" ht="15" hidden="false" customHeight="false" outlineLevel="0" collapsed="false">
      <c r="A56" s="12" t="str">
        <f aca="false">parametros_recargas!$B$94</f>
        <v>Ensamblaje y presurización — zona general</v>
      </c>
      <c r="B56" s="23" t="n">
        <f aca="false">parametros_recargas!$E$94*'Plan mensual'!D53+parametros_recargas!$F$94*'Plan mensual'!D54+parametros_recargas!$G$94*'Plan mensual'!D55+parametros_recargas!$H$94*'Plan mensual'!D56+parametros_recargas!$I$94*'Plan mensual'!D57+parametros_recargas!$J$94*'Plan mensual'!D58+parametros_recargas!$K$94*'Plan mensual'!D59+parametros_recargas!$L$94*'Plan mensual'!D60</f>
        <v>119.36949626256</v>
      </c>
      <c r="C56" s="23" t="n">
        <f aca="false">parametros_recargas!$E$94*'Plan mensual'!E53+parametros_recargas!$F$94*'Plan mensual'!E54+parametros_recargas!$G$94*'Plan mensual'!E55+parametros_recargas!$H$94*'Plan mensual'!E56+parametros_recargas!$I$94*'Plan mensual'!E57+parametros_recargas!$J$94*'Plan mensual'!E58+parametros_recargas!$K$94*'Plan mensual'!E59+parametros_recargas!$L$94*'Plan mensual'!E60</f>
        <v>119.36949626256</v>
      </c>
      <c r="D56" s="23" t="n">
        <f aca="false">parametros_recargas!$E$94*'Plan mensual'!F53+parametros_recargas!$F$94*'Plan mensual'!F54+parametros_recargas!$G$94*'Plan mensual'!F55+parametros_recargas!$H$94*'Plan mensual'!F56+parametros_recargas!$I$94*'Plan mensual'!F57+parametros_recargas!$J$94*'Plan mensual'!F58+parametros_recargas!$K$94*'Plan mensual'!F59+parametros_recargas!$L$94*'Plan mensual'!F60</f>
        <v>119.36949626256</v>
      </c>
      <c r="E56" s="23" t="n">
        <f aca="false">parametros_recargas!$E$94*'Plan mensual'!G53+parametros_recargas!$F$94*'Plan mensual'!G54+parametros_recargas!$G$94*'Plan mensual'!G55+parametros_recargas!$H$94*'Plan mensual'!G56+parametros_recargas!$I$94*'Plan mensual'!G57+parametros_recargas!$J$94*'Plan mensual'!G58+parametros_recargas!$K$94*'Plan mensual'!G59+parametros_recargas!$L$94*'Plan mensual'!G60</f>
        <v>119.36949626256</v>
      </c>
      <c r="F56" s="23" t="n">
        <f aca="false">parametros_recargas!$E$94*'Plan mensual'!H53+parametros_recargas!$F$94*'Plan mensual'!H54+parametros_recargas!$G$94*'Plan mensual'!H55+parametros_recargas!$H$94*'Plan mensual'!H56+parametros_recargas!$I$94*'Plan mensual'!H57+parametros_recargas!$J$94*'Plan mensual'!H58+parametros_recargas!$K$94*'Plan mensual'!H59+parametros_recargas!$L$94*'Plan mensual'!H60</f>
        <v>119.36949626256</v>
      </c>
      <c r="G56" s="23" t="n">
        <f aca="false">parametros_recargas!$E$94*'Plan mensual'!I53+parametros_recargas!$F$94*'Plan mensual'!I54+parametros_recargas!$G$94*'Plan mensual'!I55+parametros_recargas!$H$94*'Plan mensual'!I56+parametros_recargas!$I$94*'Plan mensual'!I57+parametros_recargas!$J$94*'Plan mensual'!I58+parametros_recargas!$K$94*'Plan mensual'!I59+parametros_recargas!$L$94*'Plan mensual'!I60</f>
        <v>119.36949626256</v>
      </c>
      <c r="H56" s="23" t="n">
        <f aca="false">parametros_recargas!$E$94*'Plan mensual'!J53+parametros_recargas!$F$94*'Plan mensual'!J54+parametros_recargas!$G$94*'Plan mensual'!J55+parametros_recargas!$H$94*'Plan mensual'!J56+parametros_recargas!$I$94*'Plan mensual'!J57+parametros_recargas!$J$94*'Plan mensual'!J58+parametros_recargas!$K$94*'Plan mensual'!J59+parametros_recargas!$L$94*'Plan mensual'!J60</f>
        <v>119.36949626256</v>
      </c>
      <c r="I56" s="23" t="n">
        <f aca="false">parametros_recargas!$E$94*'Plan mensual'!K53+parametros_recargas!$F$94*'Plan mensual'!K54+parametros_recargas!$G$94*'Plan mensual'!K55+parametros_recargas!$H$94*'Plan mensual'!K56+parametros_recargas!$I$94*'Plan mensual'!K57+parametros_recargas!$J$94*'Plan mensual'!K58+parametros_recargas!$K$94*'Plan mensual'!K59+parametros_recargas!$L$94*'Plan mensual'!K60</f>
        <v>119.36949626256</v>
      </c>
      <c r="J56" s="23" t="n">
        <f aca="false">parametros_recargas!$E$94*'Plan mensual'!L53+parametros_recargas!$F$94*'Plan mensual'!L54+parametros_recargas!$G$94*'Plan mensual'!L55+parametros_recargas!$H$94*'Plan mensual'!L56+parametros_recargas!$I$94*'Plan mensual'!L57+parametros_recargas!$J$94*'Plan mensual'!L58+parametros_recargas!$K$94*'Plan mensual'!L59+parametros_recargas!$L$94*'Plan mensual'!L60</f>
        <v>119.36949626256</v>
      </c>
      <c r="K56" s="23" t="n">
        <f aca="false">parametros_recargas!$E$94*'Plan mensual'!M53+parametros_recargas!$F$94*'Plan mensual'!M54+parametros_recargas!$G$94*'Plan mensual'!M55+parametros_recargas!$H$94*'Plan mensual'!M56+parametros_recargas!$I$94*'Plan mensual'!M57+parametros_recargas!$J$94*'Plan mensual'!M58+parametros_recargas!$K$94*'Plan mensual'!M59+parametros_recargas!$L$94*'Plan mensual'!M60</f>
        <v>119.36949626256</v>
      </c>
      <c r="L56" s="23" t="n">
        <f aca="false">parametros_recargas!$E$94*'Plan mensual'!N53+parametros_recargas!$F$94*'Plan mensual'!N54+parametros_recargas!$G$94*'Plan mensual'!N55+parametros_recargas!$H$94*'Plan mensual'!N56+parametros_recargas!$I$94*'Plan mensual'!N57+parametros_recargas!$J$94*'Plan mensual'!N58+parametros_recargas!$K$94*'Plan mensual'!N59+parametros_recargas!$L$94*'Plan mensual'!N60</f>
        <v>119.36949626256</v>
      </c>
      <c r="M56" s="23" t="n">
        <f aca="false">parametros_recargas!$E$94*'Plan mensual'!O53+parametros_recargas!$F$94*'Plan mensual'!O54+parametros_recargas!$G$94*'Plan mensual'!O55+parametros_recargas!$H$94*'Plan mensual'!O56+parametros_recargas!$I$94*'Plan mensual'!O57+parametros_recargas!$J$94*'Plan mensual'!O58+parametros_recargas!$K$94*'Plan mensual'!O59+parametros_recargas!$L$94*'Plan mensual'!O60</f>
        <v>119.36949626256</v>
      </c>
      <c r="N56" s="7" t="n">
        <f aca="false">SUM(B56:M56)</f>
        <v>1432.43395515072</v>
      </c>
      <c r="O56" s="24" t="n">
        <f aca="false">MAX(B56:M56)</f>
        <v>119.36949626256</v>
      </c>
      <c r="P56" s="15" t="n">
        <f aca="false">O56/parametros_recargas!$B$6</f>
        <v>0.795796641750399</v>
      </c>
    </row>
    <row r="57" customFormat="false" ht="15" hidden="false" customHeight="false" outlineLevel="0" collapsed="false">
      <c r="A57" s="12" t="str">
        <f aca="false">parametros_recargas!$B$95</f>
        <v>Carga y presurización de halogenado</v>
      </c>
      <c r="B57" s="23" t="n">
        <f aca="false">parametros_recargas!$E$95*'Plan mensual'!D53+parametros_recargas!$F$95*'Plan mensual'!D54+parametros_recargas!$G$95*'Plan mensual'!D55+parametros_recargas!$H$95*'Plan mensual'!D56+parametros_recargas!$I$95*'Plan mensual'!D57+parametros_recargas!$J$95*'Plan mensual'!D58+parametros_recargas!$K$95*'Plan mensual'!D59+parametros_recargas!$L$95*'Plan mensual'!D60</f>
        <v>1.68272875979221</v>
      </c>
      <c r="C57" s="23" t="n">
        <f aca="false">parametros_recargas!$E$95*'Plan mensual'!E53+parametros_recargas!$F$95*'Plan mensual'!E54+parametros_recargas!$G$95*'Plan mensual'!E55+parametros_recargas!$H$95*'Plan mensual'!E56+parametros_recargas!$I$95*'Plan mensual'!E57+parametros_recargas!$J$95*'Plan mensual'!E58+parametros_recargas!$K$95*'Plan mensual'!E59+parametros_recargas!$L$95*'Plan mensual'!E60</f>
        <v>1.68272875979221</v>
      </c>
      <c r="D57" s="23" t="n">
        <f aca="false">parametros_recargas!$E$95*'Plan mensual'!F53+parametros_recargas!$F$95*'Plan mensual'!F54+parametros_recargas!$G$95*'Plan mensual'!F55+parametros_recargas!$H$95*'Plan mensual'!F56+parametros_recargas!$I$95*'Plan mensual'!F57+parametros_recargas!$J$95*'Plan mensual'!F58+parametros_recargas!$K$95*'Plan mensual'!F59+parametros_recargas!$L$95*'Plan mensual'!F60</f>
        <v>1.68272875979221</v>
      </c>
      <c r="E57" s="23" t="n">
        <f aca="false">parametros_recargas!$E$95*'Plan mensual'!G53+parametros_recargas!$F$95*'Plan mensual'!G54+parametros_recargas!$G$95*'Plan mensual'!G55+parametros_recargas!$H$95*'Plan mensual'!G56+parametros_recargas!$I$95*'Plan mensual'!G57+parametros_recargas!$J$95*'Plan mensual'!G58+parametros_recargas!$K$95*'Plan mensual'!G59+parametros_recargas!$L$95*'Plan mensual'!G60</f>
        <v>1.68272875979221</v>
      </c>
      <c r="F57" s="23" t="n">
        <f aca="false">parametros_recargas!$E$95*'Plan mensual'!H53+parametros_recargas!$F$95*'Plan mensual'!H54+parametros_recargas!$G$95*'Plan mensual'!H55+parametros_recargas!$H$95*'Plan mensual'!H56+parametros_recargas!$I$95*'Plan mensual'!H57+parametros_recargas!$J$95*'Plan mensual'!H58+parametros_recargas!$K$95*'Plan mensual'!H59+parametros_recargas!$L$95*'Plan mensual'!H60</f>
        <v>1.68272875979221</v>
      </c>
      <c r="G57" s="23" t="n">
        <f aca="false">parametros_recargas!$E$95*'Plan mensual'!I53+parametros_recargas!$F$95*'Plan mensual'!I54+parametros_recargas!$G$95*'Plan mensual'!I55+parametros_recargas!$H$95*'Plan mensual'!I56+parametros_recargas!$I$95*'Plan mensual'!I57+parametros_recargas!$J$95*'Plan mensual'!I58+parametros_recargas!$K$95*'Plan mensual'!I59+parametros_recargas!$L$95*'Plan mensual'!I60</f>
        <v>1.68272875979221</v>
      </c>
      <c r="H57" s="23" t="n">
        <f aca="false">parametros_recargas!$E$95*'Plan mensual'!J53+parametros_recargas!$F$95*'Plan mensual'!J54+parametros_recargas!$G$95*'Plan mensual'!J55+parametros_recargas!$H$95*'Plan mensual'!J56+parametros_recargas!$I$95*'Plan mensual'!J57+parametros_recargas!$J$95*'Plan mensual'!J58+parametros_recargas!$K$95*'Plan mensual'!J59+parametros_recargas!$L$95*'Plan mensual'!J60</f>
        <v>1.68272875979221</v>
      </c>
      <c r="I57" s="23" t="n">
        <f aca="false">parametros_recargas!$E$95*'Plan mensual'!K53+parametros_recargas!$F$95*'Plan mensual'!K54+parametros_recargas!$G$95*'Plan mensual'!K55+parametros_recargas!$H$95*'Plan mensual'!K56+parametros_recargas!$I$95*'Plan mensual'!K57+parametros_recargas!$J$95*'Plan mensual'!K58+parametros_recargas!$K$95*'Plan mensual'!K59+parametros_recargas!$L$95*'Plan mensual'!K60</f>
        <v>1.68272875979221</v>
      </c>
      <c r="J57" s="23" t="n">
        <f aca="false">parametros_recargas!$E$95*'Plan mensual'!L53+parametros_recargas!$F$95*'Plan mensual'!L54+parametros_recargas!$G$95*'Plan mensual'!L55+parametros_recargas!$H$95*'Plan mensual'!L56+parametros_recargas!$I$95*'Plan mensual'!L57+parametros_recargas!$J$95*'Plan mensual'!L58+parametros_recargas!$K$95*'Plan mensual'!L59+parametros_recargas!$L$95*'Plan mensual'!L60</f>
        <v>1.68272875979221</v>
      </c>
      <c r="K57" s="23" t="n">
        <f aca="false">parametros_recargas!$E$95*'Plan mensual'!M53+parametros_recargas!$F$95*'Plan mensual'!M54+parametros_recargas!$G$95*'Plan mensual'!M55+parametros_recargas!$H$95*'Plan mensual'!M56+parametros_recargas!$I$95*'Plan mensual'!M57+parametros_recargas!$J$95*'Plan mensual'!M58+parametros_recargas!$K$95*'Plan mensual'!M59+parametros_recargas!$L$95*'Plan mensual'!M60</f>
        <v>1.68272875979221</v>
      </c>
      <c r="L57" s="23" t="n">
        <f aca="false">parametros_recargas!$E$95*'Plan mensual'!N53+parametros_recargas!$F$95*'Plan mensual'!N54+parametros_recargas!$G$95*'Plan mensual'!N55+parametros_recargas!$H$95*'Plan mensual'!N56+parametros_recargas!$I$95*'Plan mensual'!N57+parametros_recargas!$J$95*'Plan mensual'!N58+parametros_recargas!$K$95*'Plan mensual'!N59+parametros_recargas!$L$95*'Plan mensual'!N60</f>
        <v>1.68272875979221</v>
      </c>
      <c r="M57" s="23" t="n">
        <f aca="false">parametros_recargas!$E$95*'Plan mensual'!O53+parametros_recargas!$F$95*'Plan mensual'!O54+parametros_recargas!$G$95*'Plan mensual'!O55+parametros_recargas!$H$95*'Plan mensual'!O56+parametros_recargas!$I$95*'Plan mensual'!O57+parametros_recargas!$J$95*'Plan mensual'!O58+parametros_recargas!$K$95*'Plan mensual'!O59+parametros_recargas!$L$95*'Plan mensual'!O60</f>
        <v>1.68272875979221</v>
      </c>
      <c r="N57" s="7" t="n">
        <f aca="false">SUM(B57:M57)</f>
        <v>20.1927451175066</v>
      </c>
      <c r="O57" s="24" t="n">
        <f aca="false">MAX(B57:M57)</f>
        <v>1.68272875979221</v>
      </c>
      <c r="P57" s="15" t="n">
        <f aca="false">O57/parametros_recargas!$B$6</f>
        <v>0.0112181917319481</v>
      </c>
    </row>
    <row r="58" customFormat="false" ht="15" hidden="false" customHeight="false" outlineLevel="0" collapsed="false">
      <c r="A58" s="12" t="str">
        <f aca="false">parametros_recargas!$B$96</f>
        <v>Control de peso (CO₂ y halogenados sin recarga)</v>
      </c>
      <c r="B58" s="23" t="n">
        <f aca="false">parametros_recargas!$E$96*'Plan mensual'!D53+parametros_recargas!$F$96*'Plan mensual'!D54+parametros_recargas!$G$96*'Plan mensual'!D55+parametros_recargas!$H$96*'Plan mensual'!D56+parametros_recargas!$I$96*'Plan mensual'!D57+parametros_recargas!$J$96*'Plan mensual'!D58+parametros_recargas!$K$96*'Plan mensual'!D59+parametros_recargas!$L$96*'Plan mensual'!D60</f>
        <v>102.354278024612</v>
      </c>
      <c r="C58" s="23" t="n">
        <f aca="false">parametros_recargas!$E$96*'Plan mensual'!E53+parametros_recargas!$F$96*'Plan mensual'!E54+parametros_recargas!$G$96*'Plan mensual'!E55+parametros_recargas!$H$96*'Plan mensual'!E56+parametros_recargas!$I$96*'Plan mensual'!E57+parametros_recargas!$J$96*'Plan mensual'!E58+parametros_recargas!$K$96*'Plan mensual'!E59+parametros_recargas!$L$96*'Plan mensual'!E60</f>
        <v>102.354278024612</v>
      </c>
      <c r="D58" s="23" t="n">
        <f aca="false">parametros_recargas!$E$96*'Plan mensual'!F53+parametros_recargas!$F$96*'Plan mensual'!F54+parametros_recargas!$G$96*'Plan mensual'!F55+parametros_recargas!$H$96*'Plan mensual'!F56+parametros_recargas!$I$96*'Plan mensual'!F57+parametros_recargas!$J$96*'Plan mensual'!F58+parametros_recargas!$K$96*'Plan mensual'!F59+parametros_recargas!$L$96*'Plan mensual'!F60</f>
        <v>102.354278024612</v>
      </c>
      <c r="E58" s="23" t="n">
        <f aca="false">parametros_recargas!$E$96*'Plan mensual'!G53+parametros_recargas!$F$96*'Plan mensual'!G54+parametros_recargas!$G$96*'Plan mensual'!G55+parametros_recargas!$H$96*'Plan mensual'!G56+parametros_recargas!$I$96*'Plan mensual'!G57+parametros_recargas!$J$96*'Plan mensual'!G58+parametros_recargas!$K$96*'Plan mensual'!G59+parametros_recargas!$L$96*'Plan mensual'!G60</f>
        <v>102.354278024612</v>
      </c>
      <c r="F58" s="23" t="n">
        <f aca="false">parametros_recargas!$E$96*'Plan mensual'!H53+parametros_recargas!$F$96*'Plan mensual'!H54+parametros_recargas!$G$96*'Plan mensual'!H55+parametros_recargas!$H$96*'Plan mensual'!H56+parametros_recargas!$I$96*'Plan mensual'!H57+parametros_recargas!$J$96*'Plan mensual'!H58+parametros_recargas!$K$96*'Plan mensual'!H59+parametros_recargas!$L$96*'Plan mensual'!H60</f>
        <v>102.354278024612</v>
      </c>
      <c r="G58" s="23" t="n">
        <f aca="false">parametros_recargas!$E$96*'Plan mensual'!I53+parametros_recargas!$F$96*'Plan mensual'!I54+parametros_recargas!$G$96*'Plan mensual'!I55+parametros_recargas!$H$96*'Plan mensual'!I56+parametros_recargas!$I$96*'Plan mensual'!I57+parametros_recargas!$J$96*'Plan mensual'!I58+parametros_recargas!$K$96*'Plan mensual'!I59+parametros_recargas!$L$96*'Plan mensual'!I60</f>
        <v>102.354278024612</v>
      </c>
      <c r="H58" s="23" t="n">
        <f aca="false">parametros_recargas!$E$96*'Plan mensual'!J53+parametros_recargas!$F$96*'Plan mensual'!J54+parametros_recargas!$G$96*'Plan mensual'!J55+parametros_recargas!$H$96*'Plan mensual'!J56+parametros_recargas!$I$96*'Plan mensual'!J57+parametros_recargas!$J$96*'Plan mensual'!J58+parametros_recargas!$K$96*'Plan mensual'!J59+parametros_recargas!$L$96*'Plan mensual'!J60</f>
        <v>102.354278024612</v>
      </c>
      <c r="I58" s="23" t="n">
        <f aca="false">parametros_recargas!$E$96*'Plan mensual'!K53+parametros_recargas!$F$96*'Plan mensual'!K54+parametros_recargas!$G$96*'Plan mensual'!K55+parametros_recargas!$H$96*'Plan mensual'!K56+parametros_recargas!$I$96*'Plan mensual'!K57+parametros_recargas!$J$96*'Plan mensual'!K58+parametros_recargas!$K$96*'Plan mensual'!K59+parametros_recargas!$L$96*'Plan mensual'!K60</f>
        <v>102.354278024612</v>
      </c>
      <c r="J58" s="23" t="n">
        <f aca="false">parametros_recargas!$E$96*'Plan mensual'!L53+parametros_recargas!$F$96*'Plan mensual'!L54+parametros_recargas!$G$96*'Plan mensual'!L55+parametros_recargas!$H$96*'Plan mensual'!L56+parametros_recargas!$I$96*'Plan mensual'!L57+parametros_recargas!$J$96*'Plan mensual'!L58+parametros_recargas!$K$96*'Plan mensual'!L59+parametros_recargas!$L$96*'Plan mensual'!L60</f>
        <v>102.354278024612</v>
      </c>
      <c r="K58" s="23" t="n">
        <f aca="false">parametros_recargas!$E$96*'Plan mensual'!M53+parametros_recargas!$F$96*'Plan mensual'!M54+parametros_recargas!$G$96*'Plan mensual'!M55+parametros_recargas!$H$96*'Plan mensual'!M56+parametros_recargas!$I$96*'Plan mensual'!M57+parametros_recargas!$J$96*'Plan mensual'!M58+parametros_recargas!$K$96*'Plan mensual'!M59+parametros_recargas!$L$96*'Plan mensual'!M60</f>
        <v>102.354278024612</v>
      </c>
      <c r="L58" s="23" t="n">
        <f aca="false">parametros_recargas!$E$96*'Plan mensual'!N53+parametros_recargas!$F$96*'Plan mensual'!N54+parametros_recargas!$G$96*'Plan mensual'!N55+parametros_recargas!$H$96*'Plan mensual'!N56+parametros_recargas!$I$96*'Plan mensual'!N57+parametros_recargas!$J$96*'Plan mensual'!N58+parametros_recargas!$K$96*'Plan mensual'!N59+parametros_recargas!$L$96*'Plan mensual'!N60</f>
        <v>102.354278024612</v>
      </c>
      <c r="M58" s="23" t="n">
        <f aca="false">parametros_recargas!$E$96*'Plan mensual'!O53+parametros_recargas!$F$96*'Plan mensual'!O54+parametros_recargas!$G$96*'Plan mensual'!O55+parametros_recargas!$H$96*'Plan mensual'!O56+parametros_recargas!$I$96*'Plan mensual'!O57+parametros_recargas!$J$96*'Plan mensual'!O58+parametros_recargas!$K$96*'Plan mensual'!O59+parametros_recargas!$L$96*'Plan mensual'!O60</f>
        <v>102.354278024612</v>
      </c>
      <c r="N58" s="7" t="n">
        <f aca="false">SUM(B58:M58)</f>
        <v>1228.25133629535</v>
      </c>
      <c r="O58" s="24" t="n">
        <f aca="false">MAX(B58:M58)</f>
        <v>102.354278024612</v>
      </c>
      <c r="P58" s="15" t="n">
        <f aca="false">O58/parametros_recargas!$B$6</f>
        <v>0.682361853497416</v>
      </c>
    </row>
    <row r="59" customFormat="false" ht="15" hidden="false" customHeight="false" outlineLevel="0" collapsed="false">
      <c r="A59" s="12" t="str">
        <f aca="false">parametros_recargas!$B$97</f>
        <v>Ensayo de pérdidas</v>
      </c>
      <c r="B59" s="23" t="n">
        <f aca="false">parametros_recargas!$E$97*'Plan mensual'!D53+parametros_recargas!$F$97*'Plan mensual'!D54+parametros_recargas!$G$97*'Plan mensual'!D55+parametros_recargas!$H$97*'Plan mensual'!D56+parametros_recargas!$I$97*'Plan mensual'!D57+parametros_recargas!$J$97*'Plan mensual'!D58+parametros_recargas!$K$97*'Plan mensual'!D59+parametros_recargas!$L$97*'Plan mensual'!D60</f>
        <v>1871.47264729046</v>
      </c>
      <c r="C59" s="23" t="n">
        <f aca="false">parametros_recargas!$E$97*'Plan mensual'!E53+parametros_recargas!$F$97*'Plan mensual'!E54+parametros_recargas!$G$97*'Plan mensual'!E55+parametros_recargas!$H$97*'Plan mensual'!E56+parametros_recargas!$I$97*'Plan mensual'!E57+parametros_recargas!$J$97*'Plan mensual'!E58+parametros_recargas!$K$97*'Plan mensual'!E59+parametros_recargas!$L$97*'Plan mensual'!E60</f>
        <v>1871.47264729046</v>
      </c>
      <c r="D59" s="23" t="n">
        <f aca="false">parametros_recargas!$E$97*'Plan mensual'!F53+parametros_recargas!$F$97*'Plan mensual'!F54+parametros_recargas!$G$97*'Plan mensual'!F55+parametros_recargas!$H$97*'Plan mensual'!F56+parametros_recargas!$I$97*'Plan mensual'!F57+parametros_recargas!$J$97*'Plan mensual'!F58+parametros_recargas!$K$97*'Plan mensual'!F59+parametros_recargas!$L$97*'Plan mensual'!F60</f>
        <v>1871.47264729046</v>
      </c>
      <c r="E59" s="23" t="n">
        <f aca="false">parametros_recargas!$E$97*'Plan mensual'!G53+parametros_recargas!$F$97*'Plan mensual'!G54+parametros_recargas!$G$97*'Plan mensual'!G55+parametros_recargas!$H$97*'Plan mensual'!G56+parametros_recargas!$I$97*'Plan mensual'!G57+parametros_recargas!$J$97*'Plan mensual'!G58+parametros_recargas!$K$97*'Plan mensual'!G59+parametros_recargas!$L$97*'Plan mensual'!G60</f>
        <v>1871.47264729046</v>
      </c>
      <c r="F59" s="23" t="n">
        <f aca="false">parametros_recargas!$E$97*'Plan mensual'!H53+parametros_recargas!$F$97*'Plan mensual'!H54+parametros_recargas!$G$97*'Plan mensual'!H55+parametros_recargas!$H$97*'Plan mensual'!H56+parametros_recargas!$I$97*'Plan mensual'!H57+parametros_recargas!$J$97*'Plan mensual'!H58+parametros_recargas!$K$97*'Plan mensual'!H59+parametros_recargas!$L$97*'Plan mensual'!H60</f>
        <v>1871.47264729046</v>
      </c>
      <c r="G59" s="23" t="n">
        <f aca="false">parametros_recargas!$E$97*'Plan mensual'!I53+parametros_recargas!$F$97*'Plan mensual'!I54+parametros_recargas!$G$97*'Plan mensual'!I55+parametros_recargas!$H$97*'Plan mensual'!I56+parametros_recargas!$I$97*'Plan mensual'!I57+parametros_recargas!$J$97*'Plan mensual'!I58+parametros_recargas!$K$97*'Plan mensual'!I59+parametros_recargas!$L$97*'Plan mensual'!I60</f>
        <v>1871.47264729046</v>
      </c>
      <c r="H59" s="23" t="n">
        <f aca="false">parametros_recargas!$E$97*'Plan mensual'!J53+parametros_recargas!$F$97*'Plan mensual'!J54+parametros_recargas!$G$97*'Plan mensual'!J55+parametros_recargas!$H$97*'Plan mensual'!J56+parametros_recargas!$I$97*'Plan mensual'!J57+parametros_recargas!$J$97*'Plan mensual'!J58+parametros_recargas!$K$97*'Plan mensual'!J59+parametros_recargas!$L$97*'Plan mensual'!J60</f>
        <v>1871.47264729046</v>
      </c>
      <c r="I59" s="23" t="n">
        <f aca="false">parametros_recargas!$E$97*'Plan mensual'!K53+parametros_recargas!$F$97*'Plan mensual'!K54+parametros_recargas!$G$97*'Plan mensual'!K55+parametros_recargas!$H$97*'Plan mensual'!K56+parametros_recargas!$I$97*'Plan mensual'!K57+parametros_recargas!$J$97*'Plan mensual'!K58+parametros_recargas!$K$97*'Plan mensual'!K59+parametros_recargas!$L$97*'Plan mensual'!K60</f>
        <v>1871.47264729046</v>
      </c>
      <c r="J59" s="23" t="n">
        <f aca="false">parametros_recargas!$E$97*'Plan mensual'!L53+parametros_recargas!$F$97*'Plan mensual'!L54+parametros_recargas!$G$97*'Plan mensual'!L55+parametros_recargas!$H$97*'Plan mensual'!L56+parametros_recargas!$I$97*'Plan mensual'!L57+parametros_recargas!$J$97*'Plan mensual'!L58+parametros_recargas!$K$97*'Plan mensual'!L59+parametros_recargas!$L$97*'Plan mensual'!L60</f>
        <v>1871.47264729046</v>
      </c>
      <c r="K59" s="23" t="n">
        <f aca="false">parametros_recargas!$E$97*'Plan mensual'!M53+parametros_recargas!$F$97*'Plan mensual'!M54+parametros_recargas!$G$97*'Plan mensual'!M55+parametros_recargas!$H$97*'Plan mensual'!M56+parametros_recargas!$I$97*'Plan mensual'!M57+parametros_recargas!$J$97*'Plan mensual'!M58+parametros_recargas!$K$97*'Plan mensual'!M59+parametros_recargas!$L$97*'Plan mensual'!M60</f>
        <v>1871.47264729046</v>
      </c>
      <c r="L59" s="23" t="n">
        <f aca="false">parametros_recargas!$E$97*'Plan mensual'!N53+parametros_recargas!$F$97*'Plan mensual'!N54+parametros_recargas!$G$97*'Plan mensual'!N55+parametros_recargas!$H$97*'Plan mensual'!N56+parametros_recargas!$I$97*'Plan mensual'!N57+parametros_recargas!$J$97*'Plan mensual'!N58+parametros_recargas!$K$97*'Plan mensual'!N59+parametros_recargas!$L$97*'Plan mensual'!N60</f>
        <v>1871.47264729046</v>
      </c>
      <c r="M59" s="23" t="n">
        <f aca="false">parametros_recargas!$E$97*'Plan mensual'!O53+parametros_recargas!$F$97*'Plan mensual'!O54+parametros_recargas!$G$97*'Plan mensual'!O55+parametros_recargas!$H$97*'Plan mensual'!O56+parametros_recargas!$I$97*'Plan mensual'!O57+parametros_recargas!$J$97*'Plan mensual'!O58+parametros_recargas!$K$97*'Plan mensual'!O59+parametros_recargas!$L$97*'Plan mensual'!O60</f>
        <v>1871.47264729046</v>
      </c>
      <c r="N59" s="7" t="n">
        <f aca="false">SUM(B59:M59)</f>
        <v>22457.6717674855</v>
      </c>
      <c r="O59" s="24" t="n">
        <f aca="false">MAX(B59:M59)</f>
        <v>1871.47264729046</v>
      </c>
      <c r="P59" s="15" t="n">
        <f aca="false">O59/parametros_recargas!$B$6</f>
        <v>12.4764843152697</v>
      </c>
    </row>
    <row r="60" customFormat="false" ht="15" hidden="false" customHeight="false" outlineLevel="0" collapsed="false">
      <c r="A60" s="12" t="str">
        <f aca="false">parametros_recargas!$B$98</f>
        <v>Precinto, etiqueta y despacho</v>
      </c>
      <c r="B60" s="23" t="n">
        <f aca="false">parametros_recargas!$E$98*'Plan mensual'!D53+parametros_recargas!$F$98*'Plan mensual'!D54+parametros_recargas!$G$98*'Plan mensual'!D55+parametros_recargas!$H$98*'Plan mensual'!D56+parametros_recargas!$I$98*'Plan mensual'!D57+parametros_recargas!$J$98*'Plan mensual'!D58+parametros_recargas!$K$98*'Plan mensual'!D59+parametros_recargas!$L$98*'Plan mensual'!D60</f>
        <v>1871.47264729046</v>
      </c>
      <c r="C60" s="23" t="n">
        <f aca="false">parametros_recargas!$E$98*'Plan mensual'!E53+parametros_recargas!$F$98*'Plan mensual'!E54+parametros_recargas!$G$98*'Plan mensual'!E55+parametros_recargas!$H$98*'Plan mensual'!E56+parametros_recargas!$I$98*'Plan mensual'!E57+parametros_recargas!$J$98*'Plan mensual'!E58+parametros_recargas!$K$98*'Plan mensual'!E59+parametros_recargas!$L$98*'Plan mensual'!E60</f>
        <v>1871.47264729046</v>
      </c>
      <c r="D60" s="23" t="n">
        <f aca="false">parametros_recargas!$E$98*'Plan mensual'!F53+parametros_recargas!$F$98*'Plan mensual'!F54+parametros_recargas!$G$98*'Plan mensual'!F55+parametros_recargas!$H$98*'Plan mensual'!F56+parametros_recargas!$I$98*'Plan mensual'!F57+parametros_recargas!$J$98*'Plan mensual'!F58+parametros_recargas!$K$98*'Plan mensual'!F59+parametros_recargas!$L$98*'Plan mensual'!F60</f>
        <v>1871.47264729046</v>
      </c>
      <c r="E60" s="23" t="n">
        <f aca="false">parametros_recargas!$E$98*'Plan mensual'!G53+parametros_recargas!$F$98*'Plan mensual'!G54+parametros_recargas!$G$98*'Plan mensual'!G55+parametros_recargas!$H$98*'Plan mensual'!G56+parametros_recargas!$I$98*'Plan mensual'!G57+parametros_recargas!$J$98*'Plan mensual'!G58+parametros_recargas!$K$98*'Plan mensual'!G59+parametros_recargas!$L$98*'Plan mensual'!G60</f>
        <v>1871.47264729046</v>
      </c>
      <c r="F60" s="23" t="n">
        <f aca="false">parametros_recargas!$E$98*'Plan mensual'!H53+parametros_recargas!$F$98*'Plan mensual'!H54+parametros_recargas!$G$98*'Plan mensual'!H55+parametros_recargas!$H$98*'Plan mensual'!H56+parametros_recargas!$I$98*'Plan mensual'!H57+parametros_recargas!$J$98*'Plan mensual'!H58+parametros_recargas!$K$98*'Plan mensual'!H59+parametros_recargas!$L$98*'Plan mensual'!H60</f>
        <v>1871.47264729046</v>
      </c>
      <c r="G60" s="23" t="n">
        <f aca="false">parametros_recargas!$E$98*'Plan mensual'!I53+parametros_recargas!$F$98*'Plan mensual'!I54+parametros_recargas!$G$98*'Plan mensual'!I55+parametros_recargas!$H$98*'Plan mensual'!I56+parametros_recargas!$I$98*'Plan mensual'!I57+parametros_recargas!$J$98*'Plan mensual'!I58+parametros_recargas!$K$98*'Plan mensual'!I59+parametros_recargas!$L$98*'Plan mensual'!I60</f>
        <v>1871.47264729046</v>
      </c>
      <c r="H60" s="23" t="n">
        <f aca="false">parametros_recargas!$E$98*'Plan mensual'!J53+parametros_recargas!$F$98*'Plan mensual'!J54+parametros_recargas!$G$98*'Plan mensual'!J55+parametros_recargas!$H$98*'Plan mensual'!J56+parametros_recargas!$I$98*'Plan mensual'!J57+parametros_recargas!$J$98*'Plan mensual'!J58+parametros_recargas!$K$98*'Plan mensual'!J59+parametros_recargas!$L$98*'Plan mensual'!J60</f>
        <v>1871.47264729046</v>
      </c>
      <c r="I60" s="23" t="n">
        <f aca="false">parametros_recargas!$E$98*'Plan mensual'!K53+parametros_recargas!$F$98*'Plan mensual'!K54+parametros_recargas!$G$98*'Plan mensual'!K55+parametros_recargas!$H$98*'Plan mensual'!K56+parametros_recargas!$I$98*'Plan mensual'!K57+parametros_recargas!$J$98*'Plan mensual'!K58+parametros_recargas!$K$98*'Plan mensual'!K59+parametros_recargas!$L$98*'Plan mensual'!K60</f>
        <v>1871.47264729046</v>
      </c>
      <c r="J60" s="23" t="n">
        <f aca="false">parametros_recargas!$E$98*'Plan mensual'!L53+parametros_recargas!$F$98*'Plan mensual'!L54+parametros_recargas!$G$98*'Plan mensual'!L55+parametros_recargas!$H$98*'Plan mensual'!L56+parametros_recargas!$I$98*'Plan mensual'!L57+parametros_recargas!$J$98*'Plan mensual'!L58+parametros_recargas!$K$98*'Plan mensual'!L59+parametros_recargas!$L$98*'Plan mensual'!L60</f>
        <v>1871.47264729046</v>
      </c>
      <c r="K60" s="23" t="n">
        <f aca="false">parametros_recargas!$E$98*'Plan mensual'!M53+parametros_recargas!$F$98*'Plan mensual'!M54+parametros_recargas!$G$98*'Plan mensual'!M55+parametros_recargas!$H$98*'Plan mensual'!M56+parametros_recargas!$I$98*'Plan mensual'!M57+parametros_recargas!$J$98*'Plan mensual'!M58+parametros_recargas!$K$98*'Plan mensual'!M59+parametros_recargas!$L$98*'Plan mensual'!M60</f>
        <v>1871.47264729046</v>
      </c>
      <c r="L60" s="23" t="n">
        <f aca="false">parametros_recargas!$E$98*'Plan mensual'!N53+parametros_recargas!$F$98*'Plan mensual'!N54+parametros_recargas!$G$98*'Plan mensual'!N55+parametros_recargas!$H$98*'Plan mensual'!N56+parametros_recargas!$I$98*'Plan mensual'!N57+parametros_recargas!$J$98*'Plan mensual'!N58+parametros_recargas!$K$98*'Plan mensual'!N59+parametros_recargas!$L$98*'Plan mensual'!N60</f>
        <v>1871.47264729046</v>
      </c>
      <c r="M60" s="23" t="n">
        <f aca="false">parametros_recargas!$E$98*'Plan mensual'!O53+parametros_recargas!$F$98*'Plan mensual'!O54+parametros_recargas!$G$98*'Plan mensual'!O55+parametros_recargas!$H$98*'Plan mensual'!O56+parametros_recargas!$I$98*'Plan mensual'!O57+parametros_recargas!$J$98*'Plan mensual'!O58+parametros_recargas!$K$98*'Plan mensual'!O59+parametros_recargas!$L$98*'Plan mensual'!O60</f>
        <v>1871.47264729046</v>
      </c>
      <c r="N60" s="7" t="n">
        <f aca="false">SUM(B60:M60)</f>
        <v>22457.6717674855</v>
      </c>
      <c r="O60" s="24" t="n">
        <f aca="false">MAX(B60:M60)</f>
        <v>1871.47264729046</v>
      </c>
      <c r="P60" s="15" t="n">
        <f aca="false">O60/parametros_recargas!$B$6</f>
        <v>12.4764843152697</v>
      </c>
    </row>
    <row r="61" customFormat="false" ht="15" hidden="false" customHeight="false" outlineLevel="0" collapsed="false">
      <c r="A61" s="12" t="str">
        <f aca="false">parametros_recargas!$B$99</f>
        <v>Inutilización y disposición final</v>
      </c>
      <c r="B61" s="23" t="n">
        <f aca="false">parametros_recargas!$E$99*'Plan mensual'!D53+parametros_recargas!$F$99*'Plan mensual'!D54+parametros_recargas!$G$99*'Plan mensual'!D55+parametros_recargas!$H$99*'Plan mensual'!D56+parametros_recargas!$I$99*'Plan mensual'!D57+parametros_recargas!$J$99*'Plan mensual'!D58+parametros_recargas!$K$99*'Plan mensual'!D59+parametros_recargas!$L$99*'Plan mensual'!D60</f>
        <v>147.401000075017</v>
      </c>
      <c r="C61" s="23" t="n">
        <f aca="false">parametros_recargas!$E$99*'Plan mensual'!E53+parametros_recargas!$F$99*'Plan mensual'!E54+parametros_recargas!$G$99*'Plan mensual'!E55+parametros_recargas!$H$99*'Plan mensual'!E56+parametros_recargas!$I$99*'Plan mensual'!E57+parametros_recargas!$J$99*'Plan mensual'!E58+parametros_recargas!$K$99*'Plan mensual'!E59+parametros_recargas!$L$99*'Plan mensual'!E60</f>
        <v>147.401000075017</v>
      </c>
      <c r="D61" s="23" t="n">
        <f aca="false">parametros_recargas!$E$99*'Plan mensual'!F53+parametros_recargas!$F$99*'Plan mensual'!F54+parametros_recargas!$G$99*'Plan mensual'!F55+parametros_recargas!$H$99*'Plan mensual'!F56+parametros_recargas!$I$99*'Plan mensual'!F57+parametros_recargas!$J$99*'Plan mensual'!F58+parametros_recargas!$K$99*'Plan mensual'!F59+parametros_recargas!$L$99*'Plan mensual'!F60</f>
        <v>147.401000075017</v>
      </c>
      <c r="E61" s="23" t="n">
        <f aca="false">parametros_recargas!$E$99*'Plan mensual'!G53+parametros_recargas!$F$99*'Plan mensual'!G54+parametros_recargas!$G$99*'Plan mensual'!G55+parametros_recargas!$H$99*'Plan mensual'!G56+parametros_recargas!$I$99*'Plan mensual'!G57+parametros_recargas!$J$99*'Plan mensual'!G58+parametros_recargas!$K$99*'Plan mensual'!G59+parametros_recargas!$L$99*'Plan mensual'!G60</f>
        <v>147.401000075017</v>
      </c>
      <c r="F61" s="23" t="n">
        <f aca="false">parametros_recargas!$E$99*'Plan mensual'!H53+parametros_recargas!$F$99*'Plan mensual'!H54+parametros_recargas!$G$99*'Plan mensual'!H55+parametros_recargas!$H$99*'Plan mensual'!H56+parametros_recargas!$I$99*'Plan mensual'!H57+parametros_recargas!$J$99*'Plan mensual'!H58+parametros_recargas!$K$99*'Plan mensual'!H59+parametros_recargas!$L$99*'Plan mensual'!H60</f>
        <v>147.401000075017</v>
      </c>
      <c r="G61" s="23" t="n">
        <f aca="false">parametros_recargas!$E$99*'Plan mensual'!I53+parametros_recargas!$F$99*'Plan mensual'!I54+parametros_recargas!$G$99*'Plan mensual'!I55+parametros_recargas!$H$99*'Plan mensual'!I56+parametros_recargas!$I$99*'Plan mensual'!I57+parametros_recargas!$J$99*'Plan mensual'!I58+parametros_recargas!$K$99*'Plan mensual'!I59+parametros_recargas!$L$99*'Plan mensual'!I60</f>
        <v>147.401000075017</v>
      </c>
      <c r="H61" s="23" t="n">
        <f aca="false">parametros_recargas!$E$99*'Plan mensual'!J53+parametros_recargas!$F$99*'Plan mensual'!J54+parametros_recargas!$G$99*'Plan mensual'!J55+parametros_recargas!$H$99*'Plan mensual'!J56+parametros_recargas!$I$99*'Plan mensual'!J57+parametros_recargas!$J$99*'Plan mensual'!J58+parametros_recargas!$K$99*'Plan mensual'!J59+parametros_recargas!$L$99*'Plan mensual'!J60</f>
        <v>147.401000075017</v>
      </c>
      <c r="I61" s="23" t="n">
        <f aca="false">parametros_recargas!$E$99*'Plan mensual'!K53+parametros_recargas!$F$99*'Plan mensual'!K54+parametros_recargas!$G$99*'Plan mensual'!K55+parametros_recargas!$H$99*'Plan mensual'!K56+parametros_recargas!$I$99*'Plan mensual'!K57+parametros_recargas!$J$99*'Plan mensual'!K58+parametros_recargas!$K$99*'Plan mensual'!K59+parametros_recargas!$L$99*'Plan mensual'!K60</f>
        <v>147.401000075017</v>
      </c>
      <c r="J61" s="23" t="n">
        <f aca="false">parametros_recargas!$E$99*'Plan mensual'!L53+parametros_recargas!$F$99*'Plan mensual'!L54+parametros_recargas!$G$99*'Plan mensual'!L55+parametros_recargas!$H$99*'Plan mensual'!L56+parametros_recargas!$I$99*'Plan mensual'!L57+parametros_recargas!$J$99*'Plan mensual'!L58+parametros_recargas!$K$99*'Plan mensual'!L59+parametros_recargas!$L$99*'Plan mensual'!L60</f>
        <v>147.401000075017</v>
      </c>
      <c r="K61" s="23" t="n">
        <f aca="false">parametros_recargas!$E$99*'Plan mensual'!M53+parametros_recargas!$F$99*'Plan mensual'!M54+parametros_recargas!$G$99*'Plan mensual'!M55+parametros_recargas!$H$99*'Plan mensual'!M56+parametros_recargas!$I$99*'Plan mensual'!M57+parametros_recargas!$J$99*'Plan mensual'!M58+parametros_recargas!$K$99*'Plan mensual'!M59+parametros_recargas!$L$99*'Plan mensual'!M60</f>
        <v>147.401000075017</v>
      </c>
      <c r="L61" s="23" t="n">
        <f aca="false">parametros_recargas!$E$99*'Plan mensual'!N53+parametros_recargas!$F$99*'Plan mensual'!N54+parametros_recargas!$G$99*'Plan mensual'!N55+parametros_recargas!$H$99*'Plan mensual'!N56+parametros_recargas!$I$99*'Plan mensual'!N57+parametros_recargas!$J$99*'Plan mensual'!N58+parametros_recargas!$K$99*'Plan mensual'!N59+parametros_recargas!$L$99*'Plan mensual'!N60</f>
        <v>147.401000075017</v>
      </c>
      <c r="M61" s="23" t="n">
        <f aca="false">parametros_recargas!$E$99*'Plan mensual'!O53+parametros_recargas!$F$99*'Plan mensual'!O54+parametros_recargas!$G$99*'Plan mensual'!O55+parametros_recargas!$H$99*'Plan mensual'!O56+parametros_recargas!$I$99*'Plan mensual'!O57+parametros_recargas!$J$99*'Plan mensual'!O58+parametros_recargas!$K$99*'Plan mensual'!O59+parametros_recargas!$L$99*'Plan mensual'!O60</f>
        <v>147.401000075017</v>
      </c>
      <c r="N61" s="7" t="n">
        <f aca="false">SUM(B61:M61)</f>
        <v>1768.8120009002</v>
      </c>
      <c r="O61" s="24" t="n">
        <f aca="false">MAX(B61:M61)</f>
        <v>147.401000075017</v>
      </c>
      <c r="P61" s="15" t="n">
        <f aca="false">O61/parametros_recargas!$B$6</f>
        <v>0.982673333833445</v>
      </c>
    </row>
    <row r="62" customFormat="false" ht="15" hidden="false" customHeight="false" outlineLevel="0" collapsed="false">
      <c r="A62" s="12" t="str">
        <f aca="false">parametros_recargas!$B$100</f>
        <v>PH de mangueras (CO₂ y rodantes)</v>
      </c>
      <c r="B62" s="23" t="n">
        <f aca="false">'Plan mensual'!D61</f>
        <v>63.9300023497716</v>
      </c>
      <c r="C62" s="23" t="n">
        <f aca="false">'Plan mensual'!E61</f>
        <v>63.9300023497716</v>
      </c>
      <c r="D62" s="23" t="n">
        <f aca="false">'Plan mensual'!F61</f>
        <v>63.9300023497716</v>
      </c>
      <c r="E62" s="23" t="n">
        <f aca="false">'Plan mensual'!G61</f>
        <v>63.9300023497716</v>
      </c>
      <c r="F62" s="23" t="n">
        <f aca="false">'Plan mensual'!H61</f>
        <v>63.9300023497716</v>
      </c>
      <c r="G62" s="23" t="n">
        <f aca="false">'Plan mensual'!I61</f>
        <v>63.9300023497716</v>
      </c>
      <c r="H62" s="23" t="n">
        <f aca="false">'Plan mensual'!J61</f>
        <v>63.9300023497716</v>
      </c>
      <c r="I62" s="23" t="n">
        <f aca="false">'Plan mensual'!K61</f>
        <v>63.9300023497716</v>
      </c>
      <c r="J62" s="23" t="n">
        <f aca="false">'Plan mensual'!L61</f>
        <v>63.9300023497716</v>
      </c>
      <c r="K62" s="23" t="n">
        <f aca="false">'Plan mensual'!M61</f>
        <v>63.9300023497716</v>
      </c>
      <c r="L62" s="23" t="n">
        <f aca="false">'Plan mensual'!N61</f>
        <v>63.9300023497716</v>
      </c>
      <c r="M62" s="23" t="n">
        <f aca="false">'Plan mensual'!O61</f>
        <v>63.9300023497716</v>
      </c>
      <c r="N62" s="7" t="n">
        <f aca="false">SUM(B62:M62)</f>
        <v>767.160028197259</v>
      </c>
      <c r="O62" s="24" t="n">
        <f aca="false">MAX(B62:M62)</f>
        <v>63.9300023497716</v>
      </c>
      <c r="P62" s="15" t="n">
        <f aca="false">O62/parametros_recargas!$B$6</f>
        <v>0.426200015665144</v>
      </c>
    </row>
    <row r="65" customFormat="false" ht="23.85" hidden="false" customHeight="false" outlineLevel="0" collapsed="false">
      <c r="A65" s="3" t="s">
        <v>277</v>
      </c>
      <c r="B65" s="3" t="s">
        <v>120</v>
      </c>
      <c r="C65" s="3" t="s">
        <v>121</v>
      </c>
      <c r="D65" s="3" t="s">
        <v>122</v>
      </c>
      <c r="E65" s="3" t="s">
        <v>123</v>
      </c>
      <c r="F65" s="3" t="s">
        <v>124</v>
      </c>
      <c r="G65" s="3" t="s">
        <v>125</v>
      </c>
      <c r="H65" s="3" t="s">
        <v>126</v>
      </c>
      <c r="I65" s="3" t="s">
        <v>127</v>
      </c>
      <c r="J65" s="3" t="s">
        <v>128</v>
      </c>
      <c r="K65" s="3" t="s">
        <v>129</v>
      </c>
      <c r="L65" s="3" t="s">
        <v>130</v>
      </c>
      <c r="M65" s="3" t="s">
        <v>131</v>
      </c>
      <c r="N65" s="3" t="s">
        <v>273</v>
      </c>
      <c r="O65" s="3" t="s">
        <v>274</v>
      </c>
      <c r="P65" s="3" t="s">
        <v>275</v>
      </c>
    </row>
    <row r="66" customFormat="false" ht="15" hidden="false" customHeight="false" outlineLevel="0" collapsed="false">
      <c r="A66" s="12" t="str">
        <f aca="false">parametros_recargas!$B$72</f>
        <v>Recepción y registro</v>
      </c>
      <c r="B66" s="23" t="n">
        <f aca="false">parametros_recargas!$E$72*'Plan mensual'!D85+parametros_recargas!$F$72*'Plan mensual'!D86+parametros_recargas!$G$72*'Plan mensual'!D87+parametros_recargas!$H$72*'Plan mensual'!D88+parametros_recargas!$I$72*'Plan mensual'!D89+parametros_recargas!$J$72*'Plan mensual'!D90+parametros_recargas!$K$72*'Plan mensual'!D91+parametros_recargas!$L$72*'Plan mensual'!D92</f>
        <v>3759.38086696747</v>
      </c>
      <c r="C66" s="23" t="n">
        <f aca="false">parametros_recargas!$E$72*'Plan mensual'!E85+parametros_recargas!$F$72*'Plan mensual'!E86+parametros_recargas!$G$72*'Plan mensual'!E87+parametros_recargas!$H$72*'Plan mensual'!E88+parametros_recargas!$I$72*'Plan mensual'!E89+parametros_recargas!$J$72*'Plan mensual'!E90+parametros_recargas!$K$72*'Plan mensual'!E91+parametros_recargas!$L$72*'Plan mensual'!E92</f>
        <v>3759.38086696747</v>
      </c>
      <c r="D66" s="23" t="n">
        <f aca="false">parametros_recargas!$E$72*'Plan mensual'!F85+parametros_recargas!$F$72*'Plan mensual'!F86+parametros_recargas!$G$72*'Plan mensual'!F87+parametros_recargas!$H$72*'Plan mensual'!F88+parametros_recargas!$I$72*'Plan mensual'!F89+parametros_recargas!$J$72*'Plan mensual'!F90+parametros_recargas!$K$72*'Plan mensual'!F91+parametros_recargas!$L$72*'Plan mensual'!F92</f>
        <v>3759.38086696747</v>
      </c>
      <c r="E66" s="23" t="n">
        <f aca="false">parametros_recargas!$E$72*'Plan mensual'!G85+parametros_recargas!$F$72*'Plan mensual'!G86+parametros_recargas!$G$72*'Plan mensual'!G87+parametros_recargas!$H$72*'Plan mensual'!G88+parametros_recargas!$I$72*'Plan mensual'!G89+parametros_recargas!$J$72*'Plan mensual'!G90+parametros_recargas!$K$72*'Plan mensual'!G91+parametros_recargas!$L$72*'Plan mensual'!G92</f>
        <v>3759.38086696747</v>
      </c>
      <c r="F66" s="23" t="n">
        <f aca="false">parametros_recargas!$E$72*'Plan mensual'!H85+parametros_recargas!$F$72*'Plan mensual'!H86+parametros_recargas!$G$72*'Plan mensual'!H87+parametros_recargas!$H$72*'Plan mensual'!H88+parametros_recargas!$I$72*'Plan mensual'!H89+parametros_recargas!$J$72*'Plan mensual'!H90+parametros_recargas!$K$72*'Plan mensual'!H91+parametros_recargas!$L$72*'Plan mensual'!H92</f>
        <v>3759.38086696747</v>
      </c>
      <c r="G66" s="23" t="n">
        <f aca="false">parametros_recargas!$E$72*'Plan mensual'!I85+parametros_recargas!$F$72*'Plan mensual'!I86+parametros_recargas!$G$72*'Plan mensual'!I87+parametros_recargas!$H$72*'Plan mensual'!I88+parametros_recargas!$I$72*'Plan mensual'!I89+parametros_recargas!$J$72*'Plan mensual'!I90+parametros_recargas!$K$72*'Plan mensual'!I91+parametros_recargas!$L$72*'Plan mensual'!I92</f>
        <v>3759.38086696747</v>
      </c>
      <c r="H66" s="23" t="n">
        <f aca="false">parametros_recargas!$E$72*'Plan mensual'!J85+parametros_recargas!$F$72*'Plan mensual'!J86+parametros_recargas!$G$72*'Plan mensual'!J87+parametros_recargas!$H$72*'Plan mensual'!J88+parametros_recargas!$I$72*'Plan mensual'!J89+parametros_recargas!$J$72*'Plan mensual'!J90+parametros_recargas!$K$72*'Plan mensual'!J91+parametros_recargas!$L$72*'Plan mensual'!J92</f>
        <v>3759.38086696747</v>
      </c>
      <c r="I66" s="23" t="n">
        <f aca="false">parametros_recargas!$E$72*'Plan mensual'!K85+parametros_recargas!$F$72*'Plan mensual'!K86+parametros_recargas!$G$72*'Plan mensual'!K87+parametros_recargas!$H$72*'Plan mensual'!K88+parametros_recargas!$I$72*'Plan mensual'!K89+parametros_recargas!$J$72*'Plan mensual'!K90+parametros_recargas!$K$72*'Plan mensual'!K91+parametros_recargas!$L$72*'Plan mensual'!K92</f>
        <v>3759.38086696747</v>
      </c>
      <c r="J66" s="23" t="n">
        <f aca="false">parametros_recargas!$E$72*'Plan mensual'!L85+parametros_recargas!$F$72*'Plan mensual'!L86+parametros_recargas!$G$72*'Plan mensual'!L87+parametros_recargas!$H$72*'Plan mensual'!L88+parametros_recargas!$I$72*'Plan mensual'!L89+parametros_recargas!$J$72*'Plan mensual'!L90+parametros_recargas!$K$72*'Plan mensual'!L91+parametros_recargas!$L$72*'Plan mensual'!L92</f>
        <v>3759.38086696747</v>
      </c>
      <c r="K66" s="23" t="n">
        <f aca="false">parametros_recargas!$E$72*'Plan mensual'!M85+parametros_recargas!$F$72*'Plan mensual'!M86+parametros_recargas!$G$72*'Plan mensual'!M87+parametros_recargas!$H$72*'Plan mensual'!M88+parametros_recargas!$I$72*'Plan mensual'!M89+parametros_recargas!$J$72*'Plan mensual'!M90+parametros_recargas!$K$72*'Plan mensual'!M91+parametros_recargas!$L$72*'Plan mensual'!M92</f>
        <v>3759.38086696747</v>
      </c>
      <c r="L66" s="23" t="n">
        <f aca="false">parametros_recargas!$E$72*'Plan mensual'!N85+parametros_recargas!$F$72*'Plan mensual'!N86+parametros_recargas!$G$72*'Plan mensual'!N87+parametros_recargas!$H$72*'Plan mensual'!N88+parametros_recargas!$I$72*'Plan mensual'!N89+parametros_recargas!$J$72*'Plan mensual'!N90+parametros_recargas!$K$72*'Plan mensual'!N91+parametros_recargas!$L$72*'Plan mensual'!N92</f>
        <v>3759.38086696747</v>
      </c>
      <c r="M66" s="23" t="n">
        <f aca="false">parametros_recargas!$E$72*'Plan mensual'!O85+parametros_recargas!$F$72*'Plan mensual'!O86+parametros_recargas!$G$72*'Plan mensual'!O87+parametros_recargas!$H$72*'Plan mensual'!O88+parametros_recargas!$I$72*'Plan mensual'!O89+parametros_recargas!$J$72*'Plan mensual'!O90+parametros_recargas!$K$72*'Plan mensual'!O91+parametros_recargas!$L$72*'Plan mensual'!O92</f>
        <v>3759.38086696747</v>
      </c>
      <c r="N66" s="7" t="n">
        <f aca="false">SUM(B66:M66)</f>
        <v>45112.5704036096</v>
      </c>
      <c r="O66" s="24" t="n">
        <f aca="false">MAX(B66:M66)</f>
        <v>3759.38086696747</v>
      </c>
      <c r="P66" s="15" t="n">
        <f aca="false">O66/parametros_recargas!$B$6</f>
        <v>25.0625391131165</v>
      </c>
    </row>
    <row r="67" customFormat="false" ht="15" hidden="false" customHeight="false" outlineLevel="0" collapsed="false">
      <c r="A67" s="12" t="str">
        <f aca="false">parametros_recargas!$B$73</f>
        <v>Inspección visual</v>
      </c>
      <c r="B67" s="23" t="n">
        <f aca="false">parametros_recargas!$E$73*'Plan mensual'!D85+parametros_recargas!$F$73*'Plan mensual'!D86+parametros_recargas!$G$73*'Plan mensual'!D87+parametros_recargas!$H$73*'Plan mensual'!D88+parametros_recargas!$I$73*'Plan mensual'!D89+parametros_recargas!$J$73*'Plan mensual'!D90+parametros_recargas!$K$73*'Plan mensual'!D91+parametros_recargas!$L$73*'Plan mensual'!D92</f>
        <v>3759.38086696747</v>
      </c>
      <c r="C67" s="23" t="n">
        <f aca="false">parametros_recargas!$E$73*'Plan mensual'!E85+parametros_recargas!$F$73*'Plan mensual'!E86+parametros_recargas!$G$73*'Plan mensual'!E87+parametros_recargas!$H$73*'Plan mensual'!E88+parametros_recargas!$I$73*'Plan mensual'!E89+parametros_recargas!$J$73*'Plan mensual'!E90+parametros_recargas!$K$73*'Plan mensual'!E91+parametros_recargas!$L$73*'Plan mensual'!E92</f>
        <v>3759.38086696747</v>
      </c>
      <c r="D67" s="23" t="n">
        <f aca="false">parametros_recargas!$E$73*'Plan mensual'!F85+parametros_recargas!$F$73*'Plan mensual'!F86+parametros_recargas!$G$73*'Plan mensual'!F87+parametros_recargas!$H$73*'Plan mensual'!F88+parametros_recargas!$I$73*'Plan mensual'!F89+parametros_recargas!$J$73*'Plan mensual'!F90+parametros_recargas!$K$73*'Plan mensual'!F91+parametros_recargas!$L$73*'Plan mensual'!F92</f>
        <v>3759.38086696747</v>
      </c>
      <c r="E67" s="23" t="n">
        <f aca="false">parametros_recargas!$E$73*'Plan mensual'!G85+parametros_recargas!$F$73*'Plan mensual'!G86+parametros_recargas!$G$73*'Plan mensual'!G87+parametros_recargas!$H$73*'Plan mensual'!G88+parametros_recargas!$I$73*'Plan mensual'!G89+parametros_recargas!$J$73*'Plan mensual'!G90+parametros_recargas!$K$73*'Plan mensual'!G91+parametros_recargas!$L$73*'Plan mensual'!G92</f>
        <v>3759.38086696747</v>
      </c>
      <c r="F67" s="23" t="n">
        <f aca="false">parametros_recargas!$E$73*'Plan mensual'!H85+parametros_recargas!$F$73*'Plan mensual'!H86+parametros_recargas!$G$73*'Plan mensual'!H87+parametros_recargas!$H$73*'Plan mensual'!H88+parametros_recargas!$I$73*'Plan mensual'!H89+parametros_recargas!$J$73*'Plan mensual'!H90+parametros_recargas!$K$73*'Plan mensual'!H91+parametros_recargas!$L$73*'Plan mensual'!H92</f>
        <v>3759.38086696747</v>
      </c>
      <c r="G67" s="23" t="n">
        <f aca="false">parametros_recargas!$E$73*'Plan mensual'!I85+parametros_recargas!$F$73*'Plan mensual'!I86+parametros_recargas!$G$73*'Plan mensual'!I87+parametros_recargas!$H$73*'Plan mensual'!I88+parametros_recargas!$I$73*'Plan mensual'!I89+parametros_recargas!$J$73*'Plan mensual'!I90+parametros_recargas!$K$73*'Plan mensual'!I91+parametros_recargas!$L$73*'Plan mensual'!I92</f>
        <v>3759.38086696747</v>
      </c>
      <c r="H67" s="23" t="n">
        <f aca="false">parametros_recargas!$E$73*'Plan mensual'!J85+parametros_recargas!$F$73*'Plan mensual'!J86+parametros_recargas!$G$73*'Plan mensual'!J87+parametros_recargas!$H$73*'Plan mensual'!J88+parametros_recargas!$I$73*'Plan mensual'!J89+parametros_recargas!$J$73*'Plan mensual'!J90+parametros_recargas!$K$73*'Plan mensual'!J91+parametros_recargas!$L$73*'Plan mensual'!J92</f>
        <v>3759.38086696747</v>
      </c>
      <c r="I67" s="23" t="n">
        <f aca="false">parametros_recargas!$E$73*'Plan mensual'!K85+parametros_recargas!$F$73*'Plan mensual'!K86+parametros_recargas!$G$73*'Plan mensual'!K87+parametros_recargas!$H$73*'Plan mensual'!K88+parametros_recargas!$I$73*'Plan mensual'!K89+parametros_recargas!$J$73*'Plan mensual'!K90+parametros_recargas!$K$73*'Plan mensual'!K91+parametros_recargas!$L$73*'Plan mensual'!K92</f>
        <v>3759.38086696747</v>
      </c>
      <c r="J67" s="23" t="n">
        <f aca="false">parametros_recargas!$E$73*'Plan mensual'!L85+parametros_recargas!$F$73*'Plan mensual'!L86+parametros_recargas!$G$73*'Plan mensual'!L87+parametros_recargas!$H$73*'Plan mensual'!L88+parametros_recargas!$I$73*'Plan mensual'!L89+parametros_recargas!$J$73*'Plan mensual'!L90+parametros_recargas!$K$73*'Plan mensual'!L91+parametros_recargas!$L$73*'Plan mensual'!L92</f>
        <v>3759.38086696747</v>
      </c>
      <c r="K67" s="23" t="n">
        <f aca="false">parametros_recargas!$E$73*'Plan mensual'!M85+parametros_recargas!$F$73*'Plan mensual'!M86+parametros_recargas!$G$73*'Plan mensual'!M87+parametros_recargas!$H$73*'Plan mensual'!M88+parametros_recargas!$I$73*'Plan mensual'!M89+parametros_recargas!$J$73*'Plan mensual'!M90+parametros_recargas!$K$73*'Plan mensual'!M91+parametros_recargas!$L$73*'Plan mensual'!M92</f>
        <v>3759.38086696747</v>
      </c>
      <c r="L67" s="23" t="n">
        <f aca="false">parametros_recargas!$E$73*'Plan mensual'!N85+parametros_recargas!$F$73*'Plan mensual'!N86+parametros_recargas!$G$73*'Plan mensual'!N87+parametros_recargas!$H$73*'Plan mensual'!N88+parametros_recargas!$I$73*'Plan mensual'!N89+parametros_recargas!$J$73*'Plan mensual'!N90+parametros_recargas!$K$73*'Plan mensual'!N91+parametros_recargas!$L$73*'Plan mensual'!N92</f>
        <v>3759.38086696747</v>
      </c>
      <c r="M67" s="23" t="n">
        <f aca="false">parametros_recargas!$E$73*'Plan mensual'!O85+parametros_recargas!$F$73*'Plan mensual'!O86+parametros_recargas!$G$73*'Plan mensual'!O87+parametros_recargas!$H$73*'Plan mensual'!O88+parametros_recargas!$I$73*'Plan mensual'!O89+parametros_recargas!$J$73*'Plan mensual'!O90+parametros_recargas!$K$73*'Plan mensual'!O91+parametros_recargas!$L$73*'Plan mensual'!O92</f>
        <v>3759.38086696747</v>
      </c>
      <c r="N67" s="7" t="n">
        <f aca="false">SUM(B67:M67)</f>
        <v>45112.5704036096</v>
      </c>
      <c r="O67" s="24" t="n">
        <f aca="false">MAX(B67:M67)</f>
        <v>3759.38086696747</v>
      </c>
      <c r="P67" s="15" t="n">
        <f aca="false">O67/parametros_recargas!$B$6</f>
        <v>25.0625391131165</v>
      </c>
    </row>
    <row r="68" customFormat="false" ht="15" hidden="false" customHeight="false" outlineLevel="0" collapsed="false">
      <c r="A68" s="12" t="str">
        <f aca="false">parametros_recargas!$B$74</f>
        <v>Descarga ABC — ruta recuperable</v>
      </c>
      <c r="B68" s="23" t="n">
        <f aca="false">parametros_recargas!$E$74*'Plan mensual'!D85+parametros_recargas!$F$74*'Plan mensual'!D86+parametros_recargas!$G$74*'Plan mensual'!D87+parametros_recargas!$H$74*'Plan mensual'!D88+parametros_recargas!$I$74*'Plan mensual'!D89+parametros_recargas!$J$74*'Plan mensual'!D90+parametros_recargas!$K$74*'Plan mensual'!D91+parametros_recargas!$L$74*'Plan mensual'!D92</f>
        <v>2752.09514047397</v>
      </c>
      <c r="C68" s="23" t="n">
        <f aca="false">parametros_recargas!$E$74*'Plan mensual'!E85+parametros_recargas!$F$74*'Plan mensual'!E86+parametros_recargas!$G$74*'Plan mensual'!E87+parametros_recargas!$H$74*'Plan mensual'!E88+parametros_recargas!$I$74*'Plan mensual'!E89+parametros_recargas!$J$74*'Plan mensual'!E90+parametros_recargas!$K$74*'Plan mensual'!E91+parametros_recargas!$L$74*'Plan mensual'!E92</f>
        <v>2752.09514047397</v>
      </c>
      <c r="D68" s="23" t="n">
        <f aca="false">parametros_recargas!$E$74*'Plan mensual'!F85+parametros_recargas!$F$74*'Plan mensual'!F86+parametros_recargas!$G$74*'Plan mensual'!F87+parametros_recargas!$H$74*'Plan mensual'!F88+parametros_recargas!$I$74*'Plan mensual'!F89+parametros_recargas!$J$74*'Plan mensual'!F90+parametros_recargas!$K$74*'Plan mensual'!F91+parametros_recargas!$L$74*'Plan mensual'!F92</f>
        <v>2752.09514047397</v>
      </c>
      <c r="E68" s="23" t="n">
        <f aca="false">parametros_recargas!$E$74*'Plan mensual'!G85+parametros_recargas!$F$74*'Plan mensual'!G86+parametros_recargas!$G$74*'Plan mensual'!G87+parametros_recargas!$H$74*'Plan mensual'!G88+parametros_recargas!$I$74*'Plan mensual'!G89+parametros_recargas!$J$74*'Plan mensual'!G90+parametros_recargas!$K$74*'Plan mensual'!G91+parametros_recargas!$L$74*'Plan mensual'!G92</f>
        <v>2752.09514047397</v>
      </c>
      <c r="F68" s="23" t="n">
        <f aca="false">parametros_recargas!$E$74*'Plan mensual'!H85+parametros_recargas!$F$74*'Plan mensual'!H86+parametros_recargas!$G$74*'Plan mensual'!H87+parametros_recargas!$H$74*'Plan mensual'!H88+parametros_recargas!$I$74*'Plan mensual'!H89+parametros_recargas!$J$74*'Plan mensual'!H90+parametros_recargas!$K$74*'Plan mensual'!H91+parametros_recargas!$L$74*'Plan mensual'!H92</f>
        <v>2752.09514047397</v>
      </c>
      <c r="G68" s="23" t="n">
        <f aca="false">parametros_recargas!$E$74*'Plan mensual'!I85+parametros_recargas!$F$74*'Plan mensual'!I86+parametros_recargas!$G$74*'Plan mensual'!I87+parametros_recargas!$H$74*'Plan mensual'!I88+parametros_recargas!$I$74*'Plan mensual'!I89+parametros_recargas!$J$74*'Plan mensual'!I90+parametros_recargas!$K$74*'Plan mensual'!I91+parametros_recargas!$L$74*'Plan mensual'!I92</f>
        <v>2752.09514047397</v>
      </c>
      <c r="H68" s="23" t="n">
        <f aca="false">parametros_recargas!$E$74*'Plan mensual'!J85+parametros_recargas!$F$74*'Plan mensual'!J86+parametros_recargas!$G$74*'Plan mensual'!J87+parametros_recargas!$H$74*'Plan mensual'!J88+parametros_recargas!$I$74*'Plan mensual'!J89+parametros_recargas!$J$74*'Plan mensual'!J90+parametros_recargas!$K$74*'Plan mensual'!J91+parametros_recargas!$L$74*'Plan mensual'!J92</f>
        <v>2752.09514047397</v>
      </c>
      <c r="I68" s="23" t="n">
        <f aca="false">parametros_recargas!$E$74*'Plan mensual'!K85+parametros_recargas!$F$74*'Plan mensual'!K86+parametros_recargas!$G$74*'Plan mensual'!K87+parametros_recargas!$H$74*'Plan mensual'!K88+parametros_recargas!$I$74*'Plan mensual'!K89+parametros_recargas!$J$74*'Plan mensual'!K90+parametros_recargas!$K$74*'Plan mensual'!K91+parametros_recargas!$L$74*'Plan mensual'!K92</f>
        <v>2752.09514047397</v>
      </c>
      <c r="J68" s="23" t="n">
        <f aca="false">parametros_recargas!$E$74*'Plan mensual'!L85+parametros_recargas!$F$74*'Plan mensual'!L86+parametros_recargas!$G$74*'Plan mensual'!L87+parametros_recargas!$H$74*'Plan mensual'!L88+parametros_recargas!$I$74*'Plan mensual'!L89+parametros_recargas!$J$74*'Plan mensual'!L90+parametros_recargas!$K$74*'Plan mensual'!L91+parametros_recargas!$L$74*'Plan mensual'!L92</f>
        <v>2752.09514047397</v>
      </c>
      <c r="K68" s="23" t="n">
        <f aca="false">parametros_recargas!$E$74*'Plan mensual'!M85+parametros_recargas!$F$74*'Plan mensual'!M86+parametros_recargas!$G$74*'Plan mensual'!M87+parametros_recargas!$H$74*'Plan mensual'!M88+parametros_recargas!$I$74*'Plan mensual'!M89+parametros_recargas!$J$74*'Plan mensual'!M90+parametros_recargas!$K$74*'Plan mensual'!M91+parametros_recargas!$L$74*'Plan mensual'!M92</f>
        <v>2752.09514047397</v>
      </c>
      <c r="L68" s="23" t="n">
        <f aca="false">parametros_recargas!$E$74*'Plan mensual'!N85+parametros_recargas!$F$74*'Plan mensual'!N86+parametros_recargas!$G$74*'Plan mensual'!N87+parametros_recargas!$H$74*'Plan mensual'!N88+parametros_recargas!$I$74*'Plan mensual'!N89+parametros_recargas!$J$74*'Plan mensual'!N90+parametros_recargas!$K$74*'Plan mensual'!N91+parametros_recargas!$L$74*'Plan mensual'!N92</f>
        <v>2752.09514047397</v>
      </c>
      <c r="M68" s="23" t="n">
        <f aca="false">parametros_recargas!$E$74*'Plan mensual'!O85+parametros_recargas!$F$74*'Plan mensual'!O86+parametros_recargas!$G$74*'Plan mensual'!O87+parametros_recargas!$H$74*'Plan mensual'!O88+parametros_recargas!$I$74*'Plan mensual'!O89+parametros_recargas!$J$74*'Plan mensual'!O90+parametros_recargas!$K$74*'Plan mensual'!O91+parametros_recargas!$L$74*'Plan mensual'!O92</f>
        <v>2752.09514047397</v>
      </c>
      <c r="N68" s="7" t="n">
        <f aca="false">SUM(B68:M68)</f>
        <v>33025.1416856876</v>
      </c>
      <c r="O68" s="24" t="n">
        <f aca="false">MAX(B68:M68)</f>
        <v>2752.09514047397</v>
      </c>
      <c r="P68" s="15" t="n">
        <f aca="false">O68/parametros_recargas!$B$6</f>
        <v>18.3473009364931</v>
      </c>
    </row>
    <row r="69" customFormat="false" ht="15" hidden="false" customHeight="false" outlineLevel="0" collapsed="false">
      <c r="A69" s="12" t="str">
        <f aca="false">parametros_recargas!$B$75</f>
        <v>Descarga ABC — ruta descarte</v>
      </c>
      <c r="B69" s="23" t="n">
        <f aca="false">parametros_recargas!$E$75*'Plan mensual'!D85+parametros_recargas!$F$75*'Plan mensual'!D86+parametros_recargas!$G$75*'Plan mensual'!D87+parametros_recargas!$H$75*'Plan mensual'!D88+parametros_recargas!$I$75*'Plan mensual'!D89+parametros_recargas!$J$75*'Plan mensual'!D90+parametros_recargas!$K$75*'Plan mensual'!D91+parametros_recargas!$L$75*'Plan mensual'!D92</f>
        <v>323.775898879291</v>
      </c>
      <c r="C69" s="23" t="n">
        <f aca="false">parametros_recargas!$E$75*'Plan mensual'!E85+parametros_recargas!$F$75*'Plan mensual'!E86+parametros_recargas!$G$75*'Plan mensual'!E87+parametros_recargas!$H$75*'Plan mensual'!E88+parametros_recargas!$I$75*'Plan mensual'!E89+parametros_recargas!$J$75*'Plan mensual'!E90+parametros_recargas!$K$75*'Plan mensual'!E91+parametros_recargas!$L$75*'Plan mensual'!E92</f>
        <v>323.775898879291</v>
      </c>
      <c r="D69" s="23" t="n">
        <f aca="false">parametros_recargas!$E$75*'Plan mensual'!F85+parametros_recargas!$F$75*'Plan mensual'!F86+parametros_recargas!$G$75*'Plan mensual'!F87+parametros_recargas!$H$75*'Plan mensual'!F88+parametros_recargas!$I$75*'Plan mensual'!F89+parametros_recargas!$J$75*'Plan mensual'!F90+parametros_recargas!$K$75*'Plan mensual'!F91+parametros_recargas!$L$75*'Plan mensual'!F92</f>
        <v>323.775898879291</v>
      </c>
      <c r="E69" s="23" t="n">
        <f aca="false">parametros_recargas!$E$75*'Plan mensual'!G85+parametros_recargas!$F$75*'Plan mensual'!G86+parametros_recargas!$G$75*'Plan mensual'!G87+parametros_recargas!$H$75*'Plan mensual'!G88+parametros_recargas!$I$75*'Plan mensual'!G89+parametros_recargas!$J$75*'Plan mensual'!G90+parametros_recargas!$K$75*'Plan mensual'!G91+parametros_recargas!$L$75*'Plan mensual'!G92</f>
        <v>323.775898879291</v>
      </c>
      <c r="F69" s="23" t="n">
        <f aca="false">parametros_recargas!$E$75*'Plan mensual'!H85+parametros_recargas!$F$75*'Plan mensual'!H86+parametros_recargas!$G$75*'Plan mensual'!H87+parametros_recargas!$H$75*'Plan mensual'!H88+parametros_recargas!$I$75*'Plan mensual'!H89+parametros_recargas!$J$75*'Plan mensual'!H90+parametros_recargas!$K$75*'Plan mensual'!H91+parametros_recargas!$L$75*'Plan mensual'!H92</f>
        <v>323.775898879291</v>
      </c>
      <c r="G69" s="23" t="n">
        <f aca="false">parametros_recargas!$E$75*'Plan mensual'!I85+parametros_recargas!$F$75*'Plan mensual'!I86+parametros_recargas!$G$75*'Plan mensual'!I87+parametros_recargas!$H$75*'Plan mensual'!I88+parametros_recargas!$I$75*'Plan mensual'!I89+parametros_recargas!$J$75*'Plan mensual'!I90+parametros_recargas!$K$75*'Plan mensual'!I91+parametros_recargas!$L$75*'Plan mensual'!I92</f>
        <v>323.775898879291</v>
      </c>
      <c r="H69" s="23" t="n">
        <f aca="false">parametros_recargas!$E$75*'Plan mensual'!J85+parametros_recargas!$F$75*'Plan mensual'!J86+parametros_recargas!$G$75*'Plan mensual'!J87+parametros_recargas!$H$75*'Plan mensual'!J88+parametros_recargas!$I$75*'Plan mensual'!J89+parametros_recargas!$J$75*'Plan mensual'!J90+parametros_recargas!$K$75*'Plan mensual'!J91+parametros_recargas!$L$75*'Plan mensual'!J92</f>
        <v>323.775898879291</v>
      </c>
      <c r="I69" s="23" t="n">
        <f aca="false">parametros_recargas!$E$75*'Plan mensual'!K85+parametros_recargas!$F$75*'Plan mensual'!K86+parametros_recargas!$G$75*'Plan mensual'!K87+parametros_recargas!$H$75*'Plan mensual'!K88+parametros_recargas!$I$75*'Plan mensual'!K89+parametros_recargas!$J$75*'Plan mensual'!K90+parametros_recargas!$K$75*'Plan mensual'!K91+parametros_recargas!$L$75*'Plan mensual'!K92</f>
        <v>323.775898879291</v>
      </c>
      <c r="J69" s="23" t="n">
        <f aca="false">parametros_recargas!$E$75*'Plan mensual'!L85+parametros_recargas!$F$75*'Plan mensual'!L86+parametros_recargas!$G$75*'Plan mensual'!L87+parametros_recargas!$H$75*'Plan mensual'!L88+parametros_recargas!$I$75*'Plan mensual'!L89+parametros_recargas!$J$75*'Plan mensual'!L90+parametros_recargas!$K$75*'Plan mensual'!L91+parametros_recargas!$L$75*'Plan mensual'!L92</f>
        <v>323.775898879291</v>
      </c>
      <c r="K69" s="23" t="n">
        <f aca="false">parametros_recargas!$E$75*'Plan mensual'!M85+parametros_recargas!$F$75*'Plan mensual'!M86+parametros_recargas!$G$75*'Plan mensual'!M87+parametros_recargas!$H$75*'Plan mensual'!M88+parametros_recargas!$I$75*'Plan mensual'!M89+parametros_recargas!$J$75*'Plan mensual'!M90+parametros_recargas!$K$75*'Plan mensual'!M91+parametros_recargas!$L$75*'Plan mensual'!M92</f>
        <v>323.775898879291</v>
      </c>
      <c r="L69" s="23" t="n">
        <f aca="false">parametros_recargas!$E$75*'Plan mensual'!N85+parametros_recargas!$F$75*'Plan mensual'!N86+parametros_recargas!$G$75*'Plan mensual'!N87+parametros_recargas!$H$75*'Plan mensual'!N88+parametros_recargas!$I$75*'Plan mensual'!N89+parametros_recargas!$J$75*'Plan mensual'!N90+parametros_recargas!$K$75*'Plan mensual'!N91+parametros_recargas!$L$75*'Plan mensual'!N92</f>
        <v>323.775898879291</v>
      </c>
      <c r="M69" s="23" t="n">
        <f aca="false">parametros_recargas!$E$75*'Plan mensual'!O85+parametros_recargas!$F$75*'Plan mensual'!O86+parametros_recargas!$G$75*'Plan mensual'!O87+parametros_recargas!$H$75*'Plan mensual'!O88+parametros_recargas!$I$75*'Plan mensual'!O89+parametros_recargas!$J$75*'Plan mensual'!O90+parametros_recargas!$K$75*'Plan mensual'!O91+parametros_recargas!$L$75*'Plan mensual'!O92</f>
        <v>323.775898879291</v>
      </c>
      <c r="N69" s="7" t="n">
        <f aca="false">SUM(B69:M69)</f>
        <v>3885.31078655149</v>
      </c>
      <c r="O69" s="24" t="n">
        <f aca="false">MAX(B69:M69)</f>
        <v>323.775898879291</v>
      </c>
      <c r="P69" s="15" t="n">
        <f aca="false">O69/parametros_recargas!$B$6</f>
        <v>2.1585059925286</v>
      </c>
    </row>
    <row r="70" customFormat="false" ht="15" hidden="false" customHeight="false" outlineLevel="0" collapsed="false">
      <c r="A70" s="12" t="str">
        <f aca="false">parametros_recargas!$B$76</f>
        <v>Descarga BC</v>
      </c>
      <c r="B70" s="23" t="n">
        <f aca="false">parametros_recargas!$E$76*'Plan mensual'!D85+parametros_recargas!$F$76*'Plan mensual'!D86+parametros_recargas!$G$76*'Plan mensual'!D87+parametros_recargas!$H$76*'Plan mensual'!D88+parametros_recargas!$I$76*'Plan mensual'!D89+parametros_recargas!$J$76*'Plan mensual'!D90+parametros_recargas!$K$76*'Plan mensual'!D91+parametros_recargas!$L$76*'Plan mensual'!D92</f>
        <v>5.35570220048698</v>
      </c>
      <c r="C70" s="23" t="n">
        <f aca="false">parametros_recargas!$E$76*'Plan mensual'!E85+parametros_recargas!$F$76*'Plan mensual'!E86+parametros_recargas!$G$76*'Plan mensual'!E87+parametros_recargas!$H$76*'Plan mensual'!E88+parametros_recargas!$I$76*'Plan mensual'!E89+parametros_recargas!$J$76*'Plan mensual'!E90+parametros_recargas!$K$76*'Plan mensual'!E91+parametros_recargas!$L$76*'Plan mensual'!E92</f>
        <v>5.35570220048698</v>
      </c>
      <c r="D70" s="23" t="n">
        <f aca="false">parametros_recargas!$E$76*'Plan mensual'!F85+parametros_recargas!$F$76*'Plan mensual'!F86+parametros_recargas!$G$76*'Plan mensual'!F87+parametros_recargas!$H$76*'Plan mensual'!F88+parametros_recargas!$I$76*'Plan mensual'!F89+parametros_recargas!$J$76*'Plan mensual'!F90+parametros_recargas!$K$76*'Plan mensual'!F91+parametros_recargas!$L$76*'Plan mensual'!F92</f>
        <v>5.35570220048698</v>
      </c>
      <c r="E70" s="23" t="n">
        <f aca="false">parametros_recargas!$E$76*'Plan mensual'!G85+parametros_recargas!$F$76*'Plan mensual'!G86+parametros_recargas!$G$76*'Plan mensual'!G87+parametros_recargas!$H$76*'Plan mensual'!G88+parametros_recargas!$I$76*'Plan mensual'!G89+parametros_recargas!$J$76*'Plan mensual'!G90+parametros_recargas!$K$76*'Plan mensual'!G91+parametros_recargas!$L$76*'Plan mensual'!G92</f>
        <v>5.35570220048698</v>
      </c>
      <c r="F70" s="23" t="n">
        <f aca="false">parametros_recargas!$E$76*'Plan mensual'!H85+parametros_recargas!$F$76*'Plan mensual'!H86+parametros_recargas!$G$76*'Plan mensual'!H87+parametros_recargas!$H$76*'Plan mensual'!H88+parametros_recargas!$I$76*'Plan mensual'!H89+parametros_recargas!$J$76*'Plan mensual'!H90+parametros_recargas!$K$76*'Plan mensual'!H91+parametros_recargas!$L$76*'Plan mensual'!H92</f>
        <v>5.35570220048698</v>
      </c>
      <c r="G70" s="23" t="n">
        <f aca="false">parametros_recargas!$E$76*'Plan mensual'!I85+parametros_recargas!$F$76*'Plan mensual'!I86+parametros_recargas!$G$76*'Plan mensual'!I87+parametros_recargas!$H$76*'Plan mensual'!I88+parametros_recargas!$I$76*'Plan mensual'!I89+parametros_recargas!$J$76*'Plan mensual'!I90+parametros_recargas!$K$76*'Plan mensual'!I91+parametros_recargas!$L$76*'Plan mensual'!I92</f>
        <v>5.35570220048698</v>
      </c>
      <c r="H70" s="23" t="n">
        <f aca="false">parametros_recargas!$E$76*'Plan mensual'!J85+parametros_recargas!$F$76*'Plan mensual'!J86+parametros_recargas!$G$76*'Plan mensual'!J87+parametros_recargas!$H$76*'Plan mensual'!J88+parametros_recargas!$I$76*'Plan mensual'!J89+parametros_recargas!$J$76*'Plan mensual'!J90+parametros_recargas!$K$76*'Plan mensual'!J91+parametros_recargas!$L$76*'Plan mensual'!J92</f>
        <v>5.35570220048698</v>
      </c>
      <c r="I70" s="23" t="n">
        <f aca="false">parametros_recargas!$E$76*'Plan mensual'!K85+parametros_recargas!$F$76*'Plan mensual'!K86+parametros_recargas!$G$76*'Plan mensual'!K87+parametros_recargas!$H$76*'Plan mensual'!K88+parametros_recargas!$I$76*'Plan mensual'!K89+parametros_recargas!$J$76*'Plan mensual'!K90+parametros_recargas!$K$76*'Plan mensual'!K91+parametros_recargas!$L$76*'Plan mensual'!K92</f>
        <v>5.35570220048698</v>
      </c>
      <c r="J70" s="23" t="n">
        <f aca="false">parametros_recargas!$E$76*'Plan mensual'!L85+parametros_recargas!$F$76*'Plan mensual'!L86+parametros_recargas!$G$76*'Plan mensual'!L87+parametros_recargas!$H$76*'Plan mensual'!L88+parametros_recargas!$I$76*'Plan mensual'!L89+parametros_recargas!$J$76*'Plan mensual'!L90+parametros_recargas!$K$76*'Plan mensual'!L91+parametros_recargas!$L$76*'Plan mensual'!L92</f>
        <v>5.35570220048698</v>
      </c>
      <c r="K70" s="23" t="n">
        <f aca="false">parametros_recargas!$E$76*'Plan mensual'!M85+parametros_recargas!$F$76*'Plan mensual'!M86+parametros_recargas!$G$76*'Plan mensual'!M87+parametros_recargas!$H$76*'Plan mensual'!M88+parametros_recargas!$I$76*'Plan mensual'!M89+parametros_recargas!$J$76*'Plan mensual'!M90+parametros_recargas!$K$76*'Plan mensual'!M91+parametros_recargas!$L$76*'Plan mensual'!M92</f>
        <v>5.35570220048698</v>
      </c>
      <c r="L70" s="23" t="n">
        <f aca="false">parametros_recargas!$E$76*'Plan mensual'!N85+parametros_recargas!$F$76*'Plan mensual'!N86+parametros_recargas!$G$76*'Plan mensual'!N87+parametros_recargas!$H$76*'Plan mensual'!N88+parametros_recargas!$I$76*'Plan mensual'!N89+parametros_recargas!$J$76*'Plan mensual'!N90+parametros_recargas!$K$76*'Plan mensual'!N91+parametros_recargas!$L$76*'Plan mensual'!N92</f>
        <v>5.35570220048698</v>
      </c>
      <c r="M70" s="23" t="n">
        <f aca="false">parametros_recargas!$E$76*'Plan mensual'!O85+parametros_recargas!$F$76*'Plan mensual'!O86+parametros_recargas!$G$76*'Plan mensual'!O87+parametros_recargas!$H$76*'Plan mensual'!O88+parametros_recargas!$I$76*'Plan mensual'!O89+parametros_recargas!$J$76*'Plan mensual'!O90+parametros_recargas!$K$76*'Plan mensual'!O91+parametros_recargas!$L$76*'Plan mensual'!O92</f>
        <v>5.35570220048698</v>
      </c>
      <c r="N70" s="7" t="n">
        <f aca="false">SUM(B70:M70)</f>
        <v>64.2684264058438</v>
      </c>
      <c r="O70" s="24" t="n">
        <f aca="false">MAX(B70:M70)</f>
        <v>5.35570220048698</v>
      </c>
      <c r="P70" s="15" t="n">
        <f aca="false">O70/parametros_recargas!$B$6</f>
        <v>0.0357046813365799</v>
      </c>
    </row>
    <row r="71" customFormat="false" ht="15" hidden="false" customHeight="false" outlineLevel="0" collapsed="false">
      <c r="A71" s="12" t="str">
        <f aca="false">parametros_recargas!$B$77</f>
        <v>Descarga de agua / AFFF / sales K</v>
      </c>
      <c r="B71" s="23" t="n">
        <f aca="false">parametros_recargas!$E$77*'Plan mensual'!D85+parametros_recargas!$F$77*'Plan mensual'!D86+parametros_recargas!$G$77*'Plan mensual'!D87+parametros_recargas!$H$77*'Plan mensual'!D88+parametros_recargas!$I$77*'Plan mensual'!D89+parametros_recargas!$J$77*'Plan mensual'!D90+parametros_recargas!$K$77*'Plan mensual'!D91+parametros_recargas!$L$77*'Plan mensual'!D92</f>
        <v>180.360549097428</v>
      </c>
      <c r="C71" s="23" t="n">
        <f aca="false">parametros_recargas!$E$77*'Plan mensual'!E85+parametros_recargas!$F$77*'Plan mensual'!E86+parametros_recargas!$G$77*'Plan mensual'!E87+parametros_recargas!$H$77*'Plan mensual'!E88+parametros_recargas!$I$77*'Plan mensual'!E89+parametros_recargas!$J$77*'Plan mensual'!E90+parametros_recargas!$K$77*'Plan mensual'!E91+parametros_recargas!$L$77*'Plan mensual'!E92</f>
        <v>180.360549097428</v>
      </c>
      <c r="D71" s="23" t="n">
        <f aca="false">parametros_recargas!$E$77*'Plan mensual'!F85+parametros_recargas!$F$77*'Plan mensual'!F86+parametros_recargas!$G$77*'Plan mensual'!F87+parametros_recargas!$H$77*'Plan mensual'!F88+parametros_recargas!$I$77*'Plan mensual'!F89+parametros_recargas!$J$77*'Plan mensual'!F90+parametros_recargas!$K$77*'Plan mensual'!F91+parametros_recargas!$L$77*'Plan mensual'!F92</f>
        <v>180.360549097428</v>
      </c>
      <c r="E71" s="23" t="n">
        <f aca="false">parametros_recargas!$E$77*'Plan mensual'!G85+parametros_recargas!$F$77*'Plan mensual'!G86+parametros_recargas!$G$77*'Plan mensual'!G87+parametros_recargas!$H$77*'Plan mensual'!G88+parametros_recargas!$I$77*'Plan mensual'!G89+parametros_recargas!$J$77*'Plan mensual'!G90+parametros_recargas!$K$77*'Plan mensual'!G91+parametros_recargas!$L$77*'Plan mensual'!G92</f>
        <v>180.360549097428</v>
      </c>
      <c r="F71" s="23" t="n">
        <f aca="false">parametros_recargas!$E$77*'Plan mensual'!H85+parametros_recargas!$F$77*'Plan mensual'!H86+parametros_recargas!$G$77*'Plan mensual'!H87+parametros_recargas!$H$77*'Plan mensual'!H88+parametros_recargas!$I$77*'Plan mensual'!H89+parametros_recargas!$J$77*'Plan mensual'!H90+parametros_recargas!$K$77*'Plan mensual'!H91+parametros_recargas!$L$77*'Plan mensual'!H92</f>
        <v>180.360549097428</v>
      </c>
      <c r="G71" s="23" t="n">
        <f aca="false">parametros_recargas!$E$77*'Plan mensual'!I85+parametros_recargas!$F$77*'Plan mensual'!I86+parametros_recargas!$G$77*'Plan mensual'!I87+parametros_recargas!$H$77*'Plan mensual'!I88+parametros_recargas!$I$77*'Plan mensual'!I89+parametros_recargas!$J$77*'Plan mensual'!I90+parametros_recargas!$K$77*'Plan mensual'!I91+parametros_recargas!$L$77*'Plan mensual'!I92</f>
        <v>180.360549097428</v>
      </c>
      <c r="H71" s="23" t="n">
        <f aca="false">parametros_recargas!$E$77*'Plan mensual'!J85+parametros_recargas!$F$77*'Plan mensual'!J86+parametros_recargas!$G$77*'Plan mensual'!J87+parametros_recargas!$H$77*'Plan mensual'!J88+parametros_recargas!$I$77*'Plan mensual'!J89+parametros_recargas!$J$77*'Plan mensual'!J90+parametros_recargas!$K$77*'Plan mensual'!J91+parametros_recargas!$L$77*'Plan mensual'!J92</f>
        <v>180.360549097428</v>
      </c>
      <c r="I71" s="23" t="n">
        <f aca="false">parametros_recargas!$E$77*'Plan mensual'!K85+parametros_recargas!$F$77*'Plan mensual'!K86+parametros_recargas!$G$77*'Plan mensual'!K87+parametros_recargas!$H$77*'Plan mensual'!K88+parametros_recargas!$I$77*'Plan mensual'!K89+parametros_recargas!$J$77*'Plan mensual'!K90+parametros_recargas!$K$77*'Plan mensual'!K91+parametros_recargas!$L$77*'Plan mensual'!K92</f>
        <v>180.360549097428</v>
      </c>
      <c r="J71" s="23" t="n">
        <f aca="false">parametros_recargas!$E$77*'Plan mensual'!L85+parametros_recargas!$F$77*'Plan mensual'!L86+parametros_recargas!$G$77*'Plan mensual'!L87+parametros_recargas!$H$77*'Plan mensual'!L88+parametros_recargas!$I$77*'Plan mensual'!L89+parametros_recargas!$J$77*'Plan mensual'!L90+parametros_recargas!$K$77*'Plan mensual'!L91+parametros_recargas!$L$77*'Plan mensual'!L92</f>
        <v>180.360549097428</v>
      </c>
      <c r="K71" s="23" t="n">
        <f aca="false">parametros_recargas!$E$77*'Plan mensual'!M85+parametros_recargas!$F$77*'Plan mensual'!M86+parametros_recargas!$G$77*'Plan mensual'!M87+parametros_recargas!$H$77*'Plan mensual'!M88+parametros_recargas!$I$77*'Plan mensual'!M89+parametros_recargas!$J$77*'Plan mensual'!M90+parametros_recargas!$K$77*'Plan mensual'!M91+parametros_recargas!$L$77*'Plan mensual'!M92</f>
        <v>180.360549097428</v>
      </c>
      <c r="L71" s="23" t="n">
        <f aca="false">parametros_recargas!$E$77*'Plan mensual'!N85+parametros_recargas!$F$77*'Plan mensual'!N86+parametros_recargas!$G$77*'Plan mensual'!N87+parametros_recargas!$H$77*'Plan mensual'!N88+parametros_recargas!$I$77*'Plan mensual'!N89+parametros_recargas!$J$77*'Plan mensual'!N90+parametros_recargas!$K$77*'Plan mensual'!N91+parametros_recargas!$L$77*'Plan mensual'!N92</f>
        <v>180.360549097428</v>
      </c>
      <c r="M71" s="23" t="n">
        <f aca="false">parametros_recargas!$E$77*'Plan mensual'!O85+parametros_recargas!$F$77*'Plan mensual'!O86+parametros_recargas!$G$77*'Plan mensual'!O87+parametros_recargas!$H$77*'Plan mensual'!O88+parametros_recargas!$I$77*'Plan mensual'!O89+parametros_recargas!$J$77*'Plan mensual'!O90+parametros_recargas!$K$77*'Plan mensual'!O91+parametros_recargas!$L$77*'Plan mensual'!O92</f>
        <v>180.360549097428</v>
      </c>
      <c r="N71" s="7" t="n">
        <f aca="false">SUM(B71:M71)</f>
        <v>2164.32658916913</v>
      </c>
      <c r="O71" s="24" t="n">
        <f aca="false">MAX(B71:M71)</f>
        <v>180.360549097428</v>
      </c>
      <c r="P71" s="15" t="n">
        <f aca="false">O71/parametros_recargas!$B$6</f>
        <v>1.20240366064952</v>
      </c>
    </row>
    <row r="72" customFormat="false" ht="15" hidden="false" customHeight="false" outlineLevel="0" collapsed="false">
      <c r="A72" s="12" t="str">
        <f aca="false">parametros_recargas!$B$78</f>
        <v>Recuperación de CO₂</v>
      </c>
      <c r="B72" s="23" t="n">
        <f aca="false">parametros_recargas!$E$78*'Plan mensual'!D85+parametros_recargas!$F$78*'Plan mensual'!D86+parametros_recargas!$G$78*'Plan mensual'!D87+parametros_recargas!$H$78*'Plan mensual'!D88+parametros_recargas!$I$78*'Plan mensual'!D89+parametros_recargas!$J$78*'Plan mensual'!D90+parametros_recargas!$K$78*'Plan mensual'!D91+parametros_recargas!$L$78*'Plan mensual'!D92</f>
        <v>79.1934503582381</v>
      </c>
      <c r="C72" s="23" t="n">
        <f aca="false">parametros_recargas!$E$78*'Plan mensual'!E85+parametros_recargas!$F$78*'Plan mensual'!E86+parametros_recargas!$G$78*'Plan mensual'!E87+parametros_recargas!$H$78*'Plan mensual'!E88+parametros_recargas!$I$78*'Plan mensual'!E89+parametros_recargas!$J$78*'Plan mensual'!E90+parametros_recargas!$K$78*'Plan mensual'!E91+parametros_recargas!$L$78*'Plan mensual'!E92</f>
        <v>79.1934503582381</v>
      </c>
      <c r="D72" s="23" t="n">
        <f aca="false">parametros_recargas!$E$78*'Plan mensual'!F85+parametros_recargas!$F$78*'Plan mensual'!F86+parametros_recargas!$G$78*'Plan mensual'!F87+parametros_recargas!$H$78*'Plan mensual'!F88+parametros_recargas!$I$78*'Plan mensual'!F89+parametros_recargas!$J$78*'Plan mensual'!F90+parametros_recargas!$K$78*'Plan mensual'!F91+parametros_recargas!$L$78*'Plan mensual'!F92</f>
        <v>79.1934503582381</v>
      </c>
      <c r="E72" s="23" t="n">
        <f aca="false">parametros_recargas!$E$78*'Plan mensual'!G85+parametros_recargas!$F$78*'Plan mensual'!G86+parametros_recargas!$G$78*'Plan mensual'!G87+parametros_recargas!$H$78*'Plan mensual'!G88+parametros_recargas!$I$78*'Plan mensual'!G89+parametros_recargas!$J$78*'Plan mensual'!G90+parametros_recargas!$K$78*'Plan mensual'!G91+parametros_recargas!$L$78*'Plan mensual'!G92</f>
        <v>79.1934503582381</v>
      </c>
      <c r="F72" s="23" t="n">
        <f aca="false">parametros_recargas!$E$78*'Plan mensual'!H85+parametros_recargas!$F$78*'Plan mensual'!H86+parametros_recargas!$G$78*'Plan mensual'!H87+parametros_recargas!$H$78*'Plan mensual'!H88+parametros_recargas!$I$78*'Plan mensual'!H89+parametros_recargas!$J$78*'Plan mensual'!H90+parametros_recargas!$K$78*'Plan mensual'!H91+parametros_recargas!$L$78*'Plan mensual'!H92</f>
        <v>79.1934503582381</v>
      </c>
      <c r="G72" s="23" t="n">
        <f aca="false">parametros_recargas!$E$78*'Plan mensual'!I85+parametros_recargas!$F$78*'Plan mensual'!I86+parametros_recargas!$G$78*'Plan mensual'!I87+parametros_recargas!$H$78*'Plan mensual'!I88+parametros_recargas!$I$78*'Plan mensual'!I89+parametros_recargas!$J$78*'Plan mensual'!I90+parametros_recargas!$K$78*'Plan mensual'!I91+parametros_recargas!$L$78*'Plan mensual'!I92</f>
        <v>79.1934503582381</v>
      </c>
      <c r="H72" s="23" t="n">
        <f aca="false">parametros_recargas!$E$78*'Plan mensual'!J85+parametros_recargas!$F$78*'Plan mensual'!J86+parametros_recargas!$G$78*'Plan mensual'!J87+parametros_recargas!$H$78*'Plan mensual'!J88+parametros_recargas!$I$78*'Plan mensual'!J89+parametros_recargas!$J$78*'Plan mensual'!J90+parametros_recargas!$K$78*'Plan mensual'!J91+parametros_recargas!$L$78*'Plan mensual'!J92</f>
        <v>79.1934503582381</v>
      </c>
      <c r="I72" s="23" t="n">
        <f aca="false">parametros_recargas!$E$78*'Plan mensual'!K85+parametros_recargas!$F$78*'Plan mensual'!K86+parametros_recargas!$G$78*'Plan mensual'!K87+parametros_recargas!$H$78*'Plan mensual'!K88+parametros_recargas!$I$78*'Plan mensual'!K89+parametros_recargas!$J$78*'Plan mensual'!K90+parametros_recargas!$K$78*'Plan mensual'!K91+parametros_recargas!$L$78*'Plan mensual'!K92</f>
        <v>79.1934503582381</v>
      </c>
      <c r="J72" s="23" t="n">
        <f aca="false">parametros_recargas!$E$78*'Plan mensual'!L85+parametros_recargas!$F$78*'Plan mensual'!L86+parametros_recargas!$G$78*'Plan mensual'!L87+parametros_recargas!$H$78*'Plan mensual'!L88+parametros_recargas!$I$78*'Plan mensual'!L89+parametros_recargas!$J$78*'Plan mensual'!L90+parametros_recargas!$K$78*'Plan mensual'!L91+parametros_recargas!$L$78*'Plan mensual'!L92</f>
        <v>79.1934503582381</v>
      </c>
      <c r="K72" s="23" t="n">
        <f aca="false">parametros_recargas!$E$78*'Plan mensual'!M85+parametros_recargas!$F$78*'Plan mensual'!M86+parametros_recargas!$G$78*'Plan mensual'!M87+parametros_recargas!$H$78*'Plan mensual'!M88+parametros_recargas!$I$78*'Plan mensual'!M89+parametros_recargas!$J$78*'Plan mensual'!M90+parametros_recargas!$K$78*'Plan mensual'!M91+parametros_recargas!$L$78*'Plan mensual'!M92</f>
        <v>79.1934503582381</v>
      </c>
      <c r="L72" s="23" t="n">
        <f aca="false">parametros_recargas!$E$78*'Plan mensual'!N85+parametros_recargas!$F$78*'Plan mensual'!N86+parametros_recargas!$G$78*'Plan mensual'!N87+parametros_recargas!$H$78*'Plan mensual'!N88+parametros_recargas!$I$78*'Plan mensual'!N89+parametros_recargas!$J$78*'Plan mensual'!N90+parametros_recargas!$K$78*'Plan mensual'!N91+parametros_recargas!$L$78*'Plan mensual'!N92</f>
        <v>79.1934503582381</v>
      </c>
      <c r="M72" s="23" t="n">
        <f aca="false">parametros_recargas!$E$78*'Plan mensual'!O85+parametros_recargas!$F$78*'Plan mensual'!O86+parametros_recargas!$G$78*'Plan mensual'!O87+parametros_recargas!$H$78*'Plan mensual'!O88+parametros_recargas!$I$78*'Plan mensual'!O89+parametros_recargas!$J$78*'Plan mensual'!O90+parametros_recargas!$K$78*'Plan mensual'!O91+parametros_recargas!$L$78*'Plan mensual'!O92</f>
        <v>79.1934503582381</v>
      </c>
      <c r="N72" s="7" t="n">
        <f aca="false">SUM(B72:M72)</f>
        <v>950.321404298857</v>
      </c>
      <c r="O72" s="24" t="n">
        <f aca="false">MAX(B72:M72)</f>
        <v>79.1934503582381</v>
      </c>
      <c r="P72" s="15" t="n">
        <f aca="false">O72/parametros_recargas!$B$6</f>
        <v>0.527956335721587</v>
      </c>
    </row>
    <row r="73" customFormat="false" ht="15" hidden="false" customHeight="false" outlineLevel="0" collapsed="false">
      <c r="A73" s="12" t="str">
        <f aca="false">parametros_recargas!$B$79</f>
        <v>Recuperación de halogenado</v>
      </c>
      <c r="B73" s="23" t="n">
        <f aca="false">parametros_recargas!$E$79*'Plan mensual'!D85+parametros_recargas!$F$79*'Plan mensual'!D86+parametros_recargas!$G$79*'Plan mensual'!D87+parametros_recargas!$H$79*'Plan mensual'!D88+parametros_recargas!$I$79*'Plan mensual'!D89+parametros_recargas!$J$79*'Plan mensual'!D90+parametros_recargas!$K$79*'Plan mensual'!D91+parametros_recargas!$L$79*'Plan mensual'!D92</f>
        <v>3.44403081080252</v>
      </c>
      <c r="C73" s="23" t="n">
        <f aca="false">parametros_recargas!$E$79*'Plan mensual'!E85+parametros_recargas!$F$79*'Plan mensual'!E86+parametros_recargas!$G$79*'Plan mensual'!E87+parametros_recargas!$H$79*'Plan mensual'!E88+parametros_recargas!$I$79*'Plan mensual'!E89+parametros_recargas!$J$79*'Plan mensual'!E90+parametros_recargas!$K$79*'Plan mensual'!E91+parametros_recargas!$L$79*'Plan mensual'!E92</f>
        <v>3.44403081080252</v>
      </c>
      <c r="D73" s="23" t="n">
        <f aca="false">parametros_recargas!$E$79*'Plan mensual'!F85+parametros_recargas!$F$79*'Plan mensual'!F86+parametros_recargas!$G$79*'Plan mensual'!F87+parametros_recargas!$H$79*'Plan mensual'!F88+parametros_recargas!$I$79*'Plan mensual'!F89+parametros_recargas!$J$79*'Plan mensual'!F90+parametros_recargas!$K$79*'Plan mensual'!F91+parametros_recargas!$L$79*'Plan mensual'!F92</f>
        <v>3.44403081080252</v>
      </c>
      <c r="E73" s="23" t="n">
        <f aca="false">parametros_recargas!$E$79*'Plan mensual'!G85+parametros_recargas!$F$79*'Plan mensual'!G86+parametros_recargas!$G$79*'Plan mensual'!G87+parametros_recargas!$H$79*'Plan mensual'!G88+parametros_recargas!$I$79*'Plan mensual'!G89+parametros_recargas!$J$79*'Plan mensual'!G90+parametros_recargas!$K$79*'Plan mensual'!G91+parametros_recargas!$L$79*'Plan mensual'!G92</f>
        <v>3.44403081080252</v>
      </c>
      <c r="F73" s="23" t="n">
        <f aca="false">parametros_recargas!$E$79*'Plan mensual'!H85+parametros_recargas!$F$79*'Plan mensual'!H86+parametros_recargas!$G$79*'Plan mensual'!H87+parametros_recargas!$H$79*'Plan mensual'!H88+parametros_recargas!$I$79*'Plan mensual'!H89+parametros_recargas!$J$79*'Plan mensual'!H90+parametros_recargas!$K$79*'Plan mensual'!H91+parametros_recargas!$L$79*'Plan mensual'!H92</f>
        <v>3.44403081080252</v>
      </c>
      <c r="G73" s="23" t="n">
        <f aca="false">parametros_recargas!$E$79*'Plan mensual'!I85+parametros_recargas!$F$79*'Plan mensual'!I86+parametros_recargas!$G$79*'Plan mensual'!I87+parametros_recargas!$H$79*'Plan mensual'!I88+parametros_recargas!$I$79*'Plan mensual'!I89+parametros_recargas!$J$79*'Plan mensual'!I90+parametros_recargas!$K$79*'Plan mensual'!I91+parametros_recargas!$L$79*'Plan mensual'!I92</f>
        <v>3.44403081080252</v>
      </c>
      <c r="H73" s="23" t="n">
        <f aca="false">parametros_recargas!$E$79*'Plan mensual'!J85+parametros_recargas!$F$79*'Plan mensual'!J86+parametros_recargas!$G$79*'Plan mensual'!J87+parametros_recargas!$H$79*'Plan mensual'!J88+parametros_recargas!$I$79*'Plan mensual'!J89+parametros_recargas!$J$79*'Plan mensual'!J90+parametros_recargas!$K$79*'Plan mensual'!J91+parametros_recargas!$L$79*'Plan mensual'!J92</f>
        <v>3.44403081080252</v>
      </c>
      <c r="I73" s="23" t="n">
        <f aca="false">parametros_recargas!$E$79*'Plan mensual'!K85+parametros_recargas!$F$79*'Plan mensual'!K86+parametros_recargas!$G$79*'Plan mensual'!K87+parametros_recargas!$H$79*'Plan mensual'!K88+parametros_recargas!$I$79*'Plan mensual'!K89+parametros_recargas!$J$79*'Plan mensual'!K90+parametros_recargas!$K$79*'Plan mensual'!K91+parametros_recargas!$L$79*'Plan mensual'!K92</f>
        <v>3.44403081080252</v>
      </c>
      <c r="J73" s="23" t="n">
        <f aca="false">parametros_recargas!$E$79*'Plan mensual'!L85+parametros_recargas!$F$79*'Plan mensual'!L86+parametros_recargas!$G$79*'Plan mensual'!L87+parametros_recargas!$H$79*'Plan mensual'!L88+parametros_recargas!$I$79*'Plan mensual'!L89+parametros_recargas!$J$79*'Plan mensual'!L90+parametros_recargas!$K$79*'Plan mensual'!L91+parametros_recargas!$L$79*'Plan mensual'!L92</f>
        <v>3.44403081080252</v>
      </c>
      <c r="K73" s="23" t="n">
        <f aca="false">parametros_recargas!$E$79*'Plan mensual'!M85+parametros_recargas!$F$79*'Plan mensual'!M86+parametros_recargas!$G$79*'Plan mensual'!M87+parametros_recargas!$H$79*'Plan mensual'!M88+parametros_recargas!$I$79*'Plan mensual'!M89+parametros_recargas!$J$79*'Plan mensual'!M90+parametros_recargas!$K$79*'Plan mensual'!M91+parametros_recargas!$L$79*'Plan mensual'!M92</f>
        <v>3.44403081080252</v>
      </c>
      <c r="L73" s="23" t="n">
        <f aca="false">parametros_recargas!$E$79*'Plan mensual'!N85+parametros_recargas!$F$79*'Plan mensual'!N86+parametros_recargas!$G$79*'Plan mensual'!N87+parametros_recargas!$H$79*'Plan mensual'!N88+parametros_recargas!$I$79*'Plan mensual'!N89+parametros_recargas!$J$79*'Plan mensual'!N90+parametros_recargas!$K$79*'Plan mensual'!N91+parametros_recargas!$L$79*'Plan mensual'!N92</f>
        <v>3.44403081080252</v>
      </c>
      <c r="M73" s="23" t="n">
        <f aca="false">parametros_recargas!$E$79*'Plan mensual'!O85+parametros_recargas!$F$79*'Plan mensual'!O86+parametros_recargas!$G$79*'Plan mensual'!O87+parametros_recargas!$H$79*'Plan mensual'!O88+parametros_recargas!$I$79*'Plan mensual'!O89+parametros_recargas!$J$79*'Plan mensual'!O90+parametros_recargas!$K$79*'Plan mensual'!O91+parametros_recargas!$L$79*'Plan mensual'!O92</f>
        <v>3.44403081080252</v>
      </c>
      <c r="N73" s="7" t="n">
        <f aca="false">SUM(B73:M73)</f>
        <v>41.3283697296302</v>
      </c>
      <c r="O73" s="24" t="n">
        <f aca="false">MAX(B73:M73)</f>
        <v>3.44403081080252</v>
      </c>
      <c r="P73" s="15" t="n">
        <f aca="false">O73/parametros_recargas!$B$6</f>
        <v>0.0229602054053501</v>
      </c>
    </row>
    <row r="74" customFormat="false" ht="15" hidden="false" customHeight="false" outlineLevel="0" collapsed="false">
      <c r="A74" s="12" t="str">
        <f aca="false">parametros_recargas!$B$80</f>
        <v>Desarme y limpieza — recinto</v>
      </c>
      <c r="B74" s="23" t="n">
        <f aca="false">parametros_recargas!$E$80*'Plan mensual'!D85+parametros_recargas!$F$80*'Plan mensual'!D86+parametros_recargas!$G$80*'Plan mensual'!D87+parametros_recargas!$H$80*'Plan mensual'!D88+parametros_recargas!$I$80*'Plan mensual'!D89+parametros_recargas!$J$80*'Plan mensual'!D90+parametros_recargas!$K$80*'Plan mensual'!D91+parametros_recargas!$L$80*'Plan mensual'!D92</f>
        <v>3248.47039319388</v>
      </c>
      <c r="C74" s="23" t="n">
        <f aca="false">parametros_recargas!$E$80*'Plan mensual'!E85+parametros_recargas!$F$80*'Plan mensual'!E86+parametros_recargas!$G$80*'Plan mensual'!E87+parametros_recargas!$H$80*'Plan mensual'!E88+parametros_recargas!$I$80*'Plan mensual'!E89+parametros_recargas!$J$80*'Plan mensual'!E90+parametros_recargas!$K$80*'Plan mensual'!E91+parametros_recargas!$L$80*'Plan mensual'!E92</f>
        <v>3248.47039319388</v>
      </c>
      <c r="D74" s="23" t="n">
        <f aca="false">parametros_recargas!$E$80*'Plan mensual'!F85+parametros_recargas!$F$80*'Plan mensual'!F86+parametros_recargas!$G$80*'Plan mensual'!F87+parametros_recargas!$H$80*'Plan mensual'!F88+parametros_recargas!$I$80*'Plan mensual'!F89+parametros_recargas!$J$80*'Plan mensual'!F90+parametros_recargas!$K$80*'Plan mensual'!F91+parametros_recargas!$L$80*'Plan mensual'!F92</f>
        <v>3248.47039319388</v>
      </c>
      <c r="E74" s="23" t="n">
        <f aca="false">parametros_recargas!$E$80*'Plan mensual'!G85+parametros_recargas!$F$80*'Plan mensual'!G86+parametros_recargas!$G$80*'Plan mensual'!G87+parametros_recargas!$H$80*'Plan mensual'!G88+parametros_recargas!$I$80*'Plan mensual'!G89+parametros_recargas!$J$80*'Plan mensual'!G90+parametros_recargas!$K$80*'Plan mensual'!G91+parametros_recargas!$L$80*'Plan mensual'!G92</f>
        <v>3248.47039319388</v>
      </c>
      <c r="F74" s="23" t="n">
        <f aca="false">parametros_recargas!$E$80*'Plan mensual'!H85+parametros_recargas!$F$80*'Plan mensual'!H86+parametros_recargas!$G$80*'Plan mensual'!H87+parametros_recargas!$H$80*'Plan mensual'!H88+parametros_recargas!$I$80*'Plan mensual'!H89+parametros_recargas!$J$80*'Plan mensual'!H90+parametros_recargas!$K$80*'Plan mensual'!H91+parametros_recargas!$L$80*'Plan mensual'!H92</f>
        <v>3248.47039319388</v>
      </c>
      <c r="G74" s="23" t="n">
        <f aca="false">parametros_recargas!$E$80*'Plan mensual'!I85+parametros_recargas!$F$80*'Plan mensual'!I86+parametros_recargas!$G$80*'Plan mensual'!I87+parametros_recargas!$H$80*'Plan mensual'!I88+parametros_recargas!$I$80*'Plan mensual'!I89+parametros_recargas!$J$80*'Plan mensual'!I90+parametros_recargas!$K$80*'Plan mensual'!I91+parametros_recargas!$L$80*'Plan mensual'!I92</f>
        <v>3248.47039319388</v>
      </c>
      <c r="H74" s="23" t="n">
        <f aca="false">parametros_recargas!$E$80*'Plan mensual'!J85+parametros_recargas!$F$80*'Plan mensual'!J86+parametros_recargas!$G$80*'Plan mensual'!J87+parametros_recargas!$H$80*'Plan mensual'!J88+parametros_recargas!$I$80*'Plan mensual'!J89+parametros_recargas!$J$80*'Plan mensual'!J90+parametros_recargas!$K$80*'Plan mensual'!J91+parametros_recargas!$L$80*'Plan mensual'!J92</f>
        <v>3248.47039319388</v>
      </c>
      <c r="I74" s="23" t="n">
        <f aca="false">parametros_recargas!$E$80*'Plan mensual'!K85+parametros_recargas!$F$80*'Plan mensual'!K86+parametros_recargas!$G$80*'Plan mensual'!K87+parametros_recargas!$H$80*'Plan mensual'!K88+parametros_recargas!$I$80*'Plan mensual'!K89+parametros_recargas!$J$80*'Plan mensual'!K90+parametros_recargas!$K$80*'Plan mensual'!K91+parametros_recargas!$L$80*'Plan mensual'!K92</f>
        <v>3248.47039319388</v>
      </c>
      <c r="J74" s="23" t="n">
        <f aca="false">parametros_recargas!$E$80*'Plan mensual'!L85+parametros_recargas!$F$80*'Plan mensual'!L86+parametros_recargas!$G$80*'Plan mensual'!L87+parametros_recargas!$H$80*'Plan mensual'!L88+parametros_recargas!$I$80*'Plan mensual'!L89+parametros_recargas!$J$80*'Plan mensual'!L90+parametros_recargas!$K$80*'Plan mensual'!L91+parametros_recargas!$L$80*'Plan mensual'!L92</f>
        <v>3248.47039319388</v>
      </c>
      <c r="K74" s="23" t="n">
        <f aca="false">parametros_recargas!$E$80*'Plan mensual'!M85+parametros_recargas!$F$80*'Plan mensual'!M86+parametros_recargas!$G$80*'Plan mensual'!M87+parametros_recargas!$H$80*'Plan mensual'!M88+parametros_recargas!$I$80*'Plan mensual'!M89+parametros_recargas!$J$80*'Plan mensual'!M90+parametros_recargas!$K$80*'Plan mensual'!M91+parametros_recargas!$L$80*'Plan mensual'!M92</f>
        <v>3248.47039319388</v>
      </c>
      <c r="L74" s="23" t="n">
        <f aca="false">parametros_recargas!$E$80*'Plan mensual'!N85+parametros_recargas!$F$80*'Plan mensual'!N86+parametros_recargas!$G$80*'Plan mensual'!N87+parametros_recargas!$H$80*'Plan mensual'!N88+parametros_recargas!$I$80*'Plan mensual'!N89+parametros_recargas!$J$80*'Plan mensual'!N90+parametros_recargas!$K$80*'Plan mensual'!N91+parametros_recargas!$L$80*'Plan mensual'!N92</f>
        <v>3248.47039319388</v>
      </c>
      <c r="M74" s="23" t="n">
        <f aca="false">parametros_recargas!$E$80*'Plan mensual'!O85+parametros_recargas!$F$80*'Plan mensual'!O86+parametros_recargas!$G$80*'Plan mensual'!O87+parametros_recargas!$H$80*'Plan mensual'!O88+parametros_recargas!$I$80*'Plan mensual'!O89+parametros_recargas!$J$80*'Plan mensual'!O90+parametros_recargas!$K$80*'Plan mensual'!O91+parametros_recargas!$L$80*'Plan mensual'!O92</f>
        <v>3248.47039319388</v>
      </c>
      <c r="N74" s="7" t="n">
        <f aca="false">SUM(B74:M74)</f>
        <v>38981.6447183266</v>
      </c>
      <c r="O74" s="24" t="n">
        <f aca="false">MAX(B74:M74)</f>
        <v>3248.47039319388</v>
      </c>
      <c r="P74" s="15" t="n">
        <f aca="false">O74/parametros_recargas!$B$6</f>
        <v>21.6564692879592</v>
      </c>
    </row>
    <row r="75" customFormat="false" ht="15" hidden="false" customHeight="false" outlineLevel="0" collapsed="false">
      <c r="A75" s="12" t="str">
        <f aca="false">parametros_recargas!$B$81</f>
        <v>Desarme e inspección interior — zona general</v>
      </c>
      <c r="B75" s="23" t="n">
        <f aca="false">parametros_recargas!$E$81*'Plan mensual'!D85+parametros_recargas!$F$81*'Plan mensual'!D86+parametros_recargas!$G$81*'Plan mensual'!D87+parametros_recargas!$H$81*'Plan mensual'!D88+parametros_recargas!$I$81*'Plan mensual'!D89+parametros_recargas!$J$81*'Plan mensual'!D90+parametros_recargas!$K$81*'Plan mensual'!D91+parametros_recargas!$L$81*'Plan mensual'!D92</f>
        <v>262.998030266468</v>
      </c>
      <c r="C75" s="23" t="n">
        <f aca="false">parametros_recargas!$E$81*'Plan mensual'!E85+parametros_recargas!$F$81*'Plan mensual'!E86+parametros_recargas!$G$81*'Plan mensual'!E87+parametros_recargas!$H$81*'Plan mensual'!E88+parametros_recargas!$I$81*'Plan mensual'!E89+parametros_recargas!$J$81*'Plan mensual'!E90+parametros_recargas!$K$81*'Plan mensual'!E91+parametros_recargas!$L$81*'Plan mensual'!E92</f>
        <v>262.998030266468</v>
      </c>
      <c r="D75" s="23" t="n">
        <f aca="false">parametros_recargas!$E$81*'Plan mensual'!F85+parametros_recargas!$F$81*'Plan mensual'!F86+parametros_recargas!$G$81*'Plan mensual'!F87+parametros_recargas!$H$81*'Plan mensual'!F88+parametros_recargas!$I$81*'Plan mensual'!F89+parametros_recargas!$J$81*'Plan mensual'!F90+parametros_recargas!$K$81*'Plan mensual'!F91+parametros_recargas!$L$81*'Plan mensual'!F92</f>
        <v>262.998030266468</v>
      </c>
      <c r="E75" s="23" t="n">
        <f aca="false">parametros_recargas!$E$81*'Plan mensual'!G85+parametros_recargas!$F$81*'Plan mensual'!G86+parametros_recargas!$G$81*'Plan mensual'!G87+parametros_recargas!$H$81*'Plan mensual'!G88+parametros_recargas!$I$81*'Plan mensual'!G89+parametros_recargas!$J$81*'Plan mensual'!G90+parametros_recargas!$K$81*'Plan mensual'!G91+parametros_recargas!$L$81*'Plan mensual'!G92</f>
        <v>262.998030266468</v>
      </c>
      <c r="F75" s="23" t="n">
        <f aca="false">parametros_recargas!$E$81*'Plan mensual'!H85+parametros_recargas!$F$81*'Plan mensual'!H86+parametros_recargas!$G$81*'Plan mensual'!H87+parametros_recargas!$H$81*'Plan mensual'!H88+parametros_recargas!$I$81*'Plan mensual'!H89+parametros_recargas!$J$81*'Plan mensual'!H90+parametros_recargas!$K$81*'Plan mensual'!H91+parametros_recargas!$L$81*'Plan mensual'!H92</f>
        <v>262.998030266468</v>
      </c>
      <c r="G75" s="23" t="n">
        <f aca="false">parametros_recargas!$E$81*'Plan mensual'!I85+parametros_recargas!$F$81*'Plan mensual'!I86+parametros_recargas!$G$81*'Plan mensual'!I87+parametros_recargas!$H$81*'Plan mensual'!I88+parametros_recargas!$I$81*'Plan mensual'!I89+parametros_recargas!$J$81*'Plan mensual'!I90+parametros_recargas!$K$81*'Plan mensual'!I91+parametros_recargas!$L$81*'Plan mensual'!I92</f>
        <v>262.998030266468</v>
      </c>
      <c r="H75" s="23" t="n">
        <f aca="false">parametros_recargas!$E$81*'Plan mensual'!J85+parametros_recargas!$F$81*'Plan mensual'!J86+parametros_recargas!$G$81*'Plan mensual'!J87+parametros_recargas!$H$81*'Plan mensual'!J88+parametros_recargas!$I$81*'Plan mensual'!J89+parametros_recargas!$J$81*'Plan mensual'!J90+parametros_recargas!$K$81*'Plan mensual'!J91+parametros_recargas!$L$81*'Plan mensual'!J92</f>
        <v>262.998030266468</v>
      </c>
      <c r="I75" s="23" t="n">
        <f aca="false">parametros_recargas!$E$81*'Plan mensual'!K85+parametros_recargas!$F$81*'Plan mensual'!K86+parametros_recargas!$G$81*'Plan mensual'!K87+parametros_recargas!$H$81*'Plan mensual'!K88+parametros_recargas!$I$81*'Plan mensual'!K89+parametros_recargas!$J$81*'Plan mensual'!K90+parametros_recargas!$K$81*'Plan mensual'!K91+parametros_recargas!$L$81*'Plan mensual'!K92</f>
        <v>262.998030266468</v>
      </c>
      <c r="J75" s="23" t="n">
        <f aca="false">parametros_recargas!$E$81*'Plan mensual'!L85+parametros_recargas!$F$81*'Plan mensual'!L86+parametros_recargas!$G$81*'Plan mensual'!L87+parametros_recargas!$H$81*'Plan mensual'!L88+parametros_recargas!$I$81*'Plan mensual'!L89+parametros_recargas!$J$81*'Plan mensual'!L90+parametros_recargas!$K$81*'Plan mensual'!L91+parametros_recargas!$L$81*'Plan mensual'!L92</f>
        <v>262.998030266468</v>
      </c>
      <c r="K75" s="23" t="n">
        <f aca="false">parametros_recargas!$E$81*'Plan mensual'!M85+parametros_recargas!$F$81*'Plan mensual'!M86+parametros_recargas!$G$81*'Plan mensual'!M87+parametros_recargas!$H$81*'Plan mensual'!M88+parametros_recargas!$I$81*'Plan mensual'!M89+parametros_recargas!$J$81*'Plan mensual'!M90+parametros_recargas!$K$81*'Plan mensual'!M91+parametros_recargas!$L$81*'Plan mensual'!M92</f>
        <v>262.998030266468</v>
      </c>
      <c r="L75" s="23" t="n">
        <f aca="false">parametros_recargas!$E$81*'Plan mensual'!N85+parametros_recargas!$F$81*'Plan mensual'!N86+parametros_recargas!$G$81*'Plan mensual'!N87+parametros_recargas!$H$81*'Plan mensual'!N88+parametros_recargas!$I$81*'Plan mensual'!N89+parametros_recargas!$J$81*'Plan mensual'!N90+parametros_recargas!$K$81*'Plan mensual'!N91+parametros_recargas!$L$81*'Plan mensual'!N92</f>
        <v>262.998030266468</v>
      </c>
      <c r="M75" s="23" t="n">
        <f aca="false">parametros_recargas!$E$81*'Plan mensual'!O85+parametros_recargas!$F$81*'Plan mensual'!O86+parametros_recargas!$G$81*'Plan mensual'!O87+parametros_recargas!$H$81*'Plan mensual'!O88+parametros_recargas!$I$81*'Plan mensual'!O89+parametros_recargas!$J$81*'Plan mensual'!O90+parametros_recargas!$K$81*'Plan mensual'!O91+parametros_recargas!$L$81*'Plan mensual'!O92</f>
        <v>262.998030266468</v>
      </c>
      <c r="N75" s="7" t="n">
        <f aca="false">SUM(B75:M75)</f>
        <v>3155.97636319762</v>
      </c>
      <c r="O75" s="24" t="n">
        <f aca="false">MAX(B75:M75)</f>
        <v>262.998030266468</v>
      </c>
      <c r="P75" s="15" t="n">
        <f aca="false">O75/parametros_recargas!$B$6</f>
        <v>1.75332020177646</v>
      </c>
    </row>
    <row r="76" customFormat="false" ht="15" hidden="false" customHeight="false" outlineLevel="0" collapsed="false">
      <c r="A76" s="12" t="str">
        <f aca="false">parametros_recargas!$B$82</f>
        <v>Laboratorio — Puffer y mufla</v>
      </c>
      <c r="B76" s="23" t="n">
        <f aca="false">parametros_recargas!$E$82*'Plan mensual'!D85+parametros_recargas!$F$82*'Plan mensual'!D86+parametros_recargas!$G$82*'Plan mensual'!D87+parametros_recargas!$H$82*'Plan mensual'!D88+parametros_recargas!$I$82*'Plan mensual'!D89+parametros_recargas!$J$82*'Plan mensual'!D90+parametros_recargas!$K$82*'Plan mensual'!D91+parametros_recargas!$L$82*'Plan mensual'!D92</f>
        <v>3.24311469099339</v>
      </c>
      <c r="C76" s="23" t="n">
        <f aca="false">parametros_recargas!$E$82*'Plan mensual'!E85+parametros_recargas!$F$82*'Plan mensual'!E86+parametros_recargas!$G$82*'Plan mensual'!E87+parametros_recargas!$H$82*'Plan mensual'!E88+parametros_recargas!$I$82*'Plan mensual'!E89+parametros_recargas!$J$82*'Plan mensual'!E90+parametros_recargas!$K$82*'Plan mensual'!E91+parametros_recargas!$L$82*'Plan mensual'!E92</f>
        <v>3.24311469099339</v>
      </c>
      <c r="D76" s="23" t="n">
        <f aca="false">parametros_recargas!$E$82*'Plan mensual'!F85+parametros_recargas!$F$82*'Plan mensual'!F86+parametros_recargas!$G$82*'Plan mensual'!F87+parametros_recargas!$H$82*'Plan mensual'!F88+parametros_recargas!$I$82*'Plan mensual'!F89+parametros_recargas!$J$82*'Plan mensual'!F90+parametros_recargas!$K$82*'Plan mensual'!F91+parametros_recargas!$L$82*'Plan mensual'!F92</f>
        <v>3.24311469099339</v>
      </c>
      <c r="E76" s="23" t="n">
        <f aca="false">parametros_recargas!$E$82*'Plan mensual'!G85+parametros_recargas!$F$82*'Plan mensual'!G86+parametros_recargas!$G$82*'Plan mensual'!G87+parametros_recargas!$H$82*'Plan mensual'!G88+parametros_recargas!$I$82*'Plan mensual'!G89+parametros_recargas!$J$82*'Plan mensual'!G90+parametros_recargas!$K$82*'Plan mensual'!G91+parametros_recargas!$L$82*'Plan mensual'!G92</f>
        <v>3.24311469099339</v>
      </c>
      <c r="F76" s="23" t="n">
        <f aca="false">parametros_recargas!$E$82*'Plan mensual'!H85+parametros_recargas!$F$82*'Plan mensual'!H86+parametros_recargas!$G$82*'Plan mensual'!H87+parametros_recargas!$H$82*'Plan mensual'!H88+parametros_recargas!$I$82*'Plan mensual'!H89+parametros_recargas!$J$82*'Plan mensual'!H90+parametros_recargas!$K$82*'Plan mensual'!H91+parametros_recargas!$L$82*'Plan mensual'!H92</f>
        <v>3.24311469099339</v>
      </c>
      <c r="G76" s="23" t="n">
        <f aca="false">parametros_recargas!$E$82*'Plan mensual'!I85+parametros_recargas!$F$82*'Plan mensual'!I86+parametros_recargas!$G$82*'Plan mensual'!I87+parametros_recargas!$H$82*'Plan mensual'!I88+parametros_recargas!$I$82*'Plan mensual'!I89+parametros_recargas!$J$82*'Plan mensual'!I90+parametros_recargas!$K$82*'Plan mensual'!I91+parametros_recargas!$L$82*'Plan mensual'!I92</f>
        <v>3.24311469099339</v>
      </c>
      <c r="H76" s="23" t="n">
        <f aca="false">parametros_recargas!$E$82*'Plan mensual'!J85+parametros_recargas!$F$82*'Plan mensual'!J86+parametros_recargas!$G$82*'Plan mensual'!J87+parametros_recargas!$H$82*'Plan mensual'!J88+parametros_recargas!$I$82*'Plan mensual'!J89+parametros_recargas!$J$82*'Plan mensual'!J90+parametros_recargas!$K$82*'Plan mensual'!J91+parametros_recargas!$L$82*'Plan mensual'!J92</f>
        <v>3.24311469099339</v>
      </c>
      <c r="I76" s="23" t="n">
        <f aca="false">parametros_recargas!$E$82*'Plan mensual'!K85+parametros_recargas!$F$82*'Plan mensual'!K86+parametros_recargas!$G$82*'Plan mensual'!K87+parametros_recargas!$H$82*'Plan mensual'!K88+parametros_recargas!$I$82*'Plan mensual'!K89+parametros_recargas!$J$82*'Plan mensual'!K90+parametros_recargas!$K$82*'Plan mensual'!K91+parametros_recargas!$L$82*'Plan mensual'!K92</f>
        <v>3.24311469099339</v>
      </c>
      <c r="J76" s="23" t="n">
        <f aca="false">parametros_recargas!$E$82*'Plan mensual'!L85+parametros_recargas!$F$82*'Plan mensual'!L86+parametros_recargas!$G$82*'Plan mensual'!L87+parametros_recargas!$H$82*'Plan mensual'!L88+parametros_recargas!$I$82*'Plan mensual'!L89+parametros_recargas!$J$82*'Plan mensual'!L90+parametros_recargas!$K$82*'Plan mensual'!L91+parametros_recargas!$L$82*'Plan mensual'!L92</f>
        <v>3.24311469099339</v>
      </c>
      <c r="K76" s="23" t="n">
        <f aca="false">parametros_recargas!$E$82*'Plan mensual'!M85+parametros_recargas!$F$82*'Plan mensual'!M86+parametros_recargas!$G$82*'Plan mensual'!M87+parametros_recargas!$H$82*'Plan mensual'!M88+parametros_recargas!$I$82*'Plan mensual'!M89+parametros_recargas!$J$82*'Plan mensual'!M90+parametros_recargas!$K$82*'Plan mensual'!M91+parametros_recargas!$L$82*'Plan mensual'!M92</f>
        <v>3.24311469099339</v>
      </c>
      <c r="L76" s="23" t="n">
        <f aca="false">parametros_recargas!$E$82*'Plan mensual'!N85+parametros_recargas!$F$82*'Plan mensual'!N86+parametros_recargas!$G$82*'Plan mensual'!N87+parametros_recargas!$H$82*'Plan mensual'!N88+parametros_recargas!$I$82*'Plan mensual'!N89+parametros_recargas!$J$82*'Plan mensual'!N90+parametros_recargas!$K$82*'Plan mensual'!N91+parametros_recargas!$L$82*'Plan mensual'!N92</f>
        <v>3.24311469099339</v>
      </c>
      <c r="M76" s="23" t="n">
        <f aca="false">parametros_recargas!$E$82*'Plan mensual'!O85+parametros_recargas!$F$82*'Plan mensual'!O86+parametros_recargas!$G$82*'Plan mensual'!O87+parametros_recargas!$H$82*'Plan mensual'!O88+parametros_recargas!$I$82*'Plan mensual'!O89+parametros_recargas!$J$82*'Plan mensual'!O90+parametros_recargas!$K$82*'Plan mensual'!O91+parametros_recargas!$L$82*'Plan mensual'!O92</f>
        <v>3.24311469099339</v>
      </c>
      <c r="N76" s="7" t="n">
        <f aca="false">SUM(B76:M76)</f>
        <v>38.9173762919207</v>
      </c>
      <c r="O76" s="24" t="n">
        <f aca="false">MAX(B76:M76)</f>
        <v>3.24311469099339</v>
      </c>
      <c r="P76" s="15" t="n">
        <f aca="false">O76/parametros_recargas!$B$6</f>
        <v>0.0216207646066226</v>
      </c>
    </row>
    <row r="77" customFormat="false" ht="15" hidden="false" customHeight="false" outlineLevel="0" collapsed="false">
      <c r="A77" s="12" t="str">
        <f aca="false">parametros_recargas!$B$83</f>
        <v>Prueba hidráulica</v>
      </c>
      <c r="B77" s="23" t="n">
        <f aca="false">parametros_recargas!$E$83*'Plan mensual'!D85+parametros_recargas!$F$83*'Plan mensual'!D86+parametros_recargas!$G$83*'Plan mensual'!D87+parametros_recargas!$H$83*'Plan mensual'!D88+parametros_recargas!$I$83*'Plan mensual'!D89+parametros_recargas!$J$83*'Plan mensual'!D90+parametros_recargas!$K$83*'Plan mensual'!D91+parametros_recargas!$L$83*'Plan mensual'!D92</f>
        <v>805.984338122723</v>
      </c>
      <c r="C77" s="23" t="n">
        <f aca="false">parametros_recargas!$E$83*'Plan mensual'!E85+parametros_recargas!$F$83*'Plan mensual'!E86+parametros_recargas!$G$83*'Plan mensual'!E87+parametros_recargas!$H$83*'Plan mensual'!E88+parametros_recargas!$I$83*'Plan mensual'!E89+parametros_recargas!$J$83*'Plan mensual'!E90+parametros_recargas!$K$83*'Plan mensual'!E91+parametros_recargas!$L$83*'Plan mensual'!E92</f>
        <v>805.984338122723</v>
      </c>
      <c r="D77" s="23" t="n">
        <f aca="false">parametros_recargas!$E$83*'Plan mensual'!F85+parametros_recargas!$F$83*'Plan mensual'!F86+parametros_recargas!$G$83*'Plan mensual'!F87+parametros_recargas!$H$83*'Plan mensual'!F88+parametros_recargas!$I$83*'Plan mensual'!F89+parametros_recargas!$J$83*'Plan mensual'!F90+parametros_recargas!$K$83*'Plan mensual'!F91+parametros_recargas!$L$83*'Plan mensual'!F92</f>
        <v>805.984338122723</v>
      </c>
      <c r="E77" s="23" t="n">
        <f aca="false">parametros_recargas!$E$83*'Plan mensual'!G85+parametros_recargas!$F$83*'Plan mensual'!G86+parametros_recargas!$G$83*'Plan mensual'!G87+parametros_recargas!$H$83*'Plan mensual'!G88+parametros_recargas!$I$83*'Plan mensual'!G89+parametros_recargas!$J$83*'Plan mensual'!G90+parametros_recargas!$K$83*'Plan mensual'!G91+parametros_recargas!$L$83*'Plan mensual'!G92</f>
        <v>805.984338122723</v>
      </c>
      <c r="F77" s="23" t="n">
        <f aca="false">parametros_recargas!$E$83*'Plan mensual'!H85+parametros_recargas!$F$83*'Plan mensual'!H86+parametros_recargas!$G$83*'Plan mensual'!H87+parametros_recargas!$H$83*'Plan mensual'!H88+parametros_recargas!$I$83*'Plan mensual'!H89+parametros_recargas!$J$83*'Plan mensual'!H90+parametros_recargas!$K$83*'Plan mensual'!H91+parametros_recargas!$L$83*'Plan mensual'!H92</f>
        <v>805.984338122723</v>
      </c>
      <c r="G77" s="23" t="n">
        <f aca="false">parametros_recargas!$E$83*'Plan mensual'!I85+parametros_recargas!$F$83*'Plan mensual'!I86+parametros_recargas!$G$83*'Plan mensual'!I87+parametros_recargas!$H$83*'Plan mensual'!I88+parametros_recargas!$I$83*'Plan mensual'!I89+parametros_recargas!$J$83*'Plan mensual'!I90+parametros_recargas!$K$83*'Plan mensual'!I91+parametros_recargas!$L$83*'Plan mensual'!I92</f>
        <v>805.984338122723</v>
      </c>
      <c r="H77" s="23" t="n">
        <f aca="false">parametros_recargas!$E$83*'Plan mensual'!J85+parametros_recargas!$F$83*'Plan mensual'!J86+parametros_recargas!$G$83*'Plan mensual'!J87+parametros_recargas!$H$83*'Plan mensual'!J88+parametros_recargas!$I$83*'Plan mensual'!J89+parametros_recargas!$J$83*'Plan mensual'!J90+parametros_recargas!$K$83*'Plan mensual'!J91+parametros_recargas!$L$83*'Plan mensual'!J92</f>
        <v>805.984338122723</v>
      </c>
      <c r="I77" s="23" t="n">
        <f aca="false">parametros_recargas!$E$83*'Plan mensual'!K85+parametros_recargas!$F$83*'Plan mensual'!K86+parametros_recargas!$G$83*'Plan mensual'!K87+parametros_recargas!$H$83*'Plan mensual'!K88+parametros_recargas!$I$83*'Plan mensual'!K89+parametros_recargas!$J$83*'Plan mensual'!K90+parametros_recargas!$K$83*'Plan mensual'!K91+parametros_recargas!$L$83*'Plan mensual'!K92</f>
        <v>805.984338122723</v>
      </c>
      <c r="J77" s="23" t="n">
        <f aca="false">parametros_recargas!$E$83*'Plan mensual'!L85+parametros_recargas!$F$83*'Plan mensual'!L86+parametros_recargas!$G$83*'Plan mensual'!L87+parametros_recargas!$H$83*'Plan mensual'!L88+parametros_recargas!$I$83*'Plan mensual'!L89+parametros_recargas!$J$83*'Plan mensual'!L90+parametros_recargas!$K$83*'Plan mensual'!L91+parametros_recargas!$L$83*'Plan mensual'!L92</f>
        <v>805.984338122723</v>
      </c>
      <c r="K77" s="23" t="n">
        <f aca="false">parametros_recargas!$E$83*'Plan mensual'!M85+parametros_recargas!$F$83*'Plan mensual'!M86+parametros_recargas!$G$83*'Plan mensual'!M87+parametros_recargas!$H$83*'Plan mensual'!M88+parametros_recargas!$I$83*'Plan mensual'!M89+parametros_recargas!$J$83*'Plan mensual'!M90+parametros_recargas!$K$83*'Plan mensual'!M91+parametros_recargas!$L$83*'Plan mensual'!M92</f>
        <v>805.984338122723</v>
      </c>
      <c r="L77" s="23" t="n">
        <f aca="false">parametros_recargas!$E$83*'Plan mensual'!N85+parametros_recargas!$F$83*'Plan mensual'!N86+parametros_recargas!$G$83*'Plan mensual'!N87+parametros_recargas!$H$83*'Plan mensual'!N88+parametros_recargas!$I$83*'Plan mensual'!N89+parametros_recargas!$J$83*'Plan mensual'!N90+parametros_recargas!$K$83*'Plan mensual'!N91+parametros_recargas!$L$83*'Plan mensual'!N92</f>
        <v>805.984338122723</v>
      </c>
      <c r="M77" s="23" t="n">
        <f aca="false">parametros_recargas!$E$83*'Plan mensual'!O85+parametros_recargas!$F$83*'Plan mensual'!O86+parametros_recargas!$G$83*'Plan mensual'!O87+parametros_recargas!$H$83*'Plan mensual'!O88+parametros_recargas!$I$83*'Plan mensual'!O89+parametros_recargas!$J$83*'Plan mensual'!O90+parametros_recargas!$K$83*'Plan mensual'!O91+parametros_recargas!$L$83*'Plan mensual'!O92</f>
        <v>805.984338122723</v>
      </c>
      <c r="N77" s="7" t="n">
        <f aca="false">SUM(B77:M77)</f>
        <v>9671.81205747267</v>
      </c>
      <c r="O77" s="24" t="n">
        <f aca="false">MAX(B77:M77)</f>
        <v>805.984338122723</v>
      </c>
      <c r="P77" s="15" t="n">
        <f aca="false">O77/parametros_recargas!$B$6</f>
        <v>5.37322892081815</v>
      </c>
    </row>
    <row r="78" customFormat="false" ht="15" hidden="false" customHeight="false" outlineLevel="0" collapsed="false">
      <c r="A78" s="12" t="str">
        <f aca="false">parametros_recargas!$B$84</f>
        <v>Secado</v>
      </c>
      <c r="B78" s="23" t="n">
        <f aca="false">parametros_recargas!$E$84*'Plan mensual'!D85+parametros_recargas!$F$84*'Plan mensual'!D86+parametros_recargas!$G$84*'Plan mensual'!D87+parametros_recargas!$H$84*'Plan mensual'!D88+parametros_recargas!$I$84*'Plan mensual'!D89+parametros_recargas!$J$84*'Plan mensual'!D90+parametros_recargas!$K$84*'Plan mensual'!D91+parametros_recargas!$L$84*'Plan mensual'!D92</f>
        <v>748.288767505947</v>
      </c>
      <c r="C78" s="23" t="n">
        <f aca="false">parametros_recargas!$E$84*'Plan mensual'!E85+parametros_recargas!$F$84*'Plan mensual'!E86+parametros_recargas!$G$84*'Plan mensual'!E87+parametros_recargas!$H$84*'Plan mensual'!E88+parametros_recargas!$I$84*'Plan mensual'!E89+parametros_recargas!$J$84*'Plan mensual'!E90+parametros_recargas!$K$84*'Plan mensual'!E91+parametros_recargas!$L$84*'Plan mensual'!E92</f>
        <v>748.288767505947</v>
      </c>
      <c r="D78" s="23" t="n">
        <f aca="false">parametros_recargas!$E$84*'Plan mensual'!F85+parametros_recargas!$F$84*'Plan mensual'!F86+parametros_recargas!$G$84*'Plan mensual'!F87+parametros_recargas!$H$84*'Plan mensual'!F88+parametros_recargas!$I$84*'Plan mensual'!F89+parametros_recargas!$J$84*'Plan mensual'!F90+parametros_recargas!$K$84*'Plan mensual'!F91+parametros_recargas!$L$84*'Plan mensual'!F92</f>
        <v>748.288767505947</v>
      </c>
      <c r="E78" s="23" t="n">
        <f aca="false">parametros_recargas!$E$84*'Plan mensual'!G85+parametros_recargas!$F$84*'Plan mensual'!G86+parametros_recargas!$G$84*'Plan mensual'!G87+parametros_recargas!$H$84*'Plan mensual'!G88+parametros_recargas!$I$84*'Plan mensual'!G89+parametros_recargas!$J$84*'Plan mensual'!G90+parametros_recargas!$K$84*'Plan mensual'!G91+parametros_recargas!$L$84*'Plan mensual'!G92</f>
        <v>748.288767505947</v>
      </c>
      <c r="F78" s="23" t="n">
        <f aca="false">parametros_recargas!$E$84*'Plan mensual'!H85+parametros_recargas!$F$84*'Plan mensual'!H86+parametros_recargas!$G$84*'Plan mensual'!H87+parametros_recargas!$H$84*'Plan mensual'!H88+parametros_recargas!$I$84*'Plan mensual'!H89+parametros_recargas!$J$84*'Plan mensual'!H90+parametros_recargas!$K$84*'Plan mensual'!H91+parametros_recargas!$L$84*'Plan mensual'!H92</f>
        <v>748.288767505947</v>
      </c>
      <c r="G78" s="23" t="n">
        <f aca="false">parametros_recargas!$E$84*'Plan mensual'!I85+parametros_recargas!$F$84*'Plan mensual'!I86+parametros_recargas!$G$84*'Plan mensual'!I87+parametros_recargas!$H$84*'Plan mensual'!I88+parametros_recargas!$I$84*'Plan mensual'!I89+parametros_recargas!$J$84*'Plan mensual'!I90+parametros_recargas!$K$84*'Plan mensual'!I91+parametros_recargas!$L$84*'Plan mensual'!I92</f>
        <v>748.288767505947</v>
      </c>
      <c r="H78" s="23" t="n">
        <f aca="false">parametros_recargas!$E$84*'Plan mensual'!J85+parametros_recargas!$F$84*'Plan mensual'!J86+parametros_recargas!$G$84*'Plan mensual'!J87+parametros_recargas!$H$84*'Plan mensual'!J88+parametros_recargas!$I$84*'Plan mensual'!J89+parametros_recargas!$J$84*'Plan mensual'!J90+parametros_recargas!$K$84*'Plan mensual'!J91+parametros_recargas!$L$84*'Plan mensual'!J92</f>
        <v>748.288767505947</v>
      </c>
      <c r="I78" s="23" t="n">
        <f aca="false">parametros_recargas!$E$84*'Plan mensual'!K85+parametros_recargas!$F$84*'Plan mensual'!K86+parametros_recargas!$G$84*'Plan mensual'!K87+parametros_recargas!$H$84*'Plan mensual'!K88+parametros_recargas!$I$84*'Plan mensual'!K89+parametros_recargas!$J$84*'Plan mensual'!K90+parametros_recargas!$K$84*'Plan mensual'!K91+parametros_recargas!$L$84*'Plan mensual'!K92</f>
        <v>748.288767505947</v>
      </c>
      <c r="J78" s="23" t="n">
        <f aca="false">parametros_recargas!$E$84*'Plan mensual'!L85+parametros_recargas!$F$84*'Plan mensual'!L86+parametros_recargas!$G$84*'Plan mensual'!L87+parametros_recargas!$H$84*'Plan mensual'!L88+parametros_recargas!$I$84*'Plan mensual'!L89+parametros_recargas!$J$84*'Plan mensual'!L90+parametros_recargas!$K$84*'Plan mensual'!L91+parametros_recargas!$L$84*'Plan mensual'!L92</f>
        <v>748.288767505947</v>
      </c>
      <c r="K78" s="23" t="n">
        <f aca="false">parametros_recargas!$E$84*'Plan mensual'!M85+parametros_recargas!$F$84*'Plan mensual'!M86+parametros_recargas!$G$84*'Plan mensual'!M87+parametros_recargas!$H$84*'Plan mensual'!M88+parametros_recargas!$I$84*'Plan mensual'!M89+parametros_recargas!$J$84*'Plan mensual'!M90+parametros_recargas!$K$84*'Plan mensual'!M91+parametros_recargas!$L$84*'Plan mensual'!M92</f>
        <v>748.288767505947</v>
      </c>
      <c r="L78" s="23" t="n">
        <f aca="false">parametros_recargas!$E$84*'Plan mensual'!N85+parametros_recargas!$F$84*'Plan mensual'!N86+parametros_recargas!$G$84*'Plan mensual'!N87+parametros_recargas!$H$84*'Plan mensual'!N88+parametros_recargas!$I$84*'Plan mensual'!N89+parametros_recargas!$J$84*'Plan mensual'!N90+parametros_recargas!$K$84*'Plan mensual'!N91+parametros_recargas!$L$84*'Plan mensual'!N92</f>
        <v>748.288767505947</v>
      </c>
      <c r="M78" s="23" t="n">
        <f aca="false">parametros_recargas!$E$84*'Plan mensual'!O85+parametros_recargas!$F$84*'Plan mensual'!O86+parametros_recargas!$G$84*'Plan mensual'!O87+parametros_recargas!$H$84*'Plan mensual'!O88+parametros_recargas!$I$84*'Plan mensual'!O89+parametros_recargas!$J$84*'Plan mensual'!O90+parametros_recargas!$K$84*'Plan mensual'!O91+parametros_recargas!$L$84*'Plan mensual'!O92</f>
        <v>748.288767505947</v>
      </c>
      <c r="N78" s="7" t="n">
        <f aca="false">SUM(B78:M78)</f>
        <v>8979.46521007137</v>
      </c>
      <c r="O78" s="24" t="n">
        <f aca="false">MAX(B78:M78)</f>
        <v>748.288767505947</v>
      </c>
      <c r="P78" s="15" t="n">
        <f aca="false">O78/parametros_recargas!$B$6</f>
        <v>4.98859178337298</v>
      </c>
    </row>
    <row r="79" customFormat="false" ht="15" hidden="false" customHeight="false" outlineLevel="0" collapsed="false">
      <c r="A79" s="12" t="str">
        <f aca="false">parametros_recargas!$B$85</f>
        <v>Inspección interior con videoscopio</v>
      </c>
      <c r="B79" s="23" t="n">
        <f aca="false">parametros_recargas!$E$85*'Plan mensual'!D85+parametros_recargas!$F$85*'Plan mensual'!D86+parametros_recargas!$G$85*'Plan mensual'!D87+parametros_recargas!$H$85*'Plan mensual'!D88+parametros_recargas!$I$85*'Plan mensual'!D89+parametros_recargas!$J$85*'Plan mensual'!D90+parametros_recargas!$K$85*'Plan mensual'!D91+parametros_recargas!$L$85*'Plan mensual'!D92</f>
        <v>748.288767505947</v>
      </c>
      <c r="C79" s="23" t="n">
        <f aca="false">parametros_recargas!$E$85*'Plan mensual'!E85+parametros_recargas!$F$85*'Plan mensual'!E86+parametros_recargas!$G$85*'Plan mensual'!E87+parametros_recargas!$H$85*'Plan mensual'!E88+parametros_recargas!$I$85*'Plan mensual'!E89+parametros_recargas!$J$85*'Plan mensual'!E90+parametros_recargas!$K$85*'Plan mensual'!E91+parametros_recargas!$L$85*'Plan mensual'!E92</f>
        <v>748.288767505947</v>
      </c>
      <c r="D79" s="23" t="n">
        <f aca="false">parametros_recargas!$E$85*'Plan mensual'!F85+parametros_recargas!$F$85*'Plan mensual'!F86+parametros_recargas!$G$85*'Plan mensual'!F87+parametros_recargas!$H$85*'Plan mensual'!F88+parametros_recargas!$I$85*'Plan mensual'!F89+parametros_recargas!$J$85*'Plan mensual'!F90+parametros_recargas!$K$85*'Plan mensual'!F91+parametros_recargas!$L$85*'Plan mensual'!F92</f>
        <v>748.288767505947</v>
      </c>
      <c r="E79" s="23" t="n">
        <f aca="false">parametros_recargas!$E$85*'Plan mensual'!G85+parametros_recargas!$F$85*'Plan mensual'!G86+parametros_recargas!$G$85*'Plan mensual'!G87+parametros_recargas!$H$85*'Plan mensual'!G88+parametros_recargas!$I$85*'Plan mensual'!G89+parametros_recargas!$J$85*'Plan mensual'!G90+parametros_recargas!$K$85*'Plan mensual'!G91+parametros_recargas!$L$85*'Plan mensual'!G92</f>
        <v>748.288767505947</v>
      </c>
      <c r="F79" s="23" t="n">
        <f aca="false">parametros_recargas!$E$85*'Plan mensual'!H85+parametros_recargas!$F$85*'Plan mensual'!H86+parametros_recargas!$G$85*'Plan mensual'!H87+parametros_recargas!$H$85*'Plan mensual'!H88+parametros_recargas!$I$85*'Plan mensual'!H89+parametros_recargas!$J$85*'Plan mensual'!H90+parametros_recargas!$K$85*'Plan mensual'!H91+parametros_recargas!$L$85*'Plan mensual'!H92</f>
        <v>748.288767505947</v>
      </c>
      <c r="G79" s="23" t="n">
        <f aca="false">parametros_recargas!$E$85*'Plan mensual'!I85+parametros_recargas!$F$85*'Plan mensual'!I86+parametros_recargas!$G$85*'Plan mensual'!I87+parametros_recargas!$H$85*'Plan mensual'!I88+parametros_recargas!$I$85*'Plan mensual'!I89+parametros_recargas!$J$85*'Plan mensual'!I90+parametros_recargas!$K$85*'Plan mensual'!I91+parametros_recargas!$L$85*'Plan mensual'!I92</f>
        <v>748.288767505947</v>
      </c>
      <c r="H79" s="23" t="n">
        <f aca="false">parametros_recargas!$E$85*'Plan mensual'!J85+parametros_recargas!$F$85*'Plan mensual'!J86+parametros_recargas!$G$85*'Plan mensual'!J87+parametros_recargas!$H$85*'Plan mensual'!J88+parametros_recargas!$I$85*'Plan mensual'!J89+parametros_recargas!$J$85*'Plan mensual'!J90+parametros_recargas!$K$85*'Plan mensual'!J91+parametros_recargas!$L$85*'Plan mensual'!J92</f>
        <v>748.288767505947</v>
      </c>
      <c r="I79" s="23" t="n">
        <f aca="false">parametros_recargas!$E$85*'Plan mensual'!K85+parametros_recargas!$F$85*'Plan mensual'!K86+parametros_recargas!$G$85*'Plan mensual'!K87+parametros_recargas!$H$85*'Plan mensual'!K88+parametros_recargas!$I$85*'Plan mensual'!K89+parametros_recargas!$J$85*'Plan mensual'!K90+parametros_recargas!$K$85*'Plan mensual'!K91+parametros_recargas!$L$85*'Plan mensual'!K92</f>
        <v>748.288767505947</v>
      </c>
      <c r="J79" s="23" t="n">
        <f aca="false">parametros_recargas!$E$85*'Plan mensual'!L85+parametros_recargas!$F$85*'Plan mensual'!L86+parametros_recargas!$G$85*'Plan mensual'!L87+parametros_recargas!$H$85*'Plan mensual'!L88+parametros_recargas!$I$85*'Plan mensual'!L89+parametros_recargas!$J$85*'Plan mensual'!L90+parametros_recargas!$K$85*'Plan mensual'!L91+parametros_recargas!$L$85*'Plan mensual'!L92</f>
        <v>748.288767505947</v>
      </c>
      <c r="K79" s="23" t="n">
        <f aca="false">parametros_recargas!$E$85*'Plan mensual'!M85+parametros_recargas!$F$85*'Plan mensual'!M86+parametros_recargas!$G$85*'Plan mensual'!M87+parametros_recargas!$H$85*'Plan mensual'!M88+parametros_recargas!$I$85*'Plan mensual'!M89+parametros_recargas!$J$85*'Plan mensual'!M90+parametros_recargas!$K$85*'Plan mensual'!M91+parametros_recargas!$L$85*'Plan mensual'!M92</f>
        <v>748.288767505947</v>
      </c>
      <c r="L79" s="23" t="n">
        <f aca="false">parametros_recargas!$E$85*'Plan mensual'!N85+parametros_recargas!$F$85*'Plan mensual'!N86+parametros_recargas!$G$85*'Plan mensual'!N87+parametros_recargas!$H$85*'Plan mensual'!N88+parametros_recargas!$I$85*'Plan mensual'!N89+parametros_recargas!$J$85*'Plan mensual'!N90+parametros_recargas!$K$85*'Plan mensual'!N91+parametros_recargas!$L$85*'Plan mensual'!N92</f>
        <v>748.288767505947</v>
      </c>
      <c r="M79" s="23" t="n">
        <f aca="false">parametros_recargas!$E$85*'Plan mensual'!O85+parametros_recargas!$F$85*'Plan mensual'!O86+parametros_recargas!$G$85*'Plan mensual'!O87+parametros_recargas!$H$85*'Plan mensual'!O88+parametros_recargas!$I$85*'Plan mensual'!O89+parametros_recargas!$J$85*'Plan mensual'!O90+parametros_recargas!$K$85*'Plan mensual'!O91+parametros_recargas!$L$85*'Plan mensual'!O92</f>
        <v>748.288767505947</v>
      </c>
      <c r="N79" s="7" t="n">
        <f aca="false">SUM(B79:M79)</f>
        <v>8979.46521007137</v>
      </c>
      <c r="O79" s="24" t="n">
        <f aca="false">MAX(B79:M79)</f>
        <v>748.288767505947</v>
      </c>
      <c r="P79" s="15" t="n">
        <f aca="false">O79/parametros_recargas!$B$6</f>
        <v>4.98859178337298</v>
      </c>
    </row>
    <row r="80" customFormat="false" ht="15" hidden="false" customHeight="false" outlineLevel="0" collapsed="false">
      <c r="A80" s="12" t="str">
        <f aca="false">parametros_recargas!$B$86</f>
        <v>Pintura</v>
      </c>
      <c r="B80" s="23" t="n">
        <f aca="false">parametros_recargas!$E$86*'Plan mensual'!D85+parametros_recargas!$F$86*'Plan mensual'!D86+parametros_recargas!$G$86*'Plan mensual'!D87+parametros_recargas!$H$86*'Plan mensual'!D88+parametros_recargas!$I$86*'Plan mensual'!D89+parametros_recargas!$J$86*'Plan mensual'!D90+parametros_recargas!$K$86*'Plan mensual'!D91+parametros_recargas!$L$86*'Plan mensual'!D92</f>
        <v>375.938086696747</v>
      </c>
      <c r="C80" s="23" t="n">
        <f aca="false">parametros_recargas!$E$86*'Plan mensual'!E85+parametros_recargas!$F$86*'Plan mensual'!E86+parametros_recargas!$G$86*'Plan mensual'!E87+parametros_recargas!$H$86*'Plan mensual'!E88+parametros_recargas!$I$86*'Plan mensual'!E89+parametros_recargas!$J$86*'Plan mensual'!E90+parametros_recargas!$K$86*'Plan mensual'!E91+parametros_recargas!$L$86*'Plan mensual'!E92</f>
        <v>375.938086696747</v>
      </c>
      <c r="D80" s="23" t="n">
        <f aca="false">parametros_recargas!$E$86*'Plan mensual'!F85+parametros_recargas!$F$86*'Plan mensual'!F86+parametros_recargas!$G$86*'Plan mensual'!F87+parametros_recargas!$H$86*'Plan mensual'!F88+parametros_recargas!$I$86*'Plan mensual'!F89+parametros_recargas!$J$86*'Plan mensual'!F90+parametros_recargas!$K$86*'Plan mensual'!F91+parametros_recargas!$L$86*'Plan mensual'!F92</f>
        <v>375.938086696747</v>
      </c>
      <c r="E80" s="23" t="n">
        <f aca="false">parametros_recargas!$E$86*'Plan mensual'!G85+parametros_recargas!$F$86*'Plan mensual'!G86+parametros_recargas!$G$86*'Plan mensual'!G87+parametros_recargas!$H$86*'Plan mensual'!G88+parametros_recargas!$I$86*'Plan mensual'!G89+parametros_recargas!$J$86*'Plan mensual'!G90+parametros_recargas!$K$86*'Plan mensual'!G91+parametros_recargas!$L$86*'Plan mensual'!G92</f>
        <v>375.938086696747</v>
      </c>
      <c r="F80" s="23" t="n">
        <f aca="false">parametros_recargas!$E$86*'Plan mensual'!H85+parametros_recargas!$F$86*'Plan mensual'!H86+parametros_recargas!$G$86*'Plan mensual'!H87+parametros_recargas!$H$86*'Plan mensual'!H88+parametros_recargas!$I$86*'Plan mensual'!H89+parametros_recargas!$J$86*'Plan mensual'!H90+parametros_recargas!$K$86*'Plan mensual'!H91+parametros_recargas!$L$86*'Plan mensual'!H92</f>
        <v>375.938086696747</v>
      </c>
      <c r="G80" s="23" t="n">
        <f aca="false">parametros_recargas!$E$86*'Plan mensual'!I85+parametros_recargas!$F$86*'Plan mensual'!I86+parametros_recargas!$G$86*'Plan mensual'!I87+parametros_recargas!$H$86*'Plan mensual'!I88+parametros_recargas!$I$86*'Plan mensual'!I89+parametros_recargas!$J$86*'Plan mensual'!I90+parametros_recargas!$K$86*'Plan mensual'!I91+parametros_recargas!$L$86*'Plan mensual'!I92</f>
        <v>375.938086696747</v>
      </c>
      <c r="H80" s="23" t="n">
        <f aca="false">parametros_recargas!$E$86*'Plan mensual'!J85+parametros_recargas!$F$86*'Plan mensual'!J86+parametros_recargas!$G$86*'Plan mensual'!J87+parametros_recargas!$H$86*'Plan mensual'!J88+parametros_recargas!$I$86*'Plan mensual'!J89+parametros_recargas!$J$86*'Plan mensual'!J90+parametros_recargas!$K$86*'Plan mensual'!J91+parametros_recargas!$L$86*'Plan mensual'!J92</f>
        <v>375.938086696747</v>
      </c>
      <c r="I80" s="23" t="n">
        <f aca="false">parametros_recargas!$E$86*'Plan mensual'!K85+parametros_recargas!$F$86*'Plan mensual'!K86+parametros_recargas!$G$86*'Plan mensual'!K87+parametros_recargas!$H$86*'Plan mensual'!K88+parametros_recargas!$I$86*'Plan mensual'!K89+parametros_recargas!$J$86*'Plan mensual'!K90+parametros_recargas!$K$86*'Plan mensual'!K91+parametros_recargas!$L$86*'Plan mensual'!K92</f>
        <v>375.938086696747</v>
      </c>
      <c r="J80" s="23" t="n">
        <f aca="false">parametros_recargas!$E$86*'Plan mensual'!L85+parametros_recargas!$F$86*'Plan mensual'!L86+parametros_recargas!$G$86*'Plan mensual'!L87+parametros_recargas!$H$86*'Plan mensual'!L88+parametros_recargas!$I$86*'Plan mensual'!L89+parametros_recargas!$J$86*'Plan mensual'!L90+parametros_recargas!$K$86*'Plan mensual'!L91+parametros_recargas!$L$86*'Plan mensual'!L92</f>
        <v>375.938086696747</v>
      </c>
      <c r="K80" s="23" t="n">
        <f aca="false">parametros_recargas!$E$86*'Plan mensual'!M85+parametros_recargas!$F$86*'Plan mensual'!M86+parametros_recargas!$G$86*'Plan mensual'!M87+parametros_recargas!$H$86*'Plan mensual'!M88+parametros_recargas!$I$86*'Plan mensual'!M89+parametros_recargas!$J$86*'Plan mensual'!M90+parametros_recargas!$K$86*'Plan mensual'!M91+parametros_recargas!$L$86*'Plan mensual'!M92</f>
        <v>375.938086696747</v>
      </c>
      <c r="L80" s="23" t="n">
        <f aca="false">parametros_recargas!$E$86*'Plan mensual'!N85+parametros_recargas!$F$86*'Plan mensual'!N86+parametros_recargas!$G$86*'Plan mensual'!N87+parametros_recargas!$H$86*'Plan mensual'!N88+parametros_recargas!$I$86*'Plan mensual'!N89+parametros_recargas!$J$86*'Plan mensual'!N90+parametros_recargas!$K$86*'Plan mensual'!N91+parametros_recargas!$L$86*'Plan mensual'!N92</f>
        <v>375.938086696747</v>
      </c>
      <c r="M80" s="23" t="n">
        <f aca="false">parametros_recargas!$E$86*'Plan mensual'!O85+parametros_recargas!$F$86*'Plan mensual'!O86+parametros_recargas!$G$86*'Plan mensual'!O87+parametros_recargas!$H$86*'Plan mensual'!O88+parametros_recargas!$I$86*'Plan mensual'!O89+parametros_recargas!$J$86*'Plan mensual'!O90+parametros_recargas!$K$86*'Plan mensual'!O91+parametros_recargas!$L$86*'Plan mensual'!O92</f>
        <v>375.938086696747</v>
      </c>
      <c r="N80" s="7" t="n">
        <f aca="false">SUM(B80:M80)</f>
        <v>4511.25704036096</v>
      </c>
      <c r="O80" s="24" t="n">
        <f aca="false">MAX(B80:M80)</f>
        <v>375.938086696747</v>
      </c>
      <c r="P80" s="15" t="n">
        <f aca="false">O80/parametros_recargas!$B$6</f>
        <v>2.50625391131165</v>
      </c>
    </row>
    <row r="81" customFormat="false" ht="15" hidden="false" customHeight="false" outlineLevel="0" collapsed="false">
      <c r="A81" s="12" t="str">
        <f aca="false">parametros_recargas!$B$87</f>
        <v>Carga de polvo ABC</v>
      </c>
      <c r="B81" s="23" t="n">
        <f aca="false">parametros_recargas!$E$87*'Plan mensual'!D85+parametros_recargas!$F$87*'Plan mensual'!D86+parametros_recargas!$G$87*'Plan mensual'!D87+parametros_recargas!$H$87*'Plan mensual'!D88+parametros_recargas!$I$87*'Plan mensual'!D89+parametros_recargas!$J$87*'Plan mensual'!D90+parametros_recargas!$K$87*'Plan mensual'!D91+parametros_recargas!$L$87*'Plan mensual'!D92</f>
        <v>3237.75898879291</v>
      </c>
      <c r="C81" s="23" t="n">
        <f aca="false">parametros_recargas!$E$87*'Plan mensual'!E85+parametros_recargas!$F$87*'Plan mensual'!E86+parametros_recargas!$G$87*'Plan mensual'!E87+parametros_recargas!$H$87*'Plan mensual'!E88+parametros_recargas!$I$87*'Plan mensual'!E89+parametros_recargas!$J$87*'Plan mensual'!E90+parametros_recargas!$K$87*'Plan mensual'!E91+parametros_recargas!$L$87*'Plan mensual'!E92</f>
        <v>3237.75898879291</v>
      </c>
      <c r="D81" s="23" t="n">
        <f aca="false">parametros_recargas!$E$87*'Plan mensual'!F85+parametros_recargas!$F$87*'Plan mensual'!F86+parametros_recargas!$G$87*'Plan mensual'!F87+parametros_recargas!$H$87*'Plan mensual'!F88+parametros_recargas!$I$87*'Plan mensual'!F89+parametros_recargas!$J$87*'Plan mensual'!F90+parametros_recargas!$K$87*'Plan mensual'!F91+parametros_recargas!$L$87*'Plan mensual'!F92</f>
        <v>3237.75898879291</v>
      </c>
      <c r="E81" s="23" t="n">
        <f aca="false">parametros_recargas!$E$87*'Plan mensual'!G85+parametros_recargas!$F$87*'Plan mensual'!G86+parametros_recargas!$G$87*'Plan mensual'!G87+parametros_recargas!$H$87*'Plan mensual'!G88+parametros_recargas!$I$87*'Plan mensual'!G89+parametros_recargas!$J$87*'Plan mensual'!G90+parametros_recargas!$K$87*'Plan mensual'!G91+parametros_recargas!$L$87*'Plan mensual'!G92</f>
        <v>3237.75898879291</v>
      </c>
      <c r="F81" s="23" t="n">
        <f aca="false">parametros_recargas!$E$87*'Plan mensual'!H85+parametros_recargas!$F$87*'Plan mensual'!H86+parametros_recargas!$G$87*'Plan mensual'!H87+parametros_recargas!$H$87*'Plan mensual'!H88+parametros_recargas!$I$87*'Plan mensual'!H89+parametros_recargas!$J$87*'Plan mensual'!H90+parametros_recargas!$K$87*'Plan mensual'!H91+parametros_recargas!$L$87*'Plan mensual'!H92</f>
        <v>3237.75898879291</v>
      </c>
      <c r="G81" s="23" t="n">
        <f aca="false">parametros_recargas!$E$87*'Plan mensual'!I85+parametros_recargas!$F$87*'Plan mensual'!I86+parametros_recargas!$G$87*'Plan mensual'!I87+parametros_recargas!$H$87*'Plan mensual'!I88+parametros_recargas!$I$87*'Plan mensual'!I89+parametros_recargas!$J$87*'Plan mensual'!I90+parametros_recargas!$K$87*'Plan mensual'!I91+parametros_recargas!$L$87*'Plan mensual'!I92</f>
        <v>3237.75898879291</v>
      </c>
      <c r="H81" s="23" t="n">
        <f aca="false">parametros_recargas!$E$87*'Plan mensual'!J85+parametros_recargas!$F$87*'Plan mensual'!J86+parametros_recargas!$G$87*'Plan mensual'!J87+parametros_recargas!$H$87*'Plan mensual'!J88+parametros_recargas!$I$87*'Plan mensual'!J89+parametros_recargas!$J$87*'Plan mensual'!J90+parametros_recargas!$K$87*'Plan mensual'!J91+parametros_recargas!$L$87*'Plan mensual'!J92</f>
        <v>3237.75898879291</v>
      </c>
      <c r="I81" s="23" t="n">
        <f aca="false">parametros_recargas!$E$87*'Plan mensual'!K85+parametros_recargas!$F$87*'Plan mensual'!K86+parametros_recargas!$G$87*'Plan mensual'!K87+parametros_recargas!$H$87*'Plan mensual'!K88+parametros_recargas!$I$87*'Plan mensual'!K89+parametros_recargas!$J$87*'Plan mensual'!K90+parametros_recargas!$K$87*'Plan mensual'!K91+parametros_recargas!$L$87*'Plan mensual'!K92</f>
        <v>3237.75898879291</v>
      </c>
      <c r="J81" s="23" t="n">
        <f aca="false">parametros_recargas!$E$87*'Plan mensual'!L85+parametros_recargas!$F$87*'Plan mensual'!L86+parametros_recargas!$G$87*'Plan mensual'!L87+parametros_recargas!$H$87*'Plan mensual'!L88+parametros_recargas!$I$87*'Plan mensual'!L89+parametros_recargas!$J$87*'Plan mensual'!L90+parametros_recargas!$K$87*'Plan mensual'!L91+parametros_recargas!$L$87*'Plan mensual'!L92</f>
        <v>3237.75898879291</v>
      </c>
      <c r="K81" s="23" t="n">
        <f aca="false">parametros_recargas!$E$87*'Plan mensual'!M85+parametros_recargas!$F$87*'Plan mensual'!M86+parametros_recargas!$G$87*'Plan mensual'!M87+parametros_recargas!$H$87*'Plan mensual'!M88+parametros_recargas!$I$87*'Plan mensual'!M89+parametros_recargas!$J$87*'Plan mensual'!M90+parametros_recargas!$K$87*'Plan mensual'!M91+parametros_recargas!$L$87*'Plan mensual'!M92</f>
        <v>3237.75898879291</v>
      </c>
      <c r="L81" s="23" t="n">
        <f aca="false">parametros_recargas!$E$87*'Plan mensual'!N85+parametros_recargas!$F$87*'Plan mensual'!N86+parametros_recargas!$G$87*'Plan mensual'!N87+parametros_recargas!$H$87*'Plan mensual'!N88+parametros_recargas!$I$87*'Plan mensual'!N89+parametros_recargas!$J$87*'Plan mensual'!N90+parametros_recargas!$K$87*'Plan mensual'!N91+parametros_recargas!$L$87*'Plan mensual'!N92</f>
        <v>3237.75898879291</v>
      </c>
      <c r="M81" s="23" t="n">
        <f aca="false">parametros_recargas!$E$87*'Plan mensual'!O85+parametros_recargas!$F$87*'Plan mensual'!O86+parametros_recargas!$G$87*'Plan mensual'!O87+parametros_recargas!$H$87*'Plan mensual'!O88+parametros_recargas!$I$87*'Plan mensual'!O89+parametros_recargas!$J$87*'Plan mensual'!O90+parametros_recargas!$K$87*'Plan mensual'!O91+parametros_recargas!$L$87*'Plan mensual'!O92</f>
        <v>3237.75898879291</v>
      </c>
      <c r="N81" s="7" t="n">
        <f aca="false">SUM(B81:M81)</f>
        <v>38853.1078655149</v>
      </c>
      <c r="O81" s="24" t="n">
        <f aca="false">MAX(B81:M81)</f>
        <v>3237.75898879291</v>
      </c>
      <c r="P81" s="15" t="n">
        <f aca="false">O81/parametros_recargas!$B$6</f>
        <v>21.585059925286</v>
      </c>
    </row>
    <row r="82" customFormat="false" ht="15" hidden="false" customHeight="false" outlineLevel="0" collapsed="false">
      <c r="A82" s="12" t="str">
        <f aca="false">parametros_recargas!$B$88</f>
        <v>Carga de polvo BC</v>
      </c>
      <c r="B82" s="23" t="n">
        <f aca="false">parametros_recargas!$E$88*'Plan mensual'!D85+parametros_recargas!$F$88*'Plan mensual'!D86+parametros_recargas!$G$88*'Plan mensual'!D87+parametros_recargas!$H$88*'Plan mensual'!D88+parametros_recargas!$I$88*'Plan mensual'!D89+parametros_recargas!$J$88*'Plan mensual'!D90+parametros_recargas!$K$88*'Plan mensual'!D91+parametros_recargas!$L$88*'Plan mensual'!D92</f>
        <v>5.35570220048698</v>
      </c>
      <c r="C82" s="23" t="n">
        <f aca="false">parametros_recargas!$E$88*'Plan mensual'!E85+parametros_recargas!$F$88*'Plan mensual'!E86+parametros_recargas!$G$88*'Plan mensual'!E87+parametros_recargas!$H$88*'Plan mensual'!E88+parametros_recargas!$I$88*'Plan mensual'!E89+parametros_recargas!$J$88*'Plan mensual'!E90+parametros_recargas!$K$88*'Plan mensual'!E91+parametros_recargas!$L$88*'Plan mensual'!E92</f>
        <v>5.35570220048698</v>
      </c>
      <c r="D82" s="23" t="n">
        <f aca="false">parametros_recargas!$E$88*'Plan mensual'!F85+parametros_recargas!$F$88*'Plan mensual'!F86+parametros_recargas!$G$88*'Plan mensual'!F87+parametros_recargas!$H$88*'Plan mensual'!F88+parametros_recargas!$I$88*'Plan mensual'!F89+parametros_recargas!$J$88*'Plan mensual'!F90+parametros_recargas!$K$88*'Plan mensual'!F91+parametros_recargas!$L$88*'Plan mensual'!F92</f>
        <v>5.35570220048698</v>
      </c>
      <c r="E82" s="23" t="n">
        <f aca="false">parametros_recargas!$E$88*'Plan mensual'!G85+parametros_recargas!$F$88*'Plan mensual'!G86+parametros_recargas!$G$88*'Plan mensual'!G87+parametros_recargas!$H$88*'Plan mensual'!G88+parametros_recargas!$I$88*'Plan mensual'!G89+parametros_recargas!$J$88*'Plan mensual'!G90+parametros_recargas!$K$88*'Plan mensual'!G91+parametros_recargas!$L$88*'Plan mensual'!G92</f>
        <v>5.35570220048698</v>
      </c>
      <c r="F82" s="23" t="n">
        <f aca="false">parametros_recargas!$E$88*'Plan mensual'!H85+parametros_recargas!$F$88*'Plan mensual'!H86+parametros_recargas!$G$88*'Plan mensual'!H87+parametros_recargas!$H$88*'Plan mensual'!H88+parametros_recargas!$I$88*'Plan mensual'!H89+parametros_recargas!$J$88*'Plan mensual'!H90+parametros_recargas!$K$88*'Plan mensual'!H91+parametros_recargas!$L$88*'Plan mensual'!H92</f>
        <v>5.35570220048698</v>
      </c>
      <c r="G82" s="23" t="n">
        <f aca="false">parametros_recargas!$E$88*'Plan mensual'!I85+parametros_recargas!$F$88*'Plan mensual'!I86+parametros_recargas!$G$88*'Plan mensual'!I87+parametros_recargas!$H$88*'Plan mensual'!I88+parametros_recargas!$I$88*'Plan mensual'!I89+parametros_recargas!$J$88*'Plan mensual'!I90+parametros_recargas!$K$88*'Plan mensual'!I91+parametros_recargas!$L$88*'Plan mensual'!I92</f>
        <v>5.35570220048698</v>
      </c>
      <c r="H82" s="23" t="n">
        <f aca="false">parametros_recargas!$E$88*'Plan mensual'!J85+parametros_recargas!$F$88*'Plan mensual'!J86+parametros_recargas!$G$88*'Plan mensual'!J87+parametros_recargas!$H$88*'Plan mensual'!J88+parametros_recargas!$I$88*'Plan mensual'!J89+parametros_recargas!$J$88*'Plan mensual'!J90+parametros_recargas!$K$88*'Plan mensual'!J91+parametros_recargas!$L$88*'Plan mensual'!J92</f>
        <v>5.35570220048698</v>
      </c>
      <c r="I82" s="23" t="n">
        <f aca="false">parametros_recargas!$E$88*'Plan mensual'!K85+parametros_recargas!$F$88*'Plan mensual'!K86+parametros_recargas!$G$88*'Plan mensual'!K87+parametros_recargas!$H$88*'Plan mensual'!K88+parametros_recargas!$I$88*'Plan mensual'!K89+parametros_recargas!$J$88*'Plan mensual'!K90+parametros_recargas!$K$88*'Plan mensual'!K91+parametros_recargas!$L$88*'Plan mensual'!K92</f>
        <v>5.35570220048698</v>
      </c>
      <c r="J82" s="23" t="n">
        <f aca="false">parametros_recargas!$E$88*'Plan mensual'!L85+parametros_recargas!$F$88*'Plan mensual'!L86+parametros_recargas!$G$88*'Plan mensual'!L87+parametros_recargas!$H$88*'Plan mensual'!L88+parametros_recargas!$I$88*'Plan mensual'!L89+parametros_recargas!$J$88*'Plan mensual'!L90+parametros_recargas!$K$88*'Plan mensual'!L91+parametros_recargas!$L$88*'Plan mensual'!L92</f>
        <v>5.35570220048698</v>
      </c>
      <c r="K82" s="23" t="n">
        <f aca="false">parametros_recargas!$E$88*'Plan mensual'!M85+parametros_recargas!$F$88*'Plan mensual'!M86+parametros_recargas!$G$88*'Plan mensual'!M87+parametros_recargas!$H$88*'Plan mensual'!M88+parametros_recargas!$I$88*'Plan mensual'!M89+parametros_recargas!$J$88*'Plan mensual'!M90+parametros_recargas!$K$88*'Plan mensual'!M91+parametros_recargas!$L$88*'Plan mensual'!M92</f>
        <v>5.35570220048698</v>
      </c>
      <c r="L82" s="23" t="n">
        <f aca="false">parametros_recargas!$E$88*'Plan mensual'!N85+parametros_recargas!$F$88*'Plan mensual'!N86+parametros_recargas!$G$88*'Plan mensual'!N87+parametros_recargas!$H$88*'Plan mensual'!N88+parametros_recargas!$I$88*'Plan mensual'!N89+parametros_recargas!$J$88*'Plan mensual'!N90+parametros_recargas!$K$88*'Plan mensual'!N91+parametros_recargas!$L$88*'Plan mensual'!N92</f>
        <v>5.35570220048698</v>
      </c>
      <c r="M82" s="23" t="n">
        <f aca="false">parametros_recargas!$E$88*'Plan mensual'!O85+parametros_recargas!$F$88*'Plan mensual'!O86+parametros_recargas!$G$88*'Plan mensual'!O87+parametros_recargas!$H$88*'Plan mensual'!O88+parametros_recargas!$I$88*'Plan mensual'!O89+parametros_recargas!$J$88*'Plan mensual'!O90+parametros_recargas!$K$88*'Plan mensual'!O91+parametros_recargas!$L$88*'Plan mensual'!O92</f>
        <v>5.35570220048698</v>
      </c>
      <c r="N82" s="7" t="n">
        <f aca="false">SUM(B82:M82)</f>
        <v>64.2684264058438</v>
      </c>
      <c r="O82" s="24" t="n">
        <f aca="false">MAX(B82:M82)</f>
        <v>5.35570220048698</v>
      </c>
      <c r="P82" s="15" t="n">
        <f aca="false">O82/parametros_recargas!$B$6</f>
        <v>0.0357046813365799</v>
      </c>
    </row>
    <row r="83" customFormat="false" ht="15" hidden="false" customHeight="false" outlineLevel="0" collapsed="false">
      <c r="A83" s="12" t="str">
        <f aca="false">parametros_recargas!$B$89</f>
        <v>Descarga y carga Clase D</v>
      </c>
      <c r="B83" s="23" t="n">
        <f aca="false">parametros_recargas!$E$89*'Plan mensual'!D85+parametros_recargas!$F$89*'Plan mensual'!D86+parametros_recargas!$G$89*'Plan mensual'!D87+parametros_recargas!$H$89*'Plan mensual'!D88+parametros_recargas!$I$89*'Plan mensual'!D89+parametros_recargas!$J$89*'Plan mensual'!D90+parametros_recargas!$K$89*'Plan mensual'!D91+parametros_recargas!$L$89*'Plan mensual'!D92</f>
        <v>5.35570220048698</v>
      </c>
      <c r="C83" s="23" t="n">
        <f aca="false">parametros_recargas!$E$89*'Plan mensual'!E85+parametros_recargas!$F$89*'Plan mensual'!E86+parametros_recargas!$G$89*'Plan mensual'!E87+parametros_recargas!$H$89*'Plan mensual'!E88+parametros_recargas!$I$89*'Plan mensual'!E89+parametros_recargas!$J$89*'Plan mensual'!E90+parametros_recargas!$K$89*'Plan mensual'!E91+parametros_recargas!$L$89*'Plan mensual'!E92</f>
        <v>5.35570220048698</v>
      </c>
      <c r="D83" s="23" t="n">
        <f aca="false">parametros_recargas!$E$89*'Plan mensual'!F85+parametros_recargas!$F$89*'Plan mensual'!F86+parametros_recargas!$G$89*'Plan mensual'!F87+parametros_recargas!$H$89*'Plan mensual'!F88+parametros_recargas!$I$89*'Plan mensual'!F89+parametros_recargas!$J$89*'Plan mensual'!F90+parametros_recargas!$K$89*'Plan mensual'!F91+parametros_recargas!$L$89*'Plan mensual'!F92</f>
        <v>5.35570220048698</v>
      </c>
      <c r="E83" s="23" t="n">
        <f aca="false">parametros_recargas!$E$89*'Plan mensual'!G85+parametros_recargas!$F$89*'Plan mensual'!G86+parametros_recargas!$G$89*'Plan mensual'!G87+parametros_recargas!$H$89*'Plan mensual'!G88+parametros_recargas!$I$89*'Plan mensual'!G89+parametros_recargas!$J$89*'Plan mensual'!G90+parametros_recargas!$K$89*'Plan mensual'!G91+parametros_recargas!$L$89*'Plan mensual'!G92</f>
        <v>5.35570220048698</v>
      </c>
      <c r="F83" s="23" t="n">
        <f aca="false">parametros_recargas!$E$89*'Plan mensual'!H85+parametros_recargas!$F$89*'Plan mensual'!H86+parametros_recargas!$G$89*'Plan mensual'!H87+parametros_recargas!$H$89*'Plan mensual'!H88+parametros_recargas!$I$89*'Plan mensual'!H89+parametros_recargas!$J$89*'Plan mensual'!H90+parametros_recargas!$K$89*'Plan mensual'!H91+parametros_recargas!$L$89*'Plan mensual'!H92</f>
        <v>5.35570220048698</v>
      </c>
      <c r="G83" s="23" t="n">
        <f aca="false">parametros_recargas!$E$89*'Plan mensual'!I85+parametros_recargas!$F$89*'Plan mensual'!I86+parametros_recargas!$G$89*'Plan mensual'!I87+parametros_recargas!$H$89*'Plan mensual'!I88+parametros_recargas!$I$89*'Plan mensual'!I89+parametros_recargas!$J$89*'Plan mensual'!I90+parametros_recargas!$K$89*'Plan mensual'!I91+parametros_recargas!$L$89*'Plan mensual'!I92</f>
        <v>5.35570220048698</v>
      </c>
      <c r="H83" s="23" t="n">
        <f aca="false">parametros_recargas!$E$89*'Plan mensual'!J85+parametros_recargas!$F$89*'Plan mensual'!J86+parametros_recargas!$G$89*'Plan mensual'!J87+parametros_recargas!$H$89*'Plan mensual'!J88+parametros_recargas!$I$89*'Plan mensual'!J89+parametros_recargas!$J$89*'Plan mensual'!J90+parametros_recargas!$K$89*'Plan mensual'!J91+parametros_recargas!$L$89*'Plan mensual'!J92</f>
        <v>5.35570220048698</v>
      </c>
      <c r="I83" s="23" t="n">
        <f aca="false">parametros_recargas!$E$89*'Plan mensual'!K85+parametros_recargas!$F$89*'Plan mensual'!K86+parametros_recargas!$G$89*'Plan mensual'!K87+parametros_recargas!$H$89*'Plan mensual'!K88+parametros_recargas!$I$89*'Plan mensual'!K89+parametros_recargas!$J$89*'Plan mensual'!K90+parametros_recargas!$K$89*'Plan mensual'!K91+parametros_recargas!$L$89*'Plan mensual'!K92</f>
        <v>5.35570220048698</v>
      </c>
      <c r="J83" s="23" t="n">
        <f aca="false">parametros_recargas!$E$89*'Plan mensual'!L85+parametros_recargas!$F$89*'Plan mensual'!L86+parametros_recargas!$G$89*'Plan mensual'!L87+parametros_recargas!$H$89*'Plan mensual'!L88+parametros_recargas!$I$89*'Plan mensual'!L89+parametros_recargas!$J$89*'Plan mensual'!L90+parametros_recargas!$K$89*'Plan mensual'!L91+parametros_recargas!$L$89*'Plan mensual'!L92</f>
        <v>5.35570220048698</v>
      </c>
      <c r="K83" s="23" t="n">
        <f aca="false">parametros_recargas!$E$89*'Plan mensual'!M85+parametros_recargas!$F$89*'Plan mensual'!M86+parametros_recargas!$G$89*'Plan mensual'!M87+parametros_recargas!$H$89*'Plan mensual'!M88+parametros_recargas!$I$89*'Plan mensual'!M89+parametros_recargas!$J$89*'Plan mensual'!M90+parametros_recargas!$K$89*'Plan mensual'!M91+parametros_recargas!$L$89*'Plan mensual'!M92</f>
        <v>5.35570220048698</v>
      </c>
      <c r="L83" s="23" t="n">
        <f aca="false">parametros_recargas!$E$89*'Plan mensual'!N85+parametros_recargas!$F$89*'Plan mensual'!N86+parametros_recargas!$G$89*'Plan mensual'!N87+parametros_recargas!$H$89*'Plan mensual'!N88+parametros_recargas!$I$89*'Plan mensual'!N89+parametros_recargas!$J$89*'Plan mensual'!N90+parametros_recargas!$K$89*'Plan mensual'!N91+parametros_recargas!$L$89*'Plan mensual'!N92</f>
        <v>5.35570220048698</v>
      </c>
      <c r="M83" s="23" t="n">
        <f aca="false">parametros_recargas!$E$89*'Plan mensual'!O85+parametros_recargas!$F$89*'Plan mensual'!O86+parametros_recargas!$G$89*'Plan mensual'!O87+parametros_recargas!$H$89*'Plan mensual'!O88+parametros_recargas!$I$89*'Plan mensual'!O89+parametros_recargas!$J$89*'Plan mensual'!O90+parametros_recargas!$K$89*'Plan mensual'!O91+parametros_recargas!$L$89*'Plan mensual'!O92</f>
        <v>5.35570220048698</v>
      </c>
      <c r="N83" s="7" t="n">
        <f aca="false">SUM(B83:M83)</f>
        <v>64.2684264058438</v>
      </c>
      <c r="O83" s="24" t="n">
        <f aca="false">MAX(B83:M83)</f>
        <v>5.35570220048698</v>
      </c>
      <c r="P83" s="15" t="n">
        <f aca="false">O83/parametros_recargas!$B$6</f>
        <v>0.0357046813365799</v>
      </c>
    </row>
    <row r="84" customFormat="false" ht="15" hidden="false" customHeight="false" outlineLevel="0" collapsed="false">
      <c r="A84" s="12" t="str">
        <f aca="false">parametros_recargas!$B$90</f>
        <v>Carga de agua / AFFF / sales K</v>
      </c>
      <c r="B84" s="23" t="n">
        <f aca="false">parametros_recargas!$E$90*'Plan mensual'!D85+parametros_recargas!$F$90*'Plan mensual'!D86+parametros_recargas!$G$90*'Plan mensual'!D87+parametros_recargas!$H$90*'Plan mensual'!D88+parametros_recargas!$I$90*'Plan mensual'!D89+parametros_recargas!$J$90*'Plan mensual'!D90+parametros_recargas!$K$90*'Plan mensual'!D91+parametros_recargas!$L$90*'Plan mensual'!D92</f>
        <v>180.360549097428</v>
      </c>
      <c r="C84" s="23" t="n">
        <f aca="false">parametros_recargas!$E$90*'Plan mensual'!E85+parametros_recargas!$F$90*'Plan mensual'!E86+parametros_recargas!$G$90*'Plan mensual'!E87+parametros_recargas!$H$90*'Plan mensual'!E88+parametros_recargas!$I$90*'Plan mensual'!E89+parametros_recargas!$J$90*'Plan mensual'!E90+parametros_recargas!$K$90*'Plan mensual'!E91+parametros_recargas!$L$90*'Plan mensual'!E92</f>
        <v>180.360549097428</v>
      </c>
      <c r="D84" s="23" t="n">
        <f aca="false">parametros_recargas!$E$90*'Plan mensual'!F85+parametros_recargas!$F$90*'Plan mensual'!F86+parametros_recargas!$G$90*'Plan mensual'!F87+parametros_recargas!$H$90*'Plan mensual'!F88+parametros_recargas!$I$90*'Plan mensual'!F89+parametros_recargas!$J$90*'Plan mensual'!F90+parametros_recargas!$K$90*'Plan mensual'!F91+parametros_recargas!$L$90*'Plan mensual'!F92</f>
        <v>180.360549097428</v>
      </c>
      <c r="E84" s="23" t="n">
        <f aca="false">parametros_recargas!$E$90*'Plan mensual'!G85+parametros_recargas!$F$90*'Plan mensual'!G86+parametros_recargas!$G$90*'Plan mensual'!G87+parametros_recargas!$H$90*'Plan mensual'!G88+parametros_recargas!$I$90*'Plan mensual'!G89+parametros_recargas!$J$90*'Plan mensual'!G90+parametros_recargas!$K$90*'Plan mensual'!G91+parametros_recargas!$L$90*'Plan mensual'!G92</f>
        <v>180.360549097428</v>
      </c>
      <c r="F84" s="23" t="n">
        <f aca="false">parametros_recargas!$E$90*'Plan mensual'!H85+parametros_recargas!$F$90*'Plan mensual'!H86+parametros_recargas!$G$90*'Plan mensual'!H87+parametros_recargas!$H$90*'Plan mensual'!H88+parametros_recargas!$I$90*'Plan mensual'!H89+parametros_recargas!$J$90*'Plan mensual'!H90+parametros_recargas!$K$90*'Plan mensual'!H91+parametros_recargas!$L$90*'Plan mensual'!H92</f>
        <v>180.360549097428</v>
      </c>
      <c r="G84" s="23" t="n">
        <f aca="false">parametros_recargas!$E$90*'Plan mensual'!I85+parametros_recargas!$F$90*'Plan mensual'!I86+parametros_recargas!$G$90*'Plan mensual'!I87+parametros_recargas!$H$90*'Plan mensual'!I88+parametros_recargas!$I$90*'Plan mensual'!I89+parametros_recargas!$J$90*'Plan mensual'!I90+parametros_recargas!$K$90*'Plan mensual'!I91+parametros_recargas!$L$90*'Plan mensual'!I92</f>
        <v>180.360549097428</v>
      </c>
      <c r="H84" s="23" t="n">
        <f aca="false">parametros_recargas!$E$90*'Plan mensual'!J85+parametros_recargas!$F$90*'Plan mensual'!J86+parametros_recargas!$G$90*'Plan mensual'!J87+parametros_recargas!$H$90*'Plan mensual'!J88+parametros_recargas!$I$90*'Plan mensual'!J89+parametros_recargas!$J$90*'Plan mensual'!J90+parametros_recargas!$K$90*'Plan mensual'!J91+parametros_recargas!$L$90*'Plan mensual'!J92</f>
        <v>180.360549097428</v>
      </c>
      <c r="I84" s="23" t="n">
        <f aca="false">parametros_recargas!$E$90*'Plan mensual'!K85+parametros_recargas!$F$90*'Plan mensual'!K86+parametros_recargas!$G$90*'Plan mensual'!K87+parametros_recargas!$H$90*'Plan mensual'!K88+parametros_recargas!$I$90*'Plan mensual'!K89+parametros_recargas!$J$90*'Plan mensual'!K90+parametros_recargas!$K$90*'Plan mensual'!K91+parametros_recargas!$L$90*'Plan mensual'!K92</f>
        <v>180.360549097428</v>
      </c>
      <c r="J84" s="23" t="n">
        <f aca="false">parametros_recargas!$E$90*'Plan mensual'!L85+parametros_recargas!$F$90*'Plan mensual'!L86+parametros_recargas!$G$90*'Plan mensual'!L87+parametros_recargas!$H$90*'Plan mensual'!L88+parametros_recargas!$I$90*'Plan mensual'!L89+parametros_recargas!$J$90*'Plan mensual'!L90+parametros_recargas!$K$90*'Plan mensual'!L91+parametros_recargas!$L$90*'Plan mensual'!L92</f>
        <v>180.360549097428</v>
      </c>
      <c r="K84" s="23" t="n">
        <f aca="false">parametros_recargas!$E$90*'Plan mensual'!M85+parametros_recargas!$F$90*'Plan mensual'!M86+parametros_recargas!$G$90*'Plan mensual'!M87+parametros_recargas!$H$90*'Plan mensual'!M88+parametros_recargas!$I$90*'Plan mensual'!M89+parametros_recargas!$J$90*'Plan mensual'!M90+parametros_recargas!$K$90*'Plan mensual'!M91+parametros_recargas!$L$90*'Plan mensual'!M92</f>
        <v>180.360549097428</v>
      </c>
      <c r="L84" s="23" t="n">
        <f aca="false">parametros_recargas!$E$90*'Plan mensual'!N85+parametros_recargas!$F$90*'Plan mensual'!N86+parametros_recargas!$G$90*'Plan mensual'!N87+parametros_recargas!$H$90*'Plan mensual'!N88+parametros_recargas!$I$90*'Plan mensual'!N89+parametros_recargas!$J$90*'Plan mensual'!N90+parametros_recargas!$K$90*'Plan mensual'!N91+parametros_recargas!$L$90*'Plan mensual'!N92</f>
        <v>180.360549097428</v>
      </c>
      <c r="M84" s="23" t="n">
        <f aca="false">parametros_recargas!$E$90*'Plan mensual'!O85+parametros_recargas!$F$90*'Plan mensual'!O86+parametros_recargas!$G$90*'Plan mensual'!O87+parametros_recargas!$H$90*'Plan mensual'!O88+parametros_recargas!$I$90*'Plan mensual'!O89+parametros_recargas!$J$90*'Plan mensual'!O90+parametros_recargas!$K$90*'Plan mensual'!O91+parametros_recargas!$L$90*'Plan mensual'!O92</f>
        <v>180.360549097428</v>
      </c>
      <c r="N84" s="7" t="n">
        <f aca="false">SUM(B84:M84)</f>
        <v>2164.32658916913</v>
      </c>
      <c r="O84" s="24" t="n">
        <f aca="false">MAX(B84:M84)</f>
        <v>180.360549097428</v>
      </c>
      <c r="P84" s="15" t="n">
        <f aca="false">O84/parametros_recargas!$B$6</f>
        <v>1.20240366064952</v>
      </c>
    </row>
    <row r="85" customFormat="false" ht="15" hidden="false" customHeight="false" outlineLevel="0" collapsed="false">
      <c r="A85" s="12" t="str">
        <f aca="false">parametros_recargas!$B$91</f>
        <v>Carga de CO₂</v>
      </c>
      <c r="B85" s="23" t="n">
        <f aca="false">parametros_recargas!$E$91*'Plan mensual'!D85+parametros_recargas!$F$91*'Plan mensual'!D86+parametros_recargas!$G$91*'Plan mensual'!D87+parametros_recargas!$H$91*'Plan mensual'!D88+parametros_recargas!$I$91*'Plan mensual'!D89+parametros_recargas!$J$91*'Plan mensual'!D90+parametros_recargas!$K$91*'Plan mensual'!D91+parametros_recargas!$L$91*'Plan mensual'!D92</f>
        <v>95.0321404298857</v>
      </c>
      <c r="C85" s="23" t="n">
        <f aca="false">parametros_recargas!$E$91*'Plan mensual'!E85+parametros_recargas!$F$91*'Plan mensual'!E86+parametros_recargas!$G$91*'Plan mensual'!E87+parametros_recargas!$H$91*'Plan mensual'!E88+parametros_recargas!$I$91*'Plan mensual'!E89+parametros_recargas!$J$91*'Plan mensual'!E90+parametros_recargas!$K$91*'Plan mensual'!E91+parametros_recargas!$L$91*'Plan mensual'!E92</f>
        <v>95.0321404298857</v>
      </c>
      <c r="D85" s="23" t="n">
        <f aca="false">parametros_recargas!$E$91*'Plan mensual'!F85+parametros_recargas!$F$91*'Plan mensual'!F86+parametros_recargas!$G$91*'Plan mensual'!F87+parametros_recargas!$H$91*'Plan mensual'!F88+parametros_recargas!$I$91*'Plan mensual'!F89+parametros_recargas!$J$91*'Plan mensual'!F90+parametros_recargas!$K$91*'Plan mensual'!F91+parametros_recargas!$L$91*'Plan mensual'!F92</f>
        <v>95.0321404298857</v>
      </c>
      <c r="E85" s="23" t="n">
        <f aca="false">parametros_recargas!$E$91*'Plan mensual'!G85+parametros_recargas!$F$91*'Plan mensual'!G86+parametros_recargas!$G$91*'Plan mensual'!G87+parametros_recargas!$H$91*'Plan mensual'!G88+parametros_recargas!$I$91*'Plan mensual'!G89+parametros_recargas!$J$91*'Plan mensual'!G90+parametros_recargas!$K$91*'Plan mensual'!G91+parametros_recargas!$L$91*'Plan mensual'!G92</f>
        <v>95.0321404298857</v>
      </c>
      <c r="F85" s="23" t="n">
        <f aca="false">parametros_recargas!$E$91*'Plan mensual'!H85+parametros_recargas!$F$91*'Plan mensual'!H86+parametros_recargas!$G$91*'Plan mensual'!H87+parametros_recargas!$H$91*'Plan mensual'!H88+parametros_recargas!$I$91*'Plan mensual'!H89+parametros_recargas!$J$91*'Plan mensual'!H90+parametros_recargas!$K$91*'Plan mensual'!H91+parametros_recargas!$L$91*'Plan mensual'!H92</f>
        <v>95.0321404298857</v>
      </c>
      <c r="G85" s="23" t="n">
        <f aca="false">parametros_recargas!$E$91*'Plan mensual'!I85+parametros_recargas!$F$91*'Plan mensual'!I86+parametros_recargas!$G$91*'Plan mensual'!I87+parametros_recargas!$H$91*'Plan mensual'!I88+parametros_recargas!$I$91*'Plan mensual'!I89+parametros_recargas!$J$91*'Plan mensual'!I90+parametros_recargas!$K$91*'Plan mensual'!I91+parametros_recargas!$L$91*'Plan mensual'!I92</f>
        <v>95.0321404298857</v>
      </c>
      <c r="H85" s="23" t="n">
        <f aca="false">parametros_recargas!$E$91*'Plan mensual'!J85+parametros_recargas!$F$91*'Plan mensual'!J86+parametros_recargas!$G$91*'Plan mensual'!J87+parametros_recargas!$H$91*'Plan mensual'!J88+parametros_recargas!$I$91*'Plan mensual'!J89+parametros_recargas!$J$91*'Plan mensual'!J90+parametros_recargas!$K$91*'Plan mensual'!J91+parametros_recargas!$L$91*'Plan mensual'!J92</f>
        <v>95.0321404298857</v>
      </c>
      <c r="I85" s="23" t="n">
        <f aca="false">parametros_recargas!$E$91*'Plan mensual'!K85+parametros_recargas!$F$91*'Plan mensual'!K86+parametros_recargas!$G$91*'Plan mensual'!K87+parametros_recargas!$H$91*'Plan mensual'!K88+parametros_recargas!$I$91*'Plan mensual'!K89+parametros_recargas!$J$91*'Plan mensual'!K90+parametros_recargas!$K$91*'Plan mensual'!K91+parametros_recargas!$L$91*'Plan mensual'!K92</f>
        <v>95.0321404298857</v>
      </c>
      <c r="J85" s="23" t="n">
        <f aca="false">parametros_recargas!$E$91*'Plan mensual'!L85+parametros_recargas!$F$91*'Plan mensual'!L86+parametros_recargas!$G$91*'Plan mensual'!L87+parametros_recargas!$H$91*'Plan mensual'!L88+parametros_recargas!$I$91*'Plan mensual'!L89+parametros_recargas!$J$91*'Plan mensual'!L90+parametros_recargas!$K$91*'Plan mensual'!L91+parametros_recargas!$L$91*'Plan mensual'!L92</f>
        <v>95.0321404298857</v>
      </c>
      <c r="K85" s="23" t="n">
        <f aca="false">parametros_recargas!$E$91*'Plan mensual'!M85+parametros_recargas!$F$91*'Plan mensual'!M86+parametros_recargas!$G$91*'Plan mensual'!M87+parametros_recargas!$H$91*'Plan mensual'!M88+parametros_recargas!$I$91*'Plan mensual'!M89+parametros_recargas!$J$91*'Plan mensual'!M90+parametros_recargas!$K$91*'Plan mensual'!M91+parametros_recargas!$L$91*'Plan mensual'!M92</f>
        <v>95.0321404298857</v>
      </c>
      <c r="L85" s="23" t="n">
        <f aca="false">parametros_recargas!$E$91*'Plan mensual'!N85+parametros_recargas!$F$91*'Plan mensual'!N86+parametros_recargas!$G$91*'Plan mensual'!N87+parametros_recargas!$H$91*'Plan mensual'!N88+parametros_recargas!$I$91*'Plan mensual'!N89+parametros_recargas!$J$91*'Plan mensual'!N90+parametros_recargas!$K$91*'Plan mensual'!N91+parametros_recargas!$L$91*'Plan mensual'!N92</f>
        <v>95.0321404298857</v>
      </c>
      <c r="M85" s="23" t="n">
        <f aca="false">parametros_recargas!$E$91*'Plan mensual'!O85+parametros_recargas!$F$91*'Plan mensual'!O86+parametros_recargas!$G$91*'Plan mensual'!O87+parametros_recargas!$H$91*'Plan mensual'!O88+parametros_recargas!$I$91*'Plan mensual'!O89+parametros_recargas!$J$91*'Plan mensual'!O90+parametros_recargas!$K$91*'Plan mensual'!O91+parametros_recargas!$L$91*'Plan mensual'!O92</f>
        <v>95.0321404298857</v>
      </c>
      <c r="N85" s="7" t="n">
        <f aca="false">SUM(B85:M85)</f>
        <v>1140.38568515863</v>
      </c>
      <c r="O85" s="24" t="n">
        <f aca="false">MAX(B85:M85)</f>
        <v>95.0321404298857</v>
      </c>
      <c r="P85" s="15" t="n">
        <f aca="false">O85/parametros_recargas!$B$6</f>
        <v>0.633547602865904</v>
      </c>
    </row>
    <row r="86" customFormat="false" ht="15" hidden="false" customHeight="false" outlineLevel="0" collapsed="false">
      <c r="A86" s="12" t="str">
        <f aca="false">parametros_recargas!$B$92</f>
        <v>Ensamblaje y marbete — recinto</v>
      </c>
      <c r="B86" s="23" t="n">
        <f aca="false">parametros_recargas!$E$92*'Plan mensual'!D85+parametros_recargas!$F$92*'Plan mensual'!D86+parametros_recargas!$G$92*'Plan mensual'!D87+parametros_recargas!$H$92*'Plan mensual'!D88+parametros_recargas!$I$92*'Plan mensual'!D89+parametros_recargas!$J$92*'Plan mensual'!D90+parametros_recargas!$K$92*'Plan mensual'!D91+parametros_recargas!$L$92*'Plan mensual'!D92</f>
        <v>3248.47039319388</v>
      </c>
      <c r="C86" s="23" t="n">
        <f aca="false">parametros_recargas!$E$92*'Plan mensual'!E85+parametros_recargas!$F$92*'Plan mensual'!E86+parametros_recargas!$G$92*'Plan mensual'!E87+parametros_recargas!$H$92*'Plan mensual'!E88+parametros_recargas!$I$92*'Plan mensual'!E89+parametros_recargas!$J$92*'Plan mensual'!E90+parametros_recargas!$K$92*'Plan mensual'!E91+parametros_recargas!$L$92*'Plan mensual'!E92</f>
        <v>3248.47039319388</v>
      </c>
      <c r="D86" s="23" t="n">
        <f aca="false">parametros_recargas!$E$92*'Plan mensual'!F85+parametros_recargas!$F$92*'Plan mensual'!F86+parametros_recargas!$G$92*'Plan mensual'!F87+parametros_recargas!$H$92*'Plan mensual'!F88+parametros_recargas!$I$92*'Plan mensual'!F89+parametros_recargas!$J$92*'Plan mensual'!F90+parametros_recargas!$K$92*'Plan mensual'!F91+parametros_recargas!$L$92*'Plan mensual'!F92</f>
        <v>3248.47039319388</v>
      </c>
      <c r="E86" s="23" t="n">
        <f aca="false">parametros_recargas!$E$92*'Plan mensual'!G85+parametros_recargas!$F$92*'Plan mensual'!G86+parametros_recargas!$G$92*'Plan mensual'!G87+parametros_recargas!$H$92*'Plan mensual'!G88+parametros_recargas!$I$92*'Plan mensual'!G89+parametros_recargas!$J$92*'Plan mensual'!G90+parametros_recargas!$K$92*'Plan mensual'!G91+parametros_recargas!$L$92*'Plan mensual'!G92</f>
        <v>3248.47039319388</v>
      </c>
      <c r="F86" s="23" t="n">
        <f aca="false">parametros_recargas!$E$92*'Plan mensual'!H85+parametros_recargas!$F$92*'Plan mensual'!H86+parametros_recargas!$G$92*'Plan mensual'!H87+parametros_recargas!$H$92*'Plan mensual'!H88+parametros_recargas!$I$92*'Plan mensual'!H89+parametros_recargas!$J$92*'Plan mensual'!H90+parametros_recargas!$K$92*'Plan mensual'!H91+parametros_recargas!$L$92*'Plan mensual'!H92</f>
        <v>3248.47039319388</v>
      </c>
      <c r="G86" s="23" t="n">
        <f aca="false">parametros_recargas!$E$92*'Plan mensual'!I85+parametros_recargas!$F$92*'Plan mensual'!I86+parametros_recargas!$G$92*'Plan mensual'!I87+parametros_recargas!$H$92*'Plan mensual'!I88+parametros_recargas!$I$92*'Plan mensual'!I89+parametros_recargas!$J$92*'Plan mensual'!I90+parametros_recargas!$K$92*'Plan mensual'!I91+parametros_recargas!$L$92*'Plan mensual'!I92</f>
        <v>3248.47039319388</v>
      </c>
      <c r="H86" s="23" t="n">
        <f aca="false">parametros_recargas!$E$92*'Plan mensual'!J85+parametros_recargas!$F$92*'Plan mensual'!J86+parametros_recargas!$G$92*'Plan mensual'!J87+parametros_recargas!$H$92*'Plan mensual'!J88+parametros_recargas!$I$92*'Plan mensual'!J89+parametros_recargas!$J$92*'Plan mensual'!J90+parametros_recargas!$K$92*'Plan mensual'!J91+parametros_recargas!$L$92*'Plan mensual'!J92</f>
        <v>3248.47039319388</v>
      </c>
      <c r="I86" s="23" t="n">
        <f aca="false">parametros_recargas!$E$92*'Plan mensual'!K85+parametros_recargas!$F$92*'Plan mensual'!K86+parametros_recargas!$G$92*'Plan mensual'!K87+parametros_recargas!$H$92*'Plan mensual'!K88+parametros_recargas!$I$92*'Plan mensual'!K89+parametros_recargas!$J$92*'Plan mensual'!K90+parametros_recargas!$K$92*'Plan mensual'!K91+parametros_recargas!$L$92*'Plan mensual'!K92</f>
        <v>3248.47039319388</v>
      </c>
      <c r="J86" s="23" t="n">
        <f aca="false">parametros_recargas!$E$92*'Plan mensual'!L85+parametros_recargas!$F$92*'Plan mensual'!L86+parametros_recargas!$G$92*'Plan mensual'!L87+parametros_recargas!$H$92*'Plan mensual'!L88+parametros_recargas!$I$92*'Plan mensual'!L89+parametros_recargas!$J$92*'Plan mensual'!L90+parametros_recargas!$K$92*'Plan mensual'!L91+parametros_recargas!$L$92*'Plan mensual'!L92</f>
        <v>3248.47039319388</v>
      </c>
      <c r="K86" s="23" t="n">
        <f aca="false">parametros_recargas!$E$92*'Plan mensual'!M85+parametros_recargas!$F$92*'Plan mensual'!M86+parametros_recargas!$G$92*'Plan mensual'!M87+parametros_recargas!$H$92*'Plan mensual'!M88+parametros_recargas!$I$92*'Plan mensual'!M89+parametros_recargas!$J$92*'Plan mensual'!M90+parametros_recargas!$K$92*'Plan mensual'!M91+parametros_recargas!$L$92*'Plan mensual'!M92</f>
        <v>3248.47039319388</v>
      </c>
      <c r="L86" s="23" t="n">
        <f aca="false">parametros_recargas!$E$92*'Plan mensual'!N85+parametros_recargas!$F$92*'Plan mensual'!N86+parametros_recargas!$G$92*'Plan mensual'!N87+parametros_recargas!$H$92*'Plan mensual'!N88+parametros_recargas!$I$92*'Plan mensual'!N89+parametros_recargas!$J$92*'Plan mensual'!N90+parametros_recargas!$K$92*'Plan mensual'!N91+parametros_recargas!$L$92*'Plan mensual'!N92</f>
        <v>3248.47039319388</v>
      </c>
      <c r="M86" s="23" t="n">
        <f aca="false">parametros_recargas!$E$92*'Plan mensual'!O85+parametros_recargas!$F$92*'Plan mensual'!O86+parametros_recargas!$G$92*'Plan mensual'!O87+parametros_recargas!$H$92*'Plan mensual'!O88+parametros_recargas!$I$92*'Plan mensual'!O89+parametros_recargas!$J$92*'Plan mensual'!O90+parametros_recargas!$K$92*'Plan mensual'!O91+parametros_recargas!$L$92*'Plan mensual'!O92</f>
        <v>3248.47039319388</v>
      </c>
      <c r="N86" s="7" t="n">
        <f aca="false">SUM(B86:M86)</f>
        <v>38981.6447183266</v>
      </c>
      <c r="O86" s="24" t="n">
        <f aca="false">MAX(B86:M86)</f>
        <v>3248.47039319388</v>
      </c>
      <c r="P86" s="15" t="n">
        <f aca="false">O86/parametros_recargas!$B$6</f>
        <v>21.6564692879592</v>
      </c>
    </row>
    <row r="87" customFormat="false" ht="15" hidden="false" customHeight="false" outlineLevel="0" collapsed="false">
      <c r="A87" s="12" t="str">
        <f aca="false">parametros_recargas!$B$93</f>
        <v>Presurización — recinto</v>
      </c>
      <c r="B87" s="23" t="n">
        <f aca="false">parametros_recargas!$E$93*'Plan mensual'!D85+parametros_recargas!$F$93*'Plan mensual'!D86+parametros_recargas!$G$93*'Plan mensual'!D87+parametros_recargas!$H$93*'Plan mensual'!D88+parametros_recargas!$I$93*'Plan mensual'!D89+parametros_recargas!$J$93*'Plan mensual'!D90+parametros_recargas!$K$93*'Plan mensual'!D91+parametros_recargas!$L$93*'Plan mensual'!D92</f>
        <v>3248.47039319388</v>
      </c>
      <c r="C87" s="23" t="n">
        <f aca="false">parametros_recargas!$E$93*'Plan mensual'!E85+parametros_recargas!$F$93*'Plan mensual'!E86+parametros_recargas!$G$93*'Plan mensual'!E87+parametros_recargas!$H$93*'Plan mensual'!E88+parametros_recargas!$I$93*'Plan mensual'!E89+parametros_recargas!$J$93*'Plan mensual'!E90+parametros_recargas!$K$93*'Plan mensual'!E91+parametros_recargas!$L$93*'Plan mensual'!E92</f>
        <v>3248.47039319388</v>
      </c>
      <c r="D87" s="23" t="n">
        <f aca="false">parametros_recargas!$E$93*'Plan mensual'!F85+parametros_recargas!$F$93*'Plan mensual'!F86+parametros_recargas!$G$93*'Plan mensual'!F87+parametros_recargas!$H$93*'Plan mensual'!F88+parametros_recargas!$I$93*'Plan mensual'!F89+parametros_recargas!$J$93*'Plan mensual'!F90+parametros_recargas!$K$93*'Plan mensual'!F91+parametros_recargas!$L$93*'Plan mensual'!F92</f>
        <v>3248.47039319388</v>
      </c>
      <c r="E87" s="23" t="n">
        <f aca="false">parametros_recargas!$E$93*'Plan mensual'!G85+parametros_recargas!$F$93*'Plan mensual'!G86+parametros_recargas!$G$93*'Plan mensual'!G87+parametros_recargas!$H$93*'Plan mensual'!G88+parametros_recargas!$I$93*'Plan mensual'!G89+parametros_recargas!$J$93*'Plan mensual'!G90+parametros_recargas!$K$93*'Plan mensual'!G91+parametros_recargas!$L$93*'Plan mensual'!G92</f>
        <v>3248.47039319388</v>
      </c>
      <c r="F87" s="23" t="n">
        <f aca="false">parametros_recargas!$E$93*'Plan mensual'!H85+parametros_recargas!$F$93*'Plan mensual'!H86+parametros_recargas!$G$93*'Plan mensual'!H87+parametros_recargas!$H$93*'Plan mensual'!H88+parametros_recargas!$I$93*'Plan mensual'!H89+parametros_recargas!$J$93*'Plan mensual'!H90+parametros_recargas!$K$93*'Plan mensual'!H91+parametros_recargas!$L$93*'Plan mensual'!H92</f>
        <v>3248.47039319388</v>
      </c>
      <c r="G87" s="23" t="n">
        <f aca="false">parametros_recargas!$E$93*'Plan mensual'!I85+parametros_recargas!$F$93*'Plan mensual'!I86+parametros_recargas!$G$93*'Plan mensual'!I87+parametros_recargas!$H$93*'Plan mensual'!I88+parametros_recargas!$I$93*'Plan mensual'!I89+parametros_recargas!$J$93*'Plan mensual'!I90+parametros_recargas!$K$93*'Plan mensual'!I91+parametros_recargas!$L$93*'Plan mensual'!I92</f>
        <v>3248.47039319388</v>
      </c>
      <c r="H87" s="23" t="n">
        <f aca="false">parametros_recargas!$E$93*'Plan mensual'!J85+parametros_recargas!$F$93*'Plan mensual'!J86+parametros_recargas!$G$93*'Plan mensual'!J87+parametros_recargas!$H$93*'Plan mensual'!J88+parametros_recargas!$I$93*'Plan mensual'!J89+parametros_recargas!$J$93*'Plan mensual'!J90+parametros_recargas!$K$93*'Plan mensual'!J91+parametros_recargas!$L$93*'Plan mensual'!J92</f>
        <v>3248.47039319388</v>
      </c>
      <c r="I87" s="23" t="n">
        <f aca="false">parametros_recargas!$E$93*'Plan mensual'!K85+parametros_recargas!$F$93*'Plan mensual'!K86+parametros_recargas!$G$93*'Plan mensual'!K87+parametros_recargas!$H$93*'Plan mensual'!K88+parametros_recargas!$I$93*'Plan mensual'!K89+parametros_recargas!$J$93*'Plan mensual'!K90+parametros_recargas!$K$93*'Plan mensual'!K91+parametros_recargas!$L$93*'Plan mensual'!K92</f>
        <v>3248.47039319388</v>
      </c>
      <c r="J87" s="23" t="n">
        <f aca="false">parametros_recargas!$E$93*'Plan mensual'!L85+parametros_recargas!$F$93*'Plan mensual'!L86+parametros_recargas!$G$93*'Plan mensual'!L87+parametros_recargas!$H$93*'Plan mensual'!L88+parametros_recargas!$I$93*'Plan mensual'!L89+parametros_recargas!$J$93*'Plan mensual'!L90+parametros_recargas!$K$93*'Plan mensual'!L91+parametros_recargas!$L$93*'Plan mensual'!L92</f>
        <v>3248.47039319388</v>
      </c>
      <c r="K87" s="23" t="n">
        <f aca="false">parametros_recargas!$E$93*'Plan mensual'!M85+parametros_recargas!$F$93*'Plan mensual'!M86+parametros_recargas!$G$93*'Plan mensual'!M87+parametros_recargas!$H$93*'Plan mensual'!M88+parametros_recargas!$I$93*'Plan mensual'!M89+parametros_recargas!$J$93*'Plan mensual'!M90+parametros_recargas!$K$93*'Plan mensual'!M91+parametros_recargas!$L$93*'Plan mensual'!M92</f>
        <v>3248.47039319388</v>
      </c>
      <c r="L87" s="23" t="n">
        <f aca="false">parametros_recargas!$E$93*'Plan mensual'!N85+parametros_recargas!$F$93*'Plan mensual'!N86+parametros_recargas!$G$93*'Plan mensual'!N87+parametros_recargas!$H$93*'Plan mensual'!N88+parametros_recargas!$I$93*'Plan mensual'!N89+parametros_recargas!$J$93*'Plan mensual'!N90+parametros_recargas!$K$93*'Plan mensual'!N91+parametros_recargas!$L$93*'Plan mensual'!N92</f>
        <v>3248.47039319388</v>
      </c>
      <c r="M87" s="23" t="n">
        <f aca="false">parametros_recargas!$E$93*'Plan mensual'!O85+parametros_recargas!$F$93*'Plan mensual'!O86+parametros_recargas!$G$93*'Plan mensual'!O87+parametros_recargas!$H$93*'Plan mensual'!O88+parametros_recargas!$I$93*'Plan mensual'!O89+parametros_recargas!$J$93*'Plan mensual'!O90+parametros_recargas!$K$93*'Plan mensual'!O91+parametros_recargas!$L$93*'Plan mensual'!O92</f>
        <v>3248.47039319388</v>
      </c>
      <c r="N87" s="7" t="n">
        <f aca="false">SUM(B87:M87)</f>
        <v>38981.6447183266</v>
      </c>
      <c r="O87" s="24" t="n">
        <f aca="false">MAX(B87:M87)</f>
        <v>3248.47039319388</v>
      </c>
      <c r="P87" s="15" t="n">
        <f aca="false">O87/parametros_recargas!$B$6</f>
        <v>21.6564692879592</v>
      </c>
    </row>
    <row r="88" customFormat="false" ht="15" hidden="false" customHeight="false" outlineLevel="0" collapsed="false">
      <c r="A88" s="12" t="str">
        <f aca="false">parametros_recargas!$B$94</f>
        <v>Ensamblaje y presurización — zona general</v>
      </c>
      <c r="B88" s="23" t="n">
        <f aca="false">parametros_recargas!$E$94*'Plan mensual'!D85+parametros_recargas!$F$94*'Plan mensual'!D86+parametros_recargas!$G$94*'Plan mensual'!D87+parametros_recargas!$H$94*'Plan mensual'!D88+parametros_recargas!$I$94*'Plan mensual'!D89+parametros_recargas!$J$94*'Plan mensual'!D90+parametros_recargas!$K$94*'Plan mensual'!D91+parametros_recargas!$L$94*'Plan mensual'!D92</f>
        <v>262.998030266468</v>
      </c>
      <c r="C88" s="23" t="n">
        <f aca="false">parametros_recargas!$E$94*'Plan mensual'!E85+parametros_recargas!$F$94*'Plan mensual'!E86+parametros_recargas!$G$94*'Plan mensual'!E87+parametros_recargas!$H$94*'Plan mensual'!E88+parametros_recargas!$I$94*'Plan mensual'!E89+parametros_recargas!$J$94*'Plan mensual'!E90+parametros_recargas!$K$94*'Plan mensual'!E91+parametros_recargas!$L$94*'Plan mensual'!E92</f>
        <v>262.998030266468</v>
      </c>
      <c r="D88" s="23" t="n">
        <f aca="false">parametros_recargas!$E$94*'Plan mensual'!F85+parametros_recargas!$F$94*'Plan mensual'!F86+parametros_recargas!$G$94*'Plan mensual'!F87+parametros_recargas!$H$94*'Plan mensual'!F88+parametros_recargas!$I$94*'Plan mensual'!F89+parametros_recargas!$J$94*'Plan mensual'!F90+parametros_recargas!$K$94*'Plan mensual'!F91+parametros_recargas!$L$94*'Plan mensual'!F92</f>
        <v>262.998030266468</v>
      </c>
      <c r="E88" s="23" t="n">
        <f aca="false">parametros_recargas!$E$94*'Plan mensual'!G85+parametros_recargas!$F$94*'Plan mensual'!G86+parametros_recargas!$G$94*'Plan mensual'!G87+parametros_recargas!$H$94*'Plan mensual'!G88+parametros_recargas!$I$94*'Plan mensual'!G89+parametros_recargas!$J$94*'Plan mensual'!G90+parametros_recargas!$K$94*'Plan mensual'!G91+parametros_recargas!$L$94*'Plan mensual'!G92</f>
        <v>262.998030266468</v>
      </c>
      <c r="F88" s="23" t="n">
        <f aca="false">parametros_recargas!$E$94*'Plan mensual'!H85+parametros_recargas!$F$94*'Plan mensual'!H86+parametros_recargas!$G$94*'Plan mensual'!H87+parametros_recargas!$H$94*'Plan mensual'!H88+parametros_recargas!$I$94*'Plan mensual'!H89+parametros_recargas!$J$94*'Plan mensual'!H90+parametros_recargas!$K$94*'Plan mensual'!H91+parametros_recargas!$L$94*'Plan mensual'!H92</f>
        <v>262.998030266468</v>
      </c>
      <c r="G88" s="23" t="n">
        <f aca="false">parametros_recargas!$E$94*'Plan mensual'!I85+parametros_recargas!$F$94*'Plan mensual'!I86+parametros_recargas!$G$94*'Plan mensual'!I87+parametros_recargas!$H$94*'Plan mensual'!I88+parametros_recargas!$I$94*'Plan mensual'!I89+parametros_recargas!$J$94*'Plan mensual'!I90+parametros_recargas!$K$94*'Plan mensual'!I91+parametros_recargas!$L$94*'Plan mensual'!I92</f>
        <v>262.998030266468</v>
      </c>
      <c r="H88" s="23" t="n">
        <f aca="false">parametros_recargas!$E$94*'Plan mensual'!J85+parametros_recargas!$F$94*'Plan mensual'!J86+parametros_recargas!$G$94*'Plan mensual'!J87+parametros_recargas!$H$94*'Plan mensual'!J88+parametros_recargas!$I$94*'Plan mensual'!J89+parametros_recargas!$J$94*'Plan mensual'!J90+parametros_recargas!$K$94*'Plan mensual'!J91+parametros_recargas!$L$94*'Plan mensual'!J92</f>
        <v>262.998030266468</v>
      </c>
      <c r="I88" s="23" t="n">
        <f aca="false">parametros_recargas!$E$94*'Plan mensual'!K85+parametros_recargas!$F$94*'Plan mensual'!K86+parametros_recargas!$G$94*'Plan mensual'!K87+parametros_recargas!$H$94*'Plan mensual'!K88+parametros_recargas!$I$94*'Plan mensual'!K89+parametros_recargas!$J$94*'Plan mensual'!K90+parametros_recargas!$K$94*'Plan mensual'!K91+parametros_recargas!$L$94*'Plan mensual'!K92</f>
        <v>262.998030266468</v>
      </c>
      <c r="J88" s="23" t="n">
        <f aca="false">parametros_recargas!$E$94*'Plan mensual'!L85+parametros_recargas!$F$94*'Plan mensual'!L86+parametros_recargas!$G$94*'Plan mensual'!L87+parametros_recargas!$H$94*'Plan mensual'!L88+parametros_recargas!$I$94*'Plan mensual'!L89+parametros_recargas!$J$94*'Plan mensual'!L90+parametros_recargas!$K$94*'Plan mensual'!L91+parametros_recargas!$L$94*'Plan mensual'!L92</f>
        <v>262.998030266468</v>
      </c>
      <c r="K88" s="23" t="n">
        <f aca="false">parametros_recargas!$E$94*'Plan mensual'!M85+parametros_recargas!$F$94*'Plan mensual'!M86+parametros_recargas!$G$94*'Plan mensual'!M87+parametros_recargas!$H$94*'Plan mensual'!M88+parametros_recargas!$I$94*'Plan mensual'!M89+parametros_recargas!$J$94*'Plan mensual'!M90+parametros_recargas!$K$94*'Plan mensual'!M91+parametros_recargas!$L$94*'Plan mensual'!M92</f>
        <v>262.998030266468</v>
      </c>
      <c r="L88" s="23" t="n">
        <f aca="false">parametros_recargas!$E$94*'Plan mensual'!N85+parametros_recargas!$F$94*'Plan mensual'!N86+parametros_recargas!$G$94*'Plan mensual'!N87+parametros_recargas!$H$94*'Plan mensual'!N88+parametros_recargas!$I$94*'Plan mensual'!N89+parametros_recargas!$J$94*'Plan mensual'!N90+parametros_recargas!$K$94*'Plan mensual'!N91+parametros_recargas!$L$94*'Plan mensual'!N92</f>
        <v>262.998030266468</v>
      </c>
      <c r="M88" s="23" t="n">
        <f aca="false">parametros_recargas!$E$94*'Plan mensual'!O85+parametros_recargas!$F$94*'Plan mensual'!O86+parametros_recargas!$G$94*'Plan mensual'!O87+parametros_recargas!$H$94*'Plan mensual'!O88+parametros_recargas!$I$94*'Plan mensual'!O89+parametros_recargas!$J$94*'Plan mensual'!O90+parametros_recargas!$K$94*'Plan mensual'!O91+parametros_recargas!$L$94*'Plan mensual'!O92</f>
        <v>262.998030266468</v>
      </c>
      <c r="N88" s="7" t="n">
        <f aca="false">SUM(B88:M88)</f>
        <v>3155.97636319762</v>
      </c>
      <c r="O88" s="24" t="n">
        <f aca="false">MAX(B88:M88)</f>
        <v>262.998030266468</v>
      </c>
      <c r="P88" s="15" t="n">
        <f aca="false">O88/parametros_recargas!$B$6</f>
        <v>1.75332020177646</v>
      </c>
    </row>
    <row r="89" customFormat="false" ht="15" hidden="false" customHeight="false" outlineLevel="0" collapsed="false">
      <c r="A89" s="12" t="str">
        <f aca="false">parametros_recargas!$B$95</f>
        <v>Carga y presurización de halogenado</v>
      </c>
      <c r="B89" s="23" t="n">
        <f aca="false">parametros_recargas!$E$95*'Plan mensual'!D85+parametros_recargas!$F$95*'Plan mensual'!D86+parametros_recargas!$G$95*'Plan mensual'!D87+parametros_recargas!$H$95*'Plan mensual'!D88+parametros_recargas!$I$95*'Plan mensual'!D89+parametros_recargas!$J$95*'Plan mensual'!D90+parametros_recargas!$K$95*'Plan mensual'!D91+parametros_recargas!$L$95*'Plan mensual'!D92</f>
        <v>3.44403081080252</v>
      </c>
      <c r="C89" s="23" t="n">
        <f aca="false">parametros_recargas!$E$95*'Plan mensual'!E85+parametros_recargas!$F$95*'Plan mensual'!E86+parametros_recargas!$G$95*'Plan mensual'!E87+parametros_recargas!$H$95*'Plan mensual'!E88+parametros_recargas!$I$95*'Plan mensual'!E89+parametros_recargas!$J$95*'Plan mensual'!E90+parametros_recargas!$K$95*'Plan mensual'!E91+parametros_recargas!$L$95*'Plan mensual'!E92</f>
        <v>3.44403081080252</v>
      </c>
      <c r="D89" s="23" t="n">
        <f aca="false">parametros_recargas!$E$95*'Plan mensual'!F85+parametros_recargas!$F$95*'Plan mensual'!F86+parametros_recargas!$G$95*'Plan mensual'!F87+parametros_recargas!$H$95*'Plan mensual'!F88+parametros_recargas!$I$95*'Plan mensual'!F89+parametros_recargas!$J$95*'Plan mensual'!F90+parametros_recargas!$K$95*'Plan mensual'!F91+parametros_recargas!$L$95*'Plan mensual'!F92</f>
        <v>3.44403081080252</v>
      </c>
      <c r="E89" s="23" t="n">
        <f aca="false">parametros_recargas!$E$95*'Plan mensual'!G85+parametros_recargas!$F$95*'Plan mensual'!G86+parametros_recargas!$G$95*'Plan mensual'!G87+parametros_recargas!$H$95*'Plan mensual'!G88+parametros_recargas!$I$95*'Plan mensual'!G89+parametros_recargas!$J$95*'Plan mensual'!G90+parametros_recargas!$K$95*'Plan mensual'!G91+parametros_recargas!$L$95*'Plan mensual'!G92</f>
        <v>3.44403081080252</v>
      </c>
      <c r="F89" s="23" t="n">
        <f aca="false">parametros_recargas!$E$95*'Plan mensual'!H85+parametros_recargas!$F$95*'Plan mensual'!H86+parametros_recargas!$G$95*'Plan mensual'!H87+parametros_recargas!$H$95*'Plan mensual'!H88+parametros_recargas!$I$95*'Plan mensual'!H89+parametros_recargas!$J$95*'Plan mensual'!H90+parametros_recargas!$K$95*'Plan mensual'!H91+parametros_recargas!$L$95*'Plan mensual'!H92</f>
        <v>3.44403081080252</v>
      </c>
      <c r="G89" s="23" t="n">
        <f aca="false">parametros_recargas!$E$95*'Plan mensual'!I85+parametros_recargas!$F$95*'Plan mensual'!I86+parametros_recargas!$G$95*'Plan mensual'!I87+parametros_recargas!$H$95*'Plan mensual'!I88+parametros_recargas!$I$95*'Plan mensual'!I89+parametros_recargas!$J$95*'Plan mensual'!I90+parametros_recargas!$K$95*'Plan mensual'!I91+parametros_recargas!$L$95*'Plan mensual'!I92</f>
        <v>3.44403081080252</v>
      </c>
      <c r="H89" s="23" t="n">
        <f aca="false">parametros_recargas!$E$95*'Plan mensual'!J85+parametros_recargas!$F$95*'Plan mensual'!J86+parametros_recargas!$G$95*'Plan mensual'!J87+parametros_recargas!$H$95*'Plan mensual'!J88+parametros_recargas!$I$95*'Plan mensual'!J89+parametros_recargas!$J$95*'Plan mensual'!J90+parametros_recargas!$K$95*'Plan mensual'!J91+parametros_recargas!$L$95*'Plan mensual'!J92</f>
        <v>3.44403081080252</v>
      </c>
      <c r="I89" s="23" t="n">
        <f aca="false">parametros_recargas!$E$95*'Plan mensual'!K85+parametros_recargas!$F$95*'Plan mensual'!K86+parametros_recargas!$G$95*'Plan mensual'!K87+parametros_recargas!$H$95*'Plan mensual'!K88+parametros_recargas!$I$95*'Plan mensual'!K89+parametros_recargas!$J$95*'Plan mensual'!K90+parametros_recargas!$K$95*'Plan mensual'!K91+parametros_recargas!$L$95*'Plan mensual'!K92</f>
        <v>3.44403081080252</v>
      </c>
      <c r="J89" s="23" t="n">
        <f aca="false">parametros_recargas!$E$95*'Plan mensual'!L85+parametros_recargas!$F$95*'Plan mensual'!L86+parametros_recargas!$G$95*'Plan mensual'!L87+parametros_recargas!$H$95*'Plan mensual'!L88+parametros_recargas!$I$95*'Plan mensual'!L89+parametros_recargas!$J$95*'Plan mensual'!L90+parametros_recargas!$K$95*'Plan mensual'!L91+parametros_recargas!$L$95*'Plan mensual'!L92</f>
        <v>3.44403081080252</v>
      </c>
      <c r="K89" s="23" t="n">
        <f aca="false">parametros_recargas!$E$95*'Plan mensual'!M85+parametros_recargas!$F$95*'Plan mensual'!M86+parametros_recargas!$G$95*'Plan mensual'!M87+parametros_recargas!$H$95*'Plan mensual'!M88+parametros_recargas!$I$95*'Plan mensual'!M89+parametros_recargas!$J$95*'Plan mensual'!M90+parametros_recargas!$K$95*'Plan mensual'!M91+parametros_recargas!$L$95*'Plan mensual'!M92</f>
        <v>3.44403081080252</v>
      </c>
      <c r="L89" s="23" t="n">
        <f aca="false">parametros_recargas!$E$95*'Plan mensual'!N85+parametros_recargas!$F$95*'Plan mensual'!N86+parametros_recargas!$G$95*'Plan mensual'!N87+parametros_recargas!$H$95*'Plan mensual'!N88+parametros_recargas!$I$95*'Plan mensual'!N89+parametros_recargas!$J$95*'Plan mensual'!N90+parametros_recargas!$K$95*'Plan mensual'!N91+parametros_recargas!$L$95*'Plan mensual'!N92</f>
        <v>3.44403081080252</v>
      </c>
      <c r="M89" s="23" t="n">
        <f aca="false">parametros_recargas!$E$95*'Plan mensual'!O85+parametros_recargas!$F$95*'Plan mensual'!O86+parametros_recargas!$G$95*'Plan mensual'!O87+parametros_recargas!$H$95*'Plan mensual'!O88+parametros_recargas!$I$95*'Plan mensual'!O89+parametros_recargas!$J$95*'Plan mensual'!O90+parametros_recargas!$K$95*'Plan mensual'!O91+parametros_recargas!$L$95*'Plan mensual'!O92</f>
        <v>3.44403081080252</v>
      </c>
      <c r="N89" s="7" t="n">
        <f aca="false">SUM(B89:M89)</f>
        <v>41.3283697296302</v>
      </c>
      <c r="O89" s="24" t="n">
        <f aca="false">MAX(B89:M89)</f>
        <v>3.44403081080252</v>
      </c>
      <c r="P89" s="15" t="n">
        <f aca="false">O89/parametros_recargas!$B$6</f>
        <v>0.0229602054053501</v>
      </c>
    </row>
    <row r="90" customFormat="false" ht="15" hidden="false" customHeight="false" outlineLevel="0" collapsed="false">
      <c r="A90" s="12" t="str">
        <f aca="false">parametros_recargas!$B$96</f>
        <v>Control de peso (CO₂ y halogenados sin recarga)</v>
      </c>
      <c r="B90" s="23" t="n">
        <f aca="false">parametros_recargas!$E$96*'Plan mensual'!D85+parametros_recargas!$F$96*'Plan mensual'!D86+parametros_recargas!$G$96*'Plan mensual'!D87+parametros_recargas!$H$96*'Plan mensual'!D88+parametros_recargas!$I$96*'Plan mensual'!D89+parametros_recargas!$J$96*'Plan mensual'!D90+parametros_recargas!$K$96*'Plan mensual'!D91+parametros_recargas!$L$96*'Plan mensual'!D92</f>
        <v>232.073753435474</v>
      </c>
      <c r="C90" s="23" t="n">
        <f aca="false">parametros_recargas!$E$96*'Plan mensual'!E85+parametros_recargas!$F$96*'Plan mensual'!E86+parametros_recargas!$G$96*'Plan mensual'!E87+parametros_recargas!$H$96*'Plan mensual'!E88+parametros_recargas!$I$96*'Plan mensual'!E89+parametros_recargas!$J$96*'Plan mensual'!E90+parametros_recargas!$K$96*'Plan mensual'!E91+parametros_recargas!$L$96*'Plan mensual'!E92</f>
        <v>232.073753435474</v>
      </c>
      <c r="D90" s="23" t="n">
        <f aca="false">parametros_recargas!$E$96*'Plan mensual'!F85+parametros_recargas!$F$96*'Plan mensual'!F86+parametros_recargas!$G$96*'Plan mensual'!F87+parametros_recargas!$H$96*'Plan mensual'!F88+parametros_recargas!$I$96*'Plan mensual'!F89+parametros_recargas!$J$96*'Plan mensual'!F90+parametros_recargas!$K$96*'Plan mensual'!F91+parametros_recargas!$L$96*'Plan mensual'!F92</f>
        <v>232.073753435474</v>
      </c>
      <c r="E90" s="23" t="n">
        <f aca="false">parametros_recargas!$E$96*'Plan mensual'!G85+parametros_recargas!$F$96*'Plan mensual'!G86+parametros_recargas!$G$96*'Plan mensual'!G87+parametros_recargas!$H$96*'Plan mensual'!G88+parametros_recargas!$I$96*'Plan mensual'!G89+parametros_recargas!$J$96*'Plan mensual'!G90+parametros_recargas!$K$96*'Plan mensual'!G91+parametros_recargas!$L$96*'Plan mensual'!G92</f>
        <v>232.073753435474</v>
      </c>
      <c r="F90" s="23" t="n">
        <f aca="false">parametros_recargas!$E$96*'Plan mensual'!H85+parametros_recargas!$F$96*'Plan mensual'!H86+parametros_recargas!$G$96*'Plan mensual'!H87+parametros_recargas!$H$96*'Plan mensual'!H88+parametros_recargas!$I$96*'Plan mensual'!H89+parametros_recargas!$J$96*'Plan mensual'!H90+parametros_recargas!$K$96*'Plan mensual'!H91+parametros_recargas!$L$96*'Plan mensual'!H92</f>
        <v>232.073753435474</v>
      </c>
      <c r="G90" s="23" t="n">
        <f aca="false">parametros_recargas!$E$96*'Plan mensual'!I85+parametros_recargas!$F$96*'Plan mensual'!I86+parametros_recargas!$G$96*'Plan mensual'!I87+parametros_recargas!$H$96*'Plan mensual'!I88+parametros_recargas!$I$96*'Plan mensual'!I89+parametros_recargas!$J$96*'Plan mensual'!I90+parametros_recargas!$K$96*'Plan mensual'!I91+parametros_recargas!$L$96*'Plan mensual'!I92</f>
        <v>232.073753435474</v>
      </c>
      <c r="H90" s="23" t="n">
        <f aca="false">parametros_recargas!$E$96*'Plan mensual'!J85+parametros_recargas!$F$96*'Plan mensual'!J86+parametros_recargas!$G$96*'Plan mensual'!J87+parametros_recargas!$H$96*'Plan mensual'!J88+parametros_recargas!$I$96*'Plan mensual'!J89+parametros_recargas!$J$96*'Plan mensual'!J90+parametros_recargas!$K$96*'Plan mensual'!J91+parametros_recargas!$L$96*'Plan mensual'!J92</f>
        <v>232.073753435474</v>
      </c>
      <c r="I90" s="23" t="n">
        <f aca="false">parametros_recargas!$E$96*'Plan mensual'!K85+parametros_recargas!$F$96*'Plan mensual'!K86+parametros_recargas!$G$96*'Plan mensual'!K87+parametros_recargas!$H$96*'Plan mensual'!K88+parametros_recargas!$I$96*'Plan mensual'!K89+parametros_recargas!$J$96*'Plan mensual'!K90+parametros_recargas!$K$96*'Plan mensual'!K91+parametros_recargas!$L$96*'Plan mensual'!K92</f>
        <v>232.073753435474</v>
      </c>
      <c r="J90" s="23" t="n">
        <f aca="false">parametros_recargas!$E$96*'Plan mensual'!L85+parametros_recargas!$F$96*'Plan mensual'!L86+parametros_recargas!$G$96*'Plan mensual'!L87+parametros_recargas!$H$96*'Plan mensual'!L88+parametros_recargas!$I$96*'Plan mensual'!L89+parametros_recargas!$J$96*'Plan mensual'!L90+parametros_recargas!$K$96*'Plan mensual'!L91+parametros_recargas!$L$96*'Plan mensual'!L92</f>
        <v>232.073753435474</v>
      </c>
      <c r="K90" s="23" t="n">
        <f aca="false">parametros_recargas!$E$96*'Plan mensual'!M85+parametros_recargas!$F$96*'Plan mensual'!M86+parametros_recargas!$G$96*'Plan mensual'!M87+parametros_recargas!$H$96*'Plan mensual'!M88+parametros_recargas!$I$96*'Plan mensual'!M89+parametros_recargas!$J$96*'Plan mensual'!M90+parametros_recargas!$K$96*'Plan mensual'!M91+parametros_recargas!$L$96*'Plan mensual'!M92</f>
        <v>232.073753435474</v>
      </c>
      <c r="L90" s="23" t="n">
        <f aca="false">parametros_recargas!$E$96*'Plan mensual'!N85+parametros_recargas!$F$96*'Plan mensual'!N86+parametros_recargas!$G$96*'Plan mensual'!N87+parametros_recargas!$H$96*'Plan mensual'!N88+parametros_recargas!$I$96*'Plan mensual'!N89+parametros_recargas!$J$96*'Plan mensual'!N90+parametros_recargas!$K$96*'Plan mensual'!N91+parametros_recargas!$L$96*'Plan mensual'!N92</f>
        <v>232.073753435474</v>
      </c>
      <c r="M90" s="23" t="n">
        <f aca="false">parametros_recargas!$E$96*'Plan mensual'!O85+parametros_recargas!$F$96*'Plan mensual'!O86+parametros_recargas!$G$96*'Plan mensual'!O87+parametros_recargas!$H$96*'Plan mensual'!O88+parametros_recargas!$I$96*'Plan mensual'!O89+parametros_recargas!$J$96*'Plan mensual'!O90+parametros_recargas!$K$96*'Plan mensual'!O91+parametros_recargas!$L$96*'Plan mensual'!O92</f>
        <v>232.073753435474</v>
      </c>
      <c r="N90" s="7" t="n">
        <f aca="false">SUM(B90:M90)</f>
        <v>2784.88504122569</v>
      </c>
      <c r="O90" s="24" t="n">
        <f aca="false">MAX(B90:M90)</f>
        <v>232.073753435474</v>
      </c>
      <c r="P90" s="15" t="n">
        <f aca="false">O90/parametros_recargas!$B$6</f>
        <v>1.54715835623649</v>
      </c>
    </row>
    <row r="91" customFormat="false" ht="15" hidden="false" customHeight="false" outlineLevel="0" collapsed="false">
      <c r="A91" s="12" t="str">
        <f aca="false">parametros_recargas!$B$97</f>
        <v>Ensayo de pérdidas</v>
      </c>
      <c r="B91" s="23" t="n">
        <f aca="false">parametros_recargas!$E$97*'Plan mensual'!D85+parametros_recargas!$F$97*'Plan mensual'!D86+parametros_recargas!$G$97*'Plan mensual'!D87+parametros_recargas!$H$97*'Plan mensual'!D88+parametros_recargas!$I$97*'Plan mensual'!D89+parametros_recargas!$J$97*'Plan mensual'!D90+parametros_recargas!$K$97*'Plan mensual'!D91+parametros_recargas!$L$97*'Plan mensual'!D92</f>
        <v>3759.38086696747</v>
      </c>
      <c r="C91" s="23" t="n">
        <f aca="false">parametros_recargas!$E$97*'Plan mensual'!E85+parametros_recargas!$F$97*'Plan mensual'!E86+parametros_recargas!$G$97*'Plan mensual'!E87+parametros_recargas!$H$97*'Plan mensual'!E88+parametros_recargas!$I$97*'Plan mensual'!E89+parametros_recargas!$J$97*'Plan mensual'!E90+parametros_recargas!$K$97*'Plan mensual'!E91+parametros_recargas!$L$97*'Plan mensual'!E92</f>
        <v>3759.38086696747</v>
      </c>
      <c r="D91" s="23" t="n">
        <f aca="false">parametros_recargas!$E$97*'Plan mensual'!F85+parametros_recargas!$F$97*'Plan mensual'!F86+parametros_recargas!$G$97*'Plan mensual'!F87+parametros_recargas!$H$97*'Plan mensual'!F88+parametros_recargas!$I$97*'Plan mensual'!F89+parametros_recargas!$J$97*'Plan mensual'!F90+parametros_recargas!$K$97*'Plan mensual'!F91+parametros_recargas!$L$97*'Plan mensual'!F92</f>
        <v>3759.38086696747</v>
      </c>
      <c r="E91" s="23" t="n">
        <f aca="false">parametros_recargas!$E$97*'Plan mensual'!G85+parametros_recargas!$F$97*'Plan mensual'!G86+parametros_recargas!$G$97*'Plan mensual'!G87+parametros_recargas!$H$97*'Plan mensual'!G88+parametros_recargas!$I$97*'Plan mensual'!G89+parametros_recargas!$J$97*'Plan mensual'!G90+parametros_recargas!$K$97*'Plan mensual'!G91+parametros_recargas!$L$97*'Plan mensual'!G92</f>
        <v>3759.38086696747</v>
      </c>
      <c r="F91" s="23" t="n">
        <f aca="false">parametros_recargas!$E$97*'Plan mensual'!H85+parametros_recargas!$F$97*'Plan mensual'!H86+parametros_recargas!$G$97*'Plan mensual'!H87+parametros_recargas!$H$97*'Plan mensual'!H88+parametros_recargas!$I$97*'Plan mensual'!H89+parametros_recargas!$J$97*'Plan mensual'!H90+parametros_recargas!$K$97*'Plan mensual'!H91+parametros_recargas!$L$97*'Plan mensual'!H92</f>
        <v>3759.38086696747</v>
      </c>
      <c r="G91" s="23" t="n">
        <f aca="false">parametros_recargas!$E$97*'Plan mensual'!I85+parametros_recargas!$F$97*'Plan mensual'!I86+parametros_recargas!$G$97*'Plan mensual'!I87+parametros_recargas!$H$97*'Plan mensual'!I88+parametros_recargas!$I$97*'Plan mensual'!I89+parametros_recargas!$J$97*'Plan mensual'!I90+parametros_recargas!$K$97*'Plan mensual'!I91+parametros_recargas!$L$97*'Plan mensual'!I92</f>
        <v>3759.38086696747</v>
      </c>
      <c r="H91" s="23" t="n">
        <f aca="false">parametros_recargas!$E$97*'Plan mensual'!J85+parametros_recargas!$F$97*'Plan mensual'!J86+parametros_recargas!$G$97*'Plan mensual'!J87+parametros_recargas!$H$97*'Plan mensual'!J88+parametros_recargas!$I$97*'Plan mensual'!J89+parametros_recargas!$J$97*'Plan mensual'!J90+parametros_recargas!$K$97*'Plan mensual'!J91+parametros_recargas!$L$97*'Plan mensual'!J92</f>
        <v>3759.38086696747</v>
      </c>
      <c r="I91" s="23" t="n">
        <f aca="false">parametros_recargas!$E$97*'Plan mensual'!K85+parametros_recargas!$F$97*'Plan mensual'!K86+parametros_recargas!$G$97*'Plan mensual'!K87+parametros_recargas!$H$97*'Plan mensual'!K88+parametros_recargas!$I$97*'Plan mensual'!K89+parametros_recargas!$J$97*'Plan mensual'!K90+parametros_recargas!$K$97*'Plan mensual'!K91+parametros_recargas!$L$97*'Plan mensual'!K92</f>
        <v>3759.38086696747</v>
      </c>
      <c r="J91" s="23" t="n">
        <f aca="false">parametros_recargas!$E$97*'Plan mensual'!L85+parametros_recargas!$F$97*'Plan mensual'!L86+parametros_recargas!$G$97*'Plan mensual'!L87+parametros_recargas!$H$97*'Plan mensual'!L88+parametros_recargas!$I$97*'Plan mensual'!L89+parametros_recargas!$J$97*'Plan mensual'!L90+parametros_recargas!$K$97*'Plan mensual'!L91+parametros_recargas!$L$97*'Plan mensual'!L92</f>
        <v>3759.38086696747</v>
      </c>
      <c r="K91" s="23" t="n">
        <f aca="false">parametros_recargas!$E$97*'Plan mensual'!M85+parametros_recargas!$F$97*'Plan mensual'!M86+parametros_recargas!$G$97*'Plan mensual'!M87+parametros_recargas!$H$97*'Plan mensual'!M88+parametros_recargas!$I$97*'Plan mensual'!M89+parametros_recargas!$J$97*'Plan mensual'!M90+parametros_recargas!$K$97*'Plan mensual'!M91+parametros_recargas!$L$97*'Plan mensual'!M92</f>
        <v>3759.38086696747</v>
      </c>
      <c r="L91" s="23" t="n">
        <f aca="false">parametros_recargas!$E$97*'Plan mensual'!N85+parametros_recargas!$F$97*'Plan mensual'!N86+parametros_recargas!$G$97*'Plan mensual'!N87+parametros_recargas!$H$97*'Plan mensual'!N88+parametros_recargas!$I$97*'Plan mensual'!N89+parametros_recargas!$J$97*'Plan mensual'!N90+parametros_recargas!$K$97*'Plan mensual'!N91+parametros_recargas!$L$97*'Plan mensual'!N92</f>
        <v>3759.38086696747</v>
      </c>
      <c r="M91" s="23" t="n">
        <f aca="false">parametros_recargas!$E$97*'Plan mensual'!O85+parametros_recargas!$F$97*'Plan mensual'!O86+parametros_recargas!$G$97*'Plan mensual'!O87+parametros_recargas!$H$97*'Plan mensual'!O88+parametros_recargas!$I$97*'Plan mensual'!O89+parametros_recargas!$J$97*'Plan mensual'!O90+parametros_recargas!$K$97*'Plan mensual'!O91+parametros_recargas!$L$97*'Plan mensual'!O92</f>
        <v>3759.38086696747</v>
      </c>
      <c r="N91" s="7" t="n">
        <f aca="false">SUM(B91:M91)</f>
        <v>45112.5704036096</v>
      </c>
      <c r="O91" s="24" t="n">
        <f aca="false">MAX(B91:M91)</f>
        <v>3759.38086696747</v>
      </c>
      <c r="P91" s="15" t="n">
        <f aca="false">O91/parametros_recargas!$B$6</f>
        <v>25.0625391131165</v>
      </c>
    </row>
    <row r="92" customFormat="false" ht="15" hidden="false" customHeight="false" outlineLevel="0" collapsed="false">
      <c r="A92" s="12" t="str">
        <f aca="false">parametros_recargas!$B$98</f>
        <v>Precinto, etiqueta y despacho</v>
      </c>
      <c r="B92" s="23" t="n">
        <f aca="false">parametros_recargas!$E$98*'Plan mensual'!D85+parametros_recargas!$F$98*'Plan mensual'!D86+parametros_recargas!$G$98*'Plan mensual'!D87+parametros_recargas!$H$98*'Plan mensual'!D88+parametros_recargas!$I$98*'Plan mensual'!D89+parametros_recargas!$J$98*'Plan mensual'!D90+parametros_recargas!$K$98*'Plan mensual'!D91+parametros_recargas!$L$98*'Plan mensual'!D92</f>
        <v>3759.38086696747</v>
      </c>
      <c r="C92" s="23" t="n">
        <f aca="false">parametros_recargas!$E$98*'Plan mensual'!E85+parametros_recargas!$F$98*'Plan mensual'!E86+parametros_recargas!$G$98*'Plan mensual'!E87+parametros_recargas!$H$98*'Plan mensual'!E88+parametros_recargas!$I$98*'Plan mensual'!E89+parametros_recargas!$J$98*'Plan mensual'!E90+parametros_recargas!$K$98*'Plan mensual'!E91+parametros_recargas!$L$98*'Plan mensual'!E92</f>
        <v>3759.38086696747</v>
      </c>
      <c r="D92" s="23" t="n">
        <f aca="false">parametros_recargas!$E$98*'Plan mensual'!F85+parametros_recargas!$F$98*'Plan mensual'!F86+parametros_recargas!$G$98*'Plan mensual'!F87+parametros_recargas!$H$98*'Plan mensual'!F88+parametros_recargas!$I$98*'Plan mensual'!F89+parametros_recargas!$J$98*'Plan mensual'!F90+parametros_recargas!$K$98*'Plan mensual'!F91+parametros_recargas!$L$98*'Plan mensual'!F92</f>
        <v>3759.38086696747</v>
      </c>
      <c r="E92" s="23" t="n">
        <f aca="false">parametros_recargas!$E$98*'Plan mensual'!G85+parametros_recargas!$F$98*'Plan mensual'!G86+parametros_recargas!$G$98*'Plan mensual'!G87+parametros_recargas!$H$98*'Plan mensual'!G88+parametros_recargas!$I$98*'Plan mensual'!G89+parametros_recargas!$J$98*'Plan mensual'!G90+parametros_recargas!$K$98*'Plan mensual'!G91+parametros_recargas!$L$98*'Plan mensual'!G92</f>
        <v>3759.38086696747</v>
      </c>
      <c r="F92" s="23" t="n">
        <f aca="false">parametros_recargas!$E$98*'Plan mensual'!H85+parametros_recargas!$F$98*'Plan mensual'!H86+parametros_recargas!$G$98*'Plan mensual'!H87+parametros_recargas!$H$98*'Plan mensual'!H88+parametros_recargas!$I$98*'Plan mensual'!H89+parametros_recargas!$J$98*'Plan mensual'!H90+parametros_recargas!$K$98*'Plan mensual'!H91+parametros_recargas!$L$98*'Plan mensual'!H92</f>
        <v>3759.38086696747</v>
      </c>
      <c r="G92" s="23" t="n">
        <f aca="false">parametros_recargas!$E$98*'Plan mensual'!I85+parametros_recargas!$F$98*'Plan mensual'!I86+parametros_recargas!$G$98*'Plan mensual'!I87+parametros_recargas!$H$98*'Plan mensual'!I88+parametros_recargas!$I$98*'Plan mensual'!I89+parametros_recargas!$J$98*'Plan mensual'!I90+parametros_recargas!$K$98*'Plan mensual'!I91+parametros_recargas!$L$98*'Plan mensual'!I92</f>
        <v>3759.38086696747</v>
      </c>
      <c r="H92" s="23" t="n">
        <f aca="false">parametros_recargas!$E$98*'Plan mensual'!J85+parametros_recargas!$F$98*'Plan mensual'!J86+parametros_recargas!$G$98*'Plan mensual'!J87+parametros_recargas!$H$98*'Plan mensual'!J88+parametros_recargas!$I$98*'Plan mensual'!J89+parametros_recargas!$J$98*'Plan mensual'!J90+parametros_recargas!$K$98*'Plan mensual'!J91+parametros_recargas!$L$98*'Plan mensual'!J92</f>
        <v>3759.38086696747</v>
      </c>
      <c r="I92" s="23" t="n">
        <f aca="false">parametros_recargas!$E$98*'Plan mensual'!K85+parametros_recargas!$F$98*'Plan mensual'!K86+parametros_recargas!$G$98*'Plan mensual'!K87+parametros_recargas!$H$98*'Plan mensual'!K88+parametros_recargas!$I$98*'Plan mensual'!K89+parametros_recargas!$J$98*'Plan mensual'!K90+parametros_recargas!$K$98*'Plan mensual'!K91+parametros_recargas!$L$98*'Plan mensual'!K92</f>
        <v>3759.38086696747</v>
      </c>
      <c r="J92" s="23" t="n">
        <f aca="false">parametros_recargas!$E$98*'Plan mensual'!L85+parametros_recargas!$F$98*'Plan mensual'!L86+parametros_recargas!$G$98*'Plan mensual'!L87+parametros_recargas!$H$98*'Plan mensual'!L88+parametros_recargas!$I$98*'Plan mensual'!L89+parametros_recargas!$J$98*'Plan mensual'!L90+parametros_recargas!$K$98*'Plan mensual'!L91+parametros_recargas!$L$98*'Plan mensual'!L92</f>
        <v>3759.38086696747</v>
      </c>
      <c r="K92" s="23" t="n">
        <f aca="false">parametros_recargas!$E$98*'Plan mensual'!M85+parametros_recargas!$F$98*'Plan mensual'!M86+parametros_recargas!$G$98*'Plan mensual'!M87+parametros_recargas!$H$98*'Plan mensual'!M88+parametros_recargas!$I$98*'Plan mensual'!M89+parametros_recargas!$J$98*'Plan mensual'!M90+parametros_recargas!$K$98*'Plan mensual'!M91+parametros_recargas!$L$98*'Plan mensual'!M92</f>
        <v>3759.38086696747</v>
      </c>
      <c r="L92" s="23" t="n">
        <f aca="false">parametros_recargas!$E$98*'Plan mensual'!N85+parametros_recargas!$F$98*'Plan mensual'!N86+parametros_recargas!$G$98*'Plan mensual'!N87+parametros_recargas!$H$98*'Plan mensual'!N88+parametros_recargas!$I$98*'Plan mensual'!N89+parametros_recargas!$J$98*'Plan mensual'!N90+parametros_recargas!$K$98*'Plan mensual'!N91+parametros_recargas!$L$98*'Plan mensual'!N92</f>
        <v>3759.38086696747</v>
      </c>
      <c r="M92" s="23" t="n">
        <f aca="false">parametros_recargas!$E$98*'Plan mensual'!O85+parametros_recargas!$F$98*'Plan mensual'!O86+parametros_recargas!$G$98*'Plan mensual'!O87+parametros_recargas!$H$98*'Plan mensual'!O88+parametros_recargas!$I$98*'Plan mensual'!O89+parametros_recargas!$J$98*'Plan mensual'!O90+parametros_recargas!$K$98*'Plan mensual'!O91+parametros_recargas!$L$98*'Plan mensual'!O92</f>
        <v>3759.38086696747</v>
      </c>
      <c r="N92" s="7" t="n">
        <f aca="false">SUM(B92:M92)</f>
        <v>45112.5704036096</v>
      </c>
      <c r="O92" s="24" t="n">
        <f aca="false">MAX(B92:M92)</f>
        <v>3759.38086696747</v>
      </c>
      <c r="P92" s="15" t="n">
        <f aca="false">O92/parametros_recargas!$B$6</f>
        <v>25.0625391131165</v>
      </c>
    </row>
    <row r="93" customFormat="false" ht="15" hidden="false" customHeight="false" outlineLevel="0" collapsed="false">
      <c r="A93" s="12" t="str">
        <f aca="false">parametros_recargas!$B$99</f>
        <v>Inutilización y disposición final</v>
      </c>
      <c r="B93" s="23" t="n">
        <f aca="false">parametros_recargas!$E$99*'Plan mensual'!D85+parametros_recargas!$F$99*'Plan mensual'!D86+parametros_recargas!$G$99*'Plan mensual'!D87+parametros_recargas!$H$99*'Plan mensual'!D88+parametros_recargas!$I$99*'Plan mensual'!D89+parametros_recargas!$J$99*'Plan mensual'!D90+parametros_recargas!$K$99*'Plan mensual'!D91+parametros_recargas!$L$99*'Plan mensual'!D92</f>
        <v>295.470906000182</v>
      </c>
      <c r="C93" s="23" t="n">
        <f aca="false">parametros_recargas!$E$99*'Plan mensual'!E85+parametros_recargas!$F$99*'Plan mensual'!E86+parametros_recargas!$G$99*'Plan mensual'!E87+parametros_recargas!$H$99*'Plan mensual'!E88+parametros_recargas!$I$99*'Plan mensual'!E89+parametros_recargas!$J$99*'Plan mensual'!E90+parametros_recargas!$K$99*'Plan mensual'!E91+parametros_recargas!$L$99*'Plan mensual'!E92</f>
        <v>295.470906000182</v>
      </c>
      <c r="D93" s="23" t="n">
        <f aca="false">parametros_recargas!$E$99*'Plan mensual'!F85+parametros_recargas!$F$99*'Plan mensual'!F86+parametros_recargas!$G$99*'Plan mensual'!F87+parametros_recargas!$H$99*'Plan mensual'!F88+parametros_recargas!$I$99*'Plan mensual'!F89+parametros_recargas!$J$99*'Plan mensual'!F90+parametros_recargas!$K$99*'Plan mensual'!F91+parametros_recargas!$L$99*'Plan mensual'!F92</f>
        <v>295.470906000182</v>
      </c>
      <c r="E93" s="23" t="n">
        <f aca="false">parametros_recargas!$E$99*'Plan mensual'!G85+parametros_recargas!$F$99*'Plan mensual'!G86+parametros_recargas!$G$99*'Plan mensual'!G87+parametros_recargas!$H$99*'Plan mensual'!G88+parametros_recargas!$I$99*'Plan mensual'!G89+parametros_recargas!$J$99*'Plan mensual'!G90+parametros_recargas!$K$99*'Plan mensual'!G91+parametros_recargas!$L$99*'Plan mensual'!G92</f>
        <v>295.470906000182</v>
      </c>
      <c r="F93" s="23" t="n">
        <f aca="false">parametros_recargas!$E$99*'Plan mensual'!H85+parametros_recargas!$F$99*'Plan mensual'!H86+parametros_recargas!$G$99*'Plan mensual'!H87+parametros_recargas!$H$99*'Plan mensual'!H88+parametros_recargas!$I$99*'Plan mensual'!H89+parametros_recargas!$J$99*'Plan mensual'!H90+parametros_recargas!$K$99*'Plan mensual'!H91+parametros_recargas!$L$99*'Plan mensual'!H92</f>
        <v>295.470906000182</v>
      </c>
      <c r="G93" s="23" t="n">
        <f aca="false">parametros_recargas!$E$99*'Plan mensual'!I85+parametros_recargas!$F$99*'Plan mensual'!I86+parametros_recargas!$G$99*'Plan mensual'!I87+parametros_recargas!$H$99*'Plan mensual'!I88+parametros_recargas!$I$99*'Plan mensual'!I89+parametros_recargas!$J$99*'Plan mensual'!I90+parametros_recargas!$K$99*'Plan mensual'!I91+parametros_recargas!$L$99*'Plan mensual'!I92</f>
        <v>295.470906000182</v>
      </c>
      <c r="H93" s="23" t="n">
        <f aca="false">parametros_recargas!$E$99*'Plan mensual'!J85+parametros_recargas!$F$99*'Plan mensual'!J86+parametros_recargas!$G$99*'Plan mensual'!J87+parametros_recargas!$H$99*'Plan mensual'!J88+parametros_recargas!$I$99*'Plan mensual'!J89+parametros_recargas!$J$99*'Plan mensual'!J90+parametros_recargas!$K$99*'Plan mensual'!J91+parametros_recargas!$L$99*'Plan mensual'!J92</f>
        <v>295.470906000182</v>
      </c>
      <c r="I93" s="23" t="n">
        <f aca="false">parametros_recargas!$E$99*'Plan mensual'!K85+parametros_recargas!$F$99*'Plan mensual'!K86+parametros_recargas!$G$99*'Plan mensual'!K87+parametros_recargas!$H$99*'Plan mensual'!K88+parametros_recargas!$I$99*'Plan mensual'!K89+parametros_recargas!$J$99*'Plan mensual'!K90+parametros_recargas!$K$99*'Plan mensual'!K91+parametros_recargas!$L$99*'Plan mensual'!K92</f>
        <v>295.470906000182</v>
      </c>
      <c r="J93" s="23" t="n">
        <f aca="false">parametros_recargas!$E$99*'Plan mensual'!L85+parametros_recargas!$F$99*'Plan mensual'!L86+parametros_recargas!$G$99*'Plan mensual'!L87+parametros_recargas!$H$99*'Plan mensual'!L88+parametros_recargas!$I$99*'Plan mensual'!L89+parametros_recargas!$J$99*'Plan mensual'!L90+parametros_recargas!$K$99*'Plan mensual'!L91+parametros_recargas!$L$99*'Plan mensual'!L92</f>
        <v>295.470906000182</v>
      </c>
      <c r="K93" s="23" t="n">
        <f aca="false">parametros_recargas!$E$99*'Plan mensual'!M85+parametros_recargas!$F$99*'Plan mensual'!M86+parametros_recargas!$G$99*'Plan mensual'!M87+parametros_recargas!$H$99*'Plan mensual'!M88+parametros_recargas!$I$99*'Plan mensual'!M89+parametros_recargas!$J$99*'Plan mensual'!M90+parametros_recargas!$K$99*'Plan mensual'!M91+parametros_recargas!$L$99*'Plan mensual'!M92</f>
        <v>295.470906000182</v>
      </c>
      <c r="L93" s="23" t="n">
        <f aca="false">parametros_recargas!$E$99*'Plan mensual'!N85+parametros_recargas!$F$99*'Plan mensual'!N86+parametros_recargas!$G$99*'Plan mensual'!N87+parametros_recargas!$H$99*'Plan mensual'!N88+parametros_recargas!$I$99*'Plan mensual'!N89+parametros_recargas!$J$99*'Plan mensual'!N90+parametros_recargas!$K$99*'Plan mensual'!N91+parametros_recargas!$L$99*'Plan mensual'!N92</f>
        <v>295.470906000182</v>
      </c>
      <c r="M93" s="23" t="n">
        <f aca="false">parametros_recargas!$E$99*'Plan mensual'!O85+parametros_recargas!$F$99*'Plan mensual'!O86+parametros_recargas!$G$99*'Plan mensual'!O87+parametros_recargas!$H$99*'Plan mensual'!O88+parametros_recargas!$I$99*'Plan mensual'!O89+parametros_recargas!$J$99*'Plan mensual'!O90+parametros_recargas!$K$99*'Plan mensual'!O91+parametros_recargas!$L$99*'Plan mensual'!O92</f>
        <v>295.470906000182</v>
      </c>
      <c r="N93" s="7" t="n">
        <f aca="false">SUM(B93:M93)</f>
        <v>3545.65087200218</v>
      </c>
      <c r="O93" s="24" t="n">
        <f aca="false">MAX(B93:M93)</f>
        <v>295.470906000182</v>
      </c>
      <c r="P93" s="15" t="n">
        <f aca="false">O93/parametros_recargas!$B$6</f>
        <v>1.96980604000121</v>
      </c>
    </row>
    <row r="94" customFormat="false" ht="15" hidden="false" customHeight="false" outlineLevel="0" collapsed="false">
      <c r="A94" s="12" t="str">
        <f aca="false">parametros_recargas!$B$100</f>
        <v>PH de mangueras (CO₂ y rodantes)</v>
      </c>
      <c r="B94" s="23" t="n">
        <f aca="false">'Plan mensual'!D93</f>
        <v>136.517331535601</v>
      </c>
      <c r="C94" s="23" t="n">
        <f aca="false">'Plan mensual'!E93</f>
        <v>136.517331535601</v>
      </c>
      <c r="D94" s="23" t="n">
        <f aca="false">'Plan mensual'!F93</f>
        <v>136.517331535601</v>
      </c>
      <c r="E94" s="23" t="n">
        <f aca="false">'Plan mensual'!G93</f>
        <v>136.517331535601</v>
      </c>
      <c r="F94" s="23" t="n">
        <f aca="false">'Plan mensual'!H93</f>
        <v>136.517331535601</v>
      </c>
      <c r="G94" s="23" t="n">
        <f aca="false">'Plan mensual'!I93</f>
        <v>136.517331535601</v>
      </c>
      <c r="H94" s="23" t="n">
        <f aca="false">'Plan mensual'!J93</f>
        <v>136.517331535601</v>
      </c>
      <c r="I94" s="23" t="n">
        <f aca="false">'Plan mensual'!K93</f>
        <v>136.517331535601</v>
      </c>
      <c r="J94" s="23" t="n">
        <f aca="false">'Plan mensual'!L93</f>
        <v>136.517331535601</v>
      </c>
      <c r="K94" s="23" t="n">
        <f aca="false">'Plan mensual'!M93</f>
        <v>136.517331535601</v>
      </c>
      <c r="L94" s="23" t="n">
        <f aca="false">'Plan mensual'!N93</f>
        <v>136.517331535601</v>
      </c>
      <c r="M94" s="23" t="n">
        <f aca="false">'Plan mensual'!O93</f>
        <v>136.517331535601</v>
      </c>
      <c r="N94" s="7" t="n">
        <f aca="false">SUM(B94:M94)</f>
        <v>1638.20797842721</v>
      </c>
      <c r="O94" s="24" t="n">
        <f aca="false">MAX(B94:M94)</f>
        <v>136.517331535601</v>
      </c>
      <c r="P94" s="15" t="n">
        <f aca="false">O94/parametros_recargas!$B$6</f>
        <v>0.910115543570673</v>
      </c>
    </row>
    <row r="97" customFormat="false" ht="23.85" hidden="false" customHeight="false" outlineLevel="0" collapsed="false">
      <c r="A97" s="3" t="s">
        <v>278</v>
      </c>
      <c r="B97" s="3" t="s">
        <v>120</v>
      </c>
      <c r="C97" s="3" t="s">
        <v>121</v>
      </c>
      <c r="D97" s="3" t="s">
        <v>122</v>
      </c>
      <c r="E97" s="3" t="s">
        <v>123</v>
      </c>
      <c r="F97" s="3" t="s">
        <v>124</v>
      </c>
      <c r="G97" s="3" t="s">
        <v>125</v>
      </c>
      <c r="H97" s="3" t="s">
        <v>126</v>
      </c>
      <c r="I97" s="3" t="s">
        <v>127</v>
      </c>
      <c r="J97" s="3" t="s">
        <v>128</v>
      </c>
      <c r="K97" s="3" t="s">
        <v>129</v>
      </c>
      <c r="L97" s="3" t="s">
        <v>130</v>
      </c>
      <c r="M97" s="3" t="s">
        <v>131</v>
      </c>
      <c r="N97" s="3" t="s">
        <v>273</v>
      </c>
      <c r="O97" s="3" t="s">
        <v>274</v>
      </c>
      <c r="P97" s="3" t="s">
        <v>275</v>
      </c>
    </row>
    <row r="98" customFormat="false" ht="15" hidden="false" customHeight="false" outlineLevel="0" collapsed="false">
      <c r="A98" s="12" t="str">
        <f aca="false">parametros_recargas!$B$72</f>
        <v>Recepción y registro</v>
      </c>
      <c r="B98" s="23" t="n">
        <f aca="false">parametros_recargas!$E$72*'Plan mensual'!D117+parametros_recargas!$F$72*'Plan mensual'!D118+parametros_recargas!$G$72*'Plan mensual'!D119+parametros_recargas!$H$72*'Plan mensual'!D120+parametros_recargas!$I$72*'Plan mensual'!D121+parametros_recargas!$J$72*'Plan mensual'!D122+parametros_recargas!$K$72*'Plan mensual'!D123+parametros_recargas!$L$72*'Plan mensual'!D124</f>
        <v>6966.68607367474</v>
      </c>
      <c r="C98" s="23" t="n">
        <f aca="false">parametros_recargas!$E$72*'Plan mensual'!E117+parametros_recargas!$F$72*'Plan mensual'!E118+parametros_recargas!$G$72*'Plan mensual'!E119+parametros_recargas!$H$72*'Plan mensual'!E120+parametros_recargas!$I$72*'Plan mensual'!E121+parametros_recargas!$J$72*'Plan mensual'!E122+parametros_recargas!$K$72*'Plan mensual'!E123+parametros_recargas!$L$72*'Plan mensual'!E124</f>
        <v>6966.68607367474</v>
      </c>
      <c r="D98" s="23" t="n">
        <f aca="false">parametros_recargas!$E$72*'Plan mensual'!F117+parametros_recargas!$F$72*'Plan mensual'!F118+parametros_recargas!$G$72*'Plan mensual'!F119+parametros_recargas!$H$72*'Plan mensual'!F120+parametros_recargas!$I$72*'Plan mensual'!F121+parametros_recargas!$J$72*'Plan mensual'!F122+parametros_recargas!$K$72*'Plan mensual'!F123+parametros_recargas!$L$72*'Plan mensual'!F124</f>
        <v>6966.68607367474</v>
      </c>
      <c r="E98" s="23" t="n">
        <f aca="false">parametros_recargas!$E$72*'Plan mensual'!G117+parametros_recargas!$F$72*'Plan mensual'!G118+parametros_recargas!$G$72*'Plan mensual'!G119+parametros_recargas!$H$72*'Plan mensual'!G120+parametros_recargas!$I$72*'Plan mensual'!G121+parametros_recargas!$J$72*'Plan mensual'!G122+parametros_recargas!$K$72*'Plan mensual'!G123+parametros_recargas!$L$72*'Plan mensual'!G124</f>
        <v>6966.68607367474</v>
      </c>
      <c r="F98" s="23" t="n">
        <f aca="false">parametros_recargas!$E$72*'Plan mensual'!H117+parametros_recargas!$F$72*'Plan mensual'!H118+parametros_recargas!$G$72*'Plan mensual'!H119+parametros_recargas!$H$72*'Plan mensual'!H120+parametros_recargas!$I$72*'Plan mensual'!H121+parametros_recargas!$J$72*'Plan mensual'!H122+parametros_recargas!$K$72*'Plan mensual'!H123+parametros_recargas!$L$72*'Plan mensual'!H124</f>
        <v>6966.68607367474</v>
      </c>
      <c r="G98" s="23" t="n">
        <f aca="false">parametros_recargas!$E$72*'Plan mensual'!I117+parametros_recargas!$F$72*'Plan mensual'!I118+parametros_recargas!$G$72*'Plan mensual'!I119+parametros_recargas!$H$72*'Plan mensual'!I120+parametros_recargas!$I$72*'Plan mensual'!I121+parametros_recargas!$J$72*'Plan mensual'!I122+parametros_recargas!$K$72*'Plan mensual'!I123+parametros_recargas!$L$72*'Plan mensual'!I124</f>
        <v>6966.68607367474</v>
      </c>
      <c r="H98" s="23" t="n">
        <f aca="false">parametros_recargas!$E$72*'Plan mensual'!J117+parametros_recargas!$F$72*'Plan mensual'!J118+parametros_recargas!$G$72*'Plan mensual'!J119+parametros_recargas!$H$72*'Plan mensual'!J120+parametros_recargas!$I$72*'Plan mensual'!J121+parametros_recargas!$J$72*'Plan mensual'!J122+parametros_recargas!$K$72*'Plan mensual'!J123+parametros_recargas!$L$72*'Plan mensual'!J124</f>
        <v>6966.68607367474</v>
      </c>
      <c r="I98" s="23" t="n">
        <f aca="false">parametros_recargas!$E$72*'Plan mensual'!K117+parametros_recargas!$F$72*'Plan mensual'!K118+parametros_recargas!$G$72*'Plan mensual'!K119+parametros_recargas!$H$72*'Plan mensual'!K120+parametros_recargas!$I$72*'Plan mensual'!K121+parametros_recargas!$J$72*'Plan mensual'!K122+parametros_recargas!$K$72*'Plan mensual'!K123+parametros_recargas!$L$72*'Plan mensual'!K124</f>
        <v>6966.68607367474</v>
      </c>
      <c r="J98" s="23" t="n">
        <f aca="false">parametros_recargas!$E$72*'Plan mensual'!L117+parametros_recargas!$F$72*'Plan mensual'!L118+parametros_recargas!$G$72*'Plan mensual'!L119+parametros_recargas!$H$72*'Plan mensual'!L120+parametros_recargas!$I$72*'Plan mensual'!L121+parametros_recargas!$J$72*'Plan mensual'!L122+parametros_recargas!$K$72*'Plan mensual'!L123+parametros_recargas!$L$72*'Plan mensual'!L124</f>
        <v>6966.68607367474</v>
      </c>
      <c r="K98" s="23" t="n">
        <f aca="false">parametros_recargas!$E$72*'Plan mensual'!M117+parametros_recargas!$F$72*'Plan mensual'!M118+parametros_recargas!$G$72*'Plan mensual'!M119+parametros_recargas!$H$72*'Plan mensual'!M120+parametros_recargas!$I$72*'Plan mensual'!M121+parametros_recargas!$J$72*'Plan mensual'!M122+parametros_recargas!$K$72*'Plan mensual'!M123+parametros_recargas!$L$72*'Plan mensual'!M124</f>
        <v>6966.68607367474</v>
      </c>
      <c r="L98" s="23" t="n">
        <f aca="false">parametros_recargas!$E$72*'Plan mensual'!N117+parametros_recargas!$F$72*'Plan mensual'!N118+parametros_recargas!$G$72*'Plan mensual'!N119+parametros_recargas!$H$72*'Plan mensual'!N120+parametros_recargas!$I$72*'Plan mensual'!N121+parametros_recargas!$J$72*'Plan mensual'!N122+parametros_recargas!$K$72*'Plan mensual'!N123+parametros_recargas!$L$72*'Plan mensual'!N124</f>
        <v>6966.68607367474</v>
      </c>
      <c r="M98" s="23" t="n">
        <f aca="false">parametros_recargas!$E$72*'Plan mensual'!O117+parametros_recargas!$F$72*'Plan mensual'!O118+parametros_recargas!$G$72*'Plan mensual'!O119+parametros_recargas!$H$72*'Plan mensual'!O120+parametros_recargas!$I$72*'Plan mensual'!O121+parametros_recargas!$J$72*'Plan mensual'!O122+parametros_recargas!$K$72*'Plan mensual'!O123+parametros_recargas!$L$72*'Plan mensual'!O124</f>
        <v>6966.68607367474</v>
      </c>
      <c r="N98" s="7" t="n">
        <f aca="false">SUM(B98:M98)</f>
        <v>83600.2328840969</v>
      </c>
      <c r="O98" s="24" t="n">
        <f aca="false">MAX(B98:M98)</f>
        <v>6966.68607367474</v>
      </c>
      <c r="P98" s="15" t="n">
        <f aca="false">O98/parametros_recargas!$B$6</f>
        <v>46.4445738244983</v>
      </c>
    </row>
    <row r="99" customFormat="false" ht="15" hidden="false" customHeight="false" outlineLevel="0" collapsed="false">
      <c r="A99" s="12" t="str">
        <f aca="false">parametros_recargas!$B$73</f>
        <v>Inspección visual</v>
      </c>
      <c r="B99" s="23" t="n">
        <f aca="false">parametros_recargas!$E$73*'Plan mensual'!D117+parametros_recargas!$F$73*'Plan mensual'!D118+parametros_recargas!$G$73*'Plan mensual'!D119+parametros_recargas!$H$73*'Plan mensual'!D120+parametros_recargas!$I$73*'Plan mensual'!D121+parametros_recargas!$J$73*'Plan mensual'!D122+parametros_recargas!$K$73*'Plan mensual'!D123+parametros_recargas!$L$73*'Plan mensual'!D124</f>
        <v>6966.68607367474</v>
      </c>
      <c r="C99" s="23" t="n">
        <f aca="false">parametros_recargas!$E$73*'Plan mensual'!E117+parametros_recargas!$F$73*'Plan mensual'!E118+parametros_recargas!$G$73*'Plan mensual'!E119+parametros_recargas!$H$73*'Plan mensual'!E120+parametros_recargas!$I$73*'Plan mensual'!E121+parametros_recargas!$J$73*'Plan mensual'!E122+parametros_recargas!$K$73*'Plan mensual'!E123+parametros_recargas!$L$73*'Plan mensual'!E124</f>
        <v>6966.68607367474</v>
      </c>
      <c r="D99" s="23" t="n">
        <f aca="false">parametros_recargas!$E$73*'Plan mensual'!F117+parametros_recargas!$F$73*'Plan mensual'!F118+parametros_recargas!$G$73*'Plan mensual'!F119+parametros_recargas!$H$73*'Plan mensual'!F120+parametros_recargas!$I$73*'Plan mensual'!F121+parametros_recargas!$J$73*'Plan mensual'!F122+parametros_recargas!$K$73*'Plan mensual'!F123+parametros_recargas!$L$73*'Plan mensual'!F124</f>
        <v>6966.68607367474</v>
      </c>
      <c r="E99" s="23" t="n">
        <f aca="false">parametros_recargas!$E$73*'Plan mensual'!G117+parametros_recargas!$F$73*'Plan mensual'!G118+parametros_recargas!$G$73*'Plan mensual'!G119+parametros_recargas!$H$73*'Plan mensual'!G120+parametros_recargas!$I$73*'Plan mensual'!G121+parametros_recargas!$J$73*'Plan mensual'!G122+parametros_recargas!$K$73*'Plan mensual'!G123+parametros_recargas!$L$73*'Plan mensual'!G124</f>
        <v>6966.68607367474</v>
      </c>
      <c r="F99" s="23" t="n">
        <f aca="false">parametros_recargas!$E$73*'Plan mensual'!H117+parametros_recargas!$F$73*'Plan mensual'!H118+parametros_recargas!$G$73*'Plan mensual'!H119+parametros_recargas!$H$73*'Plan mensual'!H120+parametros_recargas!$I$73*'Plan mensual'!H121+parametros_recargas!$J$73*'Plan mensual'!H122+parametros_recargas!$K$73*'Plan mensual'!H123+parametros_recargas!$L$73*'Plan mensual'!H124</f>
        <v>6966.68607367474</v>
      </c>
      <c r="G99" s="23" t="n">
        <f aca="false">parametros_recargas!$E$73*'Plan mensual'!I117+parametros_recargas!$F$73*'Plan mensual'!I118+parametros_recargas!$G$73*'Plan mensual'!I119+parametros_recargas!$H$73*'Plan mensual'!I120+parametros_recargas!$I$73*'Plan mensual'!I121+parametros_recargas!$J$73*'Plan mensual'!I122+parametros_recargas!$K$73*'Plan mensual'!I123+parametros_recargas!$L$73*'Plan mensual'!I124</f>
        <v>6966.68607367474</v>
      </c>
      <c r="H99" s="23" t="n">
        <f aca="false">parametros_recargas!$E$73*'Plan mensual'!J117+parametros_recargas!$F$73*'Plan mensual'!J118+parametros_recargas!$G$73*'Plan mensual'!J119+parametros_recargas!$H$73*'Plan mensual'!J120+parametros_recargas!$I$73*'Plan mensual'!J121+parametros_recargas!$J$73*'Plan mensual'!J122+parametros_recargas!$K$73*'Plan mensual'!J123+parametros_recargas!$L$73*'Plan mensual'!J124</f>
        <v>6966.68607367474</v>
      </c>
      <c r="I99" s="23" t="n">
        <f aca="false">parametros_recargas!$E$73*'Plan mensual'!K117+parametros_recargas!$F$73*'Plan mensual'!K118+parametros_recargas!$G$73*'Plan mensual'!K119+parametros_recargas!$H$73*'Plan mensual'!K120+parametros_recargas!$I$73*'Plan mensual'!K121+parametros_recargas!$J$73*'Plan mensual'!K122+parametros_recargas!$K$73*'Plan mensual'!K123+parametros_recargas!$L$73*'Plan mensual'!K124</f>
        <v>6966.68607367474</v>
      </c>
      <c r="J99" s="23" t="n">
        <f aca="false">parametros_recargas!$E$73*'Plan mensual'!L117+parametros_recargas!$F$73*'Plan mensual'!L118+parametros_recargas!$G$73*'Plan mensual'!L119+parametros_recargas!$H$73*'Plan mensual'!L120+parametros_recargas!$I$73*'Plan mensual'!L121+parametros_recargas!$J$73*'Plan mensual'!L122+parametros_recargas!$K$73*'Plan mensual'!L123+parametros_recargas!$L$73*'Plan mensual'!L124</f>
        <v>6966.68607367474</v>
      </c>
      <c r="K99" s="23" t="n">
        <f aca="false">parametros_recargas!$E$73*'Plan mensual'!M117+parametros_recargas!$F$73*'Plan mensual'!M118+parametros_recargas!$G$73*'Plan mensual'!M119+parametros_recargas!$H$73*'Plan mensual'!M120+parametros_recargas!$I$73*'Plan mensual'!M121+parametros_recargas!$J$73*'Plan mensual'!M122+parametros_recargas!$K$73*'Plan mensual'!M123+parametros_recargas!$L$73*'Plan mensual'!M124</f>
        <v>6966.68607367474</v>
      </c>
      <c r="L99" s="23" t="n">
        <f aca="false">parametros_recargas!$E$73*'Plan mensual'!N117+parametros_recargas!$F$73*'Plan mensual'!N118+parametros_recargas!$G$73*'Plan mensual'!N119+parametros_recargas!$H$73*'Plan mensual'!N120+parametros_recargas!$I$73*'Plan mensual'!N121+parametros_recargas!$J$73*'Plan mensual'!N122+parametros_recargas!$K$73*'Plan mensual'!N123+parametros_recargas!$L$73*'Plan mensual'!N124</f>
        <v>6966.68607367474</v>
      </c>
      <c r="M99" s="23" t="n">
        <f aca="false">parametros_recargas!$E$73*'Plan mensual'!O117+parametros_recargas!$F$73*'Plan mensual'!O118+parametros_recargas!$G$73*'Plan mensual'!O119+parametros_recargas!$H$73*'Plan mensual'!O120+parametros_recargas!$I$73*'Plan mensual'!O121+parametros_recargas!$J$73*'Plan mensual'!O122+parametros_recargas!$K$73*'Plan mensual'!O123+parametros_recargas!$L$73*'Plan mensual'!O124</f>
        <v>6966.68607367474</v>
      </c>
      <c r="N99" s="7" t="n">
        <f aca="false">SUM(B99:M99)</f>
        <v>83600.2328840969</v>
      </c>
      <c r="O99" s="24" t="n">
        <f aca="false">MAX(B99:M99)</f>
        <v>6966.68607367474</v>
      </c>
      <c r="P99" s="15" t="n">
        <f aca="false">O99/parametros_recargas!$B$6</f>
        <v>46.4445738244983</v>
      </c>
    </row>
    <row r="100" customFormat="false" ht="15" hidden="false" customHeight="false" outlineLevel="0" collapsed="false">
      <c r="A100" s="12" t="str">
        <f aca="false">parametros_recargas!$B$74</f>
        <v>Descarga ABC — ruta recuperable</v>
      </c>
      <c r="B100" s="23" t="n">
        <f aca="false">parametros_recargas!$E$74*'Plan mensual'!D117+parametros_recargas!$F$74*'Plan mensual'!D118+parametros_recargas!$G$74*'Plan mensual'!D119+parametros_recargas!$H$74*'Plan mensual'!D120+parametros_recargas!$I$74*'Plan mensual'!D121+parametros_recargas!$J$74*'Plan mensual'!D122+parametros_recargas!$K$74*'Plan mensual'!D123+parametros_recargas!$L$74*'Plan mensual'!D124</f>
        <v>5101.38701569233</v>
      </c>
      <c r="C100" s="23" t="n">
        <f aca="false">parametros_recargas!$E$74*'Plan mensual'!E117+parametros_recargas!$F$74*'Plan mensual'!E118+parametros_recargas!$G$74*'Plan mensual'!E119+parametros_recargas!$H$74*'Plan mensual'!E120+parametros_recargas!$I$74*'Plan mensual'!E121+parametros_recargas!$J$74*'Plan mensual'!E122+parametros_recargas!$K$74*'Plan mensual'!E123+parametros_recargas!$L$74*'Plan mensual'!E124</f>
        <v>5101.38701569233</v>
      </c>
      <c r="D100" s="23" t="n">
        <f aca="false">parametros_recargas!$E$74*'Plan mensual'!F117+parametros_recargas!$F$74*'Plan mensual'!F118+parametros_recargas!$G$74*'Plan mensual'!F119+parametros_recargas!$H$74*'Plan mensual'!F120+parametros_recargas!$I$74*'Plan mensual'!F121+parametros_recargas!$J$74*'Plan mensual'!F122+parametros_recargas!$K$74*'Plan mensual'!F123+parametros_recargas!$L$74*'Plan mensual'!F124</f>
        <v>5101.38701569233</v>
      </c>
      <c r="E100" s="23" t="n">
        <f aca="false">parametros_recargas!$E$74*'Plan mensual'!G117+parametros_recargas!$F$74*'Plan mensual'!G118+parametros_recargas!$G$74*'Plan mensual'!G119+parametros_recargas!$H$74*'Plan mensual'!G120+parametros_recargas!$I$74*'Plan mensual'!G121+parametros_recargas!$J$74*'Plan mensual'!G122+parametros_recargas!$K$74*'Plan mensual'!G123+parametros_recargas!$L$74*'Plan mensual'!G124</f>
        <v>5101.38701569233</v>
      </c>
      <c r="F100" s="23" t="n">
        <f aca="false">parametros_recargas!$E$74*'Plan mensual'!H117+parametros_recargas!$F$74*'Plan mensual'!H118+parametros_recargas!$G$74*'Plan mensual'!H119+parametros_recargas!$H$74*'Plan mensual'!H120+parametros_recargas!$I$74*'Plan mensual'!H121+parametros_recargas!$J$74*'Plan mensual'!H122+parametros_recargas!$K$74*'Plan mensual'!H123+parametros_recargas!$L$74*'Plan mensual'!H124</f>
        <v>5101.38701569233</v>
      </c>
      <c r="G100" s="23" t="n">
        <f aca="false">parametros_recargas!$E$74*'Plan mensual'!I117+parametros_recargas!$F$74*'Plan mensual'!I118+parametros_recargas!$G$74*'Plan mensual'!I119+parametros_recargas!$H$74*'Plan mensual'!I120+parametros_recargas!$I$74*'Plan mensual'!I121+parametros_recargas!$J$74*'Plan mensual'!I122+parametros_recargas!$K$74*'Plan mensual'!I123+parametros_recargas!$L$74*'Plan mensual'!I124</f>
        <v>5101.38701569233</v>
      </c>
      <c r="H100" s="23" t="n">
        <f aca="false">parametros_recargas!$E$74*'Plan mensual'!J117+parametros_recargas!$F$74*'Plan mensual'!J118+parametros_recargas!$G$74*'Plan mensual'!J119+parametros_recargas!$H$74*'Plan mensual'!J120+parametros_recargas!$I$74*'Plan mensual'!J121+parametros_recargas!$J$74*'Plan mensual'!J122+parametros_recargas!$K$74*'Plan mensual'!J123+parametros_recargas!$L$74*'Plan mensual'!J124</f>
        <v>5101.38701569233</v>
      </c>
      <c r="I100" s="23" t="n">
        <f aca="false">parametros_recargas!$E$74*'Plan mensual'!K117+parametros_recargas!$F$74*'Plan mensual'!K118+parametros_recargas!$G$74*'Plan mensual'!K119+parametros_recargas!$H$74*'Plan mensual'!K120+parametros_recargas!$I$74*'Plan mensual'!K121+parametros_recargas!$J$74*'Plan mensual'!K122+parametros_recargas!$K$74*'Plan mensual'!K123+parametros_recargas!$L$74*'Plan mensual'!K124</f>
        <v>5101.38701569233</v>
      </c>
      <c r="J100" s="23" t="n">
        <f aca="false">parametros_recargas!$E$74*'Plan mensual'!L117+parametros_recargas!$F$74*'Plan mensual'!L118+parametros_recargas!$G$74*'Plan mensual'!L119+parametros_recargas!$H$74*'Plan mensual'!L120+parametros_recargas!$I$74*'Plan mensual'!L121+parametros_recargas!$J$74*'Plan mensual'!L122+parametros_recargas!$K$74*'Plan mensual'!L123+parametros_recargas!$L$74*'Plan mensual'!L124</f>
        <v>5101.38701569233</v>
      </c>
      <c r="K100" s="23" t="n">
        <f aca="false">parametros_recargas!$E$74*'Plan mensual'!M117+parametros_recargas!$F$74*'Plan mensual'!M118+parametros_recargas!$G$74*'Plan mensual'!M119+parametros_recargas!$H$74*'Plan mensual'!M120+parametros_recargas!$I$74*'Plan mensual'!M121+parametros_recargas!$J$74*'Plan mensual'!M122+parametros_recargas!$K$74*'Plan mensual'!M123+parametros_recargas!$L$74*'Plan mensual'!M124</f>
        <v>5101.38701569233</v>
      </c>
      <c r="L100" s="23" t="n">
        <f aca="false">parametros_recargas!$E$74*'Plan mensual'!N117+parametros_recargas!$F$74*'Plan mensual'!N118+parametros_recargas!$G$74*'Plan mensual'!N119+parametros_recargas!$H$74*'Plan mensual'!N120+parametros_recargas!$I$74*'Plan mensual'!N121+parametros_recargas!$J$74*'Plan mensual'!N122+parametros_recargas!$K$74*'Plan mensual'!N123+parametros_recargas!$L$74*'Plan mensual'!N124</f>
        <v>5101.38701569233</v>
      </c>
      <c r="M100" s="23" t="n">
        <f aca="false">parametros_recargas!$E$74*'Plan mensual'!O117+parametros_recargas!$F$74*'Plan mensual'!O118+parametros_recargas!$G$74*'Plan mensual'!O119+parametros_recargas!$H$74*'Plan mensual'!O120+parametros_recargas!$I$74*'Plan mensual'!O121+parametros_recargas!$J$74*'Plan mensual'!O122+parametros_recargas!$K$74*'Plan mensual'!O123+parametros_recargas!$L$74*'Plan mensual'!O124</f>
        <v>5101.38701569233</v>
      </c>
      <c r="N100" s="7" t="n">
        <f aca="false">SUM(B100:M100)</f>
        <v>61216.644188308</v>
      </c>
      <c r="O100" s="24" t="n">
        <f aca="false">MAX(B100:M100)</f>
        <v>5101.38701569233</v>
      </c>
      <c r="P100" s="15" t="n">
        <f aca="false">O100/parametros_recargas!$B$6</f>
        <v>34.0092467712822</v>
      </c>
    </row>
    <row r="101" customFormat="false" ht="15" hidden="false" customHeight="false" outlineLevel="0" collapsed="false">
      <c r="A101" s="12" t="str">
        <f aca="false">parametros_recargas!$B$75</f>
        <v>Descarga ABC — ruta descarte</v>
      </c>
      <c r="B101" s="23" t="n">
        <f aca="false">parametros_recargas!$E$75*'Plan mensual'!D117+parametros_recargas!$F$75*'Plan mensual'!D118+parametros_recargas!$G$75*'Plan mensual'!D119+parametros_recargas!$H$75*'Plan mensual'!D120+parametros_recargas!$I$75*'Plan mensual'!D121+parametros_recargas!$J$75*'Plan mensual'!D122+parametros_recargas!$K$75*'Plan mensual'!D123+parametros_recargas!$L$75*'Plan mensual'!D124</f>
        <v>600.163178316745</v>
      </c>
      <c r="C101" s="23" t="n">
        <f aca="false">parametros_recargas!$E$75*'Plan mensual'!E117+parametros_recargas!$F$75*'Plan mensual'!E118+parametros_recargas!$G$75*'Plan mensual'!E119+parametros_recargas!$H$75*'Plan mensual'!E120+parametros_recargas!$I$75*'Plan mensual'!E121+parametros_recargas!$J$75*'Plan mensual'!E122+parametros_recargas!$K$75*'Plan mensual'!E123+parametros_recargas!$L$75*'Plan mensual'!E124</f>
        <v>600.163178316745</v>
      </c>
      <c r="D101" s="23" t="n">
        <f aca="false">parametros_recargas!$E$75*'Plan mensual'!F117+parametros_recargas!$F$75*'Plan mensual'!F118+parametros_recargas!$G$75*'Plan mensual'!F119+parametros_recargas!$H$75*'Plan mensual'!F120+parametros_recargas!$I$75*'Plan mensual'!F121+parametros_recargas!$J$75*'Plan mensual'!F122+parametros_recargas!$K$75*'Plan mensual'!F123+parametros_recargas!$L$75*'Plan mensual'!F124</f>
        <v>600.163178316745</v>
      </c>
      <c r="E101" s="23" t="n">
        <f aca="false">parametros_recargas!$E$75*'Plan mensual'!G117+parametros_recargas!$F$75*'Plan mensual'!G118+parametros_recargas!$G$75*'Plan mensual'!G119+parametros_recargas!$H$75*'Plan mensual'!G120+parametros_recargas!$I$75*'Plan mensual'!G121+parametros_recargas!$J$75*'Plan mensual'!G122+parametros_recargas!$K$75*'Plan mensual'!G123+parametros_recargas!$L$75*'Plan mensual'!G124</f>
        <v>600.163178316745</v>
      </c>
      <c r="F101" s="23" t="n">
        <f aca="false">parametros_recargas!$E$75*'Plan mensual'!H117+parametros_recargas!$F$75*'Plan mensual'!H118+parametros_recargas!$G$75*'Plan mensual'!H119+parametros_recargas!$H$75*'Plan mensual'!H120+parametros_recargas!$I$75*'Plan mensual'!H121+parametros_recargas!$J$75*'Plan mensual'!H122+parametros_recargas!$K$75*'Plan mensual'!H123+parametros_recargas!$L$75*'Plan mensual'!H124</f>
        <v>600.163178316745</v>
      </c>
      <c r="G101" s="23" t="n">
        <f aca="false">parametros_recargas!$E$75*'Plan mensual'!I117+parametros_recargas!$F$75*'Plan mensual'!I118+parametros_recargas!$G$75*'Plan mensual'!I119+parametros_recargas!$H$75*'Plan mensual'!I120+parametros_recargas!$I$75*'Plan mensual'!I121+parametros_recargas!$J$75*'Plan mensual'!I122+parametros_recargas!$K$75*'Plan mensual'!I123+parametros_recargas!$L$75*'Plan mensual'!I124</f>
        <v>600.163178316745</v>
      </c>
      <c r="H101" s="23" t="n">
        <f aca="false">parametros_recargas!$E$75*'Plan mensual'!J117+parametros_recargas!$F$75*'Plan mensual'!J118+parametros_recargas!$G$75*'Plan mensual'!J119+parametros_recargas!$H$75*'Plan mensual'!J120+parametros_recargas!$I$75*'Plan mensual'!J121+parametros_recargas!$J$75*'Plan mensual'!J122+parametros_recargas!$K$75*'Plan mensual'!J123+parametros_recargas!$L$75*'Plan mensual'!J124</f>
        <v>600.163178316745</v>
      </c>
      <c r="I101" s="23" t="n">
        <f aca="false">parametros_recargas!$E$75*'Plan mensual'!K117+parametros_recargas!$F$75*'Plan mensual'!K118+parametros_recargas!$G$75*'Plan mensual'!K119+parametros_recargas!$H$75*'Plan mensual'!K120+parametros_recargas!$I$75*'Plan mensual'!K121+parametros_recargas!$J$75*'Plan mensual'!K122+parametros_recargas!$K$75*'Plan mensual'!K123+parametros_recargas!$L$75*'Plan mensual'!K124</f>
        <v>600.163178316745</v>
      </c>
      <c r="J101" s="23" t="n">
        <f aca="false">parametros_recargas!$E$75*'Plan mensual'!L117+parametros_recargas!$F$75*'Plan mensual'!L118+parametros_recargas!$G$75*'Plan mensual'!L119+parametros_recargas!$H$75*'Plan mensual'!L120+parametros_recargas!$I$75*'Plan mensual'!L121+parametros_recargas!$J$75*'Plan mensual'!L122+parametros_recargas!$K$75*'Plan mensual'!L123+parametros_recargas!$L$75*'Plan mensual'!L124</f>
        <v>600.163178316745</v>
      </c>
      <c r="K101" s="23" t="n">
        <f aca="false">parametros_recargas!$E$75*'Plan mensual'!M117+parametros_recargas!$F$75*'Plan mensual'!M118+parametros_recargas!$G$75*'Plan mensual'!M119+parametros_recargas!$H$75*'Plan mensual'!M120+parametros_recargas!$I$75*'Plan mensual'!M121+parametros_recargas!$J$75*'Plan mensual'!M122+parametros_recargas!$K$75*'Plan mensual'!M123+parametros_recargas!$L$75*'Plan mensual'!M124</f>
        <v>600.163178316745</v>
      </c>
      <c r="L101" s="23" t="n">
        <f aca="false">parametros_recargas!$E$75*'Plan mensual'!N117+parametros_recargas!$F$75*'Plan mensual'!N118+parametros_recargas!$G$75*'Plan mensual'!N119+parametros_recargas!$H$75*'Plan mensual'!N120+parametros_recargas!$I$75*'Plan mensual'!N121+parametros_recargas!$J$75*'Plan mensual'!N122+parametros_recargas!$K$75*'Plan mensual'!N123+parametros_recargas!$L$75*'Plan mensual'!N124</f>
        <v>600.163178316745</v>
      </c>
      <c r="M101" s="23" t="n">
        <f aca="false">parametros_recargas!$E$75*'Plan mensual'!O117+parametros_recargas!$F$75*'Plan mensual'!O118+parametros_recargas!$G$75*'Plan mensual'!O119+parametros_recargas!$H$75*'Plan mensual'!O120+parametros_recargas!$I$75*'Plan mensual'!O121+parametros_recargas!$J$75*'Plan mensual'!O122+parametros_recargas!$K$75*'Plan mensual'!O123+parametros_recargas!$L$75*'Plan mensual'!O124</f>
        <v>600.163178316745</v>
      </c>
      <c r="N101" s="7" t="n">
        <f aca="false">SUM(B101:M101)</f>
        <v>7201.95813980094</v>
      </c>
      <c r="O101" s="24" t="n">
        <f aca="false">MAX(B101:M101)</f>
        <v>600.163178316745</v>
      </c>
      <c r="P101" s="15" t="n">
        <f aca="false">O101/parametros_recargas!$B$6</f>
        <v>4.00108785544497</v>
      </c>
    </row>
    <row r="102" customFormat="false" ht="15" hidden="false" customHeight="false" outlineLevel="0" collapsed="false">
      <c r="A102" s="12" t="str">
        <f aca="false">parametros_recargas!$B$76</f>
        <v>Descarga BC</v>
      </c>
      <c r="B102" s="23" t="n">
        <f aca="false">parametros_recargas!$E$76*'Plan mensual'!D117+parametros_recargas!$F$76*'Plan mensual'!D118+parametros_recargas!$G$76*'Plan mensual'!D119+parametros_recargas!$H$76*'Plan mensual'!D120+parametros_recargas!$I$76*'Plan mensual'!D121+parametros_recargas!$J$76*'Plan mensual'!D122+parametros_recargas!$K$76*'Plan mensual'!D123+parametros_recargas!$L$76*'Plan mensual'!D124</f>
        <v>9.54400419663871</v>
      </c>
      <c r="C102" s="23" t="n">
        <f aca="false">parametros_recargas!$E$76*'Plan mensual'!E117+parametros_recargas!$F$76*'Plan mensual'!E118+parametros_recargas!$G$76*'Plan mensual'!E119+parametros_recargas!$H$76*'Plan mensual'!E120+parametros_recargas!$I$76*'Plan mensual'!E121+parametros_recargas!$J$76*'Plan mensual'!E122+parametros_recargas!$K$76*'Plan mensual'!E123+parametros_recargas!$L$76*'Plan mensual'!E124</f>
        <v>9.54400419663871</v>
      </c>
      <c r="D102" s="23" t="n">
        <f aca="false">parametros_recargas!$E$76*'Plan mensual'!F117+parametros_recargas!$F$76*'Plan mensual'!F118+parametros_recargas!$G$76*'Plan mensual'!F119+parametros_recargas!$H$76*'Plan mensual'!F120+parametros_recargas!$I$76*'Plan mensual'!F121+parametros_recargas!$J$76*'Plan mensual'!F122+parametros_recargas!$K$76*'Plan mensual'!F123+parametros_recargas!$L$76*'Plan mensual'!F124</f>
        <v>9.54400419663871</v>
      </c>
      <c r="E102" s="23" t="n">
        <f aca="false">parametros_recargas!$E$76*'Plan mensual'!G117+parametros_recargas!$F$76*'Plan mensual'!G118+parametros_recargas!$G$76*'Plan mensual'!G119+parametros_recargas!$H$76*'Plan mensual'!G120+parametros_recargas!$I$76*'Plan mensual'!G121+parametros_recargas!$J$76*'Plan mensual'!G122+parametros_recargas!$K$76*'Plan mensual'!G123+parametros_recargas!$L$76*'Plan mensual'!G124</f>
        <v>9.54400419663871</v>
      </c>
      <c r="F102" s="23" t="n">
        <f aca="false">parametros_recargas!$E$76*'Plan mensual'!H117+parametros_recargas!$F$76*'Plan mensual'!H118+parametros_recargas!$G$76*'Plan mensual'!H119+parametros_recargas!$H$76*'Plan mensual'!H120+parametros_recargas!$I$76*'Plan mensual'!H121+parametros_recargas!$J$76*'Plan mensual'!H122+parametros_recargas!$K$76*'Plan mensual'!H123+parametros_recargas!$L$76*'Plan mensual'!H124</f>
        <v>9.54400419663871</v>
      </c>
      <c r="G102" s="23" t="n">
        <f aca="false">parametros_recargas!$E$76*'Plan mensual'!I117+parametros_recargas!$F$76*'Plan mensual'!I118+parametros_recargas!$G$76*'Plan mensual'!I119+parametros_recargas!$H$76*'Plan mensual'!I120+parametros_recargas!$I$76*'Plan mensual'!I121+parametros_recargas!$J$76*'Plan mensual'!I122+parametros_recargas!$K$76*'Plan mensual'!I123+parametros_recargas!$L$76*'Plan mensual'!I124</f>
        <v>9.54400419663871</v>
      </c>
      <c r="H102" s="23" t="n">
        <f aca="false">parametros_recargas!$E$76*'Plan mensual'!J117+parametros_recargas!$F$76*'Plan mensual'!J118+parametros_recargas!$G$76*'Plan mensual'!J119+parametros_recargas!$H$76*'Plan mensual'!J120+parametros_recargas!$I$76*'Plan mensual'!J121+parametros_recargas!$J$76*'Plan mensual'!J122+parametros_recargas!$K$76*'Plan mensual'!J123+parametros_recargas!$L$76*'Plan mensual'!J124</f>
        <v>9.54400419663871</v>
      </c>
      <c r="I102" s="23" t="n">
        <f aca="false">parametros_recargas!$E$76*'Plan mensual'!K117+parametros_recargas!$F$76*'Plan mensual'!K118+parametros_recargas!$G$76*'Plan mensual'!K119+parametros_recargas!$H$76*'Plan mensual'!K120+parametros_recargas!$I$76*'Plan mensual'!K121+parametros_recargas!$J$76*'Plan mensual'!K122+parametros_recargas!$K$76*'Plan mensual'!K123+parametros_recargas!$L$76*'Plan mensual'!K124</f>
        <v>9.54400419663871</v>
      </c>
      <c r="J102" s="23" t="n">
        <f aca="false">parametros_recargas!$E$76*'Plan mensual'!L117+parametros_recargas!$F$76*'Plan mensual'!L118+parametros_recargas!$G$76*'Plan mensual'!L119+parametros_recargas!$H$76*'Plan mensual'!L120+parametros_recargas!$I$76*'Plan mensual'!L121+parametros_recargas!$J$76*'Plan mensual'!L122+parametros_recargas!$K$76*'Plan mensual'!L123+parametros_recargas!$L$76*'Plan mensual'!L124</f>
        <v>9.54400419663871</v>
      </c>
      <c r="K102" s="23" t="n">
        <f aca="false">parametros_recargas!$E$76*'Plan mensual'!M117+parametros_recargas!$F$76*'Plan mensual'!M118+parametros_recargas!$G$76*'Plan mensual'!M119+parametros_recargas!$H$76*'Plan mensual'!M120+parametros_recargas!$I$76*'Plan mensual'!M121+parametros_recargas!$J$76*'Plan mensual'!M122+parametros_recargas!$K$76*'Plan mensual'!M123+parametros_recargas!$L$76*'Plan mensual'!M124</f>
        <v>9.54400419663871</v>
      </c>
      <c r="L102" s="23" t="n">
        <f aca="false">parametros_recargas!$E$76*'Plan mensual'!N117+parametros_recargas!$F$76*'Plan mensual'!N118+parametros_recargas!$G$76*'Plan mensual'!N119+parametros_recargas!$H$76*'Plan mensual'!N120+parametros_recargas!$I$76*'Plan mensual'!N121+parametros_recargas!$J$76*'Plan mensual'!N122+parametros_recargas!$K$76*'Plan mensual'!N123+parametros_recargas!$L$76*'Plan mensual'!N124</f>
        <v>9.54400419663871</v>
      </c>
      <c r="M102" s="23" t="n">
        <f aca="false">parametros_recargas!$E$76*'Plan mensual'!O117+parametros_recargas!$F$76*'Plan mensual'!O118+parametros_recargas!$G$76*'Plan mensual'!O119+parametros_recargas!$H$76*'Plan mensual'!O120+parametros_recargas!$I$76*'Plan mensual'!O121+parametros_recargas!$J$76*'Plan mensual'!O122+parametros_recargas!$K$76*'Plan mensual'!O123+parametros_recargas!$L$76*'Plan mensual'!O124</f>
        <v>9.54400419663871</v>
      </c>
      <c r="N102" s="7" t="n">
        <f aca="false">SUM(B102:M102)</f>
        <v>114.528050359665</v>
      </c>
      <c r="O102" s="24" t="n">
        <f aca="false">MAX(B102:M102)</f>
        <v>9.54400419663871</v>
      </c>
      <c r="P102" s="15" t="n">
        <f aca="false">O102/parametros_recargas!$B$6</f>
        <v>0.0636266946442581</v>
      </c>
    </row>
    <row r="103" customFormat="false" ht="15" hidden="false" customHeight="false" outlineLevel="0" collapsed="false">
      <c r="A103" s="12" t="str">
        <f aca="false">parametros_recargas!$B$77</f>
        <v>Descarga de agua / AFFF / sales K</v>
      </c>
      <c r="B103" s="23" t="n">
        <f aca="false">parametros_recargas!$E$77*'Plan mensual'!D117+parametros_recargas!$F$77*'Plan mensual'!D118+parametros_recargas!$G$77*'Plan mensual'!D119+parametros_recargas!$H$77*'Plan mensual'!D120+parametros_recargas!$I$77*'Plan mensual'!D121+parametros_recargas!$J$77*'Plan mensual'!D122+parametros_recargas!$K$77*'Plan mensual'!D123+parametros_recargas!$L$77*'Plan mensual'!D124</f>
        <v>327.033298365888</v>
      </c>
      <c r="C103" s="23" t="n">
        <f aca="false">parametros_recargas!$E$77*'Plan mensual'!E117+parametros_recargas!$F$77*'Plan mensual'!E118+parametros_recargas!$G$77*'Plan mensual'!E119+parametros_recargas!$H$77*'Plan mensual'!E120+parametros_recargas!$I$77*'Plan mensual'!E121+parametros_recargas!$J$77*'Plan mensual'!E122+parametros_recargas!$K$77*'Plan mensual'!E123+parametros_recargas!$L$77*'Plan mensual'!E124</f>
        <v>327.033298365888</v>
      </c>
      <c r="D103" s="23" t="n">
        <f aca="false">parametros_recargas!$E$77*'Plan mensual'!F117+parametros_recargas!$F$77*'Plan mensual'!F118+parametros_recargas!$G$77*'Plan mensual'!F119+parametros_recargas!$H$77*'Plan mensual'!F120+parametros_recargas!$I$77*'Plan mensual'!F121+parametros_recargas!$J$77*'Plan mensual'!F122+parametros_recargas!$K$77*'Plan mensual'!F123+parametros_recargas!$L$77*'Plan mensual'!F124</f>
        <v>327.033298365888</v>
      </c>
      <c r="E103" s="23" t="n">
        <f aca="false">parametros_recargas!$E$77*'Plan mensual'!G117+parametros_recargas!$F$77*'Plan mensual'!G118+parametros_recargas!$G$77*'Plan mensual'!G119+parametros_recargas!$H$77*'Plan mensual'!G120+parametros_recargas!$I$77*'Plan mensual'!G121+parametros_recargas!$J$77*'Plan mensual'!G122+parametros_recargas!$K$77*'Plan mensual'!G123+parametros_recargas!$L$77*'Plan mensual'!G124</f>
        <v>327.033298365888</v>
      </c>
      <c r="F103" s="23" t="n">
        <f aca="false">parametros_recargas!$E$77*'Plan mensual'!H117+parametros_recargas!$F$77*'Plan mensual'!H118+parametros_recargas!$G$77*'Plan mensual'!H119+parametros_recargas!$H$77*'Plan mensual'!H120+parametros_recargas!$I$77*'Plan mensual'!H121+parametros_recargas!$J$77*'Plan mensual'!H122+parametros_recargas!$K$77*'Plan mensual'!H123+parametros_recargas!$L$77*'Plan mensual'!H124</f>
        <v>327.033298365888</v>
      </c>
      <c r="G103" s="23" t="n">
        <f aca="false">parametros_recargas!$E$77*'Plan mensual'!I117+parametros_recargas!$F$77*'Plan mensual'!I118+parametros_recargas!$G$77*'Plan mensual'!I119+parametros_recargas!$H$77*'Plan mensual'!I120+parametros_recargas!$I$77*'Plan mensual'!I121+parametros_recargas!$J$77*'Plan mensual'!I122+parametros_recargas!$K$77*'Plan mensual'!I123+parametros_recargas!$L$77*'Plan mensual'!I124</f>
        <v>327.033298365888</v>
      </c>
      <c r="H103" s="23" t="n">
        <f aca="false">parametros_recargas!$E$77*'Plan mensual'!J117+parametros_recargas!$F$77*'Plan mensual'!J118+parametros_recargas!$G$77*'Plan mensual'!J119+parametros_recargas!$H$77*'Plan mensual'!J120+parametros_recargas!$I$77*'Plan mensual'!J121+parametros_recargas!$J$77*'Plan mensual'!J122+parametros_recargas!$K$77*'Plan mensual'!J123+parametros_recargas!$L$77*'Plan mensual'!J124</f>
        <v>327.033298365888</v>
      </c>
      <c r="I103" s="23" t="n">
        <f aca="false">parametros_recargas!$E$77*'Plan mensual'!K117+parametros_recargas!$F$77*'Plan mensual'!K118+parametros_recargas!$G$77*'Plan mensual'!K119+parametros_recargas!$H$77*'Plan mensual'!K120+parametros_recargas!$I$77*'Plan mensual'!K121+parametros_recargas!$J$77*'Plan mensual'!K122+parametros_recargas!$K$77*'Plan mensual'!K123+parametros_recargas!$L$77*'Plan mensual'!K124</f>
        <v>327.033298365888</v>
      </c>
      <c r="J103" s="23" t="n">
        <f aca="false">parametros_recargas!$E$77*'Plan mensual'!L117+parametros_recargas!$F$77*'Plan mensual'!L118+parametros_recargas!$G$77*'Plan mensual'!L119+parametros_recargas!$H$77*'Plan mensual'!L120+parametros_recargas!$I$77*'Plan mensual'!L121+parametros_recargas!$J$77*'Plan mensual'!L122+parametros_recargas!$K$77*'Plan mensual'!L123+parametros_recargas!$L$77*'Plan mensual'!L124</f>
        <v>327.033298365888</v>
      </c>
      <c r="K103" s="23" t="n">
        <f aca="false">parametros_recargas!$E$77*'Plan mensual'!M117+parametros_recargas!$F$77*'Plan mensual'!M118+parametros_recargas!$G$77*'Plan mensual'!M119+parametros_recargas!$H$77*'Plan mensual'!M120+parametros_recargas!$I$77*'Plan mensual'!M121+parametros_recargas!$J$77*'Plan mensual'!M122+parametros_recargas!$K$77*'Plan mensual'!M123+parametros_recargas!$L$77*'Plan mensual'!M124</f>
        <v>327.033298365888</v>
      </c>
      <c r="L103" s="23" t="n">
        <f aca="false">parametros_recargas!$E$77*'Plan mensual'!N117+parametros_recargas!$F$77*'Plan mensual'!N118+parametros_recargas!$G$77*'Plan mensual'!N119+parametros_recargas!$H$77*'Plan mensual'!N120+parametros_recargas!$I$77*'Plan mensual'!N121+parametros_recargas!$J$77*'Plan mensual'!N122+parametros_recargas!$K$77*'Plan mensual'!N123+parametros_recargas!$L$77*'Plan mensual'!N124</f>
        <v>327.033298365888</v>
      </c>
      <c r="M103" s="23" t="n">
        <f aca="false">parametros_recargas!$E$77*'Plan mensual'!O117+parametros_recargas!$F$77*'Plan mensual'!O118+parametros_recargas!$G$77*'Plan mensual'!O119+parametros_recargas!$H$77*'Plan mensual'!O120+parametros_recargas!$I$77*'Plan mensual'!O121+parametros_recargas!$J$77*'Plan mensual'!O122+parametros_recargas!$K$77*'Plan mensual'!O123+parametros_recargas!$L$77*'Plan mensual'!O124</f>
        <v>327.033298365888</v>
      </c>
      <c r="N103" s="7" t="n">
        <f aca="false">SUM(B103:M103)</f>
        <v>3924.39958039065</v>
      </c>
      <c r="O103" s="24" t="n">
        <f aca="false">MAX(B103:M103)</f>
        <v>327.033298365888</v>
      </c>
      <c r="P103" s="15" t="n">
        <f aca="false">O103/parametros_recargas!$B$6</f>
        <v>2.18022198910592</v>
      </c>
    </row>
    <row r="104" customFormat="false" ht="15" hidden="false" customHeight="false" outlineLevel="0" collapsed="false">
      <c r="A104" s="12" t="str">
        <f aca="false">parametros_recargas!$B$78</f>
        <v>Recuperación de CO₂</v>
      </c>
      <c r="B104" s="23" t="n">
        <f aca="false">parametros_recargas!$E$78*'Plan mensual'!D117+parametros_recargas!$F$78*'Plan mensual'!D118+parametros_recargas!$G$78*'Plan mensual'!D119+parametros_recargas!$H$78*'Plan mensual'!D120+parametros_recargas!$I$78*'Plan mensual'!D121+parametros_recargas!$J$78*'Plan mensual'!D122+parametros_recargas!$K$78*'Plan mensual'!D123+parametros_recargas!$L$78*'Plan mensual'!D124</f>
        <v>148.936866671305</v>
      </c>
      <c r="C104" s="23" t="n">
        <f aca="false">parametros_recargas!$E$78*'Plan mensual'!E117+parametros_recargas!$F$78*'Plan mensual'!E118+parametros_recargas!$G$78*'Plan mensual'!E119+parametros_recargas!$H$78*'Plan mensual'!E120+parametros_recargas!$I$78*'Plan mensual'!E121+parametros_recargas!$J$78*'Plan mensual'!E122+parametros_recargas!$K$78*'Plan mensual'!E123+parametros_recargas!$L$78*'Plan mensual'!E124</f>
        <v>148.936866671305</v>
      </c>
      <c r="D104" s="23" t="n">
        <f aca="false">parametros_recargas!$E$78*'Plan mensual'!F117+parametros_recargas!$F$78*'Plan mensual'!F118+parametros_recargas!$G$78*'Plan mensual'!F119+parametros_recargas!$H$78*'Plan mensual'!F120+parametros_recargas!$I$78*'Plan mensual'!F121+parametros_recargas!$J$78*'Plan mensual'!F122+parametros_recargas!$K$78*'Plan mensual'!F123+parametros_recargas!$L$78*'Plan mensual'!F124</f>
        <v>148.936866671305</v>
      </c>
      <c r="E104" s="23" t="n">
        <f aca="false">parametros_recargas!$E$78*'Plan mensual'!G117+parametros_recargas!$F$78*'Plan mensual'!G118+parametros_recargas!$G$78*'Plan mensual'!G119+parametros_recargas!$H$78*'Plan mensual'!G120+parametros_recargas!$I$78*'Plan mensual'!G121+parametros_recargas!$J$78*'Plan mensual'!G122+parametros_recargas!$K$78*'Plan mensual'!G123+parametros_recargas!$L$78*'Plan mensual'!G124</f>
        <v>148.936866671305</v>
      </c>
      <c r="F104" s="23" t="n">
        <f aca="false">parametros_recargas!$E$78*'Plan mensual'!H117+parametros_recargas!$F$78*'Plan mensual'!H118+parametros_recargas!$G$78*'Plan mensual'!H119+parametros_recargas!$H$78*'Plan mensual'!H120+parametros_recargas!$I$78*'Plan mensual'!H121+parametros_recargas!$J$78*'Plan mensual'!H122+parametros_recargas!$K$78*'Plan mensual'!H123+parametros_recargas!$L$78*'Plan mensual'!H124</f>
        <v>148.936866671305</v>
      </c>
      <c r="G104" s="23" t="n">
        <f aca="false">parametros_recargas!$E$78*'Plan mensual'!I117+parametros_recargas!$F$78*'Plan mensual'!I118+parametros_recargas!$G$78*'Plan mensual'!I119+parametros_recargas!$H$78*'Plan mensual'!I120+parametros_recargas!$I$78*'Plan mensual'!I121+parametros_recargas!$J$78*'Plan mensual'!I122+parametros_recargas!$K$78*'Plan mensual'!I123+parametros_recargas!$L$78*'Plan mensual'!I124</f>
        <v>148.936866671305</v>
      </c>
      <c r="H104" s="23" t="n">
        <f aca="false">parametros_recargas!$E$78*'Plan mensual'!J117+parametros_recargas!$F$78*'Plan mensual'!J118+parametros_recargas!$G$78*'Plan mensual'!J119+parametros_recargas!$H$78*'Plan mensual'!J120+parametros_recargas!$I$78*'Plan mensual'!J121+parametros_recargas!$J$78*'Plan mensual'!J122+parametros_recargas!$K$78*'Plan mensual'!J123+parametros_recargas!$L$78*'Plan mensual'!J124</f>
        <v>148.936866671305</v>
      </c>
      <c r="I104" s="23" t="n">
        <f aca="false">parametros_recargas!$E$78*'Plan mensual'!K117+parametros_recargas!$F$78*'Plan mensual'!K118+parametros_recargas!$G$78*'Plan mensual'!K119+parametros_recargas!$H$78*'Plan mensual'!K120+parametros_recargas!$I$78*'Plan mensual'!K121+parametros_recargas!$J$78*'Plan mensual'!K122+parametros_recargas!$K$78*'Plan mensual'!K123+parametros_recargas!$L$78*'Plan mensual'!K124</f>
        <v>148.936866671305</v>
      </c>
      <c r="J104" s="23" t="n">
        <f aca="false">parametros_recargas!$E$78*'Plan mensual'!L117+parametros_recargas!$F$78*'Plan mensual'!L118+parametros_recargas!$G$78*'Plan mensual'!L119+parametros_recargas!$H$78*'Plan mensual'!L120+parametros_recargas!$I$78*'Plan mensual'!L121+parametros_recargas!$J$78*'Plan mensual'!L122+parametros_recargas!$K$78*'Plan mensual'!L123+parametros_recargas!$L$78*'Plan mensual'!L124</f>
        <v>148.936866671305</v>
      </c>
      <c r="K104" s="23" t="n">
        <f aca="false">parametros_recargas!$E$78*'Plan mensual'!M117+parametros_recargas!$F$78*'Plan mensual'!M118+parametros_recargas!$G$78*'Plan mensual'!M119+parametros_recargas!$H$78*'Plan mensual'!M120+parametros_recargas!$I$78*'Plan mensual'!M121+parametros_recargas!$J$78*'Plan mensual'!M122+parametros_recargas!$K$78*'Plan mensual'!M123+parametros_recargas!$L$78*'Plan mensual'!M124</f>
        <v>148.936866671305</v>
      </c>
      <c r="L104" s="23" t="n">
        <f aca="false">parametros_recargas!$E$78*'Plan mensual'!N117+parametros_recargas!$F$78*'Plan mensual'!N118+parametros_recargas!$G$78*'Plan mensual'!N119+parametros_recargas!$H$78*'Plan mensual'!N120+parametros_recargas!$I$78*'Plan mensual'!N121+parametros_recargas!$J$78*'Plan mensual'!N122+parametros_recargas!$K$78*'Plan mensual'!N123+parametros_recargas!$L$78*'Plan mensual'!N124</f>
        <v>148.936866671305</v>
      </c>
      <c r="M104" s="23" t="n">
        <f aca="false">parametros_recargas!$E$78*'Plan mensual'!O117+parametros_recargas!$F$78*'Plan mensual'!O118+parametros_recargas!$G$78*'Plan mensual'!O119+parametros_recargas!$H$78*'Plan mensual'!O120+parametros_recargas!$I$78*'Plan mensual'!O121+parametros_recargas!$J$78*'Plan mensual'!O122+parametros_recargas!$K$78*'Plan mensual'!O123+parametros_recargas!$L$78*'Plan mensual'!O124</f>
        <v>148.936866671305</v>
      </c>
      <c r="N104" s="7" t="n">
        <f aca="false">SUM(B104:M104)</f>
        <v>1787.24240005566</v>
      </c>
      <c r="O104" s="24" t="n">
        <f aca="false">MAX(B104:M104)</f>
        <v>148.936866671305</v>
      </c>
      <c r="P104" s="15" t="n">
        <f aca="false">O104/parametros_recargas!$B$6</f>
        <v>0.992912444475365</v>
      </c>
    </row>
    <row r="105" customFormat="false" ht="15" hidden="false" customHeight="false" outlineLevel="0" collapsed="false">
      <c r="A105" s="12" t="str">
        <f aca="false">parametros_recargas!$B$79</f>
        <v>Recuperación de halogenado</v>
      </c>
      <c r="B105" s="23" t="n">
        <f aca="false">parametros_recargas!$E$79*'Plan mensual'!D117+parametros_recargas!$F$79*'Plan mensual'!D118+parametros_recargas!$G$79*'Plan mensual'!D119+parametros_recargas!$H$79*'Plan mensual'!D120+parametros_recargas!$I$79*'Plan mensual'!D121+parametros_recargas!$J$79*'Plan mensual'!D122+parametros_recargas!$K$79*'Plan mensual'!D123+parametros_recargas!$L$79*'Plan mensual'!D124</f>
        <v>5.96280304973965</v>
      </c>
      <c r="C105" s="23" t="n">
        <f aca="false">parametros_recargas!$E$79*'Plan mensual'!E117+parametros_recargas!$F$79*'Plan mensual'!E118+parametros_recargas!$G$79*'Plan mensual'!E119+parametros_recargas!$H$79*'Plan mensual'!E120+parametros_recargas!$I$79*'Plan mensual'!E121+parametros_recargas!$J$79*'Plan mensual'!E122+parametros_recargas!$K$79*'Plan mensual'!E123+parametros_recargas!$L$79*'Plan mensual'!E124</f>
        <v>5.96280304973965</v>
      </c>
      <c r="D105" s="23" t="n">
        <f aca="false">parametros_recargas!$E$79*'Plan mensual'!F117+parametros_recargas!$F$79*'Plan mensual'!F118+parametros_recargas!$G$79*'Plan mensual'!F119+parametros_recargas!$H$79*'Plan mensual'!F120+parametros_recargas!$I$79*'Plan mensual'!F121+parametros_recargas!$J$79*'Plan mensual'!F122+parametros_recargas!$K$79*'Plan mensual'!F123+parametros_recargas!$L$79*'Plan mensual'!F124</f>
        <v>5.96280304973965</v>
      </c>
      <c r="E105" s="23" t="n">
        <f aca="false">parametros_recargas!$E$79*'Plan mensual'!G117+parametros_recargas!$F$79*'Plan mensual'!G118+parametros_recargas!$G$79*'Plan mensual'!G119+parametros_recargas!$H$79*'Plan mensual'!G120+parametros_recargas!$I$79*'Plan mensual'!G121+parametros_recargas!$J$79*'Plan mensual'!G122+parametros_recargas!$K$79*'Plan mensual'!G123+parametros_recargas!$L$79*'Plan mensual'!G124</f>
        <v>5.96280304973965</v>
      </c>
      <c r="F105" s="23" t="n">
        <f aca="false">parametros_recargas!$E$79*'Plan mensual'!H117+parametros_recargas!$F$79*'Plan mensual'!H118+parametros_recargas!$G$79*'Plan mensual'!H119+parametros_recargas!$H$79*'Plan mensual'!H120+parametros_recargas!$I$79*'Plan mensual'!H121+parametros_recargas!$J$79*'Plan mensual'!H122+parametros_recargas!$K$79*'Plan mensual'!H123+parametros_recargas!$L$79*'Plan mensual'!H124</f>
        <v>5.96280304973965</v>
      </c>
      <c r="G105" s="23" t="n">
        <f aca="false">parametros_recargas!$E$79*'Plan mensual'!I117+parametros_recargas!$F$79*'Plan mensual'!I118+parametros_recargas!$G$79*'Plan mensual'!I119+parametros_recargas!$H$79*'Plan mensual'!I120+parametros_recargas!$I$79*'Plan mensual'!I121+parametros_recargas!$J$79*'Plan mensual'!I122+parametros_recargas!$K$79*'Plan mensual'!I123+parametros_recargas!$L$79*'Plan mensual'!I124</f>
        <v>5.96280304973965</v>
      </c>
      <c r="H105" s="23" t="n">
        <f aca="false">parametros_recargas!$E$79*'Plan mensual'!J117+parametros_recargas!$F$79*'Plan mensual'!J118+parametros_recargas!$G$79*'Plan mensual'!J119+parametros_recargas!$H$79*'Plan mensual'!J120+parametros_recargas!$I$79*'Plan mensual'!J121+parametros_recargas!$J$79*'Plan mensual'!J122+parametros_recargas!$K$79*'Plan mensual'!J123+parametros_recargas!$L$79*'Plan mensual'!J124</f>
        <v>5.96280304973965</v>
      </c>
      <c r="I105" s="23" t="n">
        <f aca="false">parametros_recargas!$E$79*'Plan mensual'!K117+parametros_recargas!$F$79*'Plan mensual'!K118+parametros_recargas!$G$79*'Plan mensual'!K119+parametros_recargas!$H$79*'Plan mensual'!K120+parametros_recargas!$I$79*'Plan mensual'!K121+parametros_recargas!$J$79*'Plan mensual'!K122+parametros_recargas!$K$79*'Plan mensual'!K123+parametros_recargas!$L$79*'Plan mensual'!K124</f>
        <v>5.96280304973965</v>
      </c>
      <c r="J105" s="23" t="n">
        <f aca="false">parametros_recargas!$E$79*'Plan mensual'!L117+parametros_recargas!$F$79*'Plan mensual'!L118+parametros_recargas!$G$79*'Plan mensual'!L119+parametros_recargas!$H$79*'Plan mensual'!L120+parametros_recargas!$I$79*'Plan mensual'!L121+parametros_recargas!$J$79*'Plan mensual'!L122+parametros_recargas!$K$79*'Plan mensual'!L123+parametros_recargas!$L$79*'Plan mensual'!L124</f>
        <v>5.96280304973965</v>
      </c>
      <c r="K105" s="23" t="n">
        <f aca="false">parametros_recargas!$E$79*'Plan mensual'!M117+parametros_recargas!$F$79*'Plan mensual'!M118+parametros_recargas!$G$79*'Plan mensual'!M119+parametros_recargas!$H$79*'Plan mensual'!M120+parametros_recargas!$I$79*'Plan mensual'!M121+parametros_recargas!$J$79*'Plan mensual'!M122+parametros_recargas!$K$79*'Plan mensual'!M123+parametros_recargas!$L$79*'Plan mensual'!M124</f>
        <v>5.96280304973965</v>
      </c>
      <c r="L105" s="23" t="n">
        <f aca="false">parametros_recargas!$E$79*'Plan mensual'!N117+parametros_recargas!$F$79*'Plan mensual'!N118+parametros_recargas!$G$79*'Plan mensual'!N119+parametros_recargas!$H$79*'Plan mensual'!N120+parametros_recargas!$I$79*'Plan mensual'!N121+parametros_recargas!$J$79*'Plan mensual'!N122+parametros_recargas!$K$79*'Plan mensual'!N123+parametros_recargas!$L$79*'Plan mensual'!N124</f>
        <v>5.96280304973965</v>
      </c>
      <c r="M105" s="23" t="n">
        <f aca="false">parametros_recargas!$E$79*'Plan mensual'!O117+parametros_recargas!$F$79*'Plan mensual'!O118+parametros_recargas!$G$79*'Plan mensual'!O119+parametros_recargas!$H$79*'Plan mensual'!O120+parametros_recargas!$I$79*'Plan mensual'!O121+parametros_recargas!$J$79*'Plan mensual'!O122+parametros_recargas!$K$79*'Plan mensual'!O123+parametros_recargas!$L$79*'Plan mensual'!O124</f>
        <v>5.96280304973965</v>
      </c>
      <c r="N105" s="7" t="n">
        <f aca="false">SUM(B105:M105)</f>
        <v>71.5536365968758</v>
      </c>
      <c r="O105" s="24" t="n">
        <f aca="false">MAX(B105:M105)</f>
        <v>5.96280304973965</v>
      </c>
      <c r="P105" s="15" t="n">
        <f aca="false">O105/parametros_recargas!$B$6</f>
        <v>0.0397520203315976</v>
      </c>
    </row>
    <row r="106" customFormat="false" ht="15" hidden="false" customHeight="false" outlineLevel="0" collapsed="false">
      <c r="A106" s="12" t="str">
        <f aca="false">parametros_recargas!$B$80</f>
        <v>Desarme y limpieza — recinto</v>
      </c>
      <c r="B106" s="23" t="n">
        <f aca="false">parametros_recargas!$E$80*'Plan mensual'!D117+parametros_recargas!$F$80*'Plan mensual'!D118+parametros_recargas!$G$80*'Plan mensual'!D119+parametros_recargas!$H$80*'Plan mensual'!D120+parametros_recargas!$I$80*'Plan mensual'!D121+parametros_recargas!$J$80*'Plan mensual'!D122+parametros_recargas!$K$80*'Plan mensual'!D123+parametros_recargas!$L$80*'Plan mensual'!D124</f>
        <v>6020.05409642468</v>
      </c>
      <c r="C106" s="23" t="n">
        <f aca="false">parametros_recargas!$E$80*'Plan mensual'!E117+parametros_recargas!$F$80*'Plan mensual'!E118+parametros_recargas!$G$80*'Plan mensual'!E119+parametros_recargas!$H$80*'Plan mensual'!E120+parametros_recargas!$I$80*'Plan mensual'!E121+parametros_recargas!$J$80*'Plan mensual'!E122+parametros_recargas!$K$80*'Plan mensual'!E123+parametros_recargas!$L$80*'Plan mensual'!E124</f>
        <v>6020.05409642468</v>
      </c>
      <c r="D106" s="23" t="n">
        <f aca="false">parametros_recargas!$E$80*'Plan mensual'!F117+parametros_recargas!$F$80*'Plan mensual'!F118+parametros_recargas!$G$80*'Plan mensual'!F119+parametros_recargas!$H$80*'Plan mensual'!F120+parametros_recargas!$I$80*'Plan mensual'!F121+parametros_recargas!$J$80*'Plan mensual'!F122+parametros_recargas!$K$80*'Plan mensual'!F123+parametros_recargas!$L$80*'Plan mensual'!F124</f>
        <v>6020.05409642468</v>
      </c>
      <c r="E106" s="23" t="n">
        <f aca="false">parametros_recargas!$E$80*'Plan mensual'!G117+parametros_recargas!$F$80*'Plan mensual'!G118+parametros_recargas!$G$80*'Plan mensual'!G119+parametros_recargas!$H$80*'Plan mensual'!G120+parametros_recargas!$I$80*'Plan mensual'!G121+parametros_recargas!$J$80*'Plan mensual'!G122+parametros_recargas!$K$80*'Plan mensual'!G123+parametros_recargas!$L$80*'Plan mensual'!G124</f>
        <v>6020.05409642468</v>
      </c>
      <c r="F106" s="23" t="n">
        <f aca="false">parametros_recargas!$E$80*'Plan mensual'!H117+parametros_recargas!$F$80*'Plan mensual'!H118+parametros_recargas!$G$80*'Plan mensual'!H119+parametros_recargas!$H$80*'Plan mensual'!H120+parametros_recargas!$I$80*'Plan mensual'!H121+parametros_recargas!$J$80*'Plan mensual'!H122+parametros_recargas!$K$80*'Plan mensual'!H123+parametros_recargas!$L$80*'Plan mensual'!H124</f>
        <v>6020.05409642468</v>
      </c>
      <c r="G106" s="23" t="n">
        <f aca="false">parametros_recargas!$E$80*'Plan mensual'!I117+parametros_recargas!$F$80*'Plan mensual'!I118+parametros_recargas!$G$80*'Plan mensual'!I119+parametros_recargas!$H$80*'Plan mensual'!I120+parametros_recargas!$I$80*'Plan mensual'!I121+parametros_recargas!$J$80*'Plan mensual'!I122+parametros_recargas!$K$80*'Plan mensual'!I123+parametros_recargas!$L$80*'Plan mensual'!I124</f>
        <v>6020.05409642468</v>
      </c>
      <c r="H106" s="23" t="n">
        <f aca="false">parametros_recargas!$E$80*'Plan mensual'!J117+parametros_recargas!$F$80*'Plan mensual'!J118+parametros_recargas!$G$80*'Plan mensual'!J119+parametros_recargas!$H$80*'Plan mensual'!J120+parametros_recargas!$I$80*'Plan mensual'!J121+parametros_recargas!$J$80*'Plan mensual'!J122+parametros_recargas!$K$80*'Plan mensual'!J123+parametros_recargas!$L$80*'Plan mensual'!J124</f>
        <v>6020.05409642468</v>
      </c>
      <c r="I106" s="23" t="n">
        <f aca="false">parametros_recargas!$E$80*'Plan mensual'!K117+parametros_recargas!$F$80*'Plan mensual'!K118+parametros_recargas!$G$80*'Plan mensual'!K119+parametros_recargas!$H$80*'Plan mensual'!K120+parametros_recargas!$I$80*'Plan mensual'!K121+parametros_recargas!$J$80*'Plan mensual'!K122+parametros_recargas!$K$80*'Plan mensual'!K123+parametros_recargas!$L$80*'Plan mensual'!K124</f>
        <v>6020.05409642468</v>
      </c>
      <c r="J106" s="23" t="n">
        <f aca="false">parametros_recargas!$E$80*'Plan mensual'!L117+parametros_recargas!$F$80*'Plan mensual'!L118+parametros_recargas!$G$80*'Plan mensual'!L119+parametros_recargas!$H$80*'Plan mensual'!L120+parametros_recargas!$I$80*'Plan mensual'!L121+parametros_recargas!$J$80*'Plan mensual'!L122+parametros_recargas!$K$80*'Plan mensual'!L123+parametros_recargas!$L$80*'Plan mensual'!L124</f>
        <v>6020.05409642468</v>
      </c>
      <c r="K106" s="23" t="n">
        <f aca="false">parametros_recargas!$E$80*'Plan mensual'!M117+parametros_recargas!$F$80*'Plan mensual'!M118+parametros_recargas!$G$80*'Plan mensual'!M119+parametros_recargas!$H$80*'Plan mensual'!M120+parametros_recargas!$I$80*'Plan mensual'!M121+parametros_recargas!$J$80*'Plan mensual'!M122+parametros_recargas!$K$80*'Plan mensual'!M123+parametros_recargas!$L$80*'Plan mensual'!M124</f>
        <v>6020.05409642468</v>
      </c>
      <c r="L106" s="23" t="n">
        <f aca="false">parametros_recargas!$E$80*'Plan mensual'!N117+parametros_recargas!$F$80*'Plan mensual'!N118+parametros_recargas!$G$80*'Plan mensual'!N119+parametros_recargas!$H$80*'Plan mensual'!N120+parametros_recargas!$I$80*'Plan mensual'!N121+parametros_recargas!$J$80*'Plan mensual'!N122+parametros_recargas!$K$80*'Plan mensual'!N123+parametros_recargas!$L$80*'Plan mensual'!N124</f>
        <v>6020.05409642468</v>
      </c>
      <c r="M106" s="23" t="n">
        <f aca="false">parametros_recargas!$E$80*'Plan mensual'!O117+parametros_recargas!$F$80*'Plan mensual'!O118+parametros_recargas!$G$80*'Plan mensual'!O119+parametros_recargas!$H$80*'Plan mensual'!O120+parametros_recargas!$I$80*'Plan mensual'!O121+parametros_recargas!$J$80*'Plan mensual'!O122+parametros_recargas!$K$80*'Plan mensual'!O123+parametros_recargas!$L$80*'Plan mensual'!O124</f>
        <v>6020.05409642468</v>
      </c>
      <c r="N106" s="7" t="n">
        <f aca="false">SUM(B106:M106)</f>
        <v>72240.6491570961</v>
      </c>
      <c r="O106" s="24" t="n">
        <f aca="false">MAX(B106:M106)</f>
        <v>6020.05409642468</v>
      </c>
      <c r="P106" s="15" t="n">
        <f aca="false">O106/parametros_recargas!$B$6</f>
        <v>40.1336939761645</v>
      </c>
    </row>
    <row r="107" customFormat="false" ht="15" hidden="false" customHeight="false" outlineLevel="0" collapsed="false">
      <c r="A107" s="12" t="str">
        <f aca="false">parametros_recargas!$B$81</f>
        <v>Desarme e inspección interior — zona general</v>
      </c>
      <c r="B107" s="23" t="n">
        <f aca="false">parametros_recargas!$E$81*'Plan mensual'!D117+parametros_recargas!$F$81*'Plan mensual'!D118+parametros_recargas!$G$81*'Plan mensual'!D119+parametros_recargas!$H$81*'Plan mensual'!D120+parametros_recargas!$I$81*'Plan mensual'!D121+parametros_recargas!$J$81*'Plan mensual'!D122+parametros_recargas!$K$81*'Plan mensual'!D123+parametros_recargas!$L$81*'Plan mensual'!D124</f>
        <v>481.932968086932</v>
      </c>
      <c r="C107" s="23" t="n">
        <f aca="false">parametros_recargas!$E$81*'Plan mensual'!E117+parametros_recargas!$F$81*'Plan mensual'!E118+parametros_recargas!$G$81*'Plan mensual'!E119+parametros_recargas!$H$81*'Plan mensual'!E120+parametros_recargas!$I$81*'Plan mensual'!E121+parametros_recargas!$J$81*'Plan mensual'!E122+parametros_recargas!$K$81*'Plan mensual'!E123+parametros_recargas!$L$81*'Plan mensual'!E124</f>
        <v>481.932968086932</v>
      </c>
      <c r="D107" s="23" t="n">
        <f aca="false">parametros_recargas!$E$81*'Plan mensual'!F117+parametros_recargas!$F$81*'Plan mensual'!F118+parametros_recargas!$G$81*'Plan mensual'!F119+parametros_recargas!$H$81*'Plan mensual'!F120+parametros_recargas!$I$81*'Plan mensual'!F121+parametros_recargas!$J$81*'Plan mensual'!F122+parametros_recargas!$K$81*'Plan mensual'!F123+parametros_recargas!$L$81*'Plan mensual'!F124</f>
        <v>481.932968086932</v>
      </c>
      <c r="E107" s="23" t="n">
        <f aca="false">parametros_recargas!$E$81*'Plan mensual'!G117+parametros_recargas!$F$81*'Plan mensual'!G118+parametros_recargas!$G$81*'Plan mensual'!G119+parametros_recargas!$H$81*'Plan mensual'!G120+parametros_recargas!$I$81*'Plan mensual'!G121+parametros_recargas!$J$81*'Plan mensual'!G122+parametros_recargas!$K$81*'Plan mensual'!G123+parametros_recargas!$L$81*'Plan mensual'!G124</f>
        <v>481.932968086932</v>
      </c>
      <c r="F107" s="23" t="n">
        <f aca="false">parametros_recargas!$E$81*'Plan mensual'!H117+parametros_recargas!$F$81*'Plan mensual'!H118+parametros_recargas!$G$81*'Plan mensual'!H119+parametros_recargas!$H$81*'Plan mensual'!H120+parametros_recargas!$I$81*'Plan mensual'!H121+parametros_recargas!$J$81*'Plan mensual'!H122+parametros_recargas!$K$81*'Plan mensual'!H123+parametros_recargas!$L$81*'Plan mensual'!H124</f>
        <v>481.932968086932</v>
      </c>
      <c r="G107" s="23" t="n">
        <f aca="false">parametros_recargas!$E$81*'Plan mensual'!I117+parametros_recargas!$F$81*'Plan mensual'!I118+parametros_recargas!$G$81*'Plan mensual'!I119+parametros_recargas!$H$81*'Plan mensual'!I120+parametros_recargas!$I$81*'Plan mensual'!I121+parametros_recargas!$J$81*'Plan mensual'!I122+parametros_recargas!$K$81*'Plan mensual'!I123+parametros_recargas!$L$81*'Plan mensual'!I124</f>
        <v>481.932968086932</v>
      </c>
      <c r="H107" s="23" t="n">
        <f aca="false">parametros_recargas!$E$81*'Plan mensual'!J117+parametros_recargas!$F$81*'Plan mensual'!J118+parametros_recargas!$G$81*'Plan mensual'!J119+parametros_recargas!$H$81*'Plan mensual'!J120+parametros_recargas!$I$81*'Plan mensual'!J121+parametros_recargas!$J$81*'Plan mensual'!J122+parametros_recargas!$K$81*'Plan mensual'!J123+parametros_recargas!$L$81*'Plan mensual'!J124</f>
        <v>481.932968086932</v>
      </c>
      <c r="I107" s="23" t="n">
        <f aca="false">parametros_recargas!$E$81*'Plan mensual'!K117+parametros_recargas!$F$81*'Plan mensual'!K118+parametros_recargas!$G$81*'Plan mensual'!K119+parametros_recargas!$H$81*'Plan mensual'!K120+parametros_recargas!$I$81*'Plan mensual'!K121+parametros_recargas!$J$81*'Plan mensual'!K122+parametros_recargas!$K$81*'Plan mensual'!K123+parametros_recargas!$L$81*'Plan mensual'!K124</f>
        <v>481.932968086932</v>
      </c>
      <c r="J107" s="23" t="n">
        <f aca="false">parametros_recargas!$E$81*'Plan mensual'!L117+parametros_recargas!$F$81*'Plan mensual'!L118+parametros_recargas!$G$81*'Plan mensual'!L119+parametros_recargas!$H$81*'Plan mensual'!L120+parametros_recargas!$I$81*'Plan mensual'!L121+parametros_recargas!$J$81*'Plan mensual'!L122+parametros_recargas!$K$81*'Plan mensual'!L123+parametros_recargas!$L$81*'Plan mensual'!L124</f>
        <v>481.932968086932</v>
      </c>
      <c r="K107" s="23" t="n">
        <f aca="false">parametros_recargas!$E$81*'Plan mensual'!M117+parametros_recargas!$F$81*'Plan mensual'!M118+parametros_recargas!$G$81*'Plan mensual'!M119+parametros_recargas!$H$81*'Plan mensual'!M120+parametros_recargas!$I$81*'Plan mensual'!M121+parametros_recargas!$J$81*'Plan mensual'!M122+parametros_recargas!$K$81*'Plan mensual'!M123+parametros_recargas!$L$81*'Plan mensual'!M124</f>
        <v>481.932968086932</v>
      </c>
      <c r="L107" s="23" t="n">
        <f aca="false">parametros_recargas!$E$81*'Plan mensual'!N117+parametros_recargas!$F$81*'Plan mensual'!N118+parametros_recargas!$G$81*'Plan mensual'!N119+parametros_recargas!$H$81*'Plan mensual'!N120+parametros_recargas!$I$81*'Plan mensual'!N121+parametros_recargas!$J$81*'Plan mensual'!N122+parametros_recargas!$K$81*'Plan mensual'!N123+parametros_recargas!$L$81*'Plan mensual'!N124</f>
        <v>481.932968086932</v>
      </c>
      <c r="M107" s="23" t="n">
        <f aca="false">parametros_recargas!$E$81*'Plan mensual'!O117+parametros_recargas!$F$81*'Plan mensual'!O118+parametros_recargas!$G$81*'Plan mensual'!O119+parametros_recargas!$H$81*'Plan mensual'!O120+parametros_recargas!$I$81*'Plan mensual'!O121+parametros_recargas!$J$81*'Plan mensual'!O122+parametros_recargas!$K$81*'Plan mensual'!O123+parametros_recargas!$L$81*'Plan mensual'!O124</f>
        <v>481.932968086932</v>
      </c>
      <c r="N107" s="7" t="n">
        <f aca="false">SUM(B107:M107)</f>
        <v>5783.19561704319</v>
      </c>
      <c r="O107" s="24" t="n">
        <f aca="false">MAX(B107:M107)</f>
        <v>481.932968086932</v>
      </c>
      <c r="P107" s="15" t="n">
        <f aca="false">O107/parametros_recargas!$B$6</f>
        <v>3.21288645391288</v>
      </c>
    </row>
    <row r="108" customFormat="false" ht="15" hidden="false" customHeight="false" outlineLevel="0" collapsed="false">
      <c r="A108" s="12" t="str">
        <f aca="false">parametros_recargas!$B$82</f>
        <v>Laboratorio — Puffer y mufla</v>
      </c>
      <c r="B108" s="23" t="n">
        <f aca="false">parametros_recargas!$E$82*'Plan mensual'!D117+parametros_recargas!$F$82*'Plan mensual'!D118+parametros_recargas!$G$82*'Plan mensual'!D119+parametros_recargas!$H$82*'Plan mensual'!D120+parametros_recargas!$I$82*'Plan mensual'!D121+parametros_recargas!$J$82*'Plan mensual'!D122+parametros_recargas!$K$82*'Plan mensual'!D123+parametros_recargas!$L$82*'Plan mensual'!D124</f>
        <v>6.01117578736409</v>
      </c>
      <c r="C108" s="23" t="n">
        <f aca="false">parametros_recargas!$E$82*'Plan mensual'!E117+parametros_recargas!$F$82*'Plan mensual'!E118+parametros_recargas!$G$82*'Plan mensual'!E119+parametros_recargas!$H$82*'Plan mensual'!E120+parametros_recargas!$I$82*'Plan mensual'!E121+parametros_recargas!$J$82*'Plan mensual'!E122+parametros_recargas!$K$82*'Plan mensual'!E123+parametros_recargas!$L$82*'Plan mensual'!E124</f>
        <v>6.01117578736409</v>
      </c>
      <c r="D108" s="23" t="n">
        <f aca="false">parametros_recargas!$E$82*'Plan mensual'!F117+parametros_recargas!$F$82*'Plan mensual'!F118+parametros_recargas!$G$82*'Plan mensual'!F119+parametros_recargas!$H$82*'Plan mensual'!F120+parametros_recargas!$I$82*'Plan mensual'!F121+parametros_recargas!$J$82*'Plan mensual'!F122+parametros_recargas!$K$82*'Plan mensual'!F123+parametros_recargas!$L$82*'Plan mensual'!F124</f>
        <v>6.01117578736409</v>
      </c>
      <c r="E108" s="23" t="n">
        <f aca="false">parametros_recargas!$E$82*'Plan mensual'!G117+parametros_recargas!$F$82*'Plan mensual'!G118+parametros_recargas!$G$82*'Plan mensual'!G119+parametros_recargas!$H$82*'Plan mensual'!G120+parametros_recargas!$I$82*'Plan mensual'!G121+parametros_recargas!$J$82*'Plan mensual'!G122+parametros_recargas!$K$82*'Plan mensual'!G123+parametros_recargas!$L$82*'Plan mensual'!G124</f>
        <v>6.01117578736409</v>
      </c>
      <c r="F108" s="23" t="n">
        <f aca="false">parametros_recargas!$E$82*'Plan mensual'!H117+parametros_recargas!$F$82*'Plan mensual'!H118+parametros_recargas!$G$82*'Plan mensual'!H119+parametros_recargas!$H$82*'Plan mensual'!H120+parametros_recargas!$I$82*'Plan mensual'!H121+parametros_recargas!$J$82*'Plan mensual'!H122+parametros_recargas!$K$82*'Plan mensual'!H123+parametros_recargas!$L$82*'Plan mensual'!H124</f>
        <v>6.01117578736409</v>
      </c>
      <c r="G108" s="23" t="n">
        <f aca="false">parametros_recargas!$E$82*'Plan mensual'!I117+parametros_recargas!$F$82*'Plan mensual'!I118+parametros_recargas!$G$82*'Plan mensual'!I119+parametros_recargas!$H$82*'Plan mensual'!I120+parametros_recargas!$I$82*'Plan mensual'!I121+parametros_recargas!$J$82*'Plan mensual'!I122+parametros_recargas!$K$82*'Plan mensual'!I123+parametros_recargas!$L$82*'Plan mensual'!I124</f>
        <v>6.01117578736409</v>
      </c>
      <c r="H108" s="23" t="n">
        <f aca="false">parametros_recargas!$E$82*'Plan mensual'!J117+parametros_recargas!$F$82*'Plan mensual'!J118+parametros_recargas!$G$82*'Plan mensual'!J119+parametros_recargas!$H$82*'Plan mensual'!J120+parametros_recargas!$I$82*'Plan mensual'!J121+parametros_recargas!$J$82*'Plan mensual'!J122+parametros_recargas!$K$82*'Plan mensual'!J123+parametros_recargas!$L$82*'Plan mensual'!J124</f>
        <v>6.01117578736409</v>
      </c>
      <c r="I108" s="23" t="n">
        <f aca="false">parametros_recargas!$E$82*'Plan mensual'!K117+parametros_recargas!$F$82*'Plan mensual'!K118+parametros_recargas!$G$82*'Plan mensual'!K119+parametros_recargas!$H$82*'Plan mensual'!K120+parametros_recargas!$I$82*'Plan mensual'!K121+parametros_recargas!$J$82*'Plan mensual'!K122+parametros_recargas!$K$82*'Plan mensual'!K123+parametros_recargas!$L$82*'Plan mensual'!K124</f>
        <v>6.01117578736409</v>
      </c>
      <c r="J108" s="23" t="n">
        <f aca="false">parametros_recargas!$E$82*'Plan mensual'!L117+parametros_recargas!$F$82*'Plan mensual'!L118+parametros_recargas!$G$82*'Plan mensual'!L119+parametros_recargas!$H$82*'Plan mensual'!L120+parametros_recargas!$I$82*'Plan mensual'!L121+parametros_recargas!$J$82*'Plan mensual'!L122+parametros_recargas!$K$82*'Plan mensual'!L123+parametros_recargas!$L$82*'Plan mensual'!L124</f>
        <v>6.01117578736409</v>
      </c>
      <c r="K108" s="23" t="n">
        <f aca="false">parametros_recargas!$E$82*'Plan mensual'!M117+parametros_recargas!$F$82*'Plan mensual'!M118+parametros_recargas!$G$82*'Plan mensual'!M119+parametros_recargas!$H$82*'Plan mensual'!M120+parametros_recargas!$I$82*'Plan mensual'!M121+parametros_recargas!$J$82*'Plan mensual'!M122+parametros_recargas!$K$82*'Plan mensual'!M123+parametros_recargas!$L$82*'Plan mensual'!M124</f>
        <v>6.01117578736409</v>
      </c>
      <c r="L108" s="23" t="n">
        <f aca="false">parametros_recargas!$E$82*'Plan mensual'!N117+parametros_recargas!$F$82*'Plan mensual'!N118+parametros_recargas!$G$82*'Plan mensual'!N119+parametros_recargas!$H$82*'Plan mensual'!N120+parametros_recargas!$I$82*'Plan mensual'!N121+parametros_recargas!$J$82*'Plan mensual'!N122+parametros_recargas!$K$82*'Plan mensual'!N123+parametros_recargas!$L$82*'Plan mensual'!N124</f>
        <v>6.01117578736409</v>
      </c>
      <c r="M108" s="23" t="n">
        <f aca="false">parametros_recargas!$E$82*'Plan mensual'!O117+parametros_recargas!$F$82*'Plan mensual'!O118+parametros_recargas!$G$82*'Plan mensual'!O119+parametros_recargas!$H$82*'Plan mensual'!O120+parametros_recargas!$I$82*'Plan mensual'!O121+parametros_recargas!$J$82*'Plan mensual'!O122+parametros_recargas!$K$82*'Plan mensual'!O123+parametros_recargas!$L$82*'Plan mensual'!O124</f>
        <v>6.01117578736409</v>
      </c>
      <c r="N108" s="7" t="n">
        <f aca="false">SUM(B108:M108)</f>
        <v>72.134109448369</v>
      </c>
      <c r="O108" s="24" t="n">
        <f aca="false">MAX(B108:M108)</f>
        <v>6.01117578736409</v>
      </c>
      <c r="P108" s="15" t="n">
        <f aca="false">O108/parametros_recargas!$B$6</f>
        <v>0.0400745052490939</v>
      </c>
    </row>
    <row r="109" customFormat="false" ht="15" hidden="false" customHeight="false" outlineLevel="0" collapsed="false">
      <c r="A109" s="12" t="str">
        <f aca="false">parametros_recargas!$B$83</f>
        <v>Prueba hidráulica</v>
      </c>
      <c r="B109" s="23" t="n">
        <f aca="false">parametros_recargas!$E$83*'Plan mensual'!D117+parametros_recargas!$F$83*'Plan mensual'!D118+parametros_recargas!$G$83*'Plan mensual'!D119+parametros_recargas!$H$83*'Plan mensual'!D120+parametros_recargas!$I$83*'Plan mensual'!D121+parametros_recargas!$J$83*'Plan mensual'!D122+parametros_recargas!$K$83*'Plan mensual'!D123+parametros_recargas!$L$83*'Plan mensual'!D124</f>
        <v>1491.44720424472</v>
      </c>
      <c r="C109" s="23" t="n">
        <f aca="false">parametros_recargas!$E$83*'Plan mensual'!E117+parametros_recargas!$F$83*'Plan mensual'!E118+parametros_recargas!$G$83*'Plan mensual'!E119+parametros_recargas!$H$83*'Plan mensual'!E120+parametros_recargas!$I$83*'Plan mensual'!E121+parametros_recargas!$J$83*'Plan mensual'!E122+parametros_recargas!$K$83*'Plan mensual'!E123+parametros_recargas!$L$83*'Plan mensual'!E124</f>
        <v>1491.44720424472</v>
      </c>
      <c r="D109" s="23" t="n">
        <f aca="false">parametros_recargas!$E$83*'Plan mensual'!F117+parametros_recargas!$F$83*'Plan mensual'!F118+parametros_recargas!$G$83*'Plan mensual'!F119+parametros_recargas!$H$83*'Plan mensual'!F120+parametros_recargas!$I$83*'Plan mensual'!F121+parametros_recargas!$J$83*'Plan mensual'!F122+parametros_recargas!$K$83*'Plan mensual'!F123+parametros_recargas!$L$83*'Plan mensual'!F124</f>
        <v>1491.44720424472</v>
      </c>
      <c r="E109" s="23" t="n">
        <f aca="false">parametros_recargas!$E$83*'Plan mensual'!G117+parametros_recargas!$F$83*'Plan mensual'!G118+parametros_recargas!$G$83*'Plan mensual'!G119+parametros_recargas!$H$83*'Plan mensual'!G120+parametros_recargas!$I$83*'Plan mensual'!G121+parametros_recargas!$J$83*'Plan mensual'!G122+parametros_recargas!$K$83*'Plan mensual'!G123+parametros_recargas!$L$83*'Plan mensual'!G124</f>
        <v>1491.44720424472</v>
      </c>
      <c r="F109" s="23" t="n">
        <f aca="false">parametros_recargas!$E$83*'Plan mensual'!H117+parametros_recargas!$F$83*'Plan mensual'!H118+parametros_recargas!$G$83*'Plan mensual'!H119+parametros_recargas!$H$83*'Plan mensual'!H120+parametros_recargas!$I$83*'Plan mensual'!H121+parametros_recargas!$J$83*'Plan mensual'!H122+parametros_recargas!$K$83*'Plan mensual'!H123+parametros_recargas!$L$83*'Plan mensual'!H124</f>
        <v>1491.44720424472</v>
      </c>
      <c r="G109" s="23" t="n">
        <f aca="false">parametros_recargas!$E$83*'Plan mensual'!I117+parametros_recargas!$F$83*'Plan mensual'!I118+parametros_recargas!$G$83*'Plan mensual'!I119+parametros_recargas!$H$83*'Plan mensual'!I120+parametros_recargas!$I$83*'Plan mensual'!I121+parametros_recargas!$J$83*'Plan mensual'!I122+parametros_recargas!$K$83*'Plan mensual'!I123+parametros_recargas!$L$83*'Plan mensual'!I124</f>
        <v>1491.44720424472</v>
      </c>
      <c r="H109" s="23" t="n">
        <f aca="false">parametros_recargas!$E$83*'Plan mensual'!J117+parametros_recargas!$F$83*'Plan mensual'!J118+parametros_recargas!$G$83*'Plan mensual'!J119+parametros_recargas!$H$83*'Plan mensual'!J120+parametros_recargas!$I$83*'Plan mensual'!J121+parametros_recargas!$J$83*'Plan mensual'!J122+parametros_recargas!$K$83*'Plan mensual'!J123+parametros_recargas!$L$83*'Plan mensual'!J124</f>
        <v>1491.44720424472</v>
      </c>
      <c r="I109" s="23" t="n">
        <f aca="false">parametros_recargas!$E$83*'Plan mensual'!K117+parametros_recargas!$F$83*'Plan mensual'!K118+parametros_recargas!$G$83*'Plan mensual'!K119+parametros_recargas!$H$83*'Plan mensual'!K120+parametros_recargas!$I$83*'Plan mensual'!K121+parametros_recargas!$J$83*'Plan mensual'!K122+parametros_recargas!$K$83*'Plan mensual'!K123+parametros_recargas!$L$83*'Plan mensual'!K124</f>
        <v>1491.44720424472</v>
      </c>
      <c r="J109" s="23" t="n">
        <f aca="false">parametros_recargas!$E$83*'Plan mensual'!L117+parametros_recargas!$F$83*'Plan mensual'!L118+parametros_recargas!$G$83*'Plan mensual'!L119+parametros_recargas!$H$83*'Plan mensual'!L120+parametros_recargas!$I$83*'Plan mensual'!L121+parametros_recargas!$J$83*'Plan mensual'!L122+parametros_recargas!$K$83*'Plan mensual'!L123+parametros_recargas!$L$83*'Plan mensual'!L124</f>
        <v>1491.44720424472</v>
      </c>
      <c r="K109" s="23" t="n">
        <f aca="false">parametros_recargas!$E$83*'Plan mensual'!M117+parametros_recargas!$F$83*'Plan mensual'!M118+parametros_recargas!$G$83*'Plan mensual'!M119+parametros_recargas!$H$83*'Plan mensual'!M120+parametros_recargas!$I$83*'Plan mensual'!M121+parametros_recargas!$J$83*'Plan mensual'!M122+parametros_recargas!$K$83*'Plan mensual'!M123+parametros_recargas!$L$83*'Plan mensual'!M124</f>
        <v>1491.44720424472</v>
      </c>
      <c r="L109" s="23" t="n">
        <f aca="false">parametros_recargas!$E$83*'Plan mensual'!N117+parametros_recargas!$F$83*'Plan mensual'!N118+parametros_recargas!$G$83*'Plan mensual'!N119+parametros_recargas!$H$83*'Plan mensual'!N120+parametros_recargas!$I$83*'Plan mensual'!N121+parametros_recargas!$J$83*'Plan mensual'!N122+parametros_recargas!$K$83*'Plan mensual'!N123+parametros_recargas!$L$83*'Plan mensual'!N124</f>
        <v>1491.44720424472</v>
      </c>
      <c r="M109" s="23" t="n">
        <f aca="false">parametros_recargas!$E$83*'Plan mensual'!O117+parametros_recargas!$F$83*'Plan mensual'!O118+parametros_recargas!$G$83*'Plan mensual'!O119+parametros_recargas!$H$83*'Plan mensual'!O120+parametros_recargas!$I$83*'Plan mensual'!O121+parametros_recargas!$J$83*'Plan mensual'!O122+parametros_recargas!$K$83*'Plan mensual'!O123+parametros_recargas!$L$83*'Plan mensual'!O124</f>
        <v>1491.44720424472</v>
      </c>
      <c r="N109" s="7" t="n">
        <f aca="false">SUM(B109:M109)</f>
        <v>17897.3664509366</v>
      </c>
      <c r="O109" s="24" t="n">
        <f aca="false">MAX(B109:M109)</f>
        <v>1491.44720424472</v>
      </c>
      <c r="P109" s="15" t="n">
        <f aca="false">O109/parametros_recargas!$B$6</f>
        <v>9.94298136163143</v>
      </c>
    </row>
    <row r="110" customFormat="false" ht="15" hidden="false" customHeight="false" outlineLevel="0" collapsed="false">
      <c r="A110" s="12" t="str">
        <f aca="false">parametros_recargas!$B$84</f>
        <v>Secado</v>
      </c>
      <c r="B110" s="23" t="n">
        <f aca="false">parametros_recargas!$E$84*'Plan mensual'!D117+parametros_recargas!$F$84*'Plan mensual'!D118+parametros_recargas!$G$84*'Plan mensual'!D119+parametros_recargas!$H$84*'Plan mensual'!D120+parametros_recargas!$I$84*'Plan mensual'!D121+parametros_recargas!$J$84*'Plan mensual'!D122+parametros_recargas!$K$84*'Plan mensual'!D123+parametros_recargas!$L$84*'Plan mensual'!D124</f>
        <v>1388.13109602602</v>
      </c>
      <c r="C110" s="23" t="n">
        <f aca="false">parametros_recargas!$E$84*'Plan mensual'!E117+parametros_recargas!$F$84*'Plan mensual'!E118+parametros_recargas!$G$84*'Plan mensual'!E119+parametros_recargas!$H$84*'Plan mensual'!E120+parametros_recargas!$I$84*'Plan mensual'!E121+parametros_recargas!$J$84*'Plan mensual'!E122+parametros_recargas!$K$84*'Plan mensual'!E123+parametros_recargas!$L$84*'Plan mensual'!E124</f>
        <v>1388.13109602602</v>
      </c>
      <c r="D110" s="23" t="n">
        <f aca="false">parametros_recargas!$E$84*'Plan mensual'!F117+parametros_recargas!$F$84*'Plan mensual'!F118+parametros_recargas!$G$84*'Plan mensual'!F119+parametros_recargas!$H$84*'Plan mensual'!F120+parametros_recargas!$I$84*'Plan mensual'!F121+parametros_recargas!$J$84*'Plan mensual'!F122+parametros_recargas!$K$84*'Plan mensual'!F123+parametros_recargas!$L$84*'Plan mensual'!F124</f>
        <v>1388.13109602602</v>
      </c>
      <c r="E110" s="23" t="n">
        <f aca="false">parametros_recargas!$E$84*'Plan mensual'!G117+parametros_recargas!$F$84*'Plan mensual'!G118+parametros_recargas!$G$84*'Plan mensual'!G119+parametros_recargas!$H$84*'Plan mensual'!G120+parametros_recargas!$I$84*'Plan mensual'!G121+parametros_recargas!$J$84*'Plan mensual'!G122+parametros_recargas!$K$84*'Plan mensual'!G123+parametros_recargas!$L$84*'Plan mensual'!G124</f>
        <v>1388.13109602602</v>
      </c>
      <c r="F110" s="23" t="n">
        <f aca="false">parametros_recargas!$E$84*'Plan mensual'!H117+parametros_recargas!$F$84*'Plan mensual'!H118+parametros_recargas!$G$84*'Plan mensual'!H119+parametros_recargas!$H$84*'Plan mensual'!H120+parametros_recargas!$I$84*'Plan mensual'!H121+parametros_recargas!$J$84*'Plan mensual'!H122+parametros_recargas!$K$84*'Plan mensual'!H123+parametros_recargas!$L$84*'Plan mensual'!H124</f>
        <v>1388.13109602602</v>
      </c>
      <c r="G110" s="23" t="n">
        <f aca="false">parametros_recargas!$E$84*'Plan mensual'!I117+parametros_recargas!$F$84*'Plan mensual'!I118+parametros_recargas!$G$84*'Plan mensual'!I119+parametros_recargas!$H$84*'Plan mensual'!I120+parametros_recargas!$I$84*'Plan mensual'!I121+parametros_recargas!$J$84*'Plan mensual'!I122+parametros_recargas!$K$84*'Plan mensual'!I123+parametros_recargas!$L$84*'Plan mensual'!I124</f>
        <v>1388.13109602602</v>
      </c>
      <c r="H110" s="23" t="n">
        <f aca="false">parametros_recargas!$E$84*'Plan mensual'!J117+parametros_recargas!$F$84*'Plan mensual'!J118+parametros_recargas!$G$84*'Plan mensual'!J119+parametros_recargas!$H$84*'Plan mensual'!J120+parametros_recargas!$I$84*'Plan mensual'!J121+parametros_recargas!$J$84*'Plan mensual'!J122+parametros_recargas!$K$84*'Plan mensual'!J123+parametros_recargas!$L$84*'Plan mensual'!J124</f>
        <v>1388.13109602602</v>
      </c>
      <c r="I110" s="23" t="n">
        <f aca="false">parametros_recargas!$E$84*'Plan mensual'!K117+parametros_recargas!$F$84*'Plan mensual'!K118+parametros_recargas!$G$84*'Plan mensual'!K119+parametros_recargas!$H$84*'Plan mensual'!K120+parametros_recargas!$I$84*'Plan mensual'!K121+parametros_recargas!$J$84*'Plan mensual'!K122+parametros_recargas!$K$84*'Plan mensual'!K123+parametros_recargas!$L$84*'Plan mensual'!K124</f>
        <v>1388.13109602602</v>
      </c>
      <c r="J110" s="23" t="n">
        <f aca="false">parametros_recargas!$E$84*'Plan mensual'!L117+parametros_recargas!$F$84*'Plan mensual'!L118+parametros_recargas!$G$84*'Plan mensual'!L119+parametros_recargas!$H$84*'Plan mensual'!L120+parametros_recargas!$I$84*'Plan mensual'!L121+parametros_recargas!$J$84*'Plan mensual'!L122+parametros_recargas!$K$84*'Plan mensual'!L123+parametros_recargas!$L$84*'Plan mensual'!L124</f>
        <v>1388.13109602602</v>
      </c>
      <c r="K110" s="23" t="n">
        <f aca="false">parametros_recargas!$E$84*'Plan mensual'!M117+parametros_recargas!$F$84*'Plan mensual'!M118+parametros_recargas!$G$84*'Plan mensual'!M119+parametros_recargas!$H$84*'Plan mensual'!M120+parametros_recargas!$I$84*'Plan mensual'!M121+parametros_recargas!$J$84*'Plan mensual'!M122+parametros_recargas!$K$84*'Plan mensual'!M123+parametros_recargas!$L$84*'Plan mensual'!M124</f>
        <v>1388.13109602602</v>
      </c>
      <c r="L110" s="23" t="n">
        <f aca="false">parametros_recargas!$E$84*'Plan mensual'!N117+parametros_recargas!$F$84*'Plan mensual'!N118+parametros_recargas!$G$84*'Plan mensual'!N119+parametros_recargas!$H$84*'Plan mensual'!N120+parametros_recargas!$I$84*'Plan mensual'!N121+parametros_recargas!$J$84*'Plan mensual'!N122+parametros_recargas!$K$84*'Plan mensual'!N123+parametros_recargas!$L$84*'Plan mensual'!N124</f>
        <v>1388.13109602602</v>
      </c>
      <c r="M110" s="23" t="n">
        <f aca="false">parametros_recargas!$E$84*'Plan mensual'!O117+parametros_recargas!$F$84*'Plan mensual'!O118+parametros_recargas!$G$84*'Plan mensual'!O119+parametros_recargas!$H$84*'Plan mensual'!O120+parametros_recargas!$I$84*'Plan mensual'!O121+parametros_recargas!$J$84*'Plan mensual'!O122+parametros_recargas!$K$84*'Plan mensual'!O123+parametros_recargas!$L$84*'Plan mensual'!O124</f>
        <v>1388.13109602602</v>
      </c>
      <c r="N110" s="7" t="n">
        <f aca="false">SUM(B110:M110)</f>
        <v>16657.5731523122</v>
      </c>
      <c r="O110" s="24" t="n">
        <f aca="false">MAX(B110:M110)</f>
        <v>1388.13109602602</v>
      </c>
      <c r="P110" s="15" t="n">
        <f aca="false">O110/parametros_recargas!$B$6</f>
        <v>9.25420730684012</v>
      </c>
    </row>
    <row r="111" customFormat="false" ht="15" hidden="false" customHeight="false" outlineLevel="0" collapsed="false">
      <c r="A111" s="12" t="str">
        <f aca="false">parametros_recargas!$B$85</f>
        <v>Inspección interior con videoscopio</v>
      </c>
      <c r="B111" s="23" t="n">
        <f aca="false">parametros_recargas!$E$85*'Plan mensual'!D117+parametros_recargas!$F$85*'Plan mensual'!D118+parametros_recargas!$G$85*'Plan mensual'!D119+parametros_recargas!$H$85*'Plan mensual'!D120+parametros_recargas!$I$85*'Plan mensual'!D121+parametros_recargas!$J$85*'Plan mensual'!D122+parametros_recargas!$K$85*'Plan mensual'!D123+parametros_recargas!$L$85*'Plan mensual'!D124</f>
        <v>1388.13109602602</v>
      </c>
      <c r="C111" s="23" t="n">
        <f aca="false">parametros_recargas!$E$85*'Plan mensual'!E117+parametros_recargas!$F$85*'Plan mensual'!E118+parametros_recargas!$G$85*'Plan mensual'!E119+parametros_recargas!$H$85*'Plan mensual'!E120+parametros_recargas!$I$85*'Plan mensual'!E121+parametros_recargas!$J$85*'Plan mensual'!E122+parametros_recargas!$K$85*'Plan mensual'!E123+parametros_recargas!$L$85*'Plan mensual'!E124</f>
        <v>1388.13109602602</v>
      </c>
      <c r="D111" s="23" t="n">
        <f aca="false">parametros_recargas!$E$85*'Plan mensual'!F117+parametros_recargas!$F$85*'Plan mensual'!F118+parametros_recargas!$G$85*'Plan mensual'!F119+parametros_recargas!$H$85*'Plan mensual'!F120+parametros_recargas!$I$85*'Plan mensual'!F121+parametros_recargas!$J$85*'Plan mensual'!F122+parametros_recargas!$K$85*'Plan mensual'!F123+parametros_recargas!$L$85*'Plan mensual'!F124</f>
        <v>1388.13109602602</v>
      </c>
      <c r="E111" s="23" t="n">
        <f aca="false">parametros_recargas!$E$85*'Plan mensual'!G117+parametros_recargas!$F$85*'Plan mensual'!G118+parametros_recargas!$G$85*'Plan mensual'!G119+parametros_recargas!$H$85*'Plan mensual'!G120+parametros_recargas!$I$85*'Plan mensual'!G121+parametros_recargas!$J$85*'Plan mensual'!G122+parametros_recargas!$K$85*'Plan mensual'!G123+parametros_recargas!$L$85*'Plan mensual'!G124</f>
        <v>1388.13109602602</v>
      </c>
      <c r="F111" s="23" t="n">
        <f aca="false">parametros_recargas!$E$85*'Plan mensual'!H117+parametros_recargas!$F$85*'Plan mensual'!H118+parametros_recargas!$G$85*'Plan mensual'!H119+parametros_recargas!$H$85*'Plan mensual'!H120+parametros_recargas!$I$85*'Plan mensual'!H121+parametros_recargas!$J$85*'Plan mensual'!H122+parametros_recargas!$K$85*'Plan mensual'!H123+parametros_recargas!$L$85*'Plan mensual'!H124</f>
        <v>1388.13109602602</v>
      </c>
      <c r="G111" s="23" t="n">
        <f aca="false">parametros_recargas!$E$85*'Plan mensual'!I117+parametros_recargas!$F$85*'Plan mensual'!I118+parametros_recargas!$G$85*'Plan mensual'!I119+parametros_recargas!$H$85*'Plan mensual'!I120+parametros_recargas!$I$85*'Plan mensual'!I121+parametros_recargas!$J$85*'Plan mensual'!I122+parametros_recargas!$K$85*'Plan mensual'!I123+parametros_recargas!$L$85*'Plan mensual'!I124</f>
        <v>1388.13109602602</v>
      </c>
      <c r="H111" s="23" t="n">
        <f aca="false">parametros_recargas!$E$85*'Plan mensual'!J117+parametros_recargas!$F$85*'Plan mensual'!J118+parametros_recargas!$G$85*'Plan mensual'!J119+parametros_recargas!$H$85*'Plan mensual'!J120+parametros_recargas!$I$85*'Plan mensual'!J121+parametros_recargas!$J$85*'Plan mensual'!J122+parametros_recargas!$K$85*'Plan mensual'!J123+parametros_recargas!$L$85*'Plan mensual'!J124</f>
        <v>1388.13109602602</v>
      </c>
      <c r="I111" s="23" t="n">
        <f aca="false">parametros_recargas!$E$85*'Plan mensual'!K117+parametros_recargas!$F$85*'Plan mensual'!K118+parametros_recargas!$G$85*'Plan mensual'!K119+parametros_recargas!$H$85*'Plan mensual'!K120+parametros_recargas!$I$85*'Plan mensual'!K121+parametros_recargas!$J$85*'Plan mensual'!K122+parametros_recargas!$K$85*'Plan mensual'!K123+parametros_recargas!$L$85*'Plan mensual'!K124</f>
        <v>1388.13109602602</v>
      </c>
      <c r="J111" s="23" t="n">
        <f aca="false">parametros_recargas!$E$85*'Plan mensual'!L117+parametros_recargas!$F$85*'Plan mensual'!L118+parametros_recargas!$G$85*'Plan mensual'!L119+parametros_recargas!$H$85*'Plan mensual'!L120+parametros_recargas!$I$85*'Plan mensual'!L121+parametros_recargas!$J$85*'Plan mensual'!L122+parametros_recargas!$K$85*'Plan mensual'!L123+parametros_recargas!$L$85*'Plan mensual'!L124</f>
        <v>1388.13109602602</v>
      </c>
      <c r="K111" s="23" t="n">
        <f aca="false">parametros_recargas!$E$85*'Plan mensual'!M117+parametros_recargas!$F$85*'Plan mensual'!M118+parametros_recargas!$G$85*'Plan mensual'!M119+parametros_recargas!$H$85*'Plan mensual'!M120+parametros_recargas!$I$85*'Plan mensual'!M121+parametros_recargas!$J$85*'Plan mensual'!M122+parametros_recargas!$K$85*'Plan mensual'!M123+parametros_recargas!$L$85*'Plan mensual'!M124</f>
        <v>1388.13109602602</v>
      </c>
      <c r="L111" s="23" t="n">
        <f aca="false">parametros_recargas!$E$85*'Plan mensual'!N117+parametros_recargas!$F$85*'Plan mensual'!N118+parametros_recargas!$G$85*'Plan mensual'!N119+parametros_recargas!$H$85*'Plan mensual'!N120+parametros_recargas!$I$85*'Plan mensual'!N121+parametros_recargas!$J$85*'Plan mensual'!N122+parametros_recargas!$K$85*'Plan mensual'!N123+parametros_recargas!$L$85*'Plan mensual'!N124</f>
        <v>1388.13109602602</v>
      </c>
      <c r="M111" s="23" t="n">
        <f aca="false">parametros_recargas!$E$85*'Plan mensual'!O117+parametros_recargas!$F$85*'Plan mensual'!O118+parametros_recargas!$G$85*'Plan mensual'!O119+parametros_recargas!$H$85*'Plan mensual'!O120+parametros_recargas!$I$85*'Plan mensual'!O121+parametros_recargas!$J$85*'Plan mensual'!O122+parametros_recargas!$K$85*'Plan mensual'!O123+parametros_recargas!$L$85*'Plan mensual'!O124</f>
        <v>1388.13109602602</v>
      </c>
      <c r="N111" s="7" t="n">
        <f aca="false">SUM(B111:M111)</f>
        <v>16657.5731523122</v>
      </c>
      <c r="O111" s="24" t="n">
        <f aca="false">MAX(B111:M111)</f>
        <v>1388.13109602602</v>
      </c>
      <c r="P111" s="15" t="n">
        <f aca="false">O111/parametros_recargas!$B$6</f>
        <v>9.25420730684012</v>
      </c>
    </row>
    <row r="112" customFormat="false" ht="15" hidden="false" customHeight="false" outlineLevel="0" collapsed="false">
      <c r="A112" s="12" t="str">
        <f aca="false">parametros_recargas!$B$86</f>
        <v>Pintura</v>
      </c>
      <c r="B112" s="23" t="n">
        <f aca="false">parametros_recargas!$E$86*'Plan mensual'!D117+parametros_recargas!$F$86*'Plan mensual'!D118+parametros_recargas!$G$86*'Plan mensual'!D119+parametros_recargas!$H$86*'Plan mensual'!D120+parametros_recargas!$I$86*'Plan mensual'!D121+parametros_recargas!$J$86*'Plan mensual'!D122+parametros_recargas!$K$86*'Plan mensual'!D123+parametros_recargas!$L$86*'Plan mensual'!D124</f>
        <v>696.668607367474</v>
      </c>
      <c r="C112" s="23" t="n">
        <f aca="false">parametros_recargas!$E$86*'Plan mensual'!E117+parametros_recargas!$F$86*'Plan mensual'!E118+parametros_recargas!$G$86*'Plan mensual'!E119+parametros_recargas!$H$86*'Plan mensual'!E120+parametros_recargas!$I$86*'Plan mensual'!E121+parametros_recargas!$J$86*'Plan mensual'!E122+parametros_recargas!$K$86*'Plan mensual'!E123+parametros_recargas!$L$86*'Plan mensual'!E124</f>
        <v>696.668607367474</v>
      </c>
      <c r="D112" s="23" t="n">
        <f aca="false">parametros_recargas!$E$86*'Plan mensual'!F117+parametros_recargas!$F$86*'Plan mensual'!F118+parametros_recargas!$G$86*'Plan mensual'!F119+parametros_recargas!$H$86*'Plan mensual'!F120+parametros_recargas!$I$86*'Plan mensual'!F121+parametros_recargas!$J$86*'Plan mensual'!F122+parametros_recargas!$K$86*'Plan mensual'!F123+parametros_recargas!$L$86*'Plan mensual'!F124</f>
        <v>696.668607367474</v>
      </c>
      <c r="E112" s="23" t="n">
        <f aca="false">parametros_recargas!$E$86*'Plan mensual'!G117+parametros_recargas!$F$86*'Plan mensual'!G118+parametros_recargas!$G$86*'Plan mensual'!G119+parametros_recargas!$H$86*'Plan mensual'!G120+parametros_recargas!$I$86*'Plan mensual'!G121+parametros_recargas!$J$86*'Plan mensual'!G122+parametros_recargas!$K$86*'Plan mensual'!G123+parametros_recargas!$L$86*'Plan mensual'!G124</f>
        <v>696.668607367474</v>
      </c>
      <c r="F112" s="23" t="n">
        <f aca="false">parametros_recargas!$E$86*'Plan mensual'!H117+parametros_recargas!$F$86*'Plan mensual'!H118+parametros_recargas!$G$86*'Plan mensual'!H119+parametros_recargas!$H$86*'Plan mensual'!H120+parametros_recargas!$I$86*'Plan mensual'!H121+parametros_recargas!$J$86*'Plan mensual'!H122+parametros_recargas!$K$86*'Plan mensual'!H123+parametros_recargas!$L$86*'Plan mensual'!H124</f>
        <v>696.668607367474</v>
      </c>
      <c r="G112" s="23" t="n">
        <f aca="false">parametros_recargas!$E$86*'Plan mensual'!I117+parametros_recargas!$F$86*'Plan mensual'!I118+parametros_recargas!$G$86*'Plan mensual'!I119+parametros_recargas!$H$86*'Plan mensual'!I120+parametros_recargas!$I$86*'Plan mensual'!I121+parametros_recargas!$J$86*'Plan mensual'!I122+parametros_recargas!$K$86*'Plan mensual'!I123+parametros_recargas!$L$86*'Plan mensual'!I124</f>
        <v>696.668607367474</v>
      </c>
      <c r="H112" s="23" t="n">
        <f aca="false">parametros_recargas!$E$86*'Plan mensual'!J117+parametros_recargas!$F$86*'Plan mensual'!J118+parametros_recargas!$G$86*'Plan mensual'!J119+parametros_recargas!$H$86*'Plan mensual'!J120+parametros_recargas!$I$86*'Plan mensual'!J121+parametros_recargas!$J$86*'Plan mensual'!J122+parametros_recargas!$K$86*'Plan mensual'!J123+parametros_recargas!$L$86*'Plan mensual'!J124</f>
        <v>696.668607367474</v>
      </c>
      <c r="I112" s="23" t="n">
        <f aca="false">parametros_recargas!$E$86*'Plan mensual'!K117+parametros_recargas!$F$86*'Plan mensual'!K118+parametros_recargas!$G$86*'Plan mensual'!K119+parametros_recargas!$H$86*'Plan mensual'!K120+parametros_recargas!$I$86*'Plan mensual'!K121+parametros_recargas!$J$86*'Plan mensual'!K122+parametros_recargas!$K$86*'Plan mensual'!K123+parametros_recargas!$L$86*'Plan mensual'!K124</f>
        <v>696.668607367474</v>
      </c>
      <c r="J112" s="23" t="n">
        <f aca="false">parametros_recargas!$E$86*'Plan mensual'!L117+parametros_recargas!$F$86*'Plan mensual'!L118+parametros_recargas!$G$86*'Plan mensual'!L119+parametros_recargas!$H$86*'Plan mensual'!L120+parametros_recargas!$I$86*'Plan mensual'!L121+parametros_recargas!$J$86*'Plan mensual'!L122+parametros_recargas!$K$86*'Plan mensual'!L123+parametros_recargas!$L$86*'Plan mensual'!L124</f>
        <v>696.668607367474</v>
      </c>
      <c r="K112" s="23" t="n">
        <f aca="false">parametros_recargas!$E$86*'Plan mensual'!M117+parametros_recargas!$F$86*'Plan mensual'!M118+parametros_recargas!$G$86*'Plan mensual'!M119+parametros_recargas!$H$86*'Plan mensual'!M120+parametros_recargas!$I$86*'Plan mensual'!M121+parametros_recargas!$J$86*'Plan mensual'!M122+parametros_recargas!$K$86*'Plan mensual'!M123+parametros_recargas!$L$86*'Plan mensual'!M124</f>
        <v>696.668607367474</v>
      </c>
      <c r="L112" s="23" t="n">
        <f aca="false">parametros_recargas!$E$86*'Plan mensual'!N117+parametros_recargas!$F$86*'Plan mensual'!N118+parametros_recargas!$G$86*'Plan mensual'!N119+parametros_recargas!$H$86*'Plan mensual'!N120+parametros_recargas!$I$86*'Plan mensual'!N121+parametros_recargas!$J$86*'Plan mensual'!N122+parametros_recargas!$K$86*'Plan mensual'!N123+parametros_recargas!$L$86*'Plan mensual'!N124</f>
        <v>696.668607367474</v>
      </c>
      <c r="M112" s="23" t="n">
        <f aca="false">parametros_recargas!$E$86*'Plan mensual'!O117+parametros_recargas!$F$86*'Plan mensual'!O118+parametros_recargas!$G$86*'Plan mensual'!O119+parametros_recargas!$H$86*'Plan mensual'!O120+parametros_recargas!$I$86*'Plan mensual'!O121+parametros_recargas!$J$86*'Plan mensual'!O122+parametros_recargas!$K$86*'Plan mensual'!O123+parametros_recargas!$L$86*'Plan mensual'!O124</f>
        <v>696.668607367474</v>
      </c>
      <c r="N112" s="7" t="n">
        <f aca="false">SUM(B112:M112)</f>
        <v>8360.02328840969</v>
      </c>
      <c r="O112" s="24" t="n">
        <f aca="false">MAX(B112:M112)</f>
        <v>696.668607367474</v>
      </c>
      <c r="P112" s="15" t="n">
        <f aca="false">O112/parametros_recargas!$B$6</f>
        <v>4.64445738244983</v>
      </c>
    </row>
    <row r="113" customFormat="false" ht="15" hidden="false" customHeight="false" outlineLevel="0" collapsed="false">
      <c r="A113" s="12" t="str">
        <f aca="false">parametros_recargas!$B$87</f>
        <v>Carga de polvo ABC</v>
      </c>
      <c r="B113" s="23" t="n">
        <f aca="false">parametros_recargas!$E$87*'Plan mensual'!D117+parametros_recargas!$F$87*'Plan mensual'!D118+parametros_recargas!$G$87*'Plan mensual'!D119+parametros_recargas!$H$87*'Plan mensual'!D120+parametros_recargas!$I$87*'Plan mensual'!D121+parametros_recargas!$J$87*'Plan mensual'!D122+parametros_recargas!$K$87*'Plan mensual'!D123+parametros_recargas!$L$87*'Plan mensual'!D124</f>
        <v>6001.63178316745</v>
      </c>
      <c r="C113" s="23" t="n">
        <f aca="false">parametros_recargas!$E$87*'Plan mensual'!E117+parametros_recargas!$F$87*'Plan mensual'!E118+parametros_recargas!$G$87*'Plan mensual'!E119+parametros_recargas!$H$87*'Plan mensual'!E120+parametros_recargas!$I$87*'Plan mensual'!E121+parametros_recargas!$J$87*'Plan mensual'!E122+parametros_recargas!$K$87*'Plan mensual'!E123+parametros_recargas!$L$87*'Plan mensual'!E124</f>
        <v>6001.63178316745</v>
      </c>
      <c r="D113" s="23" t="n">
        <f aca="false">parametros_recargas!$E$87*'Plan mensual'!F117+parametros_recargas!$F$87*'Plan mensual'!F118+parametros_recargas!$G$87*'Plan mensual'!F119+parametros_recargas!$H$87*'Plan mensual'!F120+parametros_recargas!$I$87*'Plan mensual'!F121+parametros_recargas!$J$87*'Plan mensual'!F122+parametros_recargas!$K$87*'Plan mensual'!F123+parametros_recargas!$L$87*'Plan mensual'!F124</f>
        <v>6001.63178316745</v>
      </c>
      <c r="E113" s="23" t="n">
        <f aca="false">parametros_recargas!$E$87*'Plan mensual'!G117+parametros_recargas!$F$87*'Plan mensual'!G118+parametros_recargas!$G$87*'Plan mensual'!G119+parametros_recargas!$H$87*'Plan mensual'!G120+parametros_recargas!$I$87*'Plan mensual'!G121+parametros_recargas!$J$87*'Plan mensual'!G122+parametros_recargas!$K$87*'Plan mensual'!G123+parametros_recargas!$L$87*'Plan mensual'!G124</f>
        <v>6001.63178316745</v>
      </c>
      <c r="F113" s="23" t="n">
        <f aca="false">parametros_recargas!$E$87*'Plan mensual'!H117+parametros_recargas!$F$87*'Plan mensual'!H118+parametros_recargas!$G$87*'Plan mensual'!H119+parametros_recargas!$H$87*'Plan mensual'!H120+parametros_recargas!$I$87*'Plan mensual'!H121+parametros_recargas!$J$87*'Plan mensual'!H122+parametros_recargas!$K$87*'Plan mensual'!H123+parametros_recargas!$L$87*'Plan mensual'!H124</f>
        <v>6001.63178316745</v>
      </c>
      <c r="G113" s="23" t="n">
        <f aca="false">parametros_recargas!$E$87*'Plan mensual'!I117+parametros_recargas!$F$87*'Plan mensual'!I118+parametros_recargas!$G$87*'Plan mensual'!I119+parametros_recargas!$H$87*'Plan mensual'!I120+parametros_recargas!$I$87*'Plan mensual'!I121+parametros_recargas!$J$87*'Plan mensual'!I122+parametros_recargas!$K$87*'Plan mensual'!I123+parametros_recargas!$L$87*'Plan mensual'!I124</f>
        <v>6001.63178316745</v>
      </c>
      <c r="H113" s="23" t="n">
        <f aca="false">parametros_recargas!$E$87*'Plan mensual'!J117+parametros_recargas!$F$87*'Plan mensual'!J118+parametros_recargas!$G$87*'Plan mensual'!J119+parametros_recargas!$H$87*'Plan mensual'!J120+parametros_recargas!$I$87*'Plan mensual'!J121+parametros_recargas!$J$87*'Plan mensual'!J122+parametros_recargas!$K$87*'Plan mensual'!J123+parametros_recargas!$L$87*'Plan mensual'!J124</f>
        <v>6001.63178316745</v>
      </c>
      <c r="I113" s="23" t="n">
        <f aca="false">parametros_recargas!$E$87*'Plan mensual'!K117+parametros_recargas!$F$87*'Plan mensual'!K118+parametros_recargas!$G$87*'Plan mensual'!K119+parametros_recargas!$H$87*'Plan mensual'!K120+parametros_recargas!$I$87*'Plan mensual'!K121+parametros_recargas!$J$87*'Plan mensual'!K122+parametros_recargas!$K$87*'Plan mensual'!K123+parametros_recargas!$L$87*'Plan mensual'!K124</f>
        <v>6001.63178316745</v>
      </c>
      <c r="J113" s="23" t="n">
        <f aca="false">parametros_recargas!$E$87*'Plan mensual'!L117+parametros_recargas!$F$87*'Plan mensual'!L118+parametros_recargas!$G$87*'Plan mensual'!L119+parametros_recargas!$H$87*'Plan mensual'!L120+parametros_recargas!$I$87*'Plan mensual'!L121+parametros_recargas!$J$87*'Plan mensual'!L122+parametros_recargas!$K$87*'Plan mensual'!L123+parametros_recargas!$L$87*'Plan mensual'!L124</f>
        <v>6001.63178316745</v>
      </c>
      <c r="K113" s="23" t="n">
        <f aca="false">parametros_recargas!$E$87*'Plan mensual'!M117+parametros_recargas!$F$87*'Plan mensual'!M118+parametros_recargas!$G$87*'Plan mensual'!M119+parametros_recargas!$H$87*'Plan mensual'!M120+parametros_recargas!$I$87*'Plan mensual'!M121+parametros_recargas!$J$87*'Plan mensual'!M122+parametros_recargas!$K$87*'Plan mensual'!M123+parametros_recargas!$L$87*'Plan mensual'!M124</f>
        <v>6001.63178316745</v>
      </c>
      <c r="L113" s="23" t="n">
        <f aca="false">parametros_recargas!$E$87*'Plan mensual'!N117+parametros_recargas!$F$87*'Plan mensual'!N118+parametros_recargas!$G$87*'Plan mensual'!N119+parametros_recargas!$H$87*'Plan mensual'!N120+parametros_recargas!$I$87*'Plan mensual'!N121+parametros_recargas!$J$87*'Plan mensual'!N122+parametros_recargas!$K$87*'Plan mensual'!N123+parametros_recargas!$L$87*'Plan mensual'!N124</f>
        <v>6001.63178316745</v>
      </c>
      <c r="M113" s="23" t="n">
        <f aca="false">parametros_recargas!$E$87*'Plan mensual'!O117+parametros_recargas!$F$87*'Plan mensual'!O118+parametros_recargas!$G$87*'Plan mensual'!O119+parametros_recargas!$H$87*'Plan mensual'!O120+parametros_recargas!$I$87*'Plan mensual'!O121+parametros_recargas!$J$87*'Plan mensual'!O122+parametros_recargas!$K$87*'Plan mensual'!O123+parametros_recargas!$L$87*'Plan mensual'!O124</f>
        <v>6001.63178316745</v>
      </c>
      <c r="N113" s="7" t="n">
        <f aca="false">SUM(B113:M113)</f>
        <v>72019.5813980094</v>
      </c>
      <c r="O113" s="24" t="n">
        <f aca="false">MAX(B113:M113)</f>
        <v>6001.63178316745</v>
      </c>
      <c r="P113" s="15" t="n">
        <f aca="false">O113/parametros_recargas!$B$6</f>
        <v>40.0108785544497</v>
      </c>
    </row>
    <row r="114" customFormat="false" ht="15" hidden="false" customHeight="false" outlineLevel="0" collapsed="false">
      <c r="A114" s="12" t="str">
        <f aca="false">parametros_recargas!$B$88</f>
        <v>Carga de polvo BC</v>
      </c>
      <c r="B114" s="23" t="n">
        <f aca="false">parametros_recargas!$E$88*'Plan mensual'!D117+parametros_recargas!$F$88*'Plan mensual'!D118+parametros_recargas!$G$88*'Plan mensual'!D119+parametros_recargas!$H$88*'Plan mensual'!D120+parametros_recargas!$I$88*'Plan mensual'!D121+parametros_recargas!$J$88*'Plan mensual'!D122+parametros_recargas!$K$88*'Plan mensual'!D123+parametros_recargas!$L$88*'Plan mensual'!D124</f>
        <v>9.54400419663871</v>
      </c>
      <c r="C114" s="23" t="n">
        <f aca="false">parametros_recargas!$E$88*'Plan mensual'!E117+parametros_recargas!$F$88*'Plan mensual'!E118+parametros_recargas!$G$88*'Plan mensual'!E119+parametros_recargas!$H$88*'Plan mensual'!E120+parametros_recargas!$I$88*'Plan mensual'!E121+parametros_recargas!$J$88*'Plan mensual'!E122+parametros_recargas!$K$88*'Plan mensual'!E123+parametros_recargas!$L$88*'Plan mensual'!E124</f>
        <v>9.54400419663871</v>
      </c>
      <c r="D114" s="23" t="n">
        <f aca="false">parametros_recargas!$E$88*'Plan mensual'!F117+parametros_recargas!$F$88*'Plan mensual'!F118+parametros_recargas!$G$88*'Plan mensual'!F119+parametros_recargas!$H$88*'Plan mensual'!F120+parametros_recargas!$I$88*'Plan mensual'!F121+parametros_recargas!$J$88*'Plan mensual'!F122+parametros_recargas!$K$88*'Plan mensual'!F123+parametros_recargas!$L$88*'Plan mensual'!F124</f>
        <v>9.54400419663871</v>
      </c>
      <c r="E114" s="23" t="n">
        <f aca="false">parametros_recargas!$E$88*'Plan mensual'!G117+parametros_recargas!$F$88*'Plan mensual'!G118+parametros_recargas!$G$88*'Plan mensual'!G119+parametros_recargas!$H$88*'Plan mensual'!G120+parametros_recargas!$I$88*'Plan mensual'!G121+parametros_recargas!$J$88*'Plan mensual'!G122+parametros_recargas!$K$88*'Plan mensual'!G123+parametros_recargas!$L$88*'Plan mensual'!G124</f>
        <v>9.54400419663871</v>
      </c>
      <c r="F114" s="23" t="n">
        <f aca="false">parametros_recargas!$E$88*'Plan mensual'!H117+parametros_recargas!$F$88*'Plan mensual'!H118+parametros_recargas!$G$88*'Plan mensual'!H119+parametros_recargas!$H$88*'Plan mensual'!H120+parametros_recargas!$I$88*'Plan mensual'!H121+parametros_recargas!$J$88*'Plan mensual'!H122+parametros_recargas!$K$88*'Plan mensual'!H123+parametros_recargas!$L$88*'Plan mensual'!H124</f>
        <v>9.54400419663871</v>
      </c>
      <c r="G114" s="23" t="n">
        <f aca="false">parametros_recargas!$E$88*'Plan mensual'!I117+parametros_recargas!$F$88*'Plan mensual'!I118+parametros_recargas!$G$88*'Plan mensual'!I119+parametros_recargas!$H$88*'Plan mensual'!I120+parametros_recargas!$I$88*'Plan mensual'!I121+parametros_recargas!$J$88*'Plan mensual'!I122+parametros_recargas!$K$88*'Plan mensual'!I123+parametros_recargas!$L$88*'Plan mensual'!I124</f>
        <v>9.54400419663871</v>
      </c>
      <c r="H114" s="23" t="n">
        <f aca="false">parametros_recargas!$E$88*'Plan mensual'!J117+parametros_recargas!$F$88*'Plan mensual'!J118+parametros_recargas!$G$88*'Plan mensual'!J119+parametros_recargas!$H$88*'Plan mensual'!J120+parametros_recargas!$I$88*'Plan mensual'!J121+parametros_recargas!$J$88*'Plan mensual'!J122+parametros_recargas!$K$88*'Plan mensual'!J123+parametros_recargas!$L$88*'Plan mensual'!J124</f>
        <v>9.54400419663871</v>
      </c>
      <c r="I114" s="23" t="n">
        <f aca="false">parametros_recargas!$E$88*'Plan mensual'!K117+parametros_recargas!$F$88*'Plan mensual'!K118+parametros_recargas!$G$88*'Plan mensual'!K119+parametros_recargas!$H$88*'Plan mensual'!K120+parametros_recargas!$I$88*'Plan mensual'!K121+parametros_recargas!$J$88*'Plan mensual'!K122+parametros_recargas!$K$88*'Plan mensual'!K123+parametros_recargas!$L$88*'Plan mensual'!K124</f>
        <v>9.54400419663871</v>
      </c>
      <c r="J114" s="23" t="n">
        <f aca="false">parametros_recargas!$E$88*'Plan mensual'!L117+parametros_recargas!$F$88*'Plan mensual'!L118+parametros_recargas!$G$88*'Plan mensual'!L119+parametros_recargas!$H$88*'Plan mensual'!L120+parametros_recargas!$I$88*'Plan mensual'!L121+parametros_recargas!$J$88*'Plan mensual'!L122+parametros_recargas!$K$88*'Plan mensual'!L123+parametros_recargas!$L$88*'Plan mensual'!L124</f>
        <v>9.54400419663871</v>
      </c>
      <c r="K114" s="23" t="n">
        <f aca="false">parametros_recargas!$E$88*'Plan mensual'!M117+parametros_recargas!$F$88*'Plan mensual'!M118+parametros_recargas!$G$88*'Plan mensual'!M119+parametros_recargas!$H$88*'Plan mensual'!M120+parametros_recargas!$I$88*'Plan mensual'!M121+parametros_recargas!$J$88*'Plan mensual'!M122+parametros_recargas!$K$88*'Plan mensual'!M123+parametros_recargas!$L$88*'Plan mensual'!M124</f>
        <v>9.54400419663871</v>
      </c>
      <c r="L114" s="23" t="n">
        <f aca="false">parametros_recargas!$E$88*'Plan mensual'!N117+parametros_recargas!$F$88*'Plan mensual'!N118+parametros_recargas!$G$88*'Plan mensual'!N119+parametros_recargas!$H$88*'Plan mensual'!N120+parametros_recargas!$I$88*'Plan mensual'!N121+parametros_recargas!$J$88*'Plan mensual'!N122+parametros_recargas!$K$88*'Plan mensual'!N123+parametros_recargas!$L$88*'Plan mensual'!N124</f>
        <v>9.54400419663871</v>
      </c>
      <c r="M114" s="23" t="n">
        <f aca="false">parametros_recargas!$E$88*'Plan mensual'!O117+parametros_recargas!$F$88*'Plan mensual'!O118+parametros_recargas!$G$88*'Plan mensual'!O119+parametros_recargas!$H$88*'Plan mensual'!O120+parametros_recargas!$I$88*'Plan mensual'!O121+parametros_recargas!$J$88*'Plan mensual'!O122+parametros_recargas!$K$88*'Plan mensual'!O123+parametros_recargas!$L$88*'Plan mensual'!O124</f>
        <v>9.54400419663871</v>
      </c>
      <c r="N114" s="7" t="n">
        <f aca="false">SUM(B114:M114)</f>
        <v>114.528050359665</v>
      </c>
      <c r="O114" s="24" t="n">
        <f aca="false">MAX(B114:M114)</f>
        <v>9.54400419663871</v>
      </c>
      <c r="P114" s="15" t="n">
        <f aca="false">O114/parametros_recargas!$B$6</f>
        <v>0.0636266946442581</v>
      </c>
    </row>
    <row r="115" customFormat="false" ht="15" hidden="false" customHeight="false" outlineLevel="0" collapsed="false">
      <c r="A115" s="12" t="str">
        <f aca="false">parametros_recargas!$B$89</f>
        <v>Descarga y carga Clase D</v>
      </c>
      <c r="B115" s="23" t="n">
        <f aca="false">parametros_recargas!$E$89*'Plan mensual'!D117+parametros_recargas!$F$89*'Plan mensual'!D118+parametros_recargas!$G$89*'Plan mensual'!D119+parametros_recargas!$H$89*'Plan mensual'!D120+parametros_recargas!$I$89*'Plan mensual'!D121+parametros_recargas!$J$89*'Plan mensual'!D122+parametros_recargas!$K$89*'Plan mensual'!D123+parametros_recargas!$L$89*'Plan mensual'!D124</f>
        <v>8.87830906059113</v>
      </c>
      <c r="C115" s="23" t="n">
        <f aca="false">parametros_recargas!$E$89*'Plan mensual'!E117+parametros_recargas!$F$89*'Plan mensual'!E118+parametros_recargas!$G$89*'Plan mensual'!E119+parametros_recargas!$H$89*'Plan mensual'!E120+parametros_recargas!$I$89*'Plan mensual'!E121+parametros_recargas!$J$89*'Plan mensual'!E122+parametros_recargas!$K$89*'Plan mensual'!E123+parametros_recargas!$L$89*'Plan mensual'!E124</f>
        <v>8.87830906059113</v>
      </c>
      <c r="D115" s="23" t="n">
        <f aca="false">parametros_recargas!$E$89*'Plan mensual'!F117+parametros_recargas!$F$89*'Plan mensual'!F118+parametros_recargas!$G$89*'Plan mensual'!F119+parametros_recargas!$H$89*'Plan mensual'!F120+parametros_recargas!$I$89*'Plan mensual'!F121+parametros_recargas!$J$89*'Plan mensual'!F122+parametros_recargas!$K$89*'Plan mensual'!F123+parametros_recargas!$L$89*'Plan mensual'!F124</f>
        <v>8.87830906059113</v>
      </c>
      <c r="E115" s="23" t="n">
        <f aca="false">parametros_recargas!$E$89*'Plan mensual'!G117+parametros_recargas!$F$89*'Plan mensual'!G118+parametros_recargas!$G$89*'Plan mensual'!G119+parametros_recargas!$H$89*'Plan mensual'!G120+parametros_recargas!$I$89*'Plan mensual'!G121+parametros_recargas!$J$89*'Plan mensual'!G122+parametros_recargas!$K$89*'Plan mensual'!G123+parametros_recargas!$L$89*'Plan mensual'!G124</f>
        <v>8.87830906059113</v>
      </c>
      <c r="F115" s="23" t="n">
        <f aca="false">parametros_recargas!$E$89*'Plan mensual'!H117+parametros_recargas!$F$89*'Plan mensual'!H118+parametros_recargas!$G$89*'Plan mensual'!H119+parametros_recargas!$H$89*'Plan mensual'!H120+parametros_recargas!$I$89*'Plan mensual'!H121+parametros_recargas!$J$89*'Plan mensual'!H122+parametros_recargas!$K$89*'Plan mensual'!H123+parametros_recargas!$L$89*'Plan mensual'!H124</f>
        <v>8.87830906059113</v>
      </c>
      <c r="G115" s="23" t="n">
        <f aca="false">parametros_recargas!$E$89*'Plan mensual'!I117+parametros_recargas!$F$89*'Plan mensual'!I118+parametros_recargas!$G$89*'Plan mensual'!I119+parametros_recargas!$H$89*'Plan mensual'!I120+parametros_recargas!$I$89*'Plan mensual'!I121+parametros_recargas!$J$89*'Plan mensual'!I122+parametros_recargas!$K$89*'Plan mensual'!I123+parametros_recargas!$L$89*'Plan mensual'!I124</f>
        <v>8.87830906059113</v>
      </c>
      <c r="H115" s="23" t="n">
        <f aca="false">parametros_recargas!$E$89*'Plan mensual'!J117+parametros_recargas!$F$89*'Plan mensual'!J118+parametros_recargas!$G$89*'Plan mensual'!J119+parametros_recargas!$H$89*'Plan mensual'!J120+parametros_recargas!$I$89*'Plan mensual'!J121+parametros_recargas!$J$89*'Plan mensual'!J122+parametros_recargas!$K$89*'Plan mensual'!J123+parametros_recargas!$L$89*'Plan mensual'!J124</f>
        <v>8.87830906059113</v>
      </c>
      <c r="I115" s="23" t="n">
        <f aca="false">parametros_recargas!$E$89*'Plan mensual'!K117+parametros_recargas!$F$89*'Plan mensual'!K118+parametros_recargas!$G$89*'Plan mensual'!K119+parametros_recargas!$H$89*'Plan mensual'!K120+parametros_recargas!$I$89*'Plan mensual'!K121+parametros_recargas!$J$89*'Plan mensual'!K122+parametros_recargas!$K$89*'Plan mensual'!K123+parametros_recargas!$L$89*'Plan mensual'!K124</f>
        <v>8.87830906059113</v>
      </c>
      <c r="J115" s="23" t="n">
        <f aca="false">parametros_recargas!$E$89*'Plan mensual'!L117+parametros_recargas!$F$89*'Plan mensual'!L118+parametros_recargas!$G$89*'Plan mensual'!L119+parametros_recargas!$H$89*'Plan mensual'!L120+parametros_recargas!$I$89*'Plan mensual'!L121+parametros_recargas!$J$89*'Plan mensual'!L122+parametros_recargas!$K$89*'Plan mensual'!L123+parametros_recargas!$L$89*'Plan mensual'!L124</f>
        <v>8.87830906059113</v>
      </c>
      <c r="K115" s="23" t="n">
        <f aca="false">parametros_recargas!$E$89*'Plan mensual'!M117+parametros_recargas!$F$89*'Plan mensual'!M118+parametros_recargas!$G$89*'Plan mensual'!M119+parametros_recargas!$H$89*'Plan mensual'!M120+parametros_recargas!$I$89*'Plan mensual'!M121+parametros_recargas!$J$89*'Plan mensual'!M122+parametros_recargas!$K$89*'Plan mensual'!M123+parametros_recargas!$L$89*'Plan mensual'!M124</f>
        <v>8.87830906059113</v>
      </c>
      <c r="L115" s="23" t="n">
        <f aca="false">parametros_recargas!$E$89*'Plan mensual'!N117+parametros_recargas!$F$89*'Plan mensual'!N118+parametros_recargas!$G$89*'Plan mensual'!N119+parametros_recargas!$H$89*'Plan mensual'!N120+parametros_recargas!$I$89*'Plan mensual'!N121+parametros_recargas!$J$89*'Plan mensual'!N122+parametros_recargas!$K$89*'Plan mensual'!N123+parametros_recargas!$L$89*'Plan mensual'!N124</f>
        <v>8.87830906059113</v>
      </c>
      <c r="M115" s="23" t="n">
        <f aca="false">parametros_recargas!$E$89*'Plan mensual'!O117+parametros_recargas!$F$89*'Plan mensual'!O118+parametros_recargas!$G$89*'Plan mensual'!O119+parametros_recargas!$H$89*'Plan mensual'!O120+parametros_recargas!$I$89*'Plan mensual'!O121+parametros_recargas!$J$89*'Plan mensual'!O122+parametros_recargas!$K$89*'Plan mensual'!O123+parametros_recargas!$L$89*'Plan mensual'!O124</f>
        <v>8.87830906059113</v>
      </c>
      <c r="N115" s="7" t="n">
        <f aca="false">SUM(B115:M115)</f>
        <v>106.539708727094</v>
      </c>
      <c r="O115" s="24" t="n">
        <f aca="false">MAX(B115:M115)</f>
        <v>8.87830906059113</v>
      </c>
      <c r="P115" s="15" t="n">
        <f aca="false">O115/parametros_recargas!$B$6</f>
        <v>0.0591887270706075</v>
      </c>
    </row>
    <row r="116" customFormat="false" ht="15" hidden="false" customHeight="false" outlineLevel="0" collapsed="false">
      <c r="A116" s="12" t="str">
        <f aca="false">parametros_recargas!$B$90</f>
        <v>Carga de agua / AFFF / sales K</v>
      </c>
      <c r="B116" s="23" t="n">
        <f aca="false">parametros_recargas!$E$90*'Plan mensual'!D117+parametros_recargas!$F$90*'Plan mensual'!D118+parametros_recargas!$G$90*'Plan mensual'!D119+parametros_recargas!$H$90*'Plan mensual'!D120+parametros_recargas!$I$90*'Plan mensual'!D121+parametros_recargas!$J$90*'Plan mensual'!D122+parametros_recargas!$K$90*'Plan mensual'!D123+parametros_recargas!$L$90*'Plan mensual'!D124</f>
        <v>327.033298365888</v>
      </c>
      <c r="C116" s="23" t="n">
        <f aca="false">parametros_recargas!$E$90*'Plan mensual'!E117+parametros_recargas!$F$90*'Plan mensual'!E118+parametros_recargas!$G$90*'Plan mensual'!E119+parametros_recargas!$H$90*'Plan mensual'!E120+parametros_recargas!$I$90*'Plan mensual'!E121+parametros_recargas!$J$90*'Plan mensual'!E122+parametros_recargas!$K$90*'Plan mensual'!E123+parametros_recargas!$L$90*'Plan mensual'!E124</f>
        <v>327.033298365888</v>
      </c>
      <c r="D116" s="23" t="n">
        <f aca="false">parametros_recargas!$E$90*'Plan mensual'!F117+parametros_recargas!$F$90*'Plan mensual'!F118+parametros_recargas!$G$90*'Plan mensual'!F119+parametros_recargas!$H$90*'Plan mensual'!F120+parametros_recargas!$I$90*'Plan mensual'!F121+parametros_recargas!$J$90*'Plan mensual'!F122+parametros_recargas!$K$90*'Plan mensual'!F123+parametros_recargas!$L$90*'Plan mensual'!F124</f>
        <v>327.033298365888</v>
      </c>
      <c r="E116" s="23" t="n">
        <f aca="false">parametros_recargas!$E$90*'Plan mensual'!G117+parametros_recargas!$F$90*'Plan mensual'!G118+parametros_recargas!$G$90*'Plan mensual'!G119+parametros_recargas!$H$90*'Plan mensual'!G120+parametros_recargas!$I$90*'Plan mensual'!G121+parametros_recargas!$J$90*'Plan mensual'!G122+parametros_recargas!$K$90*'Plan mensual'!G123+parametros_recargas!$L$90*'Plan mensual'!G124</f>
        <v>327.033298365888</v>
      </c>
      <c r="F116" s="23" t="n">
        <f aca="false">parametros_recargas!$E$90*'Plan mensual'!H117+parametros_recargas!$F$90*'Plan mensual'!H118+parametros_recargas!$G$90*'Plan mensual'!H119+parametros_recargas!$H$90*'Plan mensual'!H120+parametros_recargas!$I$90*'Plan mensual'!H121+parametros_recargas!$J$90*'Plan mensual'!H122+parametros_recargas!$K$90*'Plan mensual'!H123+parametros_recargas!$L$90*'Plan mensual'!H124</f>
        <v>327.033298365888</v>
      </c>
      <c r="G116" s="23" t="n">
        <f aca="false">parametros_recargas!$E$90*'Plan mensual'!I117+parametros_recargas!$F$90*'Plan mensual'!I118+parametros_recargas!$G$90*'Plan mensual'!I119+parametros_recargas!$H$90*'Plan mensual'!I120+parametros_recargas!$I$90*'Plan mensual'!I121+parametros_recargas!$J$90*'Plan mensual'!I122+parametros_recargas!$K$90*'Plan mensual'!I123+parametros_recargas!$L$90*'Plan mensual'!I124</f>
        <v>327.033298365888</v>
      </c>
      <c r="H116" s="23" t="n">
        <f aca="false">parametros_recargas!$E$90*'Plan mensual'!J117+parametros_recargas!$F$90*'Plan mensual'!J118+parametros_recargas!$G$90*'Plan mensual'!J119+parametros_recargas!$H$90*'Plan mensual'!J120+parametros_recargas!$I$90*'Plan mensual'!J121+parametros_recargas!$J$90*'Plan mensual'!J122+parametros_recargas!$K$90*'Plan mensual'!J123+parametros_recargas!$L$90*'Plan mensual'!J124</f>
        <v>327.033298365888</v>
      </c>
      <c r="I116" s="23" t="n">
        <f aca="false">parametros_recargas!$E$90*'Plan mensual'!K117+parametros_recargas!$F$90*'Plan mensual'!K118+parametros_recargas!$G$90*'Plan mensual'!K119+parametros_recargas!$H$90*'Plan mensual'!K120+parametros_recargas!$I$90*'Plan mensual'!K121+parametros_recargas!$J$90*'Plan mensual'!K122+parametros_recargas!$K$90*'Plan mensual'!K123+parametros_recargas!$L$90*'Plan mensual'!K124</f>
        <v>327.033298365888</v>
      </c>
      <c r="J116" s="23" t="n">
        <f aca="false">parametros_recargas!$E$90*'Plan mensual'!L117+parametros_recargas!$F$90*'Plan mensual'!L118+parametros_recargas!$G$90*'Plan mensual'!L119+parametros_recargas!$H$90*'Plan mensual'!L120+parametros_recargas!$I$90*'Plan mensual'!L121+parametros_recargas!$J$90*'Plan mensual'!L122+parametros_recargas!$K$90*'Plan mensual'!L123+parametros_recargas!$L$90*'Plan mensual'!L124</f>
        <v>327.033298365888</v>
      </c>
      <c r="K116" s="23" t="n">
        <f aca="false">parametros_recargas!$E$90*'Plan mensual'!M117+parametros_recargas!$F$90*'Plan mensual'!M118+parametros_recargas!$G$90*'Plan mensual'!M119+parametros_recargas!$H$90*'Plan mensual'!M120+parametros_recargas!$I$90*'Plan mensual'!M121+parametros_recargas!$J$90*'Plan mensual'!M122+parametros_recargas!$K$90*'Plan mensual'!M123+parametros_recargas!$L$90*'Plan mensual'!M124</f>
        <v>327.033298365888</v>
      </c>
      <c r="L116" s="23" t="n">
        <f aca="false">parametros_recargas!$E$90*'Plan mensual'!N117+parametros_recargas!$F$90*'Plan mensual'!N118+parametros_recargas!$G$90*'Plan mensual'!N119+parametros_recargas!$H$90*'Plan mensual'!N120+parametros_recargas!$I$90*'Plan mensual'!N121+parametros_recargas!$J$90*'Plan mensual'!N122+parametros_recargas!$K$90*'Plan mensual'!N123+parametros_recargas!$L$90*'Plan mensual'!N124</f>
        <v>327.033298365888</v>
      </c>
      <c r="M116" s="23" t="n">
        <f aca="false">parametros_recargas!$E$90*'Plan mensual'!O117+parametros_recargas!$F$90*'Plan mensual'!O118+parametros_recargas!$G$90*'Plan mensual'!O119+parametros_recargas!$H$90*'Plan mensual'!O120+parametros_recargas!$I$90*'Plan mensual'!O121+parametros_recargas!$J$90*'Plan mensual'!O122+parametros_recargas!$K$90*'Plan mensual'!O123+parametros_recargas!$L$90*'Plan mensual'!O124</f>
        <v>327.033298365888</v>
      </c>
      <c r="N116" s="7" t="n">
        <f aca="false">SUM(B116:M116)</f>
        <v>3924.39958039065</v>
      </c>
      <c r="O116" s="24" t="n">
        <f aca="false">MAX(B116:M116)</f>
        <v>327.033298365888</v>
      </c>
      <c r="P116" s="15" t="n">
        <f aca="false">O116/parametros_recargas!$B$6</f>
        <v>2.18022198910592</v>
      </c>
    </row>
    <row r="117" customFormat="false" ht="15" hidden="false" customHeight="false" outlineLevel="0" collapsed="false">
      <c r="A117" s="12" t="str">
        <f aca="false">parametros_recargas!$B$91</f>
        <v>Carga de CO₂</v>
      </c>
      <c r="B117" s="23" t="n">
        <f aca="false">parametros_recargas!$E$91*'Plan mensual'!D117+parametros_recargas!$F$91*'Plan mensual'!D118+parametros_recargas!$G$91*'Plan mensual'!D119+parametros_recargas!$H$91*'Plan mensual'!D120+parametros_recargas!$I$91*'Plan mensual'!D121+parametros_recargas!$J$91*'Plan mensual'!D122+parametros_recargas!$K$91*'Plan mensual'!D123+parametros_recargas!$L$91*'Plan mensual'!D124</f>
        <v>178.724240005566</v>
      </c>
      <c r="C117" s="23" t="n">
        <f aca="false">parametros_recargas!$E$91*'Plan mensual'!E117+parametros_recargas!$F$91*'Plan mensual'!E118+parametros_recargas!$G$91*'Plan mensual'!E119+parametros_recargas!$H$91*'Plan mensual'!E120+parametros_recargas!$I$91*'Plan mensual'!E121+parametros_recargas!$J$91*'Plan mensual'!E122+parametros_recargas!$K$91*'Plan mensual'!E123+parametros_recargas!$L$91*'Plan mensual'!E124</f>
        <v>178.724240005566</v>
      </c>
      <c r="D117" s="23" t="n">
        <f aca="false">parametros_recargas!$E$91*'Plan mensual'!F117+parametros_recargas!$F$91*'Plan mensual'!F118+parametros_recargas!$G$91*'Plan mensual'!F119+parametros_recargas!$H$91*'Plan mensual'!F120+parametros_recargas!$I$91*'Plan mensual'!F121+parametros_recargas!$J$91*'Plan mensual'!F122+parametros_recargas!$K$91*'Plan mensual'!F123+parametros_recargas!$L$91*'Plan mensual'!F124</f>
        <v>178.724240005566</v>
      </c>
      <c r="E117" s="23" t="n">
        <f aca="false">parametros_recargas!$E$91*'Plan mensual'!G117+parametros_recargas!$F$91*'Plan mensual'!G118+parametros_recargas!$G$91*'Plan mensual'!G119+parametros_recargas!$H$91*'Plan mensual'!G120+parametros_recargas!$I$91*'Plan mensual'!G121+parametros_recargas!$J$91*'Plan mensual'!G122+parametros_recargas!$K$91*'Plan mensual'!G123+parametros_recargas!$L$91*'Plan mensual'!G124</f>
        <v>178.724240005566</v>
      </c>
      <c r="F117" s="23" t="n">
        <f aca="false">parametros_recargas!$E$91*'Plan mensual'!H117+parametros_recargas!$F$91*'Plan mensual'!H118+parametros_recargas!$G$91*'Plan mensual'!H119+parametros_recargas!$H$91*'Plan mensual'!H120+parametros_recargas!$I$91*'Plan mensual'!H121+parametros_recargas!$J$91*'Plan mensual'!H122+parametros_recargas!$K$91*'Plan mensual'!H123+parametros_recargas!$L$91*'Plan mensual'!H124</f>
        <v>178.724240005566</v>
      </c>
      <c r="G117" s="23" t="n">
        <f aca="false">parametros_recargas!$E$91*'Plan mensual'!I117+parametros_recargas!$F$91*'Plan mensual'!I118+parametros_recargas!$G$91*'Plan mensual'!I119+parametros_recargas!$H$91*'Plan mensual'!I120+parametros_recargas!$I$91*'Plan mensual'!I121+parametros_recargas!$J$91*'Plan mensual'!I122+parametros_recargas!$K$91*'Plan mensual'!I123+parametros_recargas!$L$91*'Plan mensual'!I124</f>
        <v>178.724240005566</v>
      </c>
      <c r="H117" s="23" t="n">
        <f aca="false">parametros_recargas!$E$91*'Plan mensual'!J117+parametros_recargas!$F$91*'Plan mensual'!J118+parametros_recargas!$G$91*'Plan mensual'!J119+parametros_recargas!$H$91*'Plan mensual'!J120+parametros_recargas!$I$91*'Plan mensual'!J121+parametros_recargas!$J$91*'Plan mensual'!J122+parametros_recargas!$K$91*'Plan mensual'!J123+parametros_recargas!$L$91*'Plan mensual'!J124</f>
        <v>178.724240005566</v>
      </c>
      <c r="I117" s="23" t="n">
        <f aca="false">parametros_recargas!$E$91*'Plan mensual'!K117+parametros_recargas!$F$91*'Plan mensual'!K118+parametros_recargas!$G$91*'Plan mensual'!K119+parametros_recargas!$H$91*'Plan mensual'!K120+parametros_recargas!$I$91*'Plan mensual'!K121+parametros_recargas!$J$91*'Plan mensual'!K122+parametros_recargas!$K$91*'Plan mensual'!K123+parametros_recargas!$L$91*'Plan mensual'!K124</f>
        <v>178.724240005566</v>
      </c>
      <c r="J117" s="23" t="n">
        <f aca="false">parametros_recargas!$E$91*'Plan mensual'!L117+parametros_recargas!$F$91*'Plan mensual'!L118+parametros_recargas!$G$91*'Plan mensual'!L119+parametros_recargas!$H$91*'Plan mensual'!L120+parametros_recargas!$I$91*'Plan mensual'!L121+parametros_recargas!$J$91*'Plan mensual'!L122+parametros_recargas!$K$91*'Plan mensual'!L123+parametros_recargas!$L$91*'Plan mensual'!L124</f>
        <v>178.724240005566</v>
      </c>
      <c r="K117" s="23" t="n">
        <f aca="false">parametros_recargas!$E$91*'Plan mensual'!M117+parametros_recargas!$F$91*'Plan mensual'!M118+parametros_recargas!$G$91*'Plan mensual'!M119+parametros_recargas!$H$91*'Plan mensual'!M120+parametros_recargas!$I$91*'Plan mensual'!M121+parametros_recargas!$J$91*'Plan mensual'!M122+parametros_recargas!$K$91*'Plan mensual'!M123+parametros_recargas!$L$91*'Plan mensual'!M124</f>
        <v>178.724240005566</v>
      </c>
      <c r="L117" s="23" t="n">
        <f aca="false">parametros_recargas!$E$91*'Plan mensual'!N117+parametros_recargas!$F$91*'Plan mensual'!N118+parametros_recargas!$G$91*'Plan mensual'!N119+parametros_recargas!$H$91*'Plan mensual'!N120+parametros_recargas!$I$91*'Plan mensual'!N121+parametros_recargas!$J$91*'Plan mensual'!N122+parametros_recargas!$K$91*'Plan mensual'!N123+parametros_recargas!$L$91*'Plan mensual'!N124</f>
        <v>178.724240005566</v>
      </c>
      <c r="M117" s="23" t="n">
        <f aca="false">parametros_recargas!$E$91*'Plan mensual'!O117+parametros_recargas!$F$91*'Plan mensual'!O118+parametros_recargas!$G$91*'Plan mensual'!O119+parametros_recargas!$H$91*'Plan mensual'!O120+parametros_recargas!$I$91*'Plan mensual'!O121+parametros_recargas!$J$91*'Plan mensual'!O122+parametros_recargas!$K$91*'Plan mensual'!O123+parametros_recargas!$L$91*'Plan mensual'!O124</f>
        <v>178.724240005566</v>
      </c>
      <c r="N117" s="7" t="n">
        <f aca="false">SUM(B117:M117)</f>
        <v>2144.69088006679</v>
      </c>
      <c r="O117" s="24" t="n">
        <f aca="false">MAX(B117:M117)</f>
        <v>178.724240005566</v>
      </c>
      <c r="P117" s="15" t="n">
        <f aca="false">O117/parametros_recargas!$B$6</f>
        <v>1.19149493337044</v>
      </c>
    </row>
    <row r="118" customFormat="false" ht="15" hidden="false" customHeight="false" outlineLevel="0" collapsed="false">
      <c r="A118" s="12" t="str">
        <f aca="false">parametros_recargas!$B$92</f>
        <v>Ensamblaje y marbete — recinto</v>
      </c>
      <c r="B118" s="23" t="n">
        <f aca="false">parametros_recargas!$E$92*'Plan mensual'!D117+parametros_recargas!$F$92*'Plan mensual'!D118+parametros_recargas!$G$92*'Plan mensual'!D119+parametros_recargas!$H$92*'Plan mensual'!D120+parametros_recargas!$I$92*'Plan mensual'!D121+parametros_recargas!$J$92*'Plan mensual'!D122+parametros_recargas!$K$92*'Plan mensual'!D123+parametros_recargas!$L$92*'Plan mensual'!D124</f>
        <v>6020.05409642468</v>
      </c>
      <c r="C118" s="23" t="n">
        <f aca="false">parametros_recargas!$E$92*'Plan mensual'!E117+parametros_recargas!$F$92*'Plan mensual'!E118+parametros_recargas!$G$92*'Plan mensual'!E119+parametros_recargas!$H$92*'Plan mensual'!E120+parametros_recargas!$I$92*'Plan mensual'!E121+parametros_recargas!$J$92*'Plan mensual'!E122+parametros_recargas!$K$92*'Plan mensual'!E123+parametros_recargas!$L$92*'Plan mensual'!E124</f>
        <v>6020.05409642468</v>
      </c>
      <c r="D118" s="23" t="n">
        <f aca="false">parametros_recargas!$E$92*'Plan mensual'!F117+parametros_recargas!$F$92*'Plan mensual'!F118+parametros_recargas!$G$92*'Plan mensual'!F119+parametros_recargas!$H$92*'Plan mensual'!F120+parametros_recargas!$I$92*'Plan mensual'!F121+parametros_recargas!$J$92*'Plan mensual'!F122+parametros_recargas!$K$92*'Plan mensual'!F123+parametros_recargas!$L$92*'Plan mensual'!F124</f>
        <v>6020.05409642468</v>
      </c>
      <c r="E118" s="23" t="n">
        <f aca="false">parametros_recargas!$E$92*'Plan mensual'!G117+parametros_recargas!$F$92*'Plan mensual'!G118+parametros_recargas!$G$92*'Plan mensual'!G119+parametros_recargas!$H$92*'Plan mensual'!G120+parametros_recargas!$I$92*'Plan mensual'!G121+parametros_recargas!$J$92*'Plan mensual'!G122+parametros_recargas!$K$92*'Plan mensual'!G123+parametros_recargas!$L$92*'Plan mensual'!G124</f>
        <v>6020.05409642468</v>
      </c>
      <c r="F118" s="23" t="n">
        <f aca="false">parametros_recargas!$E$92*'Plan mensual'!H117+parametros_recargas!$F$92*'Plan mensual'!H118+parametros_recargas!$G$92*'Plan mensual'!H119+parametros_recargas!$H$92*'Plan mensual'!H120+parametros_recargas!$I$92*'Plan mensual'!H121+parametros_recargas!$J$92*'Plan mensual'!H122+parametros_recargas!$K$92*'Plan mensual'!H123+parametros_recargas!$L$92*'Plan mensual'!H124</f>
        <v>6020.05409642468</v>
      </c>
      <c r="G118" s="23" t="n">
        <f aca="false">parametros_recargas!$E$92*'Plan mensual'!I117+parametros_recargas!$F$92*'Plan mensual'!I118+parametros_recargas!$G$92*'Plan mensual'!I119+parametros_recargas!$H$92*'Plan mensual'!I120+parametros_recargas!$I$92*'Plan mensual'!I121+parametros_recargas!$J$92*'Plan mensual'!I122+parametros_recargas!$K$92*'Plan mensual'!I123+parametros_recargas!$L$92*'Plan mensual'!I124</f>
        <v>6020.05409642468</v>
      </c>
      <c r="H118" s="23" t="n">
        <f aca="false">parametros_recargas!$E$92*'Plan mensual'!J117+parametros_recargas!$F$92*'Plan mensual'!J118+parametros_recargas!$G$92*'Plan mensual'!J119+parametros_recargas!$H$92*'Plan mensual'!J120+parametros_recargas!$I$92*'Plan mensual'!J121+parametros_recargas!$J$92*'Plan mensual'!J122+parametros_recargas!$K$92*'Plan mensual'!J123+parametros_recargas!$L$92*'Plan mensual'!J124</f>
        <v>6020.05409642468</v>
      </c>
      <c r="I118" s="23" t="n">
        <f aca="false">parametros_recargas!$E$92*'Plan mensual'!K117+parametros_recargas!$F$92*'Plan mensual'!K118+parametros_recargas!$G$92*'Plan mensual'!K119+parametros_recargas!$H$92*'Plan mensual'!K120+parametros_recargas!$I$92*'Plan mensual'!K121+parametros_recargas!$J$92*'Plan mensual'!K122+parametros_recargas!$K$92*'Plan mensual'!K123+parametros_recargas!$L$92*'Plan mensual'!K124</f>
        <v>6020.05409642468</v>
      </c>
      <c r="J118" s="23" t="n">
        <f aca="false">parametros_recargas!$E$92*'Plan mensual'!L117+parametros_recargas!$F$92*'Plan mensual'!L118+parametros_recargas!$G$92*'Plan mensual'!L119+parametros_recargas!$H$92*'Plan mensual'!L120+parametros_recargas!$I$92*'Plan mensual'!L121+parametros_recargas!$J$92*'Plan mensual'!L122+parametros_recargas!$K$92*'Plan mensual'!L123+parametros_recargas!$L$92*'Plan mensual'!L124</f>
        <v>6020.05409642468</v>
      </c>
      <c r="K118" s="23" t="n">
        <f aca="false">parametros_recargas!$E$92*'Plan mensual'!M117+parametros_recargas!$F$92*'Plan mensual'!M118+parametros_recargas!$G$92*'Plan mensual'!M119+parametros_recargas!$H$92*'Plan mensual'!M120+parametros_recargas!$I$92*'Plan mensual'!M121+parametros_recargas!$J$92*'Plan mensual'!M122+parametros_recargas!$K$92*'Plan mensual'!M123+parametros_recargas!$L$92*'Plan mensual'!M124</f>
        <v>6020.05409642468</v>
      </c>
      <c r="L118" s="23" t="n">
        <f aca="false">parametros_recargas!$E$92*'Plan mensual'!N117+parametros_recargas!$F$92*'Plan mensual'!N118+parametros_recargas!$G$92*'Plan mensual'!N119+parametros_recargas!$H$92*'Plan mensual'!N120+parametros_recargas!$I$92*'Plan mensual'!N121+parametros_recargas!$J$92*'Plan mensual'!N122+parametros_recargas!$K$92*'Plan mensual'!N123+parametros_recargas!$L$92*'Plan mensual'!N124</f>
        <v>6020.05409642468</v>
      </c>
      <c r="M118" s="23" t="n">
        <f aca="false">parametros_recargas!$E$92*'Plan mensual'!O117+parametros_recargas!$F$92*'Plan mensual'!O118+parametros_recargas!$G$92*'Plan mensual'!O119+parametros_recargas!$H$92*'Plan mensual'!O120+parametros_recargas!$I$92*'Plan mensual'!O121+parametros_recargas!$J$92*'Plan mensual'!O122+parametros_recargas!$K$92*'Plan mensual'!O123+parametros_recargas!$L$92*'Plan mensual'!O124</f>
        <v>6020.05409642468</v>
      </c>
      <c r="N118" s="7" t="n">
        <f aca="false">SUM(B118:M118)</f>
        <v>72240.6491570961</v>
      </c>
      <c r="O118" s="24" t="n">
        <f aca="false">MAX(B118:M118)</f>
        <v>6020.05409642468</v>
      </c>
      <c r="P118" s="15" t="n">
        <f aca="false">O118/parametros_recargas!$B$6</f>
        <v>40.1336939761645</v>
      </c>
    </row>
    <row r="119" customFormat="false" ht="15" hidden="false" customHeight="false" outlineLevel="0" collapsed="false">
      <c r="A119" s="12" t="str">
        <f aca="false">parametros_recargas!$B$93</f>
        <v>Presurización — recinto</v>
      </c>
      <c r="B119" s="23" t="n">
        <f aca="false">parametros_recargas!$E$93*'Plan mensual'!D117+parametros_recargas!$F$93*'Plan mensual'!D118+parametros_recargas!$G$93*'Plan mensual'!D119+parametros_recargas!$H$93*'Plan mensual'!D120+parametros_recargas!$I$93*'Plan mensual'!D121+parametros_recargas!$J$93*'Plan mensual'!D122+parametros_recargas!$K$93*'Plan mensual'!D123+parametros_recargas!$L$93*'Plan mensual'!D124</f>
        <v>6020.05409642468</v>
      </c>
      <c r="C119" s="23" t="n">
        <f aca="false">parametros_recargas!$E$93*'Plan mensual'!E117+parametros_recargas!$F$93*'Plan mensual'!E118+parametros_recargas!$G$93*'Plan mensual'!E119+parametros_recargas!$H$93*'Plan mensual'!E120+parametros_recargas!$I$93*'Plan mensual'!E121+parametros_recargas!$J$93*'Plan mensual'!E122+parametros_recargas!$K$93*'Plan mensual'!E123+parametros_recargas!$L$93*'Plan mensual'!E124</f>
        <v>6020.05409642468</v>
      </c>
      <c r="D119" s="23" t="n">
        <f aca="false">parametros_recargas!$E$93*'Plan mensual'!F117+parametros_recargas!$F$93*'Plan mensual'!F118+parametros_recargas!$G$93*'Plan mensual'!F119+parametros_recargas!$H$93*'Plan mensual'!F120+parametros_recargas!$I$93*'Plan mensual'!F121+parametros_recargas!$J$93*'Plan mensual'!F122+parametros_recargas!$K$93*'Plan mensual'!F123+parametros_recargas!$L$93*'Plan mensual'!F124</f>
        <v>6020.05409642468</v>
      </c>
      <c r="E119" s="23" t="n">
        <f aca="false">parametros_recargas!$E$93*'Plan mensual'!G117+parametros_recargas!$F$93*'Plan mensual'!G118+parametros_recargas!$G$93*'Plan mensual'!G119+parametros_recargas!$H$93*'Plan mensual'!G120+parametros_recargas!$I$93*'Plan mensual'!G121+parametros_recargas!$J$93*'Plan mensual'!G122+parametros_recargas!$K$93*'Plan mensual'!G123+parametros_recargas!$L$93*'Plan mensual'!G124</f>
        <v>6020.05409642468</v>
      </c>
      <c r="F119" s="23" t="n">
        <f aca="false">parametros_recargas!$E$93*'Plan mensual'!H117+parametros_recargas!$F$93*'Plan mensual'!H118+parametros_recargas!$G$93*'Plan mensual'!H119+parametros_recargas!$H$93*'Plan mensual'!H120+parametros_recargas!$I$93*'Plan mensual'!H121+parametros_recargas!$J$93*'Plan mensual'!H122+parametros_recargas!$K$93*'Plan mensual'!H123+parametros_recargas!$L$93*'Plan mensual'!H124</f>
        <v>6020.05409642468</v>
      </c>
      <c r="G119" s="23" t="n">
        <f aca="false">parametros_recargas!$E$93*'Plan mensual'!I117+parametros_recargas!$F$93*'Plan mensual'!I118+parametros_recargas!$G$93*'Plan mensual'!I119+parametros_recargas!$H$93*'Plan mensual'!I120+parametros_recargas!$I$93*'Plan mensual'!I121+parametros_recargas!$J$93*'Plan mensual'!I122+parametros_recargas!$K$93*'Plan mensual'!I123+parametros_recargas!$L$93*'Plan mensual'!I124</f>
        <v>6020.05409642468</v>
      </c>
      <c r="H119" s="23" t="n">
        <f aca="false">parametros_recargas!$E$93*'Plan mensual'!J117+parametros_recargas!$F$93*'Plan mensual'!J118+parametros_recargas!$G$93*'Plan mensual'!J119+parametros_recargas!$H$93*'Plan mensual'!J120+parametros_recargas!$I$93*'Plan mensual'!J121+parametros_recargas!$J$93*'Plan mensual'!J122+parametros_recargas!$K$93*'Plan mensual'!J123+parametros_recargas!$L$93*'Plan mensual'!J124</f>
        <v>6020.05409642468</v>
      </c>
      <c r="I119" s="23" t="n">
        <f aca="false">parametros_recargas!$E$93*'Plan mensual'!K117+parametros_recargas!$F$93*'Plan mensual'!K118+parametros_recargas!$G$93*'Plan mensual'!K119+parametros_recargas!$H$93*'Plan mensual'!K120+parametros_recargas!$I$93*'Plan mensual'!K121+parametros_recargas!$J$93*'Plan mensual'!K122+parametros_recargas!$K$93*'Plan mensual'!K123+parametros_recargas!$L$93*'Plan mensual'!K124</f>
        <v>6020.05409642468</v>
      </c>
      <c r="J119" s="23" t="n">
        <f aca="false">parametros_recargas!$E$93*'Plan mensual'!L117+parametros_recargas!$F$93*'Plan mensual'!L118+parametros_recargas!$G$93*'Plan mensual'!L119+parametros_recargas!$H$93*'Plan mensual'!L120+parametros_recargas!$I$93*'Plan mensual'!L121+parametros_recargas!$J$93*'Plan mensual'!L122+parametros_recargas!$K$93*'Plan mensual'!L123+parametros_recargas!$L$93*'Plan mensual'!L124</f>
        <v>6020.05409642468</v>
      </c>
      <c r="K119" s="23" t="n">
        <f aca="false">parametros_recargas!$E$93*'Plan mensual'!M117+parametros_recargas!$F$93*'Plan mensual'!M118+parametros_recargas!$G$93*'Plan mensual'!M119+parametros_recargas!$H$93*'Plan mensual'!M120+parametros_recargas!$I$93*'Plan mensual'!M121+parametros_recargas!$J$93*'Plan mensual'!M122+parametros_recargas!$K$93*'Plan mensual'!M123+parametros_recargas!$L$93*'Plan mensual'!M124</f>
        <v>6020.05409642468</v>
      </c>
      <c r="L119" s="23" t="n">
        <f aca="false">parametros_recargas!$E$93*'Plan mensual'!N117+parametros_recargas!$F$93*'Plan mensual'!N118+parametros_recargas!$G$93*'Plan mensual'!N119+parametros_recargas!$H$93*'Plan mensual'!N120+parametros_recargas!$I$93*'Plan mensual'!N121+parametros_recargas!$J$93*'Plan mensual'!N122+parametros_recargas!$K$93*'Plan mensual'!N123+parametros_recargas!$L$93*'Plan mensual'!N124</f>
        <v>6020.05409642468</v>
      </c>
      <c r="M119" s="23" t="n">
        <f aca="false">parametros_recargas!$E$93*'Plan mensual'!O117+parametros_recargas!$F$93*'Plan mensual'!O118+parametros_recargas!$G$93*'Plan mensual'!O119+parametros_recargas!$H$93*'Plan mensual'!O120+parametros_recargas!$I$93*'Plan mensual'!O121+parametros_recargas!$J$93*'Plan mensual'!O122+parametros_recargas!$K$93*'Plan mensual'!O123+parametros_recargas!$L$93*'Plan mensual'!O124</f>
        <v>6020.05409642468</v>
      </c>
      <c r="N119" s="7" t="n">
        <f aca="false">SUM(B119:M119)</f>
        <v>72240.6491570961</v>
      </c>
      <c r="O119" s="24" t="n">
        <f aca="false">MAX(B119:M119)</f>
        <v>6020.05409642468</v>
      </c>
      <c r="P119" s="15" t="n">
        <f aca="false">O119/parametros_recargas!$B$6</f>
        <v>40.1336939761645</v>
      </c>
    </row>
    <row r="120" customFormat="false" ht="15" hidden="false" customHeight="false" outlineLevel="0" collapsed="false">
      <c r="A120" s="12" t="str">
        <f aca="false">parametros_recargas!$B$94</f>
        <v>Ensamblaje y presurización — zona general</v>
      </c>
      <c r="B120" s="23" t="n">
        <f aca="false">parametros_recargas!$E$94*'Plan mensual'!D117+parametros_recargas!$F$94*'Plan mensual'!D118+parametros_recargas!$G$94*'Plan mensual'!D119+parametros_recargas!$H$94*'Plan mensual'!D120+parametros_recargas!$I$94*'Plan mensual'!D121+parametros_recargas!$J$94*'Plan mensual'!D122+parametros_recargas!$K$94*'Plan mensual'!D123+parametros_recargas!$L$94*'Plan mensual'!D124</f>
        <v>481.932968086932</v>
      </c>
      <c r="C120" s="23" t="n">
        <f aca="false">parametros_recargas!$E$94*'Plan mensual'!E117+parametros_recargas!$F$94*'Plan mensual'!E118+parametros_recargas!$G$94*'Plan mensual'!E119+parametros_recargas!$H$94*'Plan mensual'!E120+parametros_recargas!$I$94*'Plan mensual'!E121+parametros_recargas!$J$94*'Plan mensual'!E122+parametros_recargas!$K$94*'Plan mensual'!E123+parametros_recargas!$L$94*'Plan mensual'!E124</f>
        <v>481.932968086932</v>
      </c>
      <c r="D120" s="23" t="n">
        <f aca="false">parametros_recargas!$E$94*'Plan mensual'!F117+parametros_recargas!$F$94*'Plan mensual'!F118+parametros_recargas!$G$94*'Plan mensual'!F119+parametros_recargas!$H$94*'Plan mensual'!F120+parametros_recargas!$I$94*'Plan mensual'!F121+parametros_recargas!$J$94*'Plan mensual'!F122+parametros_recargas!$K$94*'Plan mensual'!F123+parametros_recargas!$L$94*'Plan mensual'!F124</f>
        <v>481.932968086932</v>
      </c>
      <c r="E120" s="23" t="n">
        <f aca="false">parametros_recargas!$E$94*'Plan mensual'!G117+parametros_recargas!$F$94*'Plan mensual'!G118+parametros_recargas!$G$94*'Plan mensual'!G119+parametros_recargas!$H$94*'Plan mensual'!G120+parametros_recargas!$I$94*'Plan mensual'!G121+parametros_recargas!$J$94*'Plan mensual'!G122+parametros_recargas!$K$94*'Plan mensual'!G123+parametros_recargas!$L$94*'Plan mensual'!G124</f>
        <v>481.932968086932</v>
      </c>
      <c r="F120" s="23" t="n">
        <f aca="false">parametros_recargas!$E$94*'Plan mensual'!H117+parametros_recargas!$F$94*'Plan mensual'!H118+parametros_recargas!$G$94*'Plan mensual'!H119+parametros_recargas!$H$94*'Plan mensual'!H120+parametros_recargas!$I$94*'Plan mensual'!H121+parametros_recargas!$J$94*'Plan mensual'!H122+parametros_recargas!$K$94*'Plan mensual'!H123+parametros_recargas!$L$94*'Plan mensual'!H124</f>
        <v>481.932968086932</v>
      </c>
      <c r="G120" s="23" t="n">
        <f aca="false">parametros_recargas!$E$94*'Plan mensual'!I117+parametros_recargas!$F$94*'Plan mensual'!I118+parametros_recargas!$G$94*'Plan mensual'!I119+parametros_recargas!$H$94*'Plan mensual'!I120+parametros_recargas!$I$94*'Plan mensual'!I121+parametros_recargas!$J$94*'Plan mensual'!I122+parametros_recargas!$K$94*'Plan mensual'!I123+parametros_recargas!$L$94*'Plan mensual'!I124</f>
        <v>481.932968086932</v>
      </c>
      <c r="H120" s="23" t="n">
        <f aca="false">parametros_recargas!$E$94*'Plan mensual'!J117+parametros_recargas!$F$94*'Plan mensual'!J118+parametros_recargas!$G$94*'Plan mensual'!J119+parametros_recargas!$H$94*'Plan mensual'!J120+parametros_recargas!$I$94*'Plan mensual'!J121+parametros_recargas!$J$94*'Plan mensual'!J122+parametros_recargas!$K$94*'Plan mensual'!J123+parametros_recargas!$L$94*'Plan mensual'!J124</f>
        <v>481.932968086932</v>
      </c>
      <c r="I120" s="23" t="n">
        <f aca="false">parametros_recargas!$E$94*'Plan mensual'!K117+parametros_recargas!$F$94*'Plan mensual'!K118+parametros_recargas!$G$94*'Plan mensual'!K119+parametros_recargas!$H$94*'Plan mensual'!K120+parametros_recargas!$I$94*'Plan mensual'!K121+parametros_recargas!$J$94*'Plan mensual'!K122+parametros_recargas!$K$94*'Plan mensual'!K123+parametros_recargas!$L$94*'Plan mensual'!K124</f>
        <v>481.932968086932</v>
      </c>
      <c r="J120" s="23" t="n">
        <f aca="false">parametros_recargas!$E$94*'Plan mensual'!L117+parametros_recargas!$F$94*'Plan mensual'!L118+parametros_recargas!$G$94*'Plan mensual'!L119+parametros_recargas!$H$94*'Plan mensual'!L120+parametros_recargas!$I$94*'Plan mensual'!L121+parametros_recargas!$J$94*'Plan mensual'!L122+parametros_recargas!$K$94*'Plan mensual'!L123+parametros_recargas!$L$94*'Plan mensual'!L124</f>
        <v>481.932968086932</v>
      </c>
      <c r="K120" s="23" t="n">
        <f aca="false">parametros_recargas!$E$94*'Plan mensual'!M117+parametros_recargas!$F$94*'Plan mensual'!M118+parametros_recargas!$G$94*'Plan mensual'!M119+parametros_recargas!$H$94*'Plan mensual'!M120+parametros_recargas!$I$94*'Plan mensual'!M121+parametros_recargas!$J$94*'Plan mensual'!M122+parametros_recargas!$K$94*'Plan mensual'!M123+parametros_recargas!$L$94*'Plan mensual'!M124</f>
        <v>481.932968086932</v>
      </c>
      <c r="L120" s="23" t="n">
        <f aca="false">parametros_recargas!$E$94*'Plan mensual'!N117+parametros_recargas!$F$94*'Plan mensual'!N118+parametros_recargas!$G$94*'Plan mensual'!N119+parametros_recargas!$H$94*'Plan mensual'!N120+parametros_recargas!$I$94*'Plan mensual'!N121+parametros_recargas!$J$94*'Plan mensual'!N122+parametros_recargas!$K$94*'Plan mensual'!N123+parametros_recargas!$L$94*'Plan mensual'!N124</f>
        <v>481.932968086932</v>
      </c>
      <c r="M120" s="23" t="n">
        <f aca="false">parametros_recargas!$E$94*'Plan mensual'!O117+parametros_recargas!$F$94*'Plan mensual'!O118+parametros_recargas!$G$94*'Plan mensual'!O119+parametros_recargas!$H$94*'Plan mensual'!O120+parametros_recargas!$I$94*'Plan mensual'!O121+parametros_recargas!$J$94*'Plan mensual'!O122+parametros_recargas!$K$94*'Plan mensual'!O123+parametros_recargas!$L$94*'Plan mensual'!O124</f>
        <v>481.932968086932</v>
      </c>
      <c r="N120" s="7" t="n">
        <f aca="false">SUM(B120:M120)</f>
        <v>5783.19561704319</v>
      </c>
      <c r="O120" s="24" t="n">
        <f aca="false">MAX(B120:M120)</f>
        <v>481.932968086932</v>
      </c>
      <c r="P120" s="15" t="n">
        <f aca="false">O120/parametros_recargas!$B$6</f>
        <v>3.21288645391288</v>
      </c>
    </row>
    <row r="121" customFormat="false" ht="15" hidden="false" customHeight="false" outlineLevel="0" collapsed="false">
      <c r="A121" s="12" t="str">
        <f aca="false">parametros_recargas!$B$95</f>
        <v>Carga y presurización de halogenado</v>
      </c>
      <c r="B121" s="23" t="n">
        <f aca="false">parametros_recargas!$E$95*'Plan mensual'!D117+parametros_recargas!$F$95*'Plan mensual'!D118+parametros_recargas!$G$95*'Plan mensual'!D119+parametros_recargas!$H$95*'Plan mensual'!D120+parametros_recargas!$I$95*'Plan mensual'!D121+parametros_recargas!$J$95*'Plan mensual'!D122+parametros_recargas!$K$95*'Plan mensual'!D123+parametros_recargas!$L$95*'Plan mensual'!D124</f>
        <v>5.96280304973965</v>
      </c>
      <c r="C121" s="23" t="n">
        <f aca="false">parametros_recargas!$E$95*'Plan mensual'!E117+parametros_recargas!$F$95*'Plan mensual'!E118+parametros_recargas!$G$95*'Plan mensual'!E119+parametros_recargas!$H$95*'Plan mensual'!E120+parametros_recargas!$I$95*'Plan mensual'!E121+parametros_recargas!$J$95*'Plan mensual'!E122+parametros_recargas!$K$95*'Plan mensual'!E123+parametros_recargas!$L$95*'Plan mensual'!E124</f>
        <v>5.96280304973965</v>
      </c>
      <c r="D121" s="23" t="n">
        <f aca="false">parametros_recargas!$E$95*'Plan mensual'!F117+parametros_recargas!$F$95*'Plan mensual'!F118+parametros_recargas!$G$95*'Plan mensual'!F119+parametros_recargas!$H$95*'Plan mensual'!F120+parametros_recargas!$I$95*'Plan mensual'!F121+parametros_recargas!$J$95*'Plan mensual'!F122+parametros_recargas!$K$95*'Plan mensual'!F123+parametros_recargas!$L$95*'Plan mensual'!F124</f>
        <v>5.96280304973965</v>
      </c>
      <c r="E121" s="23" t="n">
        <f aca="false">parametros_recargas!$E$95*'Plan mensual'!G117+parametros_recargas!$F$95*'Plan mensual'!G118+parametros_recargas!$G$95*'Plan mensual'!G119+parametros_recargas!$H$95*'Plan mensual'!G120+parametros_recargas!$I$95*'Plan mensual'!G121+parametros_recargas!$J$95*'Plan mensual'!G122+parametros_recargas!$K$95*'Plan mensual'!G123+parametros_recargas!$L$95*'Plan mensual'!G124</f>
        <v>5.96280304973965</v>
      </c>
      <c r="F121" s="23" t="n">
        <f aca="false">parametros_recargas!$E$95*'Plan mensual'!H117+parametros_recargas!$F$95*'Plan mensual'!H118+parametros_recargas!$G$95*'Plan mensual'!H119+parametros_recargas!$H$95*'Plan mensual'!H120+parametros_recargas!$I$95*'Plan mensual'!H121+parametros_recargas!$J$95*'Plan mensual'!H122+parametros_recargas!$K$95*'Plan mensual'!H123+parametros_recargas!$L$95*'Plan mensual'!H124</f>
        <v>5.96280304973965</v>
      </c>
      <c r="G121" s="23" t="n">
        <f aca="false">parametros_recargas!$E$95*'Plan mensual'!I117+parametros_recargas!$F$95*'Plan mensual'!I118+parametros_recargas!$G$95*'Plan mensual'!I119+parametros_recargas!$H$95*'Plan mensual'!I120+parametros_recargas!$I$95*'Plan mensual'!I121+parametros_recargas!$J$95*'Plan mensual'!I122+parametros_recargas!$K$95*'Plan mensual'!I123+parametros_recargas!$L$95*'Plan mensual'!I124</f>
        <v>5.96280304973965</v>
      </c>
      <c r="H121" s="23" t="n">
        <f aca="false">parametros_recargas!$E$95*'Plan mensual'!J117+parametros_recargas!$F$95*'Plan mensual'!J118+parametros_recargas!$G$95*'Plan mensual'!J119+parametros_recargas!$H$95*'Plan mensual'!J120+parametros_recargas!$I$95*'Plan mensual'!J121+parametros_recargas!$J$95*'Plan mensual'!J122+parametros_recargas!$K$95*'Plan mensual'!J123+parametros_recargas!$L$95*'Plan mensual'!J124</f>
        <v>5.96280304973965</v>
      </c>
      <c r="I121" s="23" t="n">
        <f aca="false">parametros_recargas!$E$95*'Plan mensual'!K117+parametros_recargas!$F$95*'Plan mensual'!K118+parametros_recargas!$G$95*'Plan mensual'!K119+parametros_recargas!$H$95*'Plan mensual'!K120+parametros_recargas!$I$95*'Plan mensual'!K121+parametros_recargas!$J$95*'Plan mensual'!K122+parametros_recargas!$K$95*'Plan mensual'!K123+parametros_recargas!$L$95*'Plan mensual'!K124</f>
        <v>5.96280304973965</v>
      </c>
      <c r="J121" s="23" t="n">
        <f aca="false">parametros_recargas!$E$95*'Plan mensual'!L117+parametros_recargas!$F$95*'Plan mensual'!L118+parametros_recargas!$G$95*'Plan mensual'!L119+parametros_recargas!$H$95*'Plan mensual'!L120+parametros_recargas!$I$95*'Plan mensual'!L121+parametros_recargas!$J$95*'Plan mensual'!L122+parametros_recargas!$K$95*'Plan mensual'!L123+parametros_recargas!$L$95*'Plan mensual'!L124</f>
        <v>5.96280304973965</v>
      </c>
      <c r="K121" s="23" t="n">
        <f aca="false">parametros_recargas!$E$95*'Plan mensual'!M117+parametros_recargas!$F$95*'Plan mensual'!M118+parametros_recargas!$G$95*'Plan mensual'!M119+parametros_recargas!$H$95*'Plan mensual'!M120+parametros_recargas!$I$95*'Plan mensual'!M121+parametros_recargas!$J$95*'Plan mensual'!M122+parametros_recargas!$K$95*'Plan mensual'!M123+parametros_recargas!$L$95*'Plan mensual'!M124</f>
        <v>5.96280304973965</v>
      </c>
      <c r="L121" s="23" t="n">
        <f aca="false">parametros_recargas!$E$95*'Plan mensual'!N117+parametros_recargas!$F$95*'Plan mensual'!N118+parametros_recargas!$G$95*'Plan mensual'!N119+parametros_recargas!$H$95*'Plan mensual'!N120+parametros_recargas!$I$95*'Plan mensual'!N121+parametros_recargas!$J$95*'Plan mensual'!N122+parametros_recargas!$K$95*'Plan mensual'!N123+parametros_recargas!$L$95*'Plan mensual'!N124</f>
        <v>5.96280304973965</v>
      </c>
      <c r="M121" s="23" t="n">
        <f aca="false">parametros_recargas!$E$95*'Plan mensual'!O117+parametros_recargas!$F$95*'Plan mensual'!O118+parametros_recargas!$G$95*'Plan mensual'!O119+parametros_recargas!$H$95*'Plan mensual'!O120+parametros_recargas!$I$95*'Plan mensual'!O121+parametros_recargas!$J$95*'Plan mensual'!O122+parametros_recargas!$K$95*'Plan mensual'!O123+parametros_recargas!$L$95*'Plan mensual'!O124</f>
        <v>5.96280304973965</v>
      </c>
      <c r="N121" s="7" t="n">
        <f aca="false">SUM(B121:M121)</f>
        <v>71.5536365968758</v>
      </c>
      <c r="O121" s="24" t="n">
        <f aca="false">MAX(B121:M121)</f>
        <v>5.96280304973965</v>
      </c>
      <c r="P121" s="15" t="n">
        <f aca="false">O121/parametros_recargas!$B$6</f>
        <v>0.0397520203315976</v>
      </c>
    </row>
    <row r="122" customFormat="false" ht="15" hidden="false" customHeight="false" outlineLevel="0" collapsed="false">
      <c r="A122" s="12" t="str">
        <f aca="false">parametros_recargas!$B$96</f>
        <v>Control de peso (CO₂ y halogenados sin recarga)</v>
      </c>
      <c r="B122" s="23" t="n">
        <f aca="false">parametros_recargas!$E$96*'Plan mensual'!D117+parametros_recargas!$F$96*'Plan mensual'!D118+parametros_recargas!$G$96*'Plan mensual'!D119+parametros_recargas!$H$96*'Plan mensual'!D120+parametros_recargas!$I$96*'Plan mensual'!D121+parametros_recargas!$J$96*'Plan mensual'!D122+parametros_recargas!$K$96*'Plan mensual'!D123+parametros_recargas!$L$96*'Plan mensual'!D124</f>
        <v>434.911635828872</v>
      </c>
      <c r="C122" s="23" t="n">
        <f aca="false">parametros_recargas!$E$96*'Plan mensual'!E117+parametros_recargas!$F$96*'Plan mensual'!E118+parametros_recargas!$G$96*'Plan mensual'!E119+parametros_recargas!$H$96*'Plan mensual'!E120+parametros_recargas!$I$96*'Plan mensual'!E121+parametros_recargas!$J$96*'Plan mensual'!E122+parametros_recargas!$K$96*'Plan mensual'!E123+parametros_recargas!$L$96*'Plan mensual'!E124</f>
        <v>434.911635828872</v>
      </c>
      <c r="D122" s="23" t="n">
        <f aca="false">parametros_recargas!$E$96*'Plan mensual'!F117+parametros_recargas!$F$96*'Plan mensual'!F118+parametros_recargas!$G$96*'Plan mensual'!F119+parametros_recargas!$H$96*'Plan mensual'!F120+parametros_recargas!$I$96*'Plan mensual'!F121+parametros_recargas!$J$96*'Plan mensual'!F122+parametros_recargas!$K$96*'Plan mensual'!F123+parametros_recargas!$L$96*'Plan mensual'!F124</f>
        <v>434.911635828872</v>
      </c>
      <c r="E122" s="23" t="n">
        <f aca="false">parametros_recargas!$E$96*'Plan mensual'!G117+parametros_recargas!$F$96*'Plan mensual'!G118+parametros_recargas!$G$96*'Plan mensual'!G119+parametros_recargas!$H$96*'Plan mensual'!G120+parametros_recargas!$I$96*'Plan mensual'!G121+parametros_recargas!$J$96*'Plan mensual'!G122+parametros_recargas!$K$96*'Plan mensual'!G123+parametros_recargas!$L$96*'Plan mensual'!G124</f>
        <v>434.911635828872</v>
      </c>
      <c r="F122" s="23" t="n">
        <f aca="false">parametros_recargas!$E$96*'Plan mensual'!H117+parametros_recargas!$F$96*'Plan mensual'!H118+parametros_recargas!$G$96*'Plan mensual'!H119+parametros_recargas!$H$96*'Plan mensual'!H120+parametros_recargas!$I$96*'Plan mensual'!H121+parametros_recargas!$J$96*'Plan mensual'!H122+parametros_recargas!$K$96*'Plan mensual'!H123+parametros_recargas!$L$96*'Plan mensual'!H124</f>
        <v>434.911635828872</v>
      </c>
      <c r="G122" s="23" t="n">
        <f aca="false">parametros_recargas!$E$96*'Plan mensual'!I117+parametros_recargas!$F$96*'Plan mensual'!I118+parametros_recargas!$G$96*'Plan mensual'!I119+parametros_recargas!$H$96*'Plan mensual'!I120+parametros_recargas!$I$96*'Plan mensual'!I121+parametros_recargas!$J$96*'Plan mensual'!I122+parametros_recargas!$K$96*'Plan mensual'!I123+parametros_recargas!$L$96*'Plan mensual'!I124</f>
        <v>434.911635828872</v>
      </c>
      <c r="H122" s="23" t="n">
        <f aca="false">parametros_recargas!$E$96*'Plan mensual'!J117+parametros_recargas!$F$96*'Plan mensual'!J118+parametros_recargas!$G$96*'Plan mensual'!J119+parametros_recargas!$H$96*'Plan mensual'!J120+parametros_recargas!$I$96*'Plan mensual'!J121+parametros_recargas!$J$96*'Plan mensual'!J122+parametros_recargas!$K$96*'Plan mensual'!J123+parametros_recargas!$L$96*'Plan mensual'!J124</f>
        <v>434.911635828872</v>
      </c>
      <c r="I122" s="23" t="n">
        <f aca="false">parametros_recargas!$E$96*'Plan mensual'!K117+parametros_recargas!$F$96*'Plan mensual'!K118+parametros_recargas!$G$96*'Plan mensual'!K119+parametros_recargas!$H$96*'Plan mensual'!K120+parametros_recargas!$I$96*'Plan mensual'!K121+parametros_recargas!$J$96*'Plan mensual'!K122+parametros_recargas!$K$96*'Plan mensual'!K123+parametros_recargas!$L$96*'Plan mensual'!K124</f>
        <v>434.911635828872</v>
      </c>
      <c r="J122" s="23" t="n">
        <f aca="false">parametros_recargas!$E$96*'Plan mensual'!L117+parametros_recargas!$F$96*'Plan mensual'!L118+parametros_recargas!$G$96*'Plan mensual'!L119+parametros_recargas!$H$96*'Plan mensual'!L120+parametros_recargas!$I$96*'Plan mensual'!L121+parametros_recargas!$J$96*'Plan mensual'!L122+parametros_recargas!$K$96*'Plan mensual'!L123+parametros_recargas!$L$96*'Plan mensual'!L124</f>
        <v>434.911635828872</v>
      </c>
      <c r="K122" s="23" t="n">
        <f aca="false">parametros_recargas!$E$96*'Plan mensual'!M117+parametros_recargas!$F$96*'Plan mensual'!M118+parametros_recargas!$G$96*'Plan mensual'!M119+parametros_recargas!$H$96*'Plan mensual'!M120+parametros_recargas!$I$96*'Plan mensual'!M121+parametros_recargas!$J$96*'Plan mensual'!M122+parametros_recargas!$K$96*'Plan mensual'!M123+parametros_recargas!$L$96*'Plan mensual'!M124</f>
        <v>434.911635828872</v>
      </c>
      <c r="L122" s="23" t="n">
        <f aca="false">parametros_recargas!$E$96*'Plan mensual'!N117+parametros_recargas!$F$96*'Plan mensual'!N118+parametros_recargas!$G$96*'Plan mensual'!N119+parametros_recargas!$H$96*'Plan mensual'!N120+parametros_recargas!$I$96*'Plan mensual'!N121+parametros_recargas!$J$96*'Plan mensual'!N122+parametros_recargas!$K$96*'Plan mensual'!N123+parametros_recargas!$L$96*'Plan mensual'!N124</f>
        <v>434.911635828872</v>
      </c>
      <c r="M122" s="23" t="n">
        <f aca="false">parametros_recargas!$E$96*'Plan mensual'!O117+parametros_recargas!$F$96*'Plan mensual'!O118+parametros_recargas!$G$96*'Plan mensual'!O119+parametros_recargas!$H$96*'Plan mensual'!O120+parametros_recargas!$I$96*'Plan mensual'!O121+parametros_recargas!$J$96*'Plan mensual'!O122+parametros_recargas!$K$96*'Plan mensual'!O123+parametros_recargas!$L$96*'Plan mensual'!O124</f>
        <v>434.911635828872</v>
      </c>
      <c r="N122" s="7" t="n">
        <f aca="false">SUM(B122:M122)</f>
        <v>5218.93962994647</v>
      </c>
      <c r="O122" s="24" t="n">
        <f aca="false">MAX(B122:M122)</f>
        <v>434.911635828872</v>
      </c>
      <c r="P122" s="15" t="n">
        <f aca="false">O122/parametros_recargas!$B$6</f>
        <v>2.89941090552582</v>
      </c>
    </row>
    <row r="123" customFormat="false" ht="15" hidden="false" customHeight="false" outlineLevel="0" collapsed="false">
      <c r="A123" s="12" t="str">
        <f aca="false">parametros_recargas!$B$97</f>
        <v>Ensayo de pérdidas</v>
      </c>
      <c r="B123" s="23" t="n">
        <f aca="false">parametros_recargas!$E$97*'Plan mensual'!D117+parametros_recargas!$F$97*'Plan mensual'!D118+parametros_recargas!$G$97*'Plan mensual'!D119+parametros_recargas!$H$97*'Plan mensual'!D120+parametros_recargas!$I$97*'Plan mensual'!D121+parametros_recargas!$J$97*'Plan mensual'!D122+parametros_recargas!$K$97*'Plan mensual'!D123+parametros_recargas!$L$97*'Plan mensual'!D124</f>
        <v>6966.68607367474</v>
      </c>
      <c r="C123" s="23" t="n">
        <f aca="false">parametros_recargas!$E$97*'Plan mensual'!E117+parametros_recargas!$F$97*'Plan mensual'!E118+parametros_recargas!$G$97*'Plan mensual'!E119+parametros_recargas!$H$97*'Plan mensual'!E120+parametros_recargas!$I$97*'Plan mensual'!E121+parametros_recargas!$J$97*'Plan mensual'!E122+parametros_recargas!$K$97*'Plan mensual'!E123+parametros_recargas!$L$97*'Plan mensual'!E124</f>
        <v>6966.68607367474</v>
      </c>
      <c r="D123" s="23" t="n">
        <f aca="false">parametros_recargas!$E$97*'Plan mensual'!F117+parametros_recargas!$F$97*'Plan mensual'!F118+parametros_recargas!$G$97*'Plan mensual'!F119+parametros_recargas!$H$97*'Plan mensual'!F120+parametros_recargas!$I$97*'Plan mensual'!F121+parametros_recargas!$J$97*'Plan mensual'!F122+parametros_recargas!$K$97*'Plan mensual'!F123+parametros_recargas!$L$97*'Plan mensual'!F124</f>
        <v>6966.68607367474</v>
      </c>
      <c r="E123" s="23" t="n">
        <f aca="false">parametros_recargas!$E$97*'Plan mensual'!G117+parametros_recargas!$F$97*'Plan mensual'!G118+parametros_recargas!$G$97*'Plan mensual'!G119+parametros_recargas!$H$97*'Plan mensual'!G120+parametros_recargas!$I$97*'Plan mensual'!G121+parametros_recargas!$J$97*'Plan mensual'!G122+parametros_recargas!$K$97*'Plan mensual'!G123+parametros_recargas!$L$97*'Plan mensual'!G124</f>
        <v>6966.68607367474</v>
      </c>
      <c r="F123" s="23" t="n">
        <f aca="false">parametros_recargas!$E$97*'Plan mensual'!H117+parametros_recargas!$F$97*'Plan mensual'!H118+parametros_recargas!$G$97*'Plan mensual'!H119+parametros_recargas!$H$97*'Plan mensual'!H120+parametros_recargas!$I$97*'Plan mensual'!H121+parametros_recargas!$J$97*'Plan mensual'!H122+parametros_recargas!$K$97*'Plan mensual'!H123+parametros_recargas!$L$97*'Plan mensual'!H124</f>
        <v>6966.68607367474</v>
      </c>
      <c r="G123" s="23" t="n">
        <f aca="false">parametros_recargas!$E$97*'Plan mensual'!I117+parametros_recargas!$F$97*'Plan mensual'!I118+parametros_recargas!$G$97*'Plan mensual'!I119+parametros_recargas!$H$97*'Plan mensual'!I120+parametros_recargas!$I$97*'Plan mensual'!I121+parametros_recargas!$J$97*'Plan mensual'!I122+parametros_recargas!$K$97*'Plan mensual'!I123+parametros_recargas!$L$97*'Plan mensual'!I124</f>
        <v>6966.68607367474</v>
      </c>
      <c r="H123" s="23" t="n">
        <f aca="false">parametros_recargas!$E$97*'Plan mensual'!J117+parametros_recargas!$F$97*'Plan mensual'!J118+parametros_recargas!$G$97*'Plan mensual'!J119+parametros_recargas!$H$97*'Plan mensual'!J120+parametros_recargas!$I$97*'Plan mensual'!J121+parametros_recargas!$J$97*'Plan mensual'!J122+parametros_recargas!$K$97*'Plan mensual'!J123+parametros_recargas!$L$97*'Plan mensual'!J124</f>
        <v>6966.68607367474</v>
      </c>
      <c r="I123" s="23" t="n">
        <f aca="false">parametros_recargas!$E$97*'Plan mensual'!K117+parametros_recargas!$F$97*'Plan mensual'!K118+parametros_recargas!$G$97*'Plan mensual'!K119+parametros_recargas!$H$97*'Plan mensual'!K120+parametros_recargas!$I$97*'Plan mensual'!K121+parametros_recargas!$J$97*'Plan mensual'!K122+parametros_recargas!$K$97*'Plan mensual'!K123+parametros_recargas!$L$97*'Plan mensual'!K124</f>
        <v>6966.68607367474</v>
      </c>
      <c r="J123" s="23" t="n">
        <f aca="false">parametros_recargas!$E$97*'Plan mensual'!L117+parametros_recargas!$F$97*'Plan mensual'!L118+parametros_recargas!$G$97*'Plan mensual'!L119+parametros_recargas!$H$97*'Plan mensual'!L120+parametros_recargas!$I$97*'Plan mensual'!L121+parametros_recargas!$J$97*'Plan mensual'!L122+parametros_recargas!$K$97*'Plan mensual'!L123+parametros_recargas!$L$97*'Plan mensual'!L124</f>
        <v>6966.68607367474</v>
      </c>
      <c r="K123" s="23" t="n">
        <f aca="false">parametros_recargas!$E$97*'Plan mensual'!M117+parametros_recargas!$F$97*'Plan mensual'!M118+parametros_recargas!$G$97*'Plan mensual'!M119+parametros_recargas!$H$97*'Plan mensual'!M120+parametros_recargas!$I$97*'Plan mensual'!M121+parametros_recargas!$J$97*'Plan mensual'!M122+parametros_recargas!$K$97*'Plan mensual'!M123+parametros_recargas!$L$97*'Plan mensual'!M124</f>
        <v>6966.68607367474</v>
      </c>
      <c r="L123" s="23" t="n">
        <f aca="false">parametros_recargas!$E$97*'Plan mensual'!N117+parametros_recargas!$F$97*'Plan mensual'!N118+parametros_recargas!$G$97*'Plan mensual'!N119+parametros_recargas!$H$97*'Plan mensual'!N120+parametros_recargas!$I$97*'Plan mensual'!N121+parametros_recargas!$J$97*'Plan mensual'!N122+parametros_recargas!$K$97*'Plan mensual'!N123+parametros_recargas!$L$97*'Plan mensual'!N124</f>
        <v>6966.68607367474</v>
      </c>
      <c r="M123" s="23" t="n">
        <f aca="false">parametros_recargas!$E$97*'Plan mensual'!O117+parametros_recargas!$F$97*'Plan mensual'!O118+parametros_recargas!$G$97*'Plan mensual'!O119+parametros_recargas!$H$97*'Plan mensual'!O120+parametros_recargas!$I$97*'Plan mensual'!O121+parametros_recargas!$J$97*'Plan mensual'!O122+parametros_recargas!$K$97*'Plan mensual'!O123+parametros_recargas!$L$97*'Plan mensual'!O124</f>
        <v>6966.68607367474</v>
      </c>
      <c r="N123" s="7" t="n">
        <f aca="false">SUM(B123:M123)</f>
        <v>83600.2328840969</v>
      </c>
      <c r="O123" s="24" t="n">
        <f aca="false">MAX(B123:M123)</f>
        <v>6966.68607367474</v>
      </c>
      <c r="P123" s="15" t="n">
        <f aca="false">O123/parametros_recargas!$B$6</f>
        <v>46.4445738244983</v>
      </c>
    </row>
    <row r="124" customFormat="false" ht="15" hidden="false" customHeight="false" outlineLevel="0" collapsed="false">
      <c r="A124" s="12" t="str">
        <f aca="false">parametros_recargas!$B$98</f>
        <v>Precinto, etiqueta y despacho</v>
      </c>
      <c r="B124" s="23" t="n">
        <f aca="false">parametros_recargas!$E$98*'Plan mensual'!D117+parametros_recargas!$F$98*'Plan mensual'!D118+parametros_recargas!$G$98*'Plan mensual'!D119+parametros_recargas!$H$98*'Plan mensual'!D120+parametros_recargas!$I$98*'Plan mensual'!D121+parametros_recargas!$J$98*'Plan mensual'!D122+parametros_recargas!$K$98*'Plan mensual'!D123+parametros_recargas!$L$98*'Plan mensual'!D124</f>
        <v>6966.68607367474</v>
      </c>
      <c r="C124" s="23" t="n">
        <f aca="false">parametros_recargas!$E$98*'Plan mensual'!E117+parametros_recargas!$F$98*'Plan mensual'!E118+parametros_recargas!$G$98*'Plan mensual'!E119+parametros_recargas!$H$98*'Plan mensual'!E120+parametros_recargas!$I$98*'Plan mensual'!E121+parametros_recargas!$J$98*'Plan mensual'!E122+parametros_recargas!$K$98*'Plan mensual'!E123+parametros_recargas!$L$98*'Plan mensual'!E124</f>
        <v>6966.68607367474</v>
      </c>
      <c r="D124" s="23" t="n">
        <f aca="false">parametros_recargas!$E$98*'Plan mensual'!F117+parametros_recargas!$F$98*'Plan mensual'!F118+parametros_recargas!$G$98*'Plan mensual'!F119+parametros_recargas!$H$98*'Plan mensual'!F120+parametros_recargas!$I$98*'Plan mensual'!F121+parametros_recargas!$J$98*'Plan mensual'!F122+parametros_recargas!$K$98*'Plan mensual'!F123+parametros_recargas!$L$98*'Plan mensual'!F124</f>
        <v>6966.68607367474</v>
      </c>
      <c r="E124" s="23" t="n">
        <f aca="false">parametros_recargas!$E$98*'Plan mensual'!G117+parametros_recargas!$F$98*'Plan mensual'!G118+parametros_recargas!$G$98*'Plan mensual'!G119+parametros_recargas!$H$98*'Plan mensual'!G120+parametros_recargas!$I$98*'Plan mensual'!G121+parametros_recargas!$J$98*'Plan mensual'!G122+parametros_recargas!$K$98*'Plan mensual'!G123+parametros_recargas!$L$98*'Plan mensual'!G124</f>
        <v>6966.68607367474</v>
      </c>
      <c r="F124" s="23" t="n">
        <f aca="false">parametros_recargas!$E$98*'Plan mensual'!H117+parametros_recargas!$F$98*'Plan mensual'!H118+parametros_recargas!$G$98*'Plan mensual'!H119+parametros_recargas!$H$98*'Plan mensual'!H120+parametros_recargas!$I$98*'Plan mensual'!H121+parametros_recargas!$J$98*'Plan mensual'!H122+parametros_recargas!$K$98*'Plan mensual'!H123+parametros_recargas!$L$98*'Plan mensual'!H124</f>
        <v>6966.68607367474</v>
      </c>
      <c r="G124" s="23" t="n">
        <f aca="false">parametros_recargas!$E$98*'Plan mensual'!I117+parametros_recargas!$F$98*'Plan mensual'!I118+parametros_recargas!$G$98*'Plan mensual'!I119+parametros_recargas!$H$98*'Plan mensual'!I120+parametros_recargas!$I$98*'Plan mensual'!I121+parametros_recargas!$J$98*'Plan mensual'!I122+parametros_recargas!$K$98*'Plan mensual'!I123+parametros_recargas!$L$98*'Plan mensual'!I124</f>
        <v>6966.68607367474</v>
      </c>
      <c r="H124" s="23" t="n">
        <f aca="false">parametros_recargas!$E$98*'Plan mensual'!J117+parametros_recargas!$F$98*'Plan mensual'!J118+parametros_recargas!$G$98*'Plan mensual'!J119+parametros_recargas!$H$98*'Plan mensual'!J120+parametros_recargas!$I$98*'Plan mensual'!J121+parametros_recargas!$J$98*'Plan mensual'!J122+parametros_recargas!$K$98*'Plan mensual'!J123+parametros_recargas!$L$98*'Plan mensual'!J124</f>
        <v>6966.68607367474</v>
      </c>
      <c r="I124" s="23" t="n">
        <f aca="false">parametros_recargas!$E$98*'Plan mensual'!K117+parametros_recargas!$F$98*'Plan mensual'!K118+parametros_recargas!$G$98*'Plan mensual'!K119+parametros_recargas!$H$98*'Plan mensual'!K120+parametros_recargas!$I$98*'Plan mensual'!K121+parametros_recargas!$J$98*'Plan mensual'!K122+parametros_recargas!$K$98*'Plan mensual'!K123+parametros_recargas!$L$98*'Plan mensual'!K124</f>
        <v>6966.68607367474</v>
      </c>
      <c r="J124" s="23" t="n">
        <f aca="false">parametros_recargas!$E$98*'Plan mensual'!L117+parametros_recargas!$F$98*'Plan mensual'!L118+parametros_recargas!$G$98*'Plan mensual'!L119+parametros_recargas!$H$98*'Plan mensual'!L120+parametros_recargas!$I$98*'Plan mensual'!L121+parametros_recargas!$J$98*'Plan mensual'!L122+parametros_recargas!$K$98*'Plan mensual'!L123+parametros_recargas!$L$98*'Plan mensual'!L124</f>
        <v>6966.68607367474</v>
      </c>
      <c r="K124" s="23" t="n">
        <f aca="false">parametros_recargas!$E$98*'Plan mensual'!M117+parametros_recargas!$F$98*'Plan mensual'!M118+parametros_recargas!$G$98*'Plan mensual'!M119+parametros_recargas!$H$98*'Plan mensual'!M120+parametros_recargas!$I$98*'Plan mensual'!M121+parametros_recargas!$J$98*'Plan mensual'!M122+parametros_recargas!$K$98*'Plan mensual'!M123+parametros_recargas!$L$98*'Plan mensual'!M124</f>
        <v>6966.68607367474</v>
      </c>
      <c r="L124" s="23" t="n">
        <f aca="false">parametros_recargas!$E$98*'Plan mensual'!N117+parametros_recargas!$F$98*'Plan mensual'!N118+parametros_recargas!$G$98*'Plan mensual'!N119+parametros_recargas!$H$98*'Plan mensual'!N120+parametros_recargas!$I$98*'Plan mensual'!N121+parametros_recargas!$J$98*'Plan mensual'!N122+parametros_recargas!$K$98*'Plan mensual'!N123+parametros_recargas!$L$98*'Plan mensual'!N124</f>
        <v>6966.68607367474</v>
      </c>
      <c r="M124" s="23" t="n">
        <f aca="false">parametros_recargas!$E$98*'Plan mensual'!O117+parametros_recargas!$F$98*'Plan mensual'!O118+parametros_recargas!$G$98*'Plan mensual'!O119+parametros_recargas!$H$98*'Plan mensual'!O120+parametros_recargas!$I$98*'Plan mensual'!O121+parametros_recargas!$J$98*'Plan mensual'!O122+parametros_recargas!$K$98*'Plan mensual'!O123+parametros_recargas!$L$98*'Plan mensual'!O124</f>
        <v>6966.68607367474</v>
      </c>
      <c r="N124" s="7" t="n">
        <f aca="false">SUM(B124:M124)</f>
        <v>83600.2328840969</v>
      </c>
      <c r="O124" s="24" t="n">
        <f aca="false">MAX(B124:M124)</f>
        <v>6966.68607367474</v>
      </c>
      <c r="P124" s="15" t="n">
        <f aca="false">O124/parametros_recargas!$B$6</f>
        <v>46.4445738244983</v>
      </c>
    </row>
    <row r="125" customFormat="false" ht="15" hidden="false" customHeight="false" outlineLevel="0" collapsed="false">
      <c r="A125" s="12" t="str">
        <f aca="false">parametros_recargas!$B$99</f>
        <v>Inutilización y disposición final</v>
      </c>
      <c r="B125" s="23" t="n">
        <f aca="false">parametros_recargas!$E$99*'Plan mensual'!D117+parametros_recargas!$F$99*'Plan mensual'!D118+parametros_recargas!$G$99*'Plan mensual'!D119+parametros_recargas!$H$99*'Plan mensual'!D120+parametros_recargas!$I$99*'Plan mensual'!D121+parametros_recargas!$J$99*'Plan mensual'!D122+parametros_recargas!$K$99*'Plan mensual'!D123+parametros_recargas!$L$99*'Plan mensual'!D124</f>
        <v>547.405761449226</v>
      </c>
      <c r="C125" s="23" t="n">
        <f aca="false">parametros_recargas!$E$99*'Plan mensual'!E117+parametros_recargas!$F$99*'Plan mensual'!E118+parametros_recargas!$G$99*'Plan mensual'!E119+parametros_recargas!$H$99*'Plan mensual'!E120+parametros_recargas!$I$99*'Plan mensual'!E121+parametros_recargas!$J$99*'Plan mensual'!E122+parametros_recargas!$K$99*'Plan mensual'!E123+parametros_recargas!$L$99*'Plan mensual'!E124</f>
        <v>547.405761449226</v>
      </c>
      <c r="D125" s="23" t="n">
        <f aca="false">parametros_recargas!$E$99*'Plan mensual'!F117+parametros_recargas!$F$99*'Plan mensual'!F118+parametros_recargas!$G$99*'Plan mensual'!F119+parametros_recargas!$H$99*'Plan mensual'!F120+parametros_recargas!$I$99*'Plan mensual'!F121+parametros_recargas!$J$99*'Plan mensual'!F122+parametros_recargas!$K$99*'Plan mensual'!F123+parametros_recargas!$L$99*'Plan mensual'!F124</f>
        <v>547.405761449226</v>
      </c>
      <c r="E125" s="23" t="n">
        <f aca="false">parametros_recargas!$E$99*'Plan mensual'!G117+parametros_recargas!$F$99*'Plan mensual'!G118+parametros_recargas!$G$99*'Plan mensual'!G119+parametros_recargas!$H$99*'Plan mensual'!G120+parametros_recargas!$I$99*'Plan mensual'!G121+parametros_recargas!$J$99*'Plan mensual'!G122+parametros_recargas!$K$99*'Plan mensual'!G123+parametros_recargas!$L$99*'Plan mensual'!G124</f>
        <v>547.405761449226</v>
      </c>
      <c r="F125" s="23" t="n">
        <f aca="false">parametros_recargas!$E$99*'Plan mensual'!H117+parametros_recargas!$F$99*'Plan mensual'!H118+parametros_recargas!$G$99*'Plan mensual'!H119+parametros_recargas!$H$99*'Plan mensual'!H120+parametros_recargas!$I$99*'Plan mensual'!H121+parametros_recargas!$J$99*'Plan mensual'!H122+parametros_recargas!$K$99*'Plan mensual'!H123+parametros_recargas!$L$99*'Plan mensual'!H124</f>
        <v>547.405761449226</v>
      </c>
      <c r="G125" s="23" t="n">
        <f aca="false">parametros_recargas!$E$99*'Plan mensual'!I117+parametros_recargas!$F$99*'Plan mensual'!I118+parametros_recargas!$G$99*'Plan mensual'!I119+parametros_recargas!$H$99*'Plan mensual'!I120+parametros_recargas!$I$99*'Plan mensual'!I121+parametros_recargas!$J$99*'Plan mensual'!I122+parametros_recargas!$K$99*'Plan mensual'!I123+parametros_recargas!$L$99*'Plan mensual'!I124</f>
        <v>547.405761449226</v>
      </c>
      <c r="H125" s="23" t="n">
        <f aca="false">parametros_recargas!$E$99*'Plan mensual'!J117+parametros_recargas!$F$99*'Plan mensual'!J118+parametros_recargas!$G$99*'Plan mensual'!J119+parametros_recargas!$H$99*'Plan mensual'!J120+parametros_recargas!$I$99*'Plan mensual'!J121+parametros_recargas!$J$99*'Plan mensual'!J122+parametros_recargas!$K$99*'Plan mensual'!J123+parametros_recargas!$L$99*'Plan mensual'!J124</f>
        <v>547.405761449226</v>
      </c>
      <c r="I125" s="23" t="n">
        <f aca="false">parametros_recargas!$E$99*'Plan mensual'!K117+parametros_recargas!$F$99*'Plan mensual'!K118+parametros_recargas!$G$99*'Plan mensual'!K119+parametros_recargas!$H$99*'Plan mensual'!K120+parametros_recargas!$I$99*'Plan mensual'!K121+parametros_recargas!$J$99*'Plan mensual'!K122+parametros_recargas!$K$99*'Plan mensual'!K123+parametros_recargas!$L$99*'Plan mensual'!K124</f>
        <v>547.405761449226</v>
      </c>
      <c r="J125" s="23" t="n">
        <f aca="false">parametros_recargas!$E$99*'Plan mensual'!L117+parametros_recargas!$F$99*'Plan mensual'!L118+parametros_recargas!$G$99*'Plan mensual'!L119+parametros_recargas!$H$99*'Plan mensual'!L120+parametros_recargas!$I$99*'Plan mensual'!L121+parametros_recargas!$J$99*'Plan mensual'!L122+parametros_recargas!$K$99*'Plan mensual'!L123+parametros_recargas!$L$99*'Plan mensual'!L124</f>
        <v>547.405761449226</v>
      </c>
      <c r="K125" s="23" t="n">
        <f aca="false">parametros_recargas!$E$99*'Plan mensual'!M117+parametros_recargas!$F$99*'Plan mensual'!M118+parametros_recargas!$G$99*'Plan mensual'!M119+parametros_recargas!$H$99*'Plan mensual'!M120+parametros_recargas!$I$99*'Plan mensual'!M121+parametros_recargas!$J$99*'Plan mensual'!M122+parametros_recargas!$K$99*'Plan mensual'!M123+parametros_recargas!$L$99*'Plan mensual'!M124</f>
        <v>547.405761449226</v>
      </c>
      <c r="L125" s="23" t="n">
        <f aca="false">parametros_recargas!$E$99*'Plan mensual'!N117+parametros_recargas!$F$99*'Plan mensual'!N118+parametros_recargas!$G$99*'Plan mensual'!N119+parametros_recargas!$H$99*'Plan mensual'!N120+parametros_recargas!$I$99*'Plan mensual'!N121+parametros_recargas!$J$99*'Plan mensual'!N122+parametros_recargas!$K$99*'Plan mensual'!N123+parametros_recargas!$L$99*'Plan mensual'!N124</f>
        <v>547.405761449226</v>
      </c>
      <c r="M125" s="23" t="n">
        <f aca="false">parametros_recargas!$E$99*'Plan mensual'!O117+parametros_recargas!$F$99*'Plan mensual'!O118+parametros_recargas!$G$99*'Plan mensual'!O119+parametros_recargas!$H$99*'Plan mensual'!O120+parametros_recargas!$I$99*'Plan mensual'!O121+parametros_recargas!$J$99*'Plan mensual'!O122+parametros_recargas!$K$99*'Plan mensual'!O123+parametros_recargas!$L$99*'Plan mensual'!O124</f>
        <v>547.405761449226</v>
      </c>
      <c r="N125" s="7" t="n">
        <f aca="false">SUM(B125:M125)</f>
        <v>6568.86913739071</v>
      </c>
      <c r="O125" s="24" t="n">
        <f aca="false">MAX(B125:M125)</f>
        <v>547.405761449226</v>
      </c>
      <c r="P125" s="15" t="n">
        <f aca="false">O125/parametros_recargas!$B$6</f>
        <v>3.64937174299484</v>
      </c>
    </row>
    <row r="126" customFormat="false" ht="15" hidden="false" customHeight="false" outlineLevel="0" collapsed="false">
      <c r="A126" s="12" t="str">
        <f aca="false">parametros_recargas!$B$100</f>
        <v>PH de mangueras (CO₂ y rodantes)</v>
      </c>
      <c r="B126" s="23" t="n">
        <f aca="false">'Plan mensual'!D125</f>
        <v>244.138384926708</v>
      </c>
      <c r="C126" s="23" t="n">
        <f aca="false">'Plan mensual'!E125</f>
        <v>244.138384926708</v>
      </c>
      <c r="D126" s="23" t="n">
        <f aca="false">'Plan mensual'!F125</f>
        <v>244.138384926708</v>
      </c>
      <c r="E126" s="23" t="n">
        <f aca="false">'Plan mensual'!G125</f>
        <v>244.138384926708</v>
      </c>
      <c r="F126" s="23" t="n">
        <f aca="false">'Plan mensual'!H125</f>
        <v>244.138384926708</v>
      </c>
      <c r="G126" s="23" t="n">
        <f aca="false">'Plan mensual'!I125</f>
        <v>244.138384926708</v>
      </c>
      <c r="H126" s="23" t="n">
        <f aca="false">'Plan mensual'!J125</f>
        <v>244.138384926708</v>
      </c>
      <c r="I126" s="23" t="n">
        <f aca="false">'Plan mensual'!K125</f>
        <v>244.138384926708</v>
      </c>
      <c r="J126" s="23" t="n">
        <f aca="false">'Plan mensual'!L125</f>
        <v>244.138384926708</v>
      </c>
      <c r="K126" s="23" t="n">
        <f aca="false">'Plan mensual'!M125</f>
        <v>244.138384926708</v>
      </c>
      <c r="L126" s="23" t="n">
        <f aca="false">'Plan mensual'!N125</f>
        <v>244.138384926708</v>
      </c>
      <c r="M126" s="23" t="n">
        <f aca="false">'Plan mensual'!O125</f>
        <v>244.138384926708</v>
      </c>
      <c r="N126" s="7" t="n">
        <f aca="false">SUM(B126:M126)</f>
        <v>2929.66061912049</v>
      </c>
      <c r="O126" s="24" t="n">
        <f aca="false">MAX(B126:M126)</f>
        <v>244.138384926708</v>
      </c>
      <c r="P126" s="15" t="n">
        <f aca="false">O126/parametros_recargas!$B$6</f>
        <v>1.62758923284472</v>
      </c>
    </row>
    <row r="129" customFormat="false" ht="23.85" hidden="false" customHeight="false" outlineLevel="0" collapsed="false">
      <c r="A129" s="3" t="s">
        <v>279</v>
      </c>
      <c r="B129" s="3" t="s">
        <v>120</v>
      </c>
      <c r="C129" s="3" t="s">
        <v>121</v>
      </c>
      <c r="D129" s="3" t="s">
        <v>122</v>
      </c>
      <c r="E129" s="3" t="s">
        <v>123</v>
      </c>
      <c r="F129" s="3" t="s">
        <v>124</v>
      </c>
      <c r="G129" s="3" t="s">
        <v>125</v>
      </c>
      <c r="H129" s="3" t="s">
        <v>126</v>
      </c>
      <c r="I129" s="3" t="s">
        <v>127</v>
      </c>
      <c r="J129" s="3" t="s">
        <v>128</v>
      </c>
      <c r="K129" s="3" t="s">
        <v>129</v>
      </c>
      <c r="L129" s="3" t="s">
        <v>130</v>
      </c>
      <c r="M129" s="3" t="s">
        <v>131</v>
      </c>
      <c r="N129" s="3" t="s">
        <v>273</v>
      </c>
      <c r="O129" s="3" t="s">
        <v>274</v>
      </c>
      <c r="P129" s="3" t="s">
        <v>275</v>
      </c>
    </row>
    <row r="130" customFormat="false" ht="15" hidden="false" customHeight="false" outlineLevel="0" collapsed="false">
      <c r="A130" s="12" t="str">
        <f aca="false">parametros_recargas!$B$72</f>
        <v>Recepción y registro</v>
      </c>
      <c r="B130" s="23" t="n">
        <f aca="false">parametros_recargas!$E$72*'Plan mensual'!D149+parametros_recargas!$F$72*'Plan mensual'!D150+parametros_recargas!$G$72*'Plan mensual'!D151+parametros_recargas!$H$72*'Plan mensual'!D152+parametros_recargas!$I$72*'Plan mensual'!D153+parametros_recargas!$J$72*'Plan mensual'!D154+parametros_recargas!$K$72*'Plan mensual'!D155+parametros_recargas!$L$72*'Plan mensual'!D156</f>
        <v>10338.3809402647</v>
      </c>
      <c r="C130" s="23" t="n">
        <f aca="false">parametros_recargas!$E$72*'Plan mensual'!E149+parametros_recargas!$F$72*'Plan mensual'!E150+parametros_recargas!$G$72*'Plan mensual'!E151+parametros_recargas!$H$72*'Plan mensual'!E152+parametros_recargas!$I$72*'Plan mensual'!E153+parametros_recargas!$J$72*'Plan mensual'!E154+parametros_recargas!$K$72*'Plan mensual'!E155+parametros_recargas!$L$72*'Plan mensual'!E156</f>
        <v>10338.3809402647</v>
      </c>
      <c r="D130" s="23" t="n">
        <f aca="false">parametros_recargas!$E$72*'Plan mensual'!F149+parametros_recargas!$F$72*'Plan mensual'!F150+parametros_recargas!$G$72*'Plan mensual'!F151+parametros_recargas!$H$72*'Plan mensual'!F152+parametros_recargas!$I$72*'Plan mensual'!F153+parametros_recargas!$J$72*'Plan mensual'!F154+parametros_recargas!$K$72*'Plan mensual'!F155+parametros_recargas!$L$72*'Plan mensual'!F156</f>
        <v>10338.3809402647</v>
      </c>
      <c r="E130" s="23" t="n">
        <f aca="false">parametros_recargas!$E$72*'Plan mensual'!G149+parametros_recargas!$F$72*'Plan mensual'!G150+parametros_recargas!$G$72*'Plan mensual'!G151+parametros_recargas!$H$72*'Plan mensual'!G152+parametros_recargas!$I$72*'Plan mensual'!G153+parametros_recargas!$J$72*'Plan mensual'!G154+parametros_recargas!$K$72*'Plan mensual'!G155+parametros_recargas!$L$72*'Plan mensual'!G156</f>
        <v>10338.3809402647</v>
      </c>
      <c r="F130" s="23" t="n">
        <f aca="false">parametros_recargas!$E$72*'Plan mensual'!H149+parametros_recargas!$F$72*'Plan mensual'!H150+parametros_recargas!$G$72*'Plan mensual'!H151+parametros_recargas!$H$72*'Plan mensual'!H152+parametros_recargas!$I$72*'Plan mensual'!H153+parametros_recargas!$J$72*'Plan mensual'!H154+parametros_recargas!$K$72*'Plan mensual'!H155+parametros_recargas!$L$72*'Plan mensual'!H156</f>
        <v>10338.3809402647</v>
      </c>
      <c r="G130" s="23" t="n">
        <f aca="false">parametros_recargas!$E$72*'Plan mensual'!I149+parametros_recargas!$F$72*'Plan mensual'!I150+parametros_recargas!$G$72*'Plan mensual'!I151+parametros_recargas!$H$72*'Plan mensual'!I152+parametros_recargas!$I$72*'Plan mensual'!I153+parametros_recargas!$J$72*'Plan mensual'!I154+parametros_recargas!$K$72*'Plan mensual'!I155+parametros_recargas!$L$72*'Plan mensual'!I156</f>
        <v>10338.3809402647</v>
      </c>
      <c r="H130" s="23" t="n">
        <f aca="false">parametros_recargas!$E$72*'Plan mensual'!J149+parametros_recargas!$F$72*'Plan mensual'!J150+parametros_recargas!$G$72*'Plan mensual'!J151+parametros_recargas!$H$72*'Plan mensual'!J152+parametros_recargas!$I$72*'Plan mensual'!J153+parametros_recargas!$J$72*'Plan mensual'!J154+parametros_recargas!$K$72*'Plan mensual'!J155+parametros_recargas!$L$72*'Plan mensual'!J156</f>
        <v>10338.3809402647</v>
      </c>
      <c r="I130" s="23" t="n">
        <f aca="false">parametros_recargas!$E$72*'Plan mensual'!K149+parametros_recargas!$F$72*'Plan mensual'!K150+parametros_recargas!$G$72*'Plan mensual'!K151+parametros_recargas!$H$72*'Plan mensual'!K152+parametros_recargas!$I$72*'Plan mensual'!K153+parametros_recargas!$J$72*'Plan mensual'!K154+parametros_recargas!$K$72*'Plan mensual'!K155+parametros_recargas!$L$72*'Plan mensual'!K156</f>
        <v>10338.3809402647</v>
      </c>
      <c r="J130" s="23" t="n">
        <f aca="false">parametros_recargas!$E$72*'Plan mensual'!L149+parametros_recargas!$F$72*'Plan mensual'!L150+parametros_recargas!$G$72*'Plan mensual'!L151+parametros_recargas!$H$72*'Plan mensual'!L152+parametros_recargas!$I$72*'Plan mensual'!L153+parametros_recargas!$J$72*'Plan mensual'!L154+parametros_recargas!$K$72*'Plan mensual'!L155+parametros_recargas!$L$72*'Plan mensual'!L156</f>
        <v>10338.3809402647</v>
      </c>
      <c r="K130" s="23" t="n">
        <f aca="false">parametros_recargas!$E$72*'Plan mensual'!M149+parametros_recargas!$F$72*'Plan mensual'!M150+parametros_recargas!$G$72*'Plan mensual'!M151+parametros_recargas!$H$72*'Plan mensual'!M152+parametros_recargas!$I$72*'Plan mensual'!M153+parametros_recargas!$J$72*'Plan mensual'!M154+parametros_recargas!$K$72*'Plan mensual'!M155+parametros_recargas!$L$72*'Plan mensual'!M156</f>
        <v>10338.3809402647</v>
      </c>
      <c r="L130" s="23" t="n">
        <f aca="false">parametros_recargas!$E$72*'Plan mensual'!N149+parametros_recargas!$F$72*'Plan mensual'!N150+parametros_recargas!$G$72*'Plan mensual'!N151+parametros_recargas!$H$72*'Plan mensual'!N152+parametros_recargas!$I$72*'Plan mensual'!N153+parametros_recargas!$J$72*'Plan mensual'!N154+parametros_recargas!$K$72*'Plan mensual'!N155+parametros_recargas!$L$72*'Plan mensual'!N156</f>
        <v>10338.3809402647</v>
      </c>
      <c r="M130" s="23" t="n">
        <f aca="false">parametros_recargas!$E$72*'Plan mensual'!O149+parametros_recargas!$F$72*'Plan mensual'!O150+parametros_recargas!$G$72*'Plan mensual'!O151+parametros_recargas!$H$72*'Plan mensual'!O152+parametros_recargas!$I$72*'Plan mensual'!O153+parametros_recargas!$J$72*'Plan mensual'!O154+parametros_recargas!$K$72*'Plan mensual'!O155+parametros_recargas!$L$72*'Plan mensual'!O156</f>
        <v>10338.3809402647</v>
      </c>
      <c r="N130" s="7" t="n">
        <f aca="false">SUM(B130:M130)</f>
        <v>124060.571283177</v>
      </c>
      <c r="O130" s="24" t="n">
        <f aca="false">MAX(B130:M130)</f>
        <v>10338.3809402647</v>
      </c>
      <c r="P130" s="15" t="n">
        <f aca="false">O130/parametros_recargas!$B$6</f>
        <v>68.922539601765</v>
      </c>
    </row>
    <row r="131" customFormat="false" ht="15" hidden="false" customHeight="false" outlineLevel="0" collapsed="false">
      <c r="A131" s="12" t="str">
        <f aca="false">parametros_recargas!$B$73</f>
        <v>Inspección visual</v>
      </c>
      <c r="B131" s="23" t="n">
        <f aca="false">parametros_recargas!$E$73*'Plan mensual'!D149+parametros_recargas!$F$73*'Plan mensual'!D150+parametros_recargas!$G$73*'Plan mensual'!D151+parametros_recargas!$H$73*'Plan mensual'!D152+parametros_recargas!$I$73*'Plan mensual'!D153+parametros_recargas!$J$73*'Plan mensual'!D154+parametros_recargas!$K$73*'Plan mensual'!D155+parametros_recargas!$L$73*'Plan mensual'!D156</f>
        <v>10338.3809402647</v>
      </c>
      <c r="C131" s="23" t="n">
        <f aca="false">parametros_recargas!$E$73*'Plan mensual'!E149+parametros_recargas!$F$73*'Plan mensual'!E150+parametros_recargas!$G$73*'Plan mensual'!E151+parametros_recargas!$H$73*'Plan mensual'!E152+parametros_recargas!$I$73*'Plan mensual'!E153+parametros_recargas!$J$73*'Plan mensual'!E154+parametros_recargas!$K$73*'Plan mensual'!E155+parametros_recargas!$L$73*'Plan mensual'!E156</f>
        <v>10338.3809402647</v>
      </c>
      <c r="D131" s="23" t="n">
        <f aca="false">parametros_recargas!$E$73*'Plan mensual'!F149+parametros_recargas!$F$73*'Plan mensual'!F150+parametros_recargas!$G$73*'Plan mensual'!F151+parametros_recargas!$H$73*'Plan mensual'!F152+parametros_recargas!$I$73*'Plan mensual'!F153+parametros_recargas!$J$73*'Plan mensual'!F154+parametros_recargas!$K$73*'Plan mensual'!F155+parametros_recargas!$L$73*'Plan mensual'!F156</f>
        <v>10338.3809402647</v>
      </c>
      <c r="E131" s="23" t="n">
        <f aca="false">parametros_recargas!$E$73*'Plan mensual'!G149+parametros_recargas!$F$73*'Plan mensual'!G150+parametros_recargas!$G$73*'Plan mensual'!G151+parametros_recargas!$H$73*'Plan mensual'!G152+parametros_recargas!$I$73*'Plan mensual'!G153+parametros_recargas!$J$73*'Plan mensual'!G154+parametros_recargas!$K$73*'Plan mensual'!G155+parametros_recargas!$L$73*'Plan mensual'!G156</f>
        <v>10338.3809402647</v>
      </c>
      <c r="F131" s="23" t="n">
        <f aca="false">parametros_recargas!$E$73*'Plan mensual'!H149+parametros_recargas!$F$73*'Plan mensual'!H150+parametros_recargas!$G$73*'Plan mensual'!H151+parametros_recargas!$H$73*'Plan mensual'!H152+parametros_recargas!$I$73*'Plan mensual'!H153+parametros_recargas!$J$73*'Plan mensual'!H154+parametros_recargas!$K$73*'Plan mensual'!H155+parametros_recargas!$L$73*'Plan mensual'!H156</f>
        <v>10338.3809402647</v>
      </c>
      <c r="G131" s="23" t="n">
        <f aca="false">parametros_recargas!$E$73*'Plan mensual'!I149+parametros_recargas!$F$73*'Plan mensual'!I150+parametros_recargas!$G$73*'Plan mensual'!I151+parametros_recargas!$H$73*'Plan mensual'!I152+parametros_recargas!$I$73*'Plan mensual'!I153+parametros_recargas!$J$73*'Plan mensual'!I154+parametros_recargas!$K$73*'Plan mensual'!I155+parametros_recargas!$L$73*'Plan mensual'!I156</f>
        <v>10338.3809402647</v>
      </c>
      <c r="H131" s="23" t="n">
        <f aca="false">parametros_recargas!$E$73*'Plan mensual'!J149+parametros_recargas!$F$73*'Plan mensual'!J150+parametros_recargas!$G$73*'Plan mensual'!J151+parametros_recargas!$H$73*'Plan mensual'!J152+parametros_recargas!$I$73*'Plan mensual'!J153+parametros_recargas!$J$73*'Plan mensual'!J154+parametros_recargas!$K$73*'Plan mensual'!J155+parametros_recargas!$L$73*'Plan mensual'!J156</f>
        <v>10338.3809402647</v>
      </c>
      <c r="I131" s="23" t="n">
        <f aca="false">parametros_recargas!$E$73*'Plan mensual'!K149+parametros_recargas!$F$73*'Plan mensual'!K150+parametros_recargas!$G$73*'Plan mensual'!K151+parametros_recargas!$H$73*'Plan mensual'!K152+parametros_recargas!$I$73*'Plan mensual'!K153+parametros_recargas!$J$73*'Plan mensual'!K154+parametros_recargas!$K$73*'Plan mensual'!K155+parametros_recargas!$L$73*'Plan mensual'!K156</f>
        <v>10338.3809402647</v>
      </c>
      <c r="J131" s="23" t="n">
        <f aca="false">parametros_recargas!$E$73*'Plan mensual'!L149+parametros_recargas!$F$73*'Plan mensual'!L150+parametros_recargas!$G$73*'Plan mensual'!L151+parametros_recargas!$H$73*'Plan mensual'!L152+parametros_recargas!$I$73*'Plan mensual'!L153+parametros_recargas!$J$73*'Plan mensual'!L154+parametros_recargas!$K$73*'Plan mensual'!L155+parametros_recargas!$L$73*'Plan mensual'!L156</f>
        <v>10338.3809402647</v>
      </c>
      <c r="K131" s="23" t="n">
        <f aca="false">parametros_recargas!$E$73*'Plan mensual'!M149+parametros_recargas!$F$73*'Plan mensual'!M150+parametros_recargas!$G$73*'Plan mensual'!M151+parametros_recargas!$H$73*'Plan mensual'!M152+parametros_recargas!$I$73*'Plan mensual'!M153+parametros_recargas!$J$73*'Plan mensual'!M154+parametros_recargas!$K$73*'Plan mensual'!M155+parametros_recargas!$L$73*'Plan mensual'!M156</f>
        <v>10338.3809402647</v>
      </c>
      <c r="L131" s="23" t="n">
        <f aca="false">parametros_recargas!$E$73*'Plan mensual'!N149+parametros_recargas!$F$73*'Plan mensual'!N150+parametros_recargas!$G$73*'Plan mensual'!N151+parametros_recargas!$H$73*'Plan mensual'!N152+parametros_recargas!$I$73*'Plan mensual'!N153+parametros_recargas!$J$73*'Plan mensual'!N154+parametros_recargas!$K$73*'Plan mensual'!N155+parametros_recargas!$L$73*'Plan mensual'!N156</f>
        <v>10338.3809402647</v>
      </c>
      <c r="M131" s="23" t="n">
        <f aca="false">parametros_recargas!$E$73*'Plan mensual'!O149+parametros_recargas!$F$73*'Plan mensual'!O150+parametros_recargas!$G$73*'Plan mensual'!O151+parametros_recargas!$H$73*'Plan mensual'!O152+parametros_recargas!$I$73*'Plan mensual'!O153+parametros_recargas!$J$73*'Plan mensual'!O154+parametros_recargas!$K$73*'Plan mensual'!O155+parametros_recargas!$L$73*'Plan mensual'!O156</f>
        <v>10338.3809402647</v>
      </c>
      <c r="N131" s="7" t="n">
        <f aca="false">SUM(B131:M131)</f>
        <v>124060.571283177</v>
      </c>
      <c r="O131" s="24" t="n">
        <f aca="false">MAX(B131:M131)</f>
        <v>10338.3809402647</v>
      </c>
      <c r="P131" s="15" t="n">
        <f aca="false">O131/parametros_recargas!$B$6</f>
        <v>68.922539601765</v>
      </c>
    </row>
    <row r="132" customFormat="false" ht="15" hidden="false" customHeight="false" outlineLevel="0" collapsed="false">
      <c r="A132" s="12" t="str">
        <f aca="false">parametros_recargas!$B$74</f>
        <v>Descarga ABC — ruta recuperable</v>
      </c>
      <c r="B132" s="23" t="n">
        <f aca="false">parametros_recargas!$E$74*'Plan mensual'!D149+parametros_recargas!$F$74*'Plan mensual'!D150+parametros_recargas!$G$74*'Plan mensual'!D151+parametros_recargas!$H$74*'Plan mensual'!D152+parametros_recargas!$I$74*'Plan mensual'!D153+parametros_recargas!$J$74*'Plan mensual'!D154+parametros_recargas!$K$74*'Plan mensual'!D155+parametros_recargas!$L$74*'Plan mensual'!D156</f>
        <v>7594.97564110749</v>
      </c>
      <c r="C132" s="23" t="n">
        <f aca="false">parametros_recargas!$E$74*'Plan mensual'!E149+parametros_recargas!$F$74*'Plan mensual'!E150+parametros_recargas!$G$74*'Plan mensual'!E151+parametros_recargas!$H$74*'Plan mensual'!E152+parametros_recargas!$I$74*'Plan mensual'!E153+parametros_recargas!$J$74*'Plan mensual'!E154+parametros_recargas!$K$74*'Plan mensual'!E155+parametros_recargas!$L$74*'Plan mensual'!E156</f>
        <v>7594.97564110749</v>
      </c>
      <c r="D132" s="23" t="n">
        <f aca="false">parametros_recargas!$E$74*'Plan mensual'!F149+parametros_recargas!$F$74*'Plan mensual'!F150+parametros_recargas!$G$74*'Plan mensual'!F151+parametros_recargas!$H$74*'Plan mensual'!F152+parametros_recargas!$I$74*'Plan mensual'!F153+parametros_recargas!$J$74*'Plan mensual'!F154+parametros_recargas!$K$74*'Plan mensual'!F155+parametros_recargas!$L$74*'Plan mensual'!F156</f>
        <v>7594.97564110749</v>
      </c>
      <c r="E132" s="23" t="n">
        <f aca="false">parametros_recargas!$E$74*'Plan mensual'!G149+parametros_recargas!$F$74*'Plan mensual'!G150+parametros_recargas!$G$74*'Plan mensual'!G151+parametros_recargas!$H$74*'Plan mensual'!G152+parametros_recargas!$I$74*'Plan mensual'!G153+parametros_recargas!$J$74*'Plan mensual'!G154+parametros_recargas!$K$74*'Plan mensual'!G155+parametros_recargas!$L$74*'Plan mensual'!G156</f>
        <v>7594.97564110749</v>
      </c>
      <c r="F132" s="23" t="n">
        <f aca="false">parametros_recargas!$E$74*'Plan mensual'!H149+parametros_recargas!$F$74*'Plan mensual'!H150+parametros_recargas!$G$74*'Plan mensual'!H151+parametros_recargas!$H$74*'Plan mensual'!H152+parametros_recargas!$I$74*'Plan mensual'!H153+parametros_recargas!$J$74*'Plan mensual'!H154+parametros_recargas!$K$74*'Plan mensual'!H155+parametros_recargas!$L$74*'Plan mensual'!H156</f>
        <v>7594.97564110749</v>
      </c>
      <c r="G132" s="23" t="n">
        <f aca="false">parametros_recargas!$E$74*'Plan mensual'!I149+parametros_recargas!$F$74*'Plan mensual'!I150+parametros_recargas!$G$74*'Plan mensual'!I151+parametros_recargas!$H$74*'Plan mensual'!I152+parametros_recargas!$I$74*'Plan mensual'!I153+parametros_recargas!$J$74*'Plan mensual'!I154+parametros_recargas!$K$74*'Plan mensual'!I155+parametros_recargas!$L$74*'Plan mensual'!I156</f>
        <v>7594.97564110749</v>
      </c>
      <c r="H132" s="23" t="n">
        <f aca="false">parametros_recargas!$E$74*'Plan mensual'!J149+parametros_recargas!$F$74*'Plan mensual'!J150+parametros_recargas!$G$74*'Plan mensual'!J151+parametros_recargas!$H$74*'Plan mensual'!J152+parametros_recargas!$I$74*'Plan mensual'!J153+parametros_recargas!$J$74*'Plan mensual'!J154+parametros_recargas!$K$74*'Plan mensual'!J155+parametros_recargas!$L$74*'Plan mensual'!J156</f>
        <v>7594.97564110749</v>
      </c>
      <c r="I132" s="23" t="n">
        <f aca="false">parametros_recargas!$E$74*'Plan mensual'!K149+parametros_recargas!$F$74*'Plan mensual'!K150+parametros_recargas!$G$74*'Plan mensual'!K151+parametros_recargas!$H$74*'Plan mensual'!K152+parametros_recargas!$I$74*'Plan mensual'!K153+parametros_recargas!$J$74*'Plan mensual'!K154+parametros_recargas!$K$74*'Plan mensual'!K155+parametros_recargas!$L$74*'Plan mensual'!K156</f>
        <v>7594.97564110749</v>
      </c>
      <c r="J132" s="23" t="n">
        <f aca="false">parametros_recargas!$E$74*'Plan mensual'!L149+parametros_recargas!$F$74*'Plan mensual'!L150+parametros_recargas!$G$74*'Plan mensual'!L151+parametros_recargas!$H$74*'Plan mensual'!L152+parametros_recargas!$I$74*'Plan mensual'!L153+parametros_recargas!$J$74*'Plan mensual'!L154+parametros_recargas!$K$74*'Plan mensual'!L155+parametros_recargas!$L$74*'Plan mensual'!L156</f>
        <v>7594.97564110749</v>
      </c>
      <c r="K132" s="23" t="n">
        <f aca="false">parametros_recargas!$E$74*'Plan mensual'!M149+parametros_recargas!$F$74*'Plan mensual'!M150+parametros_recargas!$G$74*'Plan mensual'!M151+parametros_recargas!$H$74*'Plan mensual'!M152+parametros_recargas!$I$74*'Plan mensual'!M153+parametros_recargas!$J$74*'Plan mensual'!M154+parametros_recargas!$K$74*'Plan mensual'!M155+parametros_recargas!$L$74*'Plan mensual'!M156</f>
        <v>7594.97564110749</v>
      </c>
      <c r="L132" s="23" t="n">
        <f aca="false">parametros_recargas!$E$74*'Plan mensual'!N149+parametros_recargas!$F$74*'Plan mensual'!N150+parametros_recargas!$G$74*'Plan mensual'!N151+parametros_recargas!$H$74*'Plan mensual'!N152+parametros_recargas!$I$74*'Plan mensual'!N153+parametros_recargas!$J$74*'Plan mensual'!N154+parametros_recargas!$K$74*'Plan mensual'!N155+parametros_recargas!$L$74*'Plan mensual'!N156</f>
        <v>7594.97564110749</v>
      </c>
      <c r="M132" s="23" t="n">
        <f aca="false">parametros_recargas!$E$74*'Plan mensual'!O149+parametros_recargas!$F$74*'Plan mensual'!O150+parametros_recargas!$G$74*'Plan mensual'!O151+parametros_recargas!$H$74*'Plan mensual'!O152+parametros_recargas!$I$74*'Plan mensual'!O153+parametros_recargas!$J$74*'Plan mensual'!O154+parametros_recargas!$K$74*'Plan mensual'!O155+parametros_recargas!$L$74*'Plan mensual'!O156</f>
        <v>7594.97564110749</v>
      </c>
      <c r="N132" s="7" t="n">
        <f aca="false">SUM(B132:M132)</f>
        <v>91139.7076932899</v>
      </c>
      <c r="O132" s="24" t="n">
        <f aca="false">MAX(B132:M132)</f>
        <v>7594.97564110749</v>
      </c>
      <c r="P132" s="15" t="n">
        <f aca="false">O132/parametros_recargas!$B$6</f>
        <v>50.6331709407166</v>
      </c>
    </row>
    <row r="133" customFormat="false" ht="15" hidden="false" customHeight="false" outlineLevel="0" collapsed="false">
      <c r="A133" s="12" t="str">
        <f aca="false">parametros_recargas!$B$75</f>
        <v>Descarga ABC — ruta descarte</v>
      </c>
      <c r="B133" s="23" t="n">
        <f aca="false">parametros_recargas!$E$75*'Plan mensual'!D149+parametros_recargas!$F$75*'Plan mensual'!D150+parametros_recargas!$G$75*'Plan mensual'!D151+parametros_recargas!$H$75*'Plan mensual'!D152+parametros_recargas!$I$75*'Plan mensual'!D153+parametros_recargas!$J$75*'Plan mensual'!D154+parametros_recargas!$K$75*'Plan mensual'!D155+parametros_recargas!$L$75*'Plan mensual'!D156</f>
        <v>893.526546012646</v>
      </c>
      <c r="C133" s="23" t="n">
        <f aca="false">parametros_recargas!$E$75*'Plan mensual'!E149+parametros_recargas!$F$75*'Plan mensual'!E150+parametros_recargas!$G$75*'Plan mensual'!E151+parametros_recargas!$H$75*'Plan mensual'!E152+parametros_recargas!$I$75*'Plan mensual'!E153+parametros_recargas!$J$75*'Plan mensual'!E154+parametros_recargas!$K$75*'Plan mensual'!E155+parametros_recargas!$L$75*'Plan mensual'!E156</f>
        <v>893.526546012646</v>
      </c>
      <c r="D133" s="23" t="n">
        <f aca="false">parametros_recargas!$E$75*'Plan mensual'!F149+parametros_recargas!$F$75*'Plan mensual'!F150+parametros_recargas!$G$75*'Plan mensual'!F151+parametros_recargas!$H$75*'Plan mensual'!F152+parametros_recargas!$I$75*'Plan mensual'!F153+parametros_recargas!$J$75*'Plan mensual'!F154+parametros_recargas!$K$75*'Plan mensual'!F155+parametros_recargas!$L$75*'Plan mensual'!F156</f>
        <v>893.526546012646</v>
      </c>
      <c r="E133" s="23" t="n">
        <f aca="false">parametros_recargas!$E$75*'Plan mensual'!G149+parametros_recargas!$F$75*'Plan mensual'!G150+parametros_recargas!$G$75*'Plan mensual'!G151+parametros_recargas!$H$75*'Plan mensual'!G152+parametros_recargas!$I$75*'Plan mensual'!G153+parametros_recargas!$J$75*'Plan mensual'!G154+parametros_recargas!$K$75*'Plan mensual'!G155+parametros_recargas!$L$75*'Plan mensual'!G156</f>
        <v>893.526546012646</v>
      </c>
      <c r="F133" s="23" t="n">
        <f aca="false">parametros_recargas!$E$75*'Plan mensual'!H149+parametros_recargas!$F$75*'Plan mensual'!H150+parametros_recargas!$G$75*'Plan mensual'!H151+parametros_recargas!$H$75*'Plan mensual'!H152+parametros_recargas!$I$75*'Plan mensual'!H153+parametros_recargas!$J$75*'Plan mensual'!H154+parametros_recargas!$K$75*'Plan mensual'!H155+parametros_recargas!$L$75*'Plan mensual'!H156</f>
        <v>893.526546012646</v>
      </c>
      <c r="G133" s="23" t="n">
        <f aca="false">parametros_recargas!$E$75*'Plan mensual'!I149+parametros_recargas!$F$75*'Plan mensual'!I150+parametros_recargas!$G$75*'Plan mensual'!I151+parametros_recargas!$H$75*'Plan mensual'!I152+parametros_recargas!$I$75*'Plan mensual'!I153+parametros_recargas!$J$75*'Plan mensual'!I154+parametros_recargas!$K$75*'Plan mensual'!I155+parametros_recargas!$L$75*'Plan mensual'!I156</f>
        <v>893.526546012646</v>
      </c>
      <c r="H133" s="23" t="n">
        <f aca="false">parametros_recargas!$E$75*'Plan mensual'!J149+parametros_recargas!$F$75*'Plan mensual'!J150+parametros_recargas!$G$75*'Plan mensual'!J151+parametros_recargas!$H$75*'Plan mensual'!J152+parametros_recargas!$I$75*'Plan mensual'!J153+parametros_recargas!$J$75*'Plan mensual'!J154+parametros_recargas!$K$75*'Plan mensual'!J155+parametros_recargas!$L$75*'Plan mensual'!J156</f>
        <v>893.526546012646</v>
      </c>
      <c r="I133" s="23" t="n">
        <f aca="false">parametros_recargas!$E$75*'Plan mensual'!K149+parametros_recargas!$F$75*'Plan mensual'!K150+parametros_recargas!$G$75*'Plan mensual'!K151+parametros_recargas!$H$75*'Plan mensual'!K152+parametros_recargas!$I$75*'Plan mensual'!K153+parametros_recargas!$J$75*'Plan mensual'!K154+parametros_recargas!$K$75*'Plan mensual'!K155+parametros_recargas!$L$75*'Plan mensual'!K156</f>
        <v>893.526546012646</v>
      </c>
      <c r="J133" s="23" t="n">
        <f aca="false">parametros_recargas!$E$75*'Plan mensual'!L149+parametros_recargas!$F$75*'Plan mensual'!L150+parametros_recargas!$G$75*'Plan mensual'!L151+parametros_recargas!$H$75*'Plan mensual'!L152+parametros_recargas!$I$75*'Plan mensual'!L153+parametros_recargas!$J$75*'Plan mensual'!L154+parametros_recargas!$K$75*'Plan mensual'!L155+parametros_recargas!$L$75*'Plan mensual'!L156</f>
        <v>893.526546012646</v>
      </c>
      <c r="K133" s="23" t="n">
        <f aca="false">parametros_recargas!$E$75*'Plan mensual'!M149+parametros_recargas!$F$75*'Plan mensual'!M150+parametros_recargas!$G$75*'Plan mensual'!M151+parametros_recargas!$H$75*'Plan mensual'!M152+parametros_recargas!$I$75*'Plan mensual'!M153+parametros_recargas!$J$75*'Plan mensual'!M154+parametros_recargas!$K$75*'Plan mensual'!M155+parametros_recargas!$L$75*'Plan mensual'!M156</f>
        <v>893.526546012646</v>
      </c>
      <c r="L133" s="23" t="n">
        <f aca="false">parametros_recargas!$E$75*'Plan mensual'!N149+parametros_recargas!$F$75*'Plan mensual'!N150+parametros_recargas!$G$75*'Plan mensual'!N151+parametros_recargas!$H$75*'Plan mensual'!N152+parametros_recargas!$I$75*'Plan mensual'!N153+parametros_recargas!$J$75*'Plan mensual'!N154+parametros_recargas!$K$75*'Plan mensual'!N155+parametros_recargas!$L$75*'Plan mensual'!N156</f>
        <v>893.526546012646</v>
      </c>
      <c r="M133" s="23" t="n">
        <f aca="false">parametros_recargas!$E$75*'Plan mensual'!O149+parametros_recargas!$F$75*'Plan mensual'!O150+parametros_recargas!$G$75*'Plan mensual'!O151+parametros_recargas!$H$75*'Plan mensual'!O152+parametros_recargas!$I$75*'Plan mensual'!O153+parametros_recargas!$J$75*'Plan mensual'!O154+parametros_recargas!$K$75*'Plan mensual'!O155+parametros_recargas!$L$75*'Plan mensual'!O156</f>
        <v>893.526546012646</v>
      </c>
      <c r="N133" s="7" t="n">
        <f aca="false">SUM(B133:M133)</f>
        <v>10722.3185521518</v>
      </c>
      <c r="O133" s="24" t="n">
        <f aca="false">MAX(B133:M133)</f>
        <v>893.526546012646</v>
      </c>
      <c r="P133" s="15" t="n">
        <f aca="false">O133/parametros_recargas!$B$6</f>
        <v>5.95684364008431</v>
      </c>
    </row>
    <row r="134" customFormat="false" ht="15" hidden="false" customHeight="false" outlineLevel="0" collapsed="false">
      <c r="A134" s="12" t="str">
        <f aca="false">parametros_recargas!$B$76</f>
        <v>Descarga BC</v>
      </c>
      <c r="B134" s="23" t="n">
        <f aca="false">parametros_recargas!$E$76*'Plan mensual'!D149+parametros_recargas!$F$76*'Plan mensual'!D150+parametros_recargas!$G$76*'Plan mensual'!D151+parametros_recargas!$H$76*'Plan mensual'!D152+parametros_recargas!$I$76*'Plan mensual'!D153+parametros_recargas!$J$76*'Plan mensual'!D154+parametros_recargas!$K$76*'Plan mensual'!D155+parametros_recargas!$L$76*'Plan mensual'!D156</f>
        <v>13.370242732614</v>
      </c>
      <c r="C134" s="23" t="n">
        <f aca="false">parametros_recargas!$E$76*'Plan mensual'!E149+parametros_recargas!$F$76*'Plan mensual'!E150+parametros_recargas!$G$76*'Plan mensual'!E151+parametros_recargas!$H$76*'Plan mensual'!E152+parametros_recargas!$I$76*'Plan mensual'!E153+parametros_recargas!$J$76*'Plan mensual'!E154+parametros_recargas!$K$76*'Plan mensual'!E155+parametros_recargas!$L$76*'Plan mensual'!E156</f>
        <v>13.370242732614</v>
      </c>
      <c r="D134" s="23" t="n">
        <f aca="false">parametros_recargas!$E$76*'Plan mensual'!F149+parametros_recargas!$F$76*'Plan mensual'!F150+parametros_recargas!$G$76*'Plan mensual'!F151+parametros_recargas!$H$76*'Plan mensual'!F152+parametros_recargas!$I$76*'Plan mensual'!F153+parametros_recargas!$J$76*'Plan mensual'!F154+parametros_recargas!$K$76*'Plan mensual'!F155+parametros_recargas!$L$76*'Plan mensual'!F156</f>
        <v>13.370242732614</v>
      </c>
      <c r="E134" s="23" t="n">
        <f aca="false">parametros_recargas!$E$76*'Plan mensual'!G149+parametros_recargas!$F$76*'Plan mensual'!G150+parametros_recargas!$G$76*'Plan mensual'!G151+parametros_recargas!$H$76*'Plan mensual'!G152+parametros_recargas!$I$76*'Plan mensual'!G153+parametros_recargas!$J$76*'Plan mensual'!G154+parametros_recargas!$K$76*'Plan mensual'!G155+parametros_recargas!$L$76*'Plan mensual'!G156</f>
        <v>13.370242732614</v>
      </c>
      <c r="F134" s="23" t="n">
        <f aca="false">parametros_recargas!$E$76*'Plan mensual'!H149+parametros_recargas!$F$76*'Plan mensual'!H150+parametros_recargas!$G$76*'Plan mensual'!H151+parametros_recargas!$H$76*'Plan mensual'!H152+parametros_recargas!$I$76*'Plan mensual'!H153+parametros_recargas!$J$76*'Plan mensual'!H154+parametros_recargas!$K$76*'Plan mensual'!H155+parametros_recargas!$L$76*'Plan mensual'!H156</f>
        <v>13.370242732614</v>
      </c>
      <c r="G134" s="23" t="n">
        <f aca="false">parametros_recargas!$E$76*'Plan mensual'!I149+parametros_recargas!$F$76*'Plan mensual'!I150+parametros_recargas!$G$76*'Plan mensual'!I151+parametros_recargas!$H$76*'Plan mensual'!I152+parametros_recargas!$I$76*'Plan mensual'!I153+parametros_recargas!$J$76*'Plan mensual'!I154+parametros_recargas!$K$76*'Plan mensual'!I155+parametros_recargas!$L$76*'Plan mensual'!I156</f>
        <v>13.370242732614</v>
      </c>
      <c r="H134" s="23" t="n">
        <f aca="false">parametros_recargas!$E$76*'Plan mensual'!J149+parametros_recargas!$F$76*'Plan mensual'!J150+parametros_recargas!$G$76*'Plan mensual'!J151+parametros_recargas!$H$76*'Plan mensual'!J152+parametros_recargas!$I$76*'Plan mensual'!J153+parametros_recargas!$J$76*'Plan mensual'!J154+parametros_recargas!$K$76*'Plan mensual'!J155+parametros_recargas!$L$76*'Plan mensual'!J156</f>
        <v>13.370242732614</v>
      </c>
      <c r="I134" s="23" t="n">
        <f aca="false">parametros_recargas!$E$76*'Plan mensual'!K149+parametros_recargas!$F$76*'Plan mensual'!K150+parametros_recargas!$G$76*'Plan mensual'!K151+parametros_recargas!$H$76*'Plan mensual'!K152+parametros_recargas!$I$76*'Plan mensual'!K153+parametros_recargas!$J$76*'Plan mensual'!K154+parametros_recargas!$K$76*'Plan mensual'!K155+parametros_recargas!$L$76*'Plan mensual'!K156</f>
        <v>13.370242732614</v>
      </c>
      <c r="J134" s="23" t="n">
        <f aca="false">parametros_recargas!$E$76*'Plan mensual'!L149+parametros_recargas!$F$76*'Plan mensual'!L150+parametros_recargas!$G$76*'Plan mensual'!L151+parametros_recargas!$H$76*'Plan mensual'!L152+parametros_recargas!$I$76*'Plan mensual'!L153+parametros_recargas!$J$76*'Plan mensual'!L154+parametros_recargas!$K$76*'Plan mensual'!L155+parametros_recargas!$L$76*'Plan mensual'!L156</f>
        <v>13.370242732614</v>
      </c>
      <c r="K134" s="23" t="n">
        <f aca="false">parametros_recargas!$E$76*'Plan mensual'!M149+parametros_recargas!$F$76*'Plan mensual'!M150+parametros_recargas!$G$76*'Plan mensual'!M151+parametros_recargas!$H$76*'Plan mensual'!M152+parametros_recargas!$I$76*'Plan mensual'!M153+parametros_recargas!$J$76*'Plan mensual'!M154+parametros_recargas!$K$76*'Plan mensual'!M155+parametros_recargas!$L$76*'Plan mensual'!M156</f>
        <v>13.370242732614</v>
      </c>
      <c r="L134" s="23" t="n">
        <f aca="false">parametros_recargas!$E$76*'Plan mensual'!N149+parametros_recargas!$F$76*'Plan mensual'!N150+parametros_recargas!$G$76*'Plan mensual'!N151+parametros_recargas!$H$76*'Plan mensual'!N152+parametros_recargas!$I$76*'Plan mensual'!N153+parametros_recargas!$J$76*'Plan mensual'!N154+parametros_recargas!$K$76*'Plan mensual'!N155+parametros_recargas!$L$76*'Plan mensual'!N156</f>
        <v>13.370242732614</v>
      </c>
      <c r="M134" s="23" t="n">
        <f aca="false">parametros_recargas!$E$76*'Plan mensual'!O149+parametros_recargas!$F$76*'Plan mensual'!O150+parametros_recargas!$G$76*'Plan mensual'!O151+parametros_recargas!$H$76*'Plan mensual'!O152+parametros_recargas!$I$76*'Plan mensual'!O153+parametros_recargas!$J$76*'Plan mensual'!O154+parametros_recargas!$K$76*'Plan mensual'!O155+parametros_recargas!$L$76*'Plan mensual'!O156</f>
        <v>13.370242732614</v>
      </c>
      <c r="N134" s="7" t="n">
        <f aca="false">SUM(B134:M134)</f>
        <v>160.442912791368</v>
      </c>
      <c r="O134" s="24" t="n">
        <f aca="false">MAX(B134:M134)</f>
        <v>13.370242732614</v>
      </c>
      <c r="P134" s="15" t="n">
        <f aca="false">O134/parametros_recargas!$B$6</f>
        <v>0.0891349515507602</v>
      </c>
    </row>
    <row r="135" customFormat="false" ht="15" hidden="false" customHeight="false" outlineLevel="0" collapsed="false">
      <c r="A135" s="12" t="str">
        <f aca="false">parametros_recargas!$B$77</f>
        <v>Descarga de agua / AFFF / sales K</v>
      </c>
      <c r="B135" s="23" t="n">
        <f aca="false">parametros_recargas!$E$77*'Plan mensual'!D149+parametros_recargas!$F$77*'Plan mensual'!D150+parametros_recargas!$G$77*'Plan mensual'!D151+parametros_recargas!$H$77*'Plan mensual'!D152+parametros_recargas!$I$77*'Plan mensual'!D153+parametros_recargas!$J$77*'Plan mensual'!D154+parametros_recargas!$K$77*'Plan mensual'!D155+parametros_recargas!$L$77*'Plan mensual'!D156</f>
        <v>474.167611538677</v>
      </c>
      <c r="C135" s="23" t="n">
        <f aca="false">parametros_recargas!$E$77*'Plan mensual'!E149+parametros_recargas!$F$77*'Plan mensual'!E150+parametros_recargas!$G$77*'Plan mensual'!E151+parametros_recargas!$H$77*'Plan mensual'!E152+parametros_recargas!$I$77*'Plan mensual'!E153+parametros_recargas!$J$77*'Plan mensual'!E154+parametros_recargas!$K$77*'Plan mensual'!E155+parametros_recargas!$L$77*'Plan mensual'!E156</f>
        <v>474.167611538677</v>
      </c>
      <c r="D135" s="23" t="n">
        <f aca="false">parametros_recargas!$E$77*'Plan mensual'!F149+parametros_recargas!$F$77*'Plan mensual'!F150+parametros_recargas!$G$77*'Plan mensual'!F151+parametros_recargas!$H$77*'Plan mensual'!F152+parametros_recargas!$I$77*'Plan mensual'!F153+parametros_recargas!$J$77*'Plan mensual'!F154+parametros_recargas!$K$77*'Plan mensual'!F155+parametros_recargas!$L$77*'Plan mensual'!F156</f>
        <v>474.167611538677</v>
      </c>
      <c r="E135" s="23" t="n">
        <f aca="false">parametros_recargas!$E$77*'Plan mensual'!G149+parametros_recargas!$F$77*'Plan mensual'!G150+parametros_recargas!$G$77*'Plan mensual'!G151+parametros_recargas!$H$77*'Plan mensual'!G152+parametros_recargas!$I$77*'Plan mensual'!G153+parametros_recargas!$J$77*'Plan mensual'!G154+parametros_recargas!$K$77*'Plan mensual'!G155+parametros_recargas!$L$77*'Plan mensual'!G156</f>
        <v>474.167611538677</v>
      </c>
      <c r="F135" s="23" t="n">
        <f aca="false">parametros_recargas!$E$77*'Plan mensual'!H149+parametros_recargas!$F$77*'Plan mensual'!H150+parametros_recargas!$G$77*'Plan mensual'!H151+parametros_recargas!$H$77*'Plan mensual'!H152+parametros_recargas!$I$77*'Plan mensual'!H153+parametros_recargas!$J$77*'Plan mensual'!H154+parametros_recargas!$K$77*'Plan mensual'!H155+parametros_recargas!$L$77*'Plan mensual'!H156</f>
        <v>474.167611538677</v>
      </c>
      <c r="G135" s="23" t="n">
        <f aca="false">parametros_recargas!$E$77*'Plan mensual'!I149+parametros_recargas!$F$77*'Plan mensual'!I150+parametros_recargas!$G$77*'Plan mensual'!I151+parametros_recargas!$H$77*'Plan mensual'!I152+parametros_recargas!$I$77*'Plan mensual'!I153+parametros_recargas!$J$77*'Plan mensual'!I154+parametros_recargas!$K$77*'Plan mensual'!I155+parametros_recargas!$L$77*'Plan mensual'!I156</f>
        <v>474.167611538677</v>
      </c>
      <c r="H135" s="23" t="n">
        <f aca="false">parametros_recargas!$E$77*'Plan mensual'!J149+parametros_recargas!$F$77*'Plan mensual'!J150+parametros_recargas!$G$77*'Plan mensual'!J151+parametros_recargas!$H$77*'Plan mensual'!J152+parametros_recargas!$I$77*'Plan mensual'!J153+parametros_recargas!$J$77*'Plan mensual'!J154+parametros_recargas!$K$77*'Plan mensual'!J155+parametros_recargas!$L$77*'Plan mensual'!J156</f>
        <v>474.167611538677</v>
      </c>
      <c r="I135" s="23" t="n">
        <f aca="false">parametros_recargas!$E$77*'Plan mensual'!K149+parametros_recargas!$F$77*'Plan mensual'!K150+parametros_recargas!$G$77*'Plan mensual'!K151+parametros_recargas!$H$77*'Plan mensual'!K152+parametros_recargas!$I$77*'Plan mensual'!K153+parametros_recargas!$J$77*'Plan mensual'!K154+parametros_recargas!$K$77*'Plan mensual'!K155+parametros_recargas!$L$77*'Plan mensual'!K156</f>
        <v>474.167611538677</v>
      </c>
      <c r="J135" s="23" t="n">
        <f aca="false">parametros_recargas!$E$77*'Plan mensual'!L149+parametros_recargas!$F$77*'Plan mensual'!L150+parametros_recargas!$G$77*'Plan mensual'!L151+parametros_recargas!$H$77*'Plan mensual'!L152+parametros_recargas!$I$77*'Plan mensual'!L153+parametros_recargas!$J$77*'Plan mensual'!L154+parametros_recargas!$K$77*'Plan mensual'!L155+parametros_recargas!$L$77*'Plan mensual'!L156</f>
        <v>474.167611538677</v>
      </c>
      <c r="K135" s="23" t="n">
        <f aca="false">parametros_recargas!$E$77*'Plan mensual'!M149+parametros_recargas!$F$77*'Plan mensual'!M150+parametros_recargas!$G$77*'Plan mensual'!M151+parametros_recargas!$H$77*'Plan mensual'!M152+parametros_recargas!$I$77*'Plan mensual'!M153+parametros_recargas!$J$77*'Plan mensual'!M154+parametros_recargas!$K$77*'Plan mensual'!M155+parametros_recargas!$L$77*'Plan mensual'!M156</f>
        <v>474.167611538677</v>
      </c>
      <c r="L135" s="23" t="n">
        <f aca="false">parametros_recargas!$E$77*'Plan mensual'!N149+parametros_recargas!$F$77*'Plan mensual'!N150+parametros_recargas!$G$77*'Plan mensual'!N151+parametros_recargas!$H$77*'Plan mensual'!N152+parametros_recargas!$I$77*'Plan mensual'!N153+parametros_recargas!$J$77*'Plan mensual'!N154+parametros_recargas!$K$77*'Plan mensual'!N155+parametros_recargas!$L$77*'Plan mensual'!N156</f>
        <v>474.167611538677</v>
      </c>
      <c r="M135" s="23" t="n">
        <f aca="false">parametros_recargas!$E$77*'Plan mensual'!O149+parametros_recargas!$F$77*'Plan mensual'!O150+parametros_recargas!$G$77*'Plan mensual'!O151+parametros_recargas!$H$77*'Plan mensual'!O152+parametros_recargas!$I$77*'Plan mensual'!O153+parametros_recargas!$J$77*'Plan mensual'!O154+parametros_recargas!$K$77*'Plan mensual'!O155+parametros_recargas!$L$77*'Plan mensual'!O156</f>
        <v>474.167611538677</v>
      </c>
      <c r="N135" s="7" t="n">
        <f aca="false">SUM(B135:M135)</f>
        <v>5690.01133846413</v>
      </c>
      <c r="O135" s="24" t="n">
        <f aca="false">MAX(B135:M135)</f>
        <v>474.167611538677</v>
      </c>
      <c r="P135" s="15" t="n">
        <f aca="false">O135/parametros_recargas!$B$6</f>
        <v>3.16111741025785</v>
      </c>
    </row>
    <row r="136" customFormat="false" ht="15" hidden="false" customHeight="false" outlineLevel="0" collapsed="false">
      <c r="A136" s="12" t="str">
        <f aca="false">parametros_recargas!$B$78</f>
        <v>Recuperación de CO₂</v>
      </c>
      <c r="B136" s="23" t="n">
        <f aca="false">parametros_recargas!$E$78*'Plan mensual'!D149+parametros_recargas!$F$78*'Plan mensual'!D150+parametros_recargas!$G$78*'Plan mensual'!D151+parametros_recargas!$H$78*'Plan mensual'!D152+parametros_recargas!$I$78*'Plan mensual'!D153+parametros_recargas!$J$78*'Plan mensual'!D154+parametros_recargas!$K$78*'Plan mensual'!D155+parametros_recargas!$L$78*'Plan mensual'!D156</f>
        <v>217.123863048337</v>
      </c>
      <c r="C136" s="23" t="n">
        <f aca="false">parametros_recargas!$E$78*'Plan mensual'!E149+parametros_recargas!$F$78*'Plan mensual'!E150+parametros_recargas!$G$78*'Plan mensual'!E151+parametros_recargas!$H$78*'Plan mensual'!E152+parametros_recargas!$I$78*'Plan mensual'!E153+parametros_recargas!$J$78*'Plan mensual'!E154+parametros_recargas!$K$78*'Plan mensual'!E155+parametros_recargas!$L$78*'Plan mensual'!E156</f>
        <v>217.123863048337</v>
      </c>
      <c r="D136" s="23" t="n">
        <f aca="false">parametros_recargas!$E$78*'Plan mensual'!F149+parametros_recargas!$F$78*'Plan mensual'!F150+parametros_recargas!$G$78*'Plan mensual'!F151+parametros_recargas!$H$78*'Plan mensual'!F152+parametros_recargas!$I$78*'Plan mensual'!F153+parametros_recargas!$J$78*'Plan mensual'!F154+parametros_recargas!$K$78*'Plan mensual'!F155+parametros_recargas!$L$78*'Plan mensual'!F156</f>
        <v>217.123863048337</v>
      </c>
      <c r="E136" s="23" t="n">
        <f aca="false">parametros_recargas!$E$78*'Plan mensual'!G149+parametros_recargas!$F$78*'Plan mensual'!G150+parametros_recargas!$G$78*'Plan mensual'!G151+parametros_recargas!$H$78*'Plan mensual'!G152+parametros_recargas!$I$78*'Plan mensual'!G153+parametros_recargas!$J$78*'Plan mensual'!G154+parametros_recargas!$K$78*'Plan mensual'!G155+parametros_recargas!$L$78*'Plan mensual'!G156</f>
        <v>217.123863048337</v>
      </c>
      <c r="F136" s="23" t="n">
        <f aca="false">parametros_recargas!$E$78*'Plan mensual'!H149+parametros_recargas!$F$78*'Plan mensual'!H150+parametros_recargas!$G$78*'Plan mensual'!H151+parametros_recargas!$H$78*'Plan mensual'!H152+parametros_recargas!$I$78*'Plan mensual'!H153+parametros_recargas!$J$78*'Plan mensual'!H154+parametros_recargas!$K$78*'Plan mensual'!H155+parametros_recargas!$L$78*'Plan mensual'!H156</f>
        <v>217.123863048337</v>
      </c>
      <c r="G136" s="23" t="n">
        <f aca="false">parametros_recargas!$E$78*'Plan mensual'!I149+parametros_recargas!$F$78*'Plan mensual'!I150+parametros_recargas!$G$78*'Plan mensual'!I151+parametros_recargas!$H$78*'Plan mensual'!I152+parametros_recargas!$I$78*'Plan mensual'!I153+parametros_recargas!$J$78*'Plan mensual'!I154+parametros_recargas!$K$78*'Plan mensual'!I155+parametros_recargas!$L$78*'Plan mensual'!I156</f>
        <v>217.123863048337</v>
      </c>
      <c r="H136" s="23" t="n">
        <f aca="false">parametros_recargas!$E$78*'Plan mensual'!J149+parametros_recargas!$F$78*'Plan mensual'!J150+parametros_recargas!$G$78*'Plan mensual'!J151+parametros_recargas!$H$78*'Plan mensual'!J152+parametros_recargas!$I$78*'Plan mensual'!J153+parametros_recargas!$J$78*'Plan mensual'!J154+parametros_recargas!$K$78*'Plan mensual'!J155+parametros_recargas!$L$78*'Plan mensual'!J156</f>
        <v>217.123863048337</v>
      </c>
      <c r="I136" s="23" t="n">
        <f aca="false">parametros_recargas!$E$78*'Plan mensual'!K149+parametros_recargas!$F$78*'Plan mensual'!K150+parametros_recargas!$G$78*'Plan mensual'!K151+parametros_recargas!$H$78*'Plan mensual'!K152+parametros_recargas!$I$78*'Plan mensual'!K153+parametros_recargas!$J$78*'Plan mensual'!K154+parametros_recargas!$K$78*'Plan mensual'!K155+parametros_recargas!$L$78*'Plan mensual'!K156</f>
        <v>217.123863048337</v>
      </c>
      <c r="J136" s="23" t="n">
        <f aca="false">parametros_recargas!$E$78*'Plan mensual'!L149+parametros_recargas!$F$78*'Plan mensual'!L150+parametros_recargas!$G$78*'Plan mensual'!L151+parametros_recargas!$H$78*'Plan mensual'!L152+parametros_recargas!$I$78*'Plan mensual'!L153+parametros_recargas!$J$78*'Plan mensual'!L154+parametros_recargas!$K$78*'Plan mensual'!L155+parametros_recargas!$L$78*'Plan mensual'!L156</f>
        <v>217.123863048337</v>
      </c>
      <c r="K136" s="23" t="n">
        <f aca="false">parametros_recargas!$E$78*'Plan mensual'!M149+parametros_recargas!$F$78*'Plan mensual'!M150+parametros_recargas!$G$78*'Plan mensual'!M151+parametros_recargas!$H$78*'Plan mensual'!M152+parametros_recargas!$I$78*'Plan mensual'!M153+parametros_recargas!$J$78*'Plan mensual'!M154+parametros_recargas!$K$78*'Plan mensual'!M155+parametros_recargas!$L$78*'Plan mensual'!M156</f>
        <v>217.123863048337</v>
      </c>
      <c r="L136" s="23" t="n">
        <f aca="false">parametros_recargas!$E$78*'Plan mensual'!N149+parametros_recargas!$F$78*'Plan mensual'!N150+parametros_recargas!$G$78*'Plan mensual'!N151+parametros_recargas!$H$78*'Plan mensual'!N152+parametros_recargas!$I$78*'Plan mensual'!N153+parametros_recargas!$J$78*'Plan mensual'!N154+parametros_recargas!$K$78*'Plan mensual'!N155+parametros_recargas!$L$78*'Plan mensual'!N156</f>
        <v>217.123863048337</v>
      </c>
      <c r="M136" s="23" t="n">
        <f aca="false">parametros_recargas!$E$78*'Plan mensual'!O149+parametros_recargas!$F$78*'Plan mensual'!O150+parametros_recargas!$G$78*'Plan mensual'!O151+parametros_recargas!$H$78*'Plan mensual'!O152+parametros_recargas!$I$78*'Plan mensual'!O153+parametros_recargas!$J$78*'Plan mensual'!O154+parametros_recargas!$K$78*'Plan mensual'!O155+parametros_recargas!$L$78*'Plan mensual'!O156</f>
        <v>217.123863048337</v>
      </c>
      <c r="N136" s="7" t="n">
        <f aca="false">SUM(B136:M136)</f>
        <v>2605.48635658004</v>
      </c>
      <c r="O136" s="24" t="n">
        <f aca="false">MAX(B136:M136)</f>
        <v>217.123863048337</v>
      </c>
      <c r="P136" s="15" t="n">
        <f aca="false">O136/parametros_recargas!$B$6</f>
        <v>1.44749242032224</v>
      </c>
    </row>
    <row r="137" customFormat="false" ht="15" hidden="false" customHeight="false" outlineLevel="0" collapsed="false">
      <c r="A137" s="12" t="str">
        <f aca="false">parametros_recargas!$B$79</f>
        <v>Recuperación de halogenado</v>
      </c>
      <c r="B137" s="23" t="n">
        <f aca="false">parametros_recargas!$E$79*'Plan mensual'!D149+parametros_recargas!$F$79*'Plan mensual'!D150+parametros_recargas!$G$79*'Plan mensual'!D151+parametros_recargas!$H$79*'Plan mensual'!D152+parametros_recargas!$I$79*'Plan mensual'!D153+parametros_recargas!$J$79*'Plan mensual'!D154+parametros_recargas!$K$79*'Plan mensual'!D155+parametros_recargas!$L$79*'Plan mensual'!D156</f>
        <v>8.64403482205537</v>
      </c>
      <c r="C137" s="23" t="n">
        <f aca="false">parametros_recargas!$E$79*'Plan mensual'!E149+parametros_recargas!$F$79*'Plan mensual'!E150+parametros_recargas!$G$79*'Plan mensual'!E151+parametros_recargas!$H$79*'Plan mensual'!E152+parametros_recargas!$I$79*'Plan mensual'!E153+parametros_recargas!$J$79*'Plan mensual'!E154+parametros_recargas!$K$79*'Plan mensual'!E155+parametros_recargas!$L$79*'Plan mensual'!E156</f>
        <v>8.64403482205537</v>
      </c>
      <c r="D137" s="23" t="n">
        <f aca="false">parametros_recargas!$E$79*'Plan mensual'!F149+parametros_recargas!$F$79*'Plan mensual'!F150+parametros_recargas!$G$79*'Plan mensual'!F151+parametros_recargas!$H$79*'Plan mensual'!F152+parametros_recargas!$I$79*'Plan mensual'!F153+parametros_recargas!$J$79*'Plan mensual'!F154+parametros_recargas!$K$79*'Plan mensual'!F155+parametros_recargas!$L$79*'Plan mensual'!F156</f>
        <v>8.64403482205537</v>
      </c>
      <c r="E137" s="23" t="n">
        <f aca="false">parametros_recargas!$E$79*'Plan mensual'!G149+parametros_recargas!$F$79*'Plan mensual'!G150+parametros_recargas!$G$79*'Plan mensual'!G151+parametros_recargas!$H$79*'Plan mensual'!G152+parametros_recargas!$I$79*'Plan mensual'!G153+parametros_recargas!$J$79*'Plan mensual'!G154+parametros_recargas!$K$79*'Plan mensual'!G155+parametros_recargas!$L$79*'Plan mensual'!G156</f>
        <v>8.64403482205537</v>
      </c>
      <c r="F137" s="23" t="n">
        <f aca="false">parametros_recargas!$E$79*'Plan mensual'!H149+parametros_recargas!$F$79*'Plan mensual'!H150+parametros_recargas!$G$79*'Plan mensual'!H151+parametros_recargas!$H$79*'Plan mensual'!H152+parametros_recargas!$I$79*'Plan mensual'!H153+parametros_recargas!$J$79*'Plan mensual'!H154+parametros_recargas!$K$79*'Plan mensual'!H155+parametros_recargas!$L$79*'Plan mensual'!H156</f>
        <v>8.64403482205537</v>
      </c>
      <c r="G137" s="23" t="n">
        <f aca="false">parametros_recargas!$E$79*'Plan mensual'!I149+parametros_recargas!$F$79*'Plan mensual'!I150+parametros_recargas!$G$79*'Plan mensual'!I151+parametros_recargas!$H$79*'Plan mensual'!I152+parametros_recargas!$I$79*'Plan mensual'!I153+parametros_recargas!$J$79*'Plan mensual'!I154+parametros_recargas!$K$79*'Plan mensual'!I155+parametros_recargas!$L$79*'Plan mensual'!I156</f>
        <v>8.64403482205537</v>
      </c>
      <c r="H137" s="23" t="n">
        <f aca="false">parametros_recargas!$E$79*'Plan mensual'!J149+parametros_recargas!$F$79*'Plan mensual'!J150+parametros_recargas!$G$79*'Plan mensual'!J151+parametros_recargas!$H$79*'Plan mensual'!J152+parametros_recargas!$I$79*'Plan mensual'!J153+parametros_recargas!$J$79*'Plan mensual'!J154+parametros_recargas!$K$79*'Plan mensual'!J155+parametros_recargas!$L$79*'Plan mensual'!J156</f>
        <v>8.64403482205537</v>
      </c>
      <c r="I137" s="23" t="n">
        <f aca="false">parametros_recargas!$E$79*'Plan mensual'!K149+parametros_recargas!$F$79*'Plan mensual'!K150+parametros_recargas!$G$79*'Plan mensual'!K151+parametros_recargas!$H$79*'Plan mensual'!K152+parametros_recargas!$I$79*'Plan mensual'!K153+parametros_recargas!$J$79*'Plan mensual'!K154+parametros_recargas!$K$79*'Plan mensual'!K155+parametros_recargas!$L$79*'Plan mensual'!K156</f>
        <v>8.64403482205537</v>
      </c>
      <c r="J137" s="23" t="n">
        <f aca="false">parametros_recargas!$E$79*'Plan mensual'!L149+parametros_recargas!$F$79*'Plan mensual'!L150+parametros_recargas!$G$79*'Plan mensual'!L151+parametros_recargas!$H$79*'Plan mensual'!L152+parametros_recargas!$I$79*'Plan mensual'!L153+parametros_recargas!$J$79*'Plan mensual'!L154+parametros_recargas!$K$79*'Plan mensual'!L155+parametros_recargas!$L$79*'Plan mensual'!L156</f>
        <v>8.64403482205537</v>
      </c>
      <c r="K137" s="23" t="n">
        <f aca="false">parametros_recargas!$E$79*'Plan mensual'!M149+parametros_recargas!$F$79*'Plan mensual'!M150+parametros_recargas!$G$79*'Plan mensual'!M151+parametros_recargas!$H$79*'Plan mensual'!M152+parametros_recargas!$I$79*'Plan mensual'!M153+parametros_recargas!$J$79*'Plan mensual'!M154+parametros_recargas!$K$79*'Plan mensual'!M155+parametros_recargas!$L$79*'Plan mensual'!M156</f>
        <v>8.64403482205537</v>
      </c>
      <c r="L137" s="23" t="n">
        <f aca="false">parametros_recargas!$E$79*'Plan mensual'!N149+parametros_recargas!$F$79*'Plan mensual'!N150+parametros_recargas!$G$79*'Plan mensual'!N151+parametros_recargas!$H$79*'Plan mensual'!N152+parametros_recargas!$I$79*'Plan mensual'!N153+parametros_recargas!$J$79*'Plan mensual'!N154+parametros_recargas!$K$79*'Plan mensual'!N155+parametros_recargas!$L$79*'Plan mensual'!N156</f>
        <v>8.64403482205537</v>
      </c>
      <c r="M137" s="23" t="n">
        <f aca="false">parametros_recargas!$E$79*'Plan mensual'!O149+parametros_recargas!$F$79*'Plan mensual'!O150+parametros_recargas!$G$79*'Plan mensual'!O151+parametros_recargas!$H$79*'Plan mensual'!O152+parametros_recargas!$I$79*'Plan mensual'!O153+parametros_recargas!$J$79*'Plan mensual'!O154+parametros_recargas!$K$79*'Plan mensual'!O155+parametros_recargas!$L$79*'Plan mensual'!O156</f>
        <v>8.64403482205537</v>
      </c>
      <c r="N137" s="7" t="n">
        <f aca="false">SUM(B137:M137)</f>
        <v>103.728417864664</v>
      </c>
      <c r="O137" s="24" t="n">
        <f aca="false">MAX(B137:M137)</f>
        <v>8.64403482205537</v>
      </c>
      <c r="P137" s="15" t="n">
        <f aca="false">O137/parametros_recargas!$B$6</f>
        <v>0.0576268988137025</v>
      </c>
    </row>
    <row r="138" customFormat="false" ht="15" hidden="false" customHeight="false" outlineLevel="0" collapsed="false">
      <c r="A138" s="12" t="str">
        <f aca="false">parametros_recargas!$B$80</f>
        <v>Desarme y limpieza — recinto</v>
      </c>
      <c r="B138" s="23" t="n">
        <f aca="false">parametros_recargas!$E$80*'Plan mensual'!D149+parametros_recargas!$F$80*'Plan mensual'!D150+parametros_recargas!$G$80*'Plan mensual'!D151+parametros_recargas!$H$80*'Plan mensual'!D152+parametros_recargas!$I$80*'Plan mensual'!D153+parametros_recargas!$J$80*'Plan mensual'!D154+parametros_recargas!$K$80*'Plan mensual'!D155+parametros_recargas!$L$80*'Plan mensual'!D156</f>
        <v>8961.14173724451</v>
      </c>
      <c r="C138" s="23" t="n">
        <f aca="false">parametros_recargas!$E$80*'Plan mensual'!E149+parametros_recargas!$F$80*'Plan mensual'!E150+parametros_recargas!$G$80*'Plan mensual'!E151+parametros_recargas!$H$80*'Plan mensual'!E152+parametros_recargas!$I$80*'Plan mensual'!E153+parametros_recargas!$J$80*'Plan mensual'!E154+parametros_recargas!$K$80*'Plan mensual'!E155+parametros_recargas!$L$80*'Plan mensual'!E156</f>
        <v>8961.14173724451</v>
      </c>
      <c r="D138" s="23" t="n">
        <f aca="false">parametros_recargas!$E$80*'Plan mensual'!F149+parametros_recargas!$F$80*'Plan mensual'!F150+parametros_recargas!$G$80*'Plan mensual'!F151+parametros_recargas!$H$80*'Plan mensual'!F152+parametros_recargas!$I$80*'Plan mensual'!F153+parametros_recargas!$J$80*'Plan mensual'!F154+parametros_recargas!$K$80*'Plan mensual'!F155+parametros_recargas!$L$80*'Plan mensual'!F156</f>
        <v>8961.14173724451</v>
      </c>
      <c r="E138" s="23" t="n">
        <f aca="false">parametros_recargas!$E$80*'Plan mensual'!G149+parametros_recargas!$F$80*'Plan mensual'!G150+parametros_recargas!$G$80*'Plan mensual'!G151+parametros_recargas!$H$80*'Plan mensual'!G152+parametros_recargas!$I$80*'Plan mensual'!G153+parametros_recargas!$J$80*'Plan mensual'!G154+parametros_recargas!$K$80*'Plan mensual'!G155+parametros_recargas!$L$80*'Plan mensual'!G156</f>
        <v>8961.14173724451</v>
      </c>
      <c r="F138" s="23" t="n">
        <f aca="false">parametros_recargas!$E$80*'Plan mensual'!H149+parametros_recargas!$F$80*'Plan mensual'!H150+parametros_recargas!$G$80*'Plan mensual'!H151+parametros_recargas!$H$80*'Plan mensual'!H152+parametros_recargas!$I$80*'Plan mensual'!H153+parametros_recargas!$J$80*'Plan mensual'!H154+parametros_recargas!$K$80*'Plan mensual'!H155+parametros_recargas!$L$80*'Plan mensual'!H156</f>
        <v>8961.14173724451</v>
      </c>
      <c r="G138" s="23" t="n">
        <f aca="false">parametros_recargas!$E$80*'Plan mensual'!I149+parametros_recargas!$F$80*'Plan mensual'!I150+parametros_recargas!$G$80*'Plan mensual'!I151+parametros_recargas!$H$80*'Plan mensual'!I152+parametros_recargas!$I$80*'Plan mensual'!I153+parametros_recargas!$J$80*'Plan mensual'!I154+parametros_recargas!$K$80*'Plan mensual'!I155+parametros_recargas!$L$80*'Plan mensual'!I156</f>
        <v>8961.14173724451</v>
      </c>
      <c r="H138" s="23" t="n">
        <f aca="false">parametros_recargas!$E$80*'Plan mensual'!J149+parametros_recargas!$F$80*'Plan mensual'!J150+parametros_recargas!$G$80*'Plan mensual'!J151+parametros_recargas!$H$80*'Plan mensual'!J152+parametros_recargas!$I$80*'Plan mensual'!J153+parametros_recargas!$J$80*'Plan mensual'!J154+parametros_recargas!$K$80*'Plan mensual'!J155+parametros_recargas!$L$80*'Plan mensual'!J156</f>
        <v>8961.14173724451</v>
      </c>
      <c r="I138" s="23" t="n">
        <f aca="false">parametros_recargas!$E$80*'Plan mensual'!K149+parametros_recargas!$F$80*'Plan mensual'!K150+parametros_recargas!$G$80*'Plan mensual'!K151+parametros_recargas!$H$80*'Plan mensual'!K152+parametros_recargas!$I$80*'Plan mensual'!K153+parametros_recargas!$J$80*'Plan mensual'!K154+parametros_recargas!$K$80*'Plan mensual'!K155+parametros_recargas!$L$80*'Plan mensual'!K156</f>
        <v>8961.14173724451</v>
      </c>
      <c r="J138" s="23" t="n">
        <f aca="false">parametros_recargas!$E$80*'Plan mensual'!L149+parametros_recargas!$F$80*'Plan mensual'!L150+parametros_recargas!$G$80*'Plan mensual'!L151+parametros_recargas!$H$80*'Plan mensual'!L152+parametros_recargas!$I$80*'Plan mensual'!L153+parametros_recargas!$J$80*'Plan mensual'!L154+parametros_recargas!$K$80*'Plan mensual'!L155+parametros_recargas!$L$80*'Plan mensual'!L156</f>
        <v>8961.14173724451</v>
      </c>
      <c r="K138" s="23" t="n">
        <f aca="false">parametros_recargas!$E$80*'Plan mensual'!M149+parametros_recargas!$F$80*'Plan mensual'!M150+parametros_recargas!$G$80*'Plan mensual'!M151+parametros_recargas!$H$80*'Plan mensual'!M152+parametros_recargas!$I$80*'Plan mensual'!M153+parametros_recargas!$J$80*'Plan mensual'!M154+parametros_recargas!$K$80*'Plan mensual'!M155+parametros_recargas!$L$80*'Plan mensual'!M156</f>
        <v>8961.14173724451</v>
      </c>
      <c r="L138" s="23" t="n">
        <f aca="false">parametros_recargas!$E$80*'Plan mensual'!N149+parametros_recargas!$F$80*'Plan mensual'!N150+parametros_recargas!$G$80*'Plan mensual'!N151+parametros_recargas!$H$80*'Plan mensual'!N152+parametros_recargas!$I$80*'Plan mensual'!N153+parametros_recargas!$J$80*'Plan mensual'!N154+parametros_recargas!$K$80*'Plan mensual'!N155+parametros_recargas!$L$80*'Plan mensual'!N156</f>
        <v>8961.14173724451</v>
      </c>
      <c r="M138" s="23" t="n">
        <f aca="false">parametros_recargas!$E$80*'Plan mensual'!O149+parametros_recargas!$F$80*'Plan mensual'!O150+parametros_recargas!$G$80*'Plan mensual'!O151+parametros_recargas!$H$80*'Plan mensual'!O152+parametros_recargas!$I$80*'Plan mensual'!O153+parametros_recargas!$J$80*'Plan mensual'!O154+parametros_recargas!$K$80*'Plan mensual'!O155+parametros_recargas!$L$80*'Plan mensual'!O156</f>
        <v>8961.14173724451</v>
      </c>
      <c r="N138" s="7" t="n">
        <f aca="false">SUM(B138:M138)</f>
        <v>107533.700846934</v>
      </c>
      <c r="O138" s="24" t="n">
        <f aca="false">MAX(B138:M138)</f>
        <v>8961.14173724451</v>
      </c>
      <c r="P138" s="15" t="n">
        <f aca="false">O138/parametros_recargas!$B$6</f>
        <v>59.7409449149634</v>
      </c>
    </row>
    <row r="139" customFormat="false" ht="15" hidden="false" customHeight="false" outlineLevel="0" collapsed="false">
      <c r="A139" s="12" t="str">
        <f aca="false">parametros_recargas!$B$81</f>
        <v>Desarme e inspección interior — zona general</v>
      </c>
      <c r="B139" s="23" t="n">
        <f aca="false">parametros_recargas!$E$81*'Plan mensual'!D149+parametros_recargas!$F$81*'Plan mensual'!D150+parametros_recargas!$G$81*'Plan mensual'!D151+parametros_recargas!$H$81*'Plan mensual'!D152+parametros_recargas!$I$81*'Plan mensual'!D153+parametros_recargas!$J$81*'Plan mensual'!D154+parametros_recargas!$K$81*'Plan mensual'!D155+parametros_recargas!$L$81*'Plan mensual'!D156</f>
        <v>699.935509409069</v>
      </c>
      <c r="C139" s="23" t="n">
        <f aca="false">parametros_recargas!$E$81*'Plan mensual'!E149+parametros_recargas!$F$81*'Plan mensual'!E150+parametros_recargas!$G$81*'Plan mensual'!E151+parametros_recargas!$H$81*'Plan mensual'!E152+parametros_recargas!$I$81*'Plan mensual'!E153+parametros_recargas!$J$81*'Plan mensual'!E154+parametros_recargas!$K$81*'Plan mensual'!E155+parametros_recargas!$L$81*'Plan mensual'!E156</f>
        <v>699.935509409069</v>
      </c>
      <c r="D139" s="23" t="n">
        <f aca="false">parametros_recargas!$E$81*'Plan mensual'!F149+parametros_recargas!$F$81*'Plan mensual'!F150+parametros_recargas!$G$81*'Plan mensual'!F151+parametros_recargas!$H$81*'Plan mensual'!F152+parametros_recargas!$I$81*'Plan mensual'!F153+parametros_recargas!$J$81*'Plan mensual'!F154+parametros_recargas!$K$81*'Plan mensual'!F155+parametros_recargas!$L$81*'Plan mensual'!F156</f>
        <v>699.935509409069</v>
      </c>
      <c r="E139" s="23" t="n">
        <f aca="false">parametros_recargas!$E$81*'Plan mensual'!G149+parametros_recargas!$F$81*'Plan mensual'!G150+parametros_recargas!$G$81*'Plan mensual'!G151+parametros_recargas!$H$81*'Plan mensual'!G152+parametros_recargas!$I$81*'Plan mensual'!G153+parametros_recargas!$J$81*'Plan mensual'!G154+parametros_recargas!$K$81*'Plan mensual'!G155+parametros_recargas!$L$81*'Plan mensual'!G156</f>
        <v>699.935509409069</v>
      </c>
      <c r="F139" s="23" t="n">
        <f aca="false">parametros_recargas!$E$81*'Plan mensual'!H149+parametros_recargas!$F$81*'Plan mensual'!H150+parametros_recargas!$G$81*'Plan mensual'!H151+parametros_recargas!$H$81*'Plan mensual'!H152+parametros_recargas!$I$81*'Plan mensual'!H153+parametros_recargas!$J$81*'Plan mensual'!H154+parametros_recargas!$K$81*'Plan mensual'!H155+parametros_recargas!$L$81*'Plan mensual'!H156</f>
        <v>699.935509409069</v>
      </c>
      <c r="G139" s="23" t="n">
        <f aca="false">parametros_recargas!$E$81*'Plan mensual'!I149+parametros_recargas!$F$81*'Plan mensual'!I150+parametros_recargas!$G$81*'Plan mensual'!I151+parametros_recargas!$H$81*'Plan mensual'!I152+parametros_recargas!$I$81*'Plan mensual'!I153+parametros_recargas!$J$81*'Plan mensual'!I154+parametros_recargas!$K$81*'Plan mensual'!I155+parametros_recargas!$L$81*'Plan mensual'!I156</f>
        <v>699.935509409069</v>
      </c>
      <c r="H139" s="23" t="n">
        <f aca="false">parametros_recargas!$E$81*'Plan mensual'!J149+parametros_recargas!$F$81*'Plan mensual'!J150+parametros_recargas!$G$81*'Plan mensual'!J151+parametros_recargas!$H$81*'Plan mensual'!J152+parametros_recargas!$I$81*'Plan mensual'!J153+parametros_recargas!$J$81*'Plan mensual'!J154+parametros_recargas!$K$81*'Plan mensual'!J155+parametros_recargas!$L$81*'Plan mensual'!J156</f>
        <v>699.935509409069</v>
      </c>
      <c r="I139" s="23" t="n">
        <f aca="false">parametros_recargas!$E$81*'Plan mensual'!K149+parametros_recargas!$F$81*'Plan mensual'!K150+parametros_recargas!$G$81*'Plan mensual'!K151+parametros_recargas!$H$81*'Plan mensual'!K152+parametros_recargas!$I$81*'Plan mensual'!K153+parametros_recargas!$J$81*'Plan mensual'!K154+parametros_recargas!$K$81*'Plan mensual'!K155+parametros_recargas!$L$81*'Plan mensual'!K156</f>
        <v>699.935509409069</v>
      </c>
      <c r="J139" s="23" t="n">
        <f aca="false">parametros_recargas!$E$81*'Plan mensual'!L149+parametros_recargas!$F$81*'Plan mensual'!L150+parametros_recargas!$G$81*'Plan mensual'!L151+parametros_recargas!$H$81*'Plan mensual'!L152+parametros_recargas!$I$81*'Plan mensual'!L153+parametros_recargas!$J$81*'Plan mensual'!L154+parametros_recargas!$K$81*'Plan mensual'!L155+parametros_recargas!$L$81*'Plan mensual'!L156</f>
        <v>699.935509409069</v>
      </c>
      <c r="K139" s="23" t="n">
        <f aca="false">parametros_recargas!$E$81*'Plan mensual'!M149+parametros_recargas!$F$81*'Plan mensual'!M150+parametros_recargas!$G$81*'Plan mensual'!M151+parametros_recargas!$H$81*'Plan mensual'!M152+parametros_recargas!$I$81*'Plan mensual'!M153+parametros_recargas!$J$81*'Plan mensual'!M154+parametros_recargas!$K$81*'Plan mensual'!M155+parametros_recargas!$L$81*'Plan mensual'!M156</f>
        <v>699.935509409069</v>
      </c>
      <c r="L139" s="23" t="n">
        <f aca="false">parametros_recargas!$E$81*'Plan mensual'!N149+parametros_recargas!$F$81*'Plan mensual'!N150+parametros_recargas!$G$81*'Plan mensual'!N151+parametros_recargas!$H$81*'Plan mensual'!N152+parametros_recargas!$I$81*'Plan mensual'!N153+parametros_recargas!$J$81*'Plan mensual'!N154+parametros_recargas!$K$81*'Plan mensual'!N155+parametros_recargas!$L$81*'Plan mensual'!N156</f>
        <v>699.935509409069</v>
      </c>
      <c r="M139" s="23" t="n">
        <f aca="false">parametros_recargas!$E$81*'Plan mensual'!O149+parametros_recargas!$F$81*'Plan mensual'!O150+parametros_recargas!$G$81*'Plan mensual'!O151+parametros_recargas!$H$81*'Plan mensual'!O152+parametros_recargas!$I$81*'Plan mensual'!O153+parametros_recargas!$J$81*'Plan mensual'!O154+parametros_recargas!$K$81*'Plan mensual'!O155+parametros_recargas!$L$81*'Plan mensual'!O156</f>
        <v>699.935509409069</v>
      </c>
      <c r="N139" s="7" t="n">
        <f aca="false">SUM(B139:M139)</f>
        <v>8399.22611290883</v>
      </c>
      <c r="O139" s="24" t="n">
        <f aca="false">MAX(B139:M139)</f>
        <v>699.935509409069</v>
      </c>
      <c r="P139" s="15" t="n">
        <f aca="false">O139/parametros_recargas!$B$6</f>
        <v>4.66623672939379</v>
      </c>
    </row>
    <row r="140" customFormat="false" ht="15" hidden="false" customHeight="false" outlineLevel="0" collapsed="false">
      <c r="A140" s="12" t="str">
        <f aca="false">parametros_recargas!$B$82</f>
        <v>Laboratorio — Puffer y mufla</v>
      </c>
      <c r="B140" s="23" t="n">
        <f aca="false">parametros_recargas!$E$82*'Plan mensual'!D149+parametros_recargas!$F$82*'Plan mensual'!D150+parametros_recargas!$G$82*'Plan mensual'!D151+parametros_recargas!$H$82*'Plan mensual'!D152+parametros_recargas!$I$82*'Plan mensual'!D153+parametros_recargas!$J$82*'Plan mensual'!D154+parametros_recargas!$K$82*'Plan mensual'!D155+parametros_recargas!$L$82*'Plan mensual'!D156</f>
        <v>8.94863570285907</v>
      </c>
      <c r="C140" s="23" t="n">
        <f aca="false">parametros_recargas!$E$82*'Plan mensual'!E149+parametros_recargas!$F$82*'Plan mensual'!E150+parametros_recargas!$G$82*'Plan mensual'!E151+parametros_recargas!$H$82*'Plan mensual'!E152+parametros_recargas!$I$82*'Plan mensual'!E153+parametros_recargas!$J$82*'Plan mensual'!E154+parametros_recargas!$K$82*'Plan mensual'!E155+parametros_recargas!$L$82*'Plan mensual'!E156</f>
        <v>8.94863570285907</v>
      </c>
      <c r="D140" s="23" t="n">
        <f aca="false">parametros_recargas!$E$82*'Plan mensual'!F149+parametros_recargas!$F$82*'Plan mensual'!F150+parametros_recargas!$G$82*'Plan mensual'!F151+parametros_recargas!$H$82*'Plan mensual'!F152+parametros_recargas!$I$82*'Plan mensual'!F153+parametros_recargas!$J$82*'Plan mensual'!F154+parametros_recargas!$K$82*'Plan mensual'!F155+parametros_recargas!$L$82*'Plan mensual'!F156</f>
        <v>8.94863570285907</v>
      </c>
      <c r="E140" s="23" t="n">
        <f aca="false">parametros_recargas!$E$82*'Plan mensual'!G149+parametros_recargas!$F$82*'Plan mensual'!G150+parametros_recargas!$G$82*'Plan mensual'!G151+parametros_recargas!$H$82*'Plan mensual'!G152+parametros_recargas!$I$82*'Plan mensual'!G153+parametros_recargas!$J$82*'Plan mensual'!G154+parametros_recargas!$K$82*'Plan mensual'!G155+parametros_recargas!$L$82*'Plan mensual'!G156</f>
        <v>8.94863570285907</v>
      </c>
      <c r="F140" s="23" t="n">
        <f aca="false">parametros_recargas!$E$82*'Plan mensual'!H149+parametros_recargas!$F$82*'Plan mensual'!H150+parametros_recargas!$G$82*'Plan mensual'!H151+parametros_recargas!$H$82*'Plan mensual'!H152+parametros_recargas!$I$82*'Plan mensual'!H153+parametros_recargas!$J$82*'Plan mensual'!H154+parametros_recargas!$K$82*'Plan mensual'!H155+parametros_recargas!$L$82*'Plan mensual'!H156</f>
        <v>8.94863570285907</v>
      </c>
      <c r="G140" s="23" t="n">
        <f aca="false">parametros_recargas!$E$82*'Plan mensual'!I149+parametros_recargas!$F$82*'Plan mensual'!I150+parametros_recargas!$G$82*'Plan mensual'!I151+parametros_recargas!$H$82*'Plan mensual'!I152+parametros_recargas!$I$82*'Plan mensual'!I153+parametros_recargas!$J$82*'Plan mensual'!I154+parametros_recargas!$K$82*'Plan mensual'!I155+parametros_recargas!$L$82*'Plan mensual'!I156</f>
        <v>8.94863570285907</v>
      </c>
      <c r="H140" s="23" t="n">
        <f aca="false">parametros_recargas!$E$82*'Plan mensual'!J149+parametros_recargas!$F$82*'Plan mensual'!J150+parametros_recargas!$G$82*'Plan mensual'!J151+parametros_recargas!$H$82*'Plan mensual'!J152+parametros_recargas!$I$82*'Plan mensual'!J153+parametros_recargas!$J$82*'Plan mensual'!J154+parametros_recargas!$K$82*'Plan mensual'!J155+parametros_recargas!$L$82*'Plan mensual'!J156</f>
        <v>8.94863570285907</v>
      </c>
      <c r="I140" s="23" t="n">
        <f aca="false">parametros_recargas!$E$82*'Plan mensual'!K149+parametros_recargas!$F$82*'Plan mensual'!K150+parametros_recargas!$G$82*'Plan mensual'!K151+parametros_recargas!$H$82*'Plan mensual'!K152+parametros_recargas!$I$82*'Plan mensual'!K153+parametros_recargas!$J$82*'Plan mensual'!K154+parametros_recargas!$K$82*'Plan mensual'!K155+parametros_recargas!$L$82*'Plan mensual'!K156</f>
        <v>8.94863570285907</v>
      </c>
      <c r="J140" s="23" t="n">
        <f aca="false">parametros_recargas!$E$82*'Plan mensual'!L149+parametros_recargas!$F$82*'Plan mensual'!L150+parametros_recargas!$G$82*'Plan mensual'!L151+parametros_recargas!$H$82*'Plan mensual'!L152+parametros_recargas!$I$82*'Plan mensual'!L153+parametros_recargas!$J$82*'Plan mensual'!L154+parametros_recargas!$K$82*'Plan mensual'!L155+parametros_recargas!$L$82*'Plan mensual'!L156</f>
        <v>8.94863570285907</v>
      </c>
      <c r="K140" s="23" t="n">
        <f aca="false">parametros_recargas!$E$82*'Plan mensual'!M149+parametros_recargas!$F$82*'Plan mensual'!M150+parametros_recargas!$G$82*'Plan mensual'!M151+parametros_recargas!$H$82*'Plan mensual'!M152+parametros_recargas!$I$82*'Plan mensual'!M153+parametros_recargas!$J$82*'Plan mensual'!M154+parametros_recargas!$K$82*'Plan mensual'!M155+parametros_recargas!$L$82*'Plan mensual'!M156</f>
        <v>8.94863570285907</v>
      </c>
      <c r="L140" s="23" t="n">
        <f aca="false">parametros_recargas!$E$82*'Plan mensual'!N149+parametros_recargas!$F$82*'Plan mensual'!N150+parametros_recargas!$G$82*'Plan mensual'!N151+parametros_recargas!$H$82*'Plan mensual'!N152+parametros_recargas!$I$82*'Plan mensual'!N153+parametros_recargas!$J$82*'Plan mensual'!N154+parametros_recargas!$K$82*'Plan mensual'!N155+parametros_recargas!$L$82*'Plan mensual'!N156</f>
        <v>8.94863570285907</v>
      </c>
      <c r="M140" s="23" t="n">
        <f aca="false">parametros_recargas!$E$82*'Plan mensual'!O149+parametros_recargas!$F$82*'Plan mensual'!O150+parametros_recargas!$G$82*'Plan mensual'!O151+parametros_recargas!$H$82*'Plan mensual'!O152+parametros_recargas!$I$82*'Plan mensual'!O153+parametros_recargas!$J$82*'Plan mensual'!O154+parametros_recargas!$K$82*'Plan mensual'!O155+parametros_recargas!$L$82*'Plan mensual'!O156</f>
        <v>8.94863570285907</v>
      </c>
      <c r="N140" s="7" t="n">
        <f aca="false">SUM(B140:M140)</f>
        <v>107.383628434309</v>
      </c>
      <c r="O140" s="24" t="n">
        <f aca="false">MAX(B140:M140)</f>
        <v>8.94863570285907</v>
      </c>
      <c r="P140" s="15" t="n">
        <f aca="false">O140/parametros_recargas!$B$6</f>
        <v>0.0596575713523938</v>
      </c>
    </row>
    <row r="141" customFormat="false" ht="15" hidden="false" customHeight="false" outlineLevel="0" collapsed="false">
      <c r="A141" s="12" t="str">
        <f aca="false">parametros_recargas!$B$83</f>
        <v>Prueba hidráulica</v>
      </c>
      <c r="B141" s="23" t="n">
        <f aca="false">parametros_recargas!$E$83*'Plan mensual'!D149+parametros_recargas!$F$83*'Plan mensual'!D150+parametros_recargas!$G$83*'Plan mensual'!D151+parametros_recargas!$H$83*'Plan mensual'!D152+parametros_recargas!$I$83*'Plan mensual'!D153+parametros_recargas!$J$83*'Plan mensual'!D154+parametros_recargas!$K$83*'Plan mensual'!D155+parametros_recargas!$L$83*'Plan mensual'!D156</f>
        <v>2209.92647151455</v>
      </c>
      <c r="C141" s="23" t="n">
        <f aca="false">parametros_recargas!$E$83*'Plan mensual'!E149+parametros_recargas!$F$83*'Plan mensual'!E150+parametros_recargas!$G$83*'Plan mensual'!E151+parametros_recargas!$H$83*'Plan mensual'!E152+parametros_recargas!$I$83*'Plan mensual'!E153+parametros_recargas!$J$83*'Plan mensual'!E154+parametros_recargas!$K$83*'Plan mensual'!E155+parametros_recargas!$L$83*'Plan mensual'!E156</f>
        <v>2209.92647151455</v>
      </c>
      <c r="D141" s="23" t="n">
        <f aca="false">parametros_recargas!$E$83*'Plan mensual'!F149+parametros_recargas!$F$83*'Plan mensual'!F150+parametros_recargas!$G$83*'Plan mensual'!F151+parametros_recargas!$H$83*'Plan mensual'!F152+parametros_recargas!$I$83*'Plan mensual'!F153+parametros_recargas!$J$83*'Plan mensual'!F154+parametros_recargas!$K$83*'Plan mensual'!F155+parametros_recargas!$L$83*'Plan mensual'!F156</f>
        <v>2209.92647151455</v>
      </c>
      <c r="E141" s="23" t="n">
        <f aca="false">parametros_recargas!$E$83*'Plan mensual'!G149+parametros_recargas!$F$83*'Plan mensual'!G150+parametros_recargas!$G$83*'Plan mensual'!G151+parametros_recargas!$H$83*'Plan mensual'!G152+parametros_recargas!$I$83*'Plan mensual'!G153+parametros_recargas!$J$83*'Plan mensual'!G154+parametros_recargas!$K$83*'Plan mensual'!G155+parametros_recargas!$L$83*'Plan mensual'!G156</f>
        <v>2209.92647151455</v>
      </c>
      <c r="F141" s="23" t="n">
        <f aca="false">parametros_recargas!$E$83*'Plan mensual'!H149+parametros_recargas!$F$83*'Plan mensual'!H150+parametros_recargas!$G$83*'Plan mensual'!H151+parametros_recargas!$H$83*'Plan mensual'!H152+parametros_recargas!$I$83*'Plan mensual'!H153+parametros_recargas!$J$83*'Plan mensual'!H154+parametros_recargas!$K$83*'Plan mensual'!H155+parametros_recargas!$L$83*'Plan mensual'!H156</f>
        <v>2209.92647151455</v>
      </c>
      <c r="G141" s="23" t="n">
        <f aca="false">parametros_recargas!$E$83*'Plan mensual'!I149+parametros_recargas!$F$83*'Plan mensual'!I150+parametros_recargas!$G$83*'Plan mensual'!I151+parametros_recargas!$H$83*'Plan mensual'!I152+parametros_recargas!$I$83*'Plan mensual'!I153+parametros_recargas!$J$83*'Plan mensual'!I154+parametros_recargas!$K$83*'Plan mensual'!I155+parametros_recargas!$L$83*'Plan mensual'!I156</f>
        <v>2209.92647151455</v>
      </c>
      <c r="H141" s="23" t="n">
        <f aca="false">parametros_recargas!$E$83*'Plan mensual'!J149+parametros_recargas!$F$83*'Plan mensual'!J150+parametros_recargas!$G$83*'Plan mensual'!J151+parametros_recargas!$H$83*'Plan mensual'!J152+parametros_recargas!$I$83*'Plan mensual'!J153+parametros_recargas!$J$83*'Plan mensual'!J154+parametros_recargas!$K$83*'Plan mensual'!J155+parametros_recargas!$L$83*'Plan mensual'!J156</f>
        <v>2209.92647151455</v>
      </c>
      <c r="I141" s="23" t="n">
        <f aca="false">parametros_recargas!$E$83*'Plan mensual'!K149+parametros_recargas!$F$83*'Plan mensual'!K150+parametros_recargas!$G$83*'Plan mensual'!K151+parametros_recargas!$H$83*'Plan mensual'!K152+parametros_recargas!$I$83*'Plan mensual'!K153+parametros_recargas!$J$83*'Plan mensual'!K154+parametros_recargas!$K$83*'Plan mensual'!K155+parametros_recargas!$L$83*'Plan mensual'!K156</f>
        <v>2209.92647151455</v>
      </c>
      <c r="J141" s="23" t="n">
        <f aca="false">parametros_recargas!$E$83*'Plan mensual'!L149+parametros_recargas!$F$83*'Plan mensual'!L150+parametros_recargas!$G$83*'Plan mensual'!L151+parametros_recargas!$H$83*'Plan mensual'!L152+parametros_recargas!$I$83*'Plan mensual'!L153+parametros_recargas!$J$83*'Plan mensual'!L154+parametros_recargas!$K$83*'Plan mensual'!L155+parametros_recargas!$L$83*'Plan mensual'!L156</f>
        <v>2209.92647151455</v>
      </c>
      <c r="K141" s="23" t="n">
        <f aca="false">parametros_recargas!$E$83*'Plan mensual'!M149+parametros_recargas!$F$83*'Plan mensual'!M150+parametros_recargas!$G$83*'Plan mensual'!M151+parametros_recargas!$H$83*'Plan mensual'!M152+parametros_recargas!$I$83*'Plan mensual'!M153+parametros_recargas!$J$83*'Plan mensual'!M154+parametros_recargas!$K$83*'Plan mensual'!M155+parametros_recargas!$L$83*'Plan mensual'!M156</f>
        <v>2209.92647151455</v>
      </c>
      <c r="L141" s="23" t="n">
        <f aca="false">parametros_recargas!$E$83*'Plan mensual'!N149+parametros_recargas!$F$83*'Plan mensual'!N150+parametros_recargas!$G$83*'Plan mensual'!N151+parametros_recargas!$H$83*'Plan mensual'!N152+parametros_recargas!$I$83*'Plan mensual'!N153+parametros_recargas!$J$83*'Plan mensual'!N154+parametros_recargas!$K$83*'Plan mensual'!N155+parametros_recargas!$L$83*'Plan mensual'!N156</f>
        <v>2209.92647151455</v>
      </c>
      <c r="M141" s="23" t="n">
        <f aca="false">parametros_recargas!$E$83*'Plan mensual'!O149+parametros_recargas!$F$83*'Plan mensual'!O150+parametros_recargas!$G$83*'Plan mensual'!O151+parametros_recargas!$H$83*'Plan mensual'!O152+parametros_recargas!$I$83*'Plan mensual'!O153+parametros_recargas!$J$83*'Plan mensual'!O154+parametros_recargas!$K$83*'Plan mensual'!O155+parametros_recargas!$L$83*'Plan mensual'!O156</f>
        <v>2209.92647151455</v>
      </c>
      <c r="N141" s="7" t="n">
        <f aca="false">SUM(B141:M141)</f>
        <v>26519.1176581746</v>
      </c>
      <c r="O141" s="24" t="n">
        <f aca="false">MAX(B141:M141)</f>
        <v>2209.92647151455</v>
      </c>
      <c r="P141" s="15" t="n">
        <f aca="false">O141/parametros_recargas!$B$6</f>
        <v>14.7328431434304</v>
      </c>
    </row>
    <row r="142" customFormat="false" ht="15" hidden="false" customHeight="false" outlineLevel="0" collapsed="false">
      <c r="A142" s="12" t="str">
        <f aca="false">parametros_recargas!$B$84</f>
        <v>Secado</v>
      </c>
      <c r="B142" s="23" t="n">
        <f aca="false">parametros_recargas!$E$84*'Plan mensual'!D149+parametros_recargas!$F$84*'Plan mensual'!D150+parametros_recargas!$G$84*'Plan mensual'!D151+parametros_recargas!$H$84*'Plan mensual'!D152+parametros_recargas!$I$84*'Plan mensual'!D153+parametros_recargas!$J$84*'Plan mensual'!D154+parametros_recargas!$K$84*'Plan mensual'!D155+parametros_recargas!$L$84*'Plan mensual'!D156</f>
        <v>2062.45408311766</v>
      </c>
      <c r="C142" s="23" t="n">
        <f aca="false">parametros_recargas!$E$84*'Plan mensual'!E149+parametros_recargas!$F$84*'Plan mensual'!E150+parametros_recargas!$G$84*'Plan mensual'!E151+parametros_recargas!$H$84*'Plan mensual'!E152+parametros_recargas!$I$84*'Plan mensual'!E153+parametros_recargas!$J$84*'Plan mensual'!E154+parametros_recargas!$K$84*'Plan mensual'!E155+parametros_recargas!$L$84*'Plan mensual'!E156</f>
        <v>2062.45408311766</v>
      </c>
      <c r="D142" s="23" t="n">
        <f aca="false">parametros_recargas!$E$84*'Plan mensual'!F149+parametros_recargas!$F$84*'Plan mensual'!F150+parametros_recargas!$G$84*'Plan mensual'!F151+parametros_recargas!$H$84*'Plan mensual'!F152+parametros_recargas!$I$84*'Plan mensual'!F153+parametros_recargas!$J$84*'Plan mensual'!F154+parametros_recargas!$K$84*'Plan mensual'!F155+parametros_recargas!$L$84*'Plan mensual'!F156</f>
        <v>2062.45408311766</v>
      </c>
      <c r="E142" s="23" t="n">
        <f aca="false">parametros_recargas!$E$84*'Plan mensual'!G149+parametros_recargas!$F$84*'Plan mensual'!G150+parametros_recargas!$G$84*'Plan mensual'!G151+parametros_recargas!$H$84*'Plan mensual'!G152+parametros_recargas!$I$84*'Plan mensual'!G153+parametros_recargas!$J$84*'Plan mensual'!G154+parametros_recargas!$K$84*'Plan mensual'!G155+parametros_recargas!$L$84*'Plan mensual'!G156</f>
        <v>2062.45408311766</v>
      </c>
      <c r="F142" s="23" t="n">
        <f aca="false">parametros_recargas!$E$84*'Plan mensual'!H149+parametros_recargas!$F$84*'Plan mensual'!H150+parametros_recargas!$G$84*'Plan mensual'!H151+parametros_recargas!$H$84*'Plan mensual'!H152+parametros_recargas!$I$84*'Plan mensual'!H153+parametros_recargas!$J$84*'Plan mensual'!H154+parametros_recargas!$K$84*'Plan mensual'!H155+parametros_recargas!$L$84*'Plan mensual'!H156</f>
        <v>2062.45408311766</v>
      </c>
      <c r="G142" s="23" t="n">
        <f aca="false">parametros_recargas!$E$84*'Plan mensual'!I149+parametros_recargas!$F$84*'Plan mensual'!I150+parametros_recargas!$G$84*'Plan mensual'!I151+parametros_recargas!$H$84*'Plan mensual'!I152+parametros_recargas!$I$84*'Plan mensual'!I153+parametros_recargas!$J$84*'Plan mensual'!I154+parametros_recargas!$K$84*'Plan mensual'!I155+parametros_recargas!$L$84*'Plan mensual'!I156</f>
        <v>2062.45408311766</v>
      </c>
      <c r="H142" s="23" t="n">
        <f aca="false">parametros_recargas!$E$84*'Plan mensual'!J149+parametros_recargas!$F$84*'Plan mensual'!J150+parametros_recargas!$G$84*'Plan mensual'!J151+parametros_recargas!$H$84*'Plan mensual'!J152+parametros_recargas!$I$84*'Plan mensual'!J153+parametros_recargas!$J$84*'Plan mensual'!J154+parametros_recargas!$K$84*'Plan mensual'!J155+parametros_recargas!$L$84*'Plan mensual'!J156</f>
        <v>2062.45408311766</v>
      </c>
      <c r="I142" s="23" t="n">
        <f aca="false">parametros_recargas!$E$84*'Plan mensual'!K149+parametros_recargas!$F$84*'Plan mensual'!K150+parametros_recargas!$G$84*'Plan mensual'!K151+parametros_recargas!$H$84*'Plan mensual'!K152+parametros_recargas!$I$84*'Plan mensual'!K153+parametros_recargas!$J$84*'Plan mensual'!K154+parametros_recargas!$K$84*'Plan mensual'!K155+parametros_recargas!$L$84*'Plan mensual'!K156</f>
        <v>2062.45408311766</v>
      </c>
      <c r="J142" s="23" t="n">
        <f aca="false">parametros_recargas!$E$84*'Plan mensual'!L149+parametros_recargas!$F$84*'Plan mensual'!L150+parametros_recargas!$G$84*'Plan mensual'!L151+parametros_recargas!$H$84*'Plan mensual'!L152+parametros_recargas!$I$84*'Plan mensual'!L153+parametros_recargas!$J$84*'Plan mensual'!L154+parametros_recargas!$K$84*'Plan mensual'!L155+parametros_recargas!$L$84*'Plan mensual'!L156</f>
        <v>2062.45408311766</v>
      </c>
      <c r="K142" s="23" t="n">
        <f aca="false">parametros_recargas!$E$84*'Plan mensual'!M149+parametros_recargas!$F$84*'Plan mensual'!M150+parametros_recargas!$G$84*'Plan mensual'!M151+parametros_recargas!$H$84*'Plan mensual'!M152+parametros_recargas!$I$84*'Plan mensual'!M153+parametros_recargas!$J$84*'Plan mensual'!M154+parametros_recargas!$K$84*'Plan mensual'!M155+parametros_recargas!$L$84*'Plan mensual'!M156</f>
        <v>2062.45408311766</v>
      </c>
      <c r="L142" s="23" t="n">
        <f aca="false">parametros_recargas!$E$84*'Plan mensual'!N149+parametros_recargas!$F$84*'Plan mensual'!N150+parametros_recargas!$G$84*'Plan mensual'!N151+parametros_recargas!$H$84*'Plan mensual'!N152+parametros_recargas!$I$84*'Plan mensual'!N153+parametros_recargas!$J$84*'Plan mensual'!N154+parametros_recargas!$K$84*'Plan mensual'!N155+parametros_recargas!$L$84*'Plan mensual'!N156</f>
        <v>2062.45408311766</v>
      </c>
      <c r="M142" s="23" t="n">
        <f aca="false">parametros_recargas!$E$84*'Plan mensual'!O149+parametros_recargas!$F$84*'Plan mensual'!O150+parametros_recargas!$G$84*'Plan mensual'!O151+parametros_recargas!$H$84*'Plan mensual'!O152+parametros_recargas!$I$84*'Plan mensual'!O153+parametros_recargas!$J$84*'Plan mensual'!O154+parametros_recargas!$K$84*'Plan mensual'!O155+parametros_recargas!$L$84*'Plan mensual'!O156</f>
        <v>2062.45408311766</v>
      </c>
      <c r="N142" s="7" t="n">
        <f aca="false">SUM(B142:M142)</f>
        <v>24749.4489974119</v>
      </c>
      <c r="O142" s="24" t="n">
        <f aca="false">MAX(B142:M142)</f>
        <v>2062.45408311766</v>
      </c>
      <c r="P142" s="15" t="n">
        <f aca="false">O142/parametros_recargas!$B$6</f>
        <v>13.7496938874511</v>
      </c>
    </row>
    <row r="143" customFormat="false" ht="15" hidden="false" customHeight="false" outlineLevel="0" collapsed="false">
      <c r="A143" s="12" t="str">
        <f aca="false">parametros_recargas!$B$85</f>
        <v>Inspección interior con videoscopio</v>
      </c>
      <c r="B143" s="23" t="n">
        <f aca="false">parametros_recargas!$E$85*'Plan mensual'!D149+parametros_recargas!$F$85*'Plan mensual'!D150+parametros_recargas!$G$85*'Plan mensual'!D151+parametros_recargas!$H$85*'Plan mensual'!D152+parametros_recargas!$I$85*'Plan mensual'!D153+parametros_recargas!$J$85*'Plan mensual'!D154+parametros_recargas!$K$85*'Plan mensual'!D155+parametros_recargas!$L$85*'Plan mensual'!D156</f>
        <v>2062.45408311766</v>
      </c>
      <c r="C143" s="23" t="n">
        <f aca="false">parametros_recargas!$E$85*'Plan mensual'!E149+parametros_recargas!$F$85*'Plan mensual'!E150+parametros_recargas!$G$85*'Plan mensual'!E151+parametros_recargas!$H$85*'Plan mensual'!E152+parametros_recargas!$I$85*'Plan mensual'!E153+parametros_recargas!$J$85*'Plan mensual'!E154+parametros_recargas!$K$85*'Plan mensual'!E155+parametros_recargas!$L$85*'Plan mensual'!E156</f>
        <v>2062.45408311766</v>
      </c>
      <c r="D143" s="23" t="n">
        <f aca="false">parametros_recargas!$E$85*'Plan mensual'!F149+parametros_recargas!$F$85*'Plan mensual'!F150+parametros_recargas!$G$85*'Plan mensual'!F151+parametros_recargas!$H$85*'Plan mensual'!F152+parametros_recargas!$I$85*'Plan mensual'!F153+parametros_recargas!$J$85*'Plan mensual'!F154+parametros_recargas!$K$85*'Plan mensual'!F155+parametros_recargas!$L$85*'Plan mensual'!F156</f>
        <v>2062.45408311766</v>
      </c>
      <c r="E143" s="23" t="n">
        <f aca="false">parametros_recargas!$E$85*'Plan mensual'!G149+parametros_recargas!$F$85*'Plan mensual'!G150+parametros_recargas!$G$85*'Plan mensual'!G151+parametros_recargas!$H$85*'Plan mensual'!G152+parametros_recargas!$I$85*'Plan mensual'!G153+parametros_recargas!$J$85*'Plan mensual'!G154+parametros_recargas!$K$85*'Plan mensual'!G155+parametros_recargas!$L$85*'Plan mensual'!G156</f>
        <v>2062.45408311766</v>
      </c>
      <c r="F143" s="23" t="n">
        <f aca="false">parametros_recargas!$E$85*'Plan mensual'!H149+parametros_recargas!$F$85*'Plan mensual'!H150+parametros_recargas!$G$85*'Plan mensual'!H151+parametros_recargas!$H$85*'Plan mensual'!H152+parametros_recargas!$I$85*'Plan mensual'!H153+parametros_recargas!$J$85*'Plan mensual'!H154+parametros_recargas!$K$85*'Plan mensual'!H155+parametros_recargas!$L$85*'Plan mensual'!H156</f>
        <v>2062.45408311766</v>
      </c>
      <c r="G143" s="23" t="n">
        <f aca="false">parametros_recargas!$E$85*'Plan mensual'!I149+parametros_recargas!$F$85*'Plan mensual'!I150+parametros_recargas!$G$85*'Plan mensual'!I151+parametros_recargas!$H$85*'Plan mensual'!I152+parametros_recargas!$I$85*'Plan mensual'!I153+parametros_recargas!$J$85*'Plan mensual'!I154+parametros_recargas!$K$85*'Plan mensual'!I155+parametros_recargas!$L$85*'Plan mensual'!I156</f>
        <v>2062.45408311766</v>
      </c>
      <c r="H143" s="23" t="n">
        <f aca="false">parametros_recargas!$E$85*'Plan mensual'!J149+parametros_recargas!$F$85*'Plan mensual'!J150+parametros_recargas!$G$85*'Plan mensual'!J151+parametros_recargas!$H$85*'Plan mensual'!J152+parametros_recargas!$I$85*'Plan mensual'!J153+parametros_recargas!$J$85*'Plan mensual'!J154+parametros_recargas!$K$85*'Plan mensual'!J155+parametros_recargas!$L$85*'Plan mensual'!J156</f>
        <v>2062.45408311766</v>
      </c>
      <c r="I143" s="23" t="n">
        <f aca="false">parametros_recargas!$E$85*'Plan mensual'!K149+parametros_recargas!$F$85*'Plan mensual'!K150+parametros_recargas!$G$85*'Plan mensual'!K151+parametros_recargas!$H$85*'Plan mensual'!K152+parametros_recargas!$I$85*'Plan mensual'!K153+parametros_recargas!$J$85*'Plan mensual'!K154+parametros_recargas!$K$85*'Plan mensual'!K155+parametros_recargas!$L$85*'Plan mensual'!K156</f>
        <v>2062.45408311766</v>
      </c>
      <c r="J143" s="23" t="n">
        <f aca="false">parametros_recargas!$E$85*'Plan mensual'!L149+parametros_recargas!$F$85*'Plan mensual'!L150+parametros_recargas!$G$85*'Plan mensual'!L151+parametros_recargas!$H$85*'Plan mensual'!L152+parametros_recargas!$I$85*'Plan mensual'!L153+parametros_recargas!$J$85*'Plan mensual'!L154+parametros_recargas!$K$85*'Plan mensual'!L155+parametros_recargas!$L$85*'Plan mensual'!L156</f>
        <v>2062.45408311766</v>
      </c>
      <c r="K143" s="23" t="n">
        <f aca="false">parametros_recargas!$E$85*'Plan mensual'!M149+parametros_recargas!$F$85*'Plan mensual'!M150+parametros_recargas!$G$85*'Plan mensual'!M151+parametros_recargas!$H$85*'Plan mensual'!M152+parametros_recargas!$I$85*'Plan mensual'!M153+parametros_recargas!$J$85*'Plan mensual'!M154+parametros_recargas!$K$85*'Plan mensual'!M155+parametros_recargas!$L$85*'Plan mensual'!M156</f>
        <v>2062.45408311766</v>
      </c>
      <c r="L143" s="23" t="n">
        <f aca="false">parametros_recargas!$E$85*'Plan mensual'!N149+parametros_recargas!$F$85*'Plan mensual'!N150+parametros_recargas!$G$85*'Plan mensual'!N151+parametros_recargas!$H$85*'Plan mensual'!N152+parametros_recargas!$I$85*'Plan mensual'!N153+parametros_recargas!$J$85*'Plan mensual'!N154+parametros_recargas!$K$85*'Plan mensual'!N155+parametros_recargas!$L$85*'Plan mensual'!N156</f>
        <v>2062.45408311766</v>
      </c>
      <c r="M143" s="23" t="n">
        <f aca="false">parametros_recargas!$E$85*'Plan mensual'!O149+parametros_recargas!$F$85*'Plan mensual'!O150+parametros_recargas!$G$85*'Plan mensual'!O151+parametros_recargas!$H$85*'Plan mensual'!O152+parametros_recargas!$I$85*'Plan mensual'!O153+parametros_recargas!$J$85*'Plan mensual'!O154+parametros_recargas!$K$85*'Plan mensual'!O155+parametros_recargas!$L$85*'Plan mensual'!O156</f>
        <v>2062.45408311766</v>
      </c>
      <c r="N143" s="7" t="n">
        <f aca="false">SUM(B143:M143)</f>
        <v>24749.4489974119</v>
      </c>
      <c r="O143" s="24" t="n">
        <f aca="false">MAX(B143:M143)</f>
        <v>2062.45408311766</v>
      </c>
      <c r="P143" s="15" t="n">
        <f aca="false">O143/parametros_recargas!$B$6</f>
        <v>13.7496938874511</v>
      </c>
    </row>
    <row r="144" customFormat="false" ht="15" hidden="false" customHeight="false" outlineLevel="0" collapsed="false">
      <c r="A144" s="12" t="str">
        <f aca="false">parametros_recargas!$B$86</f>
        <v>Pintura</v>
      </c>
      <c r="B144" s="23" t="n">
        <f aca="false">parametros_recargas!$E$86*'Plan mensual'!D149+parametros_recargas!$F$86*'Plan mensual'!D150+parametros_recargas!$G$86*'Plan mensual'!D151+parametros_recargas!$H$86*'Plan mensual'!D152+parametros_recargas!$I$86*'Plan mensual'!D153+parametros_recargas!$J$86*'Plan mensual'!D154+parametros_recargas!$K$86*'Plan mensual'!D155+parametros_recargas!$L$86*'Plan mensual'!D156</f>
        <v>1033.83809402648</v>
      </c>
      <c r="C144" s="23" t="n">
        <f aca="false">parametros_recargas!$E$86*'Plan mensual'!E149+parametros_recargas!$F$86*'Plan mensual'!E150+parametros_recargas!$G$86*'Plan mensual'!E151+parametros_recargas!$H$86*'Plan mensual'!E152+parametros_recargas!$I$86*'Plan mensual'!E153+parametros_recargas!$J$86*'Plan mensual'!E154+parametros_recargas!$K$86*'Plan mensual'!E155+parametros_recargas!$L$86*'Plan mensual'!E156</f>
        <v>1033.83809402648</v>
      </c>
      <c r="D144" s="23" t="n">
        <f aca="false">parametros_recargas!$E$86*'Plan mensual'!F149+parametros_recargas!$F$86*'Plan mensual'!F150+parametros_recargas!$G$86*'Plan mensual'!F151+parametros_recargas!$H$86*'Plan mensual'!F152+parametros_recargas!$I$86*'Plan mensual'!F153+parametros_recargas!$J$86*'Plan mensual'!F154+parametros_recargas!$K$86*'Plan mensual'!F155+parametros_recargas!$L$86*'Plan mensual'!F156</f>
        <v>1033.83809402648</v>
      </c>
      <c r="E144" s="23" t="n">
        <f aca="false">parametros_recargas!$E$86*'Plan mensual'!G149+parametros_recargas!$F$86*'Plan mensual'!G150+parametros_recargas!$G$86*'Plan mensual'!G151+parametros_recargas!$H$86*'Plan mensual'!G152+parametros_recargas!$I$86*'Plan mensual'!G153+parametros_recargas!$J$86*'Plan mensual'!G154+parametros_recargas!$K$86*'Plan mensual'!G155+parametros_recargas!$L$86*'Plan mensual'!G156</f>
        <v>1033.83809402648</v>
      </c>
      <c r="F144" s="23" t="n">
        <f aca="false">parametros_recargas!$E$86*'Plan mensual'!H149+parametros_recargas!$F$86*'Plan mensual'!H150+parametros_recargas!$G$86*'Plan mensual'!H151+parametros_recargas!$H$86*'Plan mensual'!H152+parametros_recargas!$I$86*'Plan mensual'!H153+parametros_recargas!$J$86*'Plan mensual'!H154+parametros_recargas!$K$86*'Plan mensual'!H155+parametros_recargas!$L$86*'Plan mensual'!H156</f>
        <v>1033.83809402648</v>
      </c>
      <c r="G144" s="23" t="n">
        <f aca="false">parametros_recargas!$E$86*'Plan mensual'!I149+parametros_recargas!$F$86*'Plan mensual'!I150+parametros_recargas!$G$86*'Plan mensual'!I151+parametros_recargas!$H$86*'Plan mensual'!I152+parametros_recargas!$I$86*'Plan mensual'!I153+parametros_recargas!$J$86*'Plan mensual'!I154+parametros_recargas!$K$86*'Plan mensual'!I155+parametros_recargas!$L$86*'Plan mensual'!I156</f>
        <v>1033.83809402648</v>
      </c>
      <c r="H144" s="23" t="n">
        <f aca="false">parametros_recargas!$E$86*'Plan mensual'!J149+parametros_recargas!$F$86*'Plan mensual'!J150+parametros_recargas!$G$86*'Plan mensual'!J151+parametros_recargas!$H$86*'Plan mensual'!J152+parametros_recargas!$I$86*'Plan mensual'!J153+parametros_recargas!$J$86*'Plan mensual'!J154+parametros_recargas!$K$86*'Plan mensual'!J155+parametros_recargas!$L$86*'Plan mensual'!J156</f>
        <v>1033.83809402648</v>
      </c>
      <c r="I144" s="23" t="n">
        <f aca="false">parametros_recargas!$E$86*'Plan mensual'!K149+parametros_recargas!$F$86*'Plan mensual'!K150+parametros_recargas!$G$86*'Plan mensual'!K151+parametros_recargas!$H$86*'Plan mensual'!K152+parametros_recargas!$I$86*'Plan mensual'!K153+parametros_recargas!$J$86*'Plan mensual'!K154+parametros_recargas!$K$86*'Plan mensual'!K155+parametros_recargas!$L$86*'Plan mensual'!K156</f>
        <v>1033.83809402648</v>
      </c>
      <c r="J144" s="23" t="n">
        <f aca="false">parametros_recargas!$E$86*'Plan mensual'!L149+parametros_recargas!$F$86*'Plan mensual'!L150+parametros_recargas!$G$86*'Plan mensual'!L151+parametros_recargas!$H$86*'Plan mensual'!L152+parametros_recargas!$I$86*'Plan mensual'!L153+parametros_recargas!$J$86*'Plan mensual'!L154+parametros_recargas!$K$86*'Plan mensual'!L155+parametros_recargas!$L$86*'Plan mensual'!L156</f>
        <v>1033.83809402648</v>
      </c>
      <c r="K144" s="23" t="n">
        <f aca="false">parametros_recargas!$E$86*'Plan mensual'!M149+parametros_recargas!$F$86*'Plan mensual'!M150+parametros_recargas!$G$86*'Plan mensual'!M151+parametros_recargas!$H$86*'Plan mensual'!M152+parametros_recargas!$I$86*'Plan mensual'!M153+parametros_recargas!$J$86*'Plan mensual'!M154+parametros_recargas!$K$86*'Plan mensual'!M155+parametros_recargas!$L$86*'Plan mensual'!M156</f>
        <v>1033.83809402648</v>
      </c>
      <c r="L144" s="23" t="n">
        <f aca="false">parametros_recargas!$E$86*'Plan mensual'!N149+parametros_recargas!$F$86*'Plan mensual'!N150+parametros_recargas!$G$86*'Plan mensual'!N151+parametros_recargas!$H$86*'Plan mensual'!N152+parametros_recargas!$I$86*'Plan mensual'!N153+parametros_recargas!$J$86*'Plan mensual'!N154+parametros_recargas!$K$86*'Plan mensual'!N155+parametros_recargas!$L$86*'Plan mensual'!N156</f>
        <v>1033.83809402648</v>
      </c>
      <c r="M144" s="23" t="n">
        <f aca="false">parametros_recargas!$E$86*'Plan mensual'!O149+parametros_recargas!$F$86*'Plan mensual'!O150+parametros_recargas!$G$86*'Plan mensual'!O151+parametros_recargas!$H$86*'Plan mensual'!O152+parametros_recargas!$I$86*'Plan mensual'!O153+parametros_recargas!$J$86*'Plan mensual'!O154+parametros_recargas!$K$86*'Plan mensual'!O155+parametros_recargas!$L$86*'Plan mensual'!O156</f>
        <v>1033.83809402648</v>
      </c>
      <c r="N144" s="7" t="n">
        <f aca="false">SUM(B144:M144)</f>
        <v>12406.0571283177</v>
      </c>
      <c r="O144" s="24" t="n">
        <f aca="false">MAX(B144:M144)</f>
        <v>1033.83809402648</v>
      </c>
      <c r="P144" s="15" t="n">
        <f aca="false">O144/parametros_recargas!$B$6</f>
        <v>6.8922539601765</v>
      </c>
    </row>
    <row r="145" customFormat="false" ht="15" hidden="false" customHeight="false" outlineLevel="0" collapsed="false">
      <c r="A145" s="12" t="str">
        <f aca="false">parametros_recargas!$B$87</f>
        <v>Carga de polvo ABC</v>
      </c>
      <c r="B145" s="23" t="n">
        <f aca="false">parametros_recargas!$E$87*'Plan mensual'!D149+parametros_recargas!$F$87*'Plan mensual'!D150+parametros_recargas!$G$87*'Plan mensual'!D151+parametros_recargas!$H$87*'Plan mensual'!D152+parametros_recargas!$I$87*'Plan mensual'!D153+parametros_recargas!$J$87*'Plan mensual'!D154+parametros_recargas!$K$87*'Plan mensual'!D155+parametros_recargas!$L$87*'Plan mensual'!D156</f>
        <v>8935.26546012646</v>
      </c>
      <c r="C145" s="23" t="n">
        <f aca="false">parametros_recargas!$E$87*'Plan mensual'!E149+parametros_recargas!$F$87*'Plan mensual'!E150+parametros_recargas!$G$87*'Plan mensual'!E151+parametros_recargas!$H$87*'Plan mensual'!E152+parametros_recargas!$I$87*'Plan mensual'!E153+parametros_recargas!$J$87*'Plan mensual'!E154+parametros_recargas!$K$87*'Plan mensual'!E155+parametros_recargas!$L$87*'Plan mensual'!E156</f>
        <v>8935.26546012646</v>
      </c>
      <c r="D145" s="23" t="n">
        <f aca="false">parametros_recargas!$E$87*'Plan mensual'!F149+parametros_recargas!$F$87*'Plan mensual'!F150+parametros_recargas!$G$87*'Plan mensual'!F151+parametros_recargas!$H$87*'Plan mensual'!F152+parametros_recargas!$I$87*'Plan mensual'!F153+parametros_recargas!$J$87*'Plan mensual'!F154+parametros_recargas!$K$87*'Plan mensual'!F155+parametros_recargas!$L$87*'Plan mensual'!F156</f>
        <v>8935.26546012646</v>
      </c>
      <c r="E145" s="23" t="n">
        <f aca="false">parametros_recargas!$E$87*'Plan mensual'!G149+parametros_recargas!$F$87*'Plan mensual'!G150+parametros_recargas!$G$87*'Plan mensual'!G151+parametros_recargas!$H$87*'Plan mensual'!G152+parametros_recargas!$I$87*'Plan mensual'!G153+parametros_recargas!$J$87*'Plan mensual'!G154+parametros_recargas!$K$87*'Plan mensual'!G155+parametros_recargas!$L$87*'Plan mensual'!G156</f>
        <v>8935.26546012646</v>
      </c>
      <c r="F145" s="23" t="n">
        <f aca="false">parametros_recargas!$E$87*'Plan mensual'!H149+parametros_recargas!$F$87*'Plan mensual'!H150+parametros_recargas!$G$87*'Plan mensual'!H151+parametros_recargas!$H$87*'Plan mensual'!H152+parametros_recargas!$I$87*'Plan mensual'!H153+parametros_recargas!$J$87*'Plan mensual'!H154+parametros_recargas!$K$87*'Plan mensual'!H155+parametros_recargas!$L$87*'Plan mensual'!H156</f>
        <v>8935.26546012646</v>
      </c>
      <c r="G145" s="23" t="n">
        <f aca="false">parametros_recargas!$E$87*'Plan mensual'!I149+parametros_recargas!$F$87*'Plan mensual'!I150+parametros_recargas!$G$87*'Plan mensual'!I151+parametros_recargas!$H$87*'Plan mensual'!I152+parametros_recargas!$I$87*'Plan mensual'!I153+parametros_recargas!$J$87*'Plan mensual'!I154+parametros_recargas!$K$87*'Plan mensual'!I155+parametros_recargas!$L$87*'Plan mensual'!I156</f>
        <v>8935.26546012646</v>
      </c>
      <c r="H145" s="23" t="n">
        <f aca="false">parametros_recargas!$E$87*'Plan mensual'!J149+parametros_recargas!$F$87*'Plan mensual'!J150+parametros_recargas!$G$87*'Plan mensual'!J151+parametros_recargas!$H$87*'Plan mensual'!J152+parametros_recargas!$I$87*'Plan mensual'!J153+parametros_recargas!$J$87*'Plan mensual'!J154+parametros_recargas!$K$87*'Plan mensual'!J155+parametros_recargas!$L$87*'Plan mensual'!J156</f>
        <v>8935.26546012646</v>
      </c>
      <c r="I145" s="23" t="n">
        <f aca="false">parametros_recargas!$E$87*'Plan mensual'!K149+parametros_recargas!$F$87*'Plan mensual'!K150+parametros_recargas!$G$87*'Plan mensual'!K151+parametros_recargas!$H$87*'Plan mensual'!K152+parametros_recargas!$I$87*'Plan mensual'!K153+parametros_recargas!$J$87*'Plan mensual'!K154+parametros_recargas!$K$87*'Plan mensual'!K155+parametros_recargas!$L$87*'Plan mensual'!K156</f>
        <v>8935.26546012646</v>
      </c>
      <c r="J145" s="23" t="n">
        <f aca="false">parametros_recargas!$E$87*'Plan mensual'!L149+parametros_recargas!$F$87*'Plan mensual'!L150+parametros_recargas!$G$87*'Plan mensual'!L151+parametros_recargas!$H$87*'Plan mensual'!L152+parametros_recargas!$I$87*'Plan mensual'!L153+parametros_recargas!$J$87*'Plan mensual'!L154+parametros_recargas!$K$87*'Plan mensual'!L155+parametros_recargas!$L$87*'Plan mensual'!L156</f>
        <v>8935.26546012646</v>
      </c>
      <c r="K145" s="23" t="n">
        <f aca="false">parametros_recargas!$E$87*'Plan mensual'!M149+parametros_recargas!$F$87*'Plan mensual'!M150+parametros_recargas!$G$87*'Plan mensual'!M151+parametros_recargas!$H$87*'Plan mensual'!M152+parametros_recargas!$I$87*'Plan mensual'!M153+parametros_recargas!$J$87*'Plan mensual'!M154+parametros_recargas!$K$87*'Plan mensual'!M155+parametros_recargas!$L$87*'Plan mensual'!M156</f>
        <v>8935.26546012646</v>
      </c>
      <c r="L145" s="23" t="n">
        <f aca="false">parametros_recargas!$E$87*'Plan mensual'!N149+parametros_recargas!$F$87*'Plan mensual'!N150+parametros_recargas!$G$87*'Plan mensual'!N151+parametros_recargas!$H$87*'Plan mensual'!N152+parametros_recargas!$I$87*'Plan mensual'!N153+parametros_recargas!$J$87*'Plan mensual'!N154+parametros_recargas!$K$87*'Plan mensual'!N155+parametros_recargas!$L$87*'Plan mensual'!N156</f>
        <v>8935.26546012646</v>
      </c>
      <c r="M145" s="23" t="n">
        <f aca="false">parametros_recargas!$E$87*'Plan mensual'!O149+parametros_recargas!$F$87*'Plan mensual'!O150+parametros_recargas!$G$87*'Plan mensual'!O151+parametros_recargas!$H$87*'Plan mensual'!O152+parametros_recargas!$I$87*'Plan mensual'!O153+parametros_recargas!$J$87*'Plan mensual'!O154+parametros_recargas!$K$87*'Plan mensual'!O155+parametros_recargas!$L$87*'Plan mensual'!O156</f>
        <v>8935.26546012646</v>
      </c>
      <c r="N145" s="7" t="n">
        <f aca="false">SUM(B145:M145)</f>
        <v>107223.185521518</v>
      </c>
      <c r="O145" s="24" t="n">
        <f aca="false">MAX(B145:M145)</f>
        <v>8935.26546012646</v>
      </c>
      <c r="P145" s="15" t="n">
        <f aca="false">O145/parametros_recargas!$B$6</f>
        <v>59.5684364008431</v>
      </c>
    </row>
    <row r="146" customFormat="false" ht="15" hidden="false" customHeight="false" outlineLevel="0" collapsed="false">
      <c r="A146" s="12" t="str">
        <f aca="false">parametros_recargas!$B$88</f>
        <v>Carga de polvo BC</v>
      </c>
      <c r="B146" s="23" t="n">
        <f aca="false">parametros_recargas!$E$88*'Plan mensual'!D149+parametros_recargas!$F$88*'Plan mensual'!D150+parametros_recargas!$G$88*'Plan mensual'!D151+parametros_recargas!$H$88*'Plan mensual'!D152+parametros_recargas!$I$88*'Plan mensual'!D153+parametros_recargas!$J$88*'Plan mensual'!D154+parametros_recargas!$K$88*'Plan mensual'!D155+parametros_recargas!$L$88*'Plan mensual'!D156</f>
        <v>13.370242732614</v>
      </c>
      <c r="C146" s="23" t="n">
        <f aca="false">parametros_recargas!$E$88*'Plan mensual'!E149+parametros_recargas!$F$88*'Plan mensual'!E150+parametros_recargas!$G$88*'Plan mensual'!E151+parametros_recargas!$H$88*'Plan mensual'!E152+parametros_recargas!$I$88*'Plan mensual'!E153+parametros_recargas!$J$88*'Plan mensual'!E154+parametros_recargas!$K$88*'Plan mensual'!E155+parametros_recargas!$L$88*'Plan mensual'!E156</f>
        <v>13.370242732614</v>
      </c>
      <c r="D146" s="23" t="n">
        <f aca="false">parametros_recargas!$E$88*'Plan mensual'!F149+parametros_recargas!$F$88*'Plan mensual'!F150+parametros_recargas!$G$88*'Plan mensual'!F151+parametros_recargas!$H$88*'Plan mensual'!F152+parametros_recargas!$I$88*'Plan mensual'!F153+parametros_recargas!$J$88*'Plan mensual'!F154+parametros_recargas!$K$88*'Plan mensual'!F155+parametros_recargas!$L$88*'Plan mensual'!F156</f>
        <v>13.370242732614</v>
      </c>
      <c r="E146" s="23" t="n">
        <f aca="false">parametros_recargas!$E$88*'Plan mensual'!G149+parametros_recargas!$F$88*'Plan mensual'!G150+parametros_recargas!$G$88*'Plan mensual'!G151+parametros_recargas!$H$88*'Plan mensual'!G152+parametros_recargas!$I$88*'Plan mensual'!G153+parametros_recargas!$J$88*'Plan mensual'!G154+parametros_recargas!$K$88*'Plan mensual'!G155+parametros_recargas!$L$88*'Plan mensual'!G156</f>
        <v>13.370242732614</v>
      </c>
      <c r="F146" s="23" t="n">
        <f aca="false">parametros_recargas!$E$88*'Plan mensual'!H149+parametros_recargas!$F$88*'Plan mensual'!H150+parametros_recargas!$G$88*'Plan mensual'!H151+parametros_recargas!$H$88*'Plan mensual'!H152+parametros_recargas!$I$88*'Plan mensual'!H153+parametros_recargas!$J$88*'Plan mensual'!H154+parametros_recargas!$K$88*'Plan mensual'!H155+parametros_recargas!$L$88*'Plan mensual'!H156</f>
        <v>13.370242732614</v>
      </c>
      <c r="G146" s="23" t="n">
        <f aca="false">parametros_recargas!$E$88*'Plan mensual'!I149+parametros_recargas!$F$88*'Plan mensual'!I150+parametros_recargas!$G$88*'Plan mensual'!I151+parametros_recargas!$H$88*'Plan mensual'!I152+parametros_recargas!$I$88*'Plan mensual'!I153+parametros_recargas!$J$88*'Plan mensual'!I154+parametros_recargas!$K$88*'Plan mensual'!I155+parametros_recargas!$L$88*'Plan mensual'!I156</f>
        <v>13.370242732614</v>
      </c>
      <c r="H146" s="23" t="n">
        <f aca="false">parametros_recargas!$E$88*'Plan mensual'!J149+parametros_recargas!$F$88*'Plan mensual'!J150+parametros_recargas!$G$88*'Plan mensual'!J151+parametros_recargas!$H$88*'Plan mensual'!J152+parametros_recargas!$I$88*'Plan mensual'!J153+parametros_recargas!$J$88*'Plan mensual'!J154+parametros_recargas!$K$88*'Plan mensual'!J155+parametros_recargas!$L$88*'Plan mensual'!J156</f>
        <v>13.370242732614</v>
      </c>
      <c r="I146" s="23" t="n">
        <f aca="false">parametros_recargas!$E$88*'Plan mensual'!K149+parametros_recargas!$F$88*'Plan mensual'!K150+parametros_recargas!$G$88*'Plan mensual'!K151+parametros_recargas!$H$88*'Plan mensual'!K152+parametros_recargas!$I$88*'Plan mensual'!K153+parametros_recargas!$J$88*'Plan mensual'!K154+parametros_recargas!$K$88*'Plan mensual'!K155+parametros_recargas!$L$88*'Plan mensual'!K156</f>
        <v>13.370242732614</v>
      </c>
      <c r="J146" s="23" t="n">
        <f aca="false">parametros_recargas!$E$88*'Plan mensual'!L149+parametros_recargas!$F$88*'Plan mensual'!L150+parametros_recargas!$G$88*'Plan mensual'!L151+parametros_recargas!$H$88*'Plan mensual'!L152+parametros_recargas!$I$88*'Plan mensual'!L153+parametros_recargas!$J$88*'Plan mensual'!L154+parametros_recargas!$K$88*'Plan mensual'!L155+parametros_recargas!$L$88*'Plan mensual'!L156</f>
        <v>13.370242732614</v>
      </c>
      <c r="K146" s="23" t="n">
        <f aca="false">parametros_recargas!$E$88*'Plan mensual'!M149+parametros_recargas!$F$88*'Plan mensual'!M150+parametros_recargas!$G$88*'Plan mensual'!M151+parametros_recargas!$H$88*'Plan mensual'!M152+parametros_recargas!$I$88*'Plan mensual'!M153+parametros_recargas!$J$88*'Plan mensual'!M154+parametros_recargas!$K$88*'Plan mensual'!M155+parametros_recargas!$L$88*'Plan mensual'!M156</f>
        <v>13.370242732614</v>
      </c>
      <c r="L146" s="23" t="n">
        <f aca="false">parametros_recargas!$E$88*'Plan mensual'!N149+parametros_recargas!$F$88*'Plan mensual'!N150+parametros_recargas!$G$88*'Plan mensual'!N151+parametros_recargas!$H$88*'Plan mensual'!N152+parametros_recargas!$I$88*'Plan mensual'!N153+parametros_recargas!$J$88*'Plan mensual'!N154+parametros_recargas!$K$88*'Plan mensual'!N155+parametros_recargas!$L$88*'Plan mensual'!N156</f>
        <v>13.370242732614</v>
      </c>
      <c r="M146" s="23" t="n">
        <f aca="false">parametros_recargas!$E$88*'Plan mensual'!O149+parametros_recargas!$F$88*'Plan mensual'!O150+parametros_recargas!$G$88*'Plan mensual'!O151+parametros_recargas!$H$88*'Plan mensual'!O152+parametros_recargas!$I$88*'Plan mensual'!O153+parametros_recargas!$J$88*'Plan mensual'!O154+parametros_recargas!$K$88*'Plan mensual'!O155+parametros_recargas!$L$88*'Plan mensual'!O156</f>
        <v>13.370242732614</v>
      </c>
      <c r="N146" s="7" t="n">
        <f aca="false">SUM(B146:M146)</f>
        <v>160.442912791368</v>
      </c>
      <c r="O146" s="24" t="n">
        <f aca="false">MAX(B146:M146)</f>
        <v>13.370242732614</v>
      </c>
      <c r="P146" s="15" t="n">
        <f aca="false">O146/parametros_recargas!$B$6</f>
        <v>0.0891349515507602</v>
      </c>
    </row>
    <row r="147" customFormat="false" ht="15" hidden="false" customHeight="false" outlineLevel="0" collapsed="false">
      <c r="A147" s="12" t="str">
        <f aca="false">parametros_recargas!$B$89</f>
        <v>Descarga y carga Clase D</v>
      </c>
      <c r="B147" s="23" t="n">
        <f aca="false">parametros_recargas!$E$89*'Plan mensual'!D149+parametros_recargas!$F$89*'Plan mensual'!D150+parametros_recargas!$G$89*'Plan mensual'!D151+parametros_recargas!$H$89*'Plan mensual'!D152+parametros_recargas!$I$89*'Plan mensual'!D153+parametros_recargas!$J$89*'Plan mensual'!D154+parametros_recargas!$K$89*'Plan mensual'!D155+parametros_recargas!$L$89*'Plan mensual'!D156</f>
        <v>12.5060343854333</v>
      </c>
      <c r="C147" s="23" t="n">
        <f aca="false">parametros_recargas!$E$89*'Plan mensual'!E149+parametros_recargas!$F$89*'Plan mensual'!E150+parametros_recargas!$G$89*'Plan mensual'!E151+parametros_recargas!$H$89*'Plan mensual'!E152+parametros_recargas!$I$89*'Plan mensual'!E153+parametros_recargas!$J$89*'Plan mensual'!E154+parametros_recargas!$K$89*'Plan mensual'!E155+parametros_recargas!$L$89*'Plan mensual'!E156</f>
        <v>12.5060343854333</v>
      </c>
      <c r="D147" s="23" t="n">
        <f aca="false">parametros_recargas!$E$89*'Plan mensual'!F149+parametros_recargas!$F$89*'Plan mensual'!F150+parametros_recargas!$G$89*'Plan mensual'!F151+parametros_recargas!$H$89*'Plan mensual'!F152+parametros_recargas!$I$89*'Plan mensual'!F153+parametros_recargas!$J$89*'Plan mensual'!F154+parametros_recargas!$K$89*'Plan mensual'!F155+parametros_recargas!$L$89*'Plan mensual'!F156</f>
        <v>12.5060343854333</v>
      </c>
      <c r="E147" s="23" t="n">
        <f aca="false">parametros_recargas!$E$89*'Plan mensual'!G149+parametros_recargas!$F$89*'Plan mensual'!G150+parametros_recargas!$G$89*'Plan mensual'!G151+parametros_recargas!$H$89*'Plan mensual'!G152+parametros_recargas!$I$89*'Plan mensual'!G153+parametros_recargas!$J$89*'Plan mensual'!G154+parametros_recargas!$K$89*'Plan mensual'!G155+parametros_recargas!$L$89*'Plan mensual'!G156</f>
        <v>12.5060343854333</v>
      </c>
      <c r="F147" s="23" t="n">
        <f aca="false">parametros_recargas!$E$89*'Plan mensual'!H149+parametros_recargas!$F$89*'Plan mensual'!H150+parametros_recargas!$G$89*'Plan mensual'!H151+parametros_recargas!$H$89*'Plan mensual'!H152+parametros_recargas!$I$89*'Plan mensual'!H153+parametros_recargas!$J$89*'Plan mensual'!H154+parametros_recargas!$K$89*'Plan mensual'!H155+parametros_recargas!$L$89*'Plan mensual'!H156</f>
        <v>12.5060343854333</v>
      </c>
      <c r="G147" s="23" t="n">
        <f aca="false">parametros_recargas!$E$89*'Plan mensual'!I149+parametros_recargas!$F$89*'Plan mensual'!I150+parametros_recargas!$G$89*'Plan mensual'!I151+parametros_recargas!$H$89*'Plan mensual'!I152+parametros_recargas!$I$89*'Plan mensual'!I153+parametros_recargas!$J$89*'Plan mensual'!I154+parametros_recargas!$K$89*'Plan mensual'!I155+parametros_recargas!$L$89*'Plan mensual'!I156</f>
        <v>12.5060343854333</v>
      </c>
      <c r="H147" s="23" t="n">
        <f aca="false">parametros_recargas!$E$89*'Plan mensual'!J149+parametros_recargas!$F$89*'Plan mensual'!J150+parametros_recargas!$G$89*'Plan mensual'!J151+parametros_recargas!$H$89*'Plan mensual'!J152+parametros_recargas!$I$89*'Plan mensual'!J153+parametros_recargas!$J$89*'Plan mensual'!J154+parametros_recargas!$K$89*'Plan mensual'!J155+parametros_recargas!$L$89*'Plan mensual'!J156</f>
        <v>12.5060343854333</v>
      </c>
      <c r="I147" s="23" t="n">
        <f aca="false">parametros_recargas!$E$89*'Plan mensual'!K149+parametros_recargas!$F$89*'Plan mensual'!K150+parametros_recargas!$G$89*'Plan mensual'!K151+parametros_recargas!$H$89*'Plan mensual'!K152+parametros_recargas!$I$89*'Plan mensual'!K153+parametros_recargas!$J$89*'Plan mensual'!K154+parametros_recargas!$K$89*'Plan mensual'!K155+parametros_recargas!$L$89*'Plan mensual'!K156</f>
        <v>12.5060343854333</v>
      </c>
      <c r="J147" s="23" t="n">
        <f aca="false">parametros_recargas!$E$89*'Plan mensual'!L149+parametros_recargas!$F$89*'Plan mensual'!L150+parametros_recargas!$G$89*'Plan mensual'!L151+parametros_recargas!$H$89*'Plan mensual'!L152+parametros_recargas!$I$89*'Plan mensual'!L153+parametros_recargas!$J$89*'Plan mensual'!L154+parametros_recargas!$K$89*'Plan mensual'!L155+parametros_recargas!$L$89*'Plan mensual'!L156</f>
        <v>12.5060343854333</v>
      </c>
      <c r="K147" s="23" t="n">
        <f aca="false">parametros_recargas!$E$89*'Plan mensual'!M149+parametros_recargas!$F$89*'Plan mensual'!M150+parametros_recargas!$G$89*'Plan mensual'!M151+parametros_recargas!$H$89*'Plan mensual'!M152+parametros_recargas!$I$89*'Plan mensual'!M153+parametros_recargas!$J$89*'Plan mensual'!M154+parametros_recargas!$K$89*'Plan mensual'!M155+parametros_recargas!$L$89*'Plan mensual'!M156</f>
        <v>12.5060343854333</v>
      </c>
      <c r="L147" s="23" t="n">
        <f aca="false">parametros_recargas!$E$89*'Plan mensual'!N149+parametros_recargas!$F$89*'Plan mensual'!N150+parametros_recargas!$G$89*'Plan mensual'!N151+parametros_recargas!$H$89*'Plan mensual'!N152+parametros_recargas!$I$89*'Plan mensual'!N153+parametros_recargas!$J$89*'Plan mensual'!N154+parametros_recargas!$K$89*'Plan mensual'!N155+parametros_recargas!$L$89*'Plan mensual'!N156</f>
        <v>12.5060343854333</v>
      </c>
      <c r="M147" s="23" t="n">
        <f aca="false">parametros_recargas!$E$89*'Plan mensual'!O149+parametros_recargas!$F$89*'Plan mensual'!O150+parametros_recargas!$G$89*'Plan mensual'!O151+parametros_recargas!$H$89*'Plan mensual'!O152+parametros_recargas!$I$89*'Plan mensual'!O153+parametros_recargas!$J$89*'Plan mensual'!O154+parametros_recargas!$K$89*'Plan mensual'!O155+parametros_recargas!$L$89*'Plan mensual'!O156</f>
        <v>12.5060343854333</v>
      </c>
      <c r="N147" s="7" t="n">
        <f aca="false">SUM(B147:M147)</f>
        <v>150.0724126252</v>
      </c>
      <c r="O147" s="24" t="n">
        <f aca="false">MAX(B147:M147)</f>
        <v>12.5060343854333</v>
      </c>
      <c r="P147" s="15" t="n">
        <f aca="false">O147/parametros_recargas!$B$6</f>
        <v>0.0833735625695554</v>
      </c>
    </row>
    <row r="148" customFormat="false" ht="15" hidden="false" customHeight="false" outlineLevel="0" collapsed="false">
      <c r="A148" s="12" t="str">
        <f aca="false">parametros_recargas!$B$90</f>
        <v>Carga de agua / AFFF / sales K</v>
      </c>
      <c r="B148" s="23" t="n">
        <f aca="false">parametros_recargas!$E$90*'Plan mensual'!D149+parametros_recargas!$F$90*'Plan mensual'!D150+parametros_recargas!$G$90*'Plan mensual'!D151+parametros_recargas!$H$90*'Plan mensual'!D152+parametros_recargas!$I$90*'Plan mensual'!D153+parametros_recargas!$J$90*'Plan mensual'!D154+parametros_recargas!$K$90*'Plan mensual'!D155+parametros_recargas!$L$90*'Plan mensual'!D156</f>
        <v>474.167611538677</v>
      </c>
      <c r="C148" s="23" t="n">
        <f aca="false">parametros_recargas!$E$90*'Plan mensual'!E149+parametros_recargas!$F$90*'Plan mensual'!E150+parametros_recargas!$G$90*'Plan mensual'!E151+parametros_recargas!$H$90*'Plan mensual'!E152+parametros_recargas!$I$90*'Plan mensual'!E153+parametros_recargas!$J$90*'Plan mensual'!E154+parametros_recargas!$K$90*'Plan mensual'!E155+parametros_recargas!$L$90*'Plan mensual'!E156</f>
        <v>474.167611538677</v>
      </c>
      <c r="D148" s="23" t="n">
        <f aca="false">parametros_recargas!$E$90*'Plan mensual'!F149+parametros_recargas!$F$90*'Plan mensual'!F150+parametros_recargas!$G$90*'Plan mensual'!F151+parametros_recargas!$H$90*'Plan mensual'!F152+parametros_recargas!$I$90*'Plan mensual'!F153+parametros_recargas!$J$90*'Plan mensual'!F154+parametros_recargas!$K$90*'Plan mensual'!F155+parametros_recargas!$L$90*'Plan mensual'!F156</f>
        <v>474.167611538677</v>
      </c>
      <c r="E148" s="23" t="n">
        <f aca="false">parametros_recargas!$E$90*'Plan mensual'!G149+parametros_recargas!$F$90*'Plan mensual'!G150+parametros_recargas!$G$90*'Plan mensual'!G151+parametros_recargas!$H$90*'Plan mensual'!G152+parametros_recargas!$I$90*'Plan mensual'!G153+parametros_recargas!$J$90*'Plan mensual'!G154+parametros_recargas!$K$90*'Plan mensual'!G155+parametros_recargas!$L$90*'Plan mensual'!G156</f>
        <v>474.167611538677</v>
      </c>
      <c r="F148" s="23" t="n">
        <f aca="false">parametros_recargas!$E$90*'Plan mensual'!H149+parametros_recargas!$F$90*'Plan mensual'!H150+parametros_recargas!$G$90*'Plan mensual'!H151+parametros_recargas!$H$90*'Plan mensual'!H152+parametros_recargas!$I$90*'Plan mensual'!H153+parametros_recargas!$J$90*'Plan mensual'!H154+parametros_recargas!$K$90*'Plan mensual'!H155+parametros_recargas!$L$90*'Plan mensual'!H156</f>
        <v>474.167611538677</v>
      </c>
      <c r="G148" s="23" t="n">
        <f aca="false">parametros_recargas!$E$90*'Plan mensual'!I149+parametros_recargas!$F$90*'Plan mensual'!I150+parametros_recargas!$G$90*'Plan mensual'!I151+parametros_recargas!$H$90*'Plan mensual'!I152+parametros_recargas!$I$90*'Plan mensual'!I153+parametros_recargas!$J$90*'Plan mensual'!I154+parametros_recargas!$K$90*'Plan mensual'!I155+parametros_recargas!$L$90*'Plan mensual'!I156</f>
        <v>474.167611538677</v>
      </c>
      <c r="H148" s="23" t="n">
        <f aca="false">parametros_recargas!$E$90*'Plan mensual'!J149+parametros_recargas!$F$90*'Plan mensual'!J150+parametros_recargas!$G$90*'Plan mensual'!J151+parametros_recargas!$H$90*'Plan mensual'!J152+parametros_recargas!$I$90*'Plan mensual'!J153+parametros_recargas!$J$90*'Plan mensual'!J154+parametros_recargas!$K$90*'Plan mensual'!J155+parametros_recargas!$L$90*'Plan mensual'!J156</f>
        <v>474.167611538677</v>
      </c>
      <c r="I148" s="23" t="n">
        <f aca="false">parametros_recargas!$E$90*'Plan mensual'!K149+parametros_recargas!$F$90*'Plan mensual'!K150+parametros_recargas!$G$90*'Plan mensual'!K151+parametros_recargas!$H$90*'Plan mensual'!K152+parametros_recargas!$I$90*'Plan mensual'!K153+parametros_recargas!$J$90*'Plan mensual'!K154+parametros_recargas!$K$90*'Plan mensual'!K155+parametros_recargas!$L$90*'Plan mensual'!K156</f>
        <v>474.167611538677</v>
      </c>
      <c r="J148" s="23" t="n">
        <f aca="false">parametros_recargas!$E$90*'Plan mensual'!L149+parametros_recargas!$F$90*'Plan mensual'!L150+parametros_recargas!$G$90*'Plan mensual'!L151+parametros_recargas!$H$90*'Plan mensual'!L152+parametros_recargas!$I$90*'Plan mensual'!L153+parametros_recargas!$J$90*'Plan mensual'!L154+parametros_recargas!$K$90*'Plan mensual'!L155+parametros_recargas!$L$90*'Plan mensual'!L156</f>
        <v>474.167611538677</v>
      </c>
      <c r="K148" s="23" t="n">
        <f aca="false">parametros_recargas!$E$90*'Plan mensual'!M149+parametros_recargas!$F$90*'Plan mensual'!M150+parametros_recargas!$G$90*'Plan mensual'!M151+parametros_recargas!$H$90*'Plan mensual'!M152+parametros_recargas!$I$90*'Plan mensual'!M153+parametros_recargas!$J$90*'Plan mensual'!M154+parametros_recargas!$K$90*'Plan mensual'!M155+parametros_recargas!$L$90*'Plan mensual'!M156</f>
        <v>474.167611538677</v>
      </c>
      <c r="L148" s="23" t="n">
        <f aca="false">parametros_recargas!$E$90*'Plan mensual'!N149+parametros_recargas!$F$90*'Plan mensual'!N150+parametros_recargas!$G$90*'Plan mensual'!N151+parametros_recargas!$H$90*'Plan mensual'!N152+parametros_recargas!$I$90*'Plan mensual'!N153+parametros_recargas!$J$90*'Plan mensual'!N154+parametros_recargas!$K$90*'Plan mensual'!N155+parametros_recargas!$L$90*'Plan mensual'!N156</f>
        <v>474.167611538677</v>
      </c>
      <c r="M148" s="23" t="n">
        <f aca="false">parametros_recargas!$E$90*'Plan mensual'!O149+parametros_recargas!$F$90*'Plan mensual'!O150+parametros_recargas!$G$90*'Plan mensual'!O151+parametros_recargas!$H$90*'Plan mensual'!O152+parametros_recargas!$I$90*'Plan mensual'!O153+parametros_recargas!$J$90*'Plan mensual'!O154+parametros_recargas!$K$90*'Plan mensual'!O155+parametros_recargas!$L$90*'Plan mensual'!O156</f>
        <v>474.167611538677</v>
      </c>
      <c r="N148" s="7" t="n">
        <f aca="false">SUM(B148:M148)</f>
        <v>5690.01133846413</v>
      </c>
      <c r="O148" s="24" t="n">
        <f aca="false">MAX(B148:M148)</f>
        <v>474.167611538677</v>
      </c>
      <c r="P148" s="15" t="n">
        <f aca="false">O148/parametros_recargas!$B$6</f>
        <v>3.16111741025785</v>
      </c>
    </row>
    <row r="149" customFormat="false" ht="15" hidden="false" customHeight="false" outlineLevel="0" collapsed="false">
      <c r="A149" s="12" t="str">
        <f aca="false">parametros_recargas!$B$91</f>
        <v>Carga de CO₂</v>
      </c>
      <c r="B149" s="23" t="n">
        <f aca="false">parametros_recargas!$E$91*'Plan mensual'!D149+parametros_recargas!$F$91*'Plan mensual'!D150+parametros_recargas!$G$91*'Plan mensual'!D151+parametros_recargas!$H$91*'Plan mensual'!D152+parametros_recargas!$I$91*'Plan mensual'!D153+parametros_recargas!$J$91*'Plan mensual'!D154+parametros_recargas!$K$91*'Plan mensual'!D155+parametros_recargas!$L$91*'Plan mensual'!D156</f>
        <v>260.548635658004</v>
      </c>
      <c r="C149" s="23" t="n">
        <f aca="false">parametros_recargas!$E$91*'Plan mensual'!E149+parametros_recargas!$F$91*'Plan mensual'!E150+parametros_recargas!$G$91*'Plan mensual'!E151+parametros_recargas!$H$91*'Plan mensual'!E152+parametros_recargas!$I$91*'Plan mensual'!E153+parametros_recargas!$J$91*'Plan mensual'!E154+parametros_recargas!$K$91*'Plan mensual'!E155+parametros_recargas!$L$91*'Plan mensual'!E156</f>
        <v>260.548635658004</v>
      </c>
      <c r="D149" s="23" t="n">
        <f aca="false">parametros_recargas!$E$91*'Plan mensual'!F149+parametros_recargas!$F$91*'Plan mensual'!F150+parametros_recargas!$G$91*'Plan mensual'!F151+parametros_recargas!$H$91*'Plan mensual'!F152+parametros_recargas!$I$91*'Plan mensual'!F153+parametros_recargas!$J$91*'Plan mensual'!F154+parametros_recargas!$K$91*'Plan mensual'!F155+parametros_recargas!$L$91*'Plan mensual'!F156</f>
        <v>260.548635658004</v>
      </c>
      <c r="E149" s="23" t="n">
        <f aca="false">parametros_recargas!$E$91*'Plan mensual'!G149+parametros_recargas!$F$91*'Plan mensual'!G150+parametros_recargas!$G$91*'Plan mensual'!G151+parametros_recargas!$H$91*'Plan mensual'!G152+parametros_recargas!$I$91*'Plan mensual'!G153+parametros_recargas!$J$91*'Plan mensual'!G154+parametros_recargas!$K$91*'Plan mensual'!G155+parametros_recargas!$L$91*'Plan mensual'!G156</f>
        <v>260.548635658004</v>
      </c>
      <c r="F149" s="23" t="n">
        <f aca="false">parametros_recargas!$E$91*'Plan mensual'!H149+parametros_recargas!$F$91*'Plan mensual'!H150+parametros_recargas!$G$91*'Plan mensual'!H151+parametros_recargas!$H$91*'Plan mensual'!H152+parametros_recargas!$I$91*'Plan mensual'!H153+parametros_recargas!$J$91*'Plan mensual'!H154+parametros_recargas!$K$91*'Plan mensual'!H155+parametros_recargas!$L$91*'Plan mensual'!H156</f>
        <v>260.548635658004</v>
      </c>
      <c r="G149" s="23" t="n">
        <f aca="false">parametros_recargas!$E$91*'Plan mensual'!I149+parametros_recargas!$F$91*'Plan mensual'!I150+parametros_recargas!$G$91*'Plan mensual'!I151+parametros_recargas!$H$91*'Plan mensual'!I152+parametros_recargas!$I$91*'Plan mensual'!I153+parametros_recargas!$J$91*'Plan mensual'!I154+parametros_recargas!$K$91*'Plan mensual'!I155+parametros_recargas!$L$91*'Plan mensual'!I156</f>
        <v>260.548635658004</v>
      </c>
      <c r="H149" s="23" t="n">
        <f aca="false">parametros_recargas!$E$91*'Plan mensual'!J149+parametros_recargas!$F$91*'Plan mensual'!J150+parametros_recargas!$G$91*'Plan mensual'!J151+parametros_recargas!$H$91*'Plan mensual'!J152+parametros_recargas!$I$91*'Plan mensual'!J153+parametros_recargas!$J$91*'Plan mensual'!J154+parametros_recargas!$K$91*'Plan mensual'!J155+parametros_recargas!$L$91*'Plan mensual'!J156</f>
        <v>260.548635658004</v>
      </c>
      <c r="I149" s="23" t="n">
        <f aca="false">parametros_recargas!$E$91*'Plan mensual'!K149+parametros_recargas!$F$91*'Plan mensual'!K150+parametros_recargas!$G$91*'Plan mensual'!K151+parametros_recargas!$H$91*'Plan mensual'!K152+parametros_recargas!$I$91*'Plan mensual'!K153+parametros_recargas!$J$91*'Plan mensual'!K154+parametros_recargas!$K$91*'Plan mensual'!K155+parametros_recargas!$L$91*'Plan mensual'!K156</f>
        <v>260.548635658004</v>
      </c>
      <c r="J149" s="23" t="n">
        <f aca="false">parametros_recargas!$E$91*'Plan mensual'!L149+parametros_recargas!$F$91*'Plan mensual'!L150+parametros_recargas!$G$91*'Plan mensual'!L151+parametros_recargas!$H$91*'Plan mensual'!L152+parametros_recargas!$I$91*'Plan mensual'!L153+parametros_recargas!$J$91*'Plan mensual'!L154+parametros_recargas!$K$91*'Plan mensual'!L155+parametros_recargas!$L$91*'Plan mensual'!L156</f>
        <v>260.548635658004</v>
      </c>
      <c r="K149" s="23" t="n">
        <f aca="false">parametros_recargas!$E$91*'Plan mensual'!M149+parametros_recargas!$F$91*'Plan mensual'!M150+parametros_recargas!$G$91*'Plan mensual'!M151+parametros_recargas!$H$91*'Plan mensual'!M152+parametros_recargas!$I$91*'Plan mensual'!M153+parametros_recargas!$J$91*'Plan mensual'!M154+parametros_recargas!$K$91*'Plan mensual'!M155+parametros_recargas!$L$91*'Plan mensual'!M156</f>
        <v>260.548635658004</v>
      </c>
      <c r="L149" s="23" t="n">
        <f aca="false">parametros_recargas!$E$91*'Plan mensual'!N149+parametros_recargas!$F$91*'Plan mensual'!N150+parametros_recargas!$G$91*'Plan mensual'!N151+parametros_recargas!$H$91*'Plan mensual'!N152+parametros_recargas!$I$91*'Plan mensual'!N153+parametros_recargas!$J$91*'Plan mensual'!N154+parametros_recargas!$K$91*'Plan mensual'!N155+parametros_recargas!$L$91*'Plan mensual'!N156</f>
        <v>260.548635658004</v>
      </c>
      <c r="M149" s="23" t="n">
        <f aca="false">parametros_recargas!$E$91*'Plan mensual'!O149+parametros_recargas!$F$91*'Plan mensual'!O150+parametros_recargas!$G$91*'Plan mensual'!O151+parametros_recargas!$H$91*'Plan mensual'!O152+parametros_recargas!$I$91*'Plan mensual'!O153+parametros_recargas!$J$91*'Plan mensual'!O154+parametros_recargas!$K$91*'Plan mensual'!O155+parametros_recargas!$L$91*'Plan mensual'!O156</f>
        <v>260.548635658004</v>
      </c>
      <c r="N149" s="7" t="n">
        <f aca="false">SUM(B149:M149)</f>
        <v>3126.58362789605</v>
      </c>
      <c r="O149" s="24" t="n">
        <f aca="false">MAX(B149:M149)</f>
        <v>260.548635658004</v>
      </c>
      <c r="P149" s="15" t="n">
        <f aca="false">O149/parametros_recargas!$B$6</f>
        <v>1.73699090438669</v>
      </c>
    </row>
    <row r="150" customFormat="false" ht="15" hidden="false" customHeight="false" outlineLevel="0" collapsed="false">
      <c r="A150" s="12" t="str">
        <f aca="false">parametros_recargas!$B$92</f>
        <v>Ensamblaje y marbete — recinto</v>
      </c>
      <c r="B150" s="23" t="n">
        <f aca="false">parametros_recargas!$E$92*'Plan mensual'!D149+parametros_recargas!$F$92*'Plan mensual'!D150+parametros_recargas!$G$92*'Plan mensual'!D151+parametros_recargas!$H$92*'Plan mensual'!D152+parametros_recargas!$I$92*'Plan mensual'!D153+parametros_recargas!$J$92*'Plan mensual'!D154+parametros_recargas!$K$92*'Plan mensual'!D155+parametros_recargas!$L$92*'Plan mensual'!D156</f>
        <v>8961.14173724451</v>
      </c>
      <c r="C150" s="23" t="n">
        <f aca="false">parametros_recargas!$E$92*'Plan mensual'!E149+parametros_recargas!$F$92*'Plan mensual'!E150+parametros_recargas!$G$92*'Plan mensual'!E151+parametros_recargas!$H$92*'Plan mensual'!E152+parametros_recargas!$I$92*'Plan mensual'!E153+parametros_recargas!$J$92*'Plan mensual'!E154+parametros_recargas!$K$92*'Plan mensual'!E155+parametros_recargas!$L$92*'Plan mensual'!E156</f>
        <v>8961.14173724451</v>
      </c>
      <c r="D150" s="23" t="n">
        <f aca="false">parametros_recargas!$E$92*'Plan mensual'!F149+parametros_recargas!$F$92*'Plan mensual'!F150+parametros_recargas!$G$92*'Plan mensual'!F151+parametros_recargas!$H$92*'Plan mensual'!F152+parametros_recargas!$I$92*'Plan mensual'!F153+parametros_recargas!$J$92*'Plan mensual'!F154+parametros_recargas!$K$92*'Plan mensual'!F155+parametros_recargas!$L$92*'Plan mensual'!F156</f>
        <v>8961.14173724451</v>
      </c>
      <c r="E150" s="23" t="n">
        <f aca="false">parametros_recargas!$E$92*'Plan mensual'!G149+parametros_recargas!$F$92*'Plan mensual'!G150+parametros_recargas!$G$92*'Plan mensual'!G151+parametros_recargas!$H$92*'Plan mensual'!G152+parametros_recargas!$I$92*'Plan mensual'!G153+parametros_recargas!$J$92*'Plan mensual'!G154+parametros_recargas!$K$92*'Plan mensual'!G155+parametros_recargas!$L$92*'Plan mensual'!G156</f>
        <v>8961.14173724451</v>
      </c>
      <c r="F150" s="23" t="n">
        <f aca="false">parametros_recargas!$E$92*'Plan mensual'!H149+parametros_recargas!$F$92*'Plan mensual'!H150+parametros_recargas!$G$92*'Plan mensual'!H151+parametros_recargas!$H$92*'Plan mensual'!H152+parametros_recargas!$I$92*'Plan mensual'!H153+parametros_recargas!$J$92*'Plan mensual'!H154+parametros_recargas!$K$92*'Plan mensual'!H155+parametros_recargas!$L$92*'Plan mensual'!H156</f>
        <v>8961.14173724451</v>
      </c>
      <c r="G150" s="23" t="n">
        <f aca="false">parametros_recargas!$E$92*'Plan mensual'!I149+parametros_recargas!$F$92*'Plan mensual'!I150+parametros_recargas!$G$92*'Plan mensual'!I151+parametros_recargas!$H$92*'Plan mensual'!I152+parametros_recargas!$I$92*'Plan mensual'!I153+parametros_recargas!$J$92*'Plan mensual'!I154+parametros_recargas!$K$92*'Plan mensual'!I155+parametros_recargas!$L$92*'Plan mensual'!I156</f>
        <v>8961.14173724451</v>
      </c>
      <c r="H150" s="23" t="n">
        <f aca="false">parametros_recargas!$E$92*'Plan mensual'!J149+parametros_recargas!$F$92*'Plan mensual'!J150+parametros_recargas!$G$92*'Plan mensual'!J151+parametros_recargas!$H$92*'Plan mensual'!J152+parametros_recargas!$I$92*'Plan mensual'!J153+parametros_recargas!$J$92*'Plan mensual'!J154+parametros_recargas!$K$92*'Plan mensual'!J155+parametros_recargas!$L$92*'Plan mensual'!J156</f>
        <v>8961.14173724451</v>
      </c>
      <c r="I150" s="23" t="n">
        <f aca="false">parametros_recargas!$E$92*'Plan mensual'!K149+parametros_recargas!$F$92*'Plan mensual'!K150+parametros_recargas!$G$92*'Plan mensual'!K151+parametros_recargas!$H$92*'Plan mensual'!K152+parametros_recargas!$I$92*'Plan mensual'!K153+parametros_recargas!$J$92*'Plan mensual'!K154+parametros_recargas!$K$92*'Plan mensual'!K155+parametros_recargas!$L$92*'Plan mensual'!K156</f>
        <v>8961.14173724451</v>
      </c>
      <c r="J150" s="23" t="n">
        <f aca="false">parametros_recargas!$E$92*'Plan mensual'!L149+parametros_recargas!$F$92*'Plan mensual'!L150+parametros_recargas!$G$92*'Plan mensual'!L151+parametros_recargas!$H$92*'Plan mensual'!L152+parametros_recargas!$I$92*'Plan mensual'!L153+parametros_recargas!$J$92*'Plan mensual'!L154+parametros_recargas!$K$92*'Plan mensual'!L155+parametros_recargas!$L$92*'Plan mensual'!L156</f>
        <v>8961.14173724451</v>
      </c>
      <c r="K150" s="23" t="n">
        <f aca="false">parametros_recargas!$E$92*'Plan mensual'!M149+parametros_recargas!$F$92*'Plan mensual'!M150+parametros_recargas!$G$92*'Plan mensual'!M151+parametros_recargas!$H$92*'Plan mensual'!M152+parametros_recargas!$I$92*'Plan mensual'!M153+parametros_recargas!$J$92*'Plan mensual'!M154+parametros_recargas!$K$92*'Plan mensual'!M155+parametros_recargas!$L$92*'Plan mensual'!M156</f>
        <v>8961.14173724451</v>
      </c>
      <c r="L150" s="23" t="n">
        <f aca="false">parametros_recargas!$E$92*'Plan mensual'!N149+parametros_recargas!$F$92*'Plan mensual'!N150+parametros_recargas!$G$92*'Plan mensual'!N151+parametros_recargas!$H$92*'Plan mensual'!N152+parametros_recargas!$I$92*'Plan mensual'!N153+parametros_recargas!$J$92*'Plan mensual'!N154+parametros_recargas!$K$92*'Plan mensual'!N155+parametros_recargas!$L$92*'Plan mensual'!N156</f>
        <v>8961.14173724451</v>
      </c>
      <c r="M150" s="23" t="n">
        <f aca="false">parametros_recargas!$E$92*'Plan mensual'!O149+parametros_recargas!$F$92*'Plan mensual'!O150+parametros_recargas!$G$92*'Plan mensual'!O151+parametros_recargas!$H$92*'Plan mensual'!O152+parametros_recargas!$I$92*'Plan mensual'!O153+parametros_recargas!$J$92*'Plan mensual'!O154+parametros_recargas!$K$92*'Plan mensual'!O155+parametros_recargas!$L$92*'Plan mensual'!O156</f>
        <v>8961.14173724451</v>
      </c>
      <c r="N150" s="7" t="n">
        <f aca="false">SUM(B150:M150)</f>
        <v>107533.700846934</v>
      </c>
      <c r="O150" s="24" t="n">
        <f aca="false">MAX(B150:M150)</f>
        <v>8961.14173724451</v>
      </c>
      <c r="P150" s="15" t="n">
        <f aca="false">O150/parametros_recargas!$B$6</f>
        <v>59.7409449149634</v>
      </c>
    </row>
    <row r="151" customFormat="false" ht="15" hidden="false" customHeight="false" outlineLevel="0" collapsed="false">
      <c r="A151" s="12" t="str">
        <f aca="false">parametros_recargas!$B$93</f>
        <v>Presurización — recinto</v>
      </c>
      <c r="B151" s="23" t="n">
        <f aca="false">parametros_recargas!$E$93*'Plan mensual'!D149+parametros_recargas!$F$93*'Plan mensual'!D150+parametros_recargas!$G$93*'Plan mensual'!D151+parametros_recargas!$H$93*'Plan mensual'!D152+parametros_recargas!$I$93*'Plan mensual'!D153+parametros_recargas!$J$93*'Plan mensual'!D154+parametros_recargas!$K$93*'Plan mensual'!D155+parametros_recargas!$L$93*'Plan mensual'!D156</f>
        <v>8961.14173724451</v>
      </c>
      <c r="C151" s="23" t="n">
        <f aca="false">parametros_recargas!$E$93*'Plan mensual'!E149+parametros_recargas!$F$93*'Plan mensual'!E150+parametros_recargas!$G$93*'Plan mensual'!E151+parametros_recargas!$H$93*'Plan mensual'!E152+parametros_recargas!$I$93*'Plan mensual'!E153+parametros_recargas!$J$93*'Plan mensual'!E154+parametros_recargas!$K$93*'Plan mensual'!E155+parametros_recargas!$L$93*'Plan mensual'!E156</f>
        <v>8961.14173724451</v>
      </c>
      <c r="D151" s="23" t="n">
        <f aca="false">parametros_recargas!$E$93*'Plan mensual'!F149+parametros_recargas!$F$93*'Plan mensual'!F150+parametros_recargas!$G$93*'Plan mensual'!F151+parametros_recargas!$H$93*'Plan mensual'!F152+parametros_recargas!$I$93*'Plan mensual'!F153+parametros_recargas!$J$93*'Plan mensual'!F154+parametros_recargas!$K$93*'Plan mensual'!F155+parametros_recargas!$L$93*'Plan mensual'!F156</f>
        <v>8961.14173724451</v>
      </c>
      <c r="E151" s="23" t="n">
        <f aca="false">parametros_recargas!$E$93*'Plan mensual'!G149+parametros_recargas!$F$93*'Plan mensual'!G150+parametros_recargas!$G$93*'Plan mensual'!G151+parametros_recargas!$H$93*'Plan mensual'!G152+parametros_recargas!$I$93*'Plan mensual'!G153+parametros_recargas!$J$93*'Plan mensual'!G154+parametros_recargas!$K$93*'Plan mensual'!G155+parametros_recargas!$L$93*'Plan mensual'!G156</f>
        <v>8961.14173724451</v>
      </c>
      <c r="F151" s="23" t="n">
        <f aca="false">parametros_recargas!$E$93*'Plan mensual'!H149+parametros_recargas!$F$93*'Plan mensual'!H150+parametros_recargas!$G$93*'Plan mensual'!H151+parametros_recargas!$H$93*'Plan mensual'!H152+parametros_recargas!$I$93*'Plan mensual'!H153+parametros_recargas!$J$93*'Plan mensual'!H154+parametros_recargas!$K$93*'Plan mensual'!H155+parametros_recargas!$L$93*'Plan mensual'!H156</f>
        <v>8961.14173724451</v>
      </c>
      <c r="G151" s="23" t="n">
        <f aca="false">parametros_recargas!$E$93*'Plan mensual'!I149+parametros_recargas!$F$93*'Plan mensual'!I150+parametros_recargas!$G$93*'Plan mensual'!I151+parametros_recargas!$H$93*'Plan mensual'!I152+parametros_recargas!$I$93*'Plan mensual'!I153+parametros_recargas!$J$93*'Plan mensual'!I154+parametros_recargas!$K$93*'Plan mensual'!I155+parametros_recargas!$L$93*'Plan mensual'!I156</f>
        <v>8961.14173724451</v>
      </c>
      <c r="H151" s="23" t="n">
        <f aca="false">parametros_recargas!$E$93*'Plan mensual'!J149+parametros_recargas!$F$93*'Plan mensual'!J150+parametros_recargas!$G$93*'Plan mensual'!J151+parametros_recargas!$H$93*'Plan mensual'!J152+parametros_recargas!$I$93*'Plan mensual'!J153+parametros_recargas!$J$93*'Plan mensual'!J154+parametros_recargas!$K$93*'Plan mensual'!J155+parametros_recargas!$L$93*'Plan mensual'!J156</f>
        <v>8961.14173724451</v>
      </c>
      <c r="I151" s="23" t="n">
        <f aca="false">parametros_recargas!$E$93*'Plan mensual'!K149+parametros_recargas!$F$93*'Plan mensual'!K150+parametros_recargas!$G$93*'Plan mensual'!K151+parametros_recargas!$H$93*'Plan mensual'!K152+parametros_recargas!$I$93*'Plan mensual'!K153+parametros_recargas!$J$93*'Plan mensual'!K154+parametros_recargas!$K$93*'Plan mensual'!K155+parametros_recargas!$L$93*'Plan mensual'!K156</f>
        <v>8961.14173724451</v>
      </c>
      <c r="J151" s="23" t="n">
        <f aca="false">parametros_recargas!$E$93*'Plan mensual'!L149+parametros_recargas!$F$93*'Plan mensual'!L150+parametros_recargas!$G$93*'Plan mensual'!L151+parametros_recargas!$H$93*'Plan mensual'!L152+parametros_recargas!$I$93*'Plan mensual'!L153+parametros_recargas!$J$93*'Plan mensual'!L154+parametros_recargas!$K$93*'Plan mensual'!L155+parametros_recargas!$L$93*'Plan mensual'!L156</f>
        <v>8961.14173724451</v>
      </c>
      <c r="K151" s="23" t="n">
        <f aca="false">parametros_recargas!$E$93*'Plan mensual'!M149+parametros_recargas!$F$93*'Plan mensual'!M150+parametros_recargas!$G$93*'Plan mensual'!M151+parametros_recargas!$H$93*'Plan mensual'!M152+parametros_recargas!$I$93*'Plan mensual'!M153+parametros_recargas!$J$93*'Plan mensual'!M154+parametros_recargas!$K$93*'Plan mensual'!M155+parametros_recargas!$L$93*'Plan mensual'!M156</f>
        <v>8961.14173724451</v>
      </c>
      <c r="L151" s="23" t="n">
        <f aca="false">parametros_recargas!$E$93*'Plan mensual'!N149+parametros_recargas!$F$93*'Plan mensual'!N150+parametros_recargas!$G$93*'Plan mensual'!N151+parametros_recargas!$H$93*'Plan mensual'!N152+parametros_recargas!$I$93*'Plan mensual'!N153+parametros_recargas!$J$93*'Plan mensual'!N154+parametros_recargas!$K$93*'Plan mensual'!N155+parametros_recargas!$L$93*'Plan mensual'!N156</f>
        <v>8961.14173724451</v>
      </c>
      <c r="M151" s="23" t="n">
        <f aca="false">parametros_recargas!$E$93*'Plan mensual'!O149+parametros_recargas!$F$93*'Plan mensual'!O150+parametros_recargas!$G$93*'Plan mensual'!O151+parametros_recargas!$H$93*'Plan mensual'!O152+parametros_recargas!$I$93*'Plan mensual'!O153+parametros_recargas!$J$93*'Plan mensual'!O154+parametros_recargas!$K$93*'Plan mensual'!O155+parametros_recargas!$L$93*'Plan mensual'!O156</f>
        <v>8961.14173724451</v>
      </c>
      <c r="N151" s="7" t="n">
        <f aca="false">SUM(B151:M151)</f>
        <v>107533.700846934</v>
      </c>
      <c r="O151" s="24" t="n">
        <f aca="false">MAX(B151:M151)</f>
        <v>8961.14173724451</v>
      </c>
      <c r="P151" s="15" t="n">
        <f aca="false">O151/parametros_recargas!$B$6</f>
        <v>59.7409449149634</v>
      </c>
    </row>
    <row r="152" customFormat="false" ht="15" hidden="false" customHeight="false" outlineLevel="0" collapsed="false">
      <c r="A152" s="12" t="str">
        <f aca="false">parametros_recargas!$B$94</f>
        <v>Ensamblaje y presurización — zona general</v>
      </c>
      <c r="B152" s="23" t="n">
        <f aca="false">parametros_recargas!$E$94*'Plan mensual'!D149+parametros_recargas!$F$94*'Plan mensual'!D150+parametros_recargas!$G$94*'Plan mensual'!D151+parametros_recargas!$H$94*'Plan mensual'!D152+parametros_recargas!$I$94*'Plan mensual'!D153+parametros_recargas!$J$94*'Plan mensual'!D154+parametros_recargas!$K$94*'Plan mensual'!D155+parametros_recargas!$L$94*'Plan mensual'!D156</f>
        <v>699.935509409069</v>
      </c>
      <c r="C152" s="23" t="n">
        <f aca="false">parametros_recargas!$E$94*'Plan mensual'!E149+parametros_recargas!$F$94*'Plan mensual'!E150+parametros_recargas!$G$94*'Plan mensual'!E151+parametros_recargas!$H$94*'Plan mensual'!E152+parametros_recargas!$I$94*'Plan mensual'!E153+parametros_recargas!$J$94*'Plan mensual'!E154+parametros_recargas!$K$94*'Plan mensual'!E155+parametros_recargas!$L$94*'Plan mensual'!E156</f>
        <v>699.935509409069</v>
      </c>
      <c r="D152" s="23" t="n">
        <f aca="false">parametros_recargas!$E$94*'Plan mensual'!F149+parametros_recargas!$F$94*'Plan mensual'!F150+parametros_recargas!$G$94*'Plan mensual'!F151+parametros_recargas!$H$94*'Plan mensual'!F152+parametros_recargas!$I$94*'Plan mensual'!F153+parametros_recargas!$J$94*'Plan mensual'!F154+parametros_recargas!$K$94*'Plan mensual'!F155+parametros_recargas!$L$94*'Plan mensual'!F156</f>
        <v>699.935509409069</v>
      </c>
      <c r="E152" s="23" t="n">
        <f aca="false">parametros_recargas!$E$94*'Plan mensual'!G149+parametros_recargas!$F$94*'Plan mensual'!G150+parametros_recargas!$G$94*'Plan mensual'!G151+parametros_recargas!$H$94*'Plan mensual'!G152+parametros_recargas!$I$94*'Plan mensual'!G153+parametros_recargas!$J$94*'Plan mensual'!G154+parametros_recargas!$K$94*'Plan mensual'!G155+parametros_recargas!$L$94*'Plan mensual'!G156</f>
        <v>699.935509409069</v>
      </c>
      <c r="F152" s="23" t="n">
        <f aca="false">parametros_recargas!$E$94*'Plan mensual'!H149+parametros_recargas!$F$94*'Plan mensual'!H150+parametros_recargas!$G$94*'Plan mensual'!H151+parametros_recargas!$H$94*'Plan mensual'!H152+parametros_recargas!$I$94*'Plan mensual'!H153+parametros_recargas!$J$94*'Plan mensual'!H154+parametros_recargas!$K$94*'Plan mensual'!H155+parametros_recargas!$L$94*'Plan mensual'!H156</f>
        <v>699.935509409069</v>
      </c>
      <c r="G152" s="23" t="n">
        <f aca="false">parametros_recargas!$E$94*'Plan mensual'!I149+parametros_recargas!$F$94*'Plan mensual'!I150+parametros_recargas!$G$94*'Plan mensual'!I151+parametros_recargas!$H$94*'Plan mensual'!I152+parametros_recargas!$I$94*'Plan mensual'!I153+parametros_recargas!$J$94*'Plan mensual'!I154+parametros_recargas!$K$94*'Plan mensual'!I155+parametros_recargas!$L$94*'Plan mensual'!I156</f>
        <v>699.935509409069</v>
      </c>
      <c r="H152" s="23" t="n">
        <f aca="false">parametros_recargas!$E$94*'Plan mensual'!J149+parametros_recargas!$F$94*'Plan mensual'!J150+parametros_recargas!$G$94*'Plan mensual'!J151+parametros_recargas!$H$94*'Plan mensual'!J152+parametros_recargas!$I$94*'Plan mensual'!J153+parametros_recargas!$J$94*'Plan mensual'!J154+parametros_recargas!$K$94*'Plan mensual'!J155+parametros_recargas!$L$94*'Plan mensual'!J156</f>
        <v>699.935509409069</v>
      </c>
      <c r="I152" s="23" t="n">
        <f aca="false">parametros_recargas!$E$94*'Plan mensual'!K149+parametros_recargas!$F$94*'Plan mensual'!K150+parametros_recargas!$G$94*'Plan mensual'!K151+parametros_recargas!$H$94*'Plan mensual'!K152+parametros_recargas!$I$94*'Plan mensual'!K153+parametros_recargas!$J$94*'Plan mensual'!K154+parametros_recargas!$K$94*'Plan mensual'!K155+parametros_recargas!$L$94*'Plan mensual'!K156</f>
        <v>699.935509409069</v>
      </c>
      <c r="J152" s="23" t="n">
        <f aca="false">parametros_recargas!$E$94*'Plan mensual'!L149+parametros_recargas!$F$94*'Plan mensual'!L150+parametros_recargas!$G$94*'Plan mensual'!L151+parametros_recargas!$H$94*'Plan mensual'!L152+parametros_recargas!$I$94*'Plan mensual'!L153+parametros_recargas!$J$94*'Plan mensual'!L154+parametros_recargas!$K$94*'Plan mensual'!L155+parametros_recargas!$L$94*'Plan mensual'!L156</f>
        <v>699.935509409069</v>
      </c>
      <c r="K152" s="23" t="n">
        <f aca="false">parametros_recargas!$E$94*'Plan mensual'!M149+parametros_recargas!$F$94*'Plan mensual'!M150+parametros_recargas!$G$94*'Plan mensual'!M151+parametros_recargas!$H$94*'Plan mensual'!M152+parametros_recargas!$I$94*'Plan mensual'!M153+parametros_recargas!$J$94*'Plan mensual'!M154+parametros_recargas!$K$94*'Plan mensual'!M155+parametros_recargas!$L$94*'Plan mensual'!M156</f>
        <v>699.935509409069</v>
      </c>
      <c r="L152" s="23" t="n">
        <f aca="false">parametros_recargas!$E$94*'Plan mensual'!N149+parametros_recargas!$F$94*'Plan mensual'!N150+parametros_recargas!$G$94*'Plan mensual'!N151+parametros_recargas!$H$94*'Plan mensual'!N152+parametros_recargas!$I$94*'Plan mensual'!N153+parametros_recargas!$J$94*'Plan mensual'!N154+parametros_recargas!$K$94*'Plan mensual'!N155+parametros_recargas!$L$94*'Plan mensual'!N156</f>
        <v>699.935509409069</v>
      </c>
      <c r="M152" s="23" t="n">
        <f aca="false">parametros_recargas!$E$94*'Plan mensual'!O149+parametros_recargas!$F$94*'Plan mensual'!O150+parametros_recargas!$G$94*'Plan mensual'!O151+parametros_recargas!$H$94*'Plan mensual'!O152+parametros_recargas!$I$94*'Plan mensual'!O153+parametros_recargas!$J$94*'Plan mensual'!O154+parametros_recargas!$K$94*'Plan mensual'!O155+parametros_recargas!$L$94*'Plan mensual'!O156</f>
        <v>699.935509409069</v>
      </c>
      <c r="N152" s="7" t="n">
        <f aca="false">SUM(B152:M152)</f>
        <v>8399.22611290883</v>
      </c>
      <c r="O152" s="24" t="n">
        <f aca="false">MAX(B152:M152)</f>
        <v>699.935509409069</v>
      </c>
      <c r="P152" s="15" t="n">
        <f aca="false">O152/parametros_recargas!$B$6</f>
        <v>4.66623672939379</v>
      </c>
    </row>
    <row r="153" customFormat="false" ht="15" hidden="false" customHeight="false" outlineLevel="0" collapsed="false">
      <c r="A153" s="12" t="str">
        <f aca="false">parametros_recargas!$B$95</f>
        <v>Carga y presurización de halogenado</v>
      </c>
      <c r="B153" s="23" t="n">
        <f aca="false">parametros_recargas!$E$95*'Plan mensual'!D149+parametros_recargas!$F$95*'Plan mensual'!D150+parametros_recargas!$G$95*'Plan mensual'!D151+parametros_recargas!$H$95*'Plan mensual'!D152+parametros_recargas!$I$95*'Plan mensual'!D153+parametros_recargas!$J$95*'Plan mensual'!D154+parametros_recargas!$K$95*'Plan mensual'!D155+parametros_recargas!$L$95*'Plan mensual'!D156</f>
        <v>8.64403482205537</v>
      </c>
      <c r="C153" s="23" t="n">
        <f aca="false">parametros_recargas!$E$95*'Plan mensual'!E149+parametros_recargas!$F$95*'Plan mensual'!E150+parametros_recargas!$G$95*'Plan mensual'!E151+parametros_recargas!$H$95*'Plan mensual'!E152+parametros_recargas!$I$95*'Plan mensual'!E153+parametros_recargas!$J$95*'Plan mensual'!E154+parametros_recargas!$K$95*'Plan mensual'!E155+parametros_recargas!$L$95*'Plan mensual'!E156</f>
        <v>8.64403482205537</v>
      </c>
      <c r="D153" s="23" t="n">
        <f aca="false">parametros_recargas!$E$95*'Plan mensual'!F149+parametros_recargas!$F$95*'Plan mensual'!F150+parametros_recargas!$G$95*'Plan mensual'!F151+parametros_recargas!$H$95*'Plan mensual'!F152+parametros_recargas!$I$95*'Plan mensual'!F153+parametros_recargas!$J$95*'Plan mensual'!F154+parametros_recargas!$K$95*'Plan mensual'!F155+parametros_recargas!$L$95*'Plan mensual'!F156</f>
        <v>8.64403482205537</v>
      </c>
      <c r="E153" s="23" t="n">
        <f aca="false">parametros_recargas!$E$95*'Plan mensual'!G149+parametros_recargas!$F$95*'Plan mensual'!G150+parametros_recargas!$G$95*'Plan mensual'!G151+parametros_recargas!$H$95*'Plan mensual'!G152+parametros_recargas!$I$95*'Plan mensual'!G153+parametros_recargas!$J$95*'Plan mensual'!G154+parametros_recargas!$K$95*'Plan mensual'!G155+parametros_recargas!$L$95*'Plan mensual'!G156</f>
        <v>8.64403482205537</v>
      </c>
      <c r="F153" s="23" t="n">
        <f aca="false">parametros_recargas!$E$95*'Plan mensual'!H149+parametros_recargas!$F$95*'Plan mensual'!H150+parametros_recargas!$G$95*'Plan mensual'!H151+parametros_recargas!$H$95*'Plan mensual'!H152+parametros_recargas!$I$95*'Plan mensual'!H153+parametros_recargas!$J$95*'Plan mensual'!H154+parametros_recargas!$K$95*'Plan mensual'!H155+parametros_recargas!$L$95*'Plan mensual'!H156</f>
        <v>8.64403482205537</v>
      </c>
      <c r="G153" s="23" t="n">
        <f aca="false">parametros_recargas!$E$95*'Plan mensual'!I149+parametros_recargas!$F$95*'Plan mensual'!I150+parametros_recargas!$G$95*'Plan mensual'!I151+parametros_recargas!$H$95*'Plan mensual'!I152+parametros_recargas!$I$95*'Plan mensual'!I153+parametros_recargas!$J$95*'Plan mensual'!I154+parametros_recargas!$K$95*'Plan mensual'!I155+parametros_recargas!$L$95*'Plan mensual'!I156</f>
        <v>8.64403482205537</v>
      </c>
      <c r="H153" s="23" t="n">
        <f aca="false">parametros_recargas!$E$95*'Plan mensual'!J149+parametros_recargas!$F$95*'Plan mensual'!J150+parametros_recargas!$G$95*'Plan mensual'!J151+parametros_recargas!$H$95*'Plan mensual'!J152+parametros_recargas!$I$95*'Plan mensual'!J153+parametros_recargas!$J$95*'Plan mensual'!J154+parametros_recargas!$K$95*'Plan mensual'!J155+parametros_recargas!$L$95*'Plan mensual'!J156</f>
        <v>8.64403482205537</v>
      </c>
      <c r="I153" s="23" t="n">
        <f aca="false">parametros_recargas!$E$95*'Plan mensual'!K149+parametros_recargas!$F$95*'Plan mensual'!K150+parametros_recargas!$G$95*'Plan mensual'!K151+parametros_recargas!$H$95*'Plan mensual'!K152+parametros_recargas!$I$95*'Plan mensual'!K153+parametros_recargas!$J$95*'Plan mensual'!K154+parametros_recargas!$K$95*'Plan mensual'!K155+parametros_recargas!$L$95*'Plan mensual'!K156</f>
        <v>8.64403482205537</v>
      </c>
      <c r="J153" s="23" t="n">
        <f aca="false">parametros_recargas!$E$95*'Plan mensual'!L149+parametros_recargas!$F$95*'Plan mensual'!L150+parametros_recargas!$G$95*'Plan mensual'!L151+parametros_recargas!$H$95*'Plan mensual'!L152+parametros_recargas!$I$95*'Plan mensual'!L153+parametros_recargas!$J$95*'Plan mensual'!L154+parametros_recargas!$K$95*'Plan mensual'!L155+parametros_recargas!$L$95*'Plan mensual'!L156</f>
        <v>8.64403482205537</v>
      </c>
      <c r="K153" s="23" t="n">
        <f aca="false">parametros_recargas!$E$95*'Plan mensual'!M149+parametros_recargas!$F$95*'Plan mensual'!M150+parametros_recargas!$G$95*'Plan mensual'!M151+parametros_recargas!$H$95*'Plan mensual'!M152+parametros_recargas!$I$95*'Plan mensual'!M153+parametros_recargas!$J$95*'Plan mensual'!M154+parametros_recargas!$K$95*'Plan mensual'!M155+parametros_recargas!$L$95*'Plan mensual'!M156</f>
        <v>8.64403482205537</v>
      </c>
      <c r="L153" s="23" t="n">
        <f aca="false">parametros_recargas!$E$95*'Plan mensual'!N149+parametros_recargas!$F$95*'Plan mensual'!N150+parametros_recargas!$G$95*'Plan mensual'!N151+parametros_recargas!$H$95*'Plan mensual'!N152+parametros_recargas!$I$95*'Plan mensual'!N153+parametros_recargas!$J$95*'Plan mensual'!N154+parametros_recargas!$K$95*'Plan mensual'!N155+parametros_recargas!$L$95*'Plan mensual'!N156</f>
        <v>8.64403482205537</v>
      </c>
      <c r="M153" s="23" t="n">
        <f aca="false">parametros_recargas!$E$95*'Plan mensual'!O149+parametros_recargas!$F$95*'Plan mensual'!O150+parametros_recargas!$G$95*'Plan mensual'!O151+parametros_recargas!$H$95*'Plan mensual'!O152+parametros_recargas!$I$95*'Plan mensual'!O153+parametros_recargas!$J$95*'Plan mensual'!O154+parametros_recargas!$K$95*'Plan mensual'!O155+parametros_recargas!$L$95*'Plan mensual'!O156</f>
        <v>8.64403482205537</v>
      </c>
      <c r="N153" s="7" t="n">
        <f aca="false">SUM(B153:M153)</f>
        <v>103.728417864664</v>
      </c>
      <c r="O153" s="24" t="n">
        <f aca="false">MAX(B153:M153)</f>
        <v>8.64403482205537</v>
      </c>
      <c r="P153" s="15" t="n">
        <f aca="false">O153/parametros_recargas!$B$6</f>
        <v>0.0576268988137025</v>
      </c>
    </row>
    <row r="154" customFormat="false" ht="15" hidden="false" customHeight="false" outlineLevel="0" collapsed="false">
      <c r="A154" s="12" t="str">
        <f aca="false">parametros_recargas!$B$96</f>
        <v>Control de peso (CO₂ y halogenados sin recarga)</v>
      </c>
      <c r="B154" s="23" t="n">
        <f aca="false">parametros_recargas!$E$96*'Plan mensual'!D149+parametros_recargas!$F$96*'Plan mensual'!D150+parametros_recargas!$G$96*'Plan mensual'!D151+parametros_recargas!$H$96*'Plan mensual'!D152+parametros_recargas!$I$96*'Plan mensual'!D153+parametros_recargas!$J$96*'Plan mensual'!D154+parametros_recargas!$K$96*'Plan mensual'!D155+parametros_recargas!$L$96*'Plan mensual'!D156</f>
        <v>633.878921001508</v>
      </c>
      <c r="C154" s="23" t="n">
        <f aca="false">parametros_recargas!$E$96*'Plan mensual'!E149+parametros_recargas!$F$96*'Plan mensual'!E150+parametros_recargas!$G$96*'Plan mensual'!E151+parametros_recargas!$H$96*'Plan mensual'!E152+parametros_recargas!$I$96*'Plan mensual'!E153+parametros_recargas!$J$96*'Plan mensual'!E154+parametros_recargas!$K$96*'Plan mensual'!E155+parametros_recargas!$L$96*'Plan mensual'!E156</f>
        <v>633.878921001508</v>
      </c>
      <c r="D154" s="23" t="n">
        <f aca="false">parametros_recargas!$E$96*'Plan mensual'!F149+parametros_recargas!$F$96*'Plan mensual'!F150+parametros_recargas!$G$96*'Plan mensual'!F151+parametros_recargas!$H$96*'Plan mensual'!F152+parametros_recargas!$I$96*'Plan mensual'!F153+parametros_recargas!$J$96*'Plan mensual'!F154+parametros_recargas!$K$96*'Plan mensual'!F155+parametros_recargas!$L$96*'Plan mensual'!F156</f>
        <v>633.878921001508</v>
      </c>
      <c r="E154" s="23" t="n">
        <f aca="false">parametros_recargas!$E$96*'Plan mensual'!G149+parametros_recargas!$F$96*'Plan mensual'!G150+parametros_recargas!$G$96*'Plan mensual'!G151+parametros_recargas!$H$96*'Plan mensual'!G152+parametros_recargas!$I$96*'Plan mensual'!G153+parametros_recargas!$J$96*'Plan mensual'!G154+parametros_recargas!$K$96*'Plan mensual'!G155+parametros_recargas!$L$96*'Plan mensual'!G156</f>
        <v>633.878921001508</v>
      </c>
      <c r="F154" s="23" t="n">
        <f aca="false">parametros_recargas!$E$96*'Plan mensual'!H149+parametros_recargas!$F$96*'Plan mensual'!H150+parametros_recargas!$G$96*'Plan mensual'!H151+parametros_recargas!$H$96*'Plan mensual'!H152+parametros_recargas!$I$96*'Plan mensual'!H153+parametros_recargas!$J$96*'Plan mensual'!H154+parametros_recargas!$K$96*'Plan mensual'!H155+parametros_recargas!$L$96*'Plan mensual'!H156</f>
        <v>633.878921001508</v>
      </c>
      <c r="G154" s="23" t="n">
        <f aca="false">parametros_recargas!$E$96*'Plan mensual'!I149+parametros_recargas!$F$96*'Plan mensual'!I150+parametros_recargas!$G$96*'Plan mensual'!I151+parametros_recargas!$H$96*'Plan mensual'!I152+parametros_recargas!$I$96*'Plan mensual'!I153+parametros_recargas!$J$96*'Plan mensual'!I154+parametros_recargas!$K$96*'Plan mensual'!I155+parametros_recargas!$L$96*'Plan mensual'!I156</f>
        <v>633.878921001508</v>
      </c>
      <c r="H154" s="23" t="n">
        <f aca="false">parametros_recargas!$E$96*'Plan mensual'!J149+parametros_recargas!$F$96*'Plan mensual'!J150+parametros_recargas!$G$96*'Plan mensual'!J151+parametros_recargas!$H$96*'Plan mensual'!J152+parametros_recargas!$I$96*'Plan mensual'!J153+parametros_recargas!$J$96*'Plan mensual'!J154+parametros_recargas!$K$96*'Plan mensual'!J155+parametros_recargas!$L$96*'Plan mensual'!J156</f>
        <v>633.878921001508</v>
      </c>
      <c r="I154" s="23" t="n">
        <f aca="false">parametros_recargas!$E$96*'Plan mensual'!K149+parametros_recargas!$F$96*'Plan mensual'!K150+parametros_recargas!$G$96*'Plan mensual'!K151+parametros_recargas!$H$96*'Plan mensual'!K152+parametros_recargas!$I$96*'Plan mensual'!K153+parametros_recargas!$J$96*'Plan mensual'!K154+parametros_recargas!$K$96*'Plan mensual'!K155+parametros_recargas!$L$96*'Plan mensual'!K156</f>
        <v>633.878921001508</v>
      </c>
      <c r="J154" s="23" t="n">
        <f aca="false">parametros_recargas!$E$96*'Plan mensual'!L149+parametros_recargas!$F$96*'Plan mensual'!L150+parametros_recargas!$G$96*'Plan mensual'!L151+parametros_recargas!$H$96*'Plan mensual'!L152+parametros_recargas!$I$96*'Plan mensual'!L153+parametros_recargas!$J$96*'Plan mensual'!L154+parametros_recargas!$K$96*'Plan mensual'!L155+parametros_recargas!$L$96*'Plan mensual'!L156</f>
        <v>633.878921001508</v>
      </c>
      <c r="K154" s="23" t="n">
        <f aca="false">parametros_recargas!$E$96*'Plan mensual'!M149+parametros_recargas!$F$96*'Plan mensual'!M150+parametros_recargas!$G$96*'Plan mensual'!M151+parametros_recargas!$H$96*'Plan mensual'!M152+parametros_recargas!$I$96*'Plan mensual'!M153+parametros_recargas!$J$96*'Plan mensual'!M154+parametros_recargas!$K$96*'Plan mensual'!M155+parametros_recargas!$L$96*'Plan mensual'!M156</f>
        <v>633.878921001508</v>
      </c>
      <c r="L154" s="23" t="n">
        <f aca="false">parametros_recargas!$E$96*'Plan mensual'!N149+parametros_recargas!$F$96*'Plan mensual'!N150+parametros_recargas!$G$96*'Plan mensual'!N151+parametros_recargas!$H$96*'Plan mensual'!N152+parametros_recargas!$I$96*'Plan mensual'!N153+parametros_recargas!$J$96*'Plan mensual'!N154+parametros_recargas!$K$96*'Plan mensual'!N155+parametros_recargas!$L$96*'Plan mensual'!N156</f>
        <v>633.878921001508</v>
      </c>
      <c r="M154" s="23" t="n">
        <f aca="false">parametros_recargas!$E$96*'Plan mensual'!O149+parametros_recargas!$F$96*'Plan mensual'!O150+parametros_recargas!$G$96*'Plan mensual'!O151+parametros_recargas!$H$96*'Plan mensual'!O152+parametros_recargas!$I$96*'Plan mensual'!O153+parametros_recargas!$J$96*'Plan mensual'!O154+parametros_recargas!$K$96*'Plan mensual'!O155+parametros_recargas!$L$96*'Plan mensual'!O156</f>
        <v>633.878921001508</v>
      </c>
      <c r="N154" s="7" t="n">
        <f aca="false">SUM(B154:M154)</f>
        <v>7606.5470520181</v>
      </c>
      <c r="O154" s="24" t="n">
        <f aca="false">MAX(B154:M154)</f>
        <v>633.878921001508</v>
      </c>
      <c r="P154" s="15" t="n">
        <f aca="false">O154/parametros_recargas!$B$6</f>
        <v>4.22585947334339</v>
      </c>
    </row>
    <row r="155" customFormat="false" ht="15" hidden="false" customHeight="false" outlineLevel="0" collapsed="false">
      <c r="A155" s="12" t="str">
        <f aca="false">parametros_recargas!$B$97</f>
        <v>Ensayo de pérdidas</v>
      </c>
      <c r="B155" s="23" t="n">
        <f aca="false">parametros_recargas!$E$97*'Plan mensual'!D149+parametros_recargas!$F$97*'Plan mensual'!D150+parametros_recargas!$G$97*'Plan mensual'!D151+parametros_recargas!$H$97*'Plan mensual'!D152+parametros_recargas!$I$97*'Plan mensual'!D153+parametros_recargas!$J$97*'Plan mensual'!D154+parametros_recargas!$K$97*'Plan mensual'!D155+parametros_recargas!$L$97*'Plan mensual'!D156</f>
        <v>10338.3809402647</v>
      </c>
      <c r="C155" s="23" t="n">
        <f aca="false">parametros_recargas!$E$97*'Plan mensual'!E149+parametros_recargas!$F$97*'Plan mensual'!E150+parametros_recargas!$G$97*'Plan mensual'!E151+parametros_recargas!$H$97*'Plan mensual'!E152+parametros_recargas!$I$97*'Plan mensual'!E153+parametros_recargas!$J$97*'Plan mensual'!E154+parametros_recargas!$K$97*'Plan mensual'!E155+parametros_recargas!$L$97*'Plan mensual'!E156</f>
        <v>10338.3809402647</v>
      </c>
      <c r="D155" s="23" t="n">
        <f aca="false">parametros_recargas!$E$97*'Plan mensual'!F149+parametros_recargas!$F$97*'Plan mensual'!F150+parametros_recargas!$G$97*'Plan mensual'!F151+parametros_recargas!$H$97*'Plan mensual'!F152+parametros_recargas!$I$97*'Plan mensual'!F153+parametros_recargas!$J$97*'Plan mensual'!F154+parametros_recargas!$K$97*'Plan mensual'!F155+parametros_recargas!$L$97*'Plan mensual'!F156</f>
        <v>10338.3809402647</v>
      </c>
      <c r="E155" s="23" t="n">
        <f aca="false">parametros_recargas!$E$97*'Plan mensual'!G149+parametros_recargas!$F$97*'Plan mensual'!G150+parametros_recargas!$G$97*'Plan mensual'!G151+parametros_recargas!$H$97*'Plan mensual'!G152+parametros_recargas!$I$97*'Plan mensual'!G153+parametros_recargas!$J$97*'Plan mensual'!G154+parametros_recargas!$K$97*'Plan mensual'!G155+parametros_recargas!$L$97*'Plan mensual'!G156</f>
        <v>10338.3809402647</v>
      </c>
      <c r="F155" s="23" t="n">
        <f aca="false">parametros_recargas!$E$97*'Plan mensual'!H149+parametros_recargas!$F$97*'Plan mensual'!H150+parametros_recargas!$G$97*'Plan mensual'!H151+parametros_recargas!$H$97*'Plan mensual'!H152+parametros_recargas!$I$97*'Plan mensual'!H153+parametros_recargas!$J$97*'Plan mensual'!H154+parametros_recargas!$K$97*'Plan mensual'!H155+parametros_recargas!$L$97*'Plan mensual'!H156</f>
        <v>10338.3809402647</v>
      </c>
      <c r="G155" s="23" t="n">
        <f aca="false">parametros_recargas!$E$97*'Plan mensual'!I149+parametros_recargas!$F$97*'Plan mensual'!I150+parametros_recargas!$G$97*'Plan mensual'!I151+parametros_recargas!$H$97*'Plan mensual'!I152+parametros_recargas!$I$97*'Plan mensual'!I153+parametros_recargas!$J$97*'Plan mensual'!I154+parametros_recargas!$K$97*'Plan mensual'!I155+parametros_recargas!$L$97*'Plan mensual'!I156</f>
        <v>10338.3809402647</v>
      </c>
      <c r="H155" s="23" t="n">
        <f aca="false">parametros_recargas!$E$97*'Plan mensual'!J149+parametros_recargas!$F$97*'Plan mensual'!J150+parametros_recargas!$G$97*'Plan mensual'!J151+parametros_recargas!$H$97*'Plan mensual'!J152+parametros_recargas!$I$97*'Plan mensual'!J153+parametros_recargas!$J$97*'Plan mensual'!J154+parametros_recargas!$K$97*'Plan mensual'!J155+parametros_recargas!$L$97*'Plan mensual'!J156</f>
        <v>10338.3809402647</v>
      </c>
      <c r="I155" s="23" t="n">
        <f aca="false">parametros_recargas!$E$97*'Plan mensual'!K149+parametros_recargas!$F$97*'Plan mensual'!K150+parametros_recargas!$G$97*'Plan mensual'!K151+parametros_recargas!$H$97*'Plan mensual'!K152+parametros_recargas!$I$97*'Plan mensual'!K153+parametros_recargas!$J$97*'Plan mensual'!K154+parametros_recargas!$K$97*'Plan mensual'!K155+parametros_recargas!$L$97*'Plan mensual'!K156</f>
        <v>10338.3809402647</v>
      </c>
      <c r="J155" s="23" t="n">
        <f aca="false">parametros_recargas!$E$97*'Plan mensual'!L149+parametros_recargas!$F$97*'Plan mensual'!L150+parametros_recargas!$G$97*'Plan mensual'!L151+parametros_recargas!$H$97*'Plan mensual'!L152+parametros_recargas!$I$97*'Plan mensual'!L153+parametros_recargas!$J$97*'Plan mensual'!L154+parametros_recargas!$K$97*'Plan mensual'!L155+parametros_recargas!$L$97*'Plan mensual'!L156</f>
        <v>10338.3809402647</v>
      </c>
      <c r="K155" s="23" t="n">
        <f aca="false">parametros_recargas!$E$97*'Plan mensual'!M149+parametros_recargas!$F$97*'Plan mensual'!M150+parametros_recargas!$G$97*'Plan mensual'!M151+parametros_recargas!$H$97*'Plan mensual'!M152+parametros_recargas!$I$97*'Plan mensual'!M153+parametros_recargas!$J$97*'Plan mensual'!M154+parametros_recargas!$K$97*'Plan mensual'!M155+parametros_recargas!$L$97*'Plan mensual'!M156</f>
        <v>10338.3809402647</v>
      </c>
      <c r="L155" s="23" t="n">
        <f aca="false">parametros_recargas!$E$97*'Plan mensual'!N149+parametros_recargas!$F$97*'Plan mensual'!N150+parametros_recargas!$G$97*'Plan mensual'!N151+parametros_recargas!$H$97*'Plan mensual'!N152+parametros_recargas!$I$97*'Plan mensual'!N153+parametros_recargas!$J$97*'Plan mensual'!N154+parametros_recargas!$K$97*'Plan mensual'!N155+parametros_recargas!$L$97*'Plan mensual'!N156</f>
        <v>10338.3809402647</v>
      </c>
      <c r="M155" s="23" t="n">
        <f aca="false">parametros_recargas!$E$97*'Plan mensual'!O149+parametros_recargas!$F$97*'Plan mensual'!O150+parametros_recargas!$G$97*'Plan mensual'!O151+parametros_recargas!$H$97*'Plan mensual'!O152+parametros_recargas!$I$97*'Plan mensual'!O153+parametros_recargas!$J$97*'Plan mensual'!O154+parametros_recargas!$K$97*'Plan mensual'!O155+parametros_recargas!$L$97*'Plan mensual'!O156</f>
        <v>10338.3809402647</v>
      </c>
      <c r="N155" s="7" t="n">
        <f aca="false">SUM(B155:M155)</f>
        <v>124060.571283177</v>
      </c>
      <c r="O155" s="24" t="n">
        <f aca="false">MAX(B155:M155)</f>
        <v>10338.3809402647</v>
      </c>
      <c r="P155" s="15" t="n">
        <f aca="false">O155/parametros_recargas!$B$6</f>
        <v>68.922539601765</v>
      </c>
    </row>
    <row r="156" customFormat="false" ht="15" hidden="false" customHeight="false" outlineLevel="0" collapsed="false">
      <c r="A156" s="12" t="str">
        <f aca="false">parametros_recargas!$B$98</f>
        <v>Precinto, etiqueta y despacho</v>
      </c>
      <c r="B156" s="23" t="n">
        <f aca="false">parametros_recargas!$E$98*'Plan mensual'!D149+parametros_recargas!$F$98*'Plan mensual'!D150+parametros_recargas!$G$98*'Plan mensual'!D151+parametros_recargas!$H$98*'Plan mensual'!D152+parametros_recargas!$I$98*'Plan mensual'!D153+parametros_recargas!$J$98*'Plan mensual'!D154+parametros_recargas!$K$98*'Plan mensual'!D155+parametros_recargas!$L$98*'Plan mensual'!D156</f>
        <v>10338.3809402647</v>
      </c>
      <c r="C156" s="23" t="n">
        <f aca="false">parametros_recargas!$E$98*'Plan mensual'!E149+parametros_recargas!$F$98*'Plan mensual'!E150+parametros_recargas!$G$98*'Plan mensual'!E151+parametros_recargas!$H$98*'Plan mensual'!E152+parametros_recargas!$I$98*'Plan mensual'!E153+parametros_recargas!$J$98*'Plan mensual'!E154+parametros_recargas!$K$98*'Plan mensual'!E155+parametros_recargas!$L$98*'Plan mensual'!E156</f>
        <v>10338.3809402647</v>
      </c>
      <c r="D156" s="23" t="n">
        <f aca="false">parametros_recargas!$E$98*'Plan mensual'!F149+parametros_recargas!$F$98*'Plan mensual'!F150+parametros_recargas!$G$98*'Plan mensual'!F151+parametros_recargas!$H$98*'Plan mensual'!F152+parametros_recargas!$I$98*'Plan mensual'!F153+parametros_recargas!$J$98*'Plan mensual'!F154+parametros_recargas!$K$98*'Plan mensual'!F155+parametros_recargas!$L$98*'Plan mensual'!F156</f>
        <v>10338.3809402647</v>
      </c>
      <c r="E156" s="23" t="n">
        <f aca="false">parametros_recargas!$E$98*'Plan mensual'!G149+parametros_recargas!$F$98*'Plan mensual'!G150+parametros_recargas!$G$98*'Plan mensual'!G151+parametros_recargas!$H$98*'Plan mensual'!G152+parametros_recargas!$I$98*'Plan mensual'!G153+parametros_recargas!$J$98*'Plan mensual'!G154+parametros_recargas!$K$98*'Plan mensual'!G155+parametros_recargas!$L$98*'Plan mensual'!G156</f>
        <v>10338.3809402647</v>
      </c>
      <c r="F156" s="23" t="n">
        <f aca="false">parametros_recargas!$E$98*'Plan mensual'!H149+parametros_recargas!$F$98*'Plan mensual'!H150+parametros_recargas!$G$98*'Plan mensual'!H151+parametros_recargas!$H$98*'Plan mensual'!H152+parametros_recargas!$I$98*'Plan mensual'!H153+parametros_recargas!$J$98*'Plan mensual'!H154+parametros_recargas!$K$98*'Plan mensual'!H155+parametros_recargas!$L$98*'Plan mensual'!H156</f>
        <v>10338.3809402647</v>
      </c>
      <c r="G156" s="23" t="n">
        <f aca="false">parametros_recargas!$E$98*'Plan mensual'!I149+parametros_recargas!$F$98*'Plan mensual'!I150+parametros_recargas!$G$98*'Plan mensual'!I151+parametros_recargas!$H$98*'Plan mensual'!I152+parametros_recargas!$I$98*'Plan mensual'!I153+parametros_recargas!$J$98*'Plan mensual'!I154+parametros_recargas!$K$98*'Plan mensual'!I155+parametros_recargas!$L$98*'Plan mensual'!I156</f>
        <v>10338.3809402647</v>
      </c>
      <c r="H156" s="23" t="n">
        <f aca="false">parametros_recargas!$E$98*'Plan mensual'!J149+parametros_recargas!$F$98*'Plan mensual'!J150+parametros_recargas!$G$98*'Plan mensual'!J151+parametros_recargas!$H$98*'Plan mensual'!J152+parametros_recargas!$I$98*'Plan mensual'!J153+parametros_recargas!$J$98*'Plan mensual'!J154+parametros_recargas!$K$98*'Plan mensual'!J155+parametros_recargas!$L$98*'Plan mensual'!J156</f>
        <v>10338.3809402647</v>
      </c>
      <c r="I156" s="23" t="n">
        <f aca="false">parametros_recargas!$E$98*'Plan mensual'!K149+parametros_recargas!$F$98*'Plan mensual'!K150+parametros_recargas!$G$98*'Plan mensual'!K151+parametros_recargas!$H$98*'Plan mensual'!K152+parametros_recargas!$I$98*'Plan mensual'!K153+parametros_recargas!$J$98*'Plan mensual'!K154+parametros_recargas!$K$98*'Plan mensual'!K155+parametros_recargas!$L$98*'Plan mensual'!K156</f>
        <v>10338.3809402647</v>
      </c>
      <c r="J156" s="23" t="n">
        <f aca="false">parametros_recargas!$E$98*'Plan mensual'!L149+parametros_recargas!$F$98*'Plan mensual'!L150+parametros_recargas!$G$98*'Plan mensual'!L151+parametros_recargas!$H$98*'Plan mensual'!L152+parametros_recargas!$I$98*'Plan mensual'!L153+parametros_recargas!$J$98*'Plan mensual'!L154+parametros_recargas!$K$98*'Plan mensual'!L155+parametros_recargas!$L$98*'Plan mensual'!L156</f>
        <v>10338.3809402647</v>
      </c>
      <c r="K156" s="23" t="n">
        <f aca="false">parametros_recargas!$E$98*'Plan mensual'!M149+parametros_recargas!$F$98*'Plan mensual'!M150+parametros_recargas!$G$98*'Plan mensual'!M151+parametros_recargas!$H$98*'Plan mensual'!M152+parametros_recargas!$I$98*'Plan mensual'!M153+parametros_recargas!$J$98*'Plan mensual'!M154+parametros_recargas!$K$98*'Plan mensual'!M155+parametros_recargas!$L$98*'Plan mensual'!M156</f>
        <v>10338.3809402647</v>
      </c>
      <c r="L156" s="23" t="n">
        <f aca="false">parametros_recargas!$E$98*'Plan mensual'!N149+parametros_recargas!$F$98*'Plan mensual'!N150+parametros_recargas!$G$98*'Plan mensual'!N151+parametros_recargas!$H$98*'Plan mensual'!N152+parametros_recargas!$I$98*'Plan mensual'!N153+parametros_recargas!$J$98*'Plan mensual'!N154+parametros_recargas!$K$98*'Plan mensual'!N155+parametros_recargas!$L$98*'Plan mensual'!N156</f>
        <v>10338.3809402647</v>
      </c>
      <c r="M156" s="23" t="n">
        <f aca="false">parametros_recargas!$E$98*'Plan mensual'!O149+parametros_recargas!$F$98*'Plan mensual'!O150+parametros_recargas!$G$98*'Plan mensual'!O151+parametros_recargas!$H$98*'Plan mensual'!O152+parametros_recargas!$I$98*'Plan mensual'!O153+parametros_recargas!$J$98*'Plan mensual'!O154+parametros_recargas!$K$98*'Plan mensual'!O155+parametros_recargas!$L$98*'Plan mensual'!O156</f>
        <v>10338.3809402647</v>
      </c>
      <c r="N156" s="7" t="n">
        <f aca="false">SUM(B156:M156)</f>
        <v>124060.571283177</v>
      </c>
      <c r="O156" s="24" t="n">
        <f aca="false">MAX(B156:M156)</f>
        <v>10338.3809402647</v>
      </c>
      <c r="P156" s="15" t="n">
        <f aca="false">O156/parametros_recargas!$B$6</f>
        <v>68.922539601765</v>
      </c>
    </row>
    <row r="157" customFormat="false" ht="15" hidden="false" customHeight="false" outlineLevel="0" collapsed="false">
      <c r="A157" s="12" t="str">
        <f aca="false">parametros_recargas!$B$99</f>
        <v>Inutilización y disposición final</v>
      </c>
      <c r="B157" s="23" t="n">
        <f aca="false">parametros_recargas!$E$99*'Plan mensual'!D149+parametros_recargas!$F$99*'Plan mensual'!D150+parametros_recargas!$G$99*'Plan mensual'!D151+parametros_recargas!$H$99*'Plan mensual'!D152+parametros_recargas!$I$99*'Plan mensual'!D153+parametros_recargas!$J$99*'Plan mensual'!D154+parametros_recargas!$K$99*'Plan mensual'!D155+parametros_recargas!$L$99*'Plan mensual'!D156</f>
        <v>812.595551017958</v>
      </c>
      <c r="C157" s="23" t="n">
        <f aca="false">parametros_recargas!$E$99*'Plan mensual'!E149+parametros_recargas!$F$99*'Plan mensual'!E150+parametros_recargas!$G$99*'Plan mensual'!E151+parametros_recargas!$H$99*'Plan mensual'!E152+parametros_recargas!$I$99*'Plan mensual'!E153+parametros_recargas!$J$99*'Plan mensual'!E154+parametros_recargas!$K$99*'Plan mensual'!E155+parametros_recargas!$L$99*'Plan mensual'!E156</f>
        <v>812.595551017958</v>
      </c>
      <c r="D157" s="23" t="n">
        <f aca="false">parametros_recargas!$E$99*'Plan mensual'!F149+parametros_recargas!$F$99*'Plan mensual'!F150+parametros_recargas!$G$99*'Plan mensual'!F151+parametros_recargas!$H$99*'Plan mensual'!F152+parametros_recargas!$I$99*'Plan mensual'!F153+parametros_recargas!$J$99*'Plan mensual'!F154+parametros_recargas!$K$99*'Plan mensual'!F155+parametros_recargas!$L$99*'Plan mensual'!F156</f>
        <v>812.595551017958</v>
      </c>
      <c r="E157" s="23" t="n">
        <f aca="false">parametros_recargas!$E$99*'Plan mensual'!G149+parametros_recargas!$F$99*'Plan mensual'!G150+parametros_recargas!$G$99*'Plan mensual'!G151+parametros_recargas!$H$99*'Plan mensual'!G152+parametros_recargas!$I$99*'Plan mensual'!G153+parametros_recargas!$J$99*'Plan mensual'!G154+parametros_recargas!$K$99*'Plan mensual'!G155+parametros_recargas!$L$99*'Plan mensual'!G156</f>
        <v>812.595551017958</v>
      </c>
      <c r="F157" s="23" t="n">
        <f aca="false">parametros_recargas!$E$99*'Plan mensual'!H149+parametros_recargas!$F$99*'Plan mensual'!H150+parametros_recargas!$G$99*'Plan mensual'!H151+parametros_recargas!$H$99*'Plan mensual'!H152+parametros_recargas!$I$99*'Plan mensual'!H153+parametros_recargas!$J$99*'Plan mensual'!H154+parametros_recargas!$K$99*'Plan mensual'!H155+parametros_recargas!$L$99*'Plan mensual'!H156</f>
        <v>812.595551017958</v>
      </c>
      <c r="G157" s="23" t="n">
        <f aca="false">parametros_recargas!$E$99*'Plan mensual'!I149+parametros_recargas!$F$99*'Plan mensual'!I150+parametros_recargas!$G$99*'Plan mensual'!I151+parametros_recargas!$H$99*'Plan mensual'!I152+parametros_recargas!$I$99*'Plan mensual'!I153+parametros_recargas!$J$99*'Plan mensual'!I154+parametros_recargas!$K$99*'Plan mensual'!I155+parametros_recargas!$L$99*'Plan mensual'!I156</f>
        <v>812.595551017958</v>
      </c>
      <c r="H157" s="23" t="n">
        <f aca="false">parametros_recargas!$E$99*'Plan mensual'!J149+parametros_recargas!$F$99*'Plan mensual'!J150+parametros_recargas!$G$99*'Plan mensual'!J151+parametros_recargas!$H$99*'Plan mensual'!J152+parametros_recargas!$I$99*'Plan mensual'!J153+parametros_recargas!$J$99*'Plan mensual'!J154+parametros_recargas!$K$99*'Plan mensual'!J155+parametros_recargas!$L$99*'Plan mensual'!J156</f>
        <v>812.595551017958</v>
      </c>
      <c r="I157" s="23" t="n">
        <f aca="false">parametros_recargas!$E$99*'Plan mensual'!K149+parametros_recargas!$F$99*'Plan mensual'!K150+parametros_recargas!$G$99*'Plan mensual'!K151+parametros_recargas!$H$99*'Plan mensual'!K152+parametros_recargas!$I$99*'Plan mensual'!K153+parametros_recargas!$J$99*'Plan mensual'!K154+parametros_recargas!$K$99*'Plan mensual'!K155+parametros_recargas!$L$99*'Plan mensual'!K156</f>
        <v>812.595551017958</v>
      </c>
      <c r="J157" s="23" t="n">
        <f aca="false">parametros_recargas!$E$99*'Plan mensual'!L149+parametros_recargas!$F$99*'Plan mensual'!L150+parametros_recargas!$G$99*'Plan mensual'!L151+parametros_recargas!$H$99*'Plan mensual'!L152+parametros_recargas!$I$99*'Plan mensual'!L153+parametros_recargas!$J$99*'Plan mensual'!L154+parametros_recargas!$K$99*'Plan mensual'!L155+parametros_recargas!$L$99*'Plan mensual'!L156</f>
        <v>812.595551017958</v>
      </c>
      <c r="K157" s="23" t="n">
        <f aca="false">parametros_recargas!$E$99*'Plan mensual'!M149+parametros_recargas!$F$99*'Plan mensual'!M150+parametros_recargas!$G$99*'Plan mensual'!M151+parametros_recargas!$H$99*'Plan mensual'!M152+parametros_recargas!$I$99*'Plan mensual'!M153+parametros_recargas!$J$99*'Plan mensual'!M154+parametros_recargas!$K$99*'Plan mensual'!M155+parametros_recargas!$L$99*'Plan mensual'!M156</f>
        <v>812.595551017958</v>
      </c>
      <c r="L157" s="23" t="n">
        <f aca="false">parametros_recargas!$E$99*'Plan mensual'!N149+parametros_recargas!$F$99*'Plan mensual'!N150+parametros_recargas!$G$99*'Plan mensual'!N151+parametros_recargas!$H$99*'Plan mensual'!N152+parametros_recargas!$I$99*'Plan mensual'!N153+parametros_recargas!$J$99*'Plan mensual'!N154+parametros_recargas!$K$99*'Plan mensual'!N155+parametros_recargas!$L$99*'Plan mensual'!N156</f>
        <v>812.595551017958</v>
      </c>
      <c r="M157" s="23" t="n">
        <f aca="false">parametros_recargas!$E$99*'Plan mensual'!O149+parametros_recargas!$F$99*'Plan mensual'!O150+parametros_recargas!$G$99*'Plan mensual'!O151+parametros_recargas!$H$99*'Plan mensual'!O152+parametros_recargas!$I$99*'Plan mensual'!O153+parametros_recargas!$J$99*'Plan mensual'!O154+parametros_recargas!$K$99*'Plan mensual'!O155+parametros_recargas!$L$99*'Plan mensual'!O156</f>
        <v>812.595551017958</v>
      </c>
      <c r="N157" s="7" t="n">
        <f aca="false">SUM(B157:M157)</f>
        <v>9751.14661221549</v>
      </c>
      <c r="O157" s="24" t="n">
        <f aca="false">MAX(B157:M157)</f>
        <v>812.595551017958</v>
      </c>
      <c r="P157" s="15" t="n">
        <f aca="false">O157/parametros_recargas!$B$6</f>
        <v>5.41730367345305</v>
      </c>
    </row>
    <row r="158" customFormat="false" ht="15" hidden="false" customHeight="false" outlineLevel="0" collapsed="false">
      <c r="A158" s="12" t="str">
        <f aca="false">parametros_recargas!$B$100</f>
        <v>PH de mangueras (CO₂ y rodantes)</v>
      </c>
      <c r="B158" s="23" t="n">
        <f aca="false">'Plan mensual'!D157</f>
        <v>362.305073236771</v>
      </c>
      <c r="C158" s="23" t="n">
        <f aca="false">'Plan mensual'!E157</f>
        <v>362.305073236771</v>
      </c>
      <c r="D158" s="23" t="n">
        <f aca="false">'Plan mensual'!F157</f>
        <v>362.305073236771</v>
      </c>
      <c r="E158" s="23" t="n">
        <f aca="false">'Plan mensual'!G157</f>
        <v>362.305073236771</v>
      </c>
      <c r="F158" s="23" t="n">
        <f aca="false">'Plan mensual'!H157</f>
        <v>362.305073236771</v>
      </c>
      <c r="G158" s="23" t="n">
        <f aca="false">'Plan mensual'!I157</f>
        <v>362.305073236771</v>
      </c>
      <c r="H158" s="23" t="n">
        <f aca="false">'Plan mensual'!J157</f>
        <v>362.305073236771</v>
      </c>
      <c r="I158" s="23" t="n">
        <f aca="false">'Plan mensual'!K157</f>
        <v>362.305073236771</v>
      </c>
      <c r="J158" s="23" t="n">
        <f aca="false">'Plan mensual'!L157</f>
        <v>362.305073236771</v>
      </c>
      <c r="K158" s="23" t="n">
        <f aca="false">'Plan mensual'!M157</f>
        <v>362.305073236771</v>
      </c>
      <c r="L158" s="23" t="n">
        <f aca="false">'Plan mensual'!N157</f>
        <v>362.305073236771</v>
      </c>
      <c r="M158" s="23" t="n">
        <f aca="false">'Plan mensual'!O157</f>
        <v>362.305073236771</v>
      </c>
      <c r="N158" s="7" t="n">
        <f aca="false">SUM(B158:M158)</f>
        <v>4347.66087884125</v>
      </c>
      <c r="O158" s="24" t="n">
        <f aca="false">MAX(B158:M158)</f>
        <v>362.305073236771</v>
      </c>
      <c r="P158" s="15" t="n">
        <f aca="false">O158/parametros_recargas!$B$6</f>
        <v>2.41536715491181</v>
      </c>
    </row>
    <row r="161" customFormat="false" ht="23.85" hidden="false" customHeight="false" outlineLevel="0" collapsed="false">
      <c r="A161" s="3" t="s">
        <v>280</v>
      </c>
      <c r="B161" s="3" t="s">
        <v>120</v>
      </c>
      <c r="C161" s="3" t="s">
        <v>121</v>
      </c>
      <c r="D161" s="3" t="s">
        <v>122</v>
      </c>
      <c r="E161" s="3" t="s">
        <v>123</v>
      </c>
      <c r="F161" s="3" t="s">
        <v>124</v>
      </c>
      <c r="G161" s="3" t="s">
        <v>125</v>
      </c>
      <c r="H161" s="3" t="s">
        <v>126</v>
      </c>
      <c r="I161" s="3" t="s">
        <v>127</v>
      </c>
      <c r="J161" s="3" t="s">
        <v>128</v>
      </c>
      <c r="K161" s="3" t="s">
        <v>129</v>
      </c>
      <c r="L161" s="3" t="s">
        <v>130</v>
      </c>
      <c r="M161" s="3" t="s">
        <v>131</v>
      </c>
      <c r="N161" s="3" t="s">
        <v>273</v>
      </c>
      <c r="O161" s="3" t="s">
        <v>274</v>
      </c>
      <c r="P161" s="3" t="s">
        <v>275</v>
      </c>
    </row>
    <row r="162" customFormat="false" ht="15" hidden="false" customHeight="false" outlineLevel="0" collapsed="false">
      <c r="A162" s="12" t="str">
        <f aca="false">parametros_recargas!$B$72</f>
        <v>Recepción y registro</v>
      </c>
      <c r="B162" s="23" t="n">
        <f aca="false">parametros_recargas!$E$72*'Plan mensual'!D181+parametros_recargas!$F$72*'Plan mensual'!D182+parametros_recargas!$G$72*'Plan mensual'!D183+parametros_recargas!$H$72*'Plan mensual'!D184+parametros_recargas!$I$72*'Plan mensual'!D185+parametros_recargas!$J$72*'Plan mensual'!D186+parametros_recargas!$K$72*'Plan mensual'!D187+parametros_recargas!$L$72*'Plan mensual'!D188</f>
        <v>14343.4106309452</v>
      </c>
      <c r="C162" s="23" t="n">
        <f aca="false">parametros_recargas!$E$72*'Plan mensual'!E181+parametros_recargas!$F$72*'Plan mensual'!E182+parametros_recargas!$G$72*'Plan mensual'!E183+parametros_recargas!$H$72*'Plan mensual'!E184+parametros_recargas!$I$72*'Plan mensual'!E185+parametros_recargas!$J$72*'Plan mensual'!E186+parametros_recargas!$K$72*'Plan mensual'!E187+parametros_recargas!$L$72*'Plan mensual'!E188</f>
        <v>14343.4106309452</v>
      </c>
      <c r="D162" s="23" t="n">
        <f aca="false">parametros_recargas!$E$72*'Plan mensual'!F181+parametros_recargas!$F$72*'Plan mensual'!F182+parametros_recargas!$G$72*'Plan mensual'!F183+parametros_recargas!$H$72*'Plan mensual'!F184+parametros_recargas!$I$72*'Plan mensual'!F185+parametros_recargas!$J$72*'Plan mensual'!F186+parametros_recargas!$K$72*'Plan mensual'!F187+parametros_recargas!$L$72*'Plan mensual'!F188</f>
        <v>14343.4106309452</v>
      </c>
      <c r="E162" s="23" t="n">
        <f aca="false">parametros_recargas!$E$72*'Plan mensual'!G181+parametros_recargas!$F$72*'Plan mensual'!G182+parametros_recargas!$G$72*'Plan mensual'!G183+parametros_recargas!$H$72*'Plan mensual'!G184+parametros_recargas!$I$72*'Plan mensual'!G185+parametros_recargas!$J$72*'Plan mensual'!G186+parametros_recargas!$K$72*'Plan mensual'!G187+parametros_recargas!$L$72*'Plan mensual'!G188</f>
        <v>14343.4106309452</v>
      </c>
      <c r="F162" s="23" t="n">
        <f aca="false">parametros_recargas!$E$72*'Plan mensual'!H181+parametros_recargas!$F$72*'Plan mensual'!H182+parametros_recargas!$G$72*'Plan mensual'!H183+parametros_recargas!$H$72*'Plan mensual'!H184+parametros_recargas!$I$72*'Plan mensual'!H185+parametros_recargas!$J$72*'Plan mensual'!H186+parametros_recargas!$K$72*'Plan mensual'!H187+parametros_recargas!$L$72*'Plan mensual'!H188</f>
        <v>14343.4106309452</v>
      </c>
      <c r="G162" s="23" t="n">
        <f aca="false">parametros_recargas!$E$72*'Plan mensual'!I181+parametros_recargas!$F$72*'Plan mensual'!I182+parametros_recargas!$G$72*'Plan mensual'!I183+parametros_recargas!$H$72*'Plan mensual'!I184+parametros_recargas!$I$72*'Plan mensual'!I185+parametros_recargas!$J$72*'Plan mensual'!I186+parametros_recargas!$K$72*'Plan mensual'!I187+parametros_recargas!$L$72*'Plan mensual'!I188</f>
        <v>14343.4106309452</v>
      </c>
      <c r="H162" s="23" t="n">
        <f aca="false">parametros_recargas!$E$72*'Plan mensual'!J181+parametros_recargas!$F$72*'Plan mensual'!J182+parametros_recargas!$G$72*'Plan mensual'!J183+parametros_recargas!$H$72*'Plan mensual'!J184+parametros_recargas!$I$72*'Plan mensual'!J185+parametros_recargas!$J$72*'Plan mensual'!J186+parametros_recargas!$K$72*'Plan mensual'!J187+parametros_recargas!$L$72*'Plan mensual'!J188</f>
        <v>14343.4106309452</v>
      </c>
      <c r="I162" s="23" t="n">
        <f aca="false">parametros_recargas!$E$72*'Plan mensual'!K181+parametros_recargas!$F$72*'Plan mensual'!K182+parametros_recargas!$G$72*'Plan mensual'!K183+parametros_recargas!$H$72*'Plan mensual'!K184+parametros_recargas!$I$72*'Plan mensual'!K185+parametros_recargas!$J$72*'Plan mensual'!K186+parametros_recargas!$K$72*'Plan mensual'!K187+parametros_recargas!$L$72*'Plan mensual'!K188</f>
        <v>14343.4106309452</v>
      </c>
      <c r="J162" s="23" t="n">
        <f aca="false">parametros_recargas!$E$72*'Plan mensual'!L181+parametros_recargas!$F$72*'Plan mensual'!L182+parametros_recargas!$G$72*'Plan mensual'!L183+parametros_recargas!$H$72*'Plan mensual'!L184+parametros_recargas!$I$72*'Plan mensual'!L185+parametros_recargas!$J$72*'Plan mensual'!L186+parametros_recargas!$K$72*'Plan mensual'!L187+parametros_recargas!$L$72*'Plan mensual'!L188</f>
        <v>14343.4106309452</v>
      </c>
      <c r="K162" s="23" t="n">
        <f aca="false">parametros_recargas!$E$72*'Plan mensual'!M181+parametros_recargas!$F$72*'Plan mensual'!M182+parametros_recargas!$G$72*'Plan mensual'!M183+parametros_recargas!$H$72*'Plan mensual'!M184+parametros_recargas!$I$72*'Plan mensual'!M185+parametros_recargas!$J$72*'Plan mensual'!M186+parametros_recargas!$K$72*'Plan mensual'!M187+parametros_recargas!$L$72*'Plan mensual'!M188</f>
        <v>14343.4106309452</v>
      </c>
      <c r="L162" s="23" t="n">
        <f aca="false">parametros_recargas!$E$72*'Plan mensual'!N181+parametros_recargas!$F$72*'Plan mensual'!N182+parametros_recargas!$G$72*'Plan mensual'!N183+parametros_recargas!$H$72*'Plan mensual'!N184+parametros_recargas!$I$72*'Plan mensual'!N185+parametros_recargas!$J$72*'Plan mensual'!N186+parametros_recargas!$K$72*'Plan mensual'!N187+parametros_recargas!$L$72*'Plan mensual'!N188</f>
        <v>14343.4106309452</v>
      </c>
      <c r="M162" s="23" t="n">
        <f aca="false">parametros_recargas!$E$72*'Plan mensual'!O181+parametros_recargas!$F$72*'Plan mensual'!O182+parametros_recargas!$G$72*'Plan mensual'!O183+parametros_recargas!$H$72*'Plan mensual'!O184+parametros_recargas!$I$72*'Plan mensual'!O185+parametros_recargas!$J$72*'Plan mensual'!O186+parametros_recargas!$K$72*'Plan mensual'!O187+parametros_recargas!$L$72*'Plan mensual'!O188</f>
        <v>14343.4106309452</v>
      </c>
      <c r="N162" s="7" t="n">
        <f aca="false">SUM(B162:M162)</f>
        <v>172120.927571342</v>
      </c>
      <c r="O162" s="24" t="n">
        <f aca="false">MAX(B162:M162)</f>
        <v>14343.4106309452</v>
      </c>
      <c r="P162" s="15" t="n">
        <f aca="false">O162/parametros_recargas!$B$6</f>
        <v>95.6227375396347</v>
      </c>
    </row>
    <row r="163" customFormat="false" ht="15" hidden="false" customHeight="false" outlineLevel="0" collapsed="false">
      <c r="A163" s="12" t="str">
        <f aca="false">parametros_recargas!$B$73</f>
        <v>Inspección visual</v>
      </c>
      <c r="B163" s="23" t="n">
        <f aca="false">parametros_recargas!$E$73*'Plan mensual'!D181+parametros_recargas!$F$73*'Plan mensual'!D182+parametros_recargas!$G$73*'Plan mensual'!D183+parametros_recargas!$H$73*'Plan mensual'!D184+parametros_recargas!$I$73*'Plan mensual'!D185+parametros_recargas!$J$73*'Plan mensual'!D186+parametros_recargas!$K$73*'Plan mensual'!D187+parametros_recargas!$L$73*'Plan mensual'!D188</f>
        <v>14343.4106309452</v>
      </c>
      <c r="C163" s="23" t="n">
        <f aca="false">parametros_recargas!$E$73*'Plan mensual'!E181+parametros_recargas!$F$73*'Plan mensual'!E182+parametros_recargas!$G$73*'Plan mensual'!E183+parametros_recargas!$H$73*'Plan mensual'!E184+parametros_recargas!$I$73*'Plan mensual'!E185+parametros_recargas!$J$73*'Plan mensual'!E186+parametros_recargas!$K$73*'Plan mensual'!E187+parametros_recargas!$L$73*'Plan mensual'!E188</f>
        <v>14343.4106309452</v>
      </c>
      <c r="D163" s="23" t="n">
        <f aca="false">parametros_recargas!$E$73*'Plan mensual'!F181+parametros_recargas!$F$73*'Plan mensual'!F182+parametros_recargas!$G$73*'Plan mensual'!F183+parametros_recargas!$H$73*'Plan mensual'!F184+parametros_recargas!$I$73*'Plan mensual'!F185+parametros_recargas!$J$73*'Plan mensual'!F186+parametros_recargas!$K$73*'Plan mensual'!F187+parametros_recargas!$L$73*'Plan mensual'!F188</f>
        <v>14343.4106309452</v>
      </c>
      <c r="E163" s="23" t="n">
        <f aca="false">parametros_recargas!$E$73*'Plan mensual'!G181+parametros_recargas!$F$73*'Plan mensual'!G182+parametros_recargas!$G$73*'Plan mensual'!G183+parametros_recargas!$H$73*'Plan mensual'!G184+parametros_recargas!$I$73*'Plan mensual'!G185+parametros_recargas!$J$73*'Plan mensual'!G186+parametros_recargas!$K$73*'Plan mensual'!G187+parametros_recargas!$L$73*'Plan mensual'!G188</f>
        <v>14343.4106309452</v>
      </c>
      <c r="F163" s="23" t="n">
        <f aca="false">parametros_recargas!$E$73*'Plan mensual'!H181+parametros_recargas!$F$73*'Plan mensual'!H182+parametros_recargas!$G$73*'Plan mensual'!H183+parametros_recargas!$H$73*'Plan mensual'!H184+parametros_recargas!$I$73*'Plan mensual'!H185+parametros_recargas!$J$73*'Plan mensual'!H186+parametros_recargas!$K$73*'Plan mensual'!H187+parametros_recargas!$L$73*'Plan mensual'!H188</f>
        <v>14343.4106309452</v>
      </c>
      <c r="G163" s="23" t="n">
        <f aca="false">parametros_recargas!$E$73*'Plan mensual'!I181+parametros_recargas!$F$73*'Plan mensual'!I182+parametros_recargas!$G$73*'Plan mensual'!I183+parametros_recargas!$H$73*'Plan mensual'!I184+parametros_recargas!$I$73*'Plan mensual'!I185+parametros_recargas!$J$73*'Plan mensual'!I186+parametros_recargas!$K$73*'Plan mensual'!I187+parametros_recargas!$L$73*'Plan mensual'!I188</f>
        <v>14343.4106309452</v>
      </c>
      <c r="H163" s="23" t="n">
        <f aca="false">parametros_recargas!$E$73*'Plan mensual'!J181+parametros_recargas!$F$73*'Plan mensual'!J182+parametros_recargas!$G$73*'Plan mensual'!J183+parametros_recargas!$H$73*'Plan mensual'!J184+parametros_recargas!$I$73*'Plan mensual'!J185+parametros_recargas!$J$73*'Plan mensual'!J186+parametros_recargas!$K$73*'Plan mensual'!J187+parametros_recargas!$L$73*'Plan mensual'!J188</f>
        <v>14343.4106309452</v>
      </c>
      <c r="I163" s="23" t="n">
        <f aca="false">parametros_recargas!$E$73*'Plan mensual'!K181+parametros_recargas!$F$73*'Plan mensual'!K182+parametros_recargas!$G$73*'Plan mensual'!K183+parametros_recargas!$H$73*'Plan mensual'!K184+parametros_recargas!$I$73*'Plan mensual'!K185+parametros_recargas!$J$73*'Plan mensual'!K186+parametros_recargas!$K$73*'Plan mensual'!K187+parametros_recargas!$L$73*'Plan mensual'!K188</f>
        <v>14343.4106309452</v>
      </c>
      <c r="J163" s="23" t="n">
        <f aca="false">parametros_recargas!$E$73*'Plan mensual'!L181+parametros_recargas!$F$73*'Plan mensual'!L182+parametros_recargas!$G$73*'Plan mensual'!L183+parametros_recargas!$H$73*'Plan mensual'!L184+parametros_recargas!$I$73*'Plan mensual'!L185+parametros_recargas!$J$73*'Plan mensual'!L186+parametros_recargas!$K$73*'Plan mensual'!L187+parametros_recargas!$L$73*'Plan mensual'!L188</f>
        <v>14343.4106309452</v>
      </c>
      <c r="K163" s="23" t="n">
        <f aca="false">parametros_recargas!$E$73*'Plan mensual'!M181+parametros_recargas!$F$73*'Plan mensual'!M182+parametros_recargas!$G$73*'Plan mensual'!M183+parametros_recargas!$H$73*'Plan mensual'!M184+parametros_recargas!$I$73*'Plan mensual'!M185+parametros_recargas!$J$73*'Plan mensual'!M186+parametros_recargas!$K$73*'Plan mensual'!M187+parametros_recargas!$L$73*'Plan mensual'!M188</f>
        <v>14343.4106309452</v>
      </c>
      <c r="L163" s="23" t="n">
        <f aca="false">parametros_recargas!$E$73*'Plan mensual'!N181+parametros_recargas!$F$73*'Plan mensual'!N182+parametros_recargas!$G$73*'Plan mensual'!N183+parametros_recargas!$H$73*'Plan mensual'!N184+parametros_recargas!$I$73*'Plan mensual'!N185+parametros_recargas!$J$73*'Plan mensual'!N186+parametros_recargas!$K$73*'Plan mensual'!N187+parametros_recargas!$L$73*'Plan mensual'!N188</f>
        <v>14343.4106309452</v>
      </c>
      <c r="M163" s="23" t="n">
        <f aca="false">parametros_recargas!$E$73*'Plan mensual'!O181+parametros_recargas!$F$73*'Plan mensual'!O182+parametros_recargas!$G$73*'Plan mensual'!O183+parametros_recargas!$H$73*'Plan mensual'!O184+parametros_recargas!$I$73*'Plan mensual'!O185+parametros_recargas!$J$73*'Plan mensual'!O186+parametros_recargas!$K$73*'Plan mensual'!O187+parametros_recargas!$L$73*'Plan mensual'!O188</f>
        <v>14343.4106309452</v>
      </c>
      <c r="N163" s="7" t="n">
        <f aca="false">SUM(B163:M163)</f>
        <v>172120.927571342</v>
      </c>
      <c r="O163" s="24" t="n">
        <f aca="false">MAX(B163:M163)</f>
        <v>14343.4106309452</v>
      </c>
      <c r="P163" s="15" t="n">
        <f aca="false">O163/parametros_recargas!$B$6</f>
        <v>95.6227375396347</v>
      </c>
    </row>
    <row r="164" customFormat="false" ht="15" hidden="false" customHeight="false" outlineLevel="0" collapsed="false">
      <c r="A164" s="12" t="str">
        <f aca="false">parametros_recargas!$B$74</f>
        <v>Descarga ABC — ruta recuperable</v>
      </c>
      <c r="B164" s="23" t="n">
        <f aca="false">parametros_recargas!$E$74*'Plan mensual'!D181+parametros_recargas!$F$74*'Plan mensual'!D182+parametros_recargas!$G$74*'Plan mensual'!D183+parametros_recargas!$H$74*'Plan mensual'!D184+parametros_recargas!$I$74*'Plan mensual'!D185+parametros_recargas!$J$74*'Plan mensual'!D186+parametros_recargas!$K$74*'Plan mensual'!D187+parametros_recargas!$L$74*'Plan mensual'!D188</f>
        <v>10553.1555276083</v>
      </c>
      <c r="C164" s="23" t="n">
        <f aca="false">parametros_recargas!$E$74*'Plan mensual'!E181+parametros_recargas!$F$74*'Plan mensual'!E182+parametros_recargas!$G$74*'Plan mensual'!E183+parametros_recargas!$H$74*'Plan mensual'!E184+parametros_recargas!$I$74*'Plan mensual'!E185+parametros_recargas!$J$74*'Plan mensual'!E186+parametros_recargas!$K$74*'Plan mensual'!E187+parametros_recargas!$L$74*'Plan mensual'!E188</f>
        <v>10553.1555276083</v>
      </c>
      <c r="D164" s="23" t="n">
        <f aca="false">parametros_recargas!$E$74*'Plan mensual'!F181+parametros_recargas!$F$74*'Plan mensual'!F182+parametros_recargas!$G$74*'Plan mensual'!F183+parametros_recargas!$H$74*'Plan mensual'!F184+parametros_recargas!$I$74*'Plan mensual'!F185+parametros_recargas!$J$74*'Plan mensual'!F186+parametros_recargas!$K$74*'Plan mensual'!F187+parametros_recargas!$L$74*'Plan mensual'!F188</f>
        <v>10553.1555276083</v>
      </c>
      <c r="E164" s="23" t="n">
        <f aca="false">parametros_recargas!$E$74*'Plan mensual'!G181+parametros_recargas!$F$74*'Plan mensual'!G182+parametros_recargas!$G$74*'Plan mensual'!G183+parametros_recargas!$H$74*'Plan mensual'!G184+parametros_recargas!$I$74*'Plan mensual'!G185+parametros_recargas!$J$74*'Plan mensual'!G186+parametros_recargas!$K$74*'Plan mensual'!G187+parametros_recargas!$L$74*'Plan mensual'!G188</f>
        <v>10553.1555276083</v>
      </c>
      <c r="F164" s="23" t="n">
        <f aca="false">parametros_recargas!$E$74*'Plan mensual'!H181+parametros_recargas!$F$74*'Plan mensual'!H182+parametros_recargas!$G$74*'Plan mensual'!H183+parametros_recargas!$H$74*'Plan mensual'!H184+parametros_recargas!$I$74*'Plan mensual'!H185+parametros_recargas!$J$74*'Plan mensual'!H186+parametros_recargas!$K$74*'Plan mensual'!H187+parametros_recargas!$L$74*'Plan mensual'!H188</f>
        <v>10553.1555276083</v>
      </c>
      <c r="G164" s="23" t="n">
        <f aca="false">parametros_recargas!$E$74*'Plan mensual'!I181+parametros_recargas!$F$74*'Plan mensual'!I182+parametros_recargas!$G$74*'Plan mensual'!I183+parametros_recargas!$H$74*'Plan mensual'!I184+parametros_recargas!$I$74*'Plan mensual'!I185+parametros_recargas!$J$74*'Plan mensual'!I186+parametros_recargas!$K$74*'Plan mensual'!I187+parametros_recargas!$L$74*'Plan mensual'!I188</f>
        <v>10553.1555276083</v>
      </c>
      <c r="H164" s="23" t="n">
        <f aca="false">parametros_recargas!$E$74*'Plan mensual'!J181+parametros_recargas!$F$74*'Plan mensual'!J182+parametros_recargas!$G$74*'Plan mensual'!J183+parametros_recargas!$H$74*'Plan mensual'!J184+parametros_recargas!$I$74*'Plan mensual'!J185+parametros_recargas!$J$74*'Plan mensual'!J186+parametros_recargas!$K$74*'Plan mensual'!J187+parametros_recargas!$L$74*'Plan mensual'!J188</f>
        <v>10553.1555276083</v>
      </c>
      <c r="I164" s="23" t="n">
        <f aca="false">parametros_recargas!$E$74*'Plan mensual'!K181+parametros_recargas!$F$74*'Plan mensual'!K182+parametros_recargas!$G$74*'Plan mensual'!K183+parametros_recargas!$H$74*'Plan mensual'!K184+parametros_recargas!$I$74*'Plan mensual'!K185+parametros_recargas!$J$74*'Plan mensual'!K186+parametros_recargas!$K$74*'Plan mensual'!K187+parametros_recargas!$L$74*'Plan mensual'!K188</f>
        <v>10553.1555276083</v>
      </c>
      <c r="J164" s="23" t="n">
        <f aca="false">parametros_recargas!$E$74*'Plan mensual'!L181+parametros_recargas!$F$74*'Plan mensual'!L182+parametros_recargas!$G$74*'Plan mensual'!L183+parametros_recargas!$H$74*'Plan mensual'!L184+parametros_recargas!$I$74*'Plan mensual'!L185+parametros_recargas!$J$74*'Plan mensual'!L186+parametros_recargas!$K$74*'Plan mensual'!L187+parametros_recargas!$L$74*'Plan mensual'!L188</f>
        <v>10553.1555276083</v>
      </c>
      <c r="K164" s="23" t="n">
        <f aca="false">parametros_recargas!$E$74*'Plan mensual'!M181+parametros_recargas!$F$74*'Plan mensual'!M182+parametros_recargas!$G$74*'Plan mensual'!M183+parametros_recargas!$H$74*'Plan mensual'!M184+parametros_recargas!$I$74*'Plan mensual'!M185+parametros_recargas!$J$74*'Plan mensual'!M186+parametros_recargas!$K$74*'Plan mensual'!M187+parametros_recargas!$L$74*'Plan mensual'!M188</f>
        <v>10553.1555276083</v>
      </c>
      <c r="L164" s="23" t="n">
        <f aca="false">parametros_recargas!$E$74*'Plan mensual'!N181+parametros_recargas!$F$74*'Plan mensual'!N182+parametros_recargas!$G$74*'Plan mensual'!N183+parametros_recargas!$H$74*'Plan mensual'!N184+parametros_recargas!$I$74*'Plan mensual'!N185+parametros_recargas!$J$74*'Plan mensual'!N186+parametros_recargas!$K$74*'Plan mensual'!N187+parametros_recargas!$L$74*'Plan mensual'!N188</f>
        <v>10553.1555276083</v>
      </c>
      <c r="M164" s="23" t="n">
        <f aca="false">parametros_recargas!$E$74*'Plan mensual'!O181+parametros_recargas!$F$74*'Plan mensual'!O182+parametros_recargas!$G$74*'Plan mensual'!O183+parametros_recargas!$H$74*'Plan mensual'!O184+parametros_recargas!$I$74*'Plan mensual'!O185+parametros_recargas!$J$74*'Plan mensual'!O186+parametros_recargas!$K$74*'Plan mensual'!O187+parametros_recargas!$L$74*'Plan mensual'!O188</f>
        <v>10553.1555276083</v>
      </c>
      <c r="N164" s="7" t="n">
        <f aca="false">SUM(B164:M164)</f>
        <v>126637.866331299</v>
      </c>
      <c r="O164" s="24" t="n">
        <f aca="false">MAX(B164:M164)</f>
        <v>10553.1555276083</v>
      </c>
      <c r="P164" s="15" t="n">
        <f aca="false">O164/parametros_recargas!$B$6</f>
        <v>70.354370184055</v>
      </c>
    </row>
    <row r="165" customFormat="false" ht="15" hidden="false" customHeight="false" outlineLevel="0" collapsed="false">
      <c r="A165" s="12" t="str">
        <f aca="false">parametros_recargas!$B$75</f>
        <v>Descarga ABC — ruta descarte</v>
      </c>
      <c r="B165" s="23" t="n">
        <f aca="false">parametros_recargas!$E$75*'Plan mensual'!D181+parametros_recargas!$F$75*'Plan mensual'!D182+parametros_recargas!$G$75*'Plan mensual'!D183+parametros_recargas!$H$75*'Plan mensual'!D184+parametros_recargas!$I$75*'Plan mensual'!D185+parametros_recargas!$J$75*'Plan mensual'!D186+parametros_recargas!$K$75*'Plan mensual'!D187+parametros_recargas!$L$75*'Plan mensual'!D188</f>
        <v>1241.54770913038</v>
      </c>
      <c r="C165" s="23" t="n">
        <f aca="false">parametros_recargas!$E$75*'Plan mensual'!E181+parametros_recargas!$F$75*'Plan mensual'!E182+parametros_recargas!$G$75*'Plan mensual'!E183+parametros_recargas!$H$75*'Plan mensual'!E184+parametros_recargas!$I$75*'Plan mensual'!E185+parametros_recargas!$J$75*'Plan mensual'!E186+parametros_recargas!$K$75*'Plan mensual'!E187+parametros_recargas!$L$75*'Plan mensual'!E188</f>
        <v>1241.54770913038</v>
      </c>
      <c r="D165" s="23" t="n">
        <f aca="false">parametros_recargas!$E$75*'Plan mensual'!F181+parametros_recargas!$F$75*'Plan mensual'!F182+parametros_recargas!$G$75*'Plan mensual'!F183+parametros_recargas!$H$75*'Plan mensual'!F184+parametros_recargas!$I$75*'Plan mensual'!F185+parametros_recargas!$J$75*'Plan mensual'!F186+parametros_recargas!$K$75*'Plan mensual'!F187+parametros_recargas!$L$75*'Plan mensual'!F188</f>
        <v>1241.54770913038</v>
      </c>
      <c r="E165" s="23" t="n">
        <f aca="false">parametros_recargas!$E$75*'Plan mensual'!G181+parametros_recargas!$F$75*'Plan mensual'!G182+parametros_recargas!$G$75*'Plan mensual'!G183+parametros_recargas!$H$75*'Plan mensual'!G184+parametros_recargas!$I$75*'Plan mensual'!G185+parametros_recargas!$J$75*'Plan mensual'!G186+parametros_recargas!$K$75*'Plan mensual'!G187+parametros_recargas!$L$75*'Plan mensual'!G188</f>
        <v>1241.54770913038</v>
      </c>
      <c r="F165" s="23" t="n">
        <f aca="false">parametros_recargas!$E$75*'Plan mensual'!H181+parametros_recargas!$F$75*'Plan mensual'!H182+parametros_recargas!$G$75*'Plan mensual'!H183+parametros_recargas!$H$75*'Plan mensual'!H184+parametros_recargas!$I$75*'Plan mensual'!H185+parametros_recargas!$J$75*'Plan mensual'!H186+parametros_recargas!$K$75*'Plan mensual'!H187+parametros_recargas!$L$75*'Plan mensual'!H188</f>
        <v>1241.54770913038</v>
      </c>
      <c r="G165" s="23" t="n">
        <f aca="false">parametros_recargas!$E$75*'Plan mensual'!I181+parametros_recargas!$F$75*'Plan mensual'!I182+parametros_recargas!$G$75*'Plan mensual'!I183+parametros_recargas!$H$75*'Plan mensual'!I184+parametros_recargas!$I$75*'Plan mensual'!I185+parametros_recargas!$J$75*'Plan mensual'!I186+parametros_recargas!$K$75*'Plan mensual'!I187+parametros_recargas!$L$75*'Plan mensual'!I188</f>
        <v>1241.54770913038</v>
      </c>
      <c r="H165" s="23" t="n">
        <f aca="false">parametros_recargas!$E$75*'Plan mensual'!J181+parametros_recargas!$F$75*'Plan mensual'!J182+parametros_recargas!$G$75*'Plan mensual'!J183+parametros_recargas!$H$75*'Plan mensual'!J184+parametros_recargas!$I$75*'Plan mensual'!J185+parametros_recargas!$J$75*'Plan mensual'!J186+parametros_recargas!$K$75*'Plan mensual'!J187+parametros_recargas!$L$75*'Plan mensual'!J188</f>
        <v>1241.54770913038</v>
      </c>
      <c r="I165" s="23" t="n">
        <f aca="false">parametros_recargas!$E$75*'Plan mensual'!K181+parametros_recargas!$F$75*'Plan mensual'!K182+parametros_recargas!$G$75*'Plan mensual'!K183+parametros_recargas!$H$75*'Plan mensual'!K184+parametros_recargas!$I$75*'Plan mensual'!K185+parametros_recargas!$J$75*'Plan mensual'!K186+parametros_recargas!$K$75*'Plan mensual'!K187+parametros_recargas!$L$75*'Plan mensual'!K188</f>
        <v>1241.54770913038</v>
      </c>
      <c r="J165" s="23" t="n">
        <f aca="false">parametros_recargas!$E$75*'Plan mensual'!L181+parametros_recargas!$F$75*'Plan mensual'!L182+parametros_recargas!$G$75*'Plan mensual'!L183+parametros_recargas!$H$75*'Plan mensual'!L184+parametros_recargas!$I$75*'Plan mensual'!L185+parametros_recargas!$J$75*'Plan mensual'!L186+parametros_recargas!$K$75*'Plan mensual'!L187+parametros_recargas!$L$75*'Plan mensual'!L188</f>
        <v>1241.54770913038</v>
      </c>
      <c r="K165" s="23" t="n">
        <f aca="false">parametros_recargas!$E$75*'Plan mensual'!M181+parametros_recargas!$F$75*'Plan mensual'!M182+parametros_recargas!$G$75*'Plan mensual'!M183+parametros_recargas!$H$75*'Plan mensual'!M184+parametros_recargas!$I$75*'Plan mensual'!M185+parametros_recargas!$J$75*'Plan mensual'!M186+parametros_recargas!$K$75*'Plan mensual'!M187+parametros_recargas!$L$75*'Plan mensual'!M188</f>
        <v>1241.54770913038</v>
      </c>
      <c r="L165" s="23" t="n">
        <f aca="false">parametros_recargas!$E$75*'Plan mensual'!N181+parametros_recargas!$F$75*'Plan mensual'!N182+parametros_recargas!$G$75*'Plan mensual'!N183+parametros_recargas!$H$75*'Plan mensual'!N184+parametros_recargas!$I$75*'Plan mensual'!N185+parametros_recargas!$J$75*'Plan mensual'!N186+parametros_recargas!$K$75*'Plan mensual'!N187+parametros_recargas!$L$75*'Plan mensual'!N188</f>
        <v>1241.54770913038</v>
      </c>
      <c r="M165" s="23" t="n">
        <f aca="false">parametros_recargas!$E$75*'Plan mensual'!O181+parametros_recargas!$F$75*'Plan mensual'!O182+parametros_recargas!$G$75*'Plan mensual'!O183+parametros_recargas!$H$75*'Plan mensual'!O184+parametros_recargas!$I$75*'Plan mensual'!O185+parametros_recargas!$J$75*'Plan mensual'!O186+parametros_recargas!$K$75*'Plan mensual'!O187+parametros_recargas!$L$75*'Plan mensual'!O188</f>
        <v>1241.54770913038</v>
      </c>
      <c r="N165" s="7" t="n">
        <f aca="false">SUM(B165:M165)</f>
        <v>14898.5725095646</v>
      </c>
      <c r="O165" s="24" t="n">
        <f aca="false">MAX(B165:M165)</f>
        <v>1241.54770913038</v>
      </c>
      <c r="P165" s="15" t="n">
        <f aca="false">O165/parametros_recargas!$B$6</f>
        <v>8.27698472753589</v>
      </c>
    </row>
    <row r="166" customFormat="false" ht="15" hidden="false" customHeight="false" outlineLevel="0" collapsed="false">
      <c r="A166" s="12" t="str">
        <f aca="false">parametros_recargas!$B$76</f>
        <v>Descarga BC</v>
      </c>
      <c r="B166" s="23" t="n">
        <f aca="false">parametros_recargas!$E$76*'Plan mensual'!D181+parametros_recargas!$F$76*'Plan mensual'!D182+parametros_recargas!$G$76*'Plan mensual'!D183+parametros_recargas!$H$76*'Plan mensual'!D184+parametros_recargas!$I$76*'Plan mensual'!D185+parametros_recargas!$J$76*'Plan mensual'!D186+parametros_recargas!$K$76*'Plan mensual'!D187+parametros_recargas!$L$76*'Plan mensual'!D188</f>
        <v>18.4785255401079</v>
      </c>
      <c r="C166" s="23" t="n">
        <f aca="false">parametros_recargas!$E$76*'Plan mensual'!E181+parametros_recargas!$F$76*'Plan mensual'!E182+parametros_recargas!$G$76*'Plan mensual'!E183+parametros_recargas!$H$76*'Plan mensual'!E184+parametros_recargas!$I$76*'Plan mensual'!E185+parametros_recargas!$J$76*'Plan mensual'!E186+parametros_recargas!$K$76*'Plan mensual'!E187+parametros_recargas!$L$76*'Plan mensual'!E188</f>
        <v>18.4785255401079</v>
      </c>
      <c r="D166" s="23" t="n">
        <f aca="false">parametros_recargas!$E$76*'Plan mensual'!F181+parametros_recargas!$F$76*'Plan mensual'!F182+parametros_recargas!$G$76*'Plan mensual'!F183+parametros_recargas!$H$76*'Plan mensual'!F184+parametros_recargas!$I$76*'Plan mensual'!F185+parametros_recargas!$J$76*'Plan mensual'!F186+parametros_recargas!$K$76*'Plan mensual'!F187+parametros_recargas!$L$76*'Plan mensual'!F188</f>
        <v>18.4785255401079</v>
      </c>
      <c r="E166" s="23" t="n">
        <f aca="false">parametros_recargas!$E$76*'Plan mensual'!G181+parametros_recargas!$F$76*'Plan mensual'!G182+parametros_recargas!$G$76*'Plan mensual'!G183+parametros_recargas!$H$76*'Plan mensual'!G184+parametros_recargas!$I$76*'Plan mensual'!G185+parametros_recargas!$J$76*'Plan mensual'!G186+parametros_recargas!$K$76*'Plan mensual'!G187+parametros_recargas!$L$76*'Plan mensual'!G188</f>
        <v>18.4785255401079</v>
      </c>
      <c r="F166" s="23" t="n">
        <f aca="false">parametros_recargas!$E$76*'Plan mensual'!H181+parametros_recargas!$F$76*'Plan mensual'!H182+parametros_recargas!$G$76*'Plan mensual'!H183+parametros_recargas!$H$76*'Plan mensual'!H184+parametros_recargas!$I$76*'Plan mensual'!H185+parametros_recargas!$J$76*'Plan mensual'!H186+parametros_recargas!$K$76*'Plan mensual'!H187+parametros_recargas!$L$76*'Plan mensual'!H188</f>
        <v>18.4785255401079</v>
      </c>
      <c r="G166" s="23" t="n">
        <f aca="false">parametros_recargas!$E$76*'Plan mensual'!I181+parametros_recargas!$F$76*'Plan mensual'!I182+parametros_recargas!$G$76*'Plan mensual'!I183+parametros_recargas!$H$76*'Plan mensual'!I184+parametros_recargas!$I$76*'Plan mensual'!I185+parametros_recargas!$J$76*'Plan mensual'!I186+parametros_recargas!$K$76*'Plan mensual'!I187+parametros_recargas!$L$76*'Plan mensual'!I188</f>
        <v>18.4785255401079</v>
      </c>
      <c r="H166" s="23" t="n">
        <f aca="false">parametros_recargas!$E$76*'Plan mensual'!J181+parametros_recargas!$F$76*'Plan mensual'!J182+parametros_recargas!$G$76*'Plan mensual'!J183+parametros_recargas!$H$76*'Plan mensual'!J184+parametros_recargas!$I$76*'Plan mensual'!J185+parametros_recargas!$J$76*'Plan mensual'!J186+parametros_recargas!$K$76*'Plan mensual'!J187+parametros_recargas!$L$76*'Plan mensual'!J188</f>
        <v>18.4785255401079</v>
      </c>
      <c r="I166" s="23" t="n">
        <f aca="false">parametros_recargas!$E$76*'Plan mensual'!K181+parametros_recargas!$F$76*'Plan mensual'!K182+parametros_recargas!$G$76*'Plan mensual'!K183+parametros_recargas!$H$76*'Plan mensual'!K184+parametros_recargas!$I$76*'Plan mensual'!K185+parametros_recargas!$J$76*'Plan mensual'!K186+parametros_recargas!$K$76*'Plan mensual'!K187+parametros_recargas!$L$76*'Plan mensual'!K188</f>
        <v>18.4785255401079</v>
      </c>
      <c r="J166" s="23" t="n">
        <f aca="false">parametros_recargas!$E$76*'Plan mensual'!L181+parametros_recargas!$F$76*'Plan mensual'!L182+parametros_recargas!$G$76*'Plan mensual'!L183+parametros_recargas!$H$76*'Plan mensual'!L184+parametros_recargas!$I$76*'Plan mensual'!L185+parametros_recargas!$J$76*'Plan mensual'!L186+parametros_recargas!$K$76*'Plan mensual'!L187+parametros_recargas!$L$76*'Plan mensual'!L188</f>
        <v>18.4785255401079</v>
      </c>
      <c r="K166" s="23" t="n">
        <f aca="false">parametros_recargas!$E$76*'Plan mensual'!M181+parametros_recargas!$F$76*'Plan mensual'!M182+parametros_recargas!$G$76*'Plan mensual'!M183+parametros_recargas!$H$76*'Plan mensual'!M184+parametros_recargas!$I$76*'Plan mensual'!M185+parametros_recargas!$J$76*'Plan mensual'!M186+parametros_recargas!$K$76*'Plan mensual'!M187+parametros_recargas!$L$76*'Plan mensual'!M188</f>
        <v>18.4785255401079</v>
      </c>
      <c r="L166" s="23" t="n">
        <f aca="false">parametros_recargas!$E$76*'Plan mensual'!N181+parametros_recargas!$F$76*'Plan mensual'!N182+parametros_recargas!$G$76*'Plan mensual'!N183+parametros_recargas!$H$76*'Plan mensual'!N184+parametros_recargas!$I$76*'Plan mensual'!N185+parametros_recargas!$J$76*'Plan mensual'!N186+parametros_recargas!$K$76*'Plan mensual'!N187+parametros_recargas!$L$76*'Plan mensual'!N188</f>
        <v>18.4785255401079</v>
      </c>
      <c r="M166" s="23" t="n">
        <f aca="false">parametros_recargas!$E$76*'Plan mensual'!O181+parametros_recargas!$F$76*'Plan mensual'!O182+parametros_recargas!$G$76*'Plan mensual'!O183+parametros_recargas!$H$76*'Plan mensual'!O184+parametros_recargas!$I$76*'Plan mensual'!O185+parametros_recargas!$J$76*'Plan mensual'!O186+parametros_recargas!$K$76*'Plan mensual'!O187+parametros_recargas!$L$76*'Plan mensual'!O188</f>
        <v>18.4785255401079</v>
      </c>
      <c r="N166" s="7" t="n">
        <f aca="false">SUM(B166:M166)</f>
        <v>221.742306481294</v>
      </c>
      <c r="O166" s="24" t="n">
        <f aca="false">MAX(B166:M166)</f>
        <v>18.4785255401079</v>
      </c>
      <c r="P166" s="15" t="n">
        <f aca="false">O166/parametros_recargas!$B$6</f>
        <v>0.123190170267386</v>
      </c>
    </row>
    <row r="167" customFormat="false" ht="15" hidden="false" customHeight="false" outlineLevel="0" collapsed="false">
      <c r="A167" s="12" t="str">
        <f aca="false">parametros_recargas!$B$77</f>
        <v>Descarga de agua / AFFF / sales K</v>
      </c>
      <c r="B167" s="23" t="n">
        <f aca="false">parametros_recargas!$E$77*'Plan mensual'!D181+parametros_recargas!$F$77*'Plan mensual'!D182+parametros_recargas!$G$77*'Plan mensual'!D183+parametros_recargas!$H$77*'Plan mensual'!D184+parametros_recargas!$I$77*'Plan mensual'!D185+parametros_recargas!$J$77*'Plan mensual'!D186+parametros_recargas!$K$77*'Plan mensual'!D187+parametros_recargas!$L$77*'Plan mensual'!D188</f>
        <v>649.778925767137</v>
      </c>
      <c r="C167" s="23" t="n">
        <f aca="false">parametros_recargas!$E$77*'Plan mensual'!E181+parametros_recargas!$F$77*'Plan mensual'!E182+parametros_recargas!$G$77*'Plan mensual'!E183+parametros_recargas!$H$77*'Plan mensual'!E184+parametros_recargas!$I$77*'Plan mensual'!E185+parametros_recargas!$J$77*'Plan mensual'!E186+parametros_recargas!$K$77*'Plan mensual'!E187+parametros_recargas!$L$77*'Plan mensual'!E188</f>
        <v>649.778925767137</v>
      </c>
      <c r="D167" s="23" t="n">
        <f aca="false">parametros_recargas!$E$77*'Plan mensual'!F181+parametros_recargas!$F$77*'Plan mensual'!F182+parametros_recargas!$G$77*'Plan mensual'!F183+parametros_recargas!$H$77*'Plan mensual'!F184+parametros_recargas!$I$77*'Plan mensual'!F185+parametros_recargas!$J$77*'Plan mensual'!F186+parametros_recargas!$K$77*'Plan mensual'!F187+parametros_recargas!$L$77*'Plan mensual'!F188</f>
        <v>649.778925767137</v>
      </c>
      <c r="E167" s="23" t="n">
        <f aca="false">parametros_recargas!$E$77*'Plan mensual'!G181+parametros_recargas!$F$77*'Plan mensual'!G182+parametros_recargas!$G$77*'Plan mensual'!G183+parametros_recargas!$H$77*'Plan mensual'!G184+parametros_recargas!$I$77*'Plan mensual'!G185+parametros_recargas!$J$77*'Plan mensual'!G186+parametros_recargas!$K$77*'Plan mensual'!G187+parametros_recargas!$L$77*'Plan mensual'!G188</f>
        <v>649.778925767137</v>
      </c>
      <c r="F167" s="23" t="n">
        <f aca="false">parametros_recargas!$E$77*'Plan mensual'!H181+parametros_recargas!$F$77*'Plan mensual'!H182+parametros_recargas!$G$77*'Plan mensual'!H183+parametros_recargas!$H$77*'Plan mensual'!H184+parametros_recargas!$I$77*'Plan mensual'!H185+parametros_recargas!$J$77*'Plan mensual'!H186+parametros_recargas!$K$77*'Plan mensual'!H187+parametros_recargas!$L$77*'Plan mensual'!H188</f>
        <v>649.778925767137</v>
      </c>
      <c r="G167" s="23" t="n">
        <f aca="false">parametros_recargas!$E$77*'Plan mensual'!I181+parametros_recargas!$F$77*'Plan mensual'!I182+parametros_recargas!$G$77*'Plan mensual'!I183+parametros_recargas!$H$77*'Plan mensual'!I184+parametros_recargas!$I$77*'Plan mensual'!I185+parametros_recargas!$J$77*'Plan mensual'!I186+parametros_recargas!$K$77*'Plan mensual'!I187+parametros_recargas!$L$77*'Plan mensual'!I188</f>
        <v>649.778925767137</v>
      </c>
      <c r="H167" s="23" t="n">
        <f aca="false">parametros_recargas!$E$77*'Plan mensual'!J181+parametros_recargas!$F$77*'Plan mensual'!J182+parametros_recargas!$G$77*'Plan mensual'!J183+parametros_recargas!$H$77*'Plan mensual'!J184+parametros_recargas!$I$77*'Plan mensual'!J185+parametros_recargas!$J$77*'Plan mensual'!J186+parametros_recargas!$K$77*'Plan mensual'!J187+parametros_recargas!$L$77*'Plan mensual'!J188</f>
        <v>649.778925767137</v>
      </c>
      <c r="I167" s="23" t="n">
        <f aca="false">parametros_recargas!$E$77*'Plan mensual'!K181+parametros_recargas!$F$77*'Plan mensual'!K182+parametros_recargas!$G$77*'Plan mensual'!K183+parametros_recargas!$H$77*'Plan mensual'!K184+parametros_recargas!$I$77*'Plan mensual'!K185+parametros_recargas!$J$77*'Plan mensual'!K186+parametros_recargas!$K$77*'Plan mensual'!K187+parametros_recargas!$L$77*'Plan mensual'!K188</f>
        <v>649.778925767137</v>
      </c>
      <c r="J167" s="23" t="n">
        <f aca="false">parametros_recargas!$E$77*'Plan mensual'!L181+parametros_recargas!$F$77*'Plan mensual'!L182+parametros_recargas!$G$77*'Plan mensual'!L183+parametros_recargas!$H$77*'Plan mensual'!L184+parametros_recargas!$I$77*'Plan mensual'!L185+parametros_recargas!$J$77*'Plan mensual'!L186+parametros_recargas!$K$77*'Plan mensual'!L187+parametros_recargas!$L$77*'Plan mensual'!L188</f>
        <v>649.778925767137</v>
      </c>
      <c r="K167" s="23" t="n">
        <f aca="false">parametros_recargas!$E$77*'Plan mensual'!M181+parametros_recargas!$F$77*'Plan mensual'!M182+parametros_recargas!$G$77*'Plan mensual'!M183+parametros_recargas!$H$77*'Plan mensual'!M184+parametros_recargas!$I$77*'Plan mensual'!M185+parametros_recargas!$J$77*'Plan mensual'!M186+parametros_recargas!$K$77*'Plan mensual'!M187+parametros_recargas!$L$77*'Plan mensual'!M188</f>
        <v>649.778925767137</v>
      </c>
      <c r="L167" s="23" t="n">
        <f aca="false">parametros_recargas!$E$77*'Plan mensual'!N181+parametros_recargas!$F$77*'Plan mensual'!N182+parametros_recargas!$G$77*'Plan mensual'!N183+parametros_recargas!$H$77*'Plan mensual'!N184+parametros_recargas!$I$77*'Plan mensual'!N185+parametros_recargas!$J$77*'Plan mensual'!N186+parametros_recargas!$K$77*'Plan mensual'!N187+parametros_recargas!$L$77*'Plan mensual'!N188</f>
        <v>649.778925767137</v>
      </c>
      <c r="M167" s="23" t="n">
        <f aca="false">parametros_recargas!$E$77*'Plan mensual'!O181+parametros_recargas!$F$77*'Plan mensual'!O182+parametros_recargas!$G$77*'Plan mensual'!O183+parametros_recargas!$H$77*'Plan mensual'!O184+parametros_recargas!$I$77*'Plan mensual'!O185+parametros_recargas!$J$77*'Plan mensual'!O186+parametros_recargas!$K$77*'Plan mensual'!O187+parametros_recargas!$L$77*'Plan mensual'!O188</f>
        <v>649.778925767137</v>
      </c>
      <c r="N167" s="7" t="n">
        <f aca="false">SUM(B167:M167)</f>
        <v>7797.34710920565</v>
      </c>
      <c r="O167" s="24" t="n">
        <f aca="false">MAX(B167:M167)</f>
        <v>649.778925767137</v>
      </c>
      <c r="P167" s="15" t="n">
        <f aca="false">O167/parametros_recargas!$B$6</f>
        <v>4.33185950511425</v>
      </c>
    </row>
    <row r="168" customFormat="false" ht="15" hidden="false" customHeight="false" outlineLevel="0" collapsed="false">
      <c r="A168" s="12" t="str">
        <f aca="false">parametros_recargas!$B$78</f>
        <v>Recuperación de CO₂</v>
      </c>
      <c r="B168" s="23" t="n">
        <f aca="false">parametros_recargas!$E$78*'Plan mensual'!D181+parametros_recargas!$F$78*'Plan mensual'!D182+parametros_recargas!$G$78*'Plan mensual'!D183+parametros_recargas!$H$78*'Plan mensual'!D184+parametros_recargas!$I$78*'Plan mensual'!D185+parametros_recargas!$J$78*'Plan mensual'!D186+parametros_recargas!$K$78*'Plan mensual'!D187+parametros_recargas!$L$78*'Plan mensual'!D188</f>
        <v>299.107356042642</v>
      </c>
      <c r="C168" s="23" t="n">
        <f aca="false">parametros_recargas!$E$78*'Plan mensual'!E181+parametros_recargas!$F$78*'Plan mensual'!E182+parametros_recargas!$G$78*'Plan mensual'!E183+parametros_recargas!$H$78*'Plan mensual'!E184+parametros_recargas!$I$78*'Plan mensual'!E185+parametros_recargas!$J$78*'Plan mensual'!E186+parametros_recargas!$K$78*'Plan mensual'!E187+parametros_recargas!$L$78*'Plan mensual'!E188</f>
        <v>299.107356042642</v>
      </c>
      <c r="D168" s="23" t="n">
        <f aca="false">parametros_recargas!$E$78*'Plan mensual'!F181+parametros_recargas!$F$78*'Plan mensual'!F182+parametros_recargas!$G$78*'Plan mensual'!F183+parametros_recargas!$H$78*'Plan mensual'!F184+parametros_recargas!$I$78*'Plan mensual'!F185+parametros_recargas!$J$78*'Plan mensual'!F186+parametros_recargas!$K$78*'Plan mensual'!F187+parametros_recargas!$L$78*'Plan mensual'!F188</f>
        <v>299.107356042642</v>
      </c>
      <c r="E168" s="23" t="n">
        <f aca="false">parametros_recargas!$E$78*'Plan mensual'!G181+parametros_recargas!$F$78*'Plan mensual'!G182+parametros_recargas!$G$78*'Plan mensual'!G183+parametros_recargas!$H$78*'Plan mensual'!G184+parametros_recargas!$I$78*'Plan mensual'!G185+parametros_recargas!$J$78*'Plan mensual'!G186+parametros_recargas!$K$78*'Plan mensual'!G187+parametros_recargas!$L$78*'Plan mensual'!G188</f>
        <v>299.107356042642</v>
      </c>
      <c r="F168" s="23" t="n">
        <f aca="false">parametros_recargas!$E$78*'Plan mensual'!H181+parametros_recargas!$F$78*'Plan mensual'!H182+parametros_recargas!$G$78*'Plan mensual'!H183+parametros_recargas!$H$78*'Plan mensual'!H184+parametros_recargas!$I$78*'Plan mensual'!H185+parametros_recargas!$J$78*'Plan mensual'!H186+parametros_recargas!$K$78*'Plan mensual'!H187+parametros_recargas!$L$78*'Plan mensual'!H188</f>
        <v>299.107356042642</v>
      </c>
      <c r="G168" s="23" t="n">
        <f aca="false">parametros_recargas!$E$78*'Plan mensual'!I181+parametros_recargas!$F$78*'Plan mensual'!I182+parametros_recargas!$G$78*'Plan mensual'!I183+parametros_recargas!$H$78*'Plan mensual'!I184+parametros_recargas!$I$78*'Plan mensual'!I185+parametros_recargas!$J$78*'Plan mensual'!I186+parametros_recargas!$K$78*'Plan mensual'!I187+parametros_recargas!$L$78*'Plan mensual'!I188</f>
        <v>299.107356042642</v>
      </c>
      <c r="H168" s="23" t="n">
        <f aca="false">parametros_recargas!$E$78*'Plan mensual'!J181+parametros_recargas!$F$78*'Plan mensual'!J182+parametros_recargas!$G$78*'Plan mensual'!J183+parametros_recargas!$H$78*'Plan mensual'!J184+parametros_recargas!$I$78*'Plan mensual'!J185+parametros_recargas!$J$78*'Plan mensual'!J186+parametros_recargas!$K$78*'Plan mensual'!J187+parametros_recargas!$L$78*'Plan mensual'!J188</f>
        <v>299.107356042642</v>
      </c>
      <c r="I168" s="23" t="n">
        <f aca="false">parametros_recargas!$E$78*'Plan mensual'!K181+parametros_recargas!$F$78*'Plan mensual'!K182+parametros_recargas!$G$78*'Plan mensual'!K183+parametros_recargas!$H$78*'Plan mensual'!K184+parametros_recargas!$I$78*'Plan mensual'!K185+parametros_recargas!$J$78*'Plan mensual'!K186+parametros_recargas!$K$78*'Plan mensual'!K187+parametros_recargas!$L$78*'Plan mensual'!K188</f>
        <v>299.107356042642</v>
      </c>
      <c r="J168" s="23" t="n">
        <f aca="false">parametros_recargas!$E$78*'Plan mensual'!L181+parametros_recargas!$F$78*'Plan mensual'!L182+parametros_recargas!$G$78*'Plan mensual'!L183+parametros_recargas!$H$78*'Plan mensual'!L184+parametros_recargas!$I$78*'Plan mensual'!L185+parametros_recargas!$J$78*'Plan mensual'!L186+parametros_recargas!$K$78*'Plan mensual'!L187+parametros_recargas!$L$78*'Plan mensual'!L188</f>
        <v>299.107356042642</v>
      </c>
      <c r="K168" s="23" t="n">
        <f aca="false">parametros_recargas!$E$78*'Plan mensual'!M181+parametros_recargas!$F$78*'Plan mensual'!M182+parametros_recargas!$G$78*'Plan mensual'!M183+parametros_recargas!$H$78*'Plan mensual'!M184+parametros_recargas!$I$78*'Plan mensual'!M185+parametros_recargas!$J$78*'Plan mensual'!M186+parametros_recargas!$K$78*'Plan mensual'!M187+parametros_recargas!$L$78*'Plan mensual'!M188</f>
        <v>299.107356042642</v>
      </c>
      <c r="L168" s="23" t="n">
        <f aca="false">parametros_recargas!$E$78*'Plan mensual'!N181+parametros_recargas!$F$78*'Plan mensual'!N182+parametros_recargas!$G$78*'Plan mensual'!N183+parametros_recargas!$H$78*'Plan mensual'!N184+parametros_recargas!$I$78*'Plan mensual'!N185+parametros_recargas!$J$78*'Plan mensual'!N186+parametros_recargas!$K$78*'Plan mensual'!N187+parametros_recargas!$L$78*'Plan mensual'!N188</f>
        <v>299.107356042642</v>
      </c>
      <c r="M168" s="23" t="n">
        <f aca="false">parametros_recargas!$E$78*'Plan mensual'!O181+parametros_recargas!$F$78*'Plan mensual'!O182+parametros_recargas!$G$78*'Plan mensual'!O183+parametros_recargas!$H$78*'Plan mensual'!O184+parametros_recargas!$I$78*'Plan mensual'!O185+parametros_recargas!$J$78*'Plan mensual'!O186+parametros_recargas!$K$78*'Plan mensual'!O187+parametros_recargas!$L$78*'Plan mensual'!O188</f>
        <v>299.107356042642</v>
      </c>
      <c r="N168" s="7" t="n">
        <f aca="false">SUM(B168:M168)</f>
        <v>3589.2882725117</v>
      </c>
      <c r="O168" s="24" t="n">
        <f aca="false">MAX(B168:M168)</f>
        <v>299.107356042642</v>
      </c>
      <c r="P168" s="15" t="n">
        <f aca="false">O168/parametros_recargas!$B$6</f>
        <v>1.99404904028428</v>
      </c>
    </row>
    <row r="169" customFormat="false" ht="15" hidden="false" customHeight="false" outlineLevel="0" collapsed="false">
      <c r="A169" s="12" t="str">
        <f aca="false">parametros_recargas!$B$79</f>
        <v>Recuperación de halogenado</v>
      </c>
      <c r="B169" s="23" t="n">
        <f aca="false">parametros_recargas!$E$79*'Plan mensual'!D181+parametros_recargas!$F$79*'Plan mensual'!D182+parametros_recargas!$G$79*'Plan mensual'!D183+parametros_recargas!$H$79*'Plan mensual'!D184+parametros_recargas!$I$79*'Plan mensual'!D185+parametros_recargas!$J$79*'Plan mensual'!D186+parametros_recargas!$K$79*'Plan mensual'!D187+parametros_recargas!$L$79*'Plan mensual'!D188</f>
        <v>11.7482432627464</v>
      </c>
      <c r="C169" s="23" t="n">
        <f aca="false">parametros_recargas!$E$79*'Plan mensual'!E181+parametros_recargas!$F$79*'Plan mensual'!E182+parametros_recargas!$G$79*'Plan mensual'!E183+parametros_recargas!$H$79*'Plan mensual'!E184+parametros_recargas!$I$79*'Plan mensual'!E185+parametros_recargas!$J$79*'Plan mensual'!E186+parametros_recargas!$K$79*'Plan mensual'!E187+parametros_recargas!$L$79*'Plan mensual'!E188</f>
        <v>11.7482432627464</v>
      </c>
      <c r="D169" s="23" t="n">
        <f aca="false">parametros_recargas!$E$79*'Plan mensual'!F181+parametros_recargas!$F$79*'Plan mensual'!F182+parametros_recargas!$G$79*'Plan mensual'!F183+parametros_recargas!$H$79*'Plan mensual'!F184+parametros_recargas!$I$79*'Plan mensual'!F185+parametros_recargas!$J$79*'Plan mensual'!F186+parametros_recargas!$K$79*'Plan mensual'!F187+parametros_recargas!$L$79*'Plan mensual'!F188</f>
        <v>11.7482432627464</v>
      </c>
      <c r="E169" s="23" t="n">
        <f aca="false">parametros_recargas!$E$79*'Plan mensual'!G181+parametros_recargas!$F$79*'Plan mensual'!G182+parametros_recargas!$G$79*'Plan mensual'!G183+parametros_recargas!$H$79*'Plan mensual'!G184+parametros_recargas!$I$79*'Plan mensual'!G185+parametros_recargas!$J$79*'Plan mensual'!G186+parametros_recargas!$K$79*'Plan mensual'!G187+parametros_recargas!$L$79*'Plan mensual'!G188</f>
        <v>11.7482432627464</v>
      </c>
      <c r="F169" s="23" t="n">
        <f aca="false">parametros_recargas!$E$79*'Plan mensual'!H181+parametros_recargas!$F$79*'Plan mensual'!H182+parametros_recargas!$G$79*'Plan mensual'!H183+parametros_recargas!$H$79*'Plan mensual'!H184+parametros_recargas!$I$79*'Plan mensual'!H185+parametros_recargas!$J$79*'Plan mensual'!H186+parametros_recargas!$K$79*'Plan mensual'!H187+parametros_recargas!$L$79*'Plan mensual'!H188</f>
        <v>11.7482432627464</v>
      </c>
      <c r="G169" s="23" t="n">
        <f aca="false">parametros_recargas!$E$79*'Plan mensual'!I181+parametros_recargas!$F$79*'Plan mensual'!I182+parametros_recargas!$G$79*'Plan mensual'!I183+parametros_recargas!$H$79*'Plan mensual'!I184+parametros_recargas!$I$79*'Plan mensual'!I185+parametros_recargas!$J$79*'Plan mensual'!I186+parametros_recargas!$K$79*'Plan mensual'!I187+parametros_recargas!$L$79*'Plan mensual'!I188</f>
        <v>11.7482432627464</v>
      </c>
      <c r="H169" s="23" t="n">
        <f aca="false">parametros_recargas!$E$79*'Plan mensual'!J181+parametros_recargas!$F$79*'Plan mensual'!J182+parametros_recargas!$G$79*'Plan mensual'!J183+parametros_recargas!$H$79*'Plan mensual'!J184+parametros_recargas!$I$79*'Plan mensual'!J185+parametros_recargas!$J$79*'Plan mensual'!J186+parametros_recargas!$K$79*'Plan mensual'!J187+parametros_recargas!$L$79*'Plan mensual'!J188</f>
        <v>11.7482432627464</v>
      </c>
      <c r="I169" s="23" t="n">
        <f aca="false">parametros_recargas!$E$79*'Plan mensual'!K181+parametros_recargas!$F$79*'Plan mensual'!K182+parametros_recargas!$G$79*'Plan mensual'!K183+parametros_recargas!$H$79*'Plan mensual'!K184+parametros_recargas!$I$79*'Plan mensual'!K185+parametros_recargas!$J$79*'Plan mensual'!K186+parametros_recargas!$K$79*'Plan mensual'!K187+parametros_recargas!$L$79*'Plan mensual'!K188</f>
        <v>11.7482432627464</v>
      </c>
      <c r="J169" s="23" t="n">
        <f aca="false">parametros_recargas!$E$79*'Plan mensual'!L181+parametros_recargas!$F$79*'Plan mensual'!L182+parametros_recargas!$G$79*'Plan mensual'!L183+parametros_recargas!$H$79*'Plan mensual'!L184+parametros_recargas!$I$79*'Plan mensual'!L185+parametros_recargas!$J$79*'Plan mensual'!L186+parametros_recargas!$K$79*'Plan mensual'!L187+parametros_recargas!$L$79*'Plan mensual'!L188</f>
        <v>11.7482432627464</v>
      </c>
      <c r="K169" s="23" t="n">
        <f aca="false">parametros_recargas!$E$79*'Plan mensual'!M181+parametros_recargas!$F$79*'Plan mensual'!M182+parametros_recargas!$G$79*'Plan mensual'!M183+parametros_recargas!$H$79*'Plan mensual'!M184+parametros_recargas!$I$79*'Plan mensual'!M185+parametros_recargas!$J$79*'Plan mensual'!M186+parametros_recargas!$K$79*'Plan mensual'!M187+parametros_recargas!$L$79*'Plan mensual'!M188</f>
        <v>11.7482432627464</v>
      </c>
      <c r="L169" s="23" t="n">
        <f aca="false">parametros_recargas!$E$79*'Plan mensual'!N181+parametros_recargas!$F$79*'Plan mensual'!N182+parametros_recargas!$G$79*'Plan mensual'!N183+parametros_recargas!$H$79*'Plan mensual'!N184+parametros_recargas!$I$79*'Plan mensual'!N185+parametros_recargas!$J$79*'Plan mensual'!N186+parametros_recargas!$K$79*'Plan mensual'!N187+parametros_recargas!$L$79*'Plan mensual'!N188</f>
        <v>11.7482432627464</v>
      </c>
      <c r="M169" s="23" t="n">
        <f aca="false">parametros_recargas!$E$79*'Plan mensual'!O181+parametros_recargas!$F$79*'Plan mensual'!O182+parametros_recargas!$G$79*'Plan mensual'!O183+parametros_recargas!$H$79*'Plan mensual'!O184+parametros_recargas!$I$79*'Plan mensual'!O185+parametros_recargas!$J$79*'Plan mensual'!O186+parametros_recargas!$K$79*'Plan mensual'!O187+parametros_recargas!$L$79*'Plan mensual'!O188</f>
        <v>11.7482432627464</v>
      </c>
      <c r="N169" s="7" t="n">
        <f aca="false">SUM(B169:M169)</f>
        <v>140.978919152956</v>
      </c>
      <c r="O169" s="24" t="n">
        <f aca="false">MAX(B169:M169)</f>
        <v>11.7482432627464</v>
      </c>
      <c r="P169" s="15" t="n">
        <f aca="false">O169/parametros_recargas!$B$6</f>
        <v>0.0783216217516424</v>
      </c>
    </row>
    <row r="170" customFormat="false" ht="15" hidden="false" customHeight="false" outlineLevel="0" collapsed="false">
      <c r="A170" s="12" t="str">
        <f aca="false">parametros_recargas!$B$80</f>
        <v>Desarme y limpieza — recinto</v>
      </c>
      <c r="B170" s="23" t="n">
        <f aca="false">parametros_recargas!$E$80*'Plan mensual'!D181+parametros_recargas!$F$80*'Plan mensual'!D182+parametros_recargas!$G$80*'Plan mensual'!D183+parametros_recargas!$H$80*'Plan mensual'!D184+parametros_recargas!$I$80*'Plan mensual'!D185+parametros_recargas!$J$80*'Plan mensual'!D186+parametros_recargas!$K$80*'Plan mensual'!D187+parametros_recargas!$L$80*'Plan mensual'!D188</f>
        <v>12450.2093079565</v>
      </c>
      <c r="C170" s="23" t="n">
        <f aca="false">parametros_recargas!$E$80*'Plan mensual'!E181+parametros_recargas!$F$80*'Plan mensual'!E182+parametros_recargas!$G$80*'Plan mensual'!E183+parametros_recargas!$H$80*'Plan mensual'!E184+parametros_recargas!$I$80*'Plan mensual'!E185+parametros_recargas!$J$80*'Plan mensual'!E186+parametros_recargas!$K$80*'Plan mensual'!E187+parametros_recargas!$L$80*'Plan mensual'!E188</f>
        <v>12450.2093079565</v>
      </c>
      <c r="D170" s="23" t="n">
        <f aca="false">parametros_recargas!$E$80*'Plan mensual'!F181+parametros_recargas!$F$80*'Plan mensual'!F182+parametros_recargas!$G$80*'Plan mensual'!F183+parametros_recargas!$H$80*'Plan mensual'!F184+parametros_recargas!$I$80*'Plan mensual'!F185+parametros_recargas!$J$80*'Plan mensual'!F186+parametros_recargas!$K$80*'Plan mensual'!F187+parametros_recargas!$L$80*'Plan mensual'!F188</f>
        <v>12450.2093079565</v>
      </c>
      <c r="E170" s="23" t="n">
        <f aca="false">parametros_recargas!$E$80*'Plan mensual'!G181+parametros_recargas!$F$80*'Plan mensual'!G182+parametros_recargas!$G$80*'Plan mensual'!G183+parametros_recargas!$H$80*'Plan mensual'!G184+parametros_recargas!$I$80*'Plan mensual'!G185+parametros_recargas!$J$80*'Plan mensual'!G186+parametros_recargas!$K$80*'Plan mensual'!G187+parametros_recargas!$L$80*'Plan mensual'!G188</f>
        <v>12450.2093079565</v>
      </c>
      <c r="F170" s="23" t="n">
        <f aca="false">parametros_recargas!$E$80*'Plan mensual'!H181+parametros_recargas!$F$80*'Plan mensual'!H182+parametros_recargas!$G$80*'Plan mensual'!H183+parametros_recargas!$H$80*'Plan mensual'!H184+parametros_recargas!$I$80*'Plan mensual'!H185+parametros_recargas!$J$80*'Plan mensual'!H186+parametros_recargas!$K$80*'Plan mensual'!H187+parametros_recargas!$L$80*'Plan mensual'!H188</f>
        <v>12450.2093079565</v>
      </c>
      <c r="G170" s="23" t="n">
        <f aca="false">parametros_recargas!$E$80*'Plan mensual'!I181+parametros_recargas!$F$80*'Plan mensual'!I182+parametros_recargas!$G$80*'Plan mensual'!I183+parametros_recargas!$H$80*'Plan mensual'!I184+parametros_recargas!$I$80*'Plan mensual'!I185+parametros_recargas!$J$80*'Plan mensual'!I186+parametros_recargas!$K$80*'Plan mensual'!I187+parametros_recargas!$L$80*'Plan mensual'!I188</f>
        <v>12450.2093079565</v>
      </c>
      <c r="H170" s="23" t="n">
        <f aca="false">parametros_recargas!$E$80*'Plan mensual'!J181+parametros_recargas!$F$80*'Plan mensual'!J182+parametros_recargas!$G$80*'Plan mensual'!J183+parametros_recargas!$H$80*'Plan mensual'!J184+parametros_recargas!$I$80*'Plan mensual'!J185+parametros_recargas!$J$80*'Plan mensual'!J186+parametros_recargas!$K$80*'Plan mensual'!J187+parametros_recargas!$L$80*'Plan mensual'!J188</f>
        <v>12450.2093079565</v>
      </c>
      <c r="I170" s="23" t="n">
        <f aca="false">parametros_recargas!$E$80*'Plan mensual'!K181+parametros_recargas!$F$80*'Plan mensual'!K182+parametros_recargas!$G$80*'Plan mensual'!K183+parametros_recargas!$H$80*'Plan mensual'!K184+parametros_recargas!$I$80*'Plan mensual'!K185+parametros_recargas!$J$80*'Plan mensual'!K186+parametros_recargas!$K$80*'Plan mensual'!K187+parametros_recargas!$L$80*'Plan mensual'!K188</f>
        <v>12450.2093079565</v>
      </c>
      <c r="J170" s="23" t="n">
        <f aca="false">parametros_recargas!$E$80*'Plan mensual'!L181+parametros_recargas!$F$80*'Plan mensual'!L182+parametros_recargas!$G$80*'Plan mensual'!L183+parametros_recargas!$H$80*'Plan mensual'!L184+parametros_recargas!$I$80*'Plan mensual'!L185+parametros_recargas!$J$80*'Plan mensual'!L186+parametros_recargas!$K$80*'Plan mensual'!L187+parametros_recargas!$L$80*'Plan mensual'!L188</f>
        <v>12450.2093079565</v>
      </c>
      <c r="K170" s="23" t="n">
        <f aca="false">parametros_recargas!$E$80*'Plan mensual'!M181+parametros_recargas!$F$80*'Plan mensual'!M182+parametros_recargas!$G$80*'Plan mensual'!M183+parametros_recargas!$H$80*'Plan mensual'!M184+parametros_recargas!$I$80*'Plan mensual'!M185+parametros_recargas!$J$80*'Plan mensual'!M186+parametros_recargas!$K$80*'Plan mensual'!M187+parametros_recargas!$L$80*'Plan mensual'!M188</f>
        <v>12450.2093079565</v>
      </c>
      <c r="L170" s="23" t="n">
        <f aca="false">parametros_recargas!$E$80*'Plan mensual'!N181+parametros_recargas!$F$80*'Plan mensual'!N182+parametros_recargas!$G$80*'Plan mensual'!N183+parametros_recargas!$H$80*'Plan mensual'!N184+parametros_recargas!$I$80*'Plan mensual'!N185+parametros_recargas!$J$80*'Plan mensual'!N186+parametros_recargas!$K$80*'Plan mensual'!N187+parametros_recargas!$L$80*'Plan mensual'!N188</f>
        <v>12450.2093079565</v>
      </c>
      <c r="M170" s="23" t="n">
        <f aca="false">parametros_recargas!$E$80*'Plan mensual'!O181+parametros_recargas!$F$80*'Plan mensual'!O182+parametros_recargas!$G$80*'Plan mensual'!O183+parametros_recargas!$H$80*'Plan mensual'!O184+parametros_recargas!$I$80*'Plan mensual'!O185+parametros_recargas!$J$80*'Plan mensual'!O186+parametros_recargas!$K$80*'Plan mensual'!O187+parametros_recargas!$L$80*'Plan mensual'!O188</f>
        <v>12450.2093079565</v>
      </c>
      <c r="N170" s="7" t="n">
        <f aca="false">SUM(B170:M170)</f>
        <v>149402.511695478</v>
      </c>
      <c r="O170" s="24" t="n">
        <f aca="false">MAX(B170:M170)</f>
        <v>12450.2093079565</v>
      </c>
      <c r="P170" s="15" t="n">
        <f aca="false">O170/parametros_recargas!$B$6</f>
        <v>83.0013953863767</v>
      </c>
    </row>
    <row r="171" customFormat="false" ht="15" hidden="false" customHeight="false" outlineLevel="0" collapsed="false">
      <c r="A171" s="12" t="str">
        <f aca="false">parametros_recargas!$B$81</f>
        <v>Desarme e inspección interior — zona general</v>
      </c>
      <c r="B171" s="23" t="n">
        <f aca="false">parametros_recargas!$E$81*'Plan mensual'!D181+parametros_recargas!$F$81*'Plan mensual'!D182+parametros_recargas!$G$81*'Plan mensual'!D183+parametros_recargas!$H$81*'Plan mensual'!D184+parametros_recargas!$I$81*'Plan mensual'!D185+parametros_recargas!$J$81*'Plan mensual'!D186+parametros_recargas!$K$81*'Plan mensual'!D187+parametros_recargas!$L$81*'Plan mensual'!D188</f>
        <v>960.634525072525</v>
      </c>
      <c r="C171" s="23" t="n">
        <f aca="false">parametros_recargas!$E$81*'Plan mensual'!E181+parametros_recargas!$F$81*'Plan mensual'!E182+parametros_recargas!$G$81*'Plan mensual'!E183+parametros_recargas!$H$81*'Plan mensual'!E184+parametros_recargas!$I$81*'Plan mensual'!E185+parametros_recargas!$J$81*'Plan mensual'!E186+parametros_recargas!$K$81*'Plan mensual'!E187+parametros_recargas!$L$81*'Plan mensual'!E188</f>
        <v>960.634525072525</v>
      </c>
      <c r="D171" s="23" t="n">
        <f aca="false">parametros_recargas!$E$81*'Plan mensual'!F181+parametros_recargas!$F$81*'Plan mensual'!F182+parametros_recargas!$G$81*'Plan mensual'!F183+parametros_recargas!$H$81*'Plan mensual'!F184+parametros_recargas!$I$81*'Plan mensual'!F185+parametros_recargas!$J$81*'Plan mensual'!F186+parametros_recargas!$K$81*'Plan mensual'!F187+parametros_recargas!$L$81*'Plan mensual'!F188</f>
        <v>960.634525072525</v>
      </c>
      <c r="E171" s="23" t="n">
        <f aca="false">parametros_recargas!$E$81*'Plan mensual'!G181+parametros_recargas!$F$81*'Plan mensual'!G182+parametros_recargas!$G$81*'Plan mensual'!G183+parametros_recargas!$H$81*'Plan mensual'!G184+parametros_recargas!$I$81*'Plan mensual'!G185+parametros_recargas!$J$81*'Plan mensual'!G186+parametros_recargas!$K$81*'Plan mensual'!G187+parametros_recargas!$L$81*'Plan mensual'!G188</f>
        <v>960.634525072525</v>
      </c>
      <c r="F171" s="23" t="n">
        <f aca="false">parametros_recargas!$E$81*'Plan mensual'!H181+parametros_recargas!$F$81*'Plan mensual'!H182+parametros_recargas!$G$81*'Plan mensual'!H183+parametros_recargas!$H$81*'Plan mensual'!H184+parametros_recargas!$I$81*'Plan mensual'!H185+parametros_recargas!$J$81*'Plan mensual'!H186+parametros_recargas!$K$81*'Plan mensual'!H187+parametros_recargas!$L$81*'Plan mensual'!H188</f>
        <v>960.634525072525</v>
      </c>
      <c r="G171" s="23" t="n">
        <f aca="false">parametros_recargas!$E$81*'Plan mensual'!I181+parametros_recargas!$F$81*'Plan mensual'!I182+parametros_recargas!$G$81*'Plan mensual'!I183+parametros_recargas!$H$81*'Plan mensual'!I184+parametros_recargas!$I$81*'Plan mensual'!I185+parametros_recargas!$J$81*'Plan mensual'!I186+parametros_recargas!$K$81*'Plan mensual'!I187+parametros_recargas!$L$81*'Plan mensual'!I188</f>
        <v>960.634525072525</v>
      </c>
      <c r="H171" s="23" t="n">
        <f aca="false">parametros_recargas!$E$81*'Plan mensual'!J181+parametros_recargas!$F$81*'Plan mensual'!J182+parametros_recargas!$G$81*'Plan mensual'!J183+parametros_recargas!$H$81*'Plan mensual'!J184+parametros_recargas!$I$81*'Plan mensual'!J185+parametros_recargas!$J$81*'Plan mensual'!J186+parametros_recargas!$K$81*'Plan mensual'!J187+parametros_recargas!$L$81*'Plan mensual'!J188</f>
        <v>960.634525072525</v>
      </c>
      <c r="I171" s="23" t="n">
        <f aca="false">parametros_recargas!$E$81*'Plan mensual'!K181+parametros_recargas!$F$81*'Plan mensual'!K182+parametros_recargas!$G$81*'Plan mensual'!K183+parametros_recargas!$H$81*'Plan mensual'!K184+parametros_recargas!$I$81*'Plan mensual'!K185+parametros_recargas!$J$81*'Plan mensual'!K186+parametros_recargas!$K$81*'Plan mensual'!K187+parametros_recargas!$L$81*'Plan mensual'!K188</f>
        <v>960.634525072525</v>
      </c>
      <c r="J171" s="23" t="n">
        <f aca="false">parametros_recargas!$E$81*'Plan mensual'!L181+parametros_recargas!$F$81*'Plan mensual'!L182+parametros_recargas!$G$81*'Plan mensual'!L183+parametros_recargas!$H$81*'Plan mensual'!L184+parametros_recargas!$I$81*'Plan mensual'!L185+parametros_recargas!$J$81*'Plan mensual'!L186+parametros_recargas!$K$81*'Plan mensual'!L187+parametros_recargas!$L$81*'Plan mensual'!L188</f>
        <v>960.634525072525</v>
      </c>
      <c r="K171" s="23" t="n">
        <f aca="false">parametros_recargas!$E$81*'Plan mensual'!M181+parametros_recargas!$F$81*'Plan mensual'!M182+parametros_recargas!$G$81*'Plan mensual'!M183+parametros_recargas!$H$81*'Plan mensual'!M184+parametros_recargas!$I$81*'Plan mensual'!M185+parametros_recargas!$J$81*'Plan mensual'!M186+parametros_recargas!$K$81*'Plan mensual'!M187+parametros_recargas!$L$81*'Plan mensual'!M188</f>
        <v>960.634525072525</v>
      </c>
      <c r="L171" s="23" t="n">
        <f aca="false">parametros_recargas!$E$81*'Plan mensual'!N181+parametros_recargas!$F$81*'Plan mensual'!N182+parametros_recargas!$G$81*'Plan mensual'!N183+parametros_recargas!$H$81*'Plan mensual'!N184+parametros_recargas!$I$81*'Plan mensual'!N185+parametros_recargas!$J$81*'Plan mensual'!N186+parametros_recargas!$K$81*'Plan mensual'!N187+parametros_recargas!$L$81*'Plan mensual'!N188</f>
        <v>960.634525072525</v>
      </c>
      <c r="M171" s="23" t="n">
        <f aca="false">parametros_recargas!$E$81*'Plan mensual'!O181+parametros_recargas!$F$81*'Plan mensual'!O182+parametros_recargas!$G$81*'Plan mensual'!O183+parametros_recargas!$H$81*'Plan mensual'!O184+parametros_recargas!$I$81*'Plan mensual'!O185+parametros_recargas!$J$81*'Plan mensual'!O186+parametros_recargas!$K$81*'Plan mensual'!O187+parametros_recargas!$L$81*'Plan mensual'!O188</f>
        <v>960.634525072525</v>
      </c>
      <c r="N171" s="7" t="n">
        <f aca="false">SUM(B171:M171)</f>
        <v>11527.6143008703</v>
      </c>
      <c r="O171" s="24" t="n">
        <f aca="false">MAX(B171:M171)</f>
        <v>960.634525072525</v>
      </c>
      <c r="P171" s="15" t="n">
        <f aca="false">O171/parametros_recargas!$B$6</f>
        <v>6.40423016715017</v>
      </c>
    </row>
    <row r="172" customFormat="false" ht="15" hidden="false" customHeight="false" outlineLevel="0" collapsed="false">
      <c r="A172" s="12" t="str">
        <f aca="false">parametros_recargas!$B$82</f>
        <v>Laboratorio — Puffer y mufla</v>
      </c>
      <c r="B172" s="23" t="n">
        <f aca="false">parametros_recargas!$E$82*'Plan mensual'!D181+parametros_recargas!$F$82*'Plan mensual'!D182+parametros_recargas!$G$82*'Plan mensual'!D183+parametros_recargas!$H$82*'Plan mensual'!D184+parametros_recargas!$I$82*'Plan mensual'!D185+parametros_recargas!$J$82*'Plan mensual'!D186+parametros_recargas!$K$82*'Plan mensual'!D187+parametros_recargas!$L$82*'Plan mensual'!D188</f>
        <v>12.4339556168439</v>
      </c>
      <c r="C172" s="23" t="n">
        <f aca="false">parametros_recargas!$E$82*'Plan mensual'!E181+parametros_recargas!$F$82*'Plan mensual'!E182+parametros_recargas!$G$82*'Plan mensual'!E183+parametros_recargas!$H$82*'Plan mensual'!E184+parametros_recargas!$I$82*'Plan mensual'!E185+parametros_recargas!$J$82*'Plan mensual'!E186+parametros_recargas!$K$82*'Plan mensual'!E187+parametros_recargas!$L$82*'Plan mensual'!E188</f>
        <v>12.4339556168439</v>
      </c>
      <c r="D172" s="23" t="n">
        <f aca="false">parametros_recargas!$E$82*'Plan mensual'!F181+parametros_recargas!$F$82*'Plan mensual'!F182+parametros_recargas!$G$82*'Plan mensual'!F183+parametros_recargas!$H$82*'Plan mensual'!F184+parametros_recargas!$I$82*'Plan mensual'!F185+parametros_recargas!$J$82*'Plan mensual'!F186+parametros_recargas!$K$82*'Plan mensual'!F187+parametros_recargas!$L$82*'Plan mensual'!F188</f>
        <v>12.4339556168439</v>
      </c>
      <c r="E172" s="23" t="n">
        <f aca="false">parametros_recargas!$E$82*'Plan mensual'!G181+parametros_recargas!$F$82*'Plan mensual'!G182+parametros_recargas!$G$82*'Plan mensual'!G183+parametros_recargas!$H$82*'Plan mensual'!G184+parametros_recargas!$I$82*'Plan mensual'!G185+parametros_recargas!$J$82*'Plan mensual'!G186+parametros_recargas!$K$82*'Plan mensual'!G187+parametros_recargas!$L$82*'Plan mensual'!G188</f>
        <v>12.4339556168439</v>
      </c>
      <c r="F172" s="23" t="n">
        <f aca="false">parametros_recargas!$E$82*'Plan mensual'!H181+parametros_recargas!$F$82*'Plan mensual'!H182+parametros_recargas!$G$82*'Plan mensual'!H183+parametros_recargas!$H$82*'Plan mensual'!H184+parametros_recargas!$I$82*'Plan mensual'!H185+parametros_recargas!$J$82*'Plan mensual'!H186+parametros_recargas!$K$82*'Plan mensual'!H187+parametros_recargas!$L$82*'Plan mensual'!H188</f>
        <v>12.4339556168439</v>
      </c>
      <c r="G172" s="23" t="n">
        <f aca="false">parametros_recargas!$E$82*'Plan mensual'!I181+parametros_recargas!$F$82*'Plan mensual'!I182+parametros_recargas!$G$82*'Plan mensual'!I183+parametros_recargas!$H$82*'Plan mensual'!I184+parametros_recargas!$I$82*'Plan mensual'!I185+parametros_recargas!$J$82*'Plan mensual'!I186+parametros_recargas!$K$82*'Plan mensual'!I187+parametros_recargas!$L$82*'Plan mensual'!I188</f>
        <v>12.4339556168439</v>
      </c>
      <c r="H172" s="23" t="n">
        <f aca="false">parametros_recargas!$E$82*'Plan mensual'!J181+parametros_recargas!$F$82*'Plan mensual'!J182+parametros_recargas!$G$82*'Plan mensual'!J183+parametros_recargas!$H$82*'Plan mensual'!J184+parametros_recargas!$I$82*'Plan mensual'!J185+parametros_recargas!$J$82*'Plan mensual'!J186+parametros_recargas!$K$82*'Plan mensual'!J187+parametros_recargas!$L$82*'Plan mensual'!J188</f>
        <v>12.4339556168439</v>
      </c>
      <c r="I172" s="23" t="n">
        <f aca="false">parametros_recargas!$E$82*'Plan mensual'!K181+parametros_recargas!$F$82*'Plan mensual'!K182+parametros_recargas!$G$82*'Plan mensual'!K183+parametros_recargas!$H$82*'Plan mensual'!K184+parametros_recargas!$I$82*'Plan mensual'!K185+parametros_recargas!$J$82*'Plan mensual'!K186+parametros_recargas!$K$82*'Plan mensual'!K187+parametros_recargas!$L$82*'Plan mensual'!K188</f>
        <v>12.4339556168439</v>
      </c>
      <c r="J172" s="23" t="n">
        <f aca="false">parametros_recargas!$E$82*'Plan mensual'!L181+parametros_recargas!$F$82*'Plan mensual'!L182+parametros_recargas!$G$82*'Plan mensual'!L183+parametros_recargas!$H$82*'Plan mensual'!L184+parametros_recargas!$I$82*'Plan mensual'!L185+parametros_recargas!$J$82*'Plan mensual'!L186+parametros_recargas!$K$82*'Plan mensual'!L187+parametros_recargas!$L$82*'Plan mensual'!L188</f>
        <v>12.4339556168439</v>
      </c>
      <c r="K172" s="23" t="n">
        <f aca="false">parametros_recargas!$E$82*'Plan mensual'!M181+parametros_recargas!$F$82*'Plan mensual'!M182+parametros_recargas!$G$82*'Plan mensual'!M183+parametros_recargas!$H$82*'Plan mensual'!M184+parametros_recargas!$I$82*'Plan mensual'!M185+parametros_recargas!$J$82*'Plan mensual'!M186+parametros_recargas!$K$82*'Plan mensual'!M187+parametros_recargas!$L$82*'Plan mensual'!M188</f>
        <v>12.4339556168439</v>
      </c>
      <c r="L172" s="23" t="n">
        <f aca="false">parametros_recargas!$E$82*'Plan mensual'!N181+parametros_recargas!$F$82*'Plan mensual'!N182+parametros_recargas!$G$82*'Plan mensual'!N183+parametros_recargas!$H$82*'Plan mensual'!N184+parametros_recargas!$I$82*'Plan mensual'!N185+parametros_recargas!$J$82*'Plan mensual'!N186+parametros_recargas!$K$82*'Plan mensual'!N187+parametros_recargas!$L$82*'Plan mensual'!N188</f>
        <v>12.4339556168439</v>
      </c>
      <c r="M172" s="23" t="n">
        <f aca="false">parametros_recargas!$E$82*'Plan mensual'!O181+parametros_recargas!$F$82*'Plan mensual'!O182+parametros_recargas!$G$82*'Plan mensual'!O183+parametros_recargas!$H$82*'Plan mensual'!O184+parametros_recargas!$I$82*'Plan mensual'!O185+parametros_recargas!$J$82*'Plan mensual'!O186+parametros_recargas!$K$82*'Plan mensual'!O187+parametros_recargas!$L$82*'Plan mensual'!O188</f>
        <v>12.4339556168439</v>
      </c>
      <c r="N172" s="7" t="n">
        <f aca="false">SUM(B172:M172)</f>
        <v>149.207467402127</v>
      </c>
      <c r="O172" s="24" t="n">
        <f aca="false">MAX(B172:M172)</f>
        <v>12.4339556168439</v>
      </c>
      <c r="P172" s="15" t="n">
        <f aca="false">O172/parametros_recargas!$B$6</f>
        <v>0.0828930374456262</v>
      </c>
    </row>
    <row r="173" customFormat="false" ht="15" hidden="false" customHeight="false" outlineLevel="0" collapsed="false">
      <c r="A173" s="12" t="str">
        <f aca="false">parametros_recargas!$B$83</f>
        <v>Prueba hidráulica</v>
      </c>
      <c r="B173" s="23" t="n">
        <f aca="false">parametros_recargas!$E$83*'Plan mensual'!D181+parametros_recargas!$F$83*'Plan mensual'!D182+parametros_recargas!$G$83*'Plan mensual'!D183+parametros_recargas!$H$83*'Plan mensual'!D184+parametros_recargas!$I$83*'Plan mensual'!D185+parametros_recargas!$J$83*'Plan mensual'!D186+parametros_recargas!$K$83*'Plan mensual'!D187+parametros_recargas!$L$83*'Plan mensual'!D188</f>
        <v>3063.61580391918</v>
      </c>
      <c r="C173" s="23" t="n">
        <f aca="false">parametros_recargas!$E$83*'Plan mensual'!E181+parametros_recargas!$F$83*'Plan mensual'!E182+parametros_recargas!$G$83*'Plan mensual'!E183+parametros_recargas!$H$83*'Plan mensual'!E184+parametros_recargas!$I$83*'Plan mensual'!E185+parametros_recargas!$J$83*'Plan mensual'!E186+parametros_recargas!$K$83*'Plan mensual'!E187+parametros_recargas!$L$83*'Plan mensual'!E188</f>
        <v>3063.61580391918</v>
      </c>
      <c r="D173" s="23" t="n">
        <f aca="false">parametros_recargas!$E$83*'Plan mensual'!F181+parametros_recargas!$F$83*'Plan mensual'!F182+parametros_recargas!$G$83*'Plan mensual'!F183+parametros_recargas!$H$83*'Plan mensual'!F184+parametros_recargas!$I$83*'Plan mensual'!F185+parametros_recargas!$J$83*'Plan mensual'!F186+parametros_recargas!$K$83*'Plan mensual'!F187+parametros_recargas!$L$83*'Plan mensual'!F188</f>
        <v>3063.61580391918</v>
      </c>
      <c r="E173" s="23" t="n">
        <f aca="false">parametros_recargas!$E$83*'Plan mensual'!G181+parametros_recargas!$F$83*'Plan mensual'!G182+parametros_recargas!$G$83*'Plan mensual'!G183+parametros_recargas!$H$83*'Plan mensual'!G184+parametros_recargas!$I$83*'Plan mensual'!G185+parametros_recargas!$J$83*'Plan mensual'!G186+parametros_recargas!$K$83*'Plan mensual'!G187+parametros_recargas!$L$83*'Plan mensual'!G188</f>
        <v>3063.61580391918</v>
      </c>
      <c r="F173" s="23" t="n">
        <f aca="false">parametros_recargas!$E$83*'Plan mensual'!H181+parametros_recargas!$F$83*'Plan mensual'!H182+parametros_recargas!$G$83*'Plan mensual'!H183+parametros_recargas!$H$83*'Plan mensual'!H184+parametros_recargas!$I$83*'Plan mensual'!H185+parametros_recargas!$J$83*'Plan mensual'!H186+parametros_recargas!$K$83*'Plan mensual'!H187+parametros_recargas!$L$83*'Plan mensual'!H188</f>
        <v>3063.61580391918</v>
      </c>
      <c r="G173" s="23" t="n">
        <f aca="false">parametros_recargas!$E$83*'Plan mensual'!I181+parametros_recargas!$F$83*'Plan mensual'!I182+parametros_recargas!$G$83*'Plan mensual'!I183+parametros_recargas!$H$83*'Plan mensual'!I184+parametros_recargas!$I$83*'Plan mensual'!I185+parametros_recargas!$J$83*'Plan mensual'!I186+parametros_recargas!$K$83*'Plan mensual'!I187+parametros_recargas!$L$83*'Plan mensual'!I188</f>
        <v>3063.61580391918</v>
      </c>
      <c r="H173" s="23" t="n">
        <f aca="false">parametros_recargas!$E$83*'Plan mensual'!J181+parametros_recargas!$F$83*'Plan mensual'!J182+parametros_recargas!$G$83*'Plan mensual'!J183+parametros_recargas!$H$83*'Plan mensual'!J184+parametros_recargas!$I$83*'Plan mensual'!J185+parametros_recargas!$J$83*'Plan mensual'!J186+parametros_recargas!$K$83*'Plan mensual'!J187+parametros_recargas!$L$83*'Plan mensual'!J188</f>
        <v>3063.61580391918</v>
      </c>
      <c r="I173" s="23" t="n">
        <f aca="false">parametros_recargas!$E$83*'Plan mensual'!K181+parametros_recargas!$F$83*'Plan mensual'!K182+parametros_recargas!$G$83*'Plan mensual'!K183+parametros_recargas!$H$83*'Plan mensual'!K184+parametros_recargas!$I$83*'Plan mensual'!K185+parametros_recargas!$J$83*'Plan mensual'!K186+parametros_recargas!$K$83*'Plan mensual'!K187+parametros_recargas!$L$83*'Plan mensual'!K188</f>
        <v>3063.61580391918</v>
      </c>
      <c r="J173" s="23" t="n">
        <f aca="false">parametros_recargas!$E$83*'Plan mensual'!L181+parametros_recargas!$F$83*'Plan mensual'!L182+parametros_recargas!$G$83*'Plan mensual'!L183+parametros_recargas!$H$83*'Plan mensual'!L184+parametros_recargas!$I$83*'Plan mensual'!L185+parametros_recargas!$J$83*'Plan mensual'!L186+parametros_recargas!$K$83*'Plan mensual'!L187+parametros_recargas!$L$83*'Plan mensual'!L188</f>
        <v>3063.61580391918</v>
      </c>
      <c r="K173" s="23" t="n">
        <f aca="false">parametros_recargas!$E$83*'Plan mensual'!M181+parametros_recargas!$F$83*'Plan mensual'!M182+parametros_recargas!$G$83*'Plan mensual'!M183+parametros_recargas!$H$83*'Plan mensual'!M184+parametros_recargas!$I$83*'Plan mensual'!M185+parametros_recargas!$J$83*'Plan mensual'!M186+parametros_recargas!$K$83*'Plan mensual'!M187+parametros_recargas!$L$83*'Plan mensual'!M188</f>
        <v>3063.61580391918</v>
      </c>
      <c r="L173" s="23" t="n">
        <f aca="false">parametros_recargas!$E$83*'Plan mensual'!N181+parametros_recargas!$F$83*'Plan mensual'!N182+parametros_recargas!$G$83*'Plan mensual'!N183+parametros_recargas!$H$83*'Plan mensual'!N184+parametros_recargas!$I$83*'Plan mensual'!N185+parametros_recargas!$J$83*'Plan mensual'!N186+parametros_recargas!$K$83*'Plan mensual'!N187+parametros_recargas!$L$83*'Plan mensual'!N188</f>
        <v>3063.61580391918</v>
      </c>
      <c r="M173" s="23" t="n">
        <f aca="false">parametros_recargas!$E$83*'Plan mensual'!O181+parametros_recargas!$F$83*'Plan mensual'!O182+parametros_recargas!$G$83*'Plan mensual'!O183+parametros_recargas!$H$83*'Plan mensual'!O184+parametros_recargas!$I$83*'Plan mensual'!O185+parametros_recargas!$J$83*'Plan mensual'!O186+parametros_recargas!$K$83*'Plan mensual'!O187+parametros_recargas!$L$83*'Plan mensual'!O188</f>
        <v>3063.61580391918</v>
      </c>
      <c r="N173" s="7" t="n">
        <f aca="false">SUM(B173:M173)</f>
        <v>36763.3896470302</v>
      </c>
      <c r="O173" s="24" t="n">
        <f aca="false">MAX(B173:M173)</f>
        <v>3063.61580391918</v>
      </c>
      <c r="P173" s="15" t="n">
        <f aca="false">O173/parametros_recargas!$B$6</f>
        <v>20.4241053594612</v>
      </c>
    </row>
    <row r="174" customFormat="false" ht="15" hidden="false" customHeight="false" outlineLevel="0" collapsed="false">
      <c r="A174" s="12" t="str">
        <f aca="false">parametros_recargas!$B$84</f>
        <v>Secado</v>
      </c>
      <c r="B174" s="23" t="n">
        <f aca="false">parametros_recargas!$E$84*'Plan mensual'!D181+parametros_recargas!$F$84*'Plan mensual'!D182+parametros_recargas!$G$84*'Plan mensual'!D183+parametros_recargas!$H$84*'Plan mensual'!D184+parametros_recargas!$I$84*'Plan mensual'!D185+parametros_recargas!$J$84*'Plan mensual'!D186+parametros_recargas!$K$84*'Plan mensual'!D187+parametros_recargas!$L$84*'Plan mensual'!D188</f>
        <v>2863.22843411518</v>
      </c>
      <c r="C174" s="23" t="n">
        <f aca="false">parametros_recargas!$E$84*'Plan mensual'!E181+parametros_recargas!$F$84*'Plan mensual'!E182+parametros_recargas!$G$84*'Plan mensual'!E183+parametros_recargas!$H$84*'Plan mensual'!E184+parametros_recargas!$I$84*'Plan mensual'!E185+parametros_recargas!$J$84*'Plan mensual'!E186+parametros_recargas!$K$84*'Plan mensual'!E187+parametros_recargas!$L$84*'Plan mensual'!E188</f>
        <v>2863.22843411518</v>
      </c>
      <c r="D174" s="23" t="n">
        <f aca="false">parametros_recargas!$E$84*'Plan mensual'!F181+parametros_recargas!$F$84*'Plan mensual'!F182+parametros_recargas!$G$84*'Plan mensual'!F183+parametros_recargas!$H$84*'Plan mensual'!F184+parametros_recargas!$I$84*'Plan mensual'!F185+parametros_recargas!$J$84*'Plan mensual'!F186+parametros_recargas!$K$84*'Plan mensual'!F187+parametros_recargas!$L$84*'Plan mensual'!F188</f>
        <v>2863.22843411518</v>
      </c>
      <c r="E174" s="23" t="n">
        <f aca="false">parametros_recargas!$E$84*'Plan mensual'!G181+parametros_recargas!$F$84*'Plan mensual'!G182+parametros_recargas!$G$84*'Plan mensual'!G183+parametros_recargas!$H$84*'Plan mensual'!G184+parametros_recargas!$I$84*'Plan mensual'!G185+parametros_recargas!$J$84*'Plan mensual'!G186+parametros_recargas!$K$84*'Plan mensual'!G187+parametros_recargas!$L$84*'Plan mensual'!G188</f>
        <v>2863.22843411518</v>
      </c>
      <c r="F174" s="23" t="n">
        <f aca="false">parametros_recargas!$E$84*'Plan mensual'!H181+parametros_recargas!$F$84*'Plan mensual'!H182+parametros_recargas!$G$84*'Plan mensual'!H183+parametros_recargas!$H$84*'Plan mensual'!H184+parametros_recargas!$I$84*'Plan mensual'!H185+parametros_recargas!$J$84*'Plan mensual'!H186+parametros_recargas!$K$84*'Plan mensual'!H187+parametros_recargas!$L$84*'Plan mensual'!H188</f>
        <v>2863.22843411518</v>
      </c>
      <c r="G174" s="23" t="n">
        <f aca="false">parametros_recargas!$E$84*'Plan mensual'!I181+parametros_recargas!$F$84*'Plan mensual'!I182+parametros_recargas!$G$84*'Plan mensual'!I183+parametros_recargas!$H$84*'Plan mensual'!I184+parametros_recargas!$I$84*'Plan mensual'!I185+parametros_recargas!$J$84*'Plan mensual'!I186+parametros_recargas!$K$84*'Plan mensual'!I187+parametros_recargas!$L$84*'Plan mensual'!I188</f>
        <v>2863.22843411518</v>
      </c>
      <c r="H174" s="23" t="n">
        <f aca="false">parametros_recargas!$E$84*'Plan mensual'!J181+parametros_recargas!$F$84*'Plan mensual'!J182+parametros_recargas!$G$84*'Plan mensual'!J183+parametros_recargas!$H$84*'Plan mensual'!J184+parametros_recargas!$I$84*'Plan mensual'!J185+parametros_recargas!$J$84*'Plan mensual'!J186+parametros_recargas!$K$84*'Plan mensual'!J187+parametros_recargas!$L$84*'Plan mensual'!J188</f>
        <v>2863.22843411518</v>
      </c>
      <c r="I174" s="23" t="n">
        <f aca="false">parametros_recargas!$E$84*'Plan mensual'!K181+parametros_recargas!$F$84*'Plan mensual'!K182+parametros_recargas!$G$84*'Plan mensual'!K183+parametros_recargas!$H$84*'Plan mensual'!K184+parametros_recargas!$I$84*'Plan mensual'!K185+parametros_recargas!$J$84*'Plan mensual'!K186+parametros_recargas!$K$84*'Plan mensual'!K187+parametros_recargas!$L$84*'Plan mensual'!K188</f>
        <v>2863.22843411518</v>
      </c>
      <c r="J174" s="23" t="n">
        <f aca="false">parametros_recargas!$E$84*'Plan mensual'!L181+parametros_recargas!$F$84*'Plan mensual'!L182+parametros_recargas!$G$84*'Plan mensual'!L183+parametros_recargas!$H$84*'Plan mensual'!L184+parametros_recargas!$I$84*'Plan mensual'!L185+parametros_recargas!$J$84*'Plan mensual'!L186+parametros_recargas!$K$84*'Plan mensual'!L187+parametros_recargas!$L$84*'Plan mensual'!L188</f>
        <v>2863.22843411518</v>
      </c>
      <c r="K174" s="23" t="n">
        <f aca="false">parametros_recargas!$E$84*'Plan mensual'!M181+parametros_recargas!$F$84*'Plan mensual'!M182+parametros_recargas!$G$84*'Plan mensual'!M183+parametros_recargas!$H$84*'Plan mensual'!M184+parametros_recargas!$I$84*'Plan mensual'!M185+parametros_recargas!$J$84*'Plan mensual'!M186+parametros_recargas!$K$84*'Plan mensual'!M187+parametros_recargas!$L$84*'Plan mensual'!M188</f>
        <v>2863.22843411518</v>
      </c>
      <c r="L174" s="23" t="n">
        <f aca="false">parametros_recargas!$E$84*'Plan mensual'!N181+parametros_recargas!$F$84*'Plan mensual'!N182+parametros_recargas!$G$84*'Plan mensual'!N183+parametros_recargas!$H$84*'Plan mensual'!N184+parametros_recargas!$I$84*'Plan mensual'!N185+parametros_recargas!$J$84*'Plan mensual'!N186+parametros_recargas!$K$84*'Plan mensual'!N187+parametros_recargas!$L$84*'Plan mensual'!N188</f>
        <v>2863.22843411518</v>
      </c>
      <c r="M174" s="23" t="n">
        <f aca="false">parametros_recargas!$E$84*'Plan mensual'!O181+parametros_recargas!$F$84*'Plan mensual'!O182+parametros_recargas!$G$84*'Plan mensual'!O183+parametros_recargas!$H$84*'Plan mensual'!O184+parametros_recargas!$I$84*'Plan mensual'!O185+parametros_recargas!$J$84*'Plan mensual'!O186+parametros_recargas!$K$84*'Plan mensual'!O187+parametros_recargas!$L$84*'Plan mensual'!O188</f>
        <v>2863.22843411518</v>
      </c>
      <c r="N174" s="7" t="n">
        <f aca="false">SUM(B174:M174)</f>
        <v>34358.7412093821</v>
      </c>
      <c r="O174" s="24" t="n">
        <f aca="false">MAX(B174:M174)</f>
        <v>2863.22843411518</v>
      </c>
      <c r="P174" s="15" t="n">
        <f aca="false">O174/parametros_recargas!$B$6</f>
        <v>19.0881895607679</v>
      </c>
    </row>
    <row r="175" customFormat="false" ht="15" hidden="false" customHeight="false" outlineLevel="0" collapsed="false">
      <c r="A175" s="12" t="str">
        <f aca="false">parametros_recargas!$B$85</f>
        <v>Inspección interior con videoscopio</v>
      </c>
      <c r="B175" s="23" t="n">
        <f aca="false">parametros_recargas!$E$85*'Plan mensual'!D181+parametros_recargas!$F$85*'Plan mensual'!D182+parametros_recargas!$G$85*'Plan mensual'!D183+parametros_recargas!$H$85*'Plan mensual'!D184+parametros_recargas!$I$85*'Plan mensual'!D185+parametros_recargas!$J$85*'Plan mensual'!D186+parametros_recargas!$K$85*'Plan mensual'!D187+parametros_recargas!$L$85*'Plan mensual'!D188</f>
        <v>2863.22843411518</v>
      </c>
      <c r="C175" s="23" t="n">
        <f aca="false">parametros_recargas!$E$85*'Plan mensual'!E181+parametros_recargas!$F$85*'Plan mensual'!E182+parametros_recargas!$G$85*'Plan mensual'!E183+parametros_recargas!$H$85*'Plan mensual'!E184+parametros_recargas!$I$85*'Plan mensual'!E185+parametros_recargas!$J$85*'Plan mensual'!E186+parametros_recargas!$K$85*'Plan mensual'!E187+parametros_recargas!$L$85*'Plan mensual'!E188</f>
        <v>2863.22843411518</v>
      </c>
      <c r="D175" s="23" t="n">
        <f aca="false">parametros_recargas!$E$85*'Plan mensual'!F181+parametros_recargas!$F$85*'Plan mensual'!F182+parametros_recargas!$G$85*'Plan mensual'!F183+parametros_recargas!$H$85*'Plan mensual'!F184+parametros_recargas!$I$85*'Plan mensual'!F185+parametros_recargas!$J$85*'Plan mensual'!F186+parametros_recargas!$K$85*'Plan mensual'!F187+parametros_recargas!$L$85*'Plan mensual'!F188</f>
        <v>2863.22843411518</v>
      </c>
      <c r="E175" s="23" t="n">
        <f aca="false">parametros_recargas!$E$85*'Plan mensual'!G181+parametros_recargas!$F$85*'Plan mensual'!G182+parametros_recargas!$G$85*'Plan mensual'!G183+parametros_recargas!$H$85*'Plan mensual'!G184+parametros_recargas!$I$85*'Plan mensual'!G185+parametros_recargas!$J$85*'Plan mensual'!G186+parametros_recargas!$K$85*'Plan mensual'!G187+parametros_recargas!$L$85*'Plan mensual'!G188</f>
        <v>2863.22843411518</v>
      </c>
      <c r="F175" s="23" t="n">
        <f aca="false">parametros_recargas!$E$85*'Plan mensual'!H181+parametros_recargas!$F$85*'Plan mensual'!H182+parametros_recargas!$G$85*'Plan mensual'!H183+parametros_recargas!$H$85*'Plan mensual'!H184+parametros_recargas!$I$85*'Plan mensual'!H185+parametros_recargas!$J$85*'Plan mensual'!H186+parametros_recargas!$K$85*'Plan mensual'!H187+parametros_recargas!$L$85*'Plan mensual'!H188</f>
        <v>2863.22843411518</v>
      </c>
      <c r="G175" s="23" t="n">
        <f aca="false">parametros_recargas!$E$85*'Plan mensual'!I181+parametros_recargas!$F$85*'Plan mensual'!I182+parametros_recargas!$G$85*'Plan mensual'!I183+parametros_recargas!$H$85*'Plan mensual'!I184+parametros_recargas!$I$85*'Plan mensual'!I185+parametros_recargas!$J$85*'Plan mensual'!I186+parametros_recargas!$K$85*'Plan mensual'!I187+parametros_recargas!$L$85*'Plan mensual'!I188</f>
        <v>2863.22843411518</v>
      </c>
      <c r="H175" s="23" t="n">
        <f aca="false">parametros_recargas!$E$85*'Plan mensual'!J181+parametros_recargas!$F$85*'Plan mensual'!J182+parametros_recargas!$G$85*'Plan mensual'!J183+parametros_recargas!$H$85*'Plan mensual'!J184+parametros_recargas!$I$85*'Plan mensual'!J185+parametros_recargas!$J$85*'Plan mensual'!J186+parametros_recargas!$K$85*'Plan mensual'!J187+parametros_recargas!$L$85*'Plan mensual'!J188</f>
        <v>2863.22843411518</v>
      </c>
      <c r="I175" s="23" t="n">
        <f aca="false">parametros_recargas!$E$85*'Plan mensual'!K181+parametros_recargas!$F$85*'Plan mensual'!K182+parametros_recargas!$G$85*'Plan mensual'!K183+parametros_recargas!$H$85*'Plan mensual'!K184+parametros_recargas!$I$85*'Plan mensual'!K185+parametros_recargas!$J$85*'Plan mensual'!K186+parametros_recargas!$K$85*'Plan mensual'!K187+parametros_recargas!$L$85*'Plan mensual'!K188</f>
        <v>2863.22843411518</v>
      </c>
      <c r="J175" s="23" t="n">
        <f aca="false">parametros_recargas!$E$85*'Plan mensual'!L181+parametros_recargas!$F$85*'Plan mensual'!L182+parametros_recargas!$G$85*'Plan mensual'!L183+parametros_recargas!$H$85*'Plan mensual'!L184+parametros_recargas!$I$85*'Plan mensual'!L185+parametros_recargas!$J$85*'Plan mensual'!L186+parametros_recargas!$K$85*'Plan mensual'!L187+parametros_recargas!$L$85*'Plan mensual'!L188</f>
        <v>2863.22843411518</v>
      </c>
      <c r="K175" s="23" t="n">
        <f aca="false">parametros_recargas!$E$85*'Plan mensual'!M181+parametros_recargas!$F$85*'Plan mensual'!M182+parametros_recargas!$G$85*'Plan mensual'!M183+parametros_recargas!$H$85*'Plan mensual'!M184+parametros_recargas!$I$85*'Plan mensual'!M185+parametros_recargas!$J$85*'Plan mensual'!M186+parametros_recargas!$K$85*'Plan mensual'!M187+parametros_recargas!$L$85*'Plan mensual'!M188</f>
        <v>2863.22843411518</v>
      </c>
      <c r="L175" s="23" t="n">
        <f aca="false">parametros_recargas!$E$85*'Plan mensual'!N181+parametros_recargas!$F$85*'Plan mensual'!N182+parametros_recargas!$G$85*'Plan mensual'!N183+parametros_recargas!$H$85*'Plan mensual'!N184+parametros_recargas!$I$85*'Plan mensual'!N185+parametros_recargas!$J$85*'Plan mensual'!N186+parametros_recargas!$K$85*'Plan mensual'!N187+parametros_recargas!$L$85*'Plan mensual'!N188</f>
        <v>2863.22843411518</v>
      </c>
      <c r="M175" s="23" t="n">
        <f aca="false">parametros_recargas!$E$85*'Plan mensual'!O181+parametros_recargas!$F$85*'Plan mensual'!O182+parametros_recargas!$G$85*'Plan mensual'!O183+parametros_recargas!$H$85*'Plan mensual'!O184+parametros_recargas!$I$85*'Plan mensual'!O185+parametros_recargas!$J$85*'Plan mensual'!O186+parametros_recargas!$K$85*'Plan mensual'!O187+parametros_recargas!$L$85*'Plan mensual'!O188</f>
        <v>2863.22843411518</v>
      </c>
      <c r="N175" s="7" t="n">
        <f aca="false">SUM(B175:M175)</f>
        <v>34358.7412093821</v>
      </c>
      <c r="O175" s="24" t="n">
        <f aca="false">MAX(B175:M175)</f>
        <v>2863.22843411518</v>
      </c>
      <c r="P175" s="15" t="n">
        <f aca="false">O175/parametros_recargas!$B$6</f>
        <v>19.0881895607679</v>
      </c>
    </row>
    <row r="176" customFormat="false" ht="15" hidden="false" customHeight="false" outlineLevel="0" collapsed="false">
      <c r="A176" s="12" t="str">
        <f aca="false">parametros_recargas!$B$86</f>
        <v>Pintura</v>
      </c>
      <c r="B176" s="23" t="n">
        <f aca="false">parametros_recargas!$E$86*'Plan mensual'!D181+parametros_recargas!$F$86*'Plan mensual'!D182+parametros_recargas!$G$86*'Plan mensual'!D183+parametros_recargas!$H$86*'Plan mensual'!D184+parametros_recargas!$I$86*'Plan mensual'!D185+parametros_recargas!$J$86*'Plan mensual'!D186+parametros_recargas!$K$86*'Plan mensual'!D187+parametros_recargas!$L$86*'Plan mensual'!D188</f>
        <v>1434.34106309452</v>
      </c>
      <c r="C176" s="23" t="n">
        <f aca="false">parametros_recargas!$E$86*'Plan mensual'!E181+parametros_recargas!$F$86*'Plan mensual'!E182+parametros_recargas!$G$86*'Plan mensual'!E183+parametros_recargas!$H$86*'Plan mensual'!E184+parametros_recargas!$I$86*'Plan mensual'!E185+parametros_recargas!$J$86*'Plan mensual'!E186+parametros_recargas!$K$86*'Plan mensual'!E187+parametros_recargas!$L$86*'Plan mensual'!E188</f>
        <v>1434.34106309452</v>
      </c>
      <c r="D176" s="23" t="n">
        <f aca="false">parametros_recargas!$E$86*'Plan mensual'!F181+parametros_recargas!$F$86*'Plan mensual'!F182+parametros_recargas!$G$86*'Plan mensual'!F183+parametros_recargas!$H$86*'Plan mensual'!F184+parametros_recargas!$I$86*'Plan mensual'!F185+parametros_recargas!$J$86*'Plan mensual'!F186+parametros_recargas!$K$86*'Plan mensual'!F187+parametros_recargas!$L$86*'Plan mensual'!F188</f>
        <v>1434.34106309452</v>
      </c>
      <c r="E176" s="23" t="n">
        <f aca="false">parametros_recargas!$E$86*'Plan mensual'!G181+parametros_recargas!$F$86*'Plan mensual'!G182+parametros_recargas!$G$86*'Plan mensual'!G183+parametros_recargas!$H$86*'Plan mensual'!G184+parametros_recargas!$I$86*'Plan mensual'!G185+parametros_recargas!$J$86*'Plan mensual'!G186+parametros_recargas!$K$86*'Plan mensual'!G187+parametros_recargas!$L$86*'Plan mensual'!G188</f>
        <v>1434.34106309452</v>
      </c>
      <c r="F176" s="23" t="n">
        <f aca="false">parametros_recargas!$E$86*'Plan mensual'!H181+parametros_recargas!$F$86*'Plan mensual'!H182+parametros_recargas!$G$86*'Plan mensual'!H183+parametros_recargas!$H$86*'Plan mensual'!H184+parametros_recargas!$I$86*'Plan mensual'!H185+parametros_recargas!$J$86*'Plan mensual'!H186+parametros_recargas!$K$86*'Plan mensual'!H187+parametros_recargas!$L$86*'Plan mensual'!H188</f>
        <v>1434.34106309452</v>
      </c>
      <c r="G176" s="23" t="n">
        <f aca="false">parametros_recargas!$E$86*'Plan mensual'!I181+parametros_recargas!$F$86*'Plan mensual'!I182+parametros_recargas!$G$86*'Plan mensual'!I183+parametros_recargas!$H$86*'Plan mensual'!I184+parametros_recargas!$I$86*'Plan mensual'!I185+parametros_recargas!$J$86*'Plan mensual'!I186+parametros_recargas!$K$86*'Plan mensual'!I187+parametros_recargas!$L$86*'Plan mensual'!I188</f>
        <v>1434.34106309452</v>
      </c>
      <c r="H176" s="23" t="n">
        <f aca="false">parametros_recargas!$E$86*'Plan mensual'!J181+parametros_recargas!$F$86*'Plan mensual'!J182+parametros_recargas!$G$86*'Plan mensual'!J183+parametros_recargas!$H$86*'Plan mensual'!J184+parametros_recargas!$I$86*'Plan mensual'!J185+parametros_recargas!$J$86*'Plan mensual'!J186+parametros_recargas!$K$86*'Plan mensual'!J187+parametros_recargas!$L$86*'Plan mensual'!J188</f>
        <v>1434.34106309452</v>
      </c>
      <c r="I176" s="23" t="n">
        <f aca="false">parametros_recargas!$E$86*'Plan mensual'!K181+parametros_recargas!$F$86*'Plan mensual'!K182+parametros_recargas!$G$86*'Plan mensual'!K183+parametros_recargas!$H$86*'Plan mensual'!K184+parametros_recargas!$I$86*'Plan mensual'!K185+parametros_recargas!$J$86*'Plan mensual'!K186+parametros_recargas!$K$86*'Plan mensual'!K187+parametros_recargas!$L$86*'Plan mensual'!K188</f>
        <v>1434.34106309452</v>
      </c>
      <c r="J176" s="23" t="n">
        <f aca="false">parametros_recargas!$E$86*'Plan mensual'!L181+parametros_recargas!$F$86*'Plan mensual'!L182+parametros_recargas!$G$86*'Plan mensual'!L183+parametros_recargas!$H$86*'Plan mensual'!L184+parametros_recargas!$I$86*'Plan mensual'!L185+parametros_recargas!$J$86*'Plan mensual'!L186+parametros_recargas!$K$86*'Plan mensual'!L187+parametros_recargas!$L$86*'Plan mensual'!L188</f>
        <v>1434.34106309452</v>
      </c>
      <c r="K176" s="23" t="n">
        <f aca="false">parametros_recargas!$E$86*'Plan mensual'!M181+parametros_recargas!$F$86*'Plan mensual'!M182+parametros_recargas!$G$86*'Plan mensual'!M183+parametros_recargas!$H$86*'Plan mensual'!M184+parametros_recargas!$I$86*'Plan mensual'!M185+parametros_recargas!$J$86*'Plan mensual'!M186+parametros_recargas!$K$86*'Plan mensual'!M187+parametros_recargas!$L$86*'Plan mensual'!M188</f>
        <v>1434.34106309452</v>
      </c>
      <c r="L176" s="23" t="n">
        <f aca="false">parametros_recargas!$E$86*'Plan mensual'!N181+parametros_recargas!$F$86*'Plan mensual'!N182+parametros_recargas!$G$86*'Plan mensual'!N183+parametros_recargas!$H$86*'Plan mensual'!N184+parametros_recargas!$I$86*'Plan mensual'!N185+parametros_recargas!$J$86*'Plan mensual'!N186+parametros_recargas!$K$86*'Plan mensual'!N187+parametros_recargas!$L$86*'Plan mensual'!N188</f>
        <v>1434.34106309452</v>
      </c>
      <c r="M176" s="23" t="n">
        <f aca="false">parametros_recargas!$E$86*'Plan mensual'!O181+parametros_recargas!$F$86*'Plan mensual'!O182+parametros_recargas!$G$86*'Plan mensual'!O183+parametros_recargas!$H$86*'Plan mensual'!O184+parametros_recargas!$I$86*'Plan mensual'!O185+parametros_recargas!$J$86*'Plan mensual'!O186+parametros_recargas!$K$86*'Plan mensual'!O187+parametros_recargas!$L$86*'Plan mensual'!O188</f>
        <v>1434.34106309452</v>
      </c>
      <c r="N176" s="7" t="n">
        <f aca="false">SUM(B176:M176)</f>
        <v>17212.0927571342</v>
      </c>
      <c r="O176" s="24" t="n">
        <f aca="false">MAX(B176:M176)</f>
        <v>1434.34106309452</v>
      </c>
      <c r="P176" s="15" t="n">
        <f aca="false">O176/parametros_recargas!$B$6</f>
        <v>9.56227375396347</v>
      </c>
    </row>
    <row r="177" customFormat="false" ht="15" hidden="false" customHeight="false" outlineLevel="0" collapsed="false">
      <c r="A177" s="12" t="str">
        <f aca="false">parametros_recargas!$B$87</f>
        <v>Carga de polvo ABC</v>
      </c>
      <c r="B177" s="23" t="n">
        <f aca="false">parametros_recargas!$E$87*'Plan mensual'!D181+parametros_recargas!$F$87*'Plan mensual'!D182+parametros_recargas!$G$87*'Plan mensual'!D183+parametros_recargas!$H$87*'Plan mensual'!D184+parametros_recargas!$I$87*'Plan mensual'!D185+parametros_recargas!$J$87*'Plan mensual'!D186+parametros_recargas!$K$87*'Plan mensual'!D187+parametros_recargas!$L$87*'Plan mensual'!D188</f>
        <v>12415.4770913038</v>
      </c>
      <c r="C177" s="23" t="n">
        <f aca="false">parametros_recargas!$E$87*'Plan mensual'!E181+parametros_recargas!$F$87*'Plan mensual'!E182+parametros_recargas!$G$87*'Plan mensual'!E183+parametros_recargas!$H$87*'Plan mensual'!E184+parametros_recargas!$I$87*'Plan mensual'!E185+parametros_recargas!$J$87*'Plan mensual'!E186+parametros_recargas!$K$87*'Plan mensual'!E187+parametros_recargas!$L$87*'Plan mensual'!E188</f>
        <v>12415.4770913038</v>
      </c>
      <c r="D177" s="23" t="n">
        <f aca="false">parametros_recargas!$E$87*'Plan mensual'!F181+parametros_recargas!$F$87*'Plan mensual'!F182+parametros_recargas!$G$87*'Plan mensual'!F183+parametros_recargas!$H$87*'Plan mensual'!F184+parametros_recargas!$I$87*'Plan mensual'!F185+parametros_recargas!$J$87*'Plan mensual'!F186+parametros_recargas!$K$87*'Plan mensual'!F187+parametros_recargas!$L$87*'Plan mensual'!F188</f>
        <v>12415.4770913038</v>
      </c>
      <c r="E177" s="23" t="n">
        <f aca="false">parametros_recargas!$E$87*'Plan mensual'!G181+parametros_recargas!$F$87*'Plan mensual'!G182+parametros_recargas!$G$87*'Plan mensual'!G183+parametros_recargas!$H$87*'Plan mensual'!G184+parametros_recargas!$I$87*'Plan mensual'!G185+parametros_recargas!$J$87*'Plan mensual'!G186+parametros_recargas!$K$87*'Plan mensual'!G187+parametros_recargas!$L$87*'Plan mensual'!G188</f>
        <v>12415.4770913038</v>
      </c>
      <c r="F177" s="23" t="n">
        <f aca="false">parametros_recargas!$E$87*'Plan mensual'!H181+parametros_recargas!$F$87*'Plan mensual'!H182+parametros_recargas!$G$87*'Plan mensual'!H183+parametros_recargas!$H$87*'Plan mensual'!H184+parametros_recargas!$I$87*'Plan mensual'!H185+parametros_recargas!$J$87*'Plan mensual'!H186+parametros_recargas!$K$87*'Plan mensual'!H187+parametros_recargas!$L$87*'Plan mensual'!H188</f>
        <v>12415.4770913038</v>
      </c>
      <c r="G177" s="23" t="n">
        <f aca="false">parametros_recargas!$E$87*'Plan mensual'!I181+parametros_recargas!$F$87*'Plan mensual'!I182+parametros_recargas!$G$87*'Plan mensual'!I183+parametros_recargas!$H$87*'Plan mensual'!I184+parametros_recargas!$I$87*'Plan mensual'!I185+parametros_recargas!$J$87*'Plan mensual'!I186+parametros_recargas!$K$87*'Plan mensual'!I187+parametros_recargas!$L$87*'Plan mensual'!I188</f>
        <v>12415.4770913038</v>
      </c>
      <c r="H177" s="23" t="n">
        <f aca="false">parametros_recargas!$E$87*'Plan mensual'!J181+parametros_recargas!$F$87*'Plan mensual'!J182+parametros_recargas!$G$87*'Plan mensual'!J183+parametros_recargas!$H$87*'Plan mensual'!J184+parametros_recargas!$I$87*'Plan mensual'!J185+parametros_recargas!$J$87*'Plan mensual'!J186+parametros_recargas!$K$87*'Plan mensual'!J187+parametros_recargas!$L$87*'Plan mensual'!J188</f>
        <v>12415.4770913038</v>
      </c>
      <c r="I177" s="23" t="n">
        <f aca="false">parametros_recargas!$E$87*'Plan mensual'!K181+parametros_recargas!$F$87*'Plan mensual'!K182+parametros_recargas!$G$87*'Plan mensual'!K183+parametros_recargas!$H$87*'Plan mensual'!K184+parametros_recargas!$I$87*'Plan mensual'!K185+parametros_recargas!$J$87*'Plan mensual'!K186+parametros_recargas!$K$87*'Plan mensual'!K187+parametros_recargas!$L$87*'Plan mensual'!K188</f>
        <v>12415.4770913038</v>
      </c>
      <c r="J177" s="23" t="n">
        <f aca="false">parametros_recargas!$E$87*'Plan mensual'!L181+parametros_recargas!$F$87*'Plan mensual'!L182+parametros_recargas!$G$87*'Plan mensual'!L183+parametros_recargas!$H$87*'Plan mensual'!L184+parametros_recargas!$I$87*'Plan mensual'!L185+parametros_recargas!$J$87*'Plan mensual'!L186+parametros_recargas!$K$87*'Plan mensual'!L187+parametros_recargas!$L$87*'Plan mensual'!L188</f>
        <v>12415.4770913038</v>
      </c>
      <c r="K177" s="23" t="n">
        <f aca="false">parametros_recargas!$E$87*'Plan mensual'!M181+parametros_recargas!$F$87*'Plan mensual'!M182+parametros_recargas!$G$87*'Plan mensual'!M183+parametros_recargas!$H$87*'Plan mensual'!M184+parametros_recargas!$I$87*'Plan mensual'!M185+parametros_recargas!$J$87*'Plan mensual'!M186+parametros_recargas!$K$87*'Plan mensual'!M187+parametros_recargas!$L$87*'Plan mensual'!M188</f>
        <v>12415.4770913038</v>
      </c>
      <c r="L177" s="23" t="n">
        <f aca="false">parametros_recargas!$E$87*'Plan mensual'!N181+parametros_recargas!$F$87*'Plan mensual'!N182+parametros_recargas!$G$87*'Plan mensual'!N183+parametros_recargas!$H$87*'Plan mensual'!N184+parametros_recargas!$I$87*'Plan mensual'!N185+parametros_recargas!$J$87*'Plan mensual'!N186+parametros_recargas!$K$87*'Plan mensual'!N187+parametros_recargas!$L$87*'Plan mensual'!N188</f>
        <v>12415.4770913038</v>
      </c>
      <c r="M177" s="23" t="n">
        <f aca="false">parametros_recargas!$E$87*'Plan mensual'!O181+parametros_recargas!$F$87*'Plan mensual'!O182+parametros_recargas!$G$87*'Plan mensual'!O183+parametros_recargas!$H$87*'Plan mensual'!O184+parametros_recargas!$I$87*'Plan mensual'!O185+parametros_recargas!$J$87*'Plan mensual'!O186+parametros_recargas!$K$87*'Plan mensual'!O187+parametros_recargas!$L$87*'Plan mensual'!O188</f>
        <v>12415.4770913038</v>
      </c>
      <c r="N177" s="7" t="n">
        <f aca="false">SUM(B177:M177)</f>
        <v>148985.725095646</v>
      </c>
      <c r="O177" s="24" t="n">
        <f aca="false">MAX(B177:M177)</f>
        <v>12415.4770913038</v>
      </c>
      <c r="P177" s="15" t="n">
        <f aca="false">O177/parametros_recargas!$B$6</f>
        <v>82.7698472753588</v>
      </c>
    </row>
    <row r="178" customFormat="false" ht="15" hidden="false" customHeight="false" outlineLevel="0" collapsed="false">
      <c r="A178" s="12" t="str">
        <f aca="false">parametros_recargas!$B$88</f>
        <v>Carga de polvo BC</v>
      </c>
      <c r="B178" s="23" t="n">
        <f aca="false">parametros_recargas!$E$88*'Plan mensual'!D181+parametros_recargas!$F$88*'Plan mensual'!D182+parametros_recargas!$G$88*'Plan mensual'!D183+parametros_recargas!$H$88*'Plan mensual'!D184+parametros_recargas!$I$88*'Plan mensual'!D185+parametros_recargas!$J$88*'Plan mensual'!D186+parametros_recargas!$K$88*'Plan mensual'!D187+parametros_recargas!$L$88*'Plan mensual'!D188</f>
        <v>18.4785255401079</v>
      </c>
      <c r="C178" s="23" t="n">
        <f aca="false">parametros_recargas!$E$88*'Plan mensual'!E181+parametros_recargas!$F$88*'Plan mensual'!E182+parametros_recargas!$G$88*'Plan mensual'!E183+parametros_recargas!$H$88*'Plan mensual'!E184+parametros_recargas!$I$88*'Plan mensual'!E185+parametros_recargas!$J$88*'Plan mensual'!E186+parametros_recargas!$K$88*'Plan mensual'!E187+parametros_recargas!$L$88*'Plan mensual'!E188</f>
        <v>18.4785255401079</v>
      </c>
      <c r="D178" s="23" t="n">
        <f aca="false">parametros_recargas!$E$88*'Plan mensual'!F181+parametros_recargas!$F$88*'Plan mensual'!F182+parametros_recargas!$G$88*'Plan mensual'!F183+parametros_recargas!$H$88*'Plan mensual'!F184+parametros_recargas!$I$88*'Plan mensual'!F185+parametros_recargas!$J$88*'Plan mensual'!F186+parametros_recargas!$K$88*'Plan mensual'!F187+parametros_recargas!$L$88*'Plan mensual'!F188</f>
        <v>18.4785255401079</v>
      </c>
      <c r="E178" s="23" t="n">
        <f aca="false">parametros_recargas!$E$88*'Plan mensual'!G181+parametros_recargas!$F$88*'Plan mensual'!G182+parametros_recargas!$G$88*'Plan mensual'!G183+parametros_recargas!$H$88*'Plan mensual'!G184+parametros_recargas!$I$88*'Plan mensual'!G185+parametros_recargas!$J$88*'Plan mensual'!G186+parametros_recargas!$K$88*'Plan mensual'!G187+parametros_recargas!$L$88*'Plan mensual'!G188</f>
        <v>18.4785255401079</v>
      </c>
      <c r="F178" s="23" t="n">
        <f aca="false">parametros_recargas!$E$88*'Plan mensual'!H181+parametros_recargas!$F$88*'Plan mensual'!H182+parametros_recargas!$G$88*'Plan mensual'!H183+parametros_recargas!$H$88*'Plan mensual'!H184+parametros_recargas!$I$88*'Plan mensual'!H185+parametros_recargas!$J$88*'Plan mensual'!H186+parametros_recargas!$K$88*'Plan mensual'!H187+parametros_recargas!$L$88*'Plan mensual'!H188</f>
        <v>18.4785255401079</v>
      </c>
      <c r="G178" s="23" t="n">
        <f aca="false">parametros_recargas!$E$88*'Plan mensual'!I181+parametros_recargas!$F$88*'Plan mensual'!I182+parametros_recargas!$G$88*'Plan mensual'!I183+parametros_recargas!$H$88*'Plan mensual'!I184+parametros_recargas!$I$88*'Plan mensual'!I185+parametros_recargas!$J$88*'Plan mensual'!I186+parametros_recargas!$K$88*'Plan mensual'!I187+parametros_recargas!$L$88*'Plan mensual'!I188</f>
        <v>18.4785255401079</v>
      </c>
      <c r="H178" s="23" t="n">
        <f aca="false">parametros_recargas!$E$88*'Plan mensual'!J181+parametros_recargas!$F$88*'Plan mensual'!J182+parametros_recargas!$G$88*'Plan mensual'!J183+parametros_recargas!$H$88*'Plan mensual'!J184+parametros_recargas!$I$88*'Plan mensual'!J185+parametros_recargas!$J$88*'Plan mensual'!J186+parametros_recargas!$K$88*'Plan mensual'!J187+parametros_recargas!$L$88*'Plan mensual'!J188</f>
        <v>18.4785255401079</v>
      </c>
      <c r="I178" s="23" t="n">
        <f aca="false">parametros_recargas!$E$88*'Plan mensual'!K181+parametros_recargas!$F$88*'Plan mensual'!K182+parametros_recargas!$G$88*'Plan mensual'!K183+parametros_recargas!$H$88*'Plan mensual'!K184+parametros_recargas!$I$88*'Plan mensual'!K185+parametros_recargas!$J$88*'Plan mensual'!K186+parametros_recargas!$K$88*'Plan mensual'!K187+parametros_recargas!$L$88*'Plan mensual'!K188</f>
        <v>18.4785255401079</v>
      </c>
      <c r="J178" s="23" t="n">
        <f aca="false">parametros_recargas!$E$88*'Plan mensual'!L181+parametros_recargas!$F$88*'Plan mensual'!L182+parametros_recargas!$G$88*'Plan mensual'!L183+parametros_recargas!$H$88*'Plan mensual'!L184+parametros_recargas!$I$88*'Plan mensual'!L185+parametros_recargas!$J$88*'Plan mensual'!L186+parametros_recargas!$K$88*'Plan mensual'!L187+parametros_recargas!$L$88*'Plan mensual'!L188</f>
        <v>18.4785255401079</v>
      </c>
      <c r="K178" s="23" t="n">
        <f aca="false">parametros_recargas!$E$88*'Plan mensual'!M181+parametros_recargas!$F$88*'Plan mensual'!M182+parametros_recargas!$G$88*'Plan mensual'!M183+parametros_recargas!$H$88*'Plan mensual'!M184+parametros_recargas!$I$88*'Plan mensual'!M185+parametros_recargas!$J$88*'Plan mensual'!M186+parametros_recargas!$K$88*'Plan mensual'!M187+parametros_recargas!$L$88*'Plan mensual'!M188</f>
        <v>18.4785255401079</v>
      </c>
      <c r="L178" s="23" t="n">
        <f aca="false">parametros_recargas!$E$88*'Plan mensual'!N181+parametros_recargas!$F$88*'Plan mensual'!N182+parametros_recargas!$G$88*'Plan mensual'!N183+parametros_recargas!$H$88*'Plan mensual'!N184+parametros_recargas!$I$88*'Plan mensual'!N185+parametros_recargas!$J$88*'Plan mensual'!N186+parametros_recargas!$K$88*'Plan mensual'!N187+parametros_recargas!$L$88*'Plan mensual'!N188</f>
        <v>18.4785255401079</v>
      </c>
      <c r="M178" s="23" t="n">
        <f aca="false">parametros_recargas!$E$88*'Plan mensual'!O181+parametros_recargas!$F$88*'Plan mensual'!O182+parametros_recargas!$G$88*'Plan mensual'!O183+parametros_recargas!$H$88*'Plan mensual'!O184+parametros_recargas!$I$88*'Plan mensual'!O185+parametros_recargas!$J$88*'Plan mensual'!O186+parametros_recargas!$K$88*'Plan mensual'!O187+parametros_recargas!$L$88*'Plan mensual'!O188</f>
        <v>18.4785255401079</v>
      </c>
      <c r="N178" s="7" t="n">
        <f aca="false">SUM(B178:M178)</f>
        <v>221.742306481294</v>
      </c>
      <c r="O178" s="24" t="n">
        <f aca="false">MAX(B178:M178)</f>
        <v>18.4785255401079</v>
      </c>
      <c r="P178" s="15" t="n">
        <f aca="false">O178/parametros_recargas!$B$6</f>
        <v>0.123190170267386</v>
      </c>
    </row>
    <row r="179" customFormat="false" ht="15" hidden="false" customHeight="false" outlineLevel="0" collapsed="false">
      <c r="A179" s="12" t="str">
        <f aca="false">parametros_recargas!$B$89</f>
        <v>Descarga y carga Clase D</v>
      </c>
      <c r="B179" s="23" t="n">
        <f aca="false">parametros_recargas!$E$89*'Plan mensual'!D181+parametros_recargas!$F$89*'Plan mensual'!D182+parametros_recargas!$G$89*'Plan mensual'!D183+parametros_recargas!$H$89*'Plan mensual'!D184+parametros_recargas!$I$89*'Plan mensual'!D185+parametros_recargas!$J$89*'Plan mensual'!D186+parametros_recargas!$K$89*'Plan mensual'!D187+parametros_recargas!$L$89*'Plan mensual'!D188</f>
        <v>16.2536911125769</v>
      </c>
      <c r="C179" s="23" t="n">
        <f aca="false">parametros_recargas!$E$89*'Plan mensual'!E181+parametros_recargas!$F$89*'Plan mensual'!E182+parametros_recargas!$G$89*'Plan mensual'!E183+parametros_recargas!$H$89*'Plan mensual'!E184+parametros_recargas!$I$89*'Plan mensual'!E185+parametros_recargas!$J$89*'Plan mensual'!E186+parametros_recargas!$K$89*'Plan mensual'!E187+parametros_recargas!$L$89*'Plan mensual'!E188</f>
        <v>16.2536911125769</v>
      </c>
      <c r="D179" s="23" t="n">
        <f aca="false">parametros_recargas!$E$89*'Plan mensual'!F181+parametros_recargas!$F$89*'Plan mensual'!F182+parametros_recargas!$G$89*'Plan mensual'!F183+parametros_recargas!$H$89*'Plan mensual'!F184+parametros_recargas!$I$89*'Plan mensual'!F185+parametros_recargas!$J$89*'Plan mensual'!F186+parametros_recargas!$K$89*'Plan mensual'!F187+parametros_recargas!$L$89*'Plan mensual'!F188</f>
        <v>16.2536911125769</v>
      </c>
      <c r="E179" s="23" t="n">
        <f aca="false">parametros_recargas!$E$89*'Plan mensual'!G181+parametros_recargas!$F$89*'Plan mensual'!G182+parametros_recargas!$G$89*'Plan mensual'!G183+parametros_recargas!$H$89*'Plan mensual'!G184+parametros_recargas!$I$89*'Plan mensual'!G185+parametros_recargas!$J$89*'Plan mensual'!G186+parametros_recargas!$K$89*'Plan mensual'!G187+parametros_recargas!$L$89*'Plan mensual'!G188</f>
        <v>16.2536911125769</v>
      </c>
      <c r="F179" s="23" t="n">
        <f aca="false">parametros_recargas!$E$89*'Plan mensual'!H181+parametros_recargas!$F$89*'Plan mensual'!H182+parametros_recargas!$G$89*'Plan mensual'!H183+parametros_recargas!$H$89*'Plan mensual'!H184+parametros_recargas!$I$89*'Plan mensual'!H185+parametros_recargas!$J$89*'Plan mensual'!H186+parametros_recargas!$K$89*'Plan mensual'!H187+parametros_recargas!$L$89*'Plan mensual'!H188</f>
        <v>16.2536911125769</v>
      </c>
      <c r="G179" s="23" t="n">
        <f aca="false">parametros_recargas!$E$89*'Plan mensual'!I181+parametros_recargas!$F$89*'Plan mensual'!I182+parametros_recargas!$G$89*'Plan mensual'!I183+parametros_recargas!$H$89*'Plan mensual'!I184+parametros_recargas!$I$89*'Plan mensual'!I185+parametros_recargas!$J$89*'Plan mensual'!I186+parametros_recargas!$K$89*'Plan mensual'!I187+parametros_recargas!$L$89*'Plan mensual'!I188</f>
        <v>16.2536911125769</v>
      </c>
      <c r="H179" s="23" t="n">
        <f aca="false">parametros_recargas!$E$89*'Plan mensual'!J181+parametros_recargas!$F$89*'Plan mensual'!J182+parametros_recargas!$G$89*'Plan mensual'!J183+parametros_recargas!$H$89*'Plan mensual'!J184+parametros_recargas!$I$89*'Plan mensual'!J185+parametros_recargas!$J$89*'Plan mensual'!J186+parametros_recargas!$K$89*'Plan mensual'!J187+parametros_recargas!$L$89*'Plan mensual'!J188</f>
        <v>16.2536911125769</v>
      </c>
      <c r="I179" s="23" t="n">
        <f aca="false">parametros_recargas!$E$89*'Plan mensual'!K181+parametros_recargas!$F$89*'Plan mensual'!K182+parametros_recargas!$G$89*'Plan mensual'!K183+parametros_recargas!$H$89*'Plan mensual'!K184+parametros_recargas!$I$89*'Plan mensual'!K185+parametros_recargas!$J$89*'Plan mensual'!K186+parametros_recargas!$K$89*'Plan mensual'!K187+parametros_recargas!$L$89*'Plan mensual'!K188</f>
        <v>16.2536911125769</v>
      </c>
      <c r="J179" s="23" t="n">
        <f aca="false">parametros_recargas!$E$89*'Plan mensual'!L181+parametros_recargas!$F$89*'Plan mensual'!L182+parametros_recargas!$G$89*'Plan mensual'!L183+parametros_recargas!$H$89*'Plan mensual'!L184+parametros_recargas!$I$89*'Plan mensual'!L185+parametros_recargas!$J$89*'Plan mensual'!L186+parametros_recargas!$K$89*'Plan mensual'!L187+parametros_recargas!$L$89*'Plan mensual'!L188</f>
        <v>16.2536911125769</v>
      </c>
      <c r="K179" s="23" t="n">
        <f aca="false">parametros_recargas!$E$89*'Plan mensual'!M181+parametros_recargas!$F$89*'Plan mensual'!M182+parametros_recargas!$G$89*'Plan mensual'!M183+parametros_recargas!$H$89*'Plan mensual'!M184+parametros_recargas!$I$89*'Plan mensual'!M185+parametros_recargas!$J$89*'Plan mensual'!M186+parametros_recargas!$K$89*'Plan mensual'!M187+parametros_recargas!$L$89*'Plan mensual'!M188</f>
        <v>16.2536911125769</v>
      </c>
      <c r="L179" s="23" t="n">
        <f aca="false">parametros_recargas!$E$89*'Plan mensual'!N181+parametros_recargas!$F$89*'Plan mensual'!N182+parametros_recargas!$G$89*'Plan mensual'!N183+parametros_recargas!$H$89*'Plan mensual'!N184+parametros_recargas!$I$89*'Plan mensual'!N185+parametros_recargas!$J$89*'Plan mensual'!N186+parametros_recargas!$K$89*'Plan mensual'!N187+parametros_recargas!$L$89*'Plan mensual'!N188</f>
        <v>16.2536911125769</v>
      </c>
      <c r="M179" s="23" t="n">
        <f aca="false">parametros_recargas!$E$89*'Plan mensual'!O181+parametros_recargas!$F$89*'Plan mensual'!O182+parametros_recargas!$G$89*'Plan mensual'!O183+parametros_recargas!$H$89*'Plan mensual'!O184+parametros_recargas!$I$89*'Plan mensual'!O185+parametros_recargas!$J$89*'Plan mensual'!O186+parametros_recargas!$K$89*'Plan mensual'!O187+parametros_recargas!$L$89*'Plan mensual'!O188</f>
        <v>16.2536911125769</v>
      </c>
      <c r="N179" s="7" t="n">
        <f aca="false">SUM(B179:M179)</f>
        <v>195.044293350923</v>
      </c>
      <c r="O179" s="24" t="n">
        <f aca="false">MAX(B179:M179)</f>
        <v>16.2536911125769</v>
      </c>
      <c r="P179" s="15" t="n">
        <f aca="false">O179/parametros_recargas!$B$6</f>
        <v>0.108357940750513</v>
      </c>
    </row>
    <row r="180" customFormat="false" ht="15" hidden="false" customHeight="false" outlineLevel="0" collapsed="false">
      <c r="A180" s="12" t="str">
        <f aca="false">parametros_recargas!$B$90</f>
        <v>Carga de agua / AFFF / sales K</v>
      </c>
      <c r="B180" s="23" t="n">
        <f aca="false">parametros_recargas!$E$90*'Plan mensual'!D181+parametros_recargas!$F$90*'Plan mensual'!D182+parametros_recargas!$G$90*'Plan mensual'!D183+parametros_recargas!$H$90*'Plan mensual'!D184+parametros_recargas!$I$90*'Plan mensual'!D185+parametros_recargas!$J$90*'Plan mensual'!D186+parametros_recargas!$K$90*'Plan mensual'!D187+parametros_recargas!$L$90*'Plan mensual'!D188</f>
        <v>649.778925767137</v>
      </c>
      <c r="C180" s="23" t="n">
        <f aca="false">parametros_recargas!$E$90*'Plan mensual'!E181+parametros_recargas!$F$90*'Plan mensual'!E182+parametros_recargas!$G$90*'Plan mensual'!E183+parametros_recargas!$H$90*'Plan mensual'!E184+parametros_recargas!$I$90*'Plan mensual'!E185+parametros_recargas!$J$90*'Plan mensual'!E186+parametros_recargas!$K$90*'Plan mensual'!E187+parametros_recargas!$L$90*'Plan mensual'!E188</f>
        <v>649.778925767137</v>
      </c>
      <c r="D180" s="23" t="n">
        <f aca="false">parametros_recargas!$E$90*'Plan mensual'!F181+parametros_recargas!$F$90*'Plan mensual'!F182+parametros_recargas!$G$90*'Plan mensual'!F183+parametros_recargas!$H$90*'Plan mensual'!F184+parametros_recargas!$I$90*'Plan mensual'!F185+parametros_recargas!$J$90*'Plan mensual'!F186+parametros_recargas!$K$90*'Plan mensual'!F187+parametros_recargas!$L$90*'Plan mensual'!F188</f>
        <v>649.778925767137</v>
      </c>
      <c r="E180" s="23" t="n">
        <f aca="false">parametros_recargas!$E$90*'Plan mensual'!G181+parametros_recargas!$F$90*'Plan mensual'!G182+parametros_recargas!$G$90*'Plan mensual'!G183+parametros_recargas!$H$90*'Plan mensual'!G184+parametros_recargas!$I$90*'Plan mensual'!G185+parametros_recargas!$J$90*'Plan mensual'!G186+parametros_recargas!$K$90*'Plan mensual'!G187+parametros_recargas!$L$90*'Plan mensual'!G188</f>
        <v>649.778925767137</v>
      </c>
      <c r="F180" s="23" t="n">
        <f aca="false">parametros_recargas!$E$90*'Plan mensual'!H181+parametros_recargas!$F$90*'Plan mensual'!H182+parametros_recargas!$G$90*'Plan mensual'!H183+parametros_recargas!$H$90*'Plan mensual'!H184+parametros_recargas!$I$90*'Plan mensual'!H185+parametros_recargas!$J$90*'Plan mensual'!H186+parametros_recargas!$K$90*'Plan mensual'!H187+parametros_recargas!$L$90*'Plan mensual'!H188</f>
        <v>649.778925767137</v>
      </c>
      <c r="G180" s="23" t="n">
        <f aca="false">parametros_recargas!$E$90*'Plan mensual'!I181+parametros_recargas!$F$90*'Plan mensual'!I182+parametros_recargas!$G$90*'Plan mensual'!I183+parametros_recargas!$H$90*'Plan mensual'!I184+parametros_recargas!$I$90*'Plan mensual'!I185+parametros_recargas!$J$90*'Plan mensual'!I186+parametros_recargas!$K$90*'Plan mensual'!I187+parametros_recargas!$L$90*'Plan mensual'!I188</f>
        <v>649.778925767137</v>
      </c>
      <c r="H180" s="23" t="n">
        <f aca="false">parametros_recargas!$E$90*'Plan mensual'!J181+parametros_recargas!$F$90*'Plan mensual'!J182+parametros_recargas!$G$90*'Plan mensual'!J183+parametros_recargas!$H$90*'Plan mensual'!J184+parametros_recargas!$I$90*'Plan mensual'!J185+parametros_recargas!$J$90*'Plan mensual'!J186+parametros_recargas!$K$90*'Plan mensual'!J187+parametros_recargas!$L$90*'Plan mensual'!J188</f>
        <v>649.778925767137</v>
      </c>
      <c r="I180" s="23" t="n">
        <f aca="false">parametros_recargas!$E$90*'Plan mensual'!K181+parametros_recargas!$F$90*'Plan mensual'!K182+parametros_recargas!$G$90*'Plan mensual'!K183+parametros_recargas!$H$90*'Plan mensual'!K184+parametros_recargas!$I$90*'Plan mensual'!K185+parametros_recargas!$J$90*'Plan mensual'!K186+parametros_recargas!$K$90*'Plan mensual'!K187+parametros_recargas!$L$90*'Plan mensual'!K188</f>
        <v>649.778925767137</v>
      </c>
      <c r="J180" s="23" t="n">
        <f aca="false">parametros_recargas!$E$90*'Plan mensual'!L181+parametros_recargas!$F$90*'Plan mensual'!L182+parametros_recargas!$G$90*'Plan mensual'!L183+parametros_recargas!$H$90*'Plan mensual'!L184+parametros_recargas!$I$90*'Plan mensual'!L185+parametros_recargas!$J$90*'Plan mensual'!L186+parametros_recargas!$K$90*'Plan mensual'!L187+parametros_recargas!$L$90*'Plan mensual'!L188</f>
        <v>649.778925767137</v>
      </c>
      <c r="K180" s="23" t="n">
        <f aca="false">parametros_recargas!$E$90*'Plan mensual'!M181+parametros_recargas!$F$90*'Plan mensual'!M182+parametros_recargas!$G$90*'Plan mensual'!M183+parametros_recargas!$H$90*'Plan mensual'!M184+parametros_recargas!$I$90*'Plan mensual'!M185+parametros_recargas!$J$90*'Plan mensual'!M186+parametros_recargas!$K$90*'Plan mensual'!M187+parametros_recargas!$L$90*'Plan mensual'!M188</f>
        <v>649.778925767137</v>
      </c>
      <c r="L180" s="23" t="n">
        <f aca="false">parametros_recargas!$E$90*'Plan mensual'!N181+parametros_recargas!$F$90*'Plan mensual'!N182+parametros_recargas!$G$90*'Plan mensual'!N183+parametros_recargas!$H$90*'Plan mensual'!N184+parametros_recargas!$I$90*'Plan mensual'!N185+parametros_recargas!$J$90*'Plan mensual'!N186+parametros_recargas!$K$90*'Plan mensual'!N187+parametros_recargas!$L$90*'Plan mensual'!N188</f>
        <v>649.778925767137</v>
      </c>
      <c r="M180" s="23" t="n">
        <f aca="false">parametros_recargas!$E$90*'Plan mensual'!O181+parametros_recargas!$F$90*'Plan mensual'!O182+parametros_recargas!$G$90*'Plan mensual'!O183+parametros_recargas!$H$90*'Plan mensual'!O184+parametros_recargas!$I$90*'Plan mensual'!O185+parametros_recargas!$J$90*'Plan mensual'!O186+parametros_recargas!$K$90*'Plan mensual'!O187+parametros_recargas!$L$90*'Plan mensual'!O188</f>
        <v>649.778925767137</v>
      </c>
      <c r="N180" s="7" t="n">
        <f aca="false">SUM(B180:M180)</f>
        <v>7797.34710920565</v>
      </c>
      <c r="O180" s="24" t="n">
        <f aca="false">MAX(B180:M180)</f>
        <v>649.778925767137</v>
      </c>
      <c r="P180" s="15" t="n">
        <f aca="false">O180/parametros_recargas!$B$6</f>
        <v>4.33185950511425</v>
      </c>
    </row>
    <row r="181" customFormat="false" ht="15" hidden="false" customHeight="false" outlineLevel="0" collapsed="false">
      <c r="A181" s="12" t="str">
        <f aca="false">parametros_recargas!$B$91</f>
        <v>Carga de CO₂</v>
      </c>
      <c r="B181" s="23" t="n">
        <f aca="false">parametros_recargas!$E$91*'Plan mensual'!D181+parametros_recargas!$F$91*'Plan mensual'!D182+parametros_recargas!$G$91*'Plan mensual'!D183+parametros_recargas!$H$91*'Plan mensual'!D184+parametros_recargas!$I$91*'Plan mensual'!D185+parametros_recargas!$J$91*'Plan mensual'!D186+parametros_recargas!$K$91*'Plan mensual'!D187+parametros_recargas!$L$91*'Plan mensual'!D188</f>
        <v>358.92882725117</v>
      </c>
      <c r="C181" s="23" t="n">
        <f aca="false">parametros_recargas!$E$91*'Plan mensual'!E181+parametros_recargas!$F$91*'Plan mensual'!E182+parametros_recargas!$G$91*'Plan mensual'!E183+parametros_recargas!$H$91*'Plan mensual'!E184+parametros_recargas!$I$91*'Plan mensual'!E185+parametros_recargas!$J$91*'Plan mensual'!E186+parametros_recargas!$K$91*'Plan mensual'!E187+parametros_recargas!$L$91*'Plan mensual'!E188</f>
        <v>358.92882725117</v>
      </c>
      <c r="D181" s="23" t="n">
        <f aca="false">parametros_recargas!$E$91*'Plan mensual'!F181+parametros_recargas!$F$91*'Plan mensual'!F182+parametros_recargas!$G$91*'Plan mensual'!F183+parametros_recargas!$H$91*'Plan mensual'!F184+parametros_recargas!$I$91*'Plan mensual'!F185+parametros_recargas!$J$91*'Plan mensual'!F186+parametros_recargas!$K$91*'Plan mensual'!F187+parametros_recargas!$L$91*'Plan mensual'!F188</f>
        <v>358.92882725117</v>
      </c>
      <c r="E181" s="23" t="n">
        <f aca="false">parametros_recargas!$E$91*'Plan mensual'!G181+parametros_recargas!$F$91*'Plan mensual'!G182+parametros_recargas!$G$91*'Plan mensual'!G183+parametros_recargas!$H$91*'Plan mensual'!G184+parametros_recargas!$I$91*'Plan mensual'!G185+parametros_recargas!$J$91*'Plan mensual'!G186+parametros_recargas!$K$91*'Plan mensual'!G187+parametros_recargas!$L$91*'Plan mensual'!G188</f>
        <v>358.92882725117</v>
      </c>
      <c r="F181" s="23" t="n">
        <f aca="false">parametros_recargas!$E$91*'Plan mensual'!H181+parametros_recargas!$F$91*'Plan mensual'!H182+parametros_recargas!$G$91*'Plan mensual'!H183+parametros_recargas!$H$91*'Plan mensual'!H184+parametros_recargas!$I$91*'Plan mensual'!H185+parametros_recargas!$J$91*'Plan mensual'!H186+parametros_recargas!$K$91*'Plan mensual'!H187+parametros_recargas!$L$91*'Plan mensual'!H188</f>
        <v>358.92882725117</v>
      </c>
      <c r="G181" s="23" t="n">
        <f aca="false">parametros_recargas!$E$91*'Plan mensual'!I181+parametros_recargas!$F$91*'Plan mensual'!I182+parametros_recargas!$G$91*'Plan mensual'!I183+parametros_recargas!$H$91*'Plan mensual'!I184+parametros_recargas!$I$91*'Plan mensual'!I185+parametros_recargas!$J$91*'Plan mensual'!I186+parametros_recargas!$K$91*'Plan mensual'!I187+parametros_recargas!$L$91*'Plan mensual'!I188</f>
        <v>358.92882725117</v>
      </c>
      <c r="H181" s="23" t="n">
        <f aca="false">parametros_recargas!$E$91*'Plan mensual'!J181+parametros_recargas!$F$91*'Plan mensual'!J182+parametros_recargas!$G$91*'Plan mensual'!J183+parametros_recargas!$H$91*'Plan mensual'!J184+parametros_recargas!$I$91*'Plan mensual'!J185+parametros_recargas!$J$91*'Plan mensual'!J186+parametros_recargas!$K$91*'Plan mensual'!J187+parametros_recargas!$L$91*'Plan mensual'!J188</f>
        <v>358.92882725117</v>
      </c>
      <c r="I181" s="23" t="n">
        <f aca="false">parametros_recargas!$E$91*'Plan mensual'!K181+parametros_recargas!$F$91*'Plan mensual'!K182+parametros_recargas!$G$91*'Plan mensual'!K183+parametros_recargas!$H$91*'Plan mensual'!K184+parametros_recargas!$I$91*'Plan mensual'!K185+parametros_recargas!$J$91*'Plan mensual'!K186+parametros_recargas!$K$91*'Plan mensual'!K187+parametros_recargas!$L$91*'Plan mensual'!K188</f>
        <v>358.92882725117</v>
      </c>
      <c r="J181" s="23" t="n">
        <f aca="false">parametros_recargas!$E$91*'Plan mensual'!L181+parametros_recargas!$F$91*'Plan mensual'!L182+parametros_recargas!$G$91*'Plan mensual'!L183+parametros_recargas!$H$91*'Plan mensual'!L184+parametros_recargas!$I$91*'Plan mensual'!L185+parametros_recargas!$J$91*'Plan mensual'!L186+parametros_recargas!$K$91*'Plan mensual'!L187+parametros_recargas!$L$91*'Plan mensual'!L188</f>
        <v>358.92882725117</v>
      </c>
      <c r="K181" s="23" t="n">
        <f aca="false">parametros_recargas!$E$91*'Plan mensual'!M181+parametros_recargas!$F$91*'Plan mensual'!M182+parametros_recargas!$G$91*'Plan mensual'!M183+parametros_recargas!$H$91*'Plan mensual'!M184+parametros_recargas!$I$91*'Plan mensual'!M185+parametros_recargas!$J$91*'Plan mensual'!M186+parametros_recargas!$K$91*'Plan mensual'!M187+parametros_recargas!$L$91*'Plan mensual'!M188</f>
        <v>358.92882725117</v>
      </c>
      <c r="L181" s="23" t="n">
        <f aca="false">parametros_recargas!$E$91*'Plan mensual'!N181+parametros_recargas!$F$91*'Plan mensual'!N182+parametros_recargas!$G$91*'Plan mensual'!N183+parametros_recargas!$H$91*'Plan mensual'!N184+parametros_recargas!$I$91*'Plan mensual'!N185+parametros_recargas!$J$91*'Plan mensual'!N186+parametros_recargas!$K$91*'Plan mensual'!N187+parametros_recargas!$L$91*'Plan mensual'!N188</f>
        <v>358.92882725117</v>
      </c>
      <c r="M181" s="23" t="n">
        <f aca="false">parametros_recargas!$E$91*'Plan mensual'!O181+parametros_recargas!$F$91*'Plan mensual'!O182+parametros_recargas!$G$91*'Plan mensual'!O183+parametros_recargas!$H$91*'Plan mensual'!O184+parametros_recargas!$I$91*'Plan mensual'!O185+parametros_recargas!$J$91*'Plan mensual'!O186+parametros_recargas!$K$91*'Plan mensual'!O187+parametros_recargas!$L$91*'Plan mensual'!O188</f>
        <v>358.92882725117</v>
      </c>
      <c r="N181" s="7" t="n">
        <f aca="false">SUM(B181:M181)</f>
        <v>4307.14592701404</v>
      </c>
      <c r="O181" s="24" t="n">
        <f aca="false">MAX(B181:M181)</f>
        <v>358.92882725117</v>
      </c>
      <c r="P181" s="15" t="n">
        <f aca="false">O181/parametros_recargas!$B$6</f>
        <v>2.39285884834113</v>
      </c>
    </row>
    <row r="182" customFormat="false" ht="15" hidden="false" customHeight="false" outlineLevel="0" collapsed="false">
      <c r="A182" s="12" t="str">
        <f aca="false">parametros_recargas!$B$92</f>
        <v>Ensamblaje y marbete — recinto</v>
      </c>
      <c r="B182" s="23" t="n">
        <f aca="false">parametros_recargas!$E$92*'Plan mensual'!D181+parametros_recargas!$F$92*'Plan mensual'!D182+parametros_recargas!$G$92*'Plan mensual'!D183+parametros_recargas!$H$92*'Plan mensual'!D184+parametros_recargas!$I$92*'Plan mensual'!D185+parametros_recargas!$J$92*'Plan mensual'!D186+parametros_recargas!$K$92*'Plan mensual'!D187+parametros_recargas!$L$92*'Plan mensual'!D188</f>
        <v>12450.2093079565</v>
      </c>
      <c r="C182" s="23" t="n">
        <f aca="false">parametros_recargas!$E$92*'Plan mensual'!E181+parametros_recargas!$F$92*'Plan mensual'!E182+parametros_recargas!$G$92*'Plan mensual'!E183+parametros_recargas!$H$92*'Plan mensual'!E184+parametros_recargas!$I$92*'Plan mensual'!E185+parametros_recargas!$J$92*'Plan mensual'!E186+parametros_recargas!$K$92*'Plan mensual'!E187+parametros_recargas!$L$92*'Plan mensual'!E188</f>
        <v>12450.2093079565</v>
      </c>
      <c r="D182" s="23" t="n">
        <f aca="false">parametros_recargas!$E$92*'Plan mensual'!F181+parametros_recargas!$F$92*'Plan mensual'!F182+parametros_recargas!$G$92*'Plan mensual'!F183+parametros_recargas!$H$92*'Plan mensual'!F184+parametros_recargas!$I$92*'Plan mensual'!F185+parametros_recargas!$J$92*'Plan mensual'!F186+parametros_recargas!$K$92*'Plan mensual'!F187+parametros_recargas!$L$92*'Plan mensual'!F188</f>
        <v>12450.2093079565</v>
      </c>
      <c r="E182" s="23" t="n">
        <f aca="false">parametros_recargas!$E$92*'Plan mensual'!G181+parametros_recargas!$F$92*'Plan mensual'!G182+parametros_recargas!$G$92*'Plan mensual'!G183+parametros_recargas!$H$92*'Plan mensual'!G184+parametros_recargas!$I$92*'Plan mensual'!G185+parametros_recargas!$J$92*'Plan mensual'!G186+parametros_recargas!$K$92*'Plan mensual'!G187+parametros_recargas!$L$92*'Plan mensual'!G188</f>
        <v>12450.2093079565</v>
      </c>
      <c r="F182" s="23" t="n">
        <f aca="false">parametros_recargas!$E$92*'Plan mensual'!H181+parametros_recargas!$F$92*'Plan mensual'!H182+parametros_recargas!$G$92*'Plan mensual'!H183+parametros_recargas!$H$92*'Plan mensual'!H184+parametros_recargas!$I$92*'Plan mensual'!H185+parametros_recargas!$J$92*'Plan mensual'!H186+parametros_recargas!$K$92*'Plan mensual'!H187+parametros_recargas!$L$92*'Plan mensual'!H188</f>
        <v>12450.2093079565</v>
      </c>
      <c r="G182" s="23" t="n">
        <f aca="false">parametros_recargas!$E$92*'Plan mensual'!I181+parametros_recargas!$F$92*'Plan mensual'!I182+parametros_recargas!$G$92*'Plan mensual'!I183+parametros_recargas!$H$92*'Plan mensual'!I184+parametros_recargas!$I$92*'Plan mensual'!I185+parametros_recargas!$J$92*'Plan mensual'!I186+parametros_recargas!$K$92*'Plan mensual'!I187+parametros_recargas!$L$92*'Plan mensual'!I188</f>
        <v>12450.2093079565</v>
      </c>
      <c r="H182" s="23" t="n">
        <f aca="false">parametros_recargas!$E$92*'Plan mensual'!J181+parametros_recargas!$F$92*'Plan mensual'!J182+parametros_recargas!$G$92*'Plan mensual'!J183+parametros_recargas!$H$92*'Plan mensual'!J184+parametros_recargas!$I$92*'Plan mensual'!J185+parametros_recargas!$J$92*'Plan mensual'!J186+parametros_recargas!$K$92*'Plan mensual'!J187+parametros_recargas!$L$92*'Plan mensual'!J188</f>
        <v>12450.2093079565</v>
      </c>
      <c r="I182" s="23" t="n">
        <f aca="false">parametros_recargas!$E$92*'Plan mensual'!K181+parametros_recargas!$F$92*'Plan mensual'!K182+parametros_recargas!$G$92*'Plan mensual'!K183+parametros_recargas!$H$92*'Plan mensual'!K184+parametros_recargas!$I$92*'Plan mensual'!K185+parametros_recargas!$J$92*'Plan mensual'!K186+parametros_recargas!$K$92*'Plan mensual'!K187+parametros_recargas!$L$92*'Plan mensual'!K188</f>
        <v>12450.2093079565</v>
      </c>
      <c r="J182" s="23" t="n">
        <f aca="false">parametros_recargas!$E$92*'Plan mensual'!L181+parametros_recargas!$F$92*'Plan mensual'!L182+parametros_recargas!$G$92*'Plan mensual'!L183+parametros_recargas!$H$92*'Plan mensual'!L184+parametros_recargas!$I$92*'Plan mensual'!L185+parametros_recargas!$J$92*'Plan mensual'!L186+parametros_recargas!$K$92*'Plan mensual'!L187+parametros_recargas!$L$92*'Plan mensual'!L188</f>
        <v>12450.2093079565</v>
      </c>
      <c r="K182" s="23" t="n">
        <f aca="false">parametros_recargas!$E$92*'Plan mensual'!M181+parametros_recargas!$F$92*'Plan mensual'!M182+parametros_recargas!$G$92*'Plan mensual'!M183+parametros_recargas!$H$92*'Plan mensual'!M184+parametros_recargas!$I$92*'Plan mensual'!M185+parametros_recargas!$J$92*'Plan mensual'!M186+parametros_recargas!$K$92*'Plan mensual'!M187+parametros_recargas!$L$92*'Plan mensual'!M188</f>
        <v>12450.2093079565</v>
      </c>
      <c r="L182" s="23" t="n">
        <f aca="false">parametros_recargas!$E$92*'Plan mensual'!N181+parametros_recargas!$F$92*'Plan mensual'!N182+parametros_recargas!$G$92*'Plan mensual'!N183+parametros_recargas!$H$92*'Plan mensual'!N184+parametros_recargas!$I$92*'Plan mensual'!N185+parametros_recargas!$J$92*'Plan mensual'!N186+parametros_recargas!$K$92*'Plan mensual'!N187+parametros_recargas!$L$92*'Plan mensual'!N188</f>
        <v>12450.2093079565</v>
      </c>
      <c r="M182" s="23" t="n">
        <f aca="false">parametros_recargas!$E$92*'Plan mensual'!O181+parametros_recargas!$F$92*'Plan mensual'!O182+parametros_recargas!$G$92*'Plan mensual'!O183+parametros_recargas!$H$92*'Plan mensual'!O184+parametros_recargas!$I$92*'Plan mensual'!O185+parametros_recargas!$J$92*'Plan mensual'!O186+parametros_recargas!$K$92*'Plan mensual'!O187+parametros_recargas!$L$92*'Plan mensual'!O188</f>
        <v>12450.2093079565</v>
      </c>
      <c r="N182" s="7" t="n">
        <f aca="false">SUM(B182:M182)</f>
        <v>149402.511695478</v>
      </c>
      <c r="O182" s="24" t="n">
        <f aca="false">MAX(B182:M182)</f>
        <v>12450.2093079565</v>
      </c>
      <c r="P182" s="15" t="n">
        <f aca="false">O182/parametros_recargas!$B$6</f>
        <v>83.0013953863767</v>
      </c>
    </row>
    <row r="183" customFormat="false" ht="15" hidden="false" customHeight="false" outlineLevel="0" collapsed="false">
      <c r="A183" s="12" t="str">
        <f aca="false">parametros_recargas!$B$93</f>
        <v>Presurización — recinto</v>
      </c>
      <c r="B183" s="23" t="n">
        <f aca="false">parametros_recargas!$E$93*'Plan mensual'!D181+parametros_recargas!$F$93*'Plan mensual'!D182+parametros_recargas!$G$93*'Plan mensual'!D183+parametros_recargas!$H$93*'Plan mensual'!D184+parametros_recargas!$I$93*'Plan mensual'!D185+parametros_recargas!$J$93*'Plan mensual'!D186+parametros_recargas!$K$93*'Plan mensual'!D187+parametros_recargas!$L$93*'Plan mensual'!D188</f>
        <v>12450.2093079565</v>
      </c>
      <c r="C183" s="23" t="n">
        <f aca="false">parametros_recargas!$E$93*'Plan mensual'!E181+parametros_recargas!$F$93*'Plan mensual'!E182+parametros_recargas!$G$93*'Plan mensual'!E183+parametros_recargas!$H$93*'Plan mensual'!E184+parametros_recargas!$I$93*'Plan mensual'!E185+parametros_recargas!$J$93*'Plan mensual'!E186+parametros_recargas!$K$93*'Plan mensual'!E187+parametros_recargas!$L$93*'Plan mensual'!E188</f>
        <v>12450.2093079565</v>
      </c>
      <c r="D183" s="23" t="n">
        <f aca="false">parametros_recargas!$E$93*'Plan mensual'!F181+parametros_recargas!$F$93*'Plan mensual'!F182+parametros_recargas!$G$93*'Plan mensual'!F183+parametros_recargas!$H$93*'Plan mensual'!F184+parametros_recargas!$I$93*'Plan mensual'!F185+parametros_recargas!$J$93*'Plan mensual'!F186+parametros_recargas!$K$93*'Plan mensual'!F187+parametros_recargas!$L$93*'Plan mensual'!F188</f>
        <v>12450.2093079565</v>
      </c>
      <c r="E183" s="23" t="n">
        <f aca="false">parametros_recargas!$E$93*'Plan mensual'!G181+parametros_recargas!$F$93*'Plan mensual'!G182+parametros_recargas!$G$93*'Plan mensual'!G183+parametros_recargas!$H$93*'Plan mensual'!G184+parametros_recargas!$I$93*'Plan mensual'!G185+parametros_recargas!$J$93*'Plan mensual'!G186+parametros_recargas!$K$93*'Plan mensual'!G187+parametros_recargas!$L$93*'Plan mensual'!G188</f>
        <v>12450.2093079565</v>
      </c>
      <c r="F183" s="23" t="n">
        <f aca="false">parametros_recargas!$E$93*'Plan mensual'!H181+parametros_recargas!$F$93*'Plan mensual'!H182+parametros_recargas!$G$93*'Plan mensual'!H183+parametros_recargas!$H$93*'Plan mensual'!H184+parametros_recargas!$I$93*'Plan mensual'!H185+parametros_recargas!$J$93*'Plan mensual'!H186+parametros_recargas!$K$93*'Plan mensual'!H187+parametros_recargas!$L$93*'Plan mensual'!H188</f>
        <v>12450.2093079565</v>
      </c>
      <c r="G183" s="23" t="n">
        <f aca="false">parametros_recargas!$E$93*'Plan mensual'!I181+parametros_recargas!$F$93*'Plan mensual'!I182+parametros_recargas!$G$93*'Plan mensual'!I183+parametros_recargas!$H$93*'Plan mensual'!I184+parametros_recargas!$I$93*'Plan mensual'!I185+parametros_recargas!$J$93*'Plan mensual'!I186+parametros_recargas!$K$93*'Plan mensual'!I187+parametros_recargas!$L$93*'Plan mensual'!I188</f>
        <v>12450.2093079565</v>
      </c>
      <c r="H183" s="23" t="n">
        <f aca="false">parametros_recargas!$E$93*'Plan mensual'!J181+parametros_recargas!$F$93*'Plan mensual'!J182+parametros_recargas!$G$93*'Plan mensual'!J183+parametros_recargas!$H$93*'Plan mensual'!J184+parametros_recargas!$I$93*'Plan mensual'!J185+parametros_recargas!$J$93*'Plan mensual'!J186+parametros_recargas!$K$93*'Plan mensual'!J187+parametros_recargas!$L$93*'Plan mensual'!J188</f>
        <v>12450.2093079565</v>
      </c>
      <c r="I183" s="23" t="n">
        <f aca="false">parametros_recargas!$E$93*'Plan mensual'!K181+parametros_recargas!$F$93*'Plan mensual'!K182+parametros_recargas!$G$93*'Plan mensual'!K183+parametros_recargas!$H$93*'Plan mensual'!K184+parametros_recargas!$I$93*'Plan mensual'!K185+parametros_recargas!$J$93*'Plan mensual'!K186+parametros_recargas!$K$93*'Plan mensual'!K187+parametros_recargas!$L$93*'Plan mensual'!K188</f>
        <v>12450.2093079565</v>
      </c>
      <c r="J183" s="23" t="n">
        <f aca="false">parametros_recargas!$E$93*'Plan mensual'!L181+parametros_recargas!$F$93*'Plan mensual'!L182+parametros_recargas!$G$93*'Plan mensual'!L183+parametros_recargas!$H$93*'Plan mensual'!L184+parametros_recargas!$I$93*'Plan mensual'!L185+parametros_recargas!$J$93*'Plan mensual'!L186+parametros_recargas!$K$93*'Plan mensual'!L187+parametros_recargas!$L$93*'Plan mensual'!L188</f>
        <v>12450.2093079565</v>
      </c>
      <c r="K183" s="23" t="n">
        <f aca="false">parametros_recargas!$E$93*'Plan mensual'!M181+parametros_recargas!$F$93*'Plan mensual'!M182+parametros_recargas!$G$93*'Plan mensual'!M183+parametros_recargas!$H$93*'Plan mensual'!M184+parametros_recargas!$I$93*'Plan mensual'!M185+parametros_recargas!$J$93*'Plan mensual'!M186+parametros_recargas!$K$93*'Plan mensual'!M187+parametros_recargas!$L$93*'Plan mensual'!M188</f>
        <v>12450.2093079565</v>
      </c>
      <c r="L183" s="23" t="n">
        <f aca="false">parametros_recargas!$E$93*'Plan mensual'!N181+parametros_recargas!$F$93*'Plan mensual'!N182+parametros_recargas!$G$93*'Plan mensual'!N183+parametros_recargas!$H$93*'Plan mensual'!N184+parametros_recargas!$I$93*'Plan mensual'!N185+parametros_recargas!$J$93*'Plan mensual'!N186+parametros_recargas!$K$93*'Plan mensual'!N187+parametros_recargas!$L$93*'Plan mensual'!N188</f>
        <v>12450.2093079565</v>
      </c>
      <c r="M183" s="23" t="n">
        <f aca="false">parametros_recargas!$E$93*'Plan mensual'!O181+parametros_recargas!$F$93*'Plan mensual'!O182+parametros_recargas!$G$93*'Plan mensual'!O183+parametros_recargas!$H$93*'Plan mensual'!O184+parametros_recargas!$I$93*'Plan mensual'!O185+parametros_recargas!$J$93*'Plan mensual'!O186+parametros_recargas!$K$93*'Plan mensual'!O187+parametros_recargas!$L$93*'Plan mensual'!O188</f>
        <v>12450.2093079565</v>
      </c>
      <c r="N183" s="7" t="n">
        <f aca="false">SUM(B183:M183)</f>
        <v>149402.511695478</v>
      </c>
      <c r="O183" s="24" t="n">
        <f aca="false">MAX(B183:M183)</f>
        <v>12450.2093079565</v>
      </c>
      <c r="P183" s="15" t="n">
        <f aca="false">O183/parametros_recargas!$B$6</f>
        <v>83.0013953863767</v>
      </c>
    </row>
    <row r="184" customFormat="false" ht="15" hidden="false" customHeight="false" outlineLevel="0" collapsed="false">
      <c r="A184" s="12" t="str">
        <f aca="false">parametros_recargas!$B$94</f>
        <v>Ensamblaje y presurización — zona general</v>
      </c>
      <c r="B184" s="23" t="n">
        <f aca="false">parametros_recargas!$E$94*'Plan mensual'!D181+parametros_recargas!$F$94*'Plan mensual'!D182+parametros_recargas!$G$94*'Plan mensual'!D183+parametros_recargas!$H$94*'Plan mensual'!D184+parametros_recargas!$I$94*'Plan mensual'!D185+parametros_recargas!$J$94*'Plan mensual'!D186+parametros_recargas!$K$94*'Plan mensual'!D187+parametros_recargas!$L$94*'Plan mensual'!D188</f>
        <v>960.634525072525</v>
      </c>
      <c r="C184" s="23" t="n">
        <f aca="false">parametros_recargas!$E$94*'Plan mensual'!E181+parametros_recargas!$F$94*'Plan mensual'!E182+parametros_recargas!$G$94*'Plan mensual'!E183+parametros_recargas!$H$94*'Plan mensual'!E184+parametros_recargas!$I$94*'Plan mensual'!E185+parametros_recargas!$J$94*'Plan mensual'!E186+parametros_recargas!$K$94*'Plan mensual'!E187+parametros_recargas!$L$94*'Plan mensual'!E188</f>
        <v>960.634525072525</v>
      </c>
      <c r="D184" s="23" t="n">
        <f aca="false">parametros_recargas!$E$94*'Plan mensual'!F181+parametros_recargas!$F$94*'Plan mensual'!F182+parametros_recargas!$G$94*'Plan mensual'!F183+parametros_recargas!$H$94*'Plan mensual'!F184+parametros_recargas!$I$94*'Plan mensual'!F185+parametros_recargas!$J$94*'Plan mensual'!F186+parametros_recargas!$K$94*'Plan mensual'!F187+parametros_recargas!$L$94*'Plan mensual'!F188</f>
        <v>960.634525072525</v>
      </c>
      <c r="E184" s="23" t="n">
        <f aca="false">parametros_recargas!$E$94*'Plan mensual'!G181+parametros_recargas!$F$94*'Plan mensual'!G182+parametros_recargas!$G$94*'Plan mensual'!G183+parametros_recargas!$H$94*'Plan mensual'!G184+parametros_recargas!$I$94*'Plan mensual'!G185+parametros_recargas!$J$94*'Plan mensual'!G186+parametros_recargas!$K$94*'Plan mensual'!G187+parametros_recargas!$L$94*'Plan mensual'!G188</f>
        <v>960.634525072525</v>
      </c>
      <c r="F184" s="23" t="n">
        <f aca="false">parametros_recargas!$E$94*'Plan mensual'!H181+parametros_recargas!$F$94*'Plan mensual'!H182+parametros_recargas!$G$94*'Plan mensual'!H183+parametros_recargas!$H$94*'Plan mensual'!H184+parametros_recargas!$I$94*'Plan mensual'!H185+parametros_recargas!$J$94*'Plan mensual'!H186+parametros_recargas!$K$94*'Plan mensual'!H187+parametros_recargas!$L$94*'Plan mensual'!H188</f>
        <v>960.634525072525</v>
      </c>
      <c r="G184" s="23" t="n">
        <f aca="false">parametros_recargas!$E$94*'Plan mensual'!I181+parametros_recargas!$F$94*'Plan mensual'!I182+parametros_recargas!$G$94*'Plan mensual'!I183+parametros_recargas!$H$94*'Plan mensual'!I184+parametros_recargas!$I$94*'Plan mensual'!I185+parametros_recargas!$J$94*'Plan mensual'!I186+parametros_recargas!$K$94*'Plan mensual'!I187+parametros_recargas!$L$94*'Plan mensual'!I188</f>
        <v>960.634525072525</v>
      </c>
      <c r="H184" s="23" t="n">
        <f aca="false">parametros_recargas!$E$94*'Plan mensual'!J181+parametros_recargas!$F$94*'Plan mensual'!J182+parametros_recargas!$G$94*'Plan mensual'!J183+parametros_recargas!$H$94*'Plan mensual'!J184+parametros_recargas!$I$94*'Plan mensual'!J185+parametros_recargas!$J$94*'Plan mensual'!J186+parametros_recargas!$K$94*'Plan mensual'!J187+parametros_recargas!$L$94*'Plan mensual'!J188</f>
        <v>960.634525072525</v>
      </c>
      <c r="I184" s="23" t="n">
        <f aca="false">parametros_recargas!$E$94*'Plan mensual'!K181+parametros_recargas!$F$94*'Plan mensual'!K182+parametros_recargas!$G$94*'Plan mensual'!K183+parametros_recargas!$H$94*'Plan mensual'!K184+parametros_recargas!$I$94*'Plan mensual'!K185+parametros_recargas!$J$94*'Plan mensual'!K186+parametros_recargas!$K$94*'Plan mensual'!K187+parametros_recargas!$L$94*'Plan mensual'!K188</f>
        <v>960.634525072525</v>
      </c>
      <c r="J184" s="23" t="n">
        <f aca="false">parametros_recargas!$E$94*'Plan mensual'!L181+parametros_recargas!$F$94*'Plan mensual'!L182+parametros_recargas!$G$94*'Plan mensual'!L183+parametros_recargas!$H$94*'Plan mensual'!L184+parametros_recargas!$I$94*'Plan mensual'!L185+parametros_recargas!$J$94*'Plan mensual'!L186+parametros_recargas!$K$94*'Plan mensual'!L187+parametros_recargas!$L$94*'Plan mensual'!L188</f>
        <v>960.634525072525</v>
      </c>
      <c r="K184" s="23" t="n">
        <f aca="false">parametros_recargas!$E$94*'Plan mensual'!M181+parametros_recargas!$F$94*'Plan mensual'!M182+parametros_recargas!$G$94*'Plan mensual'!M183+parametros_recargas!$H$94*'Plan mensual'!M184+parametros_recargas!$I$94*'Plan mensual'!M185+parametros_recargas!$J$94*'Plan mensual'!M186+parametros_recargas!$K$94*'Plan mensual'!M187+parametros_recargas!$L$94*'Plan mensual'!M188</f>
        <v>960.634525072525</v>
      </c>
      <c r="L184" s="23" t="n">
        <f aca="false">parametros_recargas!$E$94*'Plan mensual'!N181+parametros_recargas!$F$94*'Plan mensual'!N182+parametros_recargas!$G$94*'Plan mensual'!N183+parametros_recargas!$H$94*'Plan mensual'!N184+parametros_recargas!$I$94*'Plan mensual'!N185+parametros_recargas!$J$94*'Plan mensual'!N186+parametros_recargas!$K$94*'Plan mensual'!N187+parametros_recargas!$L$94*'Plan mensual'!N188</f>
        <v>960.634525072525</v>
      </c>
      <c r="M184" s="23" t="n">
        <f aca="false">parametros_recargas!$E$94*'Plan mensual'!O181+parametros_recargas!$F$94*'Plan mensual'!O182+parametros_recargas!$G$94*'Plan mensual'!O183+parametros_recargas!$H$94*'Plan mensual'!O184+parametros_recargas!$I$94*'Plan mensual'!O185+parametros_recargas!$J$94*'Plan mensual'!O186+parametros_recargas!$K$94*'Plan mensual'!O187+parametros_recargas!$L$94*'Plan mensual'!O188</f>
        <v>960.634525072525</v>
      </c>
      <c r="N184" s="7" t="n">
        <f aca="false">SUM(B184:M184)</f>
        <v>11527.6143008703</v>
      </c>
      <c r="O184" s="24" t="n">
        <f aca="false">MAX(B184:M184)</f>
        <v>960.634525072525</v>
      </c>
      <c r="P184" s="15" t="n">
        <f aca="false">O184/parametros_recargas!$B$6</f>
        <v>6.40423016715017</v>
      </c>
    </row>
    <row r="185" customFormat="false" ht="15" hidden="false" customHeight="false" outlineLevel="0" collapsed="false">
      <c r="A185" s="12" t="str">
        <f aca="false">parametros_recargas!$B$95</f>
        <v>Carga y presurización de halogenado</v>
      </c>
      <c r="B185" s="23" t="n">
        <f aca="false">parametros_recargas!$E$95*'Plan mensual'!D181+parametros_recargas!$F$95*'Plan mensual'!D182+parametros_recargas!$G$95*'Plan mensual'!D183+parametros_recargas!$H$95*'Plan mensual'!D184+parametros_recargas!$I$95*'Plan mensual'!D185+parametros_recargas!$J$95*'Plan mensual'!D186+parametros_recargas!$K$95*'Plan mensual'!D187+parametros_recargas!$L$95*'Plan mensual'!D188</f>
        <v>11.7482432627464</v>
      </c>
      <c r="C185" s="23" t="n">
        <f aca="false">parametros_recargas!$E$95*'Plan mensual'!E181+parametros_recargas!$F$95*'Plan mensual'!E182+parametros_recargas!$G$95*'Plan mensual'!E183+parametros_recargas!$H$95*'Plan mensual'!E184+parametros_recargas!$I$95*'Plan mensual'!E185+parametros_recargas!$J$95*'Plan mensual'!E186+parametros_recargas!$K$95*'Plan mensual'!E187+parametros_recargas!$L$95*'Plan mensual'!E188</f>
        <v>11.7482432627464</v>
      </c>
      <c r="D185" s="23" t="n">
        <f aca="false">parametros_recargas!$E$95*'Plan mensual'!F181+parametros_recargas!$F$95*'Plan mensual'!F182+parametros_recargas!$G$95*'Plan mensual'!F183+parametros_recargas!$H$95*'Plan mensual'!F184+parametros_recargas!$I$95*'Plan mensual'!F185+parametros_recargas!$J$95*'Plan mensual'!F186+parametros_recargas!$K$95*'Plan mensual'!F187+parametros_recargas!$L$95*'Plan mensual'!F188</f>
        <v>11.7482432627464</v>
      </c>
      <c r="E185" s="23" t="n">
        <f aca="false">parametros_recargas!$E$95*'Plan mensual'!G181+parametros_recargas!$F$95*'Plan mensual'!G182+parametros_recargas!$G$95*'Plan mensual'!G183+parametros_recargas!$H$95*'Plan mensual'!G184+parametros_recargas!$I$95*'Plan mensual'!G185+parametros_recargas!$J$95*'Plan mensual'!G186+parametros_recargas!$K$95*'Plan mensual'!G187+parametros_recargas!$L$95*'Plan mensual'!G188</f>
        <v>11.7482432627464</v>
      </c>
      <c r="F185" s="23" t="n">
        <f aca="false">parametros_recargas!$E$95*'Plan mensual'!H181+parametros_recargas!$F$95*'Plan mensual'!H182+parametros_recargas!$G$95*'Plan mensual'!H183+parametros_recargas!$H$95*'Plan mensual'!H184+parametros_recargas!$I$95*'Plan mensual'!H185+parametros_recargas!$J$95*'Plan mensual'!H186+parametros_recargas!$K$95*'Plan mensual'!H187+parametros_recargas!$L$95*'Plan mensual'!H188</f>
        <v>11.7482432627464</v>
      </c>
      <c r="G185" s="23" t="n">
        <f aca="false">parametros_recargas!$E$95*'Plan mensual'!I181+parametros_recargas!$F$95*'Plan mensual'!I182+parametros_recargas!$G$95*'Plan mensual'!I183+parametros_recargas!$H$95*'Plan mensual'!I184+parametros_recargas!$I$95*'Plan mensual'!I185+parametros_recargas!$J$95*'Plan mensual'!I186+parametros_recargas!$K$95*'Plan mensual'!I187+parametros_recargas!$L$95*'Plan mensual'!I188</f>
        <v>11.7482432627464</v>
      </c>
      <c r="H185" s="23" t="n">
        <f aca="false">parametros_recargas!$E$95*'Plan mensual'!J181+parametros_recargas!$F$95*'Plan mensual'!J182+parametros_recargas!$G$95*'Plan mensual'!J183+parametros_recargas!$H$95*'Plan mensual'!J184+parametros_recargas!$I$95*'Plan mensual'!J185+parametros_recargas!$J$95*'Plan mensual'!J186+parametros_recargas!$K$95*'Plan mensual'!J187+parametros_recargas!$L$95*'Plan mensual'!J188</f>
        <v>11.7482432627464</v>
      </c>
      <c r="I185" s="23" t="n">
        <f aca="false">parametros_recargas!$E$95*'Plan mensual'!K181+parametros_recargas!$F$95*'Plan mensual'!K182+parametros_recargas!$G$95*'Plan mensual'!K183+parametros_recargas!$H$95*'Plan mensual'!K184+parametros_recargas!$I$95*'Plan mensual'!K185+parametros_recargas!$J$95*'Plan mensual'!K186+parametros_recargas!$K$95*'Plan mensual'!K187+parametros_recargas!$L$95*'Plan mensual'!K188</f>
        <v>11.7482432627464</v>
      </c>
      <c r="J185" s="23" t="n">
        <f aca="false">parametros_recargas!$E$95*'Plan mensual'!L181+parametros_recargas!$F$95*'Plan mensual'!L182+parametros_recargas!$G$95*'Plan mensual'!L183+parametros_recargas!$H$95*'Plan mensual'!L184+parametros_recargas!$I$95*'Plan mensual'!L185+parametros_recargas!$J$95*'Plan mensual'!L186+parametros_recargas!$K$95*'Plan mensual'!L187+parametros_recargas!$L$95*'Plan mensual'!L188</f>
        <v>11.7482432627464</v>
      </c>
      <c r="K185" s="23" t="n">
        <f aca="false">parametros_recargas!$E$95*'Plan mensual'!M181+parametros_recargas!$F$95*'Plan mensual'!M182+parametros_recargas!$G$95*'Plan mensual'!M183+parametros_recargas!$H$95*'Plan mensual'!M184+parametros_recargas!$I$95*'Plan mensual'!M185+parametros_recargas!$J$95*'Plan mensual'!M186+parametros_recargas!$K$95*'Plan mensual'!M187+parametros_recargas!$L$95*'Plan mensual'!M188</f>
        <v>11.7482432627464</v>
      </c>
      <c r="L185" s="23" t="n">
        <f aca="false">parametros_recargas!$E$95*'Plan mensual'!N181+parametros_recargas!$F$95*'Plan mensual'!N182+parametros_recargas!$G$95*'Plan mensual'!N183+parametros_recargas!$H$95*'Plan mensual'!N184+parametros_recargas!$I$95*'Plan mensual'!N185+parametros_recargas!$J$95*'Plan mensual'!N186+parametros_recargas!$K$95*'Plan mensual'!N187+parametros_recargas!$L$95*'Plan mensual'!N188</f>
        <v>11.7482432627464</v>
      </c>
      <c r="M185" s="23" t="n">
        <f aca="false">parametros_recargas!$E$95*'Plan mensual'!O181+parametros_recargas!$F$95*'Plan mensual'!O182+parametros_recargas!$G$95*'Plan mensual'!O183+parametros_recargas!$H$95*'Plan mensual'!O184+parametros_recargas!$I$95*'Plan mensual'!O185+parametros_recargas!$J$95*'Plan mensual'!O186+parametros_recargas!$K$95*'Plan mensual'!O187+parametros_recargas!$L$95*'Plan mensual'!O188</f>
        <v>11.7482432627464</v>
      </c>
      <c r="N185" s="7" t="n">
        <f aca="false">SUM(B185:M185)</f>
        <v>140.978919152956</v>
      </c>
      <c r="O185" s="24" t="n">
        <f aca="false">MAX(B185:M185)</f>
        <v>11.7482432627464</v>
      </c>
      <c r="P185" s="15" t="n">
        <f aca="false">O185/parametros_recargas!$B$6</f>
        <v>0.0783216217516424</v>
      </c>
    </row>
    <row r="186" customFormat="false" ht="15" hidden="false" customHeight="false" outlineLevel="0" collapsed="false">
      <c r="A186" s="12" t="str">
        <f aca="false">parametros_recargas!$B$96</f>
        <v>Control de peso (CO₂ y halogenados sin recarga)</v>
      </c>
      <c r="B186" s="23" t="n">
        <f aca="false">parametros_recargas!$E$96*'Plan mensual'!D181+parametros_recargas!$F$96*'Plan mensual'!D182+parametros_recargas!$G$96*'Plan mensual'!D183+parametros_recargas!$H$96*'Plan mensual'!D184+parametros_recargas!$I$96*'Plan mensual'!D185+parametros_recargas!$J$96*'Plan mensual'!D186+parametros_recargas!$K$96*'Plan mensual'!D187+parametros_recargas!$L$96*'Plan mensual'!D188</f>
        <v>872.745326707636</v>
      </c>
      <c r="C186" s="23" t="n">
        <f aca="false">parametros_recargas!$E$96*'Plan mensual'!E181+parametros_recargas!$F$96*'Plan mensual'!E182+parametros_recargas!$G$96*'Plan mensual'!E183+parametros_recargas!$H$96*'Plan mensual'!E184+parametros_recargas!$I$96*'Plan mensual'!E185+parametros_recargas!$J$96*'Plan mensual'!E186+parametros_recargas!$K$96*'Plan mensual'!E187+parametros_recargas!$L$96*'Plan mensual'!E188</f>
        <v>872.745326707636</v>
      </c>
      <c r="D186" s="23" t="n">
        <f aca="false">parametros_recargas!$E$96*'Plan mensual'!F181+parametros_recargas!$F$96*'Plan mensual'!F182+parametros_recargas!$G$96*'Plan mensual'!F183+parametros_recargas!$H$96*'Plan mensual'!F184+parametros_recargas!$I$96*'Plan mensual'!F185+parametros_recargas!$J$96*'Plan mensual'!F186+parametros_recargas!$K$96*'Plan mensual'!F187+parametros_recargas!$L$96*'Plan mensual'!F188</f>
        <v>872.745326707636</v>
      </c>
      <c r="E186" s="23" t="n">
        <f aca="false">parametros_recargas!$E$96*'Plan mensual'!G181+parametros_recargas!$F$96*'Plan mensual'!G182+parametros_recargas!$G$96*'Plan mensual'!G183+parametros_recargas!$H$96*'Plan mensual'!G184+parametros_recargas!$I$96*'Plan mensual'!G185+parametros_recargas!$J$96*'Plan mensual'!G186+parametros_recargas!$K$96*'Plan mensual'!G187+parametros_recargas!$L$96*'Plan mensual'!G188</f>
        <v>872.745326707636</v>
      </c>
      <c r="F186" s="23" t="n">
        <f aca="false">parametros_recargas!$E$96*'Plan mensual'!H181+parametros_recargas!$F$96*'Plan mensual'!H182+parametros_recargas!$G$96*'Plan mensual'!H183+parametros_recargas!$H$96*'Plan mensual'!H184+parametros_recargas!$I$96*'Plan mensual'!H185+parametros_recargas!$J$96*'Plan mensual'!H186+parametros_recargas!$K$96*'Plan mensual'!H187+parametros_recargas!$L$96*'Plan mensual'!H188</f>
        <v>872.745326707636</v>
      </c>
      <c r="G186" s="23" t="n">
        <f aca="false">parametros_recargas!$E$96*'Plan mensual'!I181+parametros_recargas!$F$96*'Plan mensual'!I182+parametros_recargas!$G$96*'Plan mensual'!I183+parametros_recargas!$H$96*'Plan mensual'!I184+parametros_recargas!$I$96*'Plan mensual'!I185+parametros_recargas!$J$96*'Plan mensual'!I186+parametros_recargas!$K$96*'Plan mensual'!I187+parametros_recargas!$L$96*'Plan mensual'!I188</f>
        <v>872.745326707636</v>
      </c>
      <c r="H186" s="23" t="n">
        <f aca="false">parametros_recargas!$E$96*'Plan mensual'!J181+parametros_recargas!$F$96*'Plan mensual'!J182+parametros_recargas!$G$96*'Plan mensual'!J183+parametros_recargas!$H$96*'Plan mensual'!J184+parametros_recargas!$I$96*'Plan mensual'!J185+parametros_recargas!$J$96*'Plan mensual'!J186+parametros_recargas!$K$96*'Plan mensual'!J187+parametros_recargas!$L$96*'Plan mensual'!J188</f>
        <v>872.745326707636</v>
      </c>
      <c r="I186" s="23" t="n">
        <f aca="false">parametros_recargas!$E$96*'Plan mensual'!K181+parametros_recargas!$F$96*'Plan mensual'!K182+parametros_recargas!$G$96*'Plan mensual'!K183+parametros_recargas!$H$96*'Plan mensual'!K184+parametros_recargas!$I$96*'Plan mensual'!K185+parametros_recargas!$J$96*'Plan mensual'!K186+parametros_recargas!$K$96*'Plan mensual'!K187+parametros_recargas!$L$96*'Plan mensual'!K188</f>
        <v>872.745326707636</v>
      </c>
      <c r="J186" s="23" t="n">
        <f aca="false">parametros_recargas!$E$96*'Plan mensual'!L181+parametros_recargas!$F$96*'Plan mensual'!L182+parametros_recargas!$G$96*'Plan mensual'!L183+parametros_recargas!$H$96*'Plan mensual'!L184+parametros_recargas!$I$96*'Plan mensual'!L185+parametros_recargas!$J$96*'Plan mensual'!L186+parametros_recargas!$K$96*'Plan mensual'!L187+parametros_recargas!$L$96*'Plan mensual'!L188</f>
        <v>872.745326707636</v>
      </c>
      <c r="K186" s="23" t="n">
        <f aca="false">parametros_recargas!$E$96*'Plan mensual'!M181+parametros_recargas!$F$96*'Plan mensual'!M182+parametros_recargas!$G$96*'Plan mensual'!M183+parametros_recargas!$H$96*'Plan mensual'!M184+parametros_recargas!$I$96*'Plan mensual'!M185+parametros_recargas!$J$96*'Plan mensual'!M186+parametros_recargas!$K$96*'Plan mensual'!M187+parametros_recargas!$L$96*'Plan mensual'!M188</f>
        <v>872.745326707636</v>
      </c>
      <c r="L186" s="23" t="n">
        <f aca="false">parametros_recargas!$E$96*'Plan mensual'!N181+parametros_recargas!$F$96*'Plan mensual'!N182+parametros_recargas!$G$96*'Plan mensual'!N183+parametros_recargas!$H$96*'Plan mensual'!N184+parametros_recargas!$I$96*'Plan mensual'!N185+parametros_recargas!$J$96*'Plan mensual'!N186+parametros_recargas!$K$96*'Plan mensual'!N187+parametros_recargas!$L$96*'Plan mensual'!N188</f>
        <v>872.745326707636</v>
      </c>
      <c r="M186" s="23" t="n">
        <f aca="false">parametros_recargas!$E$96*'Plan mensual'!O181+parametros_recargas!$F$96*'Plan mensual'!O182+parametros_recargas!$G$96*'Plan mensual'!O183+parametros_recargas!$H$96*'Plan mensual'!O184+parametros_recargas!$I$96*'Plan mensual'!O185+parametros_recargas!$J$96*'Plan mensual'!O186+parametros_recargas!$K$96*'Plan mensual'!O187+parametros_recargas!$L$96*'Plan mensual'!O188</f>
        <v>872.745326707636</v>
      </c>
      <c r="N186" s="7" t="n">
        <f aca="false">SUM(B186:M186)</f>
        <v>10472.9439204916</v>
      </c>
      <c r="O186" s="24" t="n">
        <f aca="false">MAX(B186:M186)</f>
        <v>872.745326707636</v>
      </c>
      <c r="P186" s="15" t="n">
        <f aca="false">O186/parametros_recargas!$B$6</f>
        <v>5.81830217805091</v>
      </c>
    </row>
    <row r="187" customFormat="false" ht="15" hidden="false" customHeight="false" outlineLevel="0" collapsed="false">
      <c r="A187" s="12" t="str">
        <f aca="false">parametros_recargas!$B$97</f>
        <v>Ensayo de pérdidas</v>
      </c>
      <c r="B187" s="23" t="n">
        <f aca="false">parametros_recargas!$E$97*'Plan mensual'!D181+parametros_recargas!$F$97*'Plan mensual'!D182+parametros_recargas!$G$97*'Plan mensual'!D183+parametros_recargas!$H$97*'Plan mensual'!D184+parametros_recargas!$I$97*'Plan mensual'!D185+parametros_recargas!$J$97*'Plan mensual'!D186+parametros_recargas!$K$97*'Plan mensual'!D187+parametros_recargas!$L$97*'Plan mensual'!D188</f>
        <v>14343.4106309452</v>
      </c>
      <c r="C187" s="23" t="n">
        <f aca="false">parametros_recargas!$E$97*'Plan mensual'!E181+parametros_recargas!$F$97*'Plan mensual'!E182+parametros_recargas!$G$97*'Plan mensual'!E183+parametros_recargas!$H$97*'Plan mensual'!E184+parametros_recargas!$I$97*'Plan mensual'!E185+parametros_recargas!$J$97*'Plan mensual'!E186+parametros_recargas!$K$97*'Plan mensual'!E187+parametros_recargas!$L$97*'Plan mensual'!E188</f>
        <v>14343.4106309452</v>
      </c>
      <c r="D187" s="23" t="n">
        <f aca="false">parametros_recargas!$E$97*'Plan mensual'!F181+parametros_recargas!$F$97*'Plan mensual'!F182+parametros_recargas!$G$97*'Plan mensual'!F183+parametros_recargas!$H$97*'Plan mensual'!F184+parametros_recargas!$I$97*'Plan mensual'!F185+parametros_recargas!$J$97*'Plan mensual'!F186+parametros_recargas!$K$97*'Plan mensual'!F187+parametros_recargas!$L$97*'Plan mensual'!F188</f>
        <v>14343.4106309452</v>
      </c>
      <c r="E187" s="23" t="n">
        <f aca="false">parametros_recargas!$E$97*'Plan mensual'!G181+parametros_recargas!$F$97*'Plan mensual'!G182+parametros_recargas!$G$97*'Plan mensual'!G183+parametros_recargas!$H$97*'Plan mensual'!G184+parametros_recargas!$I$97*'Plan mensual'!G185+parametros_recargas!$J$97*'Plan mensual'!G186+parametros_recargas!$K$97*'Plan mensual'!G187+parametros_recargas!$L$97*'Plan mensual'!G188</f>
        <v>14343.4106309452</v>
      </c>
      <c r="F187" s="23" t="n">
        <f aca="false">parametros_recargas!$E$97*'Plan mensual'!H181+parametros_recargas!$F$97*'Plan mensual'!H182+parametros_recargas!$G$97*'Plan mensual'!H183+parametros_recargas!$H$97*'Plan mensual'!H184+parametros_recargas!$I$97*'Plan mensual'!H185+parametros_recargas!$J$97*'Plan mensual'!H186+parametros_recargas!$K$97*'Plan mensual'!H187+parametros_recargas!$L$97*'Plan mensual'!H188</f>
        <v>14343.4106309452</v>
      </c>
      <c r="G187" s="23" t="n">
        <f aca="false">parametros_recargas!$E$97*'Plan mensual'!I181+parametros_recargas!$F$97*'Plan mensual'!I182+parametros_recargas!$G$97*'Plan mensual'!I183+parametros_recargas!$H$97*'Plan mensual'!I184+parametros_recargas!$I$97*'Plan mensual'!I185+parametros_recargas!$J$97*'Plan mensual'!I186+parametros_recargas!$K$97*'Plan mensual'!I187+parametros_recargas!$L$97*'Plan mensual'!I188</f>
        <v>14343.4106309452</v>
      </c>
      <c r="H187" s="23" t="n">
        <f aca="false">parametros_recargas!$E$97*'Plan mensual'!J181+parametros_recargas!$F$97*'Plan mensual'!J182+parametros_recargas!$G$97*'Plan mensual'!J183+parametros_recargas!$H$97*'Plan mensual'!J184+parametros_recargas!$I$97*'Plan mensual'!J185+parametros_recargas!$J$97*'Plan mensual'!J186+parametros_recargas!$K$97*'Plan mensual'!J187+parametros_recargas!$L$97*'Plan mensual'!J188</f>
        <v>14343.4106309452</v>
      </c>
      <c r="I187" s="23" t="n">
        <f aca="false">parametros_recargas!$E$97*'Plan mensual'!K181+parametros_recargas!$F$97*'Plan mensual'!K182+parametros_recargas!$G$97*'Plan mensual'!K183+parametros_recargas!$H$97*'Plan mensual'!K184+parametros_recargas!$I$97*'Plan mensual'!K185+parametros_recargas!$J$97*'Plan mensual'!K186+parametros_recargas!$K$97*'Plan mensual'!K187+parametros_recargas!$L$97*'Plan mensual'!K188</f>
        <v>14343.4106309452</v>
      </c>
      <c r="J187" s="23" t="n">
        <f aca="false">parametros_recargas!$E$97*'Plan mensual'!L181+parametros_recargas!$F$97*'Plan mensual'!L182+parametros_recargas!$G$97*'Plan mensual'!L183+parametros_recargas!$H$97*'Plan mensual'!L184+parametros_recargas!$I$97*'Plan mensual'!L185+parametros_recargas!$J$97*'Plan mensual'!L186+parametros_recargas!$K$97*'Plan mensual'!L187+parametros_recargas!$L$97*'Plan mensual'!L188</f>
        <v>14343.4106309452</v>
      </c>
      <c r="K187" s="23" t="n">
        <f aca="false">parametros_recargas!$E$97*'Plan mensual'!M181+parametros_recargas!$F$97*'Plan mensual'!M182+parametros_recargas!$G$97*'Plan mensual'!M183+parametros_recargas!$H$97*'Plan mensual'!M184+parametros_recargas!$I$97*'Plan mensual'!M185+parametros_recargas!$J$97*'Plan mensual'!M186+parametros_recargas!$K$97*'Plan mensual'!M187+parametros_recargas!$L$97*'Plan mensual'!M188</f>
        <v>14343.4106309452</v>
      </c>
      <c r="L187" s="23" t="n">
        <f aca="false">parametros_recargas!$E$97*'Plan mensual'!N181+parametros_recargas!$F$97*'Plan mensual'!N182+parametros_recargas!$G$97*'Plan mensual'!N183+parametros_recargas!$H$97*'Plan mensual'!N184+parametros_recargas!$I$97*'Plan mensual'!N185+parametros_recargas!$J$97*'Plan mensual'!N186+parametros_recargas!$K$97*'Plan mensual'!N187+parametros_recargas!$L$97*'Plan mensual'!N188</f>
        <v>14343.4106309452</v>
      </c>
      <c r="M187" s="23" t="n">
        <f aca="false">parametros_recargas!$E$97*'Plan mensual'!O181+parametros_recargas!$F$97*'Plan mensual'!O182+parametros_recargas!$G$97*'Plan mensual'!O183+parametros_recargas!$H$97*'Plan mensual'!O184+parametros_recargas!$I$97*'Plan mensual'!O185+parametros_recargas!$J$97*'Plan mensual'!O186+parametros_recargas!$K$97*'Plan mensual'!O187+parametros_recargas!$L$97*'Plan mensual'!O188</f>
        <v>14343.4106309452</v>
      </c>
      <c r="N187" s="7" t="n">
        <f aca="false">SUM(B187:M187)</f>
        <v>172120.927571342</v>
      </c>
      <c r="O187" s="24" t="n">
        <f aca="false">MAX(B187:M187)</f>
        <v>14343.4106309452</v>
      </c>
      <c r="P187" s="15" t="n">
        <f aca="false">O187/parametros_recargas!$B$6</f>
        <v>95.6227375396347</v>
      </c>
    </row>
    <row r="188" customFormat="false" ht="15" hidden="false" customHeight="false" outlineLevel="0" collapsed="false">
      <c r="A188" s="12" t="str">
        <f aca="false">parametros_recargas!$B$98</f>
        <v>Precinto, etiqueta y despacho</v>
      </c>
      <c r="B188" s="23" t="n">
        <f aca="false">parametros_recargas!$E$98*'Plan mensual'!D181+parametros_recargas!$F$98*'Plan mensual'!D182+parametros_recargas!$G$98*'Plan mensual'!D183+parametros_recargas!$H$98*'Plan mensual'!D184+parametros_recargas!$I$98*'Plan mensual'!D185+parametros_recargas!$J$98*'Plan mensual'!D186+parametros_recargas!$K$98*'Plan mensual'!D187+parametros_recargas!$L$98*'Plan mensual'!D188</f>
        <v>14343.4106309452</v>
      </c>
      <c r="C188" s="23" t="n">
        <f aca="false">parametros_recargas!$E$98*'Plan mensual'!E181+parametros_recargas!$F$98*'Plan mensual'!E182+parametros_recargas!$G$98*'Plan mensual'!E183+parametros_recargas!$H$98*'Plan mensual'!E184+parametros_recargas!$I$98*'Plan mensual'!E185+parametros_recargas!$J$98*'Plan mensual'!E186+parametros_recargas!$K$98*'Plan mensual'!E187+parametros_recargas!$L$98*'Plan mensual'!E188</f>
        <v>14343.4106309452</v>
      </c>
      <c r="D188" s="23" t="n">
        <f aca="false">parametros_recargas!$E$98*'Plan mensual'!F181+parametros_recargas!$F$98*'Plan mensual'!F182+parametros_recargas!$G$98*'Plan mensual'!F183+parametros_recargas!$H$98*'Plan mensual'!F184+parametros_recargas!$I$98*'Plan mensual'!F185+parametros_recargas!$J$98*'Plan mensual'!F186+parametros_recargas!$K$98*'Plan mensual'!F187+parametros_recargas!$L$98*'Plan mensual'!F188</f>
        <v>14343.4106309452</v>
      </c>
      <c r="E188" s="23" t="n">
        <f aca="false">parametros_recargas!$E$98*'Plan mensual'!G181+parametros_recargas!$F$98*'Plan mensual'!G182+parametros_recargas!$G$98*'Plan mensual'!G183+parametros_recargas!$H$98*'Plan mensual'!G184+parametros_recargas!$I$98*'Plan mensual'!G185+parametros_recargas!$J$98*'Plan mensual'!G186+parametros_recargas!$K$98*'Plan mensual'!G187+parametros_recargas!$L$98*'Plan mensual'!G188</f>
        <v>14343.4106309452</v>
      </c>
      <c r="F188" s="23" t="n">
        <f aca="false">parametros_recargas!$E$98*'Plan mensual'!H181+parametros_recargas!$F$98*'Plan mensual'!H182+parametros_recargas!$G$98*'Plan mensual'!H183+parametros_recargas!$H$98*'Plan mensual'!H184+parametros_recargas!$I$98*'Plan mensual'!H185+parametros_recargas!$J$98*'Plan mensual'!H186+parametros_recargas!$K$98*'Plan mensual'!H187+parametros_recargas!$L$98*'Plan mensual'!H188</f>
        <v>14343.4106309452</v>
      </c>
      <c r="G188" s="23" t="n">
        <f aca="false">parametros_recargas!$E$98*'Plan mensual'!I181+parametros_recargas!$F$98*'Plan mensual'!I182+parametros_recargas!$G$98*'Plan mensual'!I183+parametros_recargas!$H$98*'Plan mensual'!I184+parametros_recargas!$I$98*'Plan mensual'!I185+parametros_recargas!$J$98*'Plan mensual'!I186+parametros_recargas!$K$98*'Plan mensual'!I187+parametros_recargas!$L$98*'Plan mensual'!I188</f>
        <v>14343.4106309452</v>
      </c>
      <c r="H188" s="23" t="n">
        <f aca="false">parametros_recargas!$E$98*'Plan mensual'!J181+parametros_recargas!$F$98*'Plan mensual'!J182+parametros_recargas!$G$98*'Plan mensual'!J183+parametros_recargas!$H$98*'Plan mensual'!J184+parametros_recargas!$I$98*'Plan mensual'!J185+parametros_recargas!$J$98*'Plan mensual'!J186+parametros_recargas!$K$98*'Plan mensual'!J187+parametros_recargas!$L$98*'Plan mensual'!J188</f>
        <v>14343.4106309452</v>
      </c>
      <c r="I188" s="23" t="n">
        <f aca="false">parametros_recargas!$E$98*'Plan mensual'!K181+parametros_recargas!$F$98*'Plan mensual'!K182+parametros_recargas!$G$98*'Plan mensual'!K183+parametros_recargas!$H$98*'Plan mensual'!K184+parametros_recargas!$I$98*'Plan mensual'!K185+parametros_recargas!$J$98*'Plan mensual'!K186+parametros_recargas!$K$98*'Plan mensual'!K187+parametros_recargas!$L$98*'Plan mensual'!K188</f>
        <v>14343.4106309452</v>
      </c>
      <c r="J188" s="23" t="n">
        <f aca="false">parametros_recargas!$E$98*'Plan mensual'!L181+parametros_recargas!$F$98*'Plan mensual'!L182+parametros_recargas!$G$98*'Plan mensual'!L183+parametros_recargas!$H$98*'Plan mensual'!L184+parametros_recargas!$I$98*'Plan mensual'!L185+parametros_recargas!$J$98*'Plan mensual'!L186+parametros_recargas!$K$98*'Plan mensual'!L187+parametros_recargas!$L$98*'Plan mensual'!L188</f>
        <v>14343.4106309452</v>
      </c>
      <c r="K188" s="23" t="n">
        <f aca="false">parametros_recargas!$E$98*'Plan mensual'!M181+parametros_recargas!$F$98*'Plan mensual'!M182+parametros_recargas!$G$98*'Plan mensual'!M183+parametros_recargas!$H$98*'Plan mensual'!M184+parametros_recargas!$I$98*'Plan mensual'!M185+parametros_recargas!$J$98*'Plan mensual'!M186+parametros_recargas!$K$98*'Plan mensual'!M187+parametros_recargas!$L$98*'Plan mensual'!M188</f>
        <v>14343.4106309452</v>
      </c>
      <c r="L188" s="23" t="n">
        <f aca="false">parametros_recargas!$E$98*'Plan mensual'!N181+parametros_recargas!$F$98*'Plan mensual'!N182+parametros_recargas!$G$98*'Plan mensual'!N183+parametros_recargas!$H$98*'Plan mensual'!N184+parametros_recargas!$I$98*'Plan mensual'!N185+parametros_recargas!$J$98*'Plan mensual'!N186+parametros_recargas!$K$98*'Plan mensual'!N187+parametros_recargas!$L$98*'Plan mensual'!N188</f>
        <v>14343.4106309452</v>
      </c>
      <c r="M188" s="23" t="n">
        <f aca="false">parametros_recargas!$E$98*'Plan mensual'!O181+parametros_recargas!$F$98*'Plan mensual'!O182+parametros_recargas!$G$98*'Plan mensual'!O183+parametros_recargas!$H$98*'Plan mensual'!O184+parametros_recargas!$I$98*'Plan mensual'!O185+parametros_recargas!$J$98*'Plan mensual'!O186+parametros_recargas!$K$98*'Plan mensual'!O187+parametros_recargas!$L$98*'Plan mensual'!O188</f>
        <v>14343.4106309452</v>
      </c>
      <c r="N188" s="7" t="n">
        <f aca="false">SUM(B188:M188)</f>
        <v>172120.927571342</v>
      </c>
      <c r="O188" s="24" t="n">
        <f aca="false">MAX(B188:M188)</f>
        <v>14343.4106309452</v>
      </c>
      <c r="P188" s="15" t="n">
        <f aca="false">O188/parametros_recargas!$B$6</f>
        <v>95.6227375396347</v>
      </c>
    </row>
    <row r="189" customFormat="false" ht="15" hidden="false" customHeight="false" outlineLevel="0" collapsed="false">
      <c r="A189" s="12" t="str">
        <f aca="false">parametros_recargas!$B$99</f>
        <v>Inutilización y disposición final</v>
      </c>
      <c r="B189" s="23" t="n">
        <f aca="false">parametros_recargas!$E$99*'Plan mensual'!D181+parametros_recargas!$F$99*'Plan mensual'!D182+parametros_recargas!$G$99*'Plan mensual'!D183+parametros_recargas!$H$99*'Plan mensual'!D184+parametros_recargas!$I$99*'Plan mensual'!D185+parametros_recargas!$J$99*'Plan mensual'!D186+parametros_recargas!$K$99*'Plan mensual'!D187+parametros_recargas!$L$99*'Plan mensual'!D188</f>
        <v>1127.53236007277</v>
      </c>
      <c r="C189" s="23" t="n">
        <f aca="false">parametros_recargas!$E$99*'Plan mensual'!E181+parametros_recargas!$F$99*'Plan mensual'!E182+parametros_recargas!$G$99*'Plan mensual'!E183+parametros_recargas!$H$99*'Plan mensual'!E184+parametros_recargas!$I$99*'Plan mensual'!E185+parametros_recargas!$J$99*'Plan mensual'!E186+parametros_recargas!$K$99*'Plan mensual'!E187+parametros_recargas!$L$99*'Plan mensual'!E188</f>
        <v>1127.53236007277</v>
      </c>
      <c r="D189" s="23" t="n">
        <f aca="false">parametros_recargas!$E$99*'Plan mensual'!F181+parametros_recargas!$F$99*'Plan mensual'!F182+parametros_recargas!$G$99*'Plan mensual'!F183+parametros_recargas!$H$99*'Plan mensual'!F184+parametros_recargas!$I$99*'Plan mensual'!F185+parametros_recargas!$J$99*'Plan mensual'!F186+parametros_recargas!$K$99*'Plan mensual'!F187+parametros_recargas!$L$99*'Plan mensual'!F188</f>
        <v>1127.53236007277</v>
      </c>
      <c r="E189" s="23" t="n">
        <f aca="false">parametros_recargas!$E$99*'Plan mensual'!G181+parametros_recargas!$F$99*'Plan mensual'!G182+parametros_recargas!$G$99*'Plan mensual'!G183+parametros_recargas!$H$99*'Plan mensual'!G184+parametros_recargas!$I$99*'Plan mensual'!G185+parametros_recargas!$J$99*'Plan mensual'!G186+parametros_recargas!$K$99*'Plan mensual'!G187+parametros_recargas!$L$99*'Plan mensual'!G188</f>
        <v>1127.53236007277</v>
      </c>
      <c r="F189" s="23" t="n">
        <f aca="false">parametros_recargas!$E$99*'Plan mensual'!H181+parametros_recargas!$F$99*'Plan mensual'!H182+parametros_recargas!$G$99*'Plan mensual'!H183+parametros_recargas!$H$99*'Plan mensual'!H184+parametros_recargas!$I$99*'Plan mensual'!H185+parametros_recargas!$J$99*'Plan mensual'!H186+parametros_recargas!$K$99*'Plan mensual'!H187+parametros_recargas!$L$99*'Plan mensual'!H188</f>
        <v>1127.53236007277</v>
      </c>
      <c r="G189" s="23" t="n">
        <f aca="false">parametros_recargas!$E$99*'Plan mensual'!I181+parametros_recargas!$F$99*'Plan mensual'!I182+parametros_recargas!$G$99*'Plan mensual'!I183+parametros_recargas!$H$99*'Plan mensual'!I184+parametros_recargas!$I$99*'Plan mensual'!I185+parametros_recargas!$J$99*'Plan mensual'!I186+parametros_recargas!$K$99*'Plan mensual'!I187+parametros_recargas!$L$99*'Plan mensual'!I188</f>
        <v>1127.53236007277</v>
      </c>
      <c r="H189" s="23" t="n">
        <f aca="false">parametros_recargas!$E$99*'Plan mensual'!J181+parametros_recargas!$F$99*'Plan mensual'!J182+parametros_recargas!$G$99*'Plan mensual'!J183+parametros_recargas!$H$99*'Plan mensual'!J184+parametros_recargas!$I$99*'Plan mensual'!J185+parametros_recargas!$J$99*'Plan mensual'!J186+parametros_recargas!$K$99*'Plan mensual'!J187+parametros_recargas!$L$99*'Plan mensual'!J188</f>
        <v>1127.53236007277</v>
      </c>
      <c r="I189" s="23" t="n">
        <f aca="false">parametros_recargas!$E$99*'Plan mensual'!K181+parametros_recargas!$F$99*'Plan mensual'!K182+parametros_recargas!$G$99*'Plan mensual'!K183+parametros_recargas!$H$99*'Plan mensual'!K184+parametros_recargas!$I$99*'Plan mensual'!K185+parametros_recargas!$J$99*'Plan mensual'!K186+parametros_recargas!$K$99*'Plan mensual'!K187+parametros_recargas!$L$99*'Plan mensual'!K188</f>
        <v>1127.53236007277</v>
      </c>
      <c r="J189" s="23" t="n">
        <f aca="false">parametros_recargas!$E$99*'Plan mensual'!L181+parametros_recargas!$F$99*'Plan mensual'!L182+parametros_recargas!$G$99*'Plan mensual'!L183+parametros_recargas!$H$99*'Plan mensual'!L184+parametros_recargas!$I$99*'Plan mensual'!L185+parametros_recargas!$J$99*'Plan mensual'!L186+parametros_recargas!$K$99*'Plan mensual'!L187+parametros_recargas!$L$99*'Plan mensual'!L188</f>
        <v>1127.53236007277</v>
      </c>
      <c r="K189" s="23" t="n">
        <f aca="false">parametros_recargas!$E$99*'Plan mensual'!M181+parametros_recargas!$F$99*'Plan mensual'!M182+parametros_recargas!$G$99*'Plan mensual'!M183+parametros_recargas!$H$99*'Plan mensual'!M184+parametros_recargas!$I$99*'Plan mensual'!M185+parametros_recargas!$J$99*'Plan mensual'!M186+parametros_recargas!$K$99*'Plan mensual'!M187+parametros_recargas!$L$99*'Plan mensual'!M188</f>
        <v>1127.53236007277</v>
      </c>
      <c r="L189" s="23" t="n">
        <f aca="false">parametros_recargas!$E$99*'Plan mensual'!N181+parametros_recargas!$F$99*'Plan mensual'!N182+parametros_recargas!$G$99*'Plan mensual'!N183+parametros_recargas!$H$99*'Plan mensual'!N184+parametros_recargas!$I$99*'Plan mensual'!N185+parametros_recargas!$J$99*'Plan mensual'!N186+parametros_recargas!$K$99*'Plan mensual'!N187+parametros_recargas!$L$99*'Plan mensual'!N188</f>
        <v>1127.53236007277</v>
      </c>
      <c r="M189" s="23" t="n">
        <f aca="false">parametros_recargas!$E$99*'Plan mensual'!O181+parametros_recargas!$F$99*'Plan mensual'!O182+parametros_recargas!$G$99*'Plan mensual'!O183+parametros_recargas!$H$99*'Plan mensual'!O184+parametros_recargas!$I$99*'Plan mensual'!O185+parametros_recargas!$J$99*'Plan mensual'!O186+parametros_recargas!$K$99*'Plan mensual'!O187+parametros_recargas!$L$99*'Plan mensual'!O188</f>
        <v>1127.53236007277</v>
      </c>
      <c r="N189" s="7" t="n">
        <f aca="false">SUM(B189:M189)</f>
        <v>13530.3883208733</v>
      </c>
      <c r="O189" s="24" t="n">
        <f aca="false">MAX(B189:M189)</f>
        <v>1127.53236007277</v>
      </c>
      <c r="P189" s="15" t="n">
        <f aca="false">O189/parametros_recargas!$B$6</f>
        <v>7.51688240048515</v>
      </c>
    </row>
    <row r="190" customFormat="false" ht="15" hidden="false" customHeight="false" outlineLevel="0" collapsed="false">
      <c r="A190" s="12" t="str">
        <f aca="false">parametros_recargas!$B$100</f>
        <v>PH de mangueras (CO₂ y rodantes)</v>
      </c>
      <c r="B190" s="23" t="n">
        <f aca="false">'Plan mensual'!D189</f>
        <v>530.207713247341</v>
      </c>
      <c r="C190" s="23" t="n">
        <f aca="false">'Plan mensual'!E189</f>
        <v>530.207713247341</v>
      </c>
      <c r="D190" s="23" t="n">
        <f aca="false">'Plan mensual'!F189</f>
        <v>530.207713247341</v>
      </c>
      <c r="E190" s="23" t="n">
        <f aca="false">'Plan mensual'!G189</f>
        <v>530.207713247341</v>
      </c>
      <c r="F190" s="23" t="n">
        <f aca="false">'Plan mensual'!H189</f>
        <v>530.207713247341</v>
      </c>
      <c r="G190" s="23" t="n">
        <f aca="false">'Plan mensual'!I189</f>
        <v>530.207713247341</v>
      </c>
      <c r="H190" s="23" t="n">
        <f aca="false">'Plan mensual'!J189</f>
        <v>530.207713247341</v>
      </c>
      <c r="I190" s="23" t="n">
        <f aca="false">'Plan mensual'!K189</f>
        <v>530.207713247341</v>
      </c>
      <c r="J190" s="23" t="n">
        <f aca="false">'Plan mensual'!L189</f>
        <v>530.207713247341</v>
      </c>
      <c r="K190" s="23" t="n">
        <f aca="false">'Plan mensual'!M189</f>
        <v>530.207713247341</v>
      </c>
      <c r="L190" s="23" t="n">
        <f aca="false">'Plan mensual'!N189</f>
        <v>530.207713247341</v>
      </c>
      <c r="M190" s="23" t="n">
        <f aca="false">'Plan mensual'!O189</f>
        <v>530.207713247341</v>
      </c>
      <c r="N190" s="7" t="n">
        <f aca="false">SUM(B190:M190)</f>
        <v>6362.4925589681</v>
      </c>
      <c r="O190" s="24" t="n">
        <f aca="false">MAX(B190:M190)</f>
        <v>530.207713247341</v>
      </c>
      <c r="P190" s="15" t="n">
        <f aca="false">O190/parametros_recargas!$B$6</f>
        <v>3.53471808831561</v>
      </c>
    </row>
    <row r="193" customFormat="false" ht="23.85" hidden="false" customHeight="false" outlineLevel="0" collapsed="false">
      <c r="A193" s="3" t="s">
        <v>281</v>
      </c>
      <c r="B193" s="3" t="s">
        <v>120</v>
      </c>
      <c r="C193" s="3" t="s">
        <v>121</v>
      </c>
      <c r="D193" s="3" t="s">
        <v>122</v>
      </c>
      <c r="E193" s="3" t="s">
        <v>123</v>
      </c>
      <c r="F193" s="3" t="s">
        <v>124</v>
      </c>
      <c r="G193" s="3" t="s">
        <v>125</v>
      </c>
      <c r="H193" s="3" t="s">
        <v>126</v>
      </c>
      <c r="I193" s="3" t="s">
        <v>127</v>
      </c>
      <c r="J193" s="3" t="s">
        <v>128</v>
      </c>
      <c r="K193" s="3" t="s">
        <v>129</v>
      </c>
      <c r="L193" s="3" t="s">
        <v>130</v>
      </c>
      <c r="M193" s="3" t="s">
        <v>131</v>
      </c>
      <c r="N193" s="3" t="s">
        <v>273</v>
      </c>
      <c r="O193" s="3" t="s">
        <v>274</v>
      </c>
      <c r="P193" s="3" t="s">
        <v>275</v>
      </c>
    </row>
    <row r="194" customFormat="false" ht="15" hidden="false" customHeight="false" outlineLevel="0" collapsed="false">
      <c r="A194" s="12" t="str">
        <f aca="false">parametros_recargas!$B$72</f>
        <v>Recepción y registro</v>
      </c>
      <c r="B194" s="23" t="n">
        <f aca="false">parametros_recargas!$E$72*'Plan mensual'!D213+parametros_recargas!$F$72*'Plan mensual'!D214+parametros_recargas!$G$72*'Plan mensual'!D215+parametros_recargas!$H$72*'Plan mensual'!D216+parametros_recargas!$I$72*'Plan mensual'!D217+parametros_recargas!$J$72*'Plan mensual'!D218+parametros_recargas!$K$72*'Plan mensual'!D219+parametros_recargas!$L$72*'Plan mensual'!D220</f>
        <v>18279.4457904031</v>
      </c>
      <c r="C194" s="23" t="n">
        <f aca="false">parametros_recargas!$E$72*'Plan mensual'!E213+parametros_recargas!$F$72*'Plan mensual'!E214+parametros_recargas!$G$72*'Plan mensual'!E215+parametros_recargas!$H$72*'Plan mensual'!E216+parametros_recargas!$I$72*'Plan mensual'!E217+parametros_recargas!$J$72*'Plan mensual'!E218+parametros_recargas!$K$72*'Plan mensual'!E219+parametros_recargas!$L$72*'Plan mensual'!E220</f>
        <v>18279.4457904031</v>
      </c>
      <c r="D194" s="23" t="n">
        <f aca="false">parametros_recargas!$E$72*'Plan mensual'!F213+parametros_recargas!$F$72*'Plan mensual'!F214+parametros_recargas!$G$72*'Plan mensual'!F215+parametros_recargas!$H$72*'Plan mensual'!F216+parametros_recargas!$I$72*'Plan mensual'!F217+parametros_recargas!$J$72*'Plan mensual'!F218+parametros_recargas!$K$72*'Plan mensual'!F219+parametros_recargas!$L$72*'Plan mensual'!F220</f>
        <v>18279.4457904031</v>
      </c>
      <c r="E194" s="23" t="n">
        <f aca="false">parametros_recargas!$E$72*'Plan mensual'!G213+parametros_recargas!$F$72*'Plan mensual'!G214+parametros_recargas!$G$72*'Plan mensual'!G215+parametros_recargas!$H$72*'Plan mensual'!G216+parametros_recargas!$I$72*'Plan mensual'!G217+parametros_recargas!$J$72*'Plan mensual'!G218+parametros_recargas!$K$72*'Plan mensual'!G219+parametros_recargas!$L$72*'Plan mensual'!G220</f>
        <v>18279.4457904031</v>
      </c>
      <c r="F194" s="23" t="n">
        <f aca="false">parametros_recargas!$E$72*'Plan mensual'!H213+parametros_recargas!$F$72*'Plan mensual'!H214+parametros_recargas!$G$72*'Plan mensual'!H215+parametros_recargas!$H$72*'Plan mensual'!H216+parametros_recargas!$I$72*'Plan mensual'!H217+parametros_recargas!$J$72*'Plan mensual'!H218+parametros_recargas!$K$72*'Plan mensual'!H219+parametros_recargas!$L$72*'Plan mensual'!H220</f>
        <v>18279.4457904031</v>
      </c>
      <c r="G194" s="23" t="n">
        <f aca="false">parametros_recargas!$E$72*'Plan mensual'!I213+parametros_recargas!$F$72*'Plan mensual'!I214+parametros_recargas!$G$72*'Plan mensual'!I215+parametros_recargas!$H$72*'Plan mensual'!I216+parametros_recargas!$I$72*'Plan mensual'!I217+parametros_recargas!$J$72*'Plan mensual'!I218+parametros_recargas!$K$72*'Plan mensual'!I219+parametros_recargas!$L$72*'Plan mensual'!I220</f>
        <v>18279.4457904031</v>
      </c>
      <c r="H194" s="23" t="n">
        <f aca="false">parametros_recargas!$E$72*'Plan mensual'!J213+parametros_recargas!$F$72*'Plan mensual'!J214+parametros_recargas!$G$72*'Plan mensual'!J215+parametros_recargas!$H$72*'Plan mensual'!J216+parametros_recargas!$I$72*'Plan mensual'!J217+parametros_recargas!$J$72*'Plan mensual'!J218+parametros_recargas!$K$72*'Plan mensual'!J219+parametros_recargas!$L$72*'Plan mensual'!J220</f>
        <v>18279.4457904031</v>
      </c>
      <c r="I194" s="23" t="n">
        <f aca="false">parametros_recargas!$E$72*'Plan mensual'!K213+parametros_recargas!$F$72*'Plan mensual'!K214+parametros_recargas!$G$72*'Plan mensual'!K215+parametros_recargas!$H$72*'Plan mensual'!K216+parametros_recargas!$I$72*'Plan mensual'!K217+parametros_recargas!$J$72*'Plan mensual'!K218+parametros_recargas!$K$72*'Plan mensual'!K219+parametros_recargas!$L$72*'Plan mensual'!K220</f>
        <v>18279.4457904031</v>
      </c>
      <c r="J194" s="23" t="n">
        <f aca="false">parametros_recargas!$E$72*'Plan mensual'!L213+parametros_recargas!$F$72*'Plan mensual'!L214+parametros_recargas!$G$72*'Plan mensual'!L215+parametros_recargas!$H$72*'Plan mensual'!L216+parametros_recargas!$I$72*'Plan mensual'!L217+parametros_recargas!$J$72*'Plan mensual'!L218+parametros_recargas!$K$72*'Plan mensual'!L219+parametros_recargas!$L$72*'Plan mensual'!L220</f>
        <v>18279.4457904031</v>
      </c>
      <c r="K194" s="23" t="n">
        <f aca="false">parametros_recargas!$E$72*'Plan mensual'!M213+parametros_recargas!$F$72*'Plan mensual'!M214+parametros_recargas!$G$72*'Plan mensual'!M215+parametros_recargas!$H$72*'Plan mensual'!M216+parametros_recargas!$I$72*'Plan mensual'!M217+parametros_recargas!$J$72*'Plan mensual'!M218+parametros_recargas!$K$72*'Plan mensual'!M219+parametros_recargas!$L$72*'Plan mensual'!M220</f>
        <v>18279.4457904031</v>
      </c>
      <c r="L194" s="23" t="n">
        <f aca="false">parametros_recargas!$E$72*'Plan mensual'!N213+parametros_recargas!$F$72*'Plan mensual'!N214+parametros_recargas!$G$72*'Plan mensual'!N215+parametros_recargas!$H$72*'Plan mensual'!N216+parametros_recargas!$I$72*'Plan mensual'!N217+parametros_recargas!$J$72*'Plan mensual'!N218+parametros_recargas!$K$72*'Plan mensual'!N219+parametros_recargas!$L$72*'Plan mensual'!N220</f>
        <v>18279.4457904031</v>
      </c>
      <c r="M194" s="23" t="n">
        <f aca="false">parametros_recargas!$E$72*'Plan mensual'!O213+parametros_recargas!$F$72*'Plan mensual'!O214+parametros_recargas!$G$72*'Plan mensual'!O215+parametros_recargas!$H$72*'Plan mensual'!O216+parametros_recargas!$I$72*'Plan mensual'!O217+parametros_recargas!$J$72*'Plan mensual'!O218+parametros_recargas!$K$72*'Plan mensual'!O219+parametros_recargas!$L$72*'Plan mensual'!O220</f>
        <v>18279.4457904031</v>
      </c>
      <c r="N194" s="7" t="n">
        <f aca="false">SUM(B194:M194)</f>
        <v>219353.349484838</v>
      </c>
      <c r="O194" s="24" t="n">
        <f aca="false">MAX(B194:M194)</f>
        <v>18279.4457904031</v>
      </c>
      <c r="P194" s="15" t="n">
        <f aca="false">O194/parametros_recargas!$B$6</f>
        <v>121.862971936021</v>
      </c>
    </row>
    <row r="195" customFormat="false" ht="15" hidden="false" customHeight="false" outlineLevel="0" collapsed="false">
      <c r="A195" s="12" t="str">
        <f aca="false">parametros_recargas!$B$73</f>
        <v>Inspección visual</v>
      </c>
      <c r="B195" s="23" t="n">
        <f aca="false">parametros_recargas!$E$73*'Plan mensual'!D213+parametros_recargas!$F$73*'Plan mensual'!D214+parametros_recargas!$G$73*'Plan mensual'!D215+parametros_recargas!$H$73*'Plan mensual'!D216+parametros_recargas!$I$73*'Plan mensual'!D217+parametros_recargas!$J$73*'Plan mensual'!D218+parametros_recargas!$K$73*'Plan mensual'!D219+parametros_recargas!$L$73*'Plan mensual'!D220</f>
        <v>18279.4457904031</v>
      </c>
      <c r="C195" s="23" t="n">
        <f aca="false">parametros_recargas!$E$73*'Plan mensual'!E213+parametros_recargas!$F$73*'Plan mensual'!E214+parametros_recargas!$G$73*'Plan mensual'!E215+parametros_recargas!$H$73*'Plan mensual'!E216+parametros_recargas!$I$73*'Plan mensual'!E217+parametros_recargas!$J$73*'Plan mensual'!E218+parametros_recargas!$K$73*'Plan mensual'!E219+parametros_recargas!$L$73*'Plan mensual'!E220</f>
        <v>18279.4457904031</v>
      </c>
      <c r="D195" s="23" t="n">
        <f aca="false">parametros_recargas!$E$73*'Plan mensual'!F213+parametros_recargas!$F$73*'Plan mensual'!F214+parametros_recargas!$G$73*'Plan mensual'!F215+parametros_recargas!$H$73*'Plan mensual'!F216+parametros_recargas!$I$73*'Plan mensual'!F217+parametros_recargas!$J$73*'Plan mensual'!F218+parametros_recargas!$K$73*'Plan mensual'!F219+parametros_recargas!$L$73*'Plan mensual'!F220</f>
        <v>18279.4457904031</v>
      </c>
      <c r="E195" s="23" t="n">
        <f aca="false">parametros_recargas!$E$73*'Plan mensual'!G213+parametros_recargas!$F$73*'Plan mensual'!G214+parametros_recargas!$G$73*'Plan mensual'!G215+parametros_recargas!$H$73*'Plan mensual'!G216+parametros_recargas!$I$73*'Plan mensual'!G217+parametros_recargas!$J$73*'Plan mensual'!G218+parametros_recargas!$K$73*'Plan mensual'!G219+parametros_recargas!$L$73*'Plan mensual'!G220</f>
        <v>18279.4457904031</v>
      </c>
      <c r="F195" s="23" t="n">
        <f aca="false">parametros_recargas!$E$73*'Plan mensual'!H213+parametros_recargas!$F$73*'Plan mensual'!H214+parametros_recargas!$G$73*'Plan mensual'!H215+parametros_recargas!$H$73*'Plan mensual'!H216+parametros_recargas!$I$73*'Plan mensual'!H217+parametros_recargas!$J$73*'Plan mensual'!H218+parametros_recargas!$K$73*'Plan mensual'!H219+parametros_recargas!$L$73*'Plan mensual'!H220</f>
        <v>18279.4457904031</v>
      </c>
      <c r="G195" s="23" t="n">
        <f aca="false">parametros_recargas!$E$73*'Plan mensual'!I213+parametros_recargas!$F$73*'Plan mensual'!I214+parametros_recargas!$G$73*'Plan mensual'!I215+parametros_recargas!$H$73*'Plan mensual'!I216+parametros_recargas!$I$73*'Plan mensual'!I217+parametros_recargas!$J$73*'Plan mensual'!I218+parametros_recargas!$K$73*'Plan mensual'!I219+parametros_recargas!$L$73*'Plan mensual'!I220</f>
        <v>18279.4457904031</v>
      </c>
      <c r="H195" s="23" t="n">
        <f aca="false">parametros_recargas!$E$73*'Plan mensual'!J213+parametros_recargas!$F$73*'Plan mensual'!J214+parametros_recargas!$G$73*'Plan mensual'!J215+parametros_recargas!$H$73*'Plan mensual'!J216+parametros_recargas!$I$73*'Plan mensual'!J217+parametros_recargas!$J$73*'Plan mensual'!J218+parametros_recargas!$K$73*'Plan mensual'!J219+parametros_recargas!$L$73*'Plan mensual'!J220</f>
        <v>18279.4457904031</v>
      </c>
      <c r="I195" s="23" t="n">
        <f aca="false">parametros_recargas!$E$73*'Plan mensual'!K213+parametros_recargas!$F$73*'Plan mensual'!K214+parametros_recargas!$G$73*'Plan mensual'!K215+parametros_recargas!$H$73*'Plan mensual'!K216+parametros_recargas!$I$73*'Plan mensual'!K217+parametros_recargas!$J$73*'Plan mensual'!K218+parametros_recargas!$K$73*'Plan mensual'!K219+parametros_recargas!$L$73*'Plan mensual'!K220</f>
        <v>18279.4457904031</v>
      </c>
      <c r="J195" s="23" t="n">
        <f aca="false">parametros_recargas!$E$73*'Plan mensual'!L213+parametros_recargas!$F$73*'Plan mensual'!L214+parametros_recargas!$G$73*'Plan mensual'!L215+parametros_recargas!$H$73*'Plan mensual'!L216+parametros_recargas!$I$73*'Plan mensual'!L217+parametros_recargas!$J$73*'Plan mensual'!L218+parametros_recargas!$K$73*'Plan mensual'!L219+parametros_recargas!$L$73*'Plan mensual'!L220</f>
        <v>18279.4457904031</v>
      </c>
      <c r="K195" s="23" t="n">
        <f aca="false">parametros_recargas!$E$73*'Plan mensual'!M213+parametros_recargas!$F$73*'Plan mensual'!M214+parametros_recargas!$G$73*'Plan mensual'!M215+parametros_recargas!$H$73*'Plan mensual'!M216+parametros_recargas!$I$73*'Plan mensual'!M217+parametros_recargas!$J$73*'Plan mensual'!M218+parametros_recargas!$K$73*'Plan mensual'!M219+parametros_recargas!$L$73*'Plan mensual'!M220</f>
        <v>18279.4457904031</v>
      </c>
      <c r="L195" s="23" t="n">
        <f aca="false">parametros_recargas!$E$73*'Plan mensual'!N213+parametros_recargas!$F$73*'Plan mensual'!N214+parametros_recargas!$G$73*'Plan mensual'!N215+parametros_recargas!$H$73*'Plan mensual'!N216+parametros_recargas!$I$73*'Plan mensual'!N217+parametros_recargas!$J$73*'Plan mensual'!N218+parametros_recargas!$K$73*'Plan mensual'!N219+parametros_recargas!$L$73*'Plan mensual'!N220</f>
        <v>18279.4457904031</v>
      </c>
      <c r="M195" s="23" t="n">
        <f aca="false">parametros_recargas!$E$73*'Plan mensual'!O213+parametros_recargas!$F$73*'Plan mensual'!O214+parametros_recargas!$G$73*'Plan mensual'!O215+parametros_recargas!$H$73*'Plan mensual'!O216+parametros_recargas!$I$73*'Plan mensual'!O217+parametros_recargas!$J$73*'Plan mensual'!O218+parametros_recargas!$K$73*'Plan mensual'!O219+parametros_recargas!$L$73*'Plan mensual'!O220</f>
        <v>18279.4457904031</v>
      </c>
      <c r="N195" s="7" t="n">
        <f aca="false">SUM(B195:M195)</f>
        <v>219353.349484838</v>
      </c>
      <c r="O195" s="24" t="n">
        <f aca="false">MAX(B195:M195)</f>
        <v>18279.4457904031</v>
      </c>
      <c r="P195" s="15" t="n">
        <f aca="false">O195/parametros_recargas!$B$6</f>
        <v>121.862971936021</v>
      </c>
    </row>
    <row r="196" customFormat="false" ht="15" hidden="false" customHeight="false" outlineLevel="0" collapsed="false">
      <c r="A196" s="12" t="str">
        <f aca="false">parametros_recargas!$B$74</f>
        <v>Descarga ABC — ruta recuperable</v>
      </c>
      <c r="B196" s="23" t="n">
        <f aca="false">parametros_recargas!$E$74*'Plan mensual'!D213+parametros_recargas!$F$74*'Plan mensual'!D214+parametros_recargas!$G$74*'Plan mensual'!D215+parametros_recargas!$H$74*'Plan mensual'!D216+parametros_recargas!$I$74*'Plan mensual'!D217+parametros_recargas!$J$74*'Plan mensual'!D218+parametros_recargas!$K$74*'Plan mensual'!D219+parametros_recargas!$L$74*'Plan mensual'!D220</f>
        <v>13430.0005005379</v>
      </c>
      <c r="C196" s="23" t="n">
        <f aca="false">parametros_recargas!$E$74*'Plan mensual'!E213+parametros_recargas!$F$74*'Plan mensual'!E214+parametros_recargas!$G$74*'Plan mensual'!E215+parametros_recargas!$H$74*'Plan mensual'!E216+parametros_recargas!$I$74*'Plan mensual'!E217+parametros_recargas!$J$74*'Plan mensual'!E218+parametros_recargas!$K$74*'Plan mensual'!E219+parametros_recargas!$L$74*'Plan mensual'!E220</f>
        <v>13430.0005005379</v>
      </c>
      <c r="D196" s="23" t="n">
        <f aca="false">parametros_recargas!$E$74*'Plan mensual'!F213+parametros_recargas!$F$74*'Plan mensual'!F214+parametros_recargas!$G$74*'Plan mensual'!F215+parametros_recargas!$H$74*'Plan mensual'!F216+parametros_recargas!$I$74*'Plan mensual'!F217+parametros_recargas!$J$74*'Plan mensual'!F218+parametros_recargas!$K$74*'Plan mensual'!F219+parametros_recargas!$L$74*'Plan mensual'!F220</f>
        <v>13430.0005005379</v>
      </c>
      <c r="E196" s="23" t="n">
        <f aca="false">parametros_recargas!$E$74*'Plan mensual'!G213+parametros_recargas!$F$74*'Plan mensual'!G214+parametros_recargas!$G$74*'Plan mensual'!G215+parametros_recargas!$H$74*'Plan mensual'!G216+parametros_recargas!$I$74*'Plan mensual'!G217+parametros_recargas!$J$74*'Plan mensual'!G218+parametros_recargas!$K$74*'Plan mensual'!G219+parametros_recargas!$L$74*'Plan mensual'!G220</f>
        <v>13430.0005005379</v>
      </c>
      <c r="F196" s="23" t="n">
        <f aca="false">parametros_recargas!$E$74*'Plan mensual'!H213+parametros_recargas!$F$74*'Plan mensual'!H214+parametros_recargas!$G$74*'Plan mensual'!H215+parametros_recargas!$H$74*'Plan mensual'!H216+parametros_recargas!$I$74*'Plan mensual'!H217+parametros_recargas!$J$74*'Plan mensual'!H218+parametros_recargas!$K$74*'Plan mensual'!H219+parametros_recargas!$L$74*'Plan mensual'!H220</f>
        <v>13430.0005005379</v>
      </c>
      <c r="G196" s="23" t="n">
        <f aca="false">parametros_recargas!$E$74*'Plan mensual'!I213+parametros_recargas!$F$74*'Plan mensual'!I214+parametros_recargas!$G$74*'Plan mensual'!I215+parametros_recargas!$H$74*'Plan mensual'!I216+parametros_recargas!$I$74*'Plan mensual'!I217+parametros_recargas!$J$74*'Plan mensual'!I218+parametros_recargas!$K$74*'Plan mensual'!I219+parametros_recargas!$L$74*'Plan mensual'!I220</f>
        <v>13430.0005005379</v>
      </c>
      <c r="H196" s="23" t="n">
        <f aca="false">parametros_recargas!$E$74*'Plan mensual'!J213+parametros_recargas!$F$74*'Plan mensual'!J214+parametros_recargas!$G$74*'Plan mensual'!J215+parametros_recargas!$H$74*'Plan mensual'!J216+parametros_recargas!$I$74*'Plan mensual'!J217+parametros_recargas!$J$74*'Plan mensual'!J218+parametros_recargas!$K$74*'Plan mensual'!J219+parametros_recargas!$L$74*'Plan mensual'!J220</f>
        <v>13430.0005005379</v>
      </c>
      <c r="I196" s="23" t="n">
        <f aca="false">parametros_recargas!$E$74*'Plan mensual'!K213+parametros_recargas!$F$74*'Plan mensual'!K214+parametros_recargas!$G$74*'Plan mensual'!K215+parametros_recargas!$H$74*'Plan mensual'!K216+parametros_recargas!$I$74*'Plan mensual'!K217+parametros_recargas!$J$74*'Plan mensual'!K218+parametros_recargas!$K$74*'Plan mensual'!K219+parametros_recargas!$L$74*'Plan mensual'!K220</f>
        <v>13430.0005005379</v>
      </c>
      <c r="J196" s="23" t="n">
        <f aca="false">parametros_recargas!$E$74*'Plan mensual'!L213+parametros_recargas!$F$74*'Plan mensual'!L214+parametros_recargas!$G$74*'Plan mensual'!L215+parametros_recargas!$H$74*'Plan mensual'!L216+parametros_recargas!$I$74*'Plan mensual'!L217+parametros_recargas!$J$74*'Plan mensual'!L218+parametros_recargas!$K$74*'Plan mensual'!L219+parametros_recargas!$L$74*'Plan mensual'!L220</f>
        <v>13430.0005005379</v>
      </c>
      <c r="K196" s="23" t="n">
        <f aca="false">parametros_recargas!$E$74*'Plan mensual'!M213+parametros_recargas!$F$74*'Plan mensual'!M214+parametros_recargas!$G$74*'Plan mensual'!M215+parametros_recargas!$H$74*'Plan mensual'!M216+parametros_recargas!$I$74*'Plan mensual'!M217+parametros_recargas!$J$74*'Plan mensual'!M218+parametros_recargas!$K$74*'Plan mensual'!M219+parametros_recargas!$L$74*'Plan mensual'!M220</f>
        <v>13430.0005005379</v>
      </c>
      <c r="L196" s="23" t="n">
        <f aca="false">parametros_recargas!$E$74*'Plan mensual'!N213+parametros_recargas!$F$74*'Plan mensual'!N214+parametros_recargas!$G$74*'Plan mensual'!N215+parametros_recargas!$H$74*'Plan mensual'!N216+parametros_recargas!$I$74*'Plan mensual'!N217+parametros_recargas!$J$74*'Plan mensual'!N218+parametros_recargas!$K$74*'Plan mensual'!N219+parametros_recargas!$L$74*'Plan mensual'!N220</f>
        <v>13430.0005005379</v>
      </c>
      <c r="M196" s="23" t="n">
        <f aca="false">parametros_recargas!$E$74*'Plan mensual'!O213+parametros_recargas!$F$74*'Plan mensual'!O214+parametros_recargas!$G$74*'Plan mensual'!O215+parametros_recargas!$H$74*'Plan mensual'!O216+parametros_recargas!$I$74*'Plan mensual'!O217+parametros_recargas!$J$74*'Plan mensual'!O218+parametros_recargas!$K$74*'Plan mensual'!O219+parametros_recargas!$L$74*'Plan mensual'!O220</f>
        <v>13430.0005005379</v>
      </c>
      <c r="N196" s="7" t="n">
        <f aca="false">SUM(B196:M196)</f>
        <v>161160.006006455</v>
      </c>
      <c r="O196" s="24" t="n">
        <f aca="false">MAX(B196:M196)</f>
        <v>13430.0005005379</v>
      </c>
      <c r="P196" s="15" t="n">
        <f aca="false">O196/parametros_recargas!$B$6</f>
        <v>89.5333366702528</v>
      </c>
    </row>
    <row r="197" customFormat="false" ht="15" hidden="false" customHeight="false" outlineLevel="0" collapsed="false">
      <c r="A197" s="12" t="str">
        <f aca="false">parametros_recargas!$B$75</f>
        <v>Descarga ABC — ruta descarte</v>
      </c>
      <c r="B197" s="23" t="n">
        <f aca="false">parametros_recargas!$E$75*'Plan mensual'!D213+parametros_recargas!$F$75*'Plan mensual'!D214+parametros_recargas!$G$75*'Plan mensual'!D215+parametros_recargas!$H$75*'Plan mensual'!D216+parametros_recargas!$I$75*'Plan mensual'!D217+parametros_recargas!$J$75*'Plan mensual'!D218+parametros_recargas!$K$75*'Plan mensual'!D219+parametros_recargas!$L$75*'Plan mensual'!D220</f>
        <v>1580.00005888681</v>
      </c>
      <c r="C197" s="23" t="n">
        <f aca="false">parametros_recargas!$E$75*'Plan mensual'!E213+parametros_recargas!$F$75*'Plan mensual'!E214+parametros_recargas!$G$75*'Plan mensual'!E215+parametros_recargas!$H$75*'Plan mensual'!E216+parametros_recargas!$I$75*'Plan mensual'!E217+parametros_recargas!$J$75*'Plan mensual'!E218+parametros_recargas!$K$75*'Plan mensual'!E219+parametros_recargas!$L$75*'Plan mensual'!E220</f>
        <v>1580.00005888681</v>
      </c>
      <c r="D197" s="23" t="n">
        <f aca="false">parametros_recargas!$E$75*'Plan mensual'!F213+parametros_recargas!$F$75*'Plan mensual'!F214+parametros_recargas!$G$75*'Plan mensual'!F215+parametros_recargas!$H$75*'Plan mensual'!F216+parametros_recargas!$I$75*'Plan mensual'!F217+parametros_recargas!$J$75*'Plan mensual'!F218+parametros_recargas!$K$75*'Plan mensual'!F219+parametros_recargas!$L$75*'Plan mensual'!F220</f>
        <v>1580.00005888681</v>
      </c>
      <c r="E197" s="23" t="n">
        <f aca="false">parametros_recargas!$E$75*'Plan mensual'!G213+parametros_recargas!$F$75*'Plan mensual'!G214+parametros_recargas!$G$75*'Plan mensual'!G215+parametros_recargas!$H$75*'Plan mensual'!G216+parametros_recargas!$I$75*'Plan mensual'!G217+parametros_recargas!$J$75*'Plan mensual'!G218+parametros_recargas!$K$75*'Plan mensual'!G219+parametros_recargas!$L$75*'Plan mensual'!G220</f>
        <v>1580.00005888681</v>
      </c>
      <c r="F197" s="23" t="n">
        <f aca="false">parametros_recargas!$E$75*'Plan mensual'!H213+parametros_recargas!$F$75*'Plan mensual'!H214+parametros_recargas!$G$75*'Plan mensual'!H215+parametros_recargas!$H$75*'Plan mensual'!H216+parametros_recargas!$I$75*'Plan mensual'!H217+parametros_recargas!$J$75*'Plan mensual'!H218+parametros_recargas!$K$75*'Plan mensual'!H219+parametros_recargas!$L$75*'Plan mensual'!H220</f>
        <v>1580.00005888681</v>
      </c>
      <c r="G197" s="23" t="n">
        <f aca="false">parametros_recargas!$E$75*'Plan mensual'!I213+parametros_recargas!$F$75*'Plan mensual'!I214+parametros_recargas!$G$75*'Plan mensual'!I215+parametros_recargas!$H$75*'Plan mensual'!I216+parametros_recargas!$I$75*'Plan mensual'!I217+parametros_recargas!$J$75*'Plan mensual'!I218+parametros_recargas!$K$75*'Plan mensual'!I219+parametros_recargas!$L$75*'Plan mensual'!I220</f>
        <v>1580.00005888681</v>
      </c>
      <c r="H197" s="23" t="n">
        <f aca="false">parametros_recargas!$E$75*'Plan mensual'!J213+parametros_recargas!$F$75*'Plan mensual'!J214+parametros_recargas!$G$75*'Plan mensual'!J215+parametros_recargas!$H$75*'Plan mensual'!J216+parametros_recargas!$I$75*'Plan mensual'!J217+parametros_recargas!$J$75*'Plan mensual'!J218+parametros_recargas!$K$75*'Plan mensual'!J219+parametros_recargas!$L$75*'Plan mensual'!J220</f>
        <v>1580.00005888681</v>
      </c>
      <c r="I197" s="23" t="n">
        <f aca="false">parametros_recargas!$E$75*'Plan mensual'!K213+parametros_recargas!$F$75*'Plan mensual'!K214+parametros_recargas!$G$75*'Plan mensual'!K215+parametros_recargas!$H$75*'Plan mensual'!K216+parametros_recargas!$I$75*'Plan mensual'!K217+parametros_recargas!$J$75*'Plan mensual'!K218+parametros_recargas!$K$75*'Plan mensual'!K219+parametros_recargas!$L$75*'Plan mensual'!K220</f>
        <v>1580.00005888681</v>
      </c>
      <c r="J197" s="23" t="n">
        <f aca="false">parametros_recargas!$E$75*'Plan mensual'!L213+parametros_recargas!$F$75*'Plan mensual'!L214+parametros_recargas!$G$75*'Plan mensual'!L215+parametros_recargas!$H$75*'Plan mensual'!L216+parametros_recargas!$I$75*'Plan mensual'!L217+parametros_recargas!$J$75*'Plan mensual'!L218+parametros_recargas!$K$75*'Plan mensual'!L219+parametros_recargas!$L$75*'Plan mensual'!L220</f>
        <v>1580.00005888681</v>
      </c>
      <c r="K197" s="23" t="n">
        <f aca="false">parametros_recargas!$E$75*'Plan mensual'!M213+parametros_recargas!$F$75*'Plan mensual'!M214+parametros_recargas!$G$75*'Plan mensual'!M215+parametros_recargas!$H$75*'Plan mensual'!M216+parametros_recargas!$I$75*'Plan mensual'!M217+parametros_recargas!$J$75*'Plan mensual'!M218+parametros_recargas!$K$75*'Plan mensual'!M219+parametros_recargas!$L$75*'Plan mensual'!M220</f>
        <v>1580.00005888681</v>
      </c>
      <c r="L197" s="23" t="n">
        <f aca="false">parametros_recargas!$E$75*'Plan mensual'!N213+parametros_recargas!$F$75*'Plan mensual'!N214+parametros_recargas!$G$75*'Plan mensual'!N215+parametros_recargas!$H$75*'Plan mensual'!N216+parametros_recargas!$I$75*'Plan mensual'!N217+parametros_recargas!$J$75*'Plan mensual'!N218+parametros_recargas!$K$75*'Plan mensual'!N219+parametros_recargas!$L$75*'Plan mensual'!N220</f>
        <v>1580.00005888681</v>
      </c>
      <c r="M197" s="23" t="n">
        <f aca="false">parametros_recargas!$E$75*'Plan mensual'!O213+parametros_recargas!$F$75*'Plan mensual'!O214+parametros_recargas!$G$75*'Plan mensual'!O215+parametros_recargas!$H$75*'Plan mensual'!O216+parametros_recargas!$I$75*'Plan mensual'!O217+parametros_recargas!$J$75*'Plan mensual'!O218+parametros_recargas!$K$75*'Plan mensual'!O219+parametros_recargas!$L$75*'Plan mensual'!O220</f>
        <v>1580.00005888681</v>
      </c>
      <c r="N197" s="7" t="n">
        <f aca="false">SUM(B197:M197)</f>
        <v>18960.0007066418</v>
      </c>
      <c r="O197" s="24" t="n">
        <f aca="false">MAX(B197:M197)</f>
        <v>1580.00005888681</v>
      </c>
      <c r="P197" s="15" t="n">
        <f aca="false">O197/parametros_recargas!$B$6</f>
        <v>10.5333337259121</v>
      </c>
    </row>
    <row r="198" customFormat="false" ht="15" hidden="false" customHeight="false" outlineLevel="0" collapsed="false">
      <c r="A198" s="12" t="str">
        <f aca="false">parametros_recargas!$B$76</f>
        <v>Descarga BC</v>
      </c>
      <c r="B198" s="23" t="n">
        <f aca="false">parametros_recargas!$E$76*'Plan mensual'!D213+parametros_recargas!$F$76*'Plan mensual'!D214+parametros_recargas!$G$76*'Plan mensual'!D215+parametros_recargas!$H$76*'Plan mensual'!D216+parametros_recargas!$I$76*'Plan mensual'!D217+parametros_recargas!$J$76*'Plan mensual'!D218+parametros_recargas!$K$76*'Plan mensual'!D219+parametros_recargas!$L$76*'Plan mensual'!D220</f>
        <v>24.544151218042</v>
      </c>
      <c r="C198" s="23" t="n">
        <f aca="false">parametros_recargas!$E$76*'Plan mensual'!E213+parametros_recargas!$F$76*'Plan mensual'!E214+parametros_recargas!$G$76*'Plan mensual'!E215+parametros_recargas!$H$76*'Plan mensual'!E216+parametros_recargas!$I$76*'Plan mensual'!E217+parametros_recargas!$J$76*'Plan mensual'!E218+parametros_recargas!$K$76*'Plan mensual'!E219+parametros_recargas!$L$76*'Plan mensual'!E220</f>
        <v>24.544151218042</v>
      </c>
      <c r="D198" s="23" t="n">
        <f aca="false">parametros_recargas!$E$76*'Plan mensual'!F213+parametros_recargas!$F$76*'Plan mensual'!F214+parametros_recargas!$G$76*'Plan mensual'!F215+parametros_recargas!$H$76*'Plan mensual'!F216+parametros_recargas!$I$76*'Plan mensual'!F217+parametros_recargas!$J$76*'Plan mensual'!F218+parametros_recargas!$K$76*'Plan mensual'!F219+parametros_recargas!$L$76*'Plan mensual'!F220</f>
        <v>24.544151218042</v>
      </c>
      <c r="E198" s="23" t="n">
        <f aca="false">parametros_recargas!$E$76*'Plan mensual'!G213+parametros_recargas!$F$76*'Plan mensual'!G214+parametros_recargas!$G$76*'Plan mensual'!G215+parametros_recargas!$H$76*'Plan mensual'!G216+parametros_recargas!$I$76*'Plan mensual'!G217+parametros_recargas!$J$76*'Plan mensual'!G218+parametros_recargas!$K$76*'Plan mensual'!G219+parametros_recargas!$L$76*'Plan mensual'!G220</f>
        <v>24.544151218042</v>
      </c>
      <c r="F198" s="23" t="n">
        <f aca="false">parametros_recargas!$E$76*'Plan mensual'!H213+parametros_recargas!$F$76*'Plan mensual'!H214+parametros_recargas!$G$76*'Plan mensual'!H215+parametros_recargas!$H$76*'Plan mensual'!H216+parametros_recargas!$I$76*'Plan mensual'!H217+parametros_recargas!$J$76*'Plan mensual'!H218+parametros_recargas!$K$76*'Plan mensual'!H219+parametros_recargas!$L$76*'Plan mensual'!H220</f>
        <v>24.544151218042</v>
      </c>
      <c r="G198" s="23" t="n">
        <f aca="false">parametros_recargas!$E$76*'Plan mensual'!I213+parametros_recargas!$F$76*'Plan mensual'!I214+parametros_recargas!$G$76*'Plan mensual'!I215+parametros_recargas!$H$76*'Plan mensual'!I216+parametros_recargas!$I$76*'Plan mensual'!I217+parametros_recargas!$J$76*'Plan mensual'!I218+parametros_recargas!$K$76*'Plan mensual'!I219+parametros_recargas!$L$76*'Plan mensual'!I220</f>
        <v>24.544151218042</v>
      </c>
      <c r="H198" s="23" t="n">
        <f aca="false">parametros_recargas!$E$76*'Plan mensual'!J213+parametros_recargas!$F$76*'Plan mensual'!J214+parametros_recargas!$G$76*'Plan mensual'!J215+parametros_recargas!$H$76*'Plan mensual'!J216+parametros_recargas!$I$76*'Plan mensual'!J217+parametros_recargas!$J$76*'Plan mensual'!J218+parametros_recargas!$K$76*'Plan mensual'!J219+parametros_recargas!$L$76*'Plan mensual'!J220</f>
        <v>24.544151218042</v>
      </c>
      <c r="I198" s="23" t="n">
        <f aca="false">parametros_recargas!$E$76*'Plan mensual'!K213+parametros_recargas!$F$76*'Plan mensual'!K214+parametros_recargas!$G$76*'Plan mensual'!K215+parametros_recargas!$H$76*'Plan mensual'!K216+parametros_recargas!$I$76*'Plan mensual'!K217+parametros_recargas!$J$76*'Plan mensual'!K218+parametros_recargas!$K$76*'Plan mensual'!K219+parametros_recargas!$L$76*'Plan mensual'!K220</f>
        <v>24.544151218042</v>
      </c>
      <c r="J198" s="23" t="n">
        <f aca="false">parametros_recargas!$E$76*'Plan mensual'!L213+parametros_recargas!$F$76*'Plan mensual'!L214+parametros_recargas!$G$76*'Plan mensual'!L215+parametros_recargas!$H$76*'Plan mensual'!L216+parametros_recargas!$I$76*'Plan mensual'!L217+parametros_recargas!$J$76*'Plan mensual'!L218+parametros_recargas!$K$76*'Plan mensual'!L219+parametros_recargas!$L$76*'Plan mensual'!L220</f>
        <v>24.544151218042</v>
      </c>
      <c r="K198" s="23" t="n">
        <f aca="false">parametros_recargas!$E$76*'Plan mensual'!M213+parametros_recargas!$F$76*'Plan mensual'!M214+parametros_recargas!$G$76*'Plan mensual'!M215+parametros_recargas!$H$76*'Plan mensual'!M216+parametros_recargas!$I$76*'Plan mensual'!M217+parametros_recargas!$J$76*'Plan mensual'!M218+parametros_recargas!$K$76*'Plan mensual'!M219+parametros_recargas!$L$76*'Plan mensual'!M220</f>
        <v>24.544151218042</v>
      </c>
      <c r="L198" s="23" t="n">
        <f aca="false">parametros_recargas!$E$76*'Plan mensual'!N213+parametros_recargas!$F$76*'Plan mensual'!N214+parametros_recargas!$G$76*'Plan mensual'!N215+parametros_recargas!$H$76*'Plan mensual'!N216+parametros_recargas!$I$76*'Plan mensual'!N217+parametros_recargas!$J$76*'Plan mensual'!N218+parametros_recargas!$K$76*'Plan mensual'!N219+parametros_recargas!$L$76*'Plan mensual'!N220</f>
        <v>24.544151218042</v>
      </c>
      <c r="M198" s="23" t="n">
        <f aca="false">parametros_recargas!$E$76*'Plan mensual'!O213+parametros_recargas!$F$76*'Plan mensual'!O214+parametros_recargas!$G$76*'Plan mensual'!O215+parametros_recargas!$H$76*'Plan mensual'!O216+parametros_recargas!$I$76*'Plan mensual'!O217+parametros_recargas!$J$76*'Plan mensual'!O218+parametros_recargas!$K$76*'Plan mensual'!O219+parametros_recargas!$L$76*'Plan mensual'!O220</f>
        <v>24.544151218042</v>
      </c>
      <c r="N198" s="7" t="n">
        <f aca="false">SUM(B198:M198)</f>
        <v>294.529814616504</v>
      </c>
      <c r="O198" s="24" t="n">
        <f aca="false">MAX(B198:M198)</f>
        <v>24.544151218042</v>
      </c>
      <c r="P198" s="15" t="n">
        <f aca="false">O198/parametros_recargas!$B$6</f>
        <v>0.163627674786947</v>
      </c>
    </row>
    <row r="199" customFormat="false" ht="15" hidden="false" customHeight="false" outlineLevel="0" collapsed="false">
      <c r="A199" s="12" t="str">
        <f aca="false">parametros_recargas!$B$77</f>
        <v>Descarga de agua / AFFF / sales K</v>
      </c>
      <c r="B199" s="23" t="n">
        <f aca="false">parametros_recargas!$E$77*'Plan mensual'!D213+parametros_recargas!$F$77*'Plan mensual'!D214+parametros_recargas!$G$77*'Plan mensual'!D215+parametros_recargas!$H$77*'Plan mensual'!D216+parametros_recargas!$I$77*'Plan mensual'!D217+parametros_recargas!$J$77*'Plan mensual'!D218+parametros_recargas!$K$77*'Plan mensual'!D219+parametros_recargas!$L$77*'Plan mensual'!D220</f>
        <v>834.803456587695</v>
      </c>
      <c r="C199" s="23" t="n">
        <f aca="false">parametros_recargas!$E$77*'Plan mensual'!E213+parametros_recargas!$F$77*'Plan mensual'!E214+parametros_recargas!$G$77*'Plan mensual'!E215+parametros_recargas!$H$77*'Plan mensual'!E216+parametros_recargas!$I$77*'Plan mensual'!E217+parametros_recargas!$J$77*'Plan mensual'!E218+parametros_recargas!$K$77*'Plan mensual'!E219+parametros_recargas!$L$77*'Plan mensual'!E220</f>
        <v>834.803456587695</v>
      </c>
      <c r="D199" s="23" t="n">
        <f aca="false">parametros_recargas!$E$77*'Plan mensual'!F213+parametros_recargas!$F$77*'Plan mensual'!F214+parametros_recargas!$G$77*'Plan mensual'!F215+parametros_recargas!$H$77*'Plan mensual'!F216+parametros_recargas!$I$77*'Plan mensual'!F217+parametros_recargas!$J$77*'Plan mensual'!F218+parametros_recargas!$K$77*'Plan mensual'!F219+parametros_recargas!$L$77*'Plan mensual'!F220</f>
        <v>834.803456587695</v>
      </c>
      <c r="E199" s="23" t="n">
        <f aca="false">parametros_recargas!$E$77*'Plan mensual'!G213+parametros_recargas!$F$77*'Plan mensual'!G214+parametros_recargas!$G$77*'Plan mensual'!G215+parametros_recargas!$H$77*'Plan mensual'!G216+parametros_recargas!$I$77*'Plan mensual'!G217+parametros_recargas!$J$77*'Plan mensual'!G218+parametros_recargas!$K$77*'Plan mensual'!G219+parametros_recargas!$L$77*'Plan mensual'!G220</f>
        <v>834.803456587695</v>
      </c>
      <c r="F199" s="23" t="n">
        <f aca="false">parametros_recargas!$E$77*'Plan mensual'!H213+parametros_recargas!$F$77*'Plan mensual'!H214+parametros_recargas!$G$77*'Plan mensual'!H215+parametros_recargas!$H$77*'Plan mensual'!H216+parametros_recargas!$I$77*'Plan mensual'!H217+parametros_recargas!$J$77*'Plan mensual'!H218+parametros_recargas!$K$77*'Plan mensual'!H219+parametros_recargas!$L$77*'Plan mensual'!H220</f>
        <v>834.803456587695</v>
      </c>
      <c r="G199" s="23" t="n">
        <f aca="false">parametros_recargas!$E$77*'Plan mensual'!I213+parametros_recargas!$F$77*'Plan mensual'!I214+parametros_recargas!$G$77*'Plan mensual'!I215+parametros_recargas!$H$77*'Plan mensual'!I216+parametros_recargas!$I$77*'Plan mensual'!I217+parametros_recargas!$J$77*'Plan mensual'!I218+parametros_recargas!$K$77*'Plan mensual'!I219+parametros_recargas!$L$77*'Plan mensual'!I220</f>
        <v>834.803456587695</v>
      </c>
      <c r="H199" s="23" t="n">
        <f aca="false">parametros_recargas!$E$77*'Plan mensual'!J213+parametros_recargas!$F$77*'Plan mensual'!J214+parametros_recargas!$G$77*'Plan mensual'!J215+parametros_recargas!$H$77*'Plan mensual'!J216+parametros_recargas!$I$77*'Plan mensual'!J217+parametros_recargas!$J$77*'Plan mensual'!J218+parametros_recargas!$K$77*'Plan mensual'!J219+parametros_recargas!$L$77*'Plan mensual'!J220</f>
        <v>834.803456587695</v>
      </c>
      <c r="I199" s="23" t="n">
        <f aca="false">parametros_recargas!$E$77*'Plan mensual'!K213+parametros_recargas!$F$77*'Plan mensual'!K214+parametros_recargas!$G$77*'Plan mensual'!K215+parametros_recargas!$H$77*'Plan mensual'!K216+parametros_recargas!$I$77*'Plan mensual'!K217+parametros_recargas!$J$77*'Plan mensual'!K218+parametros_recargas!$K$77*'Plan mensual'!K219+parametros_recargas!$L$77*'Plan mensual'!K220</f>
        <v>834.803456587695</v>
      </c>
      <c r="J199" s="23" t="n">
        <f aca="false">parametros_recargas!$E$77*'Plan mensual'!L213+parametros_recargas!$F$77*'Plan mensual'!L214+parametros_recargas!$G$77*'Plan mensual'!L215+parametros_recargas!$H$77*'Plan mensual'!L216+parametros_recargas!$I$77*'Plan mensual'!L217+parametros_recargas!$J$77*'Plan mensual'!L218+parametros_recargas!$K$77*'Plan mensual'!L219+parametros_recargas!$L$77*'Plan mensual'!L220</f>
        <v>834.803456587695</v>
      </c>
      <c r="K199" s="23" t="n">
        <f aca="false">parametros_recargas!$E$77*'Plan mensual'!M213+parametros_recargas!$F$77*'Plan mensual'!M214+parametros_recargas!$G$77*'Plan mensual'!M215+parametros_recargas!$H$77*'Plan mensual'!M216+parametros_recargas!$I$77*'Plan mensual'!M217+parametros_recargas!$J$77*'Plan mensual'!M218+parametros_recargas!$K$77*'Plan mensual'!M219+parametros_recargas!$L$77*'Plan mensual'!M220</f>
        <v>834.803456587695</v>
      </c>
      <c r="L199" s="23" t="n">
        <f aca="false">parametros_recargas!$E$77*'Plan mensual'!N213+parametros_recargas!$F$77*'Plan mensual'!N214+parametros_recargas!$G$77*'Plan mensual'!N215+parametros_recargas!$H$77*'Plan mensual'!N216+parametros_recargas!$I$77*'Plan mensual'!N217+parametros_recargas!$J$77*'Plan mensual'!N218+parametros_recargas!$K$77*'Plan mensual'!N219+parametros_recargas!$L$77*'Plan mensual'!N220</f>
        <v>834.803456587695</v>
      </c>
      <c r="M199" s="23" t="n">
        <f aca="false">parametros_recargas!$E$77*'Plan mensual'!O213+parametros_recargas!$F$77*'Plan mensual'!O214+parametros_recargas!$G$77*'Plan mensual'!O215+parametros_recargas!$H$77*'Plan mensual'!O216+parametros_recargas!$I$77*'Plan mensual'!O217+parametros_recargas!$J$77*'Plan mensual'!O218+parametros_recargas!$K$77*'Plan mensual'!O219+parametros_recargas!$L$77*'Plan mensual'!O220</f>
        <v>834.803456587695</v>
      </c>
      <c r="N199" s="7" t="n">
        <f aca="false">SUM(B199:M199)</f>
        <v>10017.6414790523</v>
      </c>
      <c r="O199" s="24" t="n">
        <f aca="false">MAX(B199:M199)</f>
        <v>834.803456587695</v>
      </c>
      <c r="P199" s="15" t="n">
        <f aca="false">O199/parametros_recargas!$B$6</f>
        <v>5.5653563772513</v>
      </c>
    </row>
    <row r="200" customFormat="false" ht="15" hidden="false" customHeight="false" outlineLevel="0" collapsed="false">
      <c r="A200" s="12" t="str">
        <f aca="false">parametros_recargas!$B$78</f>
        <v>Recuperación de CO₂</v>
      </c>
      <c r="B200" s="23" t="n">
        <f aca="false">parametros_recargas!$E$78*'Plan mensual'!D213+parametros_recargas!$F$78*'Plan mensual'!D214+parametros_recargas!$G$78*'Plan mensual'!D215+parametros_recargas!$H$78*'Plan mensual'!D216+parametros_recargas!$I$78*'Plan mensual'!D217+parametros_recargas!$J$78*'Plan mensual'!D218+parametros_recargas!$K$78*'Plan mensual'!D219+parametros_recargas!$L$78*'Plan mensual'!D220</f>
        <v>384.20638206587</v>
      </c>
      <c r="C200" s="23" t="n">
        <f aca="false">parametros_recargas!$E$78*'Plan mensual'!E213+parametros_recargas!$F$78*'Plan mensual'!E214+parametros_recargas!$G$78*'Plan mensual'!E215+parametros_recargas!$H$78*'Plan mensual'!E216+parametros_recargas!$I$78*'Plan mensual'!E217+parametros_recargas!$J$78*'Plan mensual'!E218+parametros_recargas!$K$78*'Plan mensual'!E219+parametros_recargas!$L$78*'Plan mensual'!E220</f>
        <v>384.20638206587</v>
      </c>
      <c r="D200" s="23" t="n">
        <f aca="false">parametros_recargas!$E$78*'Plan mensual'!F213+parametros_recargas!$F$78*'Plan mensual'!F214+parametros_recargas!$G$78*'Plan mensual'!F215+parametros_recargas!$H$78*'Plan mensual'!F216+parametros_recargas!$I$78*'Plan mensual'!F217+parametros_recargas!$J$78*'Plan mensual'!F218+parametros_recargas!$K$78*'Plan mensual'!F219+parametros_recargas!$L$78*'Plan mensual'!F220</f>
        <v>384.20638206587</v>
      </c>
      <c r="E200" s="23" t="n">
        <f aca="false">parametros_recargas!$E$78*'Plan mensual'!G213+parametros_recargas!$F$78*'Plan mensual'!G214+parametros_recargas!$G$78*'Plan mensual'!G215+parametros_recargas!$H$78*'Plan mensual'!G216+parametros_recargas!$I$78*'Plan mensual'!G217+parametros_recargas!$J$78*'Plan mensual'!G218+parametros_recargas!$K$78*'Plan mensual'!G219+parametros_recargas!$L$78*'Plan mensual'!G220</f>
        <v>384.20638206587</v>
      </c>
      <c r="F200" s="23" t="n">
        <f aca="false">parametros_recargas!$E$78*'Plan mensual'!H213+parametros_recargas!$F$78*'Plan mensual'!H214+parametros_recargas!$G$78*'Plan mensual'!H215+parametros_recargas!$H$78*'Plan mensual'!H216+parametros_recargas!$I$78*'Plan mensual'!H217+parametros_recargas!$J$78*'Plan mensual'!H218+parametros_recargas!$K$78*'Plan mensual'!H219+parametros_recargas!$L$78*'Plan mensual'!H220</f>
        <v>384.20638206587</v>
      </c>
      <c r="G200" s="23" t="n">
        <f aca="false">parametros_recargas!$E$78*'Plan mensual'!I213+parametros_recargas!$F$78*'Plan mensual'!I214+parametros_recargas!$G$78*'Plan mensual'!I215+parametros_recargas!$H$78*'Plan mensual'!I216+parametros_recargas!$I$78*'Plan mensual'!I217+parametros_recargas!$J$78*'Plan mensual'!I218+parametros_recargas!$K$78*'Plan mensual'!I219+parametros_recargas!$L$78*'Plan mensual'!I220</f>
        <v>384.20638206587</v>
      </c>
      <c r="H200" s="23" t="n">
        <f aca="false">parametros_recargas!$E$78*'Plan mensual'!J213+parametros_recargas!$F$78*'Plan mensual'!J214+parametros_recargas!$G$78*'Plan mensual'!J215+parametros_recargas!$H$78*'Plan mensual'!J216+parametros_recargas!$I$78*'Plan mensual'!J217+parametros_recargas!$J$78*'Plan mensual'!J218+parametros_recargas!$K$78*'Plan mensual'!J219+parametros_recargas!$L$78*'Plan mensual'!J220</f>
        <v>384.20638206587</v>
      </c>
      <c r="I200" s="23" t="n">
        <f aca="false">parametros_recargas!$E$78*'Plan mensual'!K213+parametros_recargas!$F$78*'Plan mensual'!K214+parametros_recargas!$G$78*'Plan mensual'!K215+parametros_recargas!$H$78*'Plan mensual'!K216+parametros_recargas!$I$78*'Plan mensual'!K217+parametros_recargas!$J$78*'Plan mensual'!K218+parametros_recargas!$K$78*'Plan mensual'!K219+parametros_recargas!$L$78*'Plan mensual'!K220</f>
        <v>384.20638206587</v>
      </c>
      <c r="J200" s="23" t="n">
        <f aca="false">parametros_recargas!$E$78*'Plan mensual'!L213+parametros_recargas!$F$78*'Plan mensual'!L214+parametros_recargas!$G$78*'Plan mensual'!L215+parametros_recargas!$H$78*'Plan mensual'!L216+parametros_recargas!$I$78*'Plan mensual'!L217+parametros_recargas!$J$78*'Plan mensual'!L218+parametros_recargas!$K$78*'Plan mensual'!L219+parametros_recargas!$L$78*'Plan mensual'!L220</f>
        <v>384.20638206587</v>
      </c>
      <c r="K200" s="23" t="n">
        <f aca="false">parametros_recargas!$E$78*'Plan mensual'!M213+parametros_recargas!$F$78*'Plan mensual'!M214+parametros_recargas!$G$78*'Plan mensual'!M215+parametros_recargas!$H$78*'Plan mensual'!M216+parametros_recargas!$I$78*'Plan mensual'!M217+parametros_recargas!$J$78*'Plan mensual'!M218+parametros_recargas!$K$78*'Plan mensual'!M219+parametros_recargas!$L$78*'Plan mensual'!M220</f>
        <v>384.20638206587</v>
      </c>
      <c r="L200" s="23" t="n">
        <f aca="false">parametros_recargas!$E$78*'Plan mensual'!N213+parametros_recargas!$F$78*'Plan mensual'!N214+parametros_recargas!$G$78*'Plan mensual'!N215+parametros_recargas!$H$78*'Plan mensual'!N216+parametros_recargas!$I$78*'Plan mensual'!N217+parametros_recargas!$J$78*'Plan mensual'!N218+parametros_recargas!$K$78*'Plan mensual'!N219+parametros_recargas!$L$78*'Plan mensual'!N220</f>
        <v>384.20638206587</v>
      </c>
      <c r="M200" s="23" t="n">
        <f aca="false">parametros_recargas!$E$78*'Plan mensual'!O213+parametros_recargas!$F$78*'Plan mensual'!O214+parametros_recargas!$G$78*'Plan mensual'!O215+parametros_recargas!$H$78*'Plan mensual'!O216+parametros_recargas!$I$78*'Plan mensual'!O217+parametros_recargas!$J$78*'Plan mensual'!O218+parametros_recargas!$K$78*'Plan mensual'!O219+parametros_recargas!$L$78*'Plan mensual'!O220</f>
        <v>384.20638206587</v>
      </c>
      <c r="N200" s="7" t="n">
        <f aca="false">SUM(B200:M200)</f>
        <v>4610.47658479045</v>
      </c>
      <c r="O200" s="24" t="n">
        <f aca="false">MAX(B200:M200)</f>
        <v>384.20638206587</v>
      </c>
      <c r="P200" s="15" t="n">
        <f aca="false">O200/parametros_recargas!$B$6</f>
        <v>2.56137588043914</v>
      </c>
    </row>
    <row r="201" customFormat="false" ht="15" hidden="false" customHeight="false" outlineLevel="0" collapsed="false">
      <c r="A201" s="12" t="str">
        <f aca="false">parametros_recargas!$B$79</f>
        <v>Recuperación de halogenado</v>
      </c>
      <c r="B201" s="23" t="n">
        <f aca="false">parametros_recargas!$E$79*'Plan mensual'!D213+parametros_recargas!$F$79*'Plan mensual'!D214+parametros_recargas!$G$79*'Plan mensual'!D215+parametros_recargas!$H$79*'Plan mensual'!D216+parametros_recargas!$I$79*'Plan mensual'!D217+parametros_recargas!$J$79*'Plan mensual'!D218+parametros_recargas!$K$79*'Plan mensual'!D219+parametros_recargas!$L$79*'Plan mensual'!D220</f>
        <v>15.3647690007956</v>
      </c>
      <c r="C201" s="23" t="n">
        <f aca="false">parametros_recargas!$E$79*'Plan mensual'!E213+parametros_recargas!$F$79*'Plan mensual'!E214+parametros_recargas!$G$79*'Plan mensual'!E215+parametros_recargas!$H$79*'Plan mensual'!E216+parametros_recargas!$I$79*'Plan mensual'!E217+parametros_recargas!$J$79*'Plan mensual'!E218+parametros_recargas!$K$79*'Plan mensual'!E219+parametros_recargas!$L$79*'Plan mensual'!E220</f>
        <v>15.3647690007956</v>
      </c>
      <c r="D201" s="23" t="n">
        <f aca="false">parametros_recargas!$E$79*'Plan mensual'!F213+parametros_recargas!$F$79*'Plan mensual'!F214+parametros_recargas!$G$79*'Plan mensual'!F215+parametros_recargas!$H$79*'Plan mensual'!F216+parametros_recargas!$I$79*'Plan mensual'!F217+parametros_recargas!$J$79*'Plan mensual'!F218+parametros_recargas!$K$79*'Plan mensual'!F219+parametros_recargas!$L$79*'Plan mensual'!F220</f>
        <v>15.3647690007956</v>
      </c>
      <c r="E201" s="23" t="n">
        <f aca="false">parametros_recargas!$E$79*'Plan mensual'!G213+parametros_recargas!$F$79*'Plan mensual'!G214+parametros_recargas!$G$79*'Plan mensual'!G215+parametros_recargas!$H$79*'Plan mensual'!G216+parametros_recargas!$I$79*'Plan mensual'!G217+parametros_recargas!$J$79*'Plan mensual'!G218+parametros_recargas!$K$79*'Plan mensual'!G219+parametros_recargas!$L$79*'Plan mensual'!G220</f>
        <v>15.3647690007956</v>
      </c>
      <c r="F201" s="23" t="n">
        <f aca="false">parametros_recargas!$E$79*'Plan mensual'!H213+parametros_recargas!$F$79*'Plan mensual'!H214+parametros_recargas!$G$79*'Plan mensual'!H215+parametros_recargas!$H$79*'Plan mensual'!H216+parametros_recargas!$I$79*'Plan mensual'!H217+parametros_recargas!$J$79*'Plan mensual'!H218+parametros_recargas!$K$79*'Plan mensual'!H219+parametros_recargas!$L$79*'Plan mensual'!H220</f>
        <v>15.3647690007956</v>
      </c>
      <c r="G201" s="23" t="n">
        <f aca="false">parametros_recargas!$E$79*'Plan mensual'!I213+parametros_recargas!$F$79*'Plan mensual'!I214+parametros_recargas!$G$79*'Plan mensual'!I215+parametros_recargas!$H$79*'Plan mensual'!I216+parametros_recargas!$I$79*'Plan mensual'!I217+parametros_recargas!$J$79*'Plan mensual'!I218+parametros_recargas!$K$79*'Plan mensual'!I219+parametros_recargas!$L$79*'Plan mensual'!I220</f>
        <v>15.3647690007956</v>
      </c>
      <c r="H201" s="23" t="n">
        <f aca="false">parametros_recargas!$E$79*'Plan mensual'!J213+parametros_recargas!$F$79*'Plan mensual'!J214+parametros_recargas!$G$79*'Plan mensual'!J215+parametros_recargas!$H$79*'Plan mensual'!J216+parametros_recargas!$I$79*'Plan mensual'!J217+parametros_recargas!$J$79*'Plan mensual'!J218+parametros_recargas!$K$79*'Plan mensual'!J219+parametros_recargas!$L$79*'Plan mensual'!J220</f>
        <v>15.3647690007956</v>
      </c>
      <c r="I201" s="23" t="n">
        <f aca="false">parametros_recargas!$E$79*'Plan mensual'!K213+parametros_recargas!$F$79*'Plan mensual'!K214+parametros_recargas!$G$79*'Plan mensual'!K215+parametros_recargas!$H$79*'Plan mensual'!K216+parametros_recargas!$I$79*'Plan mensual'!K217+parametros_recargas!$J$79*'Plan mensual'!K218+parametros_recargas!$K$79*'Plan mensual'!K219+parametros_recargas!$L$79*'Plan mensual'!K220</f>
        <v>15.3647690007956</v>
      </c>
      <c r="J201" s="23" t="n">
        <f aca="false">parametros_recargas!$E$79*'Plan mensual'!L213+parametros_recargas!$F$79*'Plan mensual'!L214+parametros_recargas!$G$79*'Plan mensual'!L215+parametros_recargas!$H$79*'Plan mensual'!L216+parametros_recargas!$I$79*'Plan mensual'!L217+parametros_recargas!$J$79*'Plan mensual'!L218+parametros_recargas!$K$79*'Plan mensual'!L219+parametros_recargas!$L$79*'Plan mensual'!L220</f>
        <v>15.3647690007956</v>
      </c>
      <c r="K201" s="23" t="n">
        <f aca="false">parametros_recargas!$E$79*'Plan mensual'!M213+parametros_recargas!$F$79*'Plan mensual'!M214+parametros_recargas!$G$79*'Plan mensual'!M215+parametros_recargas!$H$79*'Plan mensual'!M216+parametros_recargas!$I$79*'Plan mensual'!M217+parametros_recargas!$J$79*'Plan mensual'!M218+parametros_recargas!$K$79*'Plan mensual'!M219+parametros_recargas!$L$79*'Plan mensual'!M220</f>
        <v>15.3647690007956</v>
      </c>
      <c r="L201" s="23" t="n">
        <f aca="false">parametros_recargas!$E$79*'Plan mensual'!N213+parametros_recargas!$F$79*'Plan mensual'!N214+parametros_recargas!$G$79*'Plan mensual'!N215+parametros_recargas!$H$79*'Plan mensual'!N216+parametros_recargas!$I$79*'Plan mensual'!N217+parametros_recargas!$J$79*'Plan mensual'!N218+parametros_recargas!$K$79*'Plan mensual'!N219+parametros_recargas!$L$79*'Plan mensual'!N220</f>
        <v>15.3647690007956</v>
      </c>
      <c r="M201" s="23" t="n">
        <f aca="false">parametros_recargas!$E$79*'Plan mensual'!O213+parametros_recargas!$F$79*'Plan mensual'!O214+parametros_recargas!$G$79*'Plan mensual'!O215+parametros_recargas!$H$79*'Plan mensual'!O216+parametros_recargas!$I$79*'Plan mensual'!O217+parametros_recargas!$J$79*'Plan mensual'!O218+parametros_recargas!$K$79*'Plan mensual'!O219+parametros_recargas!$L$79*'Plan mensual'!O220</f>
        <v>15.3647690007956</v>
      </c>
      <c r="N201" s="7" t="n">
        <f aca="false">SUM(B201:M201)</f>
        <v>184.377228009547</v>
      </c>
      <c r="O201" s="24" t="n">
        <f aca="false">MAX(B201:M201)</f>
        <v>15.3647690007956</v>
      </c>
      <c r="P201" s="15" t="n">
        <f aca="false">O201/parametros_recargas!$B$6</f>
        <v>0.102431793338637</v>
      </c>
    </row>
    <row r="202" customFormat="false" ht="15" hidden="false" customHeight="false" outlineLevel="0" collapsed="false">
      <c r="A202" s="12" t="str">
        <f aca="false">parametros_recargas!$B$80</f>
        <v>Desarme y limpieza — recinto</v>
      </c>
      <c r="B202" s="23" t="n">
        <f aca="false">parametros_recargas!$E$80*'Plan mensual'!D213+parametros_recargas!$F$80*'Plan mensual'!D214+parametros_recargas!$G$80*'Plan mensual'!D215+parametros_recargas!$H$80*'Plan mensual'!D216+parametros_recargas!$I$80*'Plan mensual'!D217+parametros_recargas!$J$80*'Plan mensual'!D218+parametros_recargas!$K$80*'Plan mensual'!D219+parametros_recargas!$L$80*'Plan mensual'!D220</f>
        <v>15846.3577295488</v>
      </c>
      <c r="C202" s="23" t="n">
        <f aca="false">parametros_recargas!$E$80*'Plan mensual'!E213+parametros_recargas!$F$80*'Plan mensual'!E214+parametros_recargas!$G$80*'Plan mensual'!E215+parametros_recargas!$H$80*'Plan mensual'!E216+parametros_recargas!$I$80*'Plan mensual'!E217+parametros_recargas!$J$80*'Plan mensual'!E218+parametros_recargas!$K$80*'Plan mensual'!E219+parametros_recargas!$L$80*'Plan mensual'!E220</f>
        <v>15846.3577295488</v>
      </c>
      <c r="D202" s="23" t="n">
        <f aca="false">parametros_recargas!$E$80*'Plan mensual'!F213+parametros_recargas!$F$80*'Plan mensual'!F214+parametros_recargas!$G$80*'Plan mensual'!F215+parametros_recargas!$H$80*'Plan mensual'!F216+parametros_recargas!$I$80*'Plan mensual'!F217+parametros_recargas!$J$80*'Plan mensual'!F218+parametros_recargas!$K$80*'Plan mensual'!F219+parametros_recargas!$L$80*'Plan mensual'!F220</f>
        <v>15846.3577295488</v>
      </c>
      <c r="E202" s="23" t="n">
        <f aca="false">parametros_recargas!$E$80*'Plan mensual'!G213+parametros_recargas!$F$80*'Plan mensual'!G214+parametros_recargas!$G$80*'Plan mensual'!G215+parametros_recargas!$H$80*'Plan mensual'!G216+parametros_recargas!$I$80*'Plan mensual'!G217+parametros_recargas!$J$80*'Plan mensual'!G218+parametros_recargas!$K$80*'Plan mensual'!G219+parametros_recargas!$L$80*'Plan mensual'!G220</f>
        <v>15846.3577295488</v>
      </c>
      <c r="F202" s="23" t="n">
        <f aca="false">parametros_recargas!$E$80*'Plan mensual'!H213+parametros_recargas!$F$80*'Plan mensual'!H214+parametros_recargas!$G$80*'Plan mensual'!H215+parametros_recargas!$H$80*'Plan mensual'!H216+parametros_recargas!$I$80*'Plan mensual'!H217+parametros_recargas!$J$80*'Plan mensual'!H218+parametros_recargas!$K$80*'Plan mensual'!H219+parametros_recargas!$L$80*'Plan mensual'!H220</f>
        <v>15846.3577295488</v>
      </c>
      <c r="G202" s="23" t="n">
        <f aca="false">parametros_recargas!$E$80*'Plan mensual'!I213+parametros_recargas!$F$80*'Plan mensual'!I214+parametros_recargas!$G$80*'Plan mensual'!I215+parametros_recargas!$H$80*'Plan mensual'!I216+parametros_recargas!$I$80*'Plan mensual'!I217+parametros_recargas!$J$80*'Plan mensual'!I218+parametros_recargas!$K$80*'Plan mensual'!I219+parametros_recargas!$L$80*'Plan mensual'!I220</f>
        <v>15846.3577295488</v>
      </c>
      <c r="H202" s="23" t="n">
        <f aca="false">parametros_recargas!$E$80*'Plan mensual'!J213+parametros_recargas!$F$80*'Plan mensual'!J214+parametros_recargas!$G$80*'Plan mensual'!J215+parametros_recargas!$H$80*'Plan mensual'!J216+parametros_recargas!$I$80*'Plan mensual'!J217+parametros_recargas!$J$80*'Plan mensual'!J218+parametros_recargas!$K$80*'Plan mensual'!J219+parametros_recargas!$L$80*'Plan mensual'!J220</f>
        <v>15846.3577295488</v>
      </c>
      <c r="I202" s="23" t="n">
        <f aca="false">parametros_recargas!$E$80*'Plan mensual'!K213+parametros_recargas!$F$80*'Plan mensual'!K214+parametros_recargas!$G$80*'Plan mensual'!K215+parametros_recargas!$H$80*'Plan mensual'!K216+parametros_recargas!$I$80*'Plan mensual'!K217+parametros_recargas!$J$80*'Plan mensual'!K218+parametros_recargas!$K$80*'Plan mensual'!K219+parametros_recargas!$L$80*'Plan mensual'!K220</f>
        <v>15846.3577295488</v>
      </c>
      <c r="J202" s="23" t="n">
        <f aca="false">parametros_recargas!$E$80*'Plan mensual'!L213+parametros_recargas!$F$80*'Plan mensual'!L214+parametros_recargas!$G$80*'Plan mensual'!L215+parametros_recargas!$H$80*'Plan mensual'!L216+parametros_recargas!$I$80*'Plan mensual'!L217+parametros_recargas!$J$80*'Plan mensual'!L218+parametros_recargas!$K$80*'Plan mensual'!L219+parametros_recargas!$L$80*'Plan mensual'!L220</f>
        <v>15846.3577295488</v>
      </c>
      <c r="K202" s="23" t="n">
        <f aca="false">parametros_recargas!$E$80*'Plan mensual'!M213+parametros_recargas!$F$80*'Plan mensual'!M214+parametros_recargas!$G$80*'Plan mensual'!M215+parametros_recargas!$H$80*'Plan mensual'!M216+parametros_recargas!$I$80*'Plan mensual'!M217+parametros_recargas!$J$80*'Plan mensual'!M218+parametros_recargas!$K$80*'Plan mensual'!M219+parametros_recargas!$L$80*'Plan mensual'!M220</f>
        <v>15846.3577295488</v>
      </c>
      <c r="L202" s="23" t="n">
        <f aca="false">parametros_recargas!$E$80*'Plan mensual'!N213+parametros_recargas!$F$80*'Plan mensual'!N214+parametros_recargas!$G$80*'Plan mensual'!N215+parametros_recargas!$H$80*'Plan mensual'!N216+parametros_recargas!$I$80*'Plan mensual'!N217+parametros_recargas!$J$80*'Plan mensual'!N218+parametros_recargas!$K$80*'Plan mensual'!N219+parametros_recargas!$L$80*'Plan mensual'!N220</f>
        <v>15846.3577295488</v>
      </c>
      <c r="M202" s="23" t="n">
        <f aca="false">parametros_recargas!$E$80*'Plan mensual'!O213+parametros_recargas!$F$80*'Plan mensual'!O214+parametros_recargas!$G$80*'Plan mensual'!O215+parametros_recargas!$H$80*'Plan mensual'!O216+parametros_recargas!$I$80*'Plan mensual'!O217+parametros_recargas!$J$80*'Plan mensual'!O218+parametros_recargas!$K$80*'Plan mensual'!O219+parametros_recargas!$L$80*'Plan mensual'!O220</f>
        <v>15846.3577295488</v>
      </c>
      <c r="N202" s="7" t="n">
        <f aca="false">SUM(B202:M202)</f>
        <v>190156.292754585</v>
      </c>
      <c r="O202" s="24" t="n">
        <f aca="false">MAX(B202:M202)</f>
        <v>15846.3577295488</v>
      </c>
      <c r="P202" s="15" t="n">
        <f aca="false">O202/parametros_recargas!$B$6</f>
        <v>105.642384863658</v>
      </c>
    </row>
    <row r="203" customFormat="false" ht="15" hidden="false" customHeight="false" outlineLevel="0" collapsed="false">
      <c r="A203" s="12" t="str">
        <f aca="false">parametros_recargas!$B$81</f>
        <v>Desarme e inspección interior — zona general</v>
      </c>
      <c r="B203" s="23" t="n">
        <f aca="false">parametros_recargas!$E$81*'Plan mensual'!D213+parametros_recargas!$F$81*'Plan mensual'!D214+parametros_recargas!$G$81*'Plan mensual'!D215+parametros_recargas!$H$81*'Plan mensual'!D216+parametros_recargas!$I$81*'Plan mensual'!D217+parametros_recargas!$J$81*'Plan mensual'!D218+parametros_recargas!$K$81*'Plan mensual'!D219+parametros_recargas!$L$81*'Plan mensual'!D220</f>
        <v>1234.37460765436</v>
      </c>
      <c r="C203" s="23" t="n">
        <f aca="false">parametros_recargas!$E$81*'Plan mensual'!E213+parametros_recargas!$F$81*'Plan mensual'!E214+parametros_recargas!$G$81*'Plan mensual'!E215+parametros_recargas!$H$81*'Plan mensual'!E216+parametros_recargas!$I$81*'Plan mensual'!E217+parametros_recargas!$J$81*'Plan mensual'!E218+parametros_recargas!$K$81*'Plan mensual'!E219+parametros_recargas!$L$81*'Plan mensual'!E220</f>
        <v>1234.37460765436</v>
      </c>
      <c r="D203" s="23" t="n">
        <f aca="false">parametros_recargas!$E$81*'Plan mensual'!F213+parametros_recargas!$F$81*'Plan mensual'!F214+parametros_recargas!$G$81*'Plan mensual'!F215+parametros_recargas!$H$81*'Plan mensual'!F216+parametros_recargas!$I$81*'Plan mensual'!F217+parametros_recargas!$J$81*'Plan mensual'!F218+parametros_recargas!$K$81*'Plan mensual'!F219+parametros_recargas!$L$81*'Plan mensual'!F220</f>
        <v>1234.37460765436</v>
      </c>
      <c r="E203" s="23" t="n">
        <f aca="false">parametros_recargas!$E$81*'Plan mensual'!G213+parametros_recargas!$F$81*'Plan mensual'!G214+parametros_recargas!$G$81*'Plan mensual'!G215+parametros_recargas!$H$81*'Plan mensual'!G216+parametros_recargas!$I$81*'Plan mensual'!G217+parametros_recargas!$J$81*'Plan mensual'!G218+parametros_recargas!$K$81*'Plan mensual'!G219+parametros_recargas!$L$81*'Plan mensual'!G220</f>
        <v>1234.37460765436</v>
      </c>
      <c r="F203" s="23" t="n">
        <f aca="false">parametros_recargas!$E$81*'Plan mensual'!H213+parametros_recargas!$F$81*'Plan mensual'!H214+parametros_recargas!$G$81*'Plan mensual'!H215+parametros_recargas!$H$81*'Plan mensual'!H216+parametros_recargas!$I$81*'Plan mensual'!H217+parametros_recargas!$J$81*'Plan mensual'!H218+parametros_recargas!$K$81*'Plan mensual'!H219+parametros_recargas!$L$81*'Plan mensual'!H220</f>
        <v>1234.37460765436</v>
      </c>
      <c r="G203" s="23" t="n">
        <f aca="false">parametros_recargas!$E$81*'Plan mensual'!I213+parametros_recargas!$F$81*'Plan mensual'!I214+parametros_recargas!$G$81*'Plan mensual'!I215+parametros_recargas!$H$81*'Plan mensual'!I216+parametros_recargas!$I$81*'Plan mensual'!I217+parametros_recargas!$J$81*'Plan mensual'!I218+parametros_recargas!$K$81*'Plan mensual'!I219+parametros_recargas!$L$81*'Plan mensual'!I220</f>
        <v>1234.37460765436</v>
      </c>
      <c r="H203" s="23" t="n">
        <f aca="false">parametros_recargas!$E$81*'Plan mensual'!J213+parametros_recargas!$F$81*'Plan mensual'!J214+parametros_recargas!$G$81*'Plan mensual'!J215+parametros_recargas!$H$81*'Plan mensual'!J216+parametros_recargas!$I$81*'Plan mensual'!J217+parametros_recargas!$J$81*'Plan mensual'!J218+parametros_recargas!$K$81*'Plan mensual'!J219+parametros_recargas!$L$81*'Plan mensual'!J220</f>
        <v>1234.37460765436</v>
      </c>
      <c r="I203" s="23" t="n">
        <f aca="false">parametros_recargas!$E$81*'Plan mensual'!K213+parametros_recargas!$F$81*'Plan mensual'!K214+parametros_recargas!$G$81*'Plan mensual'!K215+parametros_recargas!$H$81*'Plan mensual'!K216+parametros_recargas!$I$81*'Plan mensual'!K217+parametros_recargas!$J$81*'Plan mensual'!K218+parametros_recargas!$K$81*'Plan mensual'!K219+parametros_recargas!$L$81*'Plan mensual'!K220</f>
        <v>1234.37460765436</v>
      </c>
      <c r="J203" s="23" t="n">
        <f aca="false">parametros_recargas!$E$81*'Plan mensual'!L213+parametros_recargas!$F$81*'Plan mensual'!L214+parametros_recargas!$G$81*'Plan mensual'!L215+parametros_recargas!$H$81*'Plan mensual'!L216+parametros_recargas!$I$81*'Plan mensual'!L217+parametros_recargas!$J$81*'Plan mensual'!L218+parametros_recargas!$K$81*'Plan mensual'!L219+parametros_recargas!$L$81*'Plan mensual'!L220</f>
        <v>1234.37460765436</v>
      </c>
      <c r="K203" s="23" t="n">
        <f aca="false">parametros_recargas!$E$81*'Plan mensual'!M213+parametros_recargas!$F$81*'Plan mensual'!M214+parametros_recargas!$G$81*'Plan mensual'!M215+parametros_recargas!$H$81*'Plan mensual'!M216+parametros_recargas!$I$81*'Plan mensual'!M217+parametros_recargas!$J$81*'Plan mensual'!M218+parametros_recargas!$K$81*'Plan mensual'!M219+parametros_recargas!$L$81*'Plan mensual'!M220</f>
        <v>1234.37460765436</v>
      </c>
      <c r="L203" s="23" t="n">
        <f aca="false">parametros_recargas!$E$81*'Plan mensual'!N213+parametros_recargas!$F$81*'Plan mensual'!N214+parametros_recargas!$G$81*'Plan mensual'!N215+parametros_recargas!$H$81*'Plan mensual'!N216+parametros_recargas!$I$81*'Plan mensual'!N217+parametros_recargas!$J$81*'Plan mensual'!N218+parametros_recargas!$K$81*'Plan mensual'!N219+parametros_recargas!$L$81*'Plan mensual'!N220</f>
        <v>1234.37460765436</v>
      </c>
      <c r="M203" s="23" t="n">
        <f aca="false">parametros_recargas!$E$81*'Plan mensual'!O213+parametros_recargas!$F$81*'Plan mensual'!O214+parametros_recargas!$G$81*'Plan mensual'!O215+parametros_recargas!$H$81*'Plan mensual'!O216+parametros_recargas!$I$81*'Plan mensual'!O217+parametros_recargas!$J$81*'Plan mensual'!O218+parametros_recargas!$K$81*'Plan mensual'!O219+parametros_recargas!$L$81*'Plan mensual'!O220</f>
        <v>1234.37460765436</v>
      </c>
      <c r="N203" s="7" t="n">
        <f aca="false">SUM(B203:M203)</f>
        <v>14812.4952918523</v>
      </c>
      <c r="O203" s="24" t="n">
        <f aca="false">MAX(B203:M203)</f>
        <v>1234.37460765436</v>
      </c>
      <c r="P203" s="15" t="n">
        <f aca="false">O203/parametros_recargas!$B$6</f>
        <v>8.22916405102908</v>
      </c>
    </row>
    <row r="204" customFormat="false" ht="15" hidden="false" customHeight="false" outlineLevel="0" collapsed="false">
      <c r="A204" s="12" t="str">
        <f aca="false">parametros_recargas!$B$82</f>
        <v>Laboratorio — Puffer y mufla</v>
      </c>
      <c r="B204" s="23" t="n">
        <f aca="false">parametros_recargas!$E$82*'Plan mensual'!D213+parametros_recargas!$F$82*'Plan mensual'!D214+parametros_recargas!$G$82*'Plan mensual'!D215+parametros_recargas!$H$82*'Plan mensual'!D216+parametros_recargas!$I$82*'Plan mensual'!D217+parametros_recargas!$J$82*'Plan mensual'!D218+parametros_recargas!$K$82*'Plan mensual'!D219+parametros_recargas!$L$82*'Plan mensual'!D220</f>
        <v>15.8245447400862</v>
      </c>
      <c r="C204" s="23" t="n">
        <f aca="false">parametros_recargas!$E$82*'Plan mensual'!E213+parametros_recargas!$F$82*'Plan mensual'!E214+parametros_recargas!$G$82*'Plan mensual'!E215+parametros_recargas!$H$82*'Plan mensual'!E216+parametros_recargas!$I$82*'Plan mensual'!E217+parametros_recargas!$J$82*'Plan mensual'!E218+parametros_recargas!$K$82*'Plan mensual'!E219+parametros_recargas!$L$82*'Plan mensual'!E220</f>
        <v>15.8245447400862</v>
      </c>
      <c r="D204" s="23" t="n">
        <f aca="false">parametros_recargas!$E$82*'Plan mensual'!F213+parametros_recargas!$F$82*'Plan mensual'!F214+parametros_recargas!$G$82*'Plan mensual'!F215+parametros_recargas!$H$82*'Plan mensual'!F216+parametros_recargas!$I$82*'Plan mensual'!F217+parametros_recargas!$J$82*'Plan mensual'!F218+parametros_recargas!$K$82*'Plan mensual'!F219+parametros_recargas!$L$82*'Plan mensual'!F220</f>
        <v>15.8245447400862</v>
      </c>
      <c r="E204" s="23" t="n">
        <f aca="false">parametros_recargas!$E$82*'Plan mensual'!G213+parametros_recargas!$F$82*'Plan mensual'!G214+parametros_recargas!$G$82*'Plan mensual'!G215+parametros_recargas!$H$82*'Plan mensual'!G216+parametros_recargas!$I$82*'Plan mensual'!G217+parametros_recargas!$J$82*'Plan mensual'!G218+parametros_recargas!$K$82*'Plan mensual'!G219+parametros_recargas!$L$82*'Plan mensual'!G220</f>
        <v>15.8245447400862</v>
      </c>
      <c r="F204" s="23" t="n">
        <f aca="false">parametros_recargas!$E$82*'Plan mensual'!H213+parametros_recargas!$F$82*'Plan mensual'!H214+parametros_recargas!$G$82*'Plan mensual'!H215+parametros_recargas!$H$82*'Plan mensual'!H216+parametros_recargas!$I$82*'Plan mensual'!H217+parametros_recargas!$J$82*'Plan mensual'!H218+parametros_recargas!$K$82*'Plan mensual'!H219+parametros_recargas!$L$82*'Plan mensual'!H220</f>
        <v>15.8245447400862</v>
      </c>
      <c r="G204" s="23" t="n">
        <f aca="false">parametros_recargas!$E$82*'Plan mensual'!I213+parametros_recargas!$F$82*'Plan mensual'!I214+parametros_recargas!$G$82*'Plan mensual'!I215+parametros_recargas!$H$82*'Plan mensual'!I216+parametros_recargas!$I$82*'Plan mensual'!I217+parametros_recargas!$J$82*'Plan mensual'!I218+parametros_recargas!$K$82*'Plan mensual'!I219+parametros_recargas!$L$82*'Plan mensual'!I220</f>
        <v>15.8245447400862</v>
      </c>
      <c r="H204" s="23" t="n">
        <f aca="false">parametros_recargas!$E$82*'Plan mensual'!J213+parametros_recargas!$F$82*'Plan mensual'!J214+parametros_recargas!$G$82*'Plan mensual'!J215+parametros_recargas!$H$82*'Plan mensual'!J216+parametros_recargas!$I$82*'Plan mensual'!J217+parametros_recargas!$J$82*'Plan mensual'!J218+parametros_recargas!$K$82*'Plan mensual'!J219+parametros_recargas!$L$82*'Plan mensual'!J220</f>
        <v>15.8245447400862</v>
      </c>
      <c r="I204" s="23" t="n">
        <f aca="false">parametros_recargas!$E$82*'Plan mensual'!K213+parametros_recargas!$F$82*'Plan mensual'!K214+parametros_recargas!$G$82*'Plan mensual'!K215+parametros_recargas!$H$82*'Plan mensual'!K216+parametros_recargas!$I$82*'Plan mensual'!K217+parametros_recargas!$J$82*'Plan mensual'!K218+parametros_recargas!$K$82*'Plan mensual'!K219+parametros_recargas!$L$82*'Plan mensual'!K220</f>
        <v>15.8245447400862</v>
      </c>
      <c r="J204" s="23" t="n">
        <f aca="false">parametros_recargas!$E$82*'Plan mensual'!L213+parametros_recargas!$F$82*'Plan mensual'!L214+parametros_recargas!$G$82*'Plan mensual'!L215+parametros_recargas!$H$82*'Plan mensual'!L216+parametros_recargas!$I$82*'Plan mensual'!L217+parametros_recargas!$J$82*'Plan mensual'!L218+parametros_recargas!$K$82*'Plan mensual'!L219+parametros_recargas!$L$82*'Plan mensual'!L220</f>
        <v>15.8245447400862</v>
      </c>
      <c r="K204" s="23" t="n">
        <f aca="false">parametros_recargas!$E$82*'Plan mensual'!M213+parametros_recargas!$F$82*'Plan mensual'!M214+parametros_recargas!$G$82*'Plan mensual'!M215+parametros_recargas!$H$82*'Plan mensual'!M216+parametros_recargas!$I$82*'Plan mensual'!M217+parametros_recargas!$J$82*'Plan mensual'!M218+parametros_recargas!$K$82*'Plan mensual'!M219+parametros_recargas!$L$82*'Plan mensual'!M220</f>
        <v>15.8245447400862</v>
      </c>
      <c r="L204" s="23" t="n">
        <f aca="false">parametros_recargas!$E$82*'Plan mensual'!N213+parametros_recargas!$F$82*'Plan mensual'!N214+parametros_recargas!$G$82*'Plan mensual'!N215+parametros_recargas!$H$82*'Plan mensual'!N216+parametros_recargas!$I$82*'Plan mensual'!N217+parametros_recargas!$J$82*'Plan mensual'!N218+parametros_recargas!$K$82*'Plan mensual'!N219+parametros_recargas!$L$82*'Plan mensual'!N220</f>
        <v>15.8245447400862</v>
      </c>
      <c r="M204" s="23" t="n">
        <f aca="false">parametros_recargas!$E$82*'Plan mensual'!O213+parametros_recargas!$F$82*'Plan mensual'!O214+parametros_recargas!$G$82*'Plan mensual'!O215+parametros_recargas!$H$82*'Plan mensual'!O216+parametros_recargas!$I$82*'Plan mensual'!O217+parametros_recargas!$J$82*'Plan mensual'!O218+parametros_recargas!$K$82*'Plan mensual'!O219+parametros_recargas!$L$82*'Plan mensual'!O220</f>
        <v>15.8245447400862</v>
      </c>
      <c r="N204" s="7" t="n">
        <f aca="false">SUM(B204:M204)</f>
        <v>189.894536881034</v>
      </c>
      <c r="O204" s="24" t="n">
        <f aca="false">MAX(B204:M204)</f>
        <v>15.8245447400862</v>
      </c>
      <c r="P204" s="15" t="n">
        <f aca="false">O204/parametros_recargas!$B$6</f>
        <v>0.105496964933908</v>
      </c>
    </row>
    <row r="205" customFormat="false" ht="15" hidden="false" customHeight="false" outlineLevel="0" collapsed="false">
      <c r="A205" s="12" t="str">
        <f aca="false">parametros_recargas!$B$83</f>
        <v>Prueba hidráulica</v>
      </c>
      <c r="B205" s="23" t="n">
        <f aca="false">parametros_recargas!$E$83*'Plan mensual'!D213+parametros_recargas!$F$83*'Plan mensual'!D214+parametros_recargas!$G$83*'Plan mensual'!D215+parametros_recargas!$H$83*'Plan mensual'!D216+parametros_recargas!$I$83*'Plan mensual'!D217+parametros_recargas!$J$83*'Plan mensual'!D218+parametros_recargas!$K$83*'Plan mensual'!D219+parametros_recargas!$L$83*'Plan mensual'!D220</f>
        <v>3906.33019505694</v>
      </c>
      <c r="C205" s="23" t="n">
        <f aca="false">parametros_recargas!$E$83*'Plan mensual'!E213+parametros_recargas!$F$83*'Plan mensual'!E214+parametros_recargas!$G$83*'Plan mensual'!E215+parametros_recargas!$H$83*'Plan mensual'!E216+parametros_recargas!$I$83*'Plan mensual'!E217+parametros_recargas!$J$83*'Plan mensual'!E218+parametros_recargas!$K$83*'Plan mensual'!E219+parametros_recargas!$L$83*'Plan mensual'!E220</f>
        <v>3906.33019505694</v>
      </c>
      <c r="D205" s="23" t="n">
        <f aca="false">parametros_recargas!$E$83*'Plan mensual'!F213+parametros_recargas!$F$83*'Plan mensual'!F214+parametros_recargas!$G$83*'Plan mensual'!F215+parametros_recargas!$H$83*'Plan mensual'!F216+parametros_recargas!$I$83*'Plan mensual'!F217+parametros_recargas!$J$83*'Plan mensual'!F218+parametros_recargas!$K$83*'Plan mensual'!F219+parametros_recargas!$L$83*'Plan mensual'!F220</f>
        <v>3906.33019505694</v>
      </c>
      <c r="E205" s="23" t="n">
        <f aca="false">parametros_recargas!$E$83*'Plan mensual'!G213+parametros_recargas!$F$83*'Plan mensual'!G214+parametros_recargas!$G$83*'Plan mensual'!G215+parametros_recargas!$H$83*'Plan mensual'!G216+parametros_recargas!$I$83*'Plan mensual'!G217+parametros_recargas!$J$83*'Plan mensual'!G218+parametros_recargas!$K$83*'Plan mensual'!G219+parametros_recargas!$L$83*'Plan mensual'!G220</f>
        <v>3906.33019505694</v>
      </c>
      <c r="F205" s="23" t="n">
        <f aca="false">parametros_recargas!$E$83*'Plan mensual'!H213+parametros_recargas!$F$83*'Plan mensual'!H214+parametros_recargas!$G$83*'Plan mensual'!H215+parametros_recargas!$H$83*'Plan mensual'!H216+parametros_recargas!$I$83*'Plan mensual'!H217+parametros_recargas!$J$83*'Plan mensual'!H218+parametros_recargas!$K$83*'Plan mensual'!H219+parametros_recargas!$L$83*'Plan mensual'!H220</f>
        <v>3906.33019505694</v>
      </c>
      <c r="G205" s="23" t="n">
        <f aca="false">parametros_recargas!$E$83*'Plan mensual'!I213+parametros_recargas!$F$83*'Plan mensual'!I214+parametros_recargas!$G$83*'Plan mensual'!I215+parametros_recargas!$H$83*'Plan mensual'!I216+parametros_recargas!$I$83*'Plan mensual'!I217+parametros_recargas!$J$83*'Plan mensual'!I218+parametros_recargas!$K$83*'Plan mensual'!I219+parametros_recargas!$L$83*'Plan mensual'!I220</f>
        <v>3906.33019505694</v>
      </c>
      <c r="H205" s="23" t="n">
        <f aca="false">parametros_recargas!$E$83*'Plan mensual'!J213+parametros_recargas!$F$83*'Plan mensual'!J214+parametros_recargas!$G$83*'Plan mensual'!J215+parametros_recargas!$H$83*'Plan mensual'!J216+parametros_recargas!$I$83*'Plan mensual'!J217+parametros_recargas!$J$83*'Plan mensual'!J218+parametros_recargas!$K$83*'Plan mensual'!J219+parametros_recargas!$L$83*'Plan mensual'!J220</f>
        <v>3906.33019505694</v>
      </c>
      <c r="I205" s="23" t="n">
        <f aca="false">parametros_recargas!$E$83*'Plan mensual'!K213+parametros_recargas!$F$83*'Plan mensual'!K214+parametros_recargas!$G$83*'Plan mensual'!K215+parametros_recargas!$H$83*'Plan mensual'!K216+parametros_recargas!$I$83*'Plan mensual'!K217+parametros_recargas!$J$83*'Plan mensual'!K218+parametros_recargas!$K$83*'Plan mensual'!K219+parametros_recargas!$L$83*'Plan mensual'!K220</f>
        <v>3906.33019505694</v>
      </c>
      <c r="J205" s="23" t="n">
        <f aca="false">parametros_recargas!$E$83*'Plan mensual'!L213+parametros_recargas!$F$83*'Plan mensual'!L214+parametros_recargas!$G$83*'Plan mensual'!L215+parametros_recargas!$H$83*'Plan mensual'!L216+parametros_recargas!$I$83*'Plan mensual'!L217+parametros_recargas!$J$83*'Plan mensual'!L218+parametros_recargas!$K$83*'Plan mensual'!L219+parametros_recargas!$L$83*'Plan mensual'!L220</f>
        <v>3906.33019505694</v>
      </c>
      <c r="K205" s="23" t="n">
        <f aca="false">parametros_recargas!$E$83*'Plan mensual'!M213+parametros_recargas!$F$83*'Plan mensual'!M214+parametros_recargas!$G$83*'Plan mensual'!M215+parametros_recargas!$H$83*'Plan mensual'!M216+parametros_recargas!$I$83*'Plan mensual'!M217+parametros_recargas!$J$83*'Plan mensual'!M218+parametros_recargas!$K$83*'Plan mensual'!M219+parametros_recargas!$L$83*'Plan mensual'!M220</f>
        <v>3906.33019505694</v>
      </c>
      <c r="L205" s="23" t="n">
        <f aca="false">parametros_recargas!$E$83*'Plan mensual'!N213+parametros_recargas!$F$83*'Plan mensual'!N214+parametros_recargas!$G$83*'Plan mensual'!N215+parametros_recargas!$H$83*'Plan mensual'!N216+parametros_recargas!$I$83*'Plan mensual'!N217+parametros_recargas!$J$83*'Plan mensual'!N218+parametros_recargas!$K$83*'Plan mensual'!N219+parametros_recargas!$L$83*'Plan mensual'!N220</f>
        <v>3906.33019505694</v>
      </c>
      <c r="M205" s="23" t="n">
        <f aca="false">parametros_recargas!$E$83*'Plan mensual'!O213+parametros_recargas!$F$83*'Plan mensual'!O214+parametros_recargas!$G$83*'Plan mensual'!O215+parametros_recargas!$H$83*'Plan mensual'!O216+parametros_recargas!$I$83*'Plan mensual'!O217+parametros_recargas!$J$83*'Plan mensual'!O218+parametros_recargas!$K$83*'Plan mensual'!O219+parametros_recargas!$L$83*'Plan mensual'!O220</f>
        <v>3906.33019505694</v>
      </c>
      <c r="N205" s="7" t="n">
        <f aca="false">SUM(B205:M205)</f>
        <v>46875.9623406832</v>
      </c>
      <c r="O205" s="24" t="n">
        <f aca="false">MAX(B205:M205)</f>
        <v>3906.33019505694</v>
      </c>
      <c r="P205" s="15" t="n">
        <f aca="false">O205/parametros_recargas!$B$6</f>
        <v>26.0422013003796</v>
      </c>
    </row>
    <row r="206" customFormat="false" ht="15" hidden="false" customHeight="false" outlineLevel="0" collapsed="false">
      <c r="A206" s="12" t="str">
        <f aca="false">parametros_recargas!$B$84</f>
        <v>Secado</v>
      </c>
      <c r="B206" s="23" t="n">
        <f aca="false">parametros_recargas!$E$84*'Plan mensual'!D213+parametros_recargas!$F$84*'Plan mensual'!D214+parametros_recargas!$G$84*'Plan mensual'!D215+parametros_recargas!$H$84*'Plan mensual'!D216+parametros_recargas!$I$84*'Plan mensual'!D217+parametros_recargas!$J$84*'Plan mensual'!D218+parametros_recargas!$K$84*'Plan mensual'!D219+parametros_recargas!$L$84*'Plan mensual'!D220</f>
        <v>3647.39204405858</v>
      </c>
      <c r="C206" s="23" t="n">
        <f aca="false">parametros_recargas!$E$84*'Plan mensual'!E213+parametros_recargas!$F$84*'Plan mensual'!E214+parametros_recargas!$G$84*'Plan mensual'!E215+parametros_recargas!$H$84*'Plan mensual'!E216+parametros_recargas!$I$84*'Plan mensual'!E217+parametros_recargas!$J$84*'Plan mensual'!E218+parametros_recargas!$K$84*'Plan mensual'!E219+parametros_recargas!$L$84*'Plan mensual'!E220</f>
        <v>3647.39204405858</v>
      </c>
      <c r="D206" s="23" t="n">
        <f aca="false">parametros_recargas!$E$84*'Plan mensual'!F213+parametros_recargas!$F$84*'Plan mensual'!F214+parametros_recargas!$G$84*'Plan mensual'!F215+parametros_recargas!$H$84*'Plan mensual'!F216+parametros_recargas!$I$84*'Plan mensual'!F217+parametros_recargas!$J$84*'Plan mensual'!F218+parametros_recargas!$K$84*'Plan mensual'!F219+parametros_recargas!$L$84*'Plan mensual'!F220</f>
        <v>3647.39204405858</v>
      </c>
      <c r="E206" s="23" t="n">
        <f aca="false">parametros_recargas!$E$84*'Plan mensual'!G213+parametros_recargas!$F$84*'Plan mensual'!G214+parametros_recargas!$G$84*'Plan mensual'!G215+parametros_recargas!$H$84*'Plan mensual'!G216+parametros_recargas!$I$84*'Plan mensual'!G217+parametros_recargas!$J$84*'Plan mensual'!G218+parametros_recargas!$K$84*'Plan mensual'!G219+parametros_recargas!$L$84*'Plan mensual'!G220</f>
        <v>3647.39204405858</v>
      </c>
      <c r="F206" s="23" t="n">
        <f aca="false">parametros_recargas!$E$84*'Plan mensual'!H213+parametros_recargas!$F$84*'Plan mensual'!H214+parametros_recargas!$G$84*'Plan mensual'!H215+parametros_recargas!$H$84*'Plan mensual'!H216+parametros_recargas!$I$84*'Plan mensual'!H217+parametros_recargas!$J$84*'Plan mensual'!H218+parametros_recargas!$K$84*'Plan mensual'!H219+parametros_recargas!$L$84*'Plan mensual'!H220</f>
        <v>3647.39204405858</v>
      </c>
      <c r="G206" s="23" t="n">
        <f aca="false">parametros_recargas!$E$84*'Plan mensual'!I213+parametros_recargas!$F$84*'Plan mensual'!I214+parametros_recargas!$G$84*'Plan mensual'!I215+parametros_recargas!$H$84*'Plan mensual'!I216+parametros_recargas!$I$84*'Plan mensual'!I217+parametros_recargas!$J$84*'Plan mensual'!I218+parametros_recargas!$K$84*'Plan mensual'!I219+parametros_recargas!$L$84*'Plan mensual'!I220</f>
        <v>3647.39204405858</v>
      </c>
      <c r="H206" s="23" t="n">
        <f aca="false">parametros_recargas!$E$84*'Plan mensual'!J213+parametros_recargas!$F$84*'Plan mensual'!J214+parametros_recargas!$G$84*'Plan mensual'!J215+parametros_recargas!$H$84*'Plan mensual'!J216+parametros_recargas!$I$84*'Plan mensual'!J217+parametros_recargas!$J$84*'Plan mensual'!J218+parametros_recargas!$K$84*'Plan mensual'!J219+parametros_recargas!$L$84*'Plan mensual'!J220</f>
        <v>3647.39204405858</v>
      </c>
      <c r="I206" s="23" t="n">
        <f aca="false">parametros_recargas!$E$84*'Plan mensual'!K213+parametros_recargas!$F$84*'Plan mensual'!K214+parametros_recargas!$G$84*'Plan mensual'!K215+parametros_recargas!$H$84*'Plan mensual'!K216+parametros_recargas!$I$84*'Plan mensual'!K217+parametros_recargas!$J$84*'Plan mensual'!K218+parametros_recargas!$K$84*'Plan mensual'!K219+parametros_recargas!$L$84*'Plan mensual'!K220</f>
        <v>3647.39204405858</v>
      </c>
      <c r="J206" s="23" t="n">
        <f aca="false">parametros_recargas!$E$84*'Plan mensual'!L213+parametros_recargas!$F$84*'Plan mensual'!L214+parametros_recargas!$G$84*'Plan mensual'!L215+parametros_recargas!$H$84*'Plan mensual'!L216+parametros_recargas!$I$84*'Plan mensual'!L217+parametros_recargas!$J$84*'Plan mensual'!L218+parametros_recargas!$K$84*'Plan mensual'!L219+parametros_recargas!$L$84*'Plan mensual'!L220</f>
        <v>3647.39204405858</v>
      </c>
      <c r="K206" s="23" t="n">
        <f aca="false">parametros_recargas!$E$84*'Plan mensual'!M213+parametros_recargas!$F$84*'Plan mensual'!M214+parametros_recargas!$G$84*'Plan mensual'!M215+parametros_recargas!$H$84*'Plan mensual'!M216+parametros_recargas!$I$84*'Plan mensual'!M217+parametros_recargas!$J$84*'Plan mensual'!M218+parametros_recargas!$K$84*'Plan mensual'!M219+parametros_recargas!$L$84*'Plan mensual'!M220</f>
        <v>3647.39204405858</v>
      </c>
      <c r="L206" s="23" t="n">
        <f aca="false">parametros_recargas!$E$84*'Plan mensual'!N213+parametros_recargas!$F$84*'Plan mensual'!N214+parametros_recargas!$G$84*'Plan mensual'!N215+parametros_recargas!$H$84*'Plan mensual'!N216+parametros_recargas!$I$84*'Plan mensual'!N217+parametros_recargas!$J$84*'Plan mensual'!N218+parametros_recargas!$K$84*'Plan mensual'!N219+parametros_recargas!$L$84*'Plan mensual'!N220</f>
        <v>3647.39204405858</v>
      </c>
      <c r="M206" s="23" t="n">
        <f aca="false">parametros_recargas!$E$84*'Plan mensual'!O213+parametros_recargas!$F$84*'Plan mensual'!O214+parametros_recargas!$G$84*'Plan mensual'!O215+parametros_recargas!$H$84*'Plan mensual'!O216+parametros_recargas!$I$84*'Plan mensual'!O217+parametros_recargas!$J$84*'Plan mensual'!O218+parametros_recargas!$K$84*'Plan mensual'!O219+parametros_recargas!$L$84*'Plan mensual'!O220</f>
        <v>3647.39204405858</v>
      </c>
      <c r="N206" s="7" t="n">
        <f aca="false">SUM(B206:M206)</f>
        <v>43768.7045287029</v>
      </c>
      <c r="O206" s="24" t="n">
        <f aca="false">MAX(B206:M206)</f>
        <v>3647.39204405858</v>
      </c>
      <c r="P206" s="15" t="n">
        <f aca="false">O206/parametros_recargas!$B$6</f>
        <v>24.3159469603905</v>
      </c>
    </row>
    <row r="207" customFormat="false" ht="15" hidden="false" customHeight="false" outlineLevel="0" collapsed="false">
      <c r="A207" s="12" t="str">
        <f aca="false">parametros_recargas!$B$85</f>
        <v>Inspección interior con videoscopio</v>
      </c>
      <c r="B207" s="23" t="n">
        <f aca="false">parametros_recargas!$E$85*'Plan mensual'!D213+parametros_recargas!$F$85*'Plan mensual'!D214+parametros_recargas!$G$85*'Plan mensual'!D215+parametros_recargas!$H$85*'Plan mensual'!D216+parametros_recargas!$I$85*'Plan mensual'!D217+parametros_recargas!$J$85*'Plan mensual'!D218+parametros_recargas!$K$85*'Plan mensual'!D219+parametros_recargas!$L$85*'Plan mensual'!D220</f>
        <v>3647.39204405858</v>
      </c>
      <c r="C207" s="23" t="n">
        <f aca="false">parametros_recargas!$E$85*'Plan mensual'!E213+parametros_recargas!$F$85*'Plan mensual'!E214+parametros_recargas!$G$85*'Plan mensual'!E215+parametros_recargas!$H$85*'Plan mensual'!E216+parametros_recargas!$I$85*'Plan mensual'!E217+parametros_recargas!$J$85*'Plan mensual'!E218+parametros_recargas!$K$85*'Plan mensual'!E219+parametros_recargas!$L$85*'Plan mensual'!E220</f>
        <v>3647.39204405858</v>
      </c>
      <c r="D207" s="23" t="n">
        <f aca="false">parametros_recargas!$E$85*'Plan mensual'!F213+parametros_recargas!$F$85*'Plan mensual'!F214+parametros_recargas!$G$85*'Plan mensual'!F215+parametros_recargas!$H$85*'Plan mensual'!F216+parametros_recargas!$I$85*'Plan mensual'!F217+parametros_recargas!$J$85*'Plan mensual'!F218+parametros_recargas!$K$85*'Plan mensual'!F219+parametros_recargas!$L$85*'Plan mensual'!F220</f>
        <v>3647.39204405858</v>
      </c>
      <c r="E207" s="23" t="n">
        <f aca="false">parametros_recargas!$E$85*'Plan mensual'!G213+parametros_recargas!$F$85*'Plan mensual'!G214+parametros_recargas!$G$85*'Plan mensual'!G215+parametros_recargas!$H$85*'Plan mensual'!G216+parametros_recargas!$I$85*'Plan mensual'!G217+parametros_recargas!$J$85*'Plan mensual'!G218+parametros_recargas!$K$85*'Plan mensual'!G219+parametros_recargas!$L$85*'Plan mensual'!G220</f>
        <v>3647.39204405858</v>
      </c>
      <c r="F207" s="23" t="n">
        <f aca="false">parametros_recargas!$E$85*'Plan mensual'!H213+parametros_recargas!$F$85*'Plan mensual'!H214+parametros_recargas!$G$85*'Plan mensual'!H215+parametros_recargas!$H$85*'Plan mensual'!H216+parametros_recargas!$I$85*'Plan mensual'!H217+parametros_recargas!$J$85*'Plan mensual'!H218+parametros_recargas!$K$85*'Plan mensual'!H219+parametros_recargas!$L$85*'Plan mensual'!H220</f>
        <v>3647.39204405858</v>
      </c>
      <c r="G207" s="23" t="n">
        <f aca="false">parametros_recargas!$E$85*'Plan mensual'!I213+parametros_recargas!$F$85*'Plan mensual'!I214+parametros_recargas!$G$85*'Plan mensual'!I215+parametros_recargas!$H$85*'Plan mensual'!I216+parametros_recargas!$I$85*'Plan mensual'!I217+parametros_recargas!$J$85*'Plan mensual'!I218+parametros_recargas!$K$85*'Plan mensual'!I219+parametros_recargas!$L$85*'Plan mensual'!I220</f>
        <v>3647.39204405858</v>
      </c>
      <c r="H207" s="23" t="n">
        <f aca="false">parametros_recargas!$E$85*'Plan mensual'!J213+parametros_recargas!$F$85*'Plan mensual'!J214+parametros_recargas!$G$85*'Plan mensual'!J215+parametros_recargas!$H$85*'Plan mensual'!J216+parametros_recargas!$I$85*'Plan mensual'!J217+parametros_recargas!$J$85*'Plan mensual'!J218+parametros_recargas!$K$85*'Plan mensual'!J219+parametros_recargas!$L$85*'Plan mensual'!J220</f>
        <v>3647.39204405858</v>
      </c>
      <c r="I207" s="23" t="n">
        <f aca="false">parametros_recargas!$E$85*'Plan mensual'!K213+parametros_recargas!$F$85*'Plan mensual'!K214+parametros_recargas!$G$85*'Plan mensual'!K215+parametros_recargas!$H$85*'Plan mensual'!K216+parametros_recargas!$I$85*'Plan mensual'!K217+parametros_recargas!$J$85*'Plan mensual'!K218+parametros_recargas!$K$85*'Plan mensual'!K219+parametros_recargas!$L$85*'Plan mensual'!K220</f>
        <v>3647.39204405858</v>
      </c>
      <c r="J207" s="23" t="n">
        <f aca="false">parametros_recargas!$E$85*'Plan mensual'!L213+parametros_recargas!$F$85*'Plan mensual'!L214+parametros_recargas!$G$85*'Plan mensual'!L215+parametros_recargas!$H$85*'Plan mensual'!L216+parametros_recargas!$I$85*'Plan mensual'!L217+parametros_recargas!$J$85*'Plan mensual'!L218+parametros_recargas!$K$85*'Plan mensual'!L219+parametros_recargas!$L$85*'Plan mensual'!L220</f>
        <v>3647.39204405858</v>
      </c>
      <c r="K207" s="23" t="n">
        <f aca="false">parametros_recargas!$E$85*'Plan mensual'!M213+parametros_recargas!$F$85*'Plan mensual'!M214+parametros_recargas!$G$85*'Plan mensual'!M215+parametros_recargas!$H$85*'Plan mensual'!M216+parametros_recargas!$I$85*'Plan mensual'!M217+parametros_recargas!$J$85*'Plan mensual'!M218+parametros_recargas!$K$85*'Plan mensual'!M219+parametros_recargas!$L$85*'Plan mensual'!M220</f>
        <v>3647.39204405858</v>
      </c>
      <c r="L207" s="23" t="n">
        <f aca="false">parametros_recargas!$E$85*'Plan mensual'!N213+parametros_recargas!$F$85*'Plan mensual'!N214+parametros_recargas!$G$85*'Plan mensual'!N215+parametros_recargas!$H$85*'Plan mensual'!N216+parametros_recargas!$I$85*'Plan mensual'!N217+parametros_recargas!$J$85*'Plan mensual'!N218+parametros_recargas!$K$85*'Plan mensual'!N219+parametros_recargas!$L$85*'Plan mensual'!N220</f>
        <v>3647.39204405858</v>
      </c>
      <c r="M207" s="23" t="n">
        <f aca="false">parametros_recargas!$E$85*'Plan mensual'!O213+parametros_recargas!$F$85*'Plan mensual'!O214+parametros_recargas!$G$85*'Plan mensual'!O215+parametros_recargas!$H$85*'Plan mensual'!O216+parametros_recargas!$I$85*'Plan mensual'!O217+parametros_recargas!$J$85*'Plan mensual'!O218+parametros_recargas!$K$85*'Plan mensual'!O219+parametros_recargas!$L$85*'Plan mensual'!O220</f>
        <v>3647.39204405858</v>
      </c>
      <c r="N207" s="7" t="n">
        <f aca="false">SUM(B207:M207)</f>
        <v>43768.7045287029</v>
      </c>
      <c r="O207" s="24" t="n">
        <f aca="false">MAX(B207:M207)</f>
        <v>3647.39204405858</v>
      </c>
      <c r="P207" s="15" t="n">
        <f aca="false">O207/parametros_recargas!$B$6</f>
        <v>24.3159469603905</v>
      </c>
    </row>
    <row r="208" customFormat="false" ht="15" hidden="false" customHeight="false" outlineLevel="0" collapsed="false">
      <c r="A208" s="12" t="str">
        <f aca="false">parametros_recargas!$B$86</f>
        <v>Pintura</v>
      </c>
      <c r="B208" s="23" t="n">
        <f aca="false">parametros_recargas!$E$86*'Plan mensual'!D213+parametros_recargas!$F$86*'Plan mensual'!D214+parametros_recargas!$G$86*'Plan mensual'!D215+parametros_recargas!$H$86*'Plan mensual'!D216+parametros_recargas!$I$86*'Plan mensual'!D217+parametros_recargas!$J$86*'Plan mensual'!D218+parametros_recargas!$K$86*'Plan mensual'!D219+parametros_recargas!$L$86*'Plan mensual'!D220</f>
        <v>1827.94457904031</v>
      </c>
      <c r="C208" s="23" t="n">
        <f aca="false">parametros_recargas!$E$86*'Plan mensual'!E213+parametros_recargas!$F$86*'Plan mensual'!E214+parametros_recargas!$G$86*'Plan mensual'!E215+parametros_recargas!$H$86*'Plan mensual'!E216+parametros_recargas!$I$86*'Plan mensual'!E217+parametros_recargas!$J$86*'Plan mensual'!E218+parametros_recargas!$K$86*'Plan mensual'!E219+parametros_recargas!$L$86*'Plan mensual'!E220</f>
        <v>1827.94457904031</v>
      </c>
      <c r="D208" s="23" t="n">
        <f aca="false">parametros_recargas!$E$86*'Plan mensual'!F213+parametros_recargas!$F$86*'Plan mensual'!F214+parametros_recargas!$G$86*'Plan mensual'!F215+parametros_recargas!$H$86*'Plan mensual'!F216+parametros_recargas!$I$86*'Plan mensual'!F217+parametros_recargas!$J$86*'Plan mensual'!F218+parametros_recargas!$K$86*'Plan mensual'!F219+parametros_recargas!$L$86*'Plan mensual'!F220</f>
        <v>1827.94457904031</v>
      </c>
      <c r="E208" s="23" t="n">
        <f aca="false">parametros_recargas!$E$86*'Plan mensual'!G213+parametros_recargas!$F$86*'Plan mensual'!G214+parametros_recargas!$G$86*'Plan mensual'!G215+parametros_recargas!$H$86*'Plan mensual'!G216+parametros_recargas!$I$86*'Plan mensual'!G217+parametros_recargas!$J$86*'Plan mensual'!G218+parametros_recargas!$K$86*'Plan mensual'!G219+parametros_recargas!$L$86*'Plan mensual'!G220</f>
        <v>1827.94457904031</v>
      </c>
      <c r="F208" s="23" t="n">
        <f aca="false">parametros_recargas!$E$86*'Plan mensual'!H213+parametros_recargas!$F$86*'Plan mensual'!H214+parametros_recargas!$G$86*'Plan mensual'!H215+parametros_recargas!$H$86*'Plan mensual'!H216+parametros_recargas!$I$86*'Plan mensual'!H217+parametros_recargas!$J$86*'Plan mensual'!H218+parametros_recargas!$K$86*'Plan mensual'!H219+parametros_recargas!$L$86*'Plan mensual'!H220</f>
        <v>1827.94457904031</v>
      </c>
      <c r="G208" s="23" t="n">
        <f aca="false">parametros_recargas!$E$86*'Plan mensual'!I213+parametros_recargas!$F$86*'Plan mensual'!I214+parametros_recargas!$G$86*'Plan mensual'!I215+parametros_recargas!$H$86*'Plan mensual'!I216+parametros_recargas!$I$86*'Plan mensual'!I217+parametros_recargas!$J$86*'Plan mensual'!I218+parametros_recargas!$K$86*'Plan mensual'!I219+parametros_recargas!$L$86*'Plan mensual'!I220</f>
        <v>1827.94457904031</v>
      </c>
      <c r="H208" s="23" t="n">
        <f aca="false">parametros_recargas!$E$86*'Plan mensual'!J213+parametros_recargas!$F$86*'Plan mensual'!J214+parametros_recargas!$G$86*'Plan mensual'!J215+parametros_recargas!$H$86*'Plan mensual'!J216+parametros_recargas!$I$86*'Plan mensual'!J217+parametros_recargas!$J$86*'Plan mensual'!J218+parametros_recargas!$K$86*'Plan mensual'!J219+parametros_recargas!$L$86*'Plan mensual'!J220</f>
        <v>1827.94457904031</v>
      </c>
      <c r="I208" s="23" t="n">
        <f aca="false">parametros_recargas!$E$86*'Plan mensual'!K213+parametros_recargas!$F$86*'Plan mensual'!K214+parametros_recargas!$G$86*'Plan mensual'!K215+parametros_recargas!$H$86*'Plan mensual'!K216+parametros_recargas!$I$86*'Plan mensual'!K217+parametros_recargas!$J$86*'Plan mensual'!K218+parametros_recargas!$K$86*'Plan mensual'!K219+parametros_recargas!$L$86*'Plan mensual'!K220</f>
        <v>1827.94457904031</v>
      </c>
      <c r="J208" s="23" t="n">
        <f aca="false">parametros_recargas!$E$86*'Plan mensual'!L213+parametros_recargas!$F$86*'Plan mensual'!L214+parametros_recargas!$G$86*'Plan mensual'!L215+parametros_recargas!$H$86*'Plan mensual'!L216+parametros_recargas!$I$86*'Plan mensual'!L217+parametros_recargas!$J$86*'Plan mensual'!L218+parametros_recargas!$K$86*'Plan mensual'!L219+parametros_recargas!$L$86*'Plan mensual'!L220</f>
        <v>1827.94457904031</v>
      </c>
      <c r="K208" s="23" t="n">
        <f aca="false">parametros_recargas!$E$86*'Plan mensual'!M213+parametros_recargas!$F$86*'Plan mensual'!M214+parametros_recargas!$G$86*'Plan mensual'!M215+parametros_recargas!$H$86*'Plan mensual'!M216+parametros_recargas!$I$86*'Plan mensual'!M217+parametros_recargas!$J$86*'Plan mensual'!M218+parametros_recargas!$K$86*'Plan mensual'!M219+parametros_recargas!$L$86*'Plan mensual'!M220</f>
        <v>1827.94457904031</v>
      </c>
      <c r="L208" s="23" t="n">
        <f aca="false">parametros_recargas!$E$86*'Plan mensual'!N213+parametros_recargas!$F$86*'Plan mensual'!N214+parametros_recargas!$G$86*'Plan mensual'!N215+parametros_recargas!$H$86*'Plan mensual'!N216+parametros_recargas!$I$86*'Plan mensual'!N217+parametros_recargas!$J$86*'Plan mensual'!N218+parametros_recargas!$K$86*'Plan mensual'!N219+parametros_recargas!$L$86*'Plan mensual'!N220</f>
        <v>1827.94457904031</v>
      </c>
      <c r="M208" s="23" t="n">
        <f aca="false">parametros_recargas!$E$86*'Plan mensual'!O213+parametros_recargas!$F$86*'Plan mensual'!O214+parametros_recargas!$G$86*'Plan mensual'!O215+parametros_recargas!$H$86*'Plan mensual'!O216+parametros_recargas!$I$86*'Plan mensual'!O217+parametros_recargas!$J$86*'Plan mensual'!O218+parametros_recargas!$K$86*'Plan mensual'!O219+parametros_recargas!$L$86*'Plan mensual'!O220</f>
        <v>1827.94457904031</v>
      </c>
      <c r="N208" s="7" t="n">
        <f aca="false">SUM(B208:M208)</f>
        <v>21935.3349484838</v>
      </c>
      <c r="O208" s="24" t="n">
        <f aca="false">MAX(B208:M208)</f>
        <v>1827.94457904031</v>
      </c>
      <c r="P208" s="15" t="n">
        <f aca="false">O208/parametros_recargas!$B$6</f>
        <v>12.1862971936021</v>
      </c>
    </row>
    <row r="209" customFormat="false" ht="15" hidden="false" customHeight="false" outlineLevel="0" collapsed="false">
      <c r="A209" s="12" t="str">
        <f aca="false">parametros_recargas!$B$87</f>
        <v>Carga de polvo ABC</v>
      </c>
      <c r="B209" s="23" t="n">
        <f aca="false">parametros_recargas!$E$87*'Plan mensual'!D213+parametros_recargas!$F$87*'Plan mensual'!D214+parametros_recargas!$G$87*'Plan mensual'!D215+parametros_recargas!$H$87*'Plan mensual'!D216+parametros_recargas!$I$87*'Plan mensual'!D217+parametros_recargas!$J$87*'Plan mensual'!D218+parametros_recargas!$K$87*'Plan mensual'!D219+parametros_recargas!$L$87*'Plan mensual'!D220</f>
        <v>15800.0005888681</v>
      </c>
      <c r="C209" s="23" t="n">
        <f aca="false">parametros_recargas!$E$87*'Plan mensual'!E213+parametros_recargas!$F$87*'Plan mensual'!E214+parametros_recargas!$G$87*'Plan mensual'!E215+parametros_recargas!$H$87*'Plan mensual'!E216+parametros_recargas!$I$87*'Plan mensual'!E217+parametros_recargas!$J$87*'Plan mensual'!E218+parametros_recargas!$K$87*'Plan mensual'!E219+parametros_recargas!$L$87*'Plan mensual'!E220</f>
        <v>15800.0005888681</v>
      </c>
      <c r="D209" s="23" t="n">
        <f aca="false">parametros_recargas!$E$87*'Plan mensual'!F213+parametros_recargas!$F$87*'Plan mensual'!F214+parametros_recargas!$G$87*'Plan mensual'!F215+parametros_recargas!$H$87*'Plan mensual'!F216+parametros_recargas!$I$87*'Plan mensual'!F217+parametros_recargas!$J$87*'Plan mensual'!F218+parametros_recargas!$K$87*'Plan mensual'!F219+parametros_recargas!$L$87*'Plan mensual'!F220</f>
        <v>15800.0005888681</v>
      </c>
      <c r="E209" s="23" t="n">
        <f aca="false">parametros_recargas!$E$87*'Plan mensual'!G213+parametros_recargas!$F$87*'Plan mensual'!G214+parametros_recargas!$G$87*'Plan mensual'!G215+parametros_recargas!$H$87*'Plan mensual'!G216+parametros_recargas!$I$87*'Plan mensual'!G217+parametros_recargas!$J$87*'Plan mensual'!G218+parametros_recargas!$K$87*'Plan mensual'!G219+parametros_recargas!$L$87*'Plan mensual'!G220</f>
        <v>15800.0005888681</v>
      </c>
      <c r="F209" s="23" t="n">
        <f aca="false">parametros_recargas!$E$87*'Plan mensual'!H213+parametros_recargas!$F$87*'Plan mensual'!H214+parametros_recargas!$G$87*'Plan mensual'!H215+parametros_recargas!$H$87*'Plan mensual'!H216+parametros_recargas!$I$87*'Plan mensual'!H217+parametros_recargas!$J$87*'Plan mensual'!H218+parametros_recargas!$K$87*'Plan mensual'!H219+parametros_recargas!$L$87*'Plan mensual'!H220</f>
        <v>15800.0005888681</v>
      </c>
      <c r="G209" s="23" t="n">
        <f aca="false">parametros_recargas!$E$87*'Plan mensual'!I213+parametros_recargas!$F$87*'Plan mensual'!I214+parametros_recargas!$G$87*'Plan mensual'!I215+parametros_recargas!$H$87*'Plan mensual'!I216+parametros_recargas!$I$87*'Plan mensual'!I217+parametros_recargas!$J$87*'Plan mensual'!I218+parametros_recargas!$K$87*'Plan mensual'!I219+parametros_recargas!$L$87*'Plan mensual'!I220</f>
        <v>15800.0005888681</v>
      </c>
      <c r="H209" s="23" t="n">
        <f aca="false">parametros_recargas!$E$87*'Plan mensual'!J213+parametros_recargas!$F$87*'Plan mensual'!J214+parametros_recargas!$G$87*'Plan mensual'!J215+parametros_recargas!$H$87*'Plan mensual'!J216+parametros_recargas!$I$87*'Plan mensual'!J217+parametros_recargas!$J$87*'Plan mensual'!J218+parametros_recargas!$K$87*'Plan mensual'!J219+parametros_recargas!$L$87*'Plan mensual'!J220</f>
        <v>15800.0005888681</v>
      </c>
      <c r="I209" s="23" t="n">
        <f aca="false">parametros_recargas!$E$87*'Plan mensual'!K213+parametros_recargas!$F$87*'Plan mensual'!K214+parametros_recargas!$G$87*'Plan mensual'!K215+parametros_recargas!$H$87*'Plan mensual'!K216+parametros_recargas!$I$87*'Plan mensual'!K217+parametros_recargas!$J$87*'Plan mensual'!K218+parametros_recargas!$K$87*'Plan mensual'!K219+parametros_recargas!$L$87*'Plan mensual'!K220</f>
        <v>15800.0005888681</v>
      </c>
      <c r="J209" s="23" t="n">
        <f aca="false">parametros_recargas!$E$87*'Plan mensual'!L213+parametros_recargas!$F$87*'Plan mensual'!L214+parametros_recargas!$G$87*'Plan mensual'!L215+parametros_recargas!$H$87*'Plan mensual'!L216+parametros_recargas!$I$87*'Plan mensual'!L217+parametros_recargas!$J$87*'Plan mensual'!L218+parametros_recargas!$K$87*'Plan mensual'!L219+parametros_recargas!$L$87*'Plan mensual'!L220</f>
        <v>15800.0005888681</v>
      </c>
      <c r="K209" s="23" t="n">
        <f aca="false">parametros_recargas!$E$87*'Plan mensual'!M213+parametros_recargas!$F$87*'Plan mensual'!M214+parametros_recargas!$G$87*'Plan mensual'!M215+parametros_recargas!$H$87*'Plan mensual'!M216+parametros_recargas!$I$87*'Plan mensual'!M217+parametros_recargas!$J$87*'Plan mensual'!M218+parametros_recargas!$K$87*'Plan mensual'!M219+parametros_recargas!$L$87*'Plan mensual'!M220</f>
        <v>15800.0005888681</v>
      </c>
      <c r="L209" s="23" t="n">
        <f aca="false">parametros_recargas!$E$87*'Plan mensual'!N213+parametros_recargas!$F$87*'Plan mensual'!N214+parametros_recargas!$G$87*'Plan mensual'!N215+parametros_recargas!$H$87*'Plan mensual'!N216+parametros_recargas!$I$87*'Plan mensual'!N217+parametros_recargas!$J$87*'Plan mensual'!N218+parametros_recargas!$K$87*'Plan mensual'!N219+parametros_recargas!$L$87*'Plan mensual'!N220</f>
        <v>15800.0005888681</v>
      </c>
      <c r="M209" s="23" t="n">
        <f aca="false">parametros_recargas!$E$87*'Plan mensual'!O213+parametros_recargas!$F$87*'Plan mensual'!O214+parametros_recargas!$G$87*'Plan mensual'!O215+parametros_recargas!$H$87*'Plan mensual'!O216+parametros_recargas!$I$87*'Plan mensual'!O217+parametros_recargas!$J$87*'Plan mensual'!O218+parametros_recargas!$K$87*'Plan mensual'!O219+parametros_recargas!$L$87*'Plan mensual'!O220</f>
        <v>15800.0005888681</v>
      </c>
      <c r="N209" s="7" t="n">
        <f aca="false">SUM(B209:M209)</f>
        <v>189600.007066418</v>
      </c>
      <c r="O209" s="24" t="n">
        <f aca="false">MAX(B209:M209)</f>
        <v>15800.0005888681</v>
      </c>
      <c r="P209" s="15" t="n">
        <f aca="false">O209/parametros_recargas!$B$6</f>
        <v>105.333337259121</v>
      </c>
    </row>
    <row r="210" customFormat="false" ht="15" hidden="false" customHeight="false" outlineLevel="0" collapsed="false">
      <c r="A210" s="12" t="str">
        <f aca="false">parametros_recargas!$B$88</f>
        <v>Carga de polvo BC</v>
      </c>
      <c r="B210" s="23" t="n">
        <f aca="false">parametros_recargas!$E$88*'Plan mensual'!D213+parametros_recargas!$F$88*'Plan mensual'!D214+parametros_recargas!$G$88*'Plan mensual'!D215+parametros_recargas!$H$88*'Plan mensual'!D216+parametros_recargas!$I$88*'Plan mensual'!D217+parametros_recargas!$J$88*'Plan mensual'!D218+parametros_recargas!$K$88*'Plan mensual'!D219+parametros_recargas!$L$88*'Plan mensual'!D220</f>
        <v>24.544151218042</v>
      </c>
      <c r="C210" s="23" t="n">
        <f aca="false">parametros_recargas!$E$88*'Plan mensual'!E213+parametros_recargas!$F$88*'Plan mensual'!E214+parametros_recargas!$G$88*'Plan mensual'!E215+parametros_recargas!$H$88*'Plan mensual'!E216+parametros_recargas!$I$88*'Plan mensual'!E217+parametros_recargas!$J$88*'Plan mensual'!E218+parametros_recargas!$K$88*'Plan mensual'!E219+parametros_recargas!$L$88*'Plan mensual'!E220</f>
        <v>24.544151218042</v>
      </c>
      <c r="D210" s="23" t="n">
        <f aca="false">parametros_recargas!$E$88*'Plan mensual'!F213+parametros_recargas!$F$88*'Plan mensual'!F214+parametros_recargas!$G$88*'Plan mensual'!F215+parametros_recargas!$H$88*'Plan mensual'!F216+parametros_recargas!$I$88*'Plan mensual'!F217+parametros_recargas!$J$88*'Plan mensual'!F218+parametros_recargas!$K$88*'Plan mensual'!F219+parametros_recargas!$L$88*'Plan mensual'!F220</f>
        <v>24.544151218042</v>
      </c>
      <c r="E210" s="23" t="n">
        <f aca="false">parametros_recargas!$E$88*'Plan mensual'!G213+parametros_recargas!$F$88*'Plan mensual'!G214+parametros_recargas!$G$88*'Plan mensual'!G215+parametros_recargas!$H$88*'Plan mensual'!G216+parametros_recargas!$I$88*'Plan mensual'!G217+parametros_recargas!$J$88*'Plan mensual'!G218+parametros_recargas!$K$88*'Plan mensual'!G219+parametros_recargas!$L$88*'Plan mensual'!G220</f>
        <v>24.544151218042</v>
      </c>
      <c r="F210" s="23" t="n">
        <f aca="false">parametros_recargas!$E$88*'Plan mensual'!H213+parametros_recargas!$F$88*'Plan mensual'!H214+parametros_recargas!$G$88*'Plan mensual'!H215+parametros_recargas!$H$88*'Plan mensual'!H216+parametros_recargas!$I$88*'Plan mensual'!H217+parametros_recargas!$J$88*'Plan mensual'!H218+parametros_recargas!$K$88*'Plan mensual'!H219+parametros_recargas!$L$88*'Plan mensual'!H220</f>
        <v>24.544151218042</v>
      </c>
      <c r="G210" s="23" t="n">
        <f aca="false">parametros_recargas!$E$88*'Plan mensual'!I213+parametros_recargas!$F$88*'Plan mensual'!I214+parametros_recargas!$G$88*'Plan mensual'!I215+parametros_recargas!$H$88*'Plan mensual'!I216+parametros_recargas!$I$88*'Plan mensual'!I217+parametros_recargas!$J$88*'Plan mensual'!I218+parametros_recargas!$K$88*'Plan mensual'!I219+parametros_recargas!$L$88*'Plan mensual'!I220</f>
        <v>24.544151218042</v>
      </c>
      <c r="H210" s="23" t="n">
        <f aca="false">parametros_recargas!$E$88*'Plan mensual'!J213+parametros_recargas!$F$88*'Plan mensual'!J214+parametros_recargas!$G$88*'Plan mensual'!J215+parametros_recargas!$H$88*'Plan mensual'!J216+parametros_recargas!$I$88*'Plan mensual'!J217+parametros_recargas!$J$88*'Plan mensual'!J218+parametros_recargas!$K$88*'Plan mensual'!J219+parametros_recargas!$L$88*'Plan mensual'!J220</f>
        <v>24.544151218042</v>
      </c>
      <c r="I210" s="23" t="n">
        <f aca="false">parametros_recargas!$E$88*'Plan mensual'!K213+parametros_recargas!$F$88*'Plan mensual'!K214+parametros_recargas!$G$88*'Plan mensual'!K215+parametros_recargas!$H$88*'Plan mensual'!K216+parametros_recargas!$I$88*'Plan mensual'!K217+parametros_recargas!$J$88*'Plan mensual'!K218+parametros_recargas!$K$88*'Plan mensual'!K219+parametros_recargas!$L$88*'Plan mensual'!K220</f>
        <v>24.544151218042</v>
      </c>
      <c r="J210" s="23" t="n">
        <f aca="false">parametros_recargas!$E$88*'Plan mensual'!L213+parametros_recargas!$F$88*'Plan mensual'!L214+parametros_recargas!$G$88*'Plan mensual'!L215+parametros_recargas!$H$88*'Plan mensual'!L216+parametros_recargas!$I$88*'Plan mensual'!L217+parametros_recargas!$J$88*'Plan mensual'!L218+parametros_recargas!$K$88*'Plan mensual'!L219+parametros_recargas!$L$88*'Plan mensual'!L220</f>
        <v>24.544151218042</v>
      </c>
      <c r="K210" s="23" t="n">
        <f aca="false">parametros_recargas!$E$88*'Plan mensual'!M213+parametros_recargas!$F$88*'Plan mensual'!M214+parametros_recargas!$G$88*'Plan mensual'!M215+parametros_recargas!$H$88*'Plan mensual'!M216+parametros_recargas!$I$88*'Plan mensual'!M217+parametros_recargas!$J$88*'Plan mensual'!M218+parametros_recargas!$K$88*'Plan mensual'!M219+parametros_recargas!$L$88*'Plan mensual'!M220</f>
        <v>24.544151218042</v>
      </c>
      <c r="L210" s="23" t="n">
        <f aca="false">parametros_recargas!$E$88*'Plan mensual'!N213+parametros_recargas!$F$88*'Plan mensual'!N214+parametros_recargas!$G$88*'Plan mensual'!N215+parametros_recargas!$H$88*'Plan mensual'!N216+parametros_recargas!$I$88*'Plan mensual'!N217+parametros_recargas!$J$88*'Plan mensual'!N218+parametros_recargas!$K$88*'Plan mensual'!N219+parametros_recargas!$L$88*'Plan mensual'!N220</f>
        <v>24.544151218042</v>
      </c>
      <c r="M210" s="23" t="n">
        <f aca="false">parametros_recargas!$E$88*'Plan mensual'!O213+parametros_recargas!$F$88*'Plan mensual'!O214+parametros_recargas!$G$88*'Plan mensual'!O215+parametros_recargas!$H$88*'Plan mensual'!O216+parametros_recargas!$I$88*'Plan mensual'!O217+parametros_recargas!$J$88*'Plan mensual'!O218+parametros_recargas!$K$88*'Plan mensual'!O219+parametros_recargas!$L$88*'Plan mensual'!O220</f>
        <v>24.544151218042</v>
      </c>
      <c r="N210" s="7" t="n">
        <f aca="false">SUM(B210:M210)</f>
        <v>294.529814616504</v>
      </c>
      <c r="O210" s="24" t="n">
        <f aca="false">MAX(B210:M210)</f>
        <v>24.544151218042</v>
      </c>
      <c r="P210" s="15" t="n">
        <f aca="false">O210/parametros_recargas!$B$6</f>
        <v>0.163627674786947</v>
      </c>
    </row>
    <row r="211" customFormat="false" ht="15" hidden="false" customHeight="false" outlineLevel="0" collapsed="false">
      <c r="A211" s="12" t="str">
        <f aca="false">parametros_recargas!$B$89</f>
        <v>Descarga y carga Clase D</v>
      </c>
      <c r="B211" s="23" t="n">
        <f aca="false">parametros_recargas!$E$89*'Plan mensual'!D213+parametros_recargas!$F$89*'Plan mensual'!D214+parametros_recargas!$G$89*'Plan mensual'!D215+parametros_recargas!$H$89*'Plan mensual'!D216+parametros_recargas!$I$89*'Plan mensual'!D217+parametros_recargas!$J$89*'Plan mensual'!D218+parametros_recargas!$K$89*'Plan mensual'!D219+parametros_recargas!$L$89*'Plan mensual'!D220</f>
        <v>21.8129894625864</v>
      </c>
      <c r="C211" s="23" t="n">
        <f aca="false">parametros_recargas!$E$89*'Plan mensual'!E213+parametros_recargas!$F$89*'Plan mensual'!E214+parametros_recargas!$G$89*'Plan mensual'!E215+parametros_recargas!$H$89*'Plan mensual'!E216+parametros_recargas!$I$89*'Plan mensual'!E217+parametros_recargas!$J$89*'Plan mensual'!E218+parametros_recargas!$K$89*'Plan mensual'!E219+parametros_recargas!$L$89*'Plan mensual'!E220</f>
        <v>21.8129894625864</v>
      </c>
      <c r="D211" s="23" t="n">
        <f aca="false">parametros_recargas!$E$89*'Plan mensual'!F213+parametros_recargas!$F$89*'Plan mensual'!F214+parametros_recargas!$G$89*'Plan mensual'!F215+parametros_recargas!$H$89*'Plan mensual'!F216+parametros_recargas!$I$89*'Plan mensual'!F217+parametros_recargas!$J$89*'Plan mensual'!F218+parametros_recargas!$K$89*'Plan mensual'!F219+parametros_recargas!$L$89*'Plan mensual'!F220</f>
        <v>21.8129894625864</v>
      </c>
      <c r="E211" s="23" t="n">
        <f aca="false">parametros_recargas!$E$89*'Plan mensual'!G213+parametros_recargas!$F$89*'Plan mensual'!G214+parametros_recargas!$G$89*'Plan mensual'!G215+parametros_recargas!$H$89*'Plan mensual'!G216+parametros_recargas!$I$89*'Plan mensual'!G217+parametros_recargas!$J$89*'Plan mensual'!G218+parametros_recargas!$K$89*'Plan mensual'!G219+parametros_recargas!$L$89*'Plan mensual'!G220</f>
        <v>21.8129894625864</v>
      </c>
      <c r="F211" s="23" t="n">
        <f aca="false">parametros_recargas!$E$89*'Plan mensual'!H213+parametros_recargas!$F$89*'Plan mensual'!H214+parametros_recargas!$G$89*'Plan mensual'!H215+parametros_recargas!$H$89*'Plan mensual'!H216+parametros_recargas!$I$89*'Plan mensual'!H217+parametros_recargas!$J$89*'Plan mensual'!H218+parametros_recargas!$K$89*'Plan mensual'!H219+parametros_recargas!$L$89*'Plan mensual'!H220</f>
        <v>21.8129894625864</v>
      </c>
      <c r="G211" s="23" t="n">
        <f aca="false">parametros_recargas!$E$89*'Plan mensual'!I213+parametros_recargas!$F$89*'Plan mensual'!I214+parametros_recargas!$G$89*'Plan mensual'!I215+parametros_recargas!$H$89*'Plan mensual'!I216+parametros_recargas!$I$89*'Plan mensual'!I217+parametros_recargas!$J$89*'Plan mensual'!I218+parametros_recargas!$K$89*'Plan mensual'!I219+parametros_recargas!$L$89*'Plan mensual'!I220</f>
        <v>21.8129894625864</v>
      </c>
      <c r="H211" s="23" t="n">
        <f aca="false">parametros_recargas!$E$89*'Plan mensual'!J213+parametros_recargas!$F$89*'Plan mensual'!J214+parametros_recargas!$G$89*'Plan mensual'!J215+parametros_recargas!$H$89*'Plan mensual'!J216+parametros_recargas!$I$89*'Plan mensual'!J217+parametros_recargas!$J$89*'Plan mensual'!J218+parametros_recargas!$K$89*'Plan mensual'!J219+parametros_recargas!$L$89*'Plan mensual'!J220</f>
        <v>21.8129894625864</v>
      </c>
      <c r="I211" s="23" t="n">
        <f aca="false">parametros_recargas!$E$89*'Plan mensual'!K213+parametros_recargas!$F$89*'Plan mensual'!K214+parametros_recargas!$G$89*'Plan mensual'!K215+parametros_recargas!$H$89*'Plan mensual'!K216+parametros_recargas!$I$89*'Plan mensual'!K217+parametros_recargas!$J$89*'Plan mensual'!K218+parametros_recargas!$K$89*'Plan mensual'!K219+parametros_recargas!$L$89*'Plan mensual'!K220</f>
        <v>21.8129894625864</v>
      </c>
      <c r="J211" s="23" t="n">
        <f aca="false">parametros_recargas!$E$89*'Plan mensual'!L213+parametros_recargas!$F$89*'Plan mensual'!L214+parametros_recargas!$G$89*'Plan mensual'!L215+parametros_recargas!$H$89*'Plan mensual'!L216+parametros_recargas!$I$89*'Plan mensual'!L217+parametros_recargas!$J$89*'Plan mensual'!L218+parametros_recargas!$K$89*'Plan mensual'!L219+parametros_recargas!$L$89*'Plan mensual'!L220</f>
        <v>21.8129894625864</v>
      </c>
      <c r="K211" s="23" t="n">
        <f aca="false">parametros_recargas!$E$89*'Plan mensual'!M213+parametros_recargas!$F$89*'Plan mensual'!M214+parametros_recargas!$G$89*'Plan mensual'!M215+parametros_recargas!$H$89*'Plan mensual'!M216+parametros_recargas!$I$89*'Plan mensual'!M217+parametros_recargas!$J$89*'Plan mensual'!M218+parametros_recargas!$K$89*'Plan mensual'!M219+parametros_recargas!$L$89*'Plan mensual'!M220</f>
        <v>21.8129894625864</v>
      </c>
      <c r="L211" s="23" t="n">
        <f aca="false">parametros_recargas!$E$89*'Plan mensual'!N213+parametros_recargas!$F$89*'Plan mensual'!N214+parametros_recargas!$G$89*'Plan mensual'!N215+parametros_recargas!$H$89*'Plan mensual'!N216+parametros_recargas!$I$89*'Plan mensual'!N217+parametros_recargas!$J$89*'Plan mensual'!N218+parametros_recargas!$K$89*'Plan mensual'!N219+parametros_recargas!$L$89*'Plan mensual'!N220</f>
        <v>21.8129894625864</v>
      </c>
      <c r="M211" s="23" t="n">
        <f aca="false">parametros_recargas!$E$89*'Plan mensual'!O213+parametros_recargas!$F$89*'Plan mensual'!O214+parametros_recargas!$G$89*'Plan mensual'!O215+parametros_recargas!$H$89*'Plan mensual'!O216+parametros_recargas!$I$89*'Plan mensual'!O217+parametros_recargas!$J$89*'Plan mensual'!O218+parametros_recargas!$K$89*'Plan mensual'!O219+parametros_recargas!$L$89*'Plan mensual'!O220</f>
        <v>21.8129894625864</v>
      </c>
      <c r="N211" s="7" t="n">
        <f aca="false">SUM(B211:M211)</f>
        <v>261.755873551037</v>
      </c>
      <c r="O211" s="24" t="n">
        <f aca="false">MAX(B211:M211)</f>
        <v>21.8129894625864</v>
      </c>
      <c r="P211" s="15" t="n">
        <f aca="false">O211/parametros_recargas!$B$6</f>
        <v>0.145419929750576</v>
      </c>
    </row>
    <row r="212" customFormat="false" ht="15" hidden="false" customHeight="false" outlineLevel="0" collapsed="false">
      <c r="A212" s="12" t="str">
        <f aca="false">parametros_recargas!$B$90</f>
        <v>Carga de agua / AFFF / sales K</v>
      </c>
      <c r="B212" s="23" t="n">
        <f aca="false">parametros_recargas!$E$90*'Plan mensual'!D213+parametros_recargas!$F$90*'Plan mensual'!D214+parametros_recargas!$G$90*'Plan mensual'!D215+parametros_recargas!$H$90*'Plan mensual'!D216+parametros_recargas!$I$90*'Plan mensual'!D217+parametros_recargas!$J$90*'Plan mensual'!D218+parametros_recargas!$K$90*'Plan mensual'!D219+parametros_recargas!$L$90*'Plan mensual'!D220</f>
        <v>834.803456587695</v>
      </c>
      <c r="C212" s="23" t="n">
        <f aca="false">parametros_recargas!$E$90*'Plan mensual'!E213+parametros_recargas!$F$90*'Plan mensual'!E214+parametros_recargas!$G$90*'Plan mensual'!E215+parametros_recargas!$H$90*'Plan mensual'!E216+parametros_recargas!$I$90*'Plan mensual'!E217+parametros_recargas!$J$90*'Plan mensual'!E218+parametros_recargas!$K$90*'Plan mensual'!E219+parametros_recargas!$L$90*'Plan mensual'!E220</f>
        <v>834.803456587695</v>
      </c>
      <c r="D212" s="23" t="n">
        <f aca="false">parametros_recargas!$E$90*'Plan mensual'!F213+parametros_recargas!$F$90*'Plan mensual'!F214+parametros_recargas!$G$90*'Plan mensual'!F215+parametros_recargas!$H$90*'Plan mensual'!F216+parametros_recargas!$I$90*'Plan mensual'!F217+parametros_recargas!$J$90*'Plan mensual'!F218+parametros_recargas!$K$90*'Plan mensual'!F219+parametros_recargas!$L$90*'Plan mensual'!F220</f>
        <v>834.803456587695</v>
      </c>
      <c r="E212" s="23" t="n">
        <f aca="false">parametros_recargas!$E$90*'Plan mensual'!G213+parametros_recargas!$F$90*'Plan mensual'!G214+parametros_recargas!$G$90*'Plan mensual'!G215+parametros_recargas!$H$90*'Plan mensual'!G216+parametros_recargas!$I$90*'Plan mensual'!G217+parametros_recargas!$J$90*'Plan mensual'!G218+parametros_recargas!$K$90*'Plan mensual'!G219+parametros_recargas!$L$90*'Plan mensual'!G220</f>
        <v>834.803456587695</v>
      </c>
      <c r="F212" s="23" t="n">
        <f aca="false">parametros_recargas!$E$90*'Plan mensual'!H213+parametros_recargas!$F$90*'Plan mensual'!H214+parametros_recargas!$G$90*'Plan mensual'!H215+parametros_recargas!$H$90*'Plan mensual'!H216+parametros_recargas!$I$90*'Plan mensual'!H217+parametros_recargas!$J$90*'Plan mensual'!H218+parametros_recargas!$K$90*'Plan mensual'!H219+parametros_recargas!$L$90*'Plan mensual'!H220</f>
        <v>834.803456587695</v>
      </c>
      <c r="G212" s="23" t="n">
        <f aca="false">parametros_recargas!$E$90*'Plan mensual'!I213+parametros_recargas!$F$90*'Plan mensual'!I214+parametros_recargas!$G$90*'Plan mensual'!I215+parametros_recargas!$H$90*'Plan mensual'!I216+parametros_recargas!$I$90*'Plan mensual'!I217+parametros_recargas!$J$90*'Plan mensual'!I218+parametros_recargas!$K$90*'Plan mensual'!I219+parametros_recargas!$L$90*'Plan mensual'!I220</f>
        <v>834.803456587695</v>
      </c>
      <c r="H212" s="23" t="n">
        <f aca="false">parametros_recargas!$E$90*'Plan mensual'!J213+parametros_recargas!$F$90*'Plan mensual'!J214+parametros_recargas!$G$90*'Plan mensual'!J215+parametros_recargas!$H$90*'Plan mensual'!J216+parametros_recargas!$I$90*'Plan mensual'!J217+parametros_recargas!$J$90*'Plan mensual'!J218+parametros_recargas!$K$90*'Plan mensual'!J219+parametros_recargas!$L$90*'Plan mensual'!J220</f>
        <v>834.803456587695</v>
      </c>
      <c r="I212" s="23" t="n">
        <f aca="false">parametros_recargas!$E$90*'Plan mensual'!K213+parametros_recargas!$F$90*'Plan mensual'!K214+parametros_recargas!$G$90*'Plan mensual'!K215+parametros_recargas!$H$90*'Plan mensual'!K216+parametros_recargas!$I$90*'Plan mensual'!K217+parametros_recargas!$J$90*'Plan mensual'!K218+parametros_recargas!$K$90*'Plan mensual'!K219+parametros_recargas!$L$90*'Plan mensual'!K220</f>
        <v>834.803456587695</v>
      </c>
      <c r="J212" s="23" t="n">
        <f aca="false">parametros_recargas!$E$90*'Plan mensual'!L213+parametros_recargas!$F$90*'Plan mensual'!L214+parametros_recargas!$G$90*'Plan mensual'!L215+parametros_recargas!$H$90*'Plan mensual'!L216+parametros_recargas!$I$90*'Plan mensual'!L217+parametros_recargas!$J$90*'Plan mensual'!L218+parametros_recargas!$K$90*'Plan mensual'!L219+parametros_recargas!$L$90*'Plan mensual'!L220</f>
        <v>834.803456587695</v>
      </c>
      <c r="K212" s="23" t="n">
        <f aca="false">parametros_recargas!$E$90*'Plan mensual'!M213+parametros_recargas!$F$90*'Plan mensual'!M214+parametros_recargas!$G$90*'Plan mensual'!M215+parametros_recargas!$H$90*'Plan mensual'!M216+parametros_recargas!$I$90*'Plan mensual'!M217+parametros_recargas!$J$90*'Plan mensual'!M218+parametros_recargas!$K$90*'Plan mensual'!M219+parametros_recargas!$L$90*'Plan mensual'!M220</f>
        <v>834.803456587695</v>
      </c>
      <c r="L212" s="23" t="n">
        <f aca="false">parametros_recargas!$E$90*'Plan mensual'!N213+parametros_recargas!$F$90*'Plan mensual'!N214+parametros_recargas!$G$90*'Plan mensual'!N215+parametros_recargas!$H$90*'Plan mensual'!N216+parametros_recargas!$I$90*'Plan mensual'!N217+parametros_recargas!$J$90*'Plan mensual'!N218+parametros_recargas!$K$90*'Plan mensual'!N219+parametros_recargas!$L$90*'Plan mensual'!N220</f>
        <v>834.803456587695</v>
      </c>
      <c r="M212" s="23" t="n">
        <f aca="false">parametros_recargas!$E$90*'Plan mensual'!O213+parametros_recargas!$F$90*'Plan mensual'!O214+parametros_recargas!$G$90*'Plan mensual'!O215+parametros_recargas!$H$90*'Plan mensual'!O216+parametros_recargas!$I$90*'Plan mensual'!O217+parametros_recargas!$J$90*'Plan mensual'!O218+parametros_recargas!$K$90*'Plan mensual'!O219+parametros_recargas!$L$90*'Plan mensual'!O220</f>
        <v>834.803456587695</v>
      </c>
      <c r="N212" s="7" t="n">
        <f aca="false">SUM(B212:M212)</f>
        <v>10017.6414790523</v>
      </c>
      <c r="O212" s="24" t="n">
        <f aca="false">MAX(B212:M212)</f>
        <v>834.803456587695</v>
      </c>
      <c r="P212" s="15" t="n">
        <f aca="false">O212/parametros_recargas!$B$6</f>
        <v>5.5653563772513</v>
      </c>
    </row>
    <row r="213" customFormat="false" ht="15" hidden="false" customHeight="false" outlineLevel="0" collapsed="false">
      <c r="A213" s="12" t="str">
        <f aca="false">parametros_recargas!$B$91</f>
        <v>Carga de CO₂</v>
      </c>
      <c r="B213" s="23" t="n">
        <f aca="false">parametros_recargas!$E$91*'Plan mensual'!D213+parametros_recargas!$F$91*'Plan mensual'!D214+parametros_recargas!$G$91*'Plan mensual'!D215+parametros_recargas!$H$91*'Plan mensual'!D216+parametros_recargas!$I$91*'Plan mensual'!D217+parametros_recargas!$J$91*'Plan mensual'!D218+parametros_recargas!$K$91*'Plan mensual'!D219+parametros_recargas!$L$91*'Plan mensual'!D220</f>
        <v>461.047658479045</v>
      </c>
      <c r="C213" s="23" t="n">
        <f aca="false">parametros_recargas!$E$91*'Plan mensual'!E213+parametros_recargas!$F$91*'Plan mensual'!E214+parametros_recargas!$G$91*'Plan mensual'!E215+parametros_recargas!$H$91*'Plan mensual'!E216+parametros_recargas!$I$91*'Plan mensual'!E217+parametros_recargas!$J$91*'Plan mensual'!E218+parametros_recargas!$K$91*'Plan mensual'!E219+parametros_recargas!$L$91*'Plan mensual'!E220</f>
        <v>461.047658479045</v>
      </c>
      <c r="D213" s="23" t="n">
        <f aca="false">parametros_recargas!$E$91*'Plan mensual'!F213+parametros_recargas!$F$91*'Plan mensual'!F214+parametros_recargas!$G$91*'Plan mensual'!F215+parametros_recargas!$H$91*'Plan mensual'!F216+parametros_recargas!$I$91*'Plan mensual'!F217+parametros_recargas!$J$91*'Plan mensual'!F218+parametros_recargas!$K$91*'Plan mensual'!F219+parametros_recargas!$L$91*'Plan mensual'!F220</f>
        <v>461.047658479045</v>
      </c>
      <c r="E213" s="23" t="n">
        <f aca="false">parametros_recargas!$E$91*'Plan mensual'!G213+parametros_recargas!$F$91*'Plan mensual'!G214+parametros_recargas!$G$91*'Plan mensual'!G215+parametros_recargas!$H$91*'Plan mensual'!G216+parametros_recargas!$I$91*'Plan mensual'!G217+parametros_recargas!$J$91*'Plan mensual'!G218+parametros_recargas!$K$91*'Plan mensual'!G219+parametros_recargas!$L$91*'Plan mensual'!G220</f>
        <v>461.047658479045</v>
      </c>
      <c r="F213" s="23" t="n">
        <f aca="false">parametros_recargas!$E$91*'Plan mensual'!H213+parametros_recargas!$F$91*'Plan mensual'!H214+parametros_recargas!$G$91*'Plan mensual'!H215+parametros_recargas!$H$91*'Plan mensual'!H216+parametros_recargas!$I$91*'Plan mensual'!H217+parametros_recargas!$J$91*'Plan mensual'!H218+parametros_recargas!$K$91*'Plan mensual'!H219+parametros_recargas!$L$91*'Plan mensual'!H220</f>
        <v>461.047658479045</v>
      </c>
      <c r="G213" s="23" t="n">
        <f aca="false">parametros_recargas!$E$91*'Plan mensual'!I213+parametros_recargas!$F$91*'Plan mensual'!I214+parametros_recargas!$G$91*'Plan mensual'!I215+parametros_recargas!$H$91*'Plan mensual'!I216+parametros_recargas!$I$91*'Plan mensual'!I217+parametros_recargas!$J$91*'Plan mensual'!I218+parametros_recargas!$K$91*'Plan mensual'!I219+parametros_recargas!$L$91*'Plan mensual'!I220</f>
        <v>461.047658479045</v>
      </c>
      <c r="H213" s="23" t="n">
        <f aca="false">parametros_recargas!$E$91*'Plan mensual'!J213+parametros_recargas!$F$91*'Plan mensual'!J214+parametros_recargas!$G$91*'Plan mensual'!J215+parametros_recargas!$H$91*'Plan mensual'!J216+parametros_recargas!$I$91*'Plan mensual'!J217+parametros_recargas!$J$91*'Plan mensual'!J218+parametros_recargas!$K$91*'Plan mensual'!J219+parametros_recargas!$L$91*'Plan mensual'!J220</f>
        <v>461.047658479045</v>
      </c>
      <c r="I213" s="23" t="n">
        <f aca="false">parametros_recargas!$E$91*'Plan mensual'!K213+parametros_recargas!$F$91*'Plan mensual'!K214+parametros_recargas!$G$91*'Plan mensual'!K215+parametros_recargas!$H$91*'Plan mensual'!K216+parametros_recargas!$I$91*'Plan mensual'!K217+parametros_recargas!$J$91*'Plan mensual'!K218+parametros_recargas!$K$91*'Plan mensual'!K219+parametros_recargas!$L$91*'Plan mensual'!K220</f>
        <v>461.047658479045</v>
      </c>
      <c r="J213" s="23" t="n">
        <f aca="false">parametros_recargas!$E$91*'Plan mensual'!L213+parametros_recargas!$F$91*'Plan mensual'!L214+parametros_recargas!$G$91*'Plan mensual'!L215+parametros_recargas!$H$91*'Plan mensual'!L216+parametros_recargas!$I$91*'Plan mensual'!L217+parametros_recargas!$J$91*'Plan mensual'!L218+parametros_recargas!$K$91*'Plan mensual'!L219+parametros_recargas!$L$91*'Plan mensual'!L220</f>
        <v>461.047658479045</v>
      </c>
      <c r="K213" s="23" t="n">
        <f aca="false">parametros_recargas!$E$91*'Plan mensual'!M213+parametros_recargas!$F$91*'Plan mensual'!M214+parametros_recargas!$G$91*'Plan mensual'!M215+parametros_recargas!$H$91*'Plan mensual'!M216+parametros_recargas!$I$91*'Plan mensual'!M217+parametros_recargas!$J$91*'Plan mensual'!M218+parametros_recargas!$K$91*'Plan mensual'!M219+parametros_recargas!$L$91*'Plan mensual'!M220</f>
        <v>461.047658479045</v>
      </c>
      <c r="L213" s="23" t="n">
        <f aca="false">parametros_recargas!$E$91*'Plan mensual'!N213+parametros_recargas!$F$91*'Plan mensual'!N214+parametros_recargas!$G$91*'Plan mensual'!N215+parametros_recargas!$H$91*'Plan mensual'!N216+parametros_recargas!$I$91*'Plan mensual'!N217+parametros_recargas!$J$91*'Plan mensual'!N218+parametros_recargas!$K$91*'Plan mensual'!N219+parametros_recargas!$L$91*'Plan mensual'!N220</f>
        <v>461.047658479045</v>
      </c>
      <c r="M213" s="23" t="n">
        <f aca="false">parametros_recargas!$E$91*'Plan mensual'!O213+parametros_recargas!$F$91*'Plan mensual'!O214+parametros_recargas!$G$91*'Plan mensual'!O215+parametros_recargas!$H$91*'Plan mensual'!O216+parametros_recargas!$I$91*'Plan mensual'!O217+parametros_recargas!$J$91*'Plan mensual'!O218+parametros_recargas!$K$91*'Plan mensual'!O219+parametros_recargas!$L$91*'Plan mensual'!O220</f>
        <v>461.047658479045</v>
      </c>
      <c r="N213" s="7" t="n">
        <f aca="false">SUM(B213:M213)</f>
        <v>5532.57190174853</v>
      </c>
      <c r="O213" s="24" t="n">
        <f aca="false">MAX(B213:M213)</f>
        <v>461.047658479045</v>
      </c>
      <c r="P213" s="15" t="n">
        <f aca="false">O213/parametros_recargas!$B$6</f>
        <v>3.07365105652696</v>
      </c>
    </row>
    <row r="214" customFormat="false" ht="15" hidden="false" customHeight="false" outlineLevel="0" collapsed="false">
      <c r="A214" s="12" t="str">
        <f aca="false">parametros_recargas!$B$92</f>
        <v>Ensamblaje y marbete — recinto</v>
      </c>
      <c r="B214" s="23" t="n">
        <f aca="false">parametros_recargas!$E$92*'Plan mensual'!D213+parametros_recargas!$F$92*'Plan mensual'!D214+parametros_recargas!$G$92*'Plan mensual'!D215+parametros_recargas!$H$92*'Plan mensual'!D216+parametros_recargas!$I$92*'Plan mensual'!D217+parametros_recargas!$J$92*'Plan mensual'!D218+parametros_recargas!$K$92*'Plan mensual'!D219+parametros_recargas!$L$92*'Plan mensual'!D220</f>
        <v>15846.3577295488</v>
      </c>
      <c r="C214" s="23" t="n">
        <f aca="false">parametros_recargas!$E$92*'Plan mensual'!E213+parametros_recargas!$F$92*'Plan mensual'!E214+parametros_recargas!$G$92*'Plan mensual'!E215+parametros_recargas!$H$92*'Plan mensual'!E216+parametros_recargas!$I$92*'Plan mensual'!E217+parametros_recargas!$J$92*'Plan mensual'!E218+parametros_recargas!$K$92*'Plan mensual'!E219+parametros_recargas!$L$92*'Plan mensual'!E220</f>
        <v>15846.3577295488</v>
      </c>
      <c r="D214" s="23" t="n">
        <f aca="false">parametros_recargas!$E$92*'Plan mensual'!F213+parametros_recargas!$F$92*'Plan mensual'!F214+parametros_recargas!$G$92*'Plan mensual'!F215+parametros_recargas!$H$92*'Plan mensual'!F216+parametros_recargas!$I$92*'Plan mensual'!F217+parametros_recargas!$J$92*'Plan mensual'!F218+parametros_recargas!$K$92*'Plan mensual'!F219+parametros_recargas!$L$92*'Plan mensual'!F220</f>
        <v>15846.3577295488</v>
      </c>
      <c r="E214" s="23" t="n">
        <f aca="false">parametros_recargas!$E$92*'Plan mensual'!G213+parametros_recargas!$F$92*'Plan mensual'!G214+parametros_recargas!$G$92*'Plan mensual'!G215+parametros_recargas!$H$92*'Plan mensual'!G216+parametros_recargas!$I$92*'Plan mensual'!G217+parametros_recargas!$J$92*'Plan mensual'!G218+parametros_recargas!$K$92*'Plan mensual'!G219+parametros_recargas!$L$92*'Plan mensual'!G220</f>
        <v>15846.3577295488</v>
      </c>
      <c r="F214" s="23" t="n">
        <f aca="false">parametros_recargas!$E$92*'Plan mensual'!H213+parametros_recargas!$F$92*'Plan mensual'!H214+parametros_recargas!$G$92*'Plan mensual'!H215+parametros_recargas!$H$92*'Plan mensual'!H216+parametros_recargas!$I$92*'Plan mensual'!H217+parametros_recargas!$J$92*'Plan mensual'!H218+parametros_recargas!$K$92*'Plan mensual'!H219+parametros_recargas!$L$92*'Plan mensual'!H220</f>
        <v>15846.3577295488</v>
      </c>
      <c r="G214" s="23" t="n">
        <f aca="false">parametros_recargas!$E$92*'Plan mensual'!I213+parametros_recargas!$F$92*'Plan mensual'!I214+parametros_recargas!$G$92*'Plan mensual'!I215+parametros_recargas!$H$92*'Plan mensual'!I216+parametros_recargas!$I$92*'Plan mensual'!I217+parametros_recargas!$J$92*'Plan mensual'!I218+parametros_recargas!$K$92*'Plan mensual'!I219+parametros_recargas!$L$92*'Plan mensual'!I220</f>
        <v>15846.3577295488</v>
      </c>
      <c r="H214" s="23" t="n">
        <f aca="false">parametros_recargas!$E$92*'Plan mensual'!J213+parametros_recargas!$F$92*'Plan mensual'!J214+parametros_recargas!$G$92*'Plan mensual'!J215+parametros_recargas!$H$92*'Plan mensual'!J216+parametros_recargas!$I$92*'Plan mensual'!J217+parametros_recargas!$J$92*'Plan mensual'!J218+parametros_recargas!$K$92*'Plan mensual'!J219+parametros_recargas!$L$92*'Plan mensual'!J220</f>
        <v>15846.3577295488</v>
      </c>
      <c r="I214" s="23" t="n">
        <f aca="false">parametros_recargas!$E$92*'Plan mensual'!K213+parametros_recargas!$F$92*'Plan mensual'!K214+parametros_recargas!$G$92*'Plan mensual'!K215+parametros_recargas!$H$92*'Plan mensual'!K216+parametros_recargas!$I$92*'Plan mensual'!K217+parametros_recargas!$J$92*'Plan mensual'!K218+parametros_recargas!$K$92*'Plan mensual'!K219+parametros_recargas!$L$92*'Plan mensual'!K220</f>
        <v>15846.3577295488</v>
      </c>
      <c r="J214" s="23" t="n">
        <f aca="false">parametros_recargas!$E$92*'Plan mensual'!L213+parametros_recargas!$F$92*'Plan mensual'!L214+parametros_recargas!$G$92*'Plan mensual'!L215+parametros_recargas!$H$92*'Plan mensual'!L216+parametros_recargas!$I$92*'Plan mensual'!L217+parametros_recargas!$J$92*'Plan mensual'!L218+parametros_recargas!$K$92*'Plan mensual'!L219+parametros_recargas!$L$92*'Plan mensual'!L220</f>
        <v>15846.3577295488</v>
      </c>
      <c r="K214" s="23" t="n">
        <f aca="false">parametros_recargas!$E$92*'Plan mensual'!M213+parametros_recargas!$F$92*'Plan mensual'!M214+parametros_recargas!$G$92*'Plan mensual'!M215+parametros_recargas!$H$92*'Plan mensual'!M216+parametros_recargas!$I$92*'Plan mensual'!M217+parametros_recargas!$J$92*'Plan mensual'!M218+parametros_recargas!$K$92*'Plan mensual'!M219+parametros_recargas!$L$92*'Plan mensual'!M220</f>
        <v>15846.3577295488</v>
      </c>
      <c r="L214" s="23" t="n">
        <f aca="false">parametros_recargas!$E$92*'Plan mensual'!N213+parametros_recargas!$F$92*'Plan mensual'!N214+parametros_recargas!$G$92*'Plan mensual'!N215+parametros_recargas!$H$92*'Plan mensual'!N216+parametros_recargas!$I$92*'Plan mensual'!N217+parametros_recargas!$J$92*'Plan mensual'!N218+parametros_recargas!$K$92*'Plan mensual'!N219+parametros_recargas!$L$92*'Plan mensual'!N220</f>
        <v>15846.3577295488</v>
      </c>
      <c r="M214" s="23" t="n">
        <f aca="false">parametros_recargas!$E$92*'Plan mensual'!O213+parametros_recargas!$F$92*'Plan mensual'!O214+parametros_recargas!$G$92*'Plan mensual'!O215+parametros_recargas!$H$92*'Plan mensual'!O216+parametros_recargas!$I$92*'Plan mensual'!O217+parametros_recargas!$J$92*'Plan mensual'!O218+parametros_recargas!$K$92*'Plan mensual'!O219+parametros_recargas!$L$92*'Plan mensual'!O220</f>
        <v>15846.3577295488</v>
      </c>
      <c r="N214" s="7" t="n">
        <f aca="false">SUM(B214:M214)</f>
        <v>190156.292754585</v>
      </c>
      <c r="O214" s="24" t="n">
        <f aca="false">MAX(B214:M214)</f>
        <v>15846.3577295488</v>
      </c>
      <c r="P214" s="15" t="n">
        <f aca="false">O214/parametros_recargas!$B$6</f>
        <v>105.642384863658</v>
      </c>
    </row>
    <row r="215" customFormat="false" ht="15" hidden="false" customHeight="false" outlineLevel="0" collapsed="false">
      <c r="A215" s="12" t="str">
        <f aca="false">parametros_recargas!$B$93</f>
        <v>Presurización — recinto</v>
      </c>
      <c r="B215" s="23" t="n">
        <f aca="false">parametros_recargas!$E$93*'Plan mensual'!D213+parametros_recargas!$F$93*'Plan mensual'!D214+parametros_recargas!$G$93*'Plan mensual'!D215+parametros_recargas!$H$93*'Plan mensual'!D216+parametros_recargas!$I$93*'Plan mensual'!D217+parametros_recargas!$J$93*'Plan mensual'!D218+parametros_recargas!$K$93*'Plan mensual'!D219+parametros_recargas!$L$93*'Plan mensual'!D220</f>
        <v>15846.3577295488</v>
      </c>
      <c r="C215" s="23" t="n">
        <f aca="false">parametros_recargas!$E$93*'Plan mensual'!E213+parametros_recargas!$F$93*'Plan mensual'!E214+parametros_recargas!$G$93*'Plan mensual'!E215+parametros_recargas!$H$93*'Plan mensual'!E216+parametros_recargas!$I$93*'Plan mensual'!E217+parametros_recargas!$J$93*'Plan mensual'!E218+parametros_recargas!$K$93*'Plan mensual'!E219+parametros_recargas!$L$93*'Plan mensual'!E220</f>
        <v>15846.3577295488</v>
      </c>
      <c r="D215" s="23" t="n">
        <f aca="false">parametros_recargas!$E$93*'Plan mensual'!F213+parametros_recargas!$F$93*'Plan mensual'!F214+parametros_recargas!$G$93*'Plan mensual'!F215+parametros_recargas!$H$93*'Plan mensual'!F216+parametros_recargas!$I$93*'Plan mensual'!F217+parametros_recargas!$J$93*'Plan mensual'!F218+parametros_recargas!$K$93*'Plan mensual'!F219+parametros_recargas!$L$93*'Plan mensual'!F220</f>
        <v>15846.3577295488</v>
      </c>
      <c r="E215" s="23" t="n">
        <f aca="false">parametros_recargas!$E$93*'Plan mensual'!G213+parametros_recargas!$F$93*'Plan mensual'!G214+parametros_recargas!$G$93*'Plan mensual'!G215+parametros_recargas!$H$93*'Plan mensual'!G216+parametros_recargas!$I$93*'Plan mensual'!G217+parametros_recargas!$J$93*'Plan mensual'!G218+parametros_recargas!$K$93*'Plan mensual'!G219+parametros_recargas!$L$93*'Plan mensual'!G220</f>
        <v>15846.3577295488</v>
      </c>
      <c r="F215" s="23" t="n">
        <f aca="false">parametros_recargas!$E$93*'Plan mensual'!H213+parametros_recargas!$F$93*'Plan mensual'!H214+parametros_recargas!$G$93*'Plan mensual'!H215+parametros_recargas!$H$93*'Plan mensual'!H216+parametros_recargas!$I$93*'Plan mensual'!H217+parametros_recargas!$J$93*'Plan mensual'!H218+parametros_recargas!$K$93*'Plan mensual'!H219+parametros_recargas!$L$93*'Plan mensual'!H220</f>
        <v>15846.3577295488</v>
      </c>
      <c r="G215" s="23" t="n">
        <f aca="false">parametros_recargas!$E$93*'Plan mensual'!I213+parametros_recargas!$F$93*'Plan mensual'!I214+parametros_recargas!$G$93*'Plan mensual'!I215+parametros_recargas!$H$93*'Plan mensual'!I216+parametros_recargas!$I$93*'Plan mensual'!I217+parametros_recargas!$J$93*'Plan mensual'!I218+parametros_recargas!$K$93*'Plan mensual'!I219+parametros_recargas!$L$93*'Plan mensual'!I220</f>
        <v>15846.3577295488</v>
      </c>
      <c r="H215" s="23" t="n">
        <f aca="false">parametros_recargas!$E$93*'Plan mensual'!J213+parametros_recargas!$F$93*'Plan mensual'!J214+parametros_recargas!$G$93*'Plan mensual'!J215+parametros_recargas!$H$93*'Plan mensual'!J216+parametros_recargas!$I$93*'Plan mensual'!J217+parametros_recargas!$J$93*'Plan mensual'!J218+parametros_recargas!$K$93*'Plan mensual'!J219+parametros_recargas!$L$93*'Plan mensual'!J220</f>
        <v>15846.3577295488</v>
      </c>
      <c r="I215" s="23" t="n">
        <f aca="false">parametros_recargas!$E$93*'Plan mensual'!K213+parametros_recargas!$F$93*'Plan mensual'!K214+parametros_recargas!$G$93*'Plan mensual'!K215+parametros_recargas!$H$93*'Plan mensual'!K216+parametros_recargas!$I$93*'Plan mensual'!K217+parametros_recargas!$J$93*'Plan mensual'!K218+parametros_recargas!$K$93*'Plan mensual'!K219+parametros_recargas!$L$93*'Plan mensual'!K220</f>
        <v>15846.3577295488</v>
      </c>
      <c r="J215" s="23" t="n">
        <f aca="false">parametros_recargas!$E$93*'Plan mensual'!L213+parametros_recargas!$F$93*'Plan mensual'!L214+parametros_recargas!$G$93*'Plan mensual'!L215+parametros_recargas!$H$93*'Plan mensual'!L216+parametros_recargas!$I$93*'Plan mensual'!L217+parametros_recargas!$J$93*'Plan mensual'!L218+parametros_recargas!$K$93*'Plan mensual'!L219+parametros_recargas!$L$93*'Plan mensual'!L220</f>
        <v>15846.3577295488</v>
      </c>
      <c r="K215" s="23" t="n">
        <f aca="false">parametros_recargas!$E$93*'Plan mensual'!M213+parametros_recargas!$F$93*'Plan mensual'!M214+parametros_recargas!$G$93*'Plan mensual'!M215+parametros_recargas!$H$93*'Plan mensual'!M216+parametros_recargas!$I$93*'Plan mensual'!M217+parametros_recargas!$J$93*'Plan mensual'!M218+parametros_recargas!$K$93*'Plan mensual'!M219+parametros_recargas!$L$93*'Plan mensual'!M220</f>
        <v>15846.3577295488</v>
      </c>
      <c r="L215" s="23" t="n">
        <f aca="false">parametros_recargas!$E$93*'Plan mensual'!N213+parametros_recargas!$F$93*'Plan mensual'!N214+parametros_recargas!$G$93*'Plan mensual'!N215+parametros_recargas!$H$93*'Plan mensual'!N216+parametros_recargas!$I$93*'Plan mensual'!N217+parametros_recargas!$J$93*'Plan mensual'!N218+parametros_recargas!$K$93*'Plan mensual'!N219+parametros_recargas!$L$93*'Plan mensual'!N220</f>
        <v>15846.3577295488</v>
      </c>
      <c r="M215" s="23" t="n">
        <f aca="false">parametros_recargas!$E$93*'Plan mensual'!O213+parametros_recargas!$F$93*'Plan mensual'!O214+parametros_recargas!$G$93*'Plan mensual'!O215+parametros_recargas!$H$93*'Plan mensual'!O216+parametros_recargas!$I$93*'Plan mensual'!O217+parametros_recargas!$J$93*'Plan mensual'!O218+parametros_recargas!$K$93*'Plan mensual'!O219+parametros_recargas!$L$93*'Plan mensual'!O220</f>
        <v>15846.3577295488</v>
      </c>
      <c r="N215" s="7" t="n">
        <f aca="false">SUM(B215:M215)</f>
        <v>190156.292754585</v>
      </c>
      <c r="O215" s="24" t="n">
        <f aca="false">MAX(B215:M215)</f>
        <v>15846.3577295488</v>
      </c>
      <c r="P215" s="15" t="n">
        <f aca="false">O215/parametros_recargas!$B$6</f>
        <v>105.642384863658</v>
      </c>
    </row>
    <row r="216" customFormat="false" ht="15" hidden="false" customHeight="false" outlineLevel="0" collapsed="false">
      <c r="A216" s="12" t="str">
        <f aca="false">parametros_recargas!$B$94</f>
        <v>Ensamblaje y presurización — zona general</v>
      </c>
      <c r="B216" s="23" t="n">
        <f aca="false">parametros_recargas!$E$94*'Plan mensual'!D213+parametros_recargas!$F$94*'Plan mensual'!D214+parametros_recargas!$G$94*'Plan mensual'!D215+parametros_recargas!$H$94*'Plan mensual'!D216+parametros_recargas!$I$94*'Plan mensual'!D217+parametros_recargas!$J$94*'Plan mensual'!D218+parametros_recargas!$K$94*'Plan mensual'!D219+parametros_recargas!$L$94*'Plan mensual'!D220</f>
        <v>1234.37460765436</v>
      </c>
      <c r="C216" s="23" t="n">
        <f aca="false">parametros_recargas!$E$94*'Plan mensual'!E213+parametros_recargas!$F$94*'Plan mensual'!E214+parametros_recargas!$G$94*'Plan mensual'!E215+parametros_recargas!$H$94*'Plan mensual'!E216+parametros_recargas!$I$94*'Plan mensual'!E217+parametros_recargas!$J$94*'Plan mensual'!E218+parametros_recargas!$K$94*'Plan mensual'!E219+parametros_recargas!$L$94*'Plan mensual'!E220</f>
        <v>1234.37460765436</v>
      </c>
      <c r="D216" s="23" t="n">
        <f aca="false">parametros_recargas!$E$94*'Plan mensual'!F213+parametros_recargas!$F$94*'Plan mensual'!F214+parametros_recargas!$G$94*'Plan mensual'!F215+parametros_recargas!$H$94*'Plan mensual'!F216+parametros_recargas!$I$94*'Plan mensual'!F217+parametros_recargas!$J$94*'Plan mensual'!F218+parametros_recargas!$K$94*'Plan mensual'!F219+parametros_recargas!$L$94*'Plan mensual'!F220</f>
        <v>1234.37460765436</v>
      </c>
      <c r="E216" s="23" t="n">
        <f aca="false">parametros_recargas!$E$94*'Plan mensual'!G213+parametros_recargas!$F$94*'Plan mensual'!G214+parametros_recargas!$G$94*'Plan mensual'!G215+parametros_recargas!$H$94*'Plan mensual'!G216+parametros_recargas!$I$94*'Plan mensual'!G217+parametros_recargas!$J$94*'Plan mensual'!G218+parametros_recargas!$K$94*'Plan mensual'!G219+parametros_recargas!$L$94*'Plan mensual'!G220</f>
        <v>1234.37460765436</v>
      </c>
      <c r="F216" s="23" t="n">
        <f aca="false">parametros_recargas!$E$94*'Plan mensual'!H213+parametros_recargas!$F$94*'Plan mensual'!H214+parametros_recargas!$G$94*'Plan mensual'!H215+parametros_recargas!$H$94*'Plan mensual'!H216+parametros_recargas!$I$94*'Plan mensual'!H217+parametros_recargas!$J$94*'Plan mensual'!H218+parametros_recargas!$K$94*'Plan mensual'!H219+parametros_recargas!$L$94*'Plan mensual'!H220</f>
        <v>1234.37460765436</v>
      </c>
      <c r="G216" s="23" t="n">
        <f aca="false">parametros_recargas!$E$94*'Plan mensual'!I213+parametros_recargas!$F$94*'Plan mensual'!I214+parametros_recargas!$G$94*'Plan mensual'!I215+parametros_recargas!$H$94*'Plan mensual'!I216+parametros_recargas!$I$94*'Plan mensual'!I217+parametros_recargas!$J$94*'Plan mensual'!I218+parametros_recargas!$K$94*'Plan mensual'!I219+parametros_recargas!$L$94*'Plan mensual'!I220</f>
        <v>1234.37460765436</v>
      </c>
      <c r="H216" s="23" t="n">
        <f aca="false">parametros_recargas!$E$94*'Plan mensual'!J213+parametros_recargas!$F$94*'Plan mensual'!J214+parametros_recargas!$G$94*'Plan mensual'!J215+parametros_recargas!$H$94*'Plan mensual'!J216+parametros_recargas!$I$94*'Plan mensual'!J217+parametros_recargas!$J$94*'Plan mensual'!J218+parametros_recargas!$K$94*'Plan mensual'!J219+parametros_recargas!$L$94*'Plan mensual'!J220</f>
        <v>1234.37460765436</v>
      </c>
      <c r="I216" s="23" t="n">
        <f aca="false">parametros_recargas!$E$94*'Plan mensual'!K213+parametros_recargas!$F$94*'Plan mensual'!K214+parametros_recargas!$G$94*'Plan mensual'!K215+parametros_recargas!$H$94*'Plan mensual'!K216+parametros_recargas!$I$94*'Plan mensual'!K217+parametros_recargas!$J$94*'Plan mensual'!K218+parametros_recargas!$K$94*'Plan mensual'!K219+parametros_recargas!$L$94*'Plan mensual'!K220</f>
        <v>1234.37460765436</v>
      </c>
      <c r="J216" s="23" t="n">
        <f aca="false">parametros_recargas!$E$94*'Plan mensual'!L213+parametros_recargas!$F$94*'Plan mensual'!L214+parametros_recargas!$G$94*'Plan mensual'!L215+parametros_recargas!$H$94*'Plan mensual'!L216+parametros_recargas!$I$94*'Plan mensual'!L217+parametros_recargas!$J$94*'Plan mensual'!L218+parametros_recargas!$K$94*'Plan mensual'!L219+parametros_recargas!$L$94*'Plan mensual'!L220</f>
        <v>1234.37460765436</v>
      </c>
      <c r="K216" s="23" t="n">
        <f aca="false">parametros_recargas!$E$94*'Plan mensual'!M213+parametros_recargas!$F$94*'Plan mensual'!M214+parametros_recargas!$G$94*'Plan mensual'!M215+parametros_recargas!$H$94*'Plan mensual'!M216+parametros_recargas!$I$94*'Plan mensual'!M217+parametros_recargas!$J$94*'Plan mensual'!M218+parametros_recargas!$K$94*'Plan mensual'!M219+parametros_recargas!$L$94*'Plan mensual'!M220</f>
        <v>1234.37460765436</v>
      </c>
      <c r="L216" s="23" t="n">
        <f aca="false">parametros_recargas!$E$94*'Plan mensual'!N213+parametros_recargas!$F$94*'Plan mensual'!N214+parametros_recargas!$G$94*'Plan mensual'!N215+parametros_recargas!$H$94*'Plan mensual'!N216+parametros_recargas!$I$94*'Plan mensual'!N217+parametros_recargas!$J$94*'Plan mensual'!N218+parametros_recargas!$K$94*'Plan mensual'!N219+parametros_recargas!$L$94*'Plan mensual'!N220</f>
        <v>1234.37460765436</v>
      </c>
      <c r="M216" s="23" t="n">
        <f aca="false">parametros_recargas!$E$94*'Plan mensual'!O213+parametros_recargas!$F$94*'Plan mensual'!O214+parametros_recargas!$G$94*'Plan mensual'!O215+parametros_recargas!$H$94*'Plan mensual'!O216+parametros_recargas!$I$94*'Plan mensual'!O217+parametros_recargas!$J$94*'Plan mensual'!O218+parametros_recargas!$K$94*'Plan mensual'!O219+parametros_recargas!$L$94*'Plan mensual'!O220</f>
        <v>1234.37460765436</v>
      </c>
      <c r="N216" s="7" t="n">
        <f aca="false">SUM(B216:M216)</f>
        <v>14812.4952918523</v>
      </c>
      <c r="O216" s="24" t="n">
        <f aca="false">MAX(B216:M216)</f>
        <v>1234.37460765436</v>
      </c>
      <c r="P216" s="15" t="n">
        <f aca="false">O216/parametros_recargas!$B$6</f>
        <v>8.22916405102908</v>
      </c>
    </row>
    <row r="217" customFormat="false" ht="15" hidden="false" customHeight="false" outlineLevel="0" collapsed="false">
      <c r="A217" s="12" t="str">
        <f aca="false">parametros_recargas!$B$95</f>
        <v>Carga y presurización de halogenado</v>
      </c>
      <c r="B217" s="23" t="n">
        <f aca="false">parametros_recargas!$E$95*'Plan mensual'!D213+parametros_recargas!$F$95*'Plan mensual'!D214+parametros_recargas!$G$95*'Plan mensual'!D215+parametros_recargas!$H$95*'Plan mensual'!D216+parametros_recargas!$I$95*'Plan mensual'!D217+parametros_recargas!$J$95*'Plan mensual'!D218+parametros_recargas!$K$95*'Plan mensual'!D219+parametros_recargas!$L$95*'Plan mensual'!D220</f>
        <v>15.3647690007956</v>
      </c>
      <c r="C217" s="23" t="n">
        <f aca="false">parametros_recargas!$E$95*'Plan mensual'!E213+parametros_recargas!$F$95*'Plan mensual'!E214+parametros_recargas!$G$95*'Plan mensual'!E215+parametros_recargas!$H$95*'Plan mensual'!E216+parametros_recargas!$I$95*'Plan mensual'!E217+parametros_recargas!$J$95*'Plan mensual'!E218+parametros_recargas!$K$95*'Plan mensual'!E219+parametros_recargas!$L$95*'Plan mensual'!E220</f>
        <v>15.3647690007956</v>
      </c>
      <c r="D217" s="23" t="n">
        <f aca="false">parametros_recargas!$E$95*'Plan mensual'!F213+parametros_recargas!$F$95*'Plan mensual'!F214+parametros_recargas!$G$95*'Plan mensual'!F215+parametros_recargas!$H$95*'Plan mensual'!F216+parametros_recargas!$I$95*'Plan mensual'!F217+parametros_recargas!$J$95*'Plan mensual'!F218+parametros_recargas!$K$95*'Plan mensual'!F219+parametros_recargas!$L$95*'Plan mensual'!F220</f>
        <v>15.3647690007956</v>
      </c>
      <c r="E217" s="23" t="n">
        <f aca="false">parametros_recargas!$E$95*'Plan mensual'!G213+parametros_recargas!$F$95*'Plan mensual'!G214+parametros_recargas!$G$95*'Plan mensual'!G215+parametros_recargas!$H$95*'Plan mensual'!G216+parametros_recargas!$I$95*'Plan mensual'!G217+parametros_recargas!$J$95*'Plan mensual'!G218+parametros_recargas!$K$95*'Plan mensual'!G219+parametros_recargas!$L$95*'Plan mensual'!G220</f>
        <v>15.3647690007956</v>
      </c>
      <c r="F217" s="23" t="n">
        <f aca="false">parametros_recargas!$E$95*'Plan mensual'!H213+parametros_recargas!$F$95*'Plan mensual'!H214+parametros_recargas!$G$95*'Plan mensual'!H215+parametros_recargas!$H$95*'Plan mensual'!H216+parametros_recargas!$I$95*'Plan mensual'!H217+parametros_recargas!$J$95*'Plan mensual'!H218+parametros_recargas!$K$95*'Plan mensual'!H219+parametros_recargas!$L$95*'Plan mensual'!H220</f>
        <v>15.3647690007956</v>
      </c>
      <c r="G217" s="23" t="n">
        <f aca="false">parametros_recargas!$E$95*'Plan mensual'!I213+parametros_recargas!$F$95*'Plan mensual'!I214+parametros_recargas!$G$95*'Plan mensual'!I215+parametros_recargas!$H$95*'Plan mensual'!I216+parametros_recargas!$I$95*'Plan mensual'!I217+parametros_recargas!$J$95*'Plan mensual'!I218+parametros_recargas!$K$95*'Plan mensual'!I219+parametros_recargas!$L$95*'Plan mensual'!I220</f>
        <v>15.3647690007956</v>
      </c>
      <c r="H217" s="23" t="n">
        <f aca="false">parametros_recargas!$E$95*'Plan mensual'!J213+parametros_recargas!$F$95*'Plan mensual'!J214+parametros_recargas!$G$95*'Plan mensual'!J215+parametros_recargas!$H$95*'Plan mensual'!J216+parametros_recargas!$I$95*'Plan mensual'!J217+parametros_recargas!$J$95*'Plan mensual'!J218+parametros_recargas!$K$95*'Plan mensual'!J219+parametros_recargas!$L$95*'Plan mensual'!J220</f>
        <v>15.3647690007956</v>
      </c>
      <c r="I217" s="23" t="n">
        <f aca="false">parametros_recargas!$E$95*'Plan mensual'!K213+parametros_recargas!$F$95*'Plan mensual'!K214+parametros_recargas!$G$95*'Plan mensual'!K215+parametros_recargas!$H$95*'Plan mensual'!K216+parametros_recargas!$I$95*'Plan mensual'!K217+parametros_recargas!$J$95*'Plan mensual'!K218+parametros_recargas!$K$95*'Plan mensual'!K219+parametros_recargas!$L$95*'Plan mensual'!K220</f>
        <v>15.3647690007956</v>
      </c>
      <c r="J217" s="23" t="n">
        <f aca="false">parametros_recargas!$E$95*'Plan mensual'!L213+parametros_recargas!$F$95*'Plan mensual'!L214+parametros_recargas!$G$95*'Plan mensual'!L215+parametros_recargas!$H$95*'Plan mensual'!L216+parametros_recargas!$I$95*'Plan mensual'!L217+parametros_recargas!$J$95*'Plan mensual'!L218+parametros_recargas!$K$95*'Plan mensual'!L219+parametros_recargas!$L$95*'Plan mensual'!L220</f>
        <v>15.3647690007956</v>
      </c>
      <c r="K217" s="23" t="n">
        <f aca="false">parametros_recargas!$E$95*'Plan mensual'!M213+parametros_recargas!$F$95*'Plan mensual'!M214+parametros_recargas!$G$95*'Plan mensual'!M215+parametros_recargas!$H$95*'Plan mensual'!M216+parametros_recargas!$I$95*'Plan mensual'!M217+parametros_recargas!$J$95*'Plan mensual'!M218+parametros_recargas!$K$95*'Plan mensual'!M219+parametros_recargas!$L$95*'Plan mensual'!M220</f>
        <v>15.3647690007956</v>
      </c>
      <c r="L217" s="23" t="n">
        <f aca="false">parametros_recargas!$E$95*'Plan mensual'!N213+parametros_recargas!$F$95*'Plan mensual'!N214+parametros_recargas!$G$95*'Plan mensual'!N215+parametros_recargas!$H$95*'Plan mensual'!N216+parametros_recargas!$I$95*'Plan mensual'!N217+parametros_recargas!$J$95*'Plan mensual'!N218+parametros_recargas!$K$95*'Plan mensual'!N219+parametros_recargas!$L$95*'Plan mensual'!N220</f>
        <v>15.3647690007956</v>
      </c>
      <c r="M217" s="23" t="n">
        <f aca="false">parametros_recargas!$E$95*'Plan mensual'!O213+parametros_recargas!$F$95*'Plan mensual'!O214+parametros_recargas!$G$95*'Plan mensual'!O215+parametros_recargas!$H$95*'Plan mensual'!O216+parametros_recargas!$I$95*'Plan mensual'!O217+parametros_recargas!$J$95*'Plan mensual'!O218+parametros_recargas!$K$95*'Plan mensual'!O219+parametros_recargas!$L$95*'Plan mensual'!O220</f>
        <v>15.3647690007956</v>
      </c>
      <c r="N217" s="7" t="n">
        <f aca="false">SUM(B217:M217)</f>
        <v>184.377228009547</v>
      </c>
      <c r="O217" s="24" t="n">
        <f aca="false">MAX(B217:M217)</f>
        <v>15.3647690007956</v>
      </c>
      <c r="P217" s="15" t="n">
        <f aca="false">O217/parametros_recargas!$B$6</f>
        <v>0.102431793338637</v>
      </c>
    </row>
    <row r="218" customFormat="false" ht="15" hidden="false" customHeight="false" outlineLevel="0" collapsed="false">
      <c r="A218" s="12" t="str">
        <f aca="false">parametros_recargas!$B$96</f>
        <v>Control de peso (CO₂ y halogenados sin recarga)</v>
      </c>
      <c r="B218" s="23" t="n">
        <f aca="false">parametros_recargas!$E$96*'Plan mensual'!D213+parametros_recargas!$F$96*'Plan mensual'!D214+parametros_recargas!$G$96*'Plan mensual'!D215+parametros_recargas!$H$96*'Plan mensual'!D216+parametros_recargas!$I$96*'Plan mensual'!D217+parametros_recargas!$J$96*'Plan mensual'!D218+parametros_recargas!$K$96*'Plan mensual'!D219+parametros_recargas!$L$96*'Plan mensual'!D220</f>
        <v>1121.87217678682</v>
      </c>
      <c r="C218" s="23" t="n">
        <f aca="false">parametros_recargas!$E$96*'Plan mensual'!E213+parametros_recargas!$F$96*'Plan mensual'!E214+parametros_recargas!$G$96*'Plan mensual'!E215+parametros_recargas!$H$96*'Plan mensual'!E216+parametros_recargas!$I$96*'Plan mensual'!E217+parametros_recargas!$J$96*'Plan mensual'!E218+parametros_recargas!$K$96*'Plan mensual'!E219+parametros_recargas!$L$96*'Plan mensual'!E220</f>
        <v>1121.87217678682</v>
      </c>
      <c r="D218" s="23" t="n">
        <f aca="false">parametros_recargas!$E$96*'Plan mensual'!F213+parametros_recargas!$F$96*'Plan mensual'!F214+parametros_recargas!$G$96*'Plan mensual'!F215+parametros_recargas!$H$96*'Plan mensual'!F216+parametros_recargas!$I$96*'Plan mensual'!F217+parametros_recargas!$J$96*'Plan mensual'!F218+parametros_recargas!$K$96*'Plan mensual'!F219+parametros_recargas!$L$96*'Plan mensual'!F220</f>
        <v>1121.87217678682</v>
      </c>
      <c r="E218" s="23" t="n">
        <f aca="false">parametros_recargas!$E$96*'Plan mensual'!G213+parametros_recargas!$F$96*'Plan mensual'!G214+parametros_recargas!$G$96*'Plan mensual'!G215+parametros_recargas!$H$96*'Plan mensual'!G216+parametros_recargas!$I$96*'Plan mensual'!G217+parametros_recargas!$J$96*'Plan mensual'!G218+parametros_recargas!$K$96*'Plan mensual'!G219+parametros_recargas!$L$96*'Plan mensual'!G220</f>
        <v>1121.87217678682</v>
      </c>
      <c r="F218" s="23" t="n">
        <f aca="false">parametros_recargas!$E$96*'Plan mensual'!H213+parametros_recargas!$F$96*'Plan mensual'!H214+parametros_recargas!$G$96*'Plan mensual'!H215+parametros_recargas!$H$96*'Plan mensual'!H216+parametros_recargas!$I$96*'Plan mensual'!H217+parametros_recargas!$J$96*'Plan mensual'!H218+parametros_recargas!$K$96*'Plan mensual'!H219+parametros_recargas!$L$96*'Plan mensual'!H220</f>
        <v>1121.87217678682</v>
      </c>
      <c r="G218" s="23" t="n">
        <f aca="false">parametros_recargas!$E$96*'Plan mensual'!I213+parametros_recargas!$F$96*'Plan mensual'!I214+parametros_recargas!$G$96*'Plan mensual'!I215+parametros_recargas!$H$96*'Plan mensual'!I216+parametros_recargas!$I$96*'Plan mensual'!I217+parametros_recargas!$J$96*'Plan mensual'!I218+parametros_recargas!$K$96*'Plan mensual'!I219+parametros_recargas!$L$96*'Plan mensual'!I220</f>
        <v>1121.87217678682</v>
      </c>
      <c r="H218" s="23" t="n">
        <f aca="false">parametros_recargas!$E$96*'Plan mensual'!J213+parametros_recargas!$F$96*'Plan mensual'!J214+parametros_recargas!$G$96*'Plan mensual'!J215+parametros_recargas!$H$96*'Plan mensual'!J216+parametros_recargas!$I$96*'Plan mensual'!J217+parametros_recargas!$J$96*'Plan mensual'!J218+parametros_recargas!$K$96*'Plan mensual'!J219+parametros_recargas!$L$96*'Plan mensual'!J220</f>
        <v>1121.87217678682</v>
      </c>
      <c r="I218" s="23" t="n">
        <f aca="false">parametros_recargas!$E$96*'Plan mensual'!K213+parametros_recargas!$F$96*'Plan mensual'!K214+parametros_recargas!$G$96*'Plan mensual'!K215+parametros_recargas!$H$96*'Plan mensual'!K216+parametros_recargas!$I$96*'Plan mensual'!K217+parametros_recargas!$J$96*'Plan mensual'!K218+parametros_recargas!$K$96*'Plan mensual'!K219+parametros_recargas!$L$96*'Plan mensual'!K220</f>
        <v>1121.87217678682</v>
      </c>
      <c r="J218" s="23" t="n">
        <f aca="false">parametros_recargas!$E$96*'Plan mensual'!L213+parametros_recargas!$F$96*'Plan mensual'!L214+parametros_recargas!$G$96*'Plan mensual'!L215+parametros_recargas!$H$96*'Plan mensual'!L216+parametros_recargas!$I$96*'Plan mensual'!L217+parametros_recargas!$J$96*'Plan mensual'!L218+parametros_recargas!$K$96*'Plan mensual'!L219+parametros_recargas!$L$96*'Plan mensual'!L220</f>
        <v>1121.87217678682</v>
      </c>
      <c r="K218" s="23" t="n">
        <f aca="false">parametros_recargas!$E$96*'Plan mensual'!M213+parametros_recargas!$F$96*'Plan mensual'!M214+parametros_recargas!$G$96*'Plan mensual'!M215+parametros_recargas!$H$96*'Plan mensual'!M216+parametros_recargas!$I$96*'Plan mensual'!M217+parametros_recargas!$J$96*'Plan mensual'!M218+parametros_recargas!$K$96*'Plan mensual'!M219+parametros_recargas!$L$96*'Plan mensual'!M220</f>
        <v>1121.87217678682</v>
      </c>
      <c r="L218" s="23" t="n">
        <f aca="false">parametros_recargas!$E$96*'Plan mensual'!N213+parametros_recargas!$F$96*'Plan mensual'!N214+parametros_recargas!$G$96*'Plan mensual'!N215+parametros_recargas!$H$96*'Plan mensual'!N216+parametros_recargas!$I$96*'Plan mensual'!N217+parametros_recargas!$J$96*'Plan mensual'!N218+parametros_recargas!$K$96*'Plan mensual'!N219+parametros_recargas!$L$96*'Plan mensual'!N220</f>
        <v>1121.87217678682</v>
      </c>
      <c r="M218" s="23" t="n">
        <f aca="false">parametros_recargas!$E$96*'Plan mensual'!O213+parametros_recargas!$F$96*'Plan mensual'!O214+parametros_recargas!$G$96*'Plan mensual'!O215+parametros_recargas!$H$96*'Plan mensual'!O216+parametros_recargas!$I$96*'Plan mensual'!O217+parametros_recargas!$J$96*'Plan mensual'!O218+parametros_recargas!$K$96*'Plan mensual'!O219+parametros_recargas!$L$96*'Plan mensual'!O220</f>
        <v>1121.87217678682</v>
      </c>
      <c r="N218" s="7" t="n">
        <f aca="false">SUM(B218:M218)</f>
        <v>13462.4661214419</v>
      </c>
      <c r="O218" s="24" t="n">
        <f aca="false">MAX(B218:M218)</f>
        <v>1121.87217678682</v>
      </c>
      <c r="P218" s="15" t="n">
        <f aca="false">O218/parametros_recargas!$B$6</f>
        <v>7.47914784524549</v>
      </c>
    </row>
    <row r="219" customFormat="false" ht="15" hidden="false" customHeight="false" outlineLevel="0" collapsed="false">
      <c r="A219" s="12" t="str">
        <f aca="false">parametros_recargas!$B$97</f>
        <v>Ensayo de pérdidas</v>
      </c>
      <c r="B219" s="23" t="n">
        <f aca="false">parametros_recargas!$E$97*'Plan mensual'!D213+parametros_recargas!$F$97*'Plan mensual'!D214+parametros_recargas!$G$97*'Plan mensual'!D215+parametros_recargas!$H$97*'Plan mensual'!D216+parametros_recargas!$I$97*'Plan mensual'!D217+parametros_recargas!$J$97*'Plan mensual'!D218+parametros_recargas!$K$97*'Plan mensual'!D219+parametros_recargas!$L$97*'Plan mensual'!D220</f>
        <v>18279.4457904031</v>
      </c>
      <c r="C219" s="23" t="n">
        <f aca="false">parametros_recargas!$E$97*'Plan mensual'!E213+parametros_recargas!$F$97*'Plan mensual'!E214+parametros_recargas!$G$97*'Plan mensual'!E215+parametros_recargas!$H$97*'Plan mensual'!E216+parametros_recargas!$I$97*'Plan mensual'!E217+parametros_recargas!$J$97*'Plan mensual'!E218+parametros_recargas!$K$97*'Plan mensual'!E219+parametros_recargas!$L$97*'Plan mensual'!E220</f>
        <v>18279.4457904031</v>
      </c>
      <c r="D219" s="23" t="n">
        <f aca="false">parametros_recargas!$E$97*'Plan mensual'!F213+parametros_recargas!$F$97*'Plan mensual'!F214+parametros_recargas!$G$97*'Plan mensual'!F215+parametros_recargas!$H$97*'Plan mensual'!F216+parametros_recargas!$I$97*'Plan mensual'!F217+parametros_recargas!$J$97*'Plan mensual'!F218+parametros_recargas!$K$97*'Plan mensual'!F219+parametros_recargas!$L$97*'Plan mensual'!F220</f>
        <v>18279.4457904031</v>
      </c>
      <c r="E219" s="23" t="n">
        <f aca="false">parametros_recargas!$E$97*'Plan mensual'!G213+parametros_recargas!$F$97*'Plan mensual'!G214+parametros_recargas!$G$97*'Plan mensual'!G215+parametros_recargas!$H$97*'Plan mensual'!G216+parametros_recargas!$I$97*'Plan mensual'!G217+parametros_recargas!$J$97*'Plan mensual'!G218+parametros_recargas!$K$97*'Plan mensual'!G219+parametros_recargas!$L$97*'Plan mensual'!G220</f>
        <v>18279.4457904031</v>
      </c>
      <c r="F219" s="23" t="n">
        <f aca="false">parametros_recargas!$E$97*'Plan mensual'!H213+parametros_recargas!$F$97*'Plan mensual'!H214+parametros_recargas!$G$97*'Plan mensual'!H215+parametros_recargas!$H$97*'Plan mensual'!H216+parametros_recargas!$I$97*'Plan mensual'!H217+parametros_recargas!$J$97*'Plan mensual'!H218+parametros_recargas!$K$97*'Plan mensual'!H219+parametros_recargas!$L$97*'Plan mensual'!H220</f>
        <v>18279.4457904031</v>
      </c>
      <c r="G219" s="23" t="n">
        <f aca="false">parametros_recargas!$E$97*'Plan mensual'!I213+parametros_recargas!$F$97*'Plan mensual'!I214+parametros_recargas!$G$97*'Plan mensual'!I215+parametros_recargas!$H$97*'Plan mensual'!I216+parametros_recargas!$I$97*'Plan mensual'!I217+parametros_recargas!$J$97*'Plan mensual'!I218+parametros_recargas!$K$97*'Plan mensual'!I219+parametros_recargas!$L$97*'Plan mensual'!I220</f>
        <v>18279.4457904031</v>
      </c>
      <c r="H219" s="23" t="n">
        <f aca="false">parametros_recargas!$E$97*'Plan mensual'!J213+parametros_recargas!$F$97*'Plan mensual'!J214+parametros_recargas!$G$97*'Plan mensual'!J215+parametros_recargas!$H$97*'Plan mensual'!J216+parametros_recargas!$I$97*'Plan mensual'!J217+parametros_recargas!$J$97*'Plan mensual'!J218+parametros_recargas!$K$97*'Plan mensual'!J219+parametros_recargas!$L$97*'Plan mensual'!J220</f>
        <v>18279.4457904031</v>
      </c>
      <c r="I219" s="23" t="n">
        <f aca="false">parametros_recargas!$E$97*'Plan mensual'!K213+parametros_recargas!$F$97*'Plan mensual'!K214+parametros_recargas!$G$97*'Plan mensual'!K215+parametros_recargas!$H$97*'Plan mensual'!K216+parametros_recargas!$I$97*'Plan mensual'!K217+parametros_recargas!$J$97*'Plan mensual'!K218+parametros_recargas!$K$97*'Plan mensual'!K219+parametros_recargas!$L$97*'Plan mensual'!K220</f>
        <v>18279.4457904031</v>
      </c>
      <c r="J219" s="23" t="n">
        <f aca="false">parametros_recargas!$E$97*'Plan mensual'!L213+parametros_recargas!$F$97*'Plan mensual'!L214+parametros_recargas!$G$97*'Plan mensual'!L215+parametros_recargas!$H$97*'Plan mensual'!L216+parametros_recargas!$I$97*'Plan mensual'!L217+parametros_recargas!$J$97*'Plan mensual'!L218+parametros_recargas!$K$97*'Plan mensual'!L219+parametros_recargas!$L$97*'Plan mensual'!L220</f>
        <v>18279.4457904031</v>
      </c>
      <c r="K219" s="23" t="n">
        <f aca="false">parametros_recargas!$E$97*'Plan mensual'!M213+parametros_recargas!$F$97*'Plan mensual'!M214+parametros_recargas!$G$97*'Plan mensual'!M215+parametros_recargas!$H$97*'Plan mensual'!M216+parametros_recargas!$I$97*'Plan mensual'!M217+parametros_recargas!$J$97*'Plan mensual'!M218+parametros_recargas!$K$97*'Plan mensual'!M219+parametros_recargas!$L$97*'Plan mensual'!M220</f>
        <v>18279.4457904031</v>
      </c>
      <c r="L219" s="23" t="n">
        <f aca="false">parametros_recargas!$E$97*'Plan mensual'!N213+parametros_recargas!$F$97*'Plan mensual'!N214+parametros_recargas!$G$97*'Plan mensual'!N215+parametros_recargas!$H$97*'Plan mensual'!N216+parametros_recargas!$I$97*'Plan mensual'!N217+parametros_recargas!$J$97*'Plan mensual'!N218+parametros_recargas!$K$97*'Plan mensual'!N219+parametros_recargas!$L$97*'Plan mensual'!N220</f>
        <v>18279.4457904031</v>
      </c>
      <c r="M219" s="23" t="n">
        <f aca="false">parametros_recargas!$E$97*'Plan mensual'!O213+parametros_recargas!$F$97*'Plan mensual'!O214+parametros_recargas!$G$97*'Plan mensual'!O215+parametros_recargas!$H$97*'Plan mensual'!O216+parametros_recargas!$I$97*'Plan mensual'!O217+parametros_recargas!$J$97*'Plan mensual'!O218+parametros_recargas!$K$97*'Plan mensual'!O219+parametros_recargas!$L$97*'Plan mensual'!O220</f>
        <v>18279.4457904031</v>
      </c>
      <c r="N219" s="7" t="n">
        <f aca="false">SUM(B219:M219)</f>
        <v>219353.349484838</v>
      </c>
      <c r="O219" s="24" t="n">
        <f aca="false">MAX(B219:M219)</f>
        <v>18279.4457904031</v>
      </c>
      <c r="P219" s="15" t="n">
        <f aca="false">O219/parametros_recargas!$B$6</f>
        <v>121.862971936021</v>
      </c>
    </row>
    <row r="220" customFormat="false" ht="15" hidden="false" customHeight="false" outlineLevel="0" collapsed="false">
      <c r="A220" s="12" t="str">
        <f aca="false">parametros_recargas!$B$98</f>
        <v>Precinto, etiqueta y despacho</v>
      </c>
      <c r="B220" s="23" t="n">
        <f aca="false">parametros_recargas!$E$98*'Plan mensual'!D213+parametros_recargas!$F$98*'Plan mensual'!D214+parametros_recargas!$G$98*'Plan mensual'!D215+parametros_recargas!$H$98*'Plan mensual'!D216+parametros_recargas!$I$98*'Plan mensual'!D217+parametros_recargas!$J$98*'Plan mensual'!D218+parametros_recargas!$K$98*'Plan mensual'!D219+parametros_recargas!$L$98*'Plan mensual'!D220</f>
        <v>18279.4457904031</v>
      </c>
      <c r="C220" s="23" t="n">
        <f aca="false">parametros_recargas!$E$98*'Plan mensual'!E213+parametros_recargas!$F$98*'Plan mensual'!E214+parametros_recargas!$G$98*'Plan mensual'!E215+parametros_recargas!$H$98*'Plan mensual'!E216+parametros_recargas!$I$98*'Plan mensual'!E217+parametros_recargas!$J$98*'Plan mensual'!E218+parametros_recargas!$K$98*'Plan mensual'!E219+parametros_recargas!$L$98*'Plan mensual'!E220</f>
        <v>18279.4457904031</v>
      </c>
      <c r="D220" s="23" t="n">
        <f aca="false">parametros_recargas!$E$98*'Plan mensual'!F213+parametros_recargas!$F$98*'Plan mensual'!F214+parametros_recargas!$G$98*'Plan mensual'!F215+parametros_recargas!$H$98*'Plan mensual'!F216+parametros_recargas!$I$98*'Plan mensual'!F217+parametros_recargas!$J$98*'Plan mensual'!F218+parametros_recargas!$K$98*'Plan mensual'!F219+parametros_recargas!$L$98*'Plan mensual'!F220</f>
        <v>18279.4457904031</v>
      </c>
      <c r="E220" s="23" t="n">
        <f aca="false">parametros_recargas!$E$98*'Plan mensual'!G213+parametros_recargas!$F$98*'Plan mensual'!G214+parametros_recargas!$G$98*'Plan mensual'!G215+parametros_recargas!$H$98*'Plan mensual'!G216+parametros_recargas!$I$98*'Plan mensual'!G217+parametros_recargas!$J$98*'Plan mensual'!G218+parametros_recargas!$K$98*'Plan mensual'!G219+parametros_recargas!$L$98*'Plan mensual'!G220</f>
        <v>18279.4457904031</v>
      </c>
      <c r="F220" s="23" t="n">
        <f aca="false">parametros_recargas!$E$98*'Plan mensual'!H213+parametros_recargas!$F$98*'Plan mensual'!H214+parametros_recargas!$G$98*'Plan mensual'!H215+parametros_recargas!$H$98*'Plan mensual'!H216+parametros_recargas!$I$98*'Plan mensual'!H217+parametros_recargas!$J$98*'Plan mensual'!H218+parametros_recargas!$K$98*'Plan mensual'!H219+parametros_recargas!$L$98*'Plan mensual'!H220</f>
        <v>18279.4457904031</v>
      </c>
      <c r="G220" s="23" t="n">
        <f aca="false">parametros_recargas!$E$98*'Plan mensual'!I213+parametros_recargas!$F$98*'Plan mensual'!I214+parametros_recargas!$G$98*'Plan mensual'!I215+parametros_recargas!$H$98*'Plan mensual'!I216+parametros_recargas!$I$98*'Plan mensual'!I217+parametros_recargas!$J$98*'Plan mensual'!I218+parametros_recargas!$K$98*'Plan mensual'!I219+parametros_recargas!$L$98*'Plan mensual'!I220</f>
        <v>18279.4457904031</v>
      </c>
      <c r="H220" s="23" t="n">
        <f aca="false">parametros_recargas!$E$98*'Plan mensual'!J213+parametros_recargas!$F$98*'Plan mensual'!J214+parametros_recargas!$G$98*'Plan mensual'!J215+parametros_recargas!$H$98*'Plan mensual'!J216+parametros_recargas!$I$98*'Plan mensual'!J217+parametros_recargas!$J$98*'Plan mensual'!J218+parametros_recargas!$K$98*'Plan mensual'!J219+parametros_recargas!$L$98*'Plan mensual'!J220</f>
        <v>18279.4457904031</v>
      </c>
      <c r="I220" s="23" t="n">
        <f aca="false">parametros_recargas!$E$98*'Plan mensual'!K213+parametros_recargas!$F$98*'Plan mensual'!K214+parametros_recargas!$G$98*'Plan mensual'!K215+parametros_recargas!$H$98*'Plan mensual'!K216+parametros_recargas!$I$98*'Plan mensual'!K217+parametros_recargas!$J$98*'Plan mensual'!K218+parametros_recargas!$K$98*'Plan mensual'!K219+parametros_recargas!$L$98*'Plan mensual'!K220</f>
        <v>18279.4457904031</v>
      </c>
      <c r="J220" s="23" t="n">
        <f aca="false">parametros_recargas!$E$98*'Plan mensual'!L213+parametros_recargas!$F$98*'Plan mensual'!L214+parametros_recargas!$G$98*'Plan mensual'!L215+parametros_recargas!$H$98*'Plan mensual'!L216+parametros_recargas!$I$98*'Plan mensual'!L217+parametros_recargas!$J$98*'Plan mensual'!L218+parametros_recargas!$K$98*'Plan mensual'!L219+parametros_recargas!$L$98*'Plan mensual'!L220</f>
        <v>18279.4457904031</v>
      </c>
      <c r="K220" s="23" t="n">
        <f aca="false">parametros_recargas!$E$98*'Plan mensual'!M213+parametros_recargas!$F$98*'Plan mensual'!M214+parametros_recargas!$G$98*'Plan mensual'!M215+parametros_recargas!$H$98*'Plan mensual'!M216+parametros_recargas!$I$98*'Plan mensual'!M217+parametros_recargas!$J$98*'Plan mensual'!M218+parametros_recargas!$K$98*'Plan mensual'!M219+parametros_recargas!$L$98*'Plan mensual'!M220</f>
        <v>18279.4457904031</v>
      </c>
      <c r="L220" s="23" t="n">
        <f aca="false">parametros_recargas!$E$98*'Plan mensual'!N213+parametros_recargas!$F$98*'Plan mensual'!N214+parametros_recargas!$G$98*'Plan mensual'!N215+parametros_recargas!$H$98*'Plan mensual'!N216+parametros_recargas!$I$98*'Plan mensual'!N217+parametros_recargas!$J$98*'Plan mensual'!N218+parametros_recargas!$K$98*'Plan mensual'!N219+parametros_recargas!$L$98*'Plan mensual'!N220</f>
        <v>18279.4457904031</v>
      </c>
      <c r="M220" s="23" t="n">
        <f aca="false">parametros_recargas!$E$98*'Plan mensual'!O213+parametros_recargas!$F$98*'Plan mensual'!O214+parametros_recargas!$G$98*'Plan mensual'!O215+parametros_recargas!$H$98*'Plan mensual'!O216+parametros_recargas!$I$98*'Plan mensual'!O217+parametros_recargas!$J$98*'Plan mensual'!O218+parametros_recargas!$K$98*'Plan mensual'!O219+parametros_recargas!$L$98*'Plan mensual'!O220</f>
        <v>18279.4457904031</v>
      </c>
      <c r="N220" s="7" t="n">
        <f aca="false">SUM(B220:M220)</f>
        <v>219353.349484838</v>
      </c>
      <c r="O220" s="24" t="n">
        <f aca="false">MAX(B220:M220)</f>
        <v>18279.4457904031</v>
      </c>
      <c r="P220" s="15" t="n">
        <f aca="false">O220/parametros_recargas!$B$6</f>
        <v>121.862971936021</v>
      </c>
    </row>
    <row r="221" customFormat="false" ht="15" hidden="false" customHeight="false" outlineLevel="0" collapsed="false">
      <c r="A221" s="12" t="str">
        <f aca="false">parametros_recargas!$B$99</f>
        <v>Inutilización y disposición final</v>
      </c>
      <c r="B221" s="23" t="n">
        <f aca="false">parametros_recargas!$E$99*'Plan mensual'!D213+parametros_recargas!$F$99*'Plan mensual'!D214+parametros_recargas!$G$99*'Plan mensual'!D215+parametros_recargas!$H$99*'Plan mensual'!D216+parametros_recargas!$I$99*'Plan mensual'!D217+parametros_recargas!$J$99*'Plan mensual'!D218+parametros_recargas!$K$99*'Plan mensual'!D219+parametros_recargas!$L$99*'Plan mensual'!D220</f>
        <v>1436.74190442786</v>
      </c>
      <c r="C221" s="23" t="n">
        <f aca="false">parametros_recargas!$E$99*'Plan mensual'!E213+parametros_recargas!$F$99*'Plan mensual'!E214+parametros_recargas!$G$99*'Plan mensual'!E215+parametros_recargas!$H$99*'Plan mensual'!E216+parametros_recargas!$I$99*'Plan mensual'!E217+parametros_recargas!$J$99*'Plan mensual'!E218+parametros_recargas!$K$99*'Plan mensual'!E219+parametros_recargas!$L$99*'Plan mensual'!E220</f>
        <v>1436.74190442786</v>
      </c>
      <c r="D221" s="23" t="n">
        <f aca="false">parametros_recargas!$E$99*'Plan mensual'!F213+parametros_recargas!$F$99*'Plan mensual'!F214+parametros_recargas!$G$99*'Plan mensual'!F215+parametros_recargas!$H$99*'Plan mensual'!F216+parametros_recargas!$I$99*'Plan mensual'!F217+parametros_recargas!$J$99*'Plan mensual'!F218+parametros_recargas!$K$99*'Plan mensual'!F219+parametros_recargas!$L$99*'Plan mensual'!F220</f>
        <v>1436.74190442786</v>
      </c>
      <c r="E221" s="23" t="n">
        <f aca="false">parametros_recargas!$E$99*'Plan mensual'!G213+parametros_recargas!$F$99*'Plan mensual'!G214+parametros_recargas!$G$99*'Plan mensual'!G215+parametros_recargas!$H$99*'Plan mensual'!G216+parametros_recargas!$I$99*'Plan mensual'!G217+parametros_recargas!$J$99*'Plan mensual'!G218+parametros_recargas!$K$99*'Plan mensual'!G219+parametros_recargas!$L$99*'Plan mensual'!G220</f>
        <v>1436.74190442786</v>
      </c>
      <c r="F221" s="23" t="n">
        <f aca="false">parametros_recargas!$E$99*'Plan mensual'!H213+parametros_recargas!$F$99*'Plan mensual'!H214+parametros_recargas!$G$99*'Plan mensual'!H215+parametros_recargas!$H$99*'Plan mensual'!H216+parametros_recargas!$I$99*'Plan mensual'!H217+parametros_recargas!$J$99*'Plan mensual'!H218+parametros_recargas!$K$99*'Plan mensual'!H219+parametros_recargas!$L$99*'Plan mensual'!H220</f>
        <v>1436.74190442786</v>
      </c>
      <c r="G221" s="23" t="n">
        <f aca="false">parametros_recargas!$E$99*'Plan mensual'!I213+parametros_recargas!$F$99*'Plan mensual'!I214+parametros_recargas!$G$99*'Plan mensual'!I215+parametros_recargas!$H$99*'Plan mensual'!I216+parametros_recargas!$I$99*'Plan mensual'!I217+parametros_recargas!$J$99*'Plan mensual'!I218+parametros_recargas!$K$99*'Plan mensual'!I219+parametros_recargas!$L$99*'Plan mensual'!I220</f>
        <v>1436.74190442786</v>
      </c>
      <c r="H221" s="23" t="n">
        <f aca="false">parametros_recargas!$E$99*'Plan mensual'!J213+parametros_recargas!$F$99*'Plan mensual'!J214+parametros_recargas!$G$99*'Plan mensual'!J215+parametros_recargas!$H$99*'Plan mensual'!J216+parametros_recargas!$I$99*'Plan mensual'!J217+parametros_recargas!$J$99*'Plan mensual'!J218+parametros_recargas!$K$99*'Plan mensual'!J219+parametros_recargas!$L$99*'Plan mensual'!J220</f>
        <v>1436.74190442786</v>
      </c>
      <c r="I221" s="23" t="n">
        <f aca="false">parametros_recargas!$E$99*'Plan mensual'!K213+parametros_recargas!$F$99*'Plan mensual'!K214+parametros_recargas!$G$99*'Plan mensual'!K215+parametros_recargas!$H$99*'Plan mensual'!K216+parametros_recargas!$I$99*'Plan mensual'!K217+parametros_recargas!$J$99*'Plan mensual'!K218+parametros_recargas!$K$99*'Plan mensual'!K219+parametros_recargas!$L$99*'Plan mensual'!K220</f>
        <v>1436.74190442786</v>
      </c>
      <c r="J221" s="23" t="n">
        <f aca="false">parametros_recargas!$E$99*'Plan mensual'!L213+parametros_recargas!$F$99*'Plan mensual'!L214+parametros_recargas!$G$99*'Plan mensual'!L215+parametros_recargas!$H$99*'Plan mensual'!L216+parametros_recargas!$I$99*'Plan mensual'!L217+parametros_recargas!$J$99*'Plan mensual'!L218+parametros_recargas!$K$99*'Plan mensual'!L219+parametros_recargas!$L$99*'Plan mensual'!L220</f>
        <v>1436.74190442786</v>
      </c>
      <c r="K221" s="23" t="n">
        <f aca="false">parametros_recargas!$E$99*'Plan mensual'!M213+parametros_recargas!$F$99*'Plan mensual'!M214+parametros_recargas!$G$99*'Plan mensual'!M215+parametros_recargas!$H$99*'Plan mensual'!M216+parametros_recargas!$I$99*'Plan mensual'!M217+parametros_recargas!$J$99*'Plan mensual'!M218+parametros_recargas!$K$99*'Plan mensual'!M219+parametros_recargas!$L$99*'Plan mensual'!M220</f>
        <v>1436.74190442786</v>
      </c>
      <c r="L221" s="23" t="n">
        <f aca="false">parametros_recargas!$E$99*'Plan mensual'!N213+parametros_recargas!$F$99*'Plan mensual'!N214+parametros_recargas!$G$99*'Plan mensual'!N215+parametros_recargas!$H$99*'Plan mensual'!N216+parametros_recargas!$I$99*'Plan mensual'!N217+parametros_recargas!$J$99*'Plan mensual'!N218+parametros_recargas!$K$99*'Plan mensual'!N219+parametros_recargas!$L$99*'Plan mensual'!N220</f>
        <v>1436.74190442786</v>
      </c>
      <c r="M221" s="23" t="n">
        <f aca="false">parametros_recargas!$E$99*'Plan mensual'!O213+parametros_recargas!$F$99*'Plan mensual'!O214+parametros_recargas!$G$99*'Plan mensual'!O215+parametros_recargas!$H$99*'Plan mensual'!O216+parametros_recargas!$I$99*'Plan mensual'!O217+parametros_recargas!$J$99*'Plan mensual'!O218+parametros_recargas!$K$99*'Plan mensual'!O219+parametros_recargas!$L$99*'Plan mensual'!O220</f>
        <v>1436.74190442786</v>
      </c>
      <c r="N221" s="7" t="n">
        <f aca="false">SUM(B221:M221)</f>
        <v>17240.9028531343</v>
      </c>
      <c r="O221" s="24" t="n">
        <f aca="false">MAX(B221:M221)</f>
        <v>1436.74190442786</v>
      </c>
      <c r="P221" s="15" t="n">
        <f aca="false">O221/parametros_recargas!$B$6</f>
        <v>9.57827936285239</v>
      </c>
    </row>
    <row r="222" customFormat="false" ht="15" hidden="false" customHeight="false" outlineLevel="0" collapsed="false">
      <c r="A222" s="12" t="str">
        <f aca="false">parametros_recargas!$B$100</f>
        <v>PH de mangueras (CO₂ y rodantes)</v>
      </c>
      <c r="B222" s="23" t="n">
        <f aca="false">'Plan mensual'!D221</f>
        <v>736.36981759785</v>
      </c>
      <c r="C222" s="23" t="n">
        <f aca="false">'Plan mensual'!E221</f>
        <v>736.36981759785</v>
      </c>
      <c r="D222" s="23" t="n">
        <f aca="false">'Plan mensual'!F221</f>
        <v>736.36981759785</v>
      </c>
      <c r="E222" s="23" t="n">
        <f aca="false">'Plan mensual'!G221</f>
        <v>736.36981759785</v>
      </c>
      <c r="F222" s="23" t="n">
        <f aca="false">'Plan mensual'!H221</f>
        <v>736.36981759785</v>
      </c>
      <c r="G222" s="23" t="n">
        <f aca="false">'Plan mensual'!I221</f>
        <v>736.36981759785</v>
      </c>
      <c r="H222" s="23" t="n">
        <f aca="false">'Plan mensual'!J221</f>
        <v>736.36981759785</v>
      </c>
      <c r="I222" s="23" t="n">
        <f aca="false">'Plan mensual'!K221</f>
        <v>736.36981759785</v>
      </c>
      <c r="J222" s="23" t="n">
        <f aca="false">'Plan mensual'!L221</f>
        <v>736.36981759785</v>
      </c>
      <c r="K222" s="23" t="n">
        <f aca="false">'Plan mensual'!M221</f>
        <v>736.36981759785</v>
      </c>
      <c r="L222" s="23" t="n">
        <f aca="false">'Plan mensual'!N221</f>
        <v>736.36981759785</v>
      </c>
      <c r="M222" s="23" t="n">
        <f aca="false">'Plan mensual'!O221</f>
        <v>736.36981759785</v>
      </c>
      <c r="N222" s="7" t="n">
        <f aca="false">SUM(B222:M222)</f>
        <v>8836.43781117419</v>
      </c>
      <c r="O222" s="24" t="n">
        <f aca="false">MAX(B222:M222)</f>
        <v>736.36981759785</v>
      </c>
      <c r="P222" s="15" t="n">
        <f aca="false">O222/parametros_recargas!$B$6</f>
        <v>4.909132117319</v>
      </c>
    </row>
    <row r="225" customFormat="false" ht="23.85" hidden="false" customHeight="false" outlineLevel="0" collapsed="false">
      <c r="A225" s="3" t="s">
        <v>282</v>
      </c>
      <c r="B225" s="3" t="s">
        <v>120</v>
      </c>
      <c r="C225" s="3" t="s">
        <v>121</v>
      </c>
      <c r="D225" s="3" t="s">
        <v>122</v>
      </c>
      <c r="E225" s="3" t="s">
        <v>123</v>
      </c>
      <c r="F225" s="3" t="s">
        <v>124</v>
      </c>
      <c r="G225" s="3" t="s">
        <v>125</v>
      </c>
      <c r="H225" s="3" t="s">
        <v>126</v>
      </c>
      <c r="I225" s="3" t="s">
        <v>127</v>
      </c>
      <c r="J225" s="3" t="s">
        <v>128</v>
      </c>
      <c r="K225" s="3" t="s">
        <v>129</v>
      </c>
      <c r="L225" s="3" t="s">
        <v>130</v>
      </c>
      <c r="M225" s="3" t="s">
        <v>131</v>
      </c>
      <c r="N225" s="3" t="s">
        <v>273</v>
      </c>
      <c r="O225" s="3" t="s">
        <v>274</v>
      </c>
      <c r="P225" s="3" t="s">
        <v>275</v>
      </c>
    </row>
    <row r="226" customFormat="false" ht="15" hidden="false" customHeight="false" outlineLevel="0" collapsed="false">
      <c r="A226" s="12" t="str">
        <f aca="false">parametros_recargas!$B$72</f>
        <v>Recepción y registro</v>
      </c>
      <c r="B226" s="23" t="n">
        <f aca="false">parametros_recargas!$E$72*'Plan mensual'!D245+parametros_recargas!$F$72*'Plan mensual'!D246+parametros_recargas!$G$72*'Plan mensual'!D247+parametros_recargas!$H$72*'Plan mensual'!D248+parametros_recargas!$I$72*'Plan mensual'!D249+parametros_recargas!$J$72*'Plan mensual'!D250+parametros_recargas!$K$72*'Plan mensual'!D251+parametros_recargas!$L$72*'Plan mensual'!D252</f>
        <v>21382.1596694838</v>
      </c>
      <c r="C226" s="23" t="n">
        <f aca="false">parametros_recargas!$E$72*'Plan mensual'!E245+parametros_recargas!$F$72*'Plan mensual'!E246+parametros_recargas!$G$72*'Plan mensual'!E247+parametros_recargas!$H$72*'Plan mensual'!E248+parametros_recargas!$I$72*'Plan mensual'!E249+parametros_recargas!$J$72*'Plan mensual'!E250+parametros_recargas!$K$72*'Plan mensual'!E251+parametros_recargas!$L$72*'Plan mensual'!E252</f>
        <v>21382.1596694838</v>
      </c>
      <c r="D226" s="23" t="n">
        <f aca="false">parametros_recargas!$E$72*'Plan mensual'!F245+parametros_recargas!$F$72*'Plan mensual'!F246+parametros_recargas!$G$72*'Plan mensual'!F247+parametros_recargas!$H$72*'Plan mensual'!F248+parametros_recargas!$I$72*'Plan mensual'!F249+parametros_recargas!$J$72*'Plan mensual'!F250+parametros_recargas!$K$72*'Plan mensual'!F251+parametros_recargas!$L$72*'Plan mensual'!F252</f>
        <v>21382.1596694838</v>
      </c>
      <c r="E226" s="23" t="n">
        <f aca="false">parametros_recargas!$E$72*'Plan mensual'!G245+parametros_recargas!$F$72*'Plan mensual'!G246+parametros_recargas!$G$72*'Plan mensual'!G247+parametros_recargas!$H$72*'Plan mensual'!G248+parametros_recargas!$I$72*'Plan mensual'!G249+parametros_recargas!$J$72*'Plan mensual'!G250+parametros_recargas!$K$72*'Plan mensual'!G251+parametros_recargas!$L$72*'Plan mensual'!G252</f>
        <v>21382.1596694838</v>
      </c>
      <c r="F226" s="23" t="n">
        <f aca="false">parametros_recargas!$E$72*'Plan mensual'!H245+parametros_recargas!$F$72*'Plan mensual'!H246+parametros_recargas!$G$72*'Plan mensual'!H247+parametros_recargas!$H$72*'Plan mensual'!H248+parametros_recargas!$I$72*'Plan mensual'!H249+parametros_recargas!$J$72*'Plan mensual'!H250+parametros_recargas!$K$72*'Plan mensual'!H251+parametros_recargas!$L$72*'Plan mensual'!H252</f>
        <v>21382.1596694838</v>
      </c>
      <c r="G226" s="23" t="n">
        <f aca="false">parametros_recargas!$E$72*'Plan mensual'!I245+parametros_recargas!$F$72*'Plan mensual'!I246+parametros_recargas!$G$72*'Plan mensual'!I247+parametros_recargas!$H$72*'Plan mensual'!I248+parametros_recargas!$I$72*'Plan mensual'!I249+parametros_recargas!$J$72*'Plan mensual'!I250+parametros_recargas!$K$72*'Plan mensual'!I251+parametros_recargas!$L$72*'Plan mensual'!I252</f>
        <v>21382.1596694838</v>
      </c>
      <c r="H226" s="23" t="n">
        <f aca="false">parametros_recargas!$E$72*'Plan mensual'!J245+parametros_recargas!$F$72*'Plan mensual'!J246+parametros_recargas!$G$72*'Plan mensual'!J247+parametros_recargas!$H$72*'Plan mensual'!J248+parametros_recargas!$I$72*'Plan mensual'!J249+parametros_recargas!$J$72*'Plan mensual'!J250+parametros_recargas!$K$72*'Plan mensual'!J251+parametros_recargas!$L$72*'Plan mensual'!J252</f>
        <v>21382.1596694838</v>
      </c>
      <c r="I226" s="23" t="n">
        <f aca="false">parametros_recargas!$E$72*'Plan mensual'!K245+parametros_recargas!$F$72*'Plan mensual'!K246+parametros_recargas!$G$72*'Plan mensual'!K247+parametros_recargas!$H$72*'Plan mensual'!K248+parametros_recargas!$I$72*'Plan mensual'!K249+parametros_recargas!$J$72*'Plan mensual'!K250+parametros_recargas!$K$72*'Plan mensual'!K251+parametros_recargas!$L$72*'Plan mensual'!K252</f>
        <v>21382.1596694838</v>
      </c>
      <c r="J226" s="23" t="n">
        <f aca="false">parametros_recargas!$E$72*'Plan mensual'!L245+parametros_recargas!$F$72*'Plan mensual'!L246+parametros_recargas!$G$72*'Plan mensual'!L247+parametros_recargas!$H$72*'Plan mensual'!L248+parametros_recargas!$I$72*'Plan mensual'!L249+parametros_recargas!$J$72*'Plan mensual'!L250+parametros_recargas!$K$72*'Plan mensual'!L251+parametros_recargas!$L$72*'Plan mensual'!L252</f>
        <v>21382.1596694838</v>
      </c>
      <c r="K226" s="23" t="n">
        <f aca="false">parametros_recargas!$E$72*'Plan mensual'!M245+parametros_recargas!$F$72*'Plan mensual'!M246+parametros_recargas!$G$72*'Plan mensual'!M247+parametros_recargas!$H$72*'Plan mensual'!M248+parametros_recargas!$I$72*'Plan mensual'!M249+parametros_recargas!$J$72*'Plan mensual'!M250+parametros_recargas!$K$72*'Plan mensual'!M251+parametros_recargas!$L$72*'Plan mensual'!M252</f>
        <v>21382.1596694838</v>
      </c>
      <c r="L226" s="23" t="n">
        <f aca="false">parametros_recargas!$E$72*'Plan mensual'!N245+parametros_recargas!$F$72*'Plan mensual'!N246+parametros_recargas!$G$72*'Plan mensual'!N247+parametros_recargas!$H$72*'Plan mensual'!N248+parametros_recargas!$I$72*'Plan mensual'!N249+parametros_recargas!$J$72*'Plan mensual'!N250+parametros_recargas!$K$72*'Plan mensual'!N251+parametros_recargas!$L$72*'Plan mensual'!N252</f>
        <v>21382.1596694838</v>
      </c>
      <c r="M226" s="23" t="n">
        <f aca="false">parametros_recargas!$E$72*'Plan mensual'!O245+parametros_recargas!$F$72*'Plan mensual'!O246+parametros_recargas!$G$72*'Plan mensual'!O247+parametros_recargas!$H$72*'Plan mensual'!O248+parametros_recargas!$I$72*'Plan mensual'!O249+parametros_recargas!$J$72*'Plan mensual'!O250+parametros_recargas!$K$72*'Plan mensual'!O251+parametros_recargas!$L$72*'Plan mensual'!O252</f>
        <v>21382.1596694838</v>
      </c>
      <c r="N226" s="7" t="n">
        <f aca="false">SUM(B226:M226)</f>
        <v>256585.916033806</v>
      </c>
      <c r="O226" s="24" t="n">
        <f aca="false">MAX(B226:M226)</f>
        <v>21382.1596694838</v>
      </c>
      <c r="P226" s="15" t="n">
        <f aca="false">O226/parametros_recargas!$B$6</f>
        <v>142.547731129892</v>
      </c>
    </row>
    <row r="227" customFormat="false" ht="15" hidden="false" customHeight="false" outlineLevel="0" collapsed="false">
      <c r="A227" s="12" t="str">
        <f aca="false">parametros_recargas!$B$73</f>
        <v>Inspección visual</v>
      </c>
      <c r="B227" s="23" t="n">
        <f aca="false">parametros_recargas!$E$73*'Plan mensual'!D245+parametros_recargas!$F$73*'Plan mensual'!D246+parametros_recargas!$G$73*'Plan mensual'!D247+parametros_recargas!$H$73*'Plan mensual'!D248+parametros_recargas!$I$73*'Plan mensual'!D249+parametros_recargas!$J$73*'Plan mensual'!D250+parametros_recargas!$K$73*'Plan mensual'!D251+parametros_recargas!$L$73*'Plan mensual'!D252</f>
        <v>21382.1596694838</v>
      </c>
      <c r="C227" s="23" t="n">
        <f aca="false">parametros_recargas!$E$73*'Plan mensual'!E245+parametros_recargas!$F$73*'Plan mensual'!E246+parametros_recargas!$G$73*'Plan mensual'!E247+parametros_recargas!$H$73*'Plan mensual'!E248+parametros_recargas!$I$73*'Plan mensual'!E249+parametros_recargas!$J$73*'Plan mensual'!E250+parametros_recargas!$K$73*'Plan mensual'!E251+parametros_recargas!$L$73*'Plan mensual'!E252</f>
        <v>21382.1596694838</v>
      </c>
      <c r="D227" s="23" t="n">
        <f aca="false">parametros_recargas!$E$73*'Plan mensual'!F245+parametros_recargas!$F$73*'Plan mensual'!F246+parametros_recargas!$G$73*'Plan mensual'!F247+parametros_recargas!$H$73*'Plan mensual'!F248+parametros_recargas!$I$73*'Plan mensual'!F249+parametros_recargas!$J$73*'Plan mensual'!F250+parametros_recargas!$K$73*'Plan mensual'!F251+parametros_recargas!$L$73*'Plan mensual'!F252</f>
        <v>21382.1596694838</v>
      </c>
      <c r="E227" s="23" t="n">
        <f aca="false">parametros_recargas!$E$73*'Plan mensual'!G245+parametros_recargas!$F$73*'Plan mensual'!G246+parametros_recargas!$G$73*'Plan mensual'!G247+parametros_recargas!$H$73*'Plan mensual'!G248+parametros_recargas!$I$73*'Plan mensual'!G249+parametros_recargas!$J$73*'Plan mensual'!G250+parametros_recargas!$K$73*'Plan mensual'!G251+parametros_recargas!$L$73*'Plan mensual'!G252</f>
        <v>21382.1596694838</v>
      </c>
      <c r="F227" s="23" t="n">
        <f aca="false">parametros_recargas!$E$73*'Plan mensual'!H245+parametros_recargas!$F$73*'Plan mensual'!H246+parametros_recargas!$G$73*'Plan mensual'!H247+parametros_recargas!$H$73*'Plan mensual'!H248+parametros_recargas!$I$73*'Plan mensual'!H249+parametros_recargas!$J$73*'Plan mensual'!H250+parametros_recargas!$K$73*'Plan mensual'!H251+parametros_recargas!$L$73*'Plan mensual'!H252</f>
        <v>21382.1596694838</v>
      </c>
      <c r="G227" s="23" t="n">
        <f aca="false">parametros_recargas!$E$73*'Plan mensual'!I245+parametros_recargas!$F$73*'Plan mensual'!I246+parametros_recargas!$G$73*'Plan mensual'!I247+parametros_recargas!$H$73*'Plan mensual'!I248+parametros_recargas!$I$73*'Plan mensual'!I249+parametros_recargas!$J$73*'Plan mensual'!I250+parametros_recargas!$K$73*'Plan mensual'!I251+parametros_recargas!$L$73*'Plan mensual'!I252</f>
        <v>21382.1596694838</v>
      </c>
      <c r="H227" s="23" t="n">
        <f aca="false">parametros_recargas!$E$73*'Plan mensual'!J245+parametros_recargas!$F$73*'Plan mensual'!J246+parametros_recargas!$G$73*'Plan mensual'!J247+parametros_recargas!$H$73*'Plan mensual'!J248+parametros_recargas!$I$73*'Plan mensual'!J249+parametros_recargas!$J$73*'Plan mensual'!J250+parametros_recargas!$K$73*'Plan mensual'!J251+parametros_recargas!$L$73*'Plan mensual'!J252</f>
        <v>21382.1596694838</v>
      </c>
      <c r="I227" s="23" t="n">
        <f aca="false">parametros_recargas!$E$73*'Plan mensual'!K245+parametros_recargas!$F$73*'Plan mensual'!K246+parametros_recargas!$G$73*'Plan mensual'!K247+parametros_recargas!$H$73*'Plan mensual'!K248+parametros_recargas!$I$73*'Plan mensual'!K249+parametros_recargas!$J$73*'Plan mensual'!K250+parametros_recargas!$K$73*'Plan mensual'!K251+parametros_recargas!$L$73*'Plan mensual'!K252</f>
        <v>21382.1596694838</v>
      </c>
      <c r="J227" s="23" t="n">
        <f aca="false">parametros_recargas!$E$73*'Plan mensual'!L245+parametros_recargas!$F$73*'Plan mensual'!L246+parametros_recargas!$G$73*'Plan mensual'!L247+parametros_recargas!$H$73*'Plan mensual'!L248+parametros_recargas!$I$73*'Plan mensual'!L249+parametros_recargas!$J$73*'Plan mensual'!L250+parametros_recargas!$K$73*'Plan mensual'!L251+parametros_recargas!$L$73*'Plan mensual'!L252</f>
        <v>21382.1596694838</v>
      </c>
      <c r="K227" s="23" t="n">
        <f aca="false">parametros_recargas!$E$73*'Plan mensual'!M245+parametros_recargas!$F$73*'Plan mensual'!M246+parametros_recargas!$G$73*'Plan mensual'!M247+parametros_recargas!$H$73*'Plan mensual'!M248+parametros_recargas!$I$73*'Plan mensual'!M249+parametros_recargas!$J$73*'Plan mensual'!M250+parametros_recargas!$K$73*'Plan mensual'!M251+parametros_recargas!$L$73*'Plan mensual'!M252</f>
        <v>21382.1596694838</v>
      </c>
      <c r="L227" s="23" t="n">
        <f aca="false">parametros_recargas!$E$73*'Plan mensual'!N245+parametros_recargas!$F$73*'Plan mensual'!N246+parametros_recargas!$G$73*'Plan mensual'!N247+parametros_recargas!$H$73*'Plan mensual'!N248+parametros_recargas!$I$73*'Plan mensual'!N249+parametros_recargas!$J$73*'Plan mensual'!N250+parametros_recargas!$K$73*'Plan mensual'!N251+parametros_recargas!$L$73*'Plan mensual'!N252</f>
        <v>21382.1596694838</v>
      </c>
      <c r="M227" s="23" t="n">
        <f aca="false">parametros_recargas!$E$73*'Plan mensual'!O245+parametros_recargas!$F$73*'Plan mensual'!O246+parametros_recargas!$G$73*'Plan mensual'!O247+parametros_recargas!$H$73*'Plan mensual'!O248+parametros_recargas!$I$73*'Plan mensual'!O249+parametros_recargas!$J$73*'Plan mensual'!O250+parametros_recargas!$K$73*'Plan mensual'!O251+parametros_recargas!$L$73*'Plan mensual'!O252</f>
        <v>21382.1596694838</v>
      </c>
      <c r="N227" s="7" t="n">
        <f aca="false">SUM(B227:M227)</f>
        <v>256585.916033806</v>
      </c>
      <c r="O227" s="24" t="n">
        <f aca="false">MAX(B227:M227)</f>
        <v>21382.1596694838</v>
      </c>
      <c r="P227" s="15" t="n">
        <f aca="false">O227/parametros_recargas!$B$6</f>
        <v>142.547731129892</v>
      </c>
    </row>
    <row r="228" customFormat="false" ht="15" hidden="false" customHeight="false" outlineLevel="0" collapsed="false">
      <c r="A228" s="12" t="str">
        <f aca="false">parametros_recargas!$B$74</f>
        <v>Descarga ABC — ruta recuperable</v>
      </c>
      <c r="B228" s="23" t="n">
        <f aca="false">parametros_recargas!$E$74*'Plan mensual'!D245+parametros_recargas!$F$74*'Plan mensual'!D246+parametros_recargas!$G$74*'Plan mensual'!D247+parametros_recargas!$H$74*'Plan mensual'!D248+parametros_recargas!$I$74*'Plan mensual'!D249+parametros_recargas!$J$74*'Plan mensual'!D250+parametros_recargas!$K$74*'Plan mensual'!D251+parametros_recargas!$L$74*'Plan mensual'!D252</f>
        <v>15699.7376824189</v>
      </c>
      <c r="C228" s="23" t="n">
        <f aca="false">parametros_recargas!$E$74*'Plan mensual'!E245+parametros_recargas!$F$74*'Plan mensual'!E246+parametros_recargas!$G$74*'Plan mensual'!E247+parametros_recargas!$H$74*'Plan mensual'!E248+parametros_recargas!$I$74*'Plan mensual'!E249+parametros_recargas!$J$74*'Plan mensual'!E250+parametros_recargas!$K$74*'Plan mensual'!E251+parametros_recargas!$L$74*'Plan mensual'!E252</f>
        <v>15699.7376824189</v>
      </c>
      <c r="D228" s="23" t="n">
        <f aca="false">parametros_recargas!$E$74*'Plan mensual'!F245+parametros_recargas!$F$74*'Plan mensual'!F246+parametros_recargas!$G$74*'Plan mensual'!F247+parametros_recargas!$H$74*'Plan mensual'!F248+parametros_recargas!$I$74*'Plan mensual'!F249+parametros_recargas!$J$74*'Plan mensual'!F250+parametros_recargas!$K$74*'Plan mensual'!F251+parametros_recargas!$L$74*'Plan mensual'!F252</f>
        <v>15699.7376824189</v>
      </c>
      <c r="E228" s="23" t="n">
        <f aca="false">parametros_recargas!$E$74*'Plan mensual'!G245+parametros_recargas!$F$74*'Plan mensual'!G246+parametros_recargas!$G$74*'Plan mensual'!G247+parametros_recargas!$H$74*'Plan mensual'!G248+parametros_recargas!$I$74*'Plan mensual'!G249+parametros_recargas!$J$74*'Plan mensual'!G250+parametros_recargas!$K$74*'Plan mensual'!G251+parametros_recargas!$L$74*'Plan mensual'!G252</f>
        <v>15699.7376824189</v>
      </c>
      <c r="F228" s="23" t="n">
        <f aca="false">parametros_recargas!$E$74*'Plan mensual'!H245+parametros_recargas!$F$74*'Plan mensual'!H246+parametros_recargas!$G$74*'Plan mensual'!H247+parametros_recargas!$H$74*'Plan mensual'!H248+parametros_recargas!$I$74*'Plan mensual'!H249+parametros_recargas!$J$74*'Plan mensual'!H250+parametros_recargas!$K$74*'Plan mensual'!H251+parametros_recargas!$L$74*'Plan mensual'!H252</f>
        <v>15699.7376824189</v>
      </c>
      <c r="G228" s="23" t="n">
        <f aca="false">parametros_recargas!$E$74*'Plan mensual'!I245+parametros_recargas!$F$74*'Plan mensual'!I246+parametros_recargas!$G$74*'Plan mensual'!I247+parametros_recargas!$H$74*'Plan mensual'!I248+parametros_recargas!$I$74*'Plan mensual'!I249+parametros_recargas!$J$74*'Plan mensual'!I250+parametros_recargas!$K$74*'Plan mensual'!I251+parametros_recargas!$L$74*'Plan mensual'!I252</f>
        <v>15699.7376824189</v>
      </c>
      <c r="H228" s="23" t="n">
        <f aca="false">parametros_recargas!$E$74*'Plan mensual'!J245+parametros_recargas!$F$74*'Plan mensual'!J246+parametros_recargas!$G$74*'Plan mensual'!J247+parametros_recargas!$H$74*'Plan mensual'!J248+parametros_recargas!$I$74*'Plan mensual'!J249+parametros_recargas!$J$74*'Plan mensual'!J250+parametros_recargas!$K$74*'Plan mensual'!J251+parametros_recargas!$L$74*'Plan mensual'!J252</f>
        <v>15699.7376824189</v>
      </c>
      <c r="I228" s="23" t="n">
        <f aca="false">parametros_recargas!$E$74*'Plan mensual'!K245+parametros_recargas!$F$74*'Plan mensual'!K246+parametros_recargas!$G$74*'Plan mensual'!K247+parametros_recargas!$H$74*'Plan mensual'!K248+parametros_recargas!$I$74*'Plan mensual'!K249+parametros_recargas!$J$74*'Plan mensual'!K250+parametros_recargas!$K$74*'Plan mensual'!K251+parametros_recargas!$L$74*'Plan mensual'!K252</f>
        <v>15699.7376824189</v>
      </c>
      <c r="J228" s="23" t="n">
        <f aca="false">parametros_recargas!$E$74*'Plan mensual'!L245+parametros_recargas!$F$74*'Plan mensual'!L246+parametros_recargas!$G$74*'Plan mensual'!L247+parametros_recargas!$H$74*'Plan mensual'!L248+parametros_recargas!$I$74*'Plan mensual'!L249+parametros_recargas!$J$74*'Plan mensual'!L250+parametros_recargas!$K$74*'Plan mensual'!L251+parametros_recargas!$L$74*'Plan mensual'!L252</f>
        <v>15699.7376824189</v>
      </c>
      <c r="K228" s="23" t="n">
        <f aca="false">parametros_recargas!$E$74*'Plan mensual'!M245+parametros_recargas!$F$74*'Plan mensual'!M246+parametros_recargas!$G$74*'Plan mensual'!M247+parametros_recargas!$H$74*'Plan mensual'!M248+parametros_recargas!$I$74*'Plan mensual'!M249+parametros_recargas!$J$74*'Plan mensual'!M250+parametros_recargas!$K$74*'Plan mensual'!M251+parametros_recargas!$L$74*'Plan mensual'!M252</f>
        <v>15699.7376824189</v>
      </c>
      <c r="L228" s="23" t="n">
        <f aca="false">parametros_recargas!$E$74*'Plan mensual'!N245+parametros_recargas!$F$74*'Plan mensual'!N246+parametros_recargas!$G$74*'Plan mensual'!N247+parametros_recargas!$H$74*'Plan mensual'!N248+parametros_recargas!$I$74*'Plan mensual'!N249+parametros_recargas!$J$74*'Plan mensual'!N250+parametros_recargas!$K$74*'Plan mensual'!N251+parametros_recargas!$L$74*'Plan mensual'!N252</f>
        <v>15699.7376824189</v>
      </c>
      <c r="M228" s="23" t="n">
        <f aca="false">parametros_recargas!$E$74*'Plan mensual'!O245+parametros_recargas!$F$74*'Plan mensual'!O246+parametros_recargas!$G$74*'Plan mensual'!O247+parametros_recargas!$H$74*'Plan mensual'!O248+parametros_recargas!$I$74*'Plan mensual'!O249+parametros_recargas!$J$74*'Plan mensual'!O250+parametros_recargas!$K$74*'Plan mensual'!O251+parametros_recargas!$L$74*'Plan mensual'!O252</f>
        <v>15699.7376824189</v>
      </c>
      <c r="N228" s="7" t="n">
        <f aca="false">SUM(B228:M228)</f>
        <v>188396.852189027</v>
      </c>
      <c r="O228" s="24" t="n">
        <f aca="false">MAX(B228:M228)</f>
        <v>15699.7376824189</v>
      </c>
      <c r="P228" s="15" t="n">
        <f aca="false">O228/parametros_recargas!$B$6</f>
        <v>104.664917882793</v>
      </c>
    </row>
    <row r="229" customFormat="false" ht="15" hidden="false" customHeight="false" outlineLevel="0" collapsed="false">
      <c r="A229" s="12" t="str">
        <f aca="false">parametros_recargas!$B$75</f>
        <v>Descarga ABC — ruta descarte</v>
      </c>
      <c r="B229" s="23" t="n">
        <f aca="false">parametros_recargas!$E$75*'Plan mensual'!D245+parametros_recargas!$F$75*'Plan mensual'!D246+parametros_recargas!$G$75*'Plan mensual'!D247+parametros_recargas!$H$75*'Plan mensual'!D248+parametros_recargas!$I$75*'Plan mensual'!D249+parametros_recargas!$J$75*'Plan mensual'!D250+parametros_recargas!$K$75*'Plan mensual'!D251+parametros_recargas!$L$75*'Plan mensual'!D252</f>
        <v>1847.02796263752</v>
      </c>
      <c r="C229" s="23" t="n">
        <f aca="false">parametros_recargas!$E$75*'Plan mensual'!E245+parametros_recargas!$F$75*'Plan mensual'!E246+parametros_recargas!$G$75*'Plan mensual'!E247+parametros_recargas!$H$75*'Plan mensual'!E248+parametros_recargas!$I$75*'Plan mensual'!E249+parametros_recargas!$J$75*'Plan mensual'!E250+parametros_recargas!$K$75*'Plan mensual'!E251+parametros_recargas!$L$75*'Plan mensual'!E252</f>
        <v>1847.02796263752</v>
      </c>
      <c r="D229" s="23" t="n">
        <f aca="false">parametros_recargas!$E$75*'Plan mensual'!F245+parametros_recargas!$F$75*'Plan mensual'!F246+parametros_recargas!$G$75*'Plan mensual'!F247+parametros_recargas!$H$75*'Plan mensual'!F248+parametros_recargas!$I$75*'Plan mensual'!F249+parametros_recargas!$J$75*'Plan mensual'!F250+parametros_recargas!$K$75*'Plan mensual'!F251+parametros_recargas!$L$75*'Plan mensual'!F252</f>
        <v>1847.02796263752</v>
      </c>
      <c r="E229" s="23" t="n">
        <f aca="false">parametros_recargas!$E$75*'Plan mensual'!G245+parametros_recargas!$F$75*'Plan mensual'!G246+parametros_recargas!$G$75*'Plan mensual'!G247+parametros_recargas!$H$75*'Plan mensual'!G248+parametros_recargas!$I$75*'Plan mensual'!G249+parametros_recargas!$J$75*'Plan mensual'!G250+parametros_recargas!$K$75*'Plan mensual'!G251+parametros_recargas!$L$75*'Plan mensual'!G252</f>
        <v>1847.02796263752</v>
      </c>
      <c r="F229" s="23" t="n">
        <f aca="false">parametros_recargas!$E$75*'Plan mensual'!H245+parametros_recargas!$F$75*'Plan mensual'!H246+parametros_recargas!$G$75*'Plan mensual'!H247+parametros_recargas!$H$75*'Plan mensual'!H248+parametros_recargas!$I$75*'Plan mensual'!H249+parametros_recargas!$J$75*'Plan mensual'!H250+parametros_recargas!$K$75*'Plan mensual'!H251+parametros_recargas!$L$75*'Plan mensual'!H252</f>
        <v>1847.02796263752</v>
      </c>
      <c r="G229" s="23" t="n">
        <f aca="false">parametros_recargas!$E$75*'Plan mensual'!I245+parametros_recargas!$F$75*'Plan mensual'!I246+parametros_recargas!$G$75*'Plan mensual'!I247+parametros_recargas!$H$75*'Plan mensual'!I248+parametros_recargas!$I$75*'Plan mensual'!I249+parametros_recargas!$J$75*'Plan mensual'!I250+parametros_recargas!$K$75*'Plan mensual'!I251+parametros_recargas!$L$75*'Plan mensual'!I252</f>
        <v>1847.02796263752</v>
      </c>
      <c r="H229" s="23" t="n">
        <f aca="false">parametros_recargas!$E$75*'Plan mensual'!J245+parametros_recargas!$F$75*'Plan mensual'!J246+parametros_recargas!$G$75*'Plan mensual'!J247+parametros_recargas!$H$75*'Plan mensual'!J248+parametros_recargas!$I$75*'Plan mensual'!J249+parametros_recargas!$J$75*'Plan mensual'!J250+parametros_recargas!$K$75*'Plan mensual'!J251+parametros_recargas!$L$75*'Plan mensual'!J252</f>
        <v>1847.02796263752</v>
      </c>
      <c r="I229" s="23" t="n">
        <f aca="false">parametros_recargas!$E$75*'Plan mensual'!K245+parametros_recargas!$F$75*'Plan mensual'!K246+parametros_recargas!$G$75*'Plan mensual'!K247+parametros_recargas!$H$75*'Plan mensual'!K248+parametros_recargas!$I$75*'Plan mensual'!K249+parametros_recargas!$J$75*'Plan mensual'!K250+parametros_recargas!$K$75*'Plan mensual'!K251+parametros_recargas!$L$75*'Plan mensual'!K252</f>
        <v>1847.02796263752</v>
      </c>
      <c r="J229" s="23" t="n">
        <f aca="false">parametros_recargas!$E$75*'Plan mensual'!L245+parametros_recargas!$F$75*'Plan mensual'!L246+parametros_recargas!$G$75*'Plan mensual'!L247+parametros_recargas!$H$75*'Plan mensual'!L248+parametros_recargas!$I$75*'Plan mensual'!L249+parametros_recargas!$J$75*'Plan mensual'!L250+parametros_recargas!$K$75*'Plan mensual'!L251+parametros_recargas!$L$75*'Plan mensual'!L252</f>
        <v>1847.02796263752</v>
      </c>
      <c r="K229" s="23" t="n">
        <f aca="false">parametros_recargas!$E$75*'Plan mensual'!M245+parametros_recargas!$F$75*'Plan mensual'!M246+parametros_recargas!$G$75*'Plan mensual'!M247+parametros_recargas!$H$75*'Plan mensual'!M248+parametros_recargas!$I$75*'Plan mensual'!M249+parametros_recargas!$J$75*'Plan mensual'!M250+parametros_recargas!$K$75*'Plan mensual'!M251+parametros_recargas!$L$75*'Plan mensual'!M252</f>
        <v>1847.02796263752</v>
      </c>
      <c r="L229" s="23" t="n">
        <f aca="false">parametros_recargas!$E$75*'Plan mensual'!N245+parametros_recargas!$F$75*'Plan mensual'!N246+parametros_recargas!$G$75*'Plan mensual'!N247+parametros_recargas!$H$75*'Plan mensual'!N248+parametros_recargas!$I$75*'Plan mensual'!N249+parametros_recargas!$J$75*'Plan mensual'!N250+parametros_recargas!$K$75*'Plan mensual'!N251+parametros_recargas!$L$75*'Plan mensual'!N252</f>
        <v>1847.02796263752</v>
      </c>
      <c r="M229" s="23" t="n">
        <f aca="false">parametros_recargas!$E$75*'Plan mensual'!O245+parametros_recargas!$F$75*'Plan mensual'!O246+parametros_recargas!$G$75*'Plan mensual'!O247+parametros_recargas!$H$75*'Plan mensual'!O248+parametros_recargas!$I$75*'Plan mensual'!O249+parametros_recargas!$J$75*'Plan mensual'!O250+parametros_recargas!$K$75*'Plan mensual'!O251+parametros_recargas!$L$75*'Plan mensual'!O252</f>
        <v>1847.02796263752</v>
      </c>
      <c r="N229" s="7" t="n">
        <f aca="false">SUM(B229:M229)</f>
        <v>22164.3355516502</v>
      </c>
      <c r="O229" s="24" t="n">
        <f aca="false">MAX(B229:M229)</f>
        <v>1847.02796263752</v>
      </c>
      <c r="P229" s="15" t="n">
        <f aca="false">O229/parametros_recargas!$B$6</f>
        <v>12.3135197509168</v>
      </c>
    </row>
    <row r="230" customFormat="false" ht="15" hidden="false" customHeight="false" outlineLevel="0" collapsed="false">
      <c r="A230" s="12" t="str">
        <f aca="false">parametros_recargas!$B$76</f>
        <v>Descarga BC</v>
      </c>
      <c r="B230" s="23" t="n">
        <f aca="false">parametros_recargas!$E$76*'Plan mensual'!D245+parametros_recargas!$F$76*'Plan mensual'!D246+parametros_recargas!$G$76*'Plan mensual'!D247+parametros_recargas!$H$76*'Plan mensual'!D248+parametros_recargas!$I$76*'Plan mensual'!D249+parametros_recargas!$J$76*'Plan mensual'!D250+parametros_recargas!$K$76*'Plan mensual'!D251+parametros_recargas!$L$76*'Plan mensual'!D252</f>
        <v>28.9742152942938</v>
      </c>
      <c r="C230" s="23" t="n">
        <f aca="false">parametros_recargas!$E$76*'Plan mensual'!E245+parametros_recargas!$F$76*'Plan mensual'!E246+parametros_recargas!$G$76*'Plan mensual'!E247+parametros_recargas!$H$76*'Plan mensual'!E248+parametros_recargas!$I$76*'Plan mensual'!E249+parametros_recargas!$J$76*'Plan mensual'!E250+parametros_recargas!$K$76*'Plan mensual'!E251+parametros_recargas!$L$76*'Plan mensual'!E252</f>
        <v>28.9742152942938</v>
      </c>
      <c r="D230" s="23" t="n">
        <f aca="false">parametros_recargas!$E$76*'Plan mensual'!F245+parametros_recargas!$F$76*'Plan mensual'!F246+parametros_recargas!$G$76*'Plan mensual'!F247+parametros_recargas!$H$76*'Plan mensual'!F248+parametros_recargas!$I$76*'Plan mensual'!F249+parametros_recargas!$J$76*'Plan mensual'!F250+parametros_recargas!$K$76*'Plan mensual'!F251+parametros_recargas!$L$76*'Plan mensual'!F252</f>
        <v>28.9742152942938</v>
      </c>
      <c r="E230" s="23" t="n">
        <f aca="false">parametros_recargas!$E$76*'Plan mensual'!G245+parametros_recargas!$F$76*'Plan mensual'!G246+parametros_recargas!$G$76*'Plan mensual'!G247+parametros_recargas!$H$76*'Plan mensual'!G248+parametros_recargas!$I$76*'Plan mensual'!G249+parametros_recargas!$J$76*'Plan mensual'!G250+parametros_recargas!$K$76*'Plan mensual'!G251+parametros_recargas!$L$76*'Plan mensual'!G252</f>
        <v>28.9742152942938</v>
      </c>
      <c r="F230" s="23" t="n">
        <f aca="false">parametros_recargas!$E$76*'Plan mensual'!H245+parametros_recargas!$F$76*'Plan mensual'!H246+parametros_recargas!$G$76*'Plan mensual'!H247+parametros_recargas!$H$76*'Plan mensual'!H248+parametros_recargas!$I$76*'Plan mensual'!H249+parametros_recargas!$J$76*'Plan mensual'!H250+parametros_recargas!$K$76*'Plan mensual'!H251+parametros_recargas!$L$76*'Plan mensual'!H252</f>
        <v>28.9742152942938</v>
      </c>
      <c r="G230" s="23" t="n">
        <f aca="false">parametros_recargas!$E$76*'Plan mensual'!I245+parametros_recargas!$F$76*'Plan mensual'!I246+parametros_recargas!$G$76*'Plan mensual'!I247+parametros_recargas!$H$76*'Plan mensual'!I248+parametros_recargas!$I$76*'Plan mensual'!I249+parametros_recargas!$J$76*'Plan mensual'!I250+parametros_recargas!$K$76*'Plan mensual'!I251+parametros_recargas!$L$76*'Plan mensual'!I252</f>
        <v>28.9742152942938</v>
      </c>
      <c r="H230" s="23" t="n">
        <f aca="false">parametros_recargas!$E$76*'Plan mensual'!J245+parametros_recargas!$F$76*'Plan mensual'!J246+parametros_recargas!$G$76*'Plan mensual'!J247+parametros_recargas!$H$76*'Plan mensual'!J248+parametros_recargas!$I$76*'Plan mensual'!J249+parametros_recargas!$J$76*'Plan mensual'!J250+parametros_recargas!$K$76*'Plan mensual'!J251+parametros_recargas!$L$76*'Plan mensual'!J252</f>
        <v>28.9742152942938</v>
      </c>
      <c r="I230" s="23" t="n">
        <f aca="false">parametros_recargas!$E$76*'Plan mensual'!K245+parametros_recargas!$F$76*'Plan mensual'!K246+parametros_recargas!$G$76*'Plan mensual'!K247+parametros_recargas!$H$76*'Plan mensual'!K248+parametros_recargas!$I$76*'Plan mensual'!K249+parametros_recargas!$J$76*'Plan mensual'!K250+parametros_recargas!$K$76*'Plan mensual'!K251+parametros_recargas!$L$76*'Plan mensual'!K252</f>
        <v>28.9742152942938</v>
      </c>
      <c r="J230" s="23" t="n">
        <f aca="false">parametros_recargas!$E$76*'Plan mensual'!L245+parametros_recargas!$F$76*'Plan mensual'!L246+parametros_recargas!$G$76*'Plan mensual'!L247+parametros_recargas!$H$76*'Plan mensual'!L248+parametros_recargas!$I$76*'Plan mensual'!L249+parametros_recargas!$J$76*'Plan mensual'!L250+parametros_recargas!$K$76*'Plan mensual'!L251+parametros_recargas!$L$76*'Plan mensual'!L252</f>
        <v>28.9742152942938</v>
      </c>
      <c r="K230" s="23" t="n">
        <f aca="false">parametros_recargas!$E$76*'Plan mensual'!M245+parametros_recargas!$F$76*'Plan mensual'!M246+parametros_recargas!$G$76*'Plan mensual'!M247+parametros_recargas!$H$76*'Plan mensual'!M248+parametros_recargas!$I$76*'Plan mensual'!M249+parametros_recargas!$J$76*'Plan mensual'!M250+parametros_recargas!$K$76*'Plan mensual'!M251+parametros_recargas!$L$76*'Plan mensual'!M252</f>
        <v>28.9742152942938</v>
      </c>
      <c r="L230" s="23" t="n">
        <f aca="false">parametros_recargas!$E$76*'Plan mensual'!N245+parametros_recargas!$F$76*'Plan mensual'!N246+parametros_recargas!$G$76*'Plan mensual'!N247+parametros_recargas!$H$76*'Plan mensual'!N248+parametros_recargas!$I$76*'Plan mensual'!N249+parametros_recargas!$J$76*'Plan mensual'!N250+parametros_recargas!$K$76*'Plan mensual'!N251+parametros_recargas!$L$76*'Plan mensual'!N252</f>
        <v>28.9742152942938</v>
      </c>
      <c r="M230" s="23" t="n">
        <f aca="false">parametros_recargas!$E$76*'Plan mensual'!O245+parametros_recargas!$F$76*'Plan mensual'!O246+parametros_recargas!$G$76*'Plan mensual'!O247+parametros_recargas!$H$76*'Plan mensual'!O248+parametros_recargas!$I$76*'Plan mensual'!O249+parametros_recargas!$J$76*'Plan mensual'!O250+parametros_recargas!$K$76*'Plan mensual'!O251+parametros_recargas!$L$76*'Plan mensual'!O252</f>
        <v>28.9742152942938</v>
      </c>
      <c r="N230" s="7" t="n">
        <f aca="false">SUM(B230:M230)</f>
        <v>347.690583531525</v>
      </c>
      <c r="O230" s="24" t="n">
        <f aca="false">MAX(B230:M230)</f>
        <v>28.9742152942938</v>
      </c>
      <c r="P230" s="15" t="n">
        <f aca="false">O230/parametros_recargas!$B$6</f>
        <v>0.193161435295292</v>
      </c>
    </row>
    <row r="231" customFormat="false" ht="15" hidden="false" customHeight="false" outlineLevel="0" collapsed="false">
      <c r="A231" s="12" t="str">
        <f aca="false">parametros_recargas!$B$77</f>
        <v>Descarga de agua / AFFF / sales K</v>
      </c>
      <c r="B231" s="23" t="n">
        <f aca="false">parametros_recargas!$E$77*'Plan mensual'!D245+parametros_recargas!$F$77*'Plan mensual'!D246+parametros_recargas!$G$77*'Plan mensual'!D247+parametros_recargas!$H$77*'Plan mensual'!D248+parametros_recargas!$I$77*'Plan mensual'!D249+parametros_recargas!$J$77*'Plan mensual'!D250+parametros_recargas!$K$77*'Plan mensual'!D251+parametros_recargas!$L$77*'Plan mensual'!D252</f>
        <v>983.339120065132</v>
      </c>
      <c r="C231" s="23" t="n">
        <f aca="false">parametros_recargas!$E$77*'Plan mensual'!E245+parametros_recargas!$F$77*'Plan mensual'!E246+parametros_recargas!$G$77*'Plan mensual'!E247+parametros_recargas!$H$77*'Plan mensual'!E248+parametros_recargas!$I$77*'Plan mensual'!E249+parametros_recargas!$J$77*'Plan mensual'!E250+parametros_recargas!$K$77*'Plan mensual'!E251+parametros_recargas!$L$77*'Plan mensual'!E252</f>
        <v>983.339120065132</v>
      </c>
      <c r="D231" s="23" t="n">
        <f aca="false">parametros_recargas!$E$77*'Plan mensual'!F245+parametros_recargas!$F$77*'Plan mensual'!F246+parametros_recargas!$G$77*'Plan mensual'!F247+parametros_recargas!$H$77*'Plan mensual'!F248+parametros_recargas!$I$77*'Plan mensual'!F249+parametros_recargas!$J$77*'Plan mensual'!F250+parametros_recargas!$K$77*'Plan mensual'!F251+parametros_recargas!$L$77*'Plan mensual'!F252</f>
        <v>983.339120065132</v>
      </c>
      <c r="E231" s="23" t="n">
        <f aca="false">parametros_recargas!$E$77*'Plan mensual'!G245+parametros_recargas!$F$77*'Plan mensual'!G246+parametros_recargas!$G$77*'Plan mensual'!G247+parametros_recargas!$H$77*'Plan mensual'!G248+parametros_recargas!$I$77*'Plan mensual'!G249+parametros_recargas!$J$77*'Plan mensual'!G250+parametros_recargas!$K$77*'Plan mensual'!G251+parametros_recargas!$L$77*'Plan mensual'!G252</f>
        <v>983.339120065132</v>
      </c>
      <c r="F231" s="23" t="n">
        <f aca="false">parametros_recargas!$E$77*'Plan mensual'!H245+parametros_recargas!$F$77*'Plan mensual'!H246+parametros_recargas!$G$77*'Plan mensual'!H247+parametros_recargas!$H$77*'Plan mensual'!H248+parametros_recargas!$I$77*'Plan mensual'!H249+parametros_recargas!$J$77*'Plan mensual'!H250+parametros_recargas!$K$77*'Plan mensual'!H251+parametros_recargas!$L$77*'Plan mensual'!H252</f>
        <v>983.339120065132</v>
      </c>
      <c r="G231" s="23" t="n">
        <f aca="false">parametros_recargas!$E$77*'Plan mensual'!I245+parametros_recargas!$F$77*'Plan mensual'!I246+parametros_recargas!$G$77*'Plan mensual'!I247+parametros_recargas!$H$77*'Plan mensual'!I248+parametros_recargas!$I$77*'Plan mensual'!I249+parametros_recargas!$J$77*'Plan mensual'!I250+parametros_recargas!$K$77*'Plan mensual'!I251+parametros_recargas!$L$77*'Plan mensual'!I252</f>
        <v>983.339120065132</v>
      </c>
      <c r="H231" s="23" t="n">
        <f aca="false">parametros_recargas!$E$77*'Plan mensual'!J245+parametros_recargas!$F$77*'Plan mensual'!J246+parametros_recargas!$G$77*'Plan mensual'!J247+parametros_recargas!$H$77*'Plan mensual'!J248+parametros_recargas!$I$77*'Plan mensual'!J249+parametros_recargas!$J$77*'Plan mensual'!J250+parametros_recargas!$K$77*'Plan mensual'!J251+parametros_recargas!$L$77*'Plan mensual'!J252</f>
        <v>983.339120065132</v>
      </c>
      <c r="I231" s="23" t="n">
        <f aca="false">parametros_recargas!$E$77*'Plan mensual'!K245+parametros_recargas!$F$77*'Plan mensual'!K246+parametros_recargas!$G$77*'Plan mensual'!K247+parametros_recargas!$H$77*'Plan mensual'!K248+parametros_recargas!$I$77*'Plan mensual'!K249+parametros_recargas!$J$77*'Plan mensual'!K250+parametros_recargas!$K$77*'Plan mensual'!K251+parametros_recargas!$L$77*'Plan mensual'!K252</f>
        <v>983.339120065132</v>
      </c>
      <c r="J231" s="23" t="n">
        <f aca="false">parametros_recargas!$E$77*'Plan mensual'!L245+parametros_recargas!$F$77*'Plan mensual'!L246+parametros_recargas!$G$77*'Plan mensual'!L247+parametros_recargas!$H$77*'Plan mensual'!L248+parametros_recargas!$I$77*'Plan mensual'!L249+parametros_recargas!$J$77*'Plan mensual'!L250+parametros_recargas!$K$77*'Plan mensual'!L251+parametros_recargas!$L$77*'Plan mensual'!L252</f>
        <v>983.339120065132</v>
      </c>
      <c r="K231" s="23" t="n">
        <f aca="false">parametros_recargas!$E$77*'Plan mensual'!M245+parametros_recargas!$F$77*'Plan mensual'!M246+parametros_recargas!$G$77*'Plan mensual'!M247+parametros_recargas!$H$77*'Plan mensual'!M248+parametros_recargas!$I$77*'Plan mensual'!M249+parametros_recargas!$J$77*'Plan mensual'!M250+parametros_recargas!$K$77*'Plan mensual'!M251+parametros_recargas!$L$77*'Plan mensual'!M252</f>
        <v>983.339120065132</v>
      </c>
      <c r="L231" s="23" t="n">
        <f aca="false">parametros_recargas!$E$77*'Plan mensual'!N245+parametros_recargas!$F$77*'Plan mensual'!N246+parametros_recargas!$G$77*'Plan mensual'!N247+parametros_recargas!$H$77*'Plan mensual'!N248+parametros_recargas!$I$77*'Plan mensual'!N249+parametros_recargas!$J$77*'Plan mensual'!N250+parametros_recargas!$K$77*'Plan mensual'!N251+parametros_recargas!$L$77*'Plan mensual'!N252</f>
        <v>983.339120065132</v>
      </c>
      <c r="M231" s="23" t="n">
        <f aca="false">parametros_recargas!$E$77*'Plan mensual'!O245+parametros_recargas!$F$77*'Plan mensual'!O246+parametros_recargas!$G$77*'Plan mensual'!O247+parametros_recargas!$H$77*'Plan mensual'!O248+parametros_recargas!$I$77*'Plan mensual'!O249+parametros_recargas!$J$77*'Plan mensual'!O250+parametros_recargas!$K$77*'Plan mensual'!O251+parametros_recargas!$L$77*'Plan mensual'!O252</f>
        <v>983.339120065132</v>
      </c>
      <c r="N231" s="7" t="n">
        <f aca="false">SUM(B231:M231)</f>
        <v>11800.0694407816</v>
      </c>
      <c r="O231" s="24" t="n">
        <f aca="false">MAX(B231:M231)</f>
        <v>983.339120065132</v>
      </c>
      <c r="P231" s="15" t="n">
        <f aca="false">O231/parametros_recargas!$B$6</f>
        <v>6.55559413376754</v>
      </c>
    </row>
    <row r="232" customFormat="false" ht="15" hidden="false" customHeight="false" outlineLevel="0" collapsed="false">
      <c r="A232" s="12" t="str">
        <f aca="false">parametros_recargas!$B$78</f>
        <v>Recuperación de CO₂</v>
      </c>
      <c r="B232" s="23" t="n">
        <f aca="false">parametros_recargas!$E$78*'Plan mensual'!D245+parametros_recargas!$F$78*'Plan mensual'!D246+parametros_recargas!$G$78*'Plan mensual'!D247+parametros_recargas!$H$78*'Plan mensual'!D248+parametros_recargas!$I$78*'Plan mensual'!D249+parametros_recargas!$J$78*'Plan mensual'!D250+parametros_recargas!$K$78*'Plan mensual'!D251+parametros_recargas!$L$78*'Plan mensual'!D252</f>
        <v>450.030650541761</v>
      </c>
      <c r="C232" s="23" t="n">
        <f aca="false">parametros_recargas!$E$78*'Plan mensual'!E245+parametros_recargas!$F$78*'Plan mensual'!E246+parametros_recargas!$G$78*'Plan mensual'!E247+parametros_recargas!$H$78*'Plan mensual'!E248+parametros_recargas!$I$78*'Plan mensual'!E249+parametros_recargas!$J$78*'Plan mensual'!E250+parametros_recargas!$K$78*'Plan mensual'!E251+parametros_recargas!$L$78*'Plan mensual'!E252</f>
        <v>450.030650541761</v>
      </c>
      <c r="D232" s="23" t="n">
        <f aca="false">parametros_recargas!$E$78*'Plan mensual'!F245+parametros_recargas!$F$78*'Plan mensual'!F246+parametros_recargas!$G$78*'Plan mensual'!F247+parametros_recargas!$H$78*'Plan mensual'!F248+parametros_recargas!$I$78*'Plan mensual'!F249+parametros_recargas!$J$78*'Plan mensual'!F250+parametros_recargas!$K$78*'Plan mensual'!F251+parametros_recargas!$L$78*'Plan mensual'!F252</f>
        <v>450.030650541761</v>
      </c>
      <c r="E232" s="23" t="n">
        <f aca="false">parametros_recargas!$E$78*'Plan mensual'!G245+parametros_recargas!$F$78*'Plan mensual'!G246+parametros_recargas!$G$78*'Plan mensual'!G247+parametros_recargas!$H$78*'Plan mensual'!G248+parametros_recargas!$I$78*'Plan mensual'!G249+parametros_recargas!$J$78*'Plan mensual'!G250+parametros_recargas!$K$78*'Plan mensual'!G251+parametros_recargas!$L$78*'Plan mensual'!G252</f>
        <v>450.030650541761</v>
      </c>
      <c r="F232" s="23" t="n">
        <f aca="false">parametros_recargas!$E$78*'Plan mensual'!H245+parametros_recargas!$F$78*'Plan mensual'!H246+parametros_recargas!$G$78*'Plan mensual'!H247+parametros_recargas!$H$78*'Plan mensual'!H248+parametros_recargas!$I$78*'Plan mensual'!H249+parametros_recargas!$J$78*'Plan mensual'!H250+parametros_recargas!$K$78*'Plan mensual'!H251+parametros_recargas!$L$78*'Plan mensual'!H252</f>
        <v>450.030650541761</v>
      </c>
      <c r="G232" s="23" t="n">
        <f aca="false">parametros_recargas!$E$78*'Plan mensual'!I245+parametros_recargas!$F$78*'Plan mensual'!I246+parametros_recargas!$G$78*'Plan mensual'!I247+parametros_recargas!$H$78*'Plan mensual'!I248+parametros_recargas!$I$78*'Plan mensual'!I249+parametros_recargas!$J$78*'Plan mensual'!I250+parametros_recargas!$K$78*'Plan mensual'!I251+parametros_recargas!$L$78*'Plan mensual'!I252</f>
        <v>450.030650541761</v>
      </c>
      <c r="H232" s="23" t="n">
        <f aca="false">parametros_recargas!$E$78*'Plan mensual'!J245+parametros_recargas!$F$78*'Plan mensual'!J246+parametros_recargas!$G$78*'Plan mensual'!J247+parametros_recargas!$H$78*'Plan mensual'!J248+parametros_recargas!$I$78*'Plan mensual'!J249+parametros_recargas!$J$78*'Plan mensual'!J250+parametros_recargas!$K$78*'Plan mensual'!J251+parametros_recargas!$L$78*'Plan mensual'!J252</f>
        <v>450.030650541761</v>
      </c>
      <c r="I232" s="23" t="n">
        <f aca="false">parametros_recargas!$E$78*'Plan mensual'!K245+parametros_recargas!$F$78*'Plan mensual'!K246+parametros_recargas!$G$78*'Plan mensual'!K247+parametros_recargas!$H$78*'Plan mensual'!K248+parametros_recargas!$I$78*'Plan mensual'!K249+parametros_recargas!$J$78*'Plan mensual'!K250+parametros_recargas!$K$78*'Plan mensual'!K251+parametros_recargas!$L$78*'Plan mensual'!K252</f>
        <v>450.030650541761</v>
      </c>
      <c r="J232" s="23" t="n">
        <f aca="false">parametros_recargas!$E$78*'Plan mensual'!L245+parametros_recargas!$F$78*'Plan mensual'!L246+parametros_recargas!$G$78*'Plan mensual'!L247+parametros_recargas!$H$78*'Plan mensual'!L248+parametros_recargas!$I$78*'Plan mensual'!L249+parametros_recargas!$J$78*'Plan mensual'!L250+parametros_recargas!$K$78*'Plan mensual'!L251+parametros_recargas!$L$78*'Plan mensual'!L252</f>
        <v>450.030650541761</v>
      </c>
      <c r="K232" s="23" t="n">
        <f aca="false">parametros_recargas!$E$78*'Plan mensual'!M245+parametros_recargas!$F$78*'Plan mensual'!M246+parametros_recargas!$G$78*'Plan mensual'!M247+parametros_recargas!$H$78*'Plan mensual'!M248+parametros_recargas!$I$78*'Plan mensual'!M249+parametros_recargas!$J$78*'Plan mensual'!M250+parametros_recargas!$K$78*'Plan mensual'!M251+parametros_recargas!$L$78*'Plan mensual'!M252</f>
        <v>450.030650541761</v>
      </c>
      <c r="L232" s="23" t="n">
        <f aca="false">parametros_recargas!$E$78*'Plan mensual'!N245+parametros_recargas!$F$78*'Plan mensual'!N246+parametros_recargas!$G$78*'Plan mensual'!N247+parametros_recargas!$H$78*'Plan mensual'!N248+parametros_recargas!$I$78*'Plan mensual'!N249+parametros_recargas!$J$78*'Plan mensual'!N250+parametros_recargas!$K$78*'Plan mensual'!N251+parametros_recargas!$L$78*'Plan mensual'!N252</f>
        <v>450.030650541761</v>
      </c>
      <c r="M232" s="23" t="n">
        <f aca="false">parametros_recargas!$E$78*'Plan mensual'!O245+parametros_recargas!$F$78*'Plan mensual'!O246+parametros_recargas!$G$78*'Plan mensual'!O247+parametros_recargas!$H$78*'Plan mensual'!O248+parametros_recargas!$I$78*'Plan mensual'!O249+parametros_recargas!$J$78*'Plan mensual'!O250+parametros_recargas!$K$78*'Plan mensual'!O251+parametros_recargas!$L$78*'Plan mensual'!O252</f>
        <v>450.030650541761</v>
      </c>
      <c r="N232" s="7" t="n">
        <f aca="false">SUM(B232:M232)</f>
        <v>5400.36780650113</v>
      </c>
      <c r="O232" s="24" t="n">
        <f aca="false">MAX(B232:M232)</f>
        <v>450.030650541761</v>
      </c>
      <c r="P232" s="15" t="n">
        <f aca="false">O232/parametros_recargas!$B$6</f>
        <v>3.00020433694507</v>
      </c>
    </row>
    <row r="233" customFormat="false" ht="15" hidden="false" customHeight="false" outlineLevel="0" collapsed="false">
      <c r="A233" s="12" t="str">
        <f aca="false">parametros_recargas!$B$79</f>
        <v>Recuperación de halogenado</v>
      </c>
      <c r="B233" s="23" t="n">
        <f aca="false">parametros_recargas!$E$79*'Plan mensual'!D245+parametros_recargas!$F$79*'Plan mensual'!D246+parametros_recargas!$G$79*'Plan mensual'!D247+parametros_recargas!$H$79*'Plan mensual'!D248+parametros_recargas!$I$79*'Plan mensual'!D249+parametros_recargas!$J$79*'Plan mensual'!D250+parametros_recargas!$K$79*'Plan mensual'!D251+parametros_recargas!$L$79*'Plan mensual'!D252</f>
        <v>18.3578645051624</v>
      </c>
      <c r="C233" s="23" t="n">
        <f aca="false">parametros_recargas!$E$79*'Plan mensual'!E245+parametros_recargas!$F$79*'Plan mensual'!E246+parametros_recargas!$G$79*'Plan mensual'!E247+parametros_recargas!$H$79*'Plan mensual'!E248+parametros_recargas!$I$79*'Plan mensual'!E249+parametros_recargas!$J$79*'Plan mensual'!E250+parametros_recargas!$K$79*'Plan mensual'!E251+parametros_recargas!$L$79*'Plan mensual'!E252</f>
        <v>18.3578645051624</v>
      </c>
      <c r="D233" s="23" t="n">
        <f aca="false">parametros_recargas!$E$79*'Plan mensual'!F245+parametros_recargas!$F$79*'Plan mensual'!F246+parametros_recargas!$G$79*'Plan mensual'!F247+parametros_recargas!$H$79*'Plan mensual'!F248+parametros_recargas!$I$79*'Plan mensual'!F249+parametros_recargas!$J$79*'Plan mensual'!F250+parametros_recargas!$K$79*'Plan mensual'!F251+parametros_recargas!$L$79*'Plan mensual'!F252</f>
        <v>18.3578645051624</v>
      </c>
      <c r="E233" s="23" t="n">
        <f aca="false">parametros_recargas!$E$79*'Plan mensual'!G245+parametros_recargas!$F$79*'Plan mensual'!G246+parametros_recargas!$G$79*'Plan mensual'!G247+parametros_recargas!$H$79*'Plan mensual'!G248+parametros_recargas!$I$79*'Plan mensual'!G249+parametros_recargas!$J$79*'Plan mensual'!G250+parametros_recargas!$K$79*'Plan mensual'!G251+parametros_recargas!$L$79*'Plan mensual'!G252</f>
        <v>18.3578645051624</v>
      </c>
      <c r="F233" s="23" t="n">
        <f aca="false">parametros_recargas!$E$79*'Plan mensual'!H245+parametros_recargas!$F$79*'Plan mensual'!H246+parametros_recargas!$G$79*'Plan mensual'!H247+parametros_recargas!$H$79*'Plan mensual'!H248+parametros_recargas!$I$79*'Plan mensual'!H249+parametros_recargas!$J$79*'Plan mensual'!H250+parametros_recargas!$K$79*'Plan mensual'!H251+parametros_recargas!$L$79*'Plan mensual'!H252</f>
        <v>18.3578645051624</v>
      </c>
      <c r="G233" s="23" t="n">
        <f aca="false">parametros_recargas!$E$79*'Plan mensual'!I245+parametros_recargas!$F$79*'Plan mensual'!I246+parametros_recargas!$G$79*'Plan mensual'!I247+parametros_recargas!$H$79*'Plan mensual'!I248+parametros_recargas!$I$79*'Plan mensual'!I249+parametros_recargas!$J$79*'Plan mensual'!I250+parametros_recargas!$K$79*'Plan mensual'!I251+parametros_recargas!$L$79*'Plan mensual'!I252</f>
        <v>18.3578645051624</v>
      </c>
      <c r="H233" s="23" t="n">
        <f aca="false">parametros_recargas!$E$79*'Plan mensual'!J245+parametros_recargas!$F$79*'Plan mensual'!J246+parametros_recargas!$G$79*'Plan mensual'!J247+parametros_recargas!$H$79*'Plan mensual'!J248+parametros_recargas!$I$79*'Plan mensual'!J249+parametros_recargas!$J$79*'Plan mensual'!J250+parametros_recargas!$K$79*'Plan mensual'!J251+parametros_recargas!$L$79*'Plan mensual'!J252</f>
        <v>18.3578645051624</v>
      </c>
      <c r="I233" s="23" t="n">
        <f aca="false">parametros_recargas!$E$79*'Plan mensual'!K245+parametros_recargas!$F$79*'Plan mensual'!K246+parametros_recargas!$G$79*'Plan mensual'!K247+parametros_recargas!$H$79*'Plan mensual'!K248+parametros_recargas!$I$79*'Plan mensual'!K249+parametros_recargas!$J$79*'Plan mensual'!K250+parametros_recargas!$K$79*'Plan mensual'!K251+parametros_recargas!$L$79*'Plan mensual'!K252</f>
        <v>18.3578645051624</v>
      </c>
      <c r="J233" s="23" t="n">
        <f aca="false">parametros_recargas!$E$79*'Plan mensual'!L245+parametros_recargas!$F$79*'Plan mensual'!L246+parametros_recargas!$G$79*'Plan mensual'!L247+parametros_recargas!$H$79*'Plan mensual'!L248+parametros_recargas!$I$79*'Plan mensual'!L249+parametros_recargas!$J$79*'Plan mensual'!L250+parametros_recargas!$K$79*'Plan mensual'!L251+parametros_recargas!$L$79*'Plan mensual'!L252</f>
        <v>18.3578645051624</v>
      </c>
      <c r="K233" s="23" t="n">
        <f aca="false">parametros_recargas!$E$79*'Plan mensual'!M245+parametros_recargas!$F$79*'Plan mensual'!M246+parametros_recargas!$G$79*'Plan mensual'!M247+parametros_recargas!$H$79*'Plan mensual'!M248+parametros_recargas!$I$79*'Plan mensual'!M249+parametros_recargas!$J$79*'Plan mensual'!M250+parametros_recargas!$K$79*'Plan mensual'!M251+parametros_recargas!$L$79*'Plan mensual'!M252</f>
        <v>18.3578645051624</v>
      </c>
      <c r="L233" s="23" t="n">
        <f aca="false">parametros_recargas!$E$79*'Plan mensual'!N245+parametros_recargas!$F$79*'Plan mensual'!N246+parametros_recargas!$G$79*'Plan mensual'!N247+parametros_recargas!$H$79*'Plan mensual'!N248+parametros_recargas!$I$79*'Plan mensual'!N249+parametros_recargas!$J$79*'Plan mensual'!N250+parametros_recargas!$K$79*'Plan mensual'!N251+parametros_recargas!$L$79*'Plan mensual'!N252</f>
        <v>18.3578645051624</v>
      </c>
      <c r="M233" s="23" t="n">
        <f aca="false">parametros_recargas!$E$79*'Plan mensual'!O245+parametros_recargas!$F$79*'Plan mensual'!O246+parametros_recargas!$G$79*'Plan mensual'!O247+parametros_recargas!$H$79*'Plan mensual'!O248+parametros_recargas!$I$79*'Plan mensual'!O249+parametros_recargas!$J$79*'Plan mensual'!O250+parametros_recargas!$K$79*'Plan mensual'!O251+parametros_recargas!$L$79*'Plan mensual'!O252</f>
        <v>18.3578645051624</v>
      </c>
      <c r="N233" s="7" t="n">
        <f aca="false">SUM(B233:M233)</f>
        <v>220.294374061949</v>
      </c>
      <c r="O233" s="24" t="n">
        <f aca="false">MAX(B233:M233)</f>
        <v>18.3578645051624</v>
      </c>
      <c r="P233" s="15" t="n">
        <f aca="false">O233/parametros_recargas!$B$6</f>
        <v>0.122385763367749</v>
      </c>
    </row>
    <row r="234" customFormat="false" ht="15" hidden="false" customHeight="false" outlineLevel="0" collapsed="false">
      <c r="A234" s="12" t="str">
        <f aca="false">parametros_recargas!$B$80</f>
        <v>Desarme y limpieza — recinto</v>
      </c>
      <c r="B234" s="23" t="n">
        <f aca="false">parametros_recargas!$E$80*'Plan mensual'!D245+parametros_recargas!$F$80*'Plan mensual'!D246+parametros_recargas!$G$80*'Plan mensual'!D247+parametros_recargas!$H$80*'Plan mensual'!D248+parametros_recargas!$I$80*'Plan mensual'!D249+parametros_recargas!$J$80*'Plan mensual'!D250+parametros_recargas!$K$80*'Plan mensual'!D251+parametros_recargas!$L$80*'Plan mensual'!D252</f>
        <v>18525.266489231</v>
      </c>
      <c r="C234" s="23" t="n">
        <f aca="false">parametros_recargas!$E$80*'Plan mensual'!E245+parametros_recargas!$F$80*'Plan mensual'!E246+parametros_recargas!$G$80*'Plan mensual'!E247+parametros_recargas!$H$80*'Plan mensual'!E248+parametros_recargas!$I$80*'Plan mensual'!E249+parametros_recargas!$J$80*'Plan mensual'!E250+parametros_recargas!$K$80*'Plan mensual'!E251+parametros_recargas!$L$80*'Plan mensual'!E252</f>
        <v>18525.266489231</v>
      </c>
      <c r="D234" s="23" t="n">
        <f aca="false">parametros_recargas!$E$80*'Plan mensual'!F245+parametros_recargas!$F$80*'Plan mensual'!F246+parametros_recargas!$G$80*'Plan mensual'!F247+parametros_recargas!$H$80*'Plan mensual'!F248+parametros_recargas!$I$80*'Plan mensual'!F249+parametros_recargas!$J$80*'Plan mensual'!F250+parametros_recargas!$K$80*'Plan mensual'!F251+parametros_recargas!$L$80*'Plan mensual'!F252</f>
        <v>18525.266489231</v>
      </c>
      <c r="E234" s="23" t="n">
        <f aca="false">parametros_recargas!$E$80*'Plan mensual'!G245+parametros_recargas!$F$80*'Plan mensual'!G246+parametros_recargas!$G$80*'Plan mensual'!G247+parametros_recargas!$H$80*'Plan mensual'!G248+parametros_recargas!$I$80*'Plan mensual'!G249+parametros_recargas!$J$80*'Plan mensual'!G250+parametros_recargas!$K$80*'Plan mensual'!G251+parametros_recargas!$L$80*'Plan mensual'!G252</f>
        <v>18525.266489231</v>
      </c>
      <c r="F234" s="23" t="n">
        <f aca="false">parametros_recargas!$E$80*'Plan mensual'!H245+parametros_recargas!$F$80*'Plan mensual'!H246+parametros_recargas!$G$80*'Plan mensual'!H247+parametros_recargas!$H$80*'Plan mensual'!H248+parametros_recargas!$I$80*'Plan mensual'!H249+parametros_recargas!$J$80*'Plan mensual'!H250+parametros_recargas!$K$80*'Plan mensual'!H251+parametros_recargas!$L$80*'Plan mensual'!H252</f>
        <v>18525.266489231</v>
      </c>
      <c r="G234" s="23" t="n">
        <f aca="false">parametros_recargas!$E$80*'Plan mensual'!I245+parametros_recargas!$F$80*'Plan mensual'!I246+parametros_recargas!$G$80*'Plan mensual'!I247+parametros_recargas!$H$80*'Plan mensual'!I248+parametros_recargas!$I$80*'Plan mensual'!I249+parametros_recargas!$J$80*'Plan mensual'!I250+parametros_recargas!$K$80*'Plan mensual'!I251+parametros_recargas!$L$80*'Plan mensual'!I252</f>
        <v>18525.266489231</v>
      </c>
      <c r="H234" s="23" t="n">
        <f aca="false">parametros_recargas!$E$80*'Plan mensual'!J245+parametros_recargas!$F$80*'Plan mensual'!J246+parametros_recargas!$G$80*'Plan mensual'!J247+parametros_recargas!$H$80*'Plan mensual'!J248+parametros_recargas!$I$80*'Plan mensual'!J249+parametros_recargas!$J$80*'Plan mensual'!J250+parametros_recargas!$K$80*'Plan mensual'!J251+parametros_recargas!$L$80*'Plan mensual'!J252</f>
        <v>18525.266489231</v>
      </c>
      <c r="I234" s="23" t="n">
        <f aca="false">parametros_recargas!$E$80*'Plan mensual'!K245+parametros_recargas!$F$80*'Plan mensual'!K246+parametros_recargas!$G$80*'Plan mensual'!K247+parametros_recargas!$H$80*'Plan mensual'!K248+parametros_recargas!$I$80*'Plan mensual'!K249+parametros_recargas!$J$80*'Plan mensual'!K250+parametros_recargas!$K$80*'Plan mensual'!K251+parametros_recargas!$L$80*'Plan mensual'!K252</f>
        <v>18525.266489231</v>
      </c>
      <c r="J234" s="23" t="n">
        <f aca="false">parametros_recargas!$E$80*'Plan mensual'!L245+parametros_recargas!$F$80*'Plan mensual'!L246+parametros_recargas!$G$80*'Plan mensual'!L247+parametros_recargas!$H$80*'Plan mensual'!L248+parametros_recargas!$I$80*'Plan mensual'!L249+parametros_recargas!$J$80*'Plan mensual'!L250+parametros_recargas!$K$80*'Plan mensual'!L251+parametros_recargas!$L$80*'Plan mensual'!L252</f>
        <v>18525.266489231</v>
      </c>
      <c r="K234" s="23" t="n">
        <f aca="false">parametros_recargas!$E$80*'Plan mensual'!M245+parametros_recargas!$F$80*'Plan mensual'!M246+parametros_recargas!$G$80*'Plan mensual'!M247+parametros_recargas!$H$80*'Plan mensual'!M248+parametros_recargas!$I$80*'Plan mensual'!M249+parametros_recargas!$J$80*'Plan mensual'!M250+parametros_recargas!$K$80*'Plan mensual'!M251+parametros_recargas!$L$80*'Plan mensual'!M252</f>
        <v>18525.266489231</v>
      </c>
      <c r="L234" s="23" t="n">
        <f aca="false">parametros_recargas!$E$80*'Plan mensual'!N245+parametros_recargas!$F$80*'Plan mensual'!N246+parametros_recargas!$G$80*'Plan mensual'!N247+parametros_recargas!$H$80*'Plan mensual'!N248+parametros_recargas!$I$80*'Plan mensual'!N249+parametros_recargas!$J$80*'Plan mensual'!N250+parametros_recargas!$K$80*'Plan mensual'!N251+parametros_recargas!$L$80*'Plan mensual'!N252</f>
        <v>18525.266489231</v>
      </c>
      <c r="M234" s="23" t="n">
        <f aca="false">parametros_recargas!$E$80*'Plan mensual'!O245+parametros_recargas!$F$80*'Plan mensual'!O246+parametros_recargas!$G$80*'Plan mensual'!O247+parametros_recargas!$H$80*'Plan mensual'!O248+parametros_recargas!$I$80*'Plan mensual'!O249+parametros_recargas!$J$80*'Plan mensual'!O250+parametros_recargas!$K$80*'Plan mensual'!O251+parametros_recargas!$L$80*'Plan mensual'!O252</f>
        <v>18525.266489231</v>
      </c>
      <c r="N234" s="7" t="n">
        <f aca="false">SUM(B234:M234)</f>
        <v>222303.197870772</v>
      </c>
      <c r="O234" s="24" t="n">
        <f aca="false">MAX(B234:M234)</f>
        <v>18525.266489231</v>
      </c>
      <c r="P234" s="15" t="n">
        <f aca="false">O234/parametros_recargas!$B$6</f>
        <v>123.501776594873</v>
      </c>
    </row>
    <row r="235" customFormat="false" ht="15" hidden="false" customHeight="false" outlineLevel="0" collapsed="false">
      <c r="A235" s="12" t="str">
        <f aca="false">parametros_recargas!$B$81</f>
        <v>Desarme e inspección interior — zona general</v>
      </c>
      <c r="B235" s="23" t="n">
        <f aca="false">parametros_recargas!$E$81*'Plan mensual'!D245+parametros_recargas!$F$81*'Plan mensual'!D246+parametros_recargas!$G$81*'Plan mensual'!D247+parametros_recargas!$H$81*'Plan mensual'!D248+parametros_recargas!$I$81*'Plan mensual'!D249+parametros_recargas!$J$81*'Plan mensual'!D250+parametros_recargas!$K$81*'Plan mensual'!D251+parametros_recargas!$L$81*'Plan mensual'!D252</f>
        <v>1451.72763511205</v>
      </c>
      <c r="C235" s="23" t="n">
        <f aca="false">parametros_recargas!$E$81*'Plan mensual'!E245+parametros_recargas!$F$81*'Plan mensual'!E246+parametros_recargas!$G$81*'Plan mensual'!E247+parametros_recargas!$H$81*'Plan mensual'!E248+parametros_recargas!$I$81*'Plan mensual'!E249+parametros_recargas!$J$81*'Plan mensual'!E250+parametros_recargas!$K$81*'Plan mensual'!E251+parametros_recargas!$L$81*'Plan mensual'!E252</f>
        <v>1451.72763511205</v>
      </c>
      <c r="D235" s="23" t="n">
        <f aca="false">parametros_recargas!$E$81*'Plan mensual'!F245+parametros_recargas!$F$81*'Plan mensual'!F246+parametros_recargas!$G$81*'Plan mensual'!F247+parametros_recargas!$H$81*'Plan mensual'!F248+parametros_recargas!$I$81*'Plan mensual'!F249+parametros_recargas!$J$81*'Plan mensual'!F250+parametros_recargas!$K$81*'Plan mensual'!F251+parametros_recargas!$L$81*'Plan mensual'!F252</f>
        <v>1451.72763511205</v>
      </c>
      <c r="E235" s="23" t="n">
        <f aca="false">parametros_recargas!$E$81*'Plan mensual'!G245+parametros_recargas!$F$81*'Plan mensual'!G246+parametros_recargas!$G$81*'Plan mensual'!G247+parametros_recargas!$H$81*'Plan mensual'!G248+parametros_recargas!$I$81*'Plan mensual'!G249+parametros_recargas!$J$81*'Plan mensual'!G250+parametros_recargas!$K$81*'Plan mensual'!G251+parametros_recargas!$L$81*'Plan mensual'!G252</f>
        <v>1451.72763511205</v>
      </c>
      <c r="F235" s="23" t="n">
        <f aca="false">parametros_recargas!$E$81*'Plan mensual'!H245+parametros_recargas!$F$81*'Plan mensual'!H246+parametros_recargas!$G$81*'Plan mensual'!H247+parametros_recargas!$H$81*'Plan mensual'!H248+parametros_recargas!$I$81*'Plan mensual'!H249+parametros_recargas!$J$81*'Plan mensual'!H250+parametros_recargas!$K$81*'Plan mensual'!H251+parametros_recargas!$L$81*'Plan mensual'!H252</f>
        <v>1451.72763511205</v>
      </c>
      <c r="G235" s="23" t="n">
        <f aca="false">parametros_recargas!$E$81*'Plan mensual'!I245+parametros_recargas!$F$81*'Plan mensual'!I246+parametros_recargas!$G$81*'Plan mensual'!I247+parametros_recargas!$H$81*'Plan mensual'!I248+parametros_recargas!$I$81*'Plan mensual'!I249+parametros_recargas!$J$81*'Plan mensual'!I250+parametros_recargas!$K$81*'Plan mensual'!I251+parametros_recargas!$L$81*'Plan mensual'!I252</f>
        <v>1451.72763511205</v>
      </c>
      <c r="H235" s="23" t="n">
        <f aca="false">parametros_recargas!$E$81*'Plan mensual'!J245+parametros_recargas!$F$81*'Plan mensual'!J246+parametros_recargas!$G$81*'Plan mensual'!J247+parametros_recargas!$H$81*'Plan mensual'!J248+parametros_recargas!$I$81*'Plan mensual'!J249+parametros_recargas!$J$81*'Plan mensual'!J250+parametros_recargas!$K$81*'Plan mensual'!J251+parametros_recargas!$L$81*'Plan mensual'!J252</f>
        <v>1451.72763511205</v>
      </c>
      <c r="I235" s="23" t="n">
        <f aca="false">parametros_recargas!$E$81*'Plan mensual'!K245+parametros_recargas!$F$81*'Plan mensual'!K246+parametros_recargas!$G$81*'Plan mensual'!K247+parametros_recargas!$H$81*'Plan mensual'!K248+parametros_recargas!$I$81*'Plan mensual'!K249+parametros_recargas!$J$81*'Plan mensual'!K250+parametros_recargas!$K$81*'Plan mensual'!K251+parametros_recargas!$L$81*'Plan mensual'!K252</f>
        <v>1451.72763511205</v>
      </c>
      <c r="J235" s="23" t="n">
        <f aca="false">parametros_recargas!$E$81*'Plan mensual'!L245+parametros_recargas!$F$81*'Plan mensual'!L246+parametros_recargas!$G$81*'Plan mensual'!L247+parametros_recargas!$H$81*'Plan mensual'!L248+parametros_recargas!$I$81*'Plan mensual'!L249+parametros_recargas!$J$81*'Plan mensual'!L250+parametros_recargas!$K$81*'Plan mensual'!L251+parametros_recargas!$L$81*'Plan mensual'!L252</f>
        <v>1451.72763511205</v>
      </c>
      <c r="K235" s="23" t="n">
        <f aca="false">parametros_recargas!$E$81*'Plan mensual'!M245+parametros_recargas!$F$81*'Plan mensual'!M246+parametros_recargas!$G$81*'Plan mensual'!M247+parametros_recargas!$H$81*'Plan mensual'!M248+parametros_recargas!$I$81*'Plan mensual'!M249+parametros_recargas!$J$81*'Plan mensual'!M250+parametros_recargas!$K$81*'Plan mensual'!M251+parametros_recargas!$L$81*'Plan mensual'!M252</f>
        <v>1451.72763511205</v>
      </c>
      <c r="L235" s="23" t="n">
        <f aca="false">parametros_recargas!$E$81*'Plan mensual'!N245+parametros_recargas!$F$81*'Plan mensual'!N246+parametros_recargas!$G$81*'Plan mensual'!N247+parametros_recargas!$H$81*'Plan mensual'!N248+parametros_recargas!$I$81*'Plan mensual'!N249+parametros_recargas!$J$81*'Plan mensual'!N250+parametros_recargas!$K$81*'Plan mensual'!N251+parametros_recargas!$L$81*'Plan mensual'!N252</f>
        <v>1451.72763511205</v>
      </c>
      <c r="M235" s="23" t="n">
        <f aca="false">parametros_recargas!$E$81*'Plan mensual'!O245+parametros_recargas!$F$81*'Plan mensual'!O246+parametros_recargas!$G$81*'Plan mensual'!O247+parametros_recargas!$H$81*'Plan mensual'!O248+parametros_recargas!$I$81*'Plan mensual'!O249+parametros_recargas!$J$81*'Plan mensual'!O250+parametros_recargas!$K$81*'Plan mensual'!O251+parametros_recargas!$L$81*'Plan mensual'!O252</f>
        <v>1451.72763511205</v>
      </c>
      <c r="N235" s="7" t="n">
        <f aca="false">SUM(B235:M235)</f>
        <v>17420.7316213447</v>
      </c>
      <c r="O235" s="24" t="n">
        <f aca="false">MAX(B235:M235)</f>
        <v>1451.72763511205</v>
      </c>
      <c r="P235" s="15" t="n">
        <f aca="false">O235/parametros_recargas!$B$6</f>
        <v>9.67818423408036</v>
      </c>
    </row>
    <row r="236" customFormat="false" ht="15" hidden="false" customHeight="false" outlineLevel="0" collapsed="false">
      <c r="A236" s="12" t="str">
        <f aca="false">parametros_recargas!$B$82</f>
        <v>Laboratorio — Puffer y mufla</v>
      </c>
      <c r="B236" s="23" t="n">
        <f aca="false">parametros_recargas!$E$82*'Plan mensual'!D245+parametros_recargas!$F$82*'Plan mensual'!D246+parametros_recargas!$G$82*'Plan mensual'!D247+parametros_recargas!$H$82*'Plan mensual'!D248+parametros_recargas!$I$82*'Plan mensual'!D249+parametros_recargas!$J$82*'Plan mensual'!D250+parametros_recargas!$K$82*'Plan mensual'!D251+parametros_recargas!$L$82*'Plan mensual'!D252</f>
        <v>18.4992538416695</v>
      </c>
      <c r="C236" s="23" t="n">
        <f aca="false">parametros_recargas!$E$82*'Plan mensual'!E245+parametros_recargas!$F$82*'Plan mensual'!E246+parametros_recargas!$G$82*'Plan mensual'!E247+parametros_recargas!$H$82*'Plan mensual'!E248+parametros_recargas!$I$82*'Plan mensual'!E249+parametros_recargas!$J$82*'Plan mensual'!E250+parametros_recargas!$K$82*'Plan mensual'!E251+parametros_recargas!$L$82*'Plan mensual'!E252</f>
        <v>18.4992538416695</v>
      </c>
      <c r="D236" s="23" t="n">
        <f aca="false">parametros_recargas!$E$82*'Plan mensual'!F245+parametros_recargas!$F$82*'Plan mensual'!F246+parametros_recargas!$G$82*'Plan mensual'!F247+parametros_recargas!$H$82*'Plan mensual'!F248+parametros_recargas!$I$82*'Plan mensual'!F249+parametros_recargas!$J$82*'Plan mensual'!F250+parametros_recargas!$K$82*'Plan mensual'!F251+parametros_recargas!$L$82*'Plan mensual'!F252</f>
        <v>18.4992538416695</v>
      </c>
      <c r="E236" s="23" t="n">
        <f aca="false">parametros_recargas!$E$82*'Plan mensual'!G245+parametros_recargas!$F$82*'Plan mensual'!G246+parametros_recargas!$G$82*'Plan mensual'!G247+parametros_recargas!$H$82*'Plan mensual'!G248+parametros_recargas!$I$82*'Plan mensual'!G249+parametros_recargas!$J$82*'Plan mensual'!G250+parametros_recargas!$K$82*'Plan mensual'!G251+parametros_recargas!$L$82*'Plan mensual'!G252</f>
        <v>18.4992538416695</v>
      </c>
      <c r="F236" s="23" t="n">
        <f aca="false">parametros_recargas!$E$82*'Plan mensual'!H245+parametros_recargas!$F$82*'Plan mensual'!H246+parametros_recargas!$G$82*'Plan mensual'!H247+parametros_recargas!$H$82*'Plan mensual'!H248+parametros_recargas!$I$82*'Plan mensual'!H249+parametros_recargas!$J$82*'Plan mensual'!H250+parametros_recargas!$K$82*'Plan mensual'!H251+parametros_recargas!$L$82*'Plan mensual'!H252</f>
        <v>18.4992538416695</v>
      </c>
      <c r="G236" s="23" t="n">
        <f aca="false">parametros_recargas!$E$82*'Plan mensual'!I245+parametros_recargas!$F$82*'Plan mensual'!I246+parametros_recargas!$G$82*'Plan mensual'!I247+parametros_recargas!$H$82*'Plan mensual'!I248+parametros_recargas!$I$82*'Plan mensual'!I249+parametros_recargas!$J$82*'Plan mensual'!I250+parametros_recargas!$K$82*'Plan mensual'!I251+parametros_recargas!$L$82*'Plan mensual'!I252</f>
        <v>18.4992538416695</v>
      </c>
      <c r="H236" s="23" t="n">
        <f aca="false">parametros_recargas!$E$82*'Plan mensual'!J245+parametros_recargas!$F$82*'Plan mensual'!J246+parametros_recargas!$G$82*'Plan mensual'!J247+parametros_recargas!$H$82*'Plan mensual'!J248+parametros_recargas!$I$82*'Plan mensual'!J249+parametros_recargas!$J$82*'Plan mensual'!J250+parametros_recargas!$K$82*'Plan mensual'!J251+parametros_recargas!$L$82*'Plan mensual'!J252</f>
        <v>18.4992538416695</v>
      </c>
      <c r="I236" s="23" t="n">
        <f aca="false">parametros_recargas!$E$82*'Plan mensual'!K245+parametros_recargas!$F$82*'Plan mensual'!K246+parametros_recargas!$G$82*'Plan mensual'!K247+parametros_recargas!$H$82*'Plan mensual'!K248+parametros_recargas!$I$82*'Plan mensual'!K249+parametros_recargas!$J$82*'Plan mensual'!K250+parametros_recargas!$K$82*'Plan mensual'!K251+parametros_recargas!$L$82*'Plan mensual'!K252</f>
        <v>18.4992538416695</v>
      </c>
      <c r="J236" s="23" t="n">
        <f aca="false">parametros_recargas!$E$82*'Plan mensual'!L245+parametros_recargas!$F$82*'Plan mensual'!L246+parametros_recargas!$G$82*'Plan mensual'!L247+parametros_recargas!$H$82*'Plan mensual'!L248+parametros_recargas!$I$82*'Plan mensual'!L249+parametros_recargas!$J$82*'Plan mensual'!L250+parametros_recargas!$K$82*'Plan mensual'!L251+parametros_recargas!$L$82*'Plan mensual'!L252</f>
        <v>18.4992538416695</v>
      </c>
      <c r="K236" s="23" t="n">
        <f aca="false">parametros_recargas!$E$82*'Plan mensual'!M245+parametros_recargas!$F$82*'Plan mensual'!M246+parametros_recargas!$G$82*'Plan mensual'!M247+parametros_recargas!$H$82*'Plan mensual'!M248+parametros_recargas!$I$82*'Plan mensual'!M249+parametros_recargas!$J$82*'Plan mensual'!M250+parametros_recargas!$K$82*'Plan mensual'!M251+parametros_recargas!$L$82*'Plan mensual'!M252</f>
        <v>18.4992538416695</v>
      </c>
      <c r="L236" s="23" t="n">
        <f aca="false">parametros_recargas!$E$82*'Plan mensual'!N245+parametros_recargas!$F$82*'Plan mensual'!N246+parametros_recargas!$G$82*'Plan mensual'!N247+parametros_recargas!$H$82*'Plan mensual'!N248+parametros_recargas!$I$82*'Plan mensual'!N249+parametros_recargas!$J$82*'Plan mensual'!N250+parametros_recargas!$K$82*'Plan mensual'!N251+parametros_recargas!$L$82*'Plan mensual'!N252</f>
        <v>18.4992538416695</v>
      </c>
      <c r="M236" s="23" t="n">
        <f aca="false">parametros_recargas!$E$82*'Plan mensual'!O245+parametros_recargas!$F$82*'Plan mensual'!O246+parametros_recargas!$G$82*'Plan mensual'!O247+parametros_recargas!$H$82*'Plan mensual'!O248+parametros_recargas!$I$82*'Plan mensual'!O249+parametros_recargas!$J$82*'Plan mensual'!O250+parametros_recargas!$K$82*'Plan mensual'!O251+parametros_recargas!$L$82*'Plan mensual'!O252</f>
        <v>18.4992538416695</v>
      </c>
      <c r="N236" s="7" t="n">
        <f aca="false">SUM(B236:M236)</f>
        <v>221.991046100034</v>
      </c>
      <c r="O236" s="24" t="n">
        <f aca="false">MAX(B236:M236)</f>
        <v>18.4992538416695</v>
      </c>
      <c r="P236" s="15" t="n">
        <f aca="false">O236/parametros_recargas!$B$6</f>
        <v>0.123328358944463</v>
      </c>
    </row>
    <row r="237" customFormat="false" ht="15" hidden="false" customHeight="false" outlineLevel="0" collapsed="false">
      <c r="A237" s="12" t="str">
        <f aca="false">parametros_recargas!$B$83</f>
        <v>Prueba hidráulica</v>
      </c>
      <c r="B237" s="23" t="n">
        <f aca="false">parametros_recargas!$E$83*'Plan mensual'!D245+parametros_recargas!$F$83*'Plan mensual'!D246+parametros_recargas!$G$83*'Plan mensual'!D247+parametros_recargas!$H$83*'Plan mensual'!D248+parametros_recargas!$I$83*'Plan mensual'!D249+parametros_recargas!$J$83*'Plan mensual'!D250+parametros_recargas!$K$83*'Plan mensual'!D251+parametros_recargas!$L$83*'Plan mensual'!D252</f>
        <v>4571.43366991631</v>
      </c>
      <c r="C237" s="23" t="n">
        <f aca="false">parametros_recargas!$E$83*'Plan mensual'!E245+parametros_recargas!$F$83*'Plan mensual'!E246+parametros_recargas!$G$83*'Plan mensual'!E247+parametros_recargas!$H$83*'Plan mensual'!E248+parametros_recargas!$I$83*'Plan mensual'!E249+parametros_recargas!$J$83*'Plan mensual'!E250+parametros_recargas!$K$83*'Plan mensual'!E251+parametros_recargas!$L$83*'Plan mensual'!E252</f>
        <v>4571.43366991631</v>
      </c>
      <c r="D237" s="23" t="n">
        <f aca="false">parametros_recargas!$E$83*'Plan mensual'!F245+parametros_recargas!$F$83*'Plan mensual'!F246+parametros_recargas!$G$83*'Plan mensual'!F247+parametros_recargas!$H$83*'Plan mensual'!F248+parametros_recargas!$I$83*'Plan mensual'!F249+parametros_recargas!$J$83*'Plan mensual'!F250+parametros_recargas!$K$83*'Plan mensual'!F251+parametros_recargas!$L$83*'Plan mensual'!F252</f>
        <v>4571.43366991631</v>
      </c>
      <c r="E237" s="23" t="n">
        <f aca="false">parametros_recargas!$E$83*'Plan mensual'!G245+parametros_recargas!$F$83*'Plan mensual'!G246+parametros_recargas!$G$83*'Plan mensual'!G247+parametros_recargas!$H$83*'Plan mensual'!G248+parametros_recargas!$I$83*'Plan mensual'!G249+parametros_recargas!$J$83*'Plan mensual'!G250+parametros_recargas!$K$83*'Plan mensual'!G251+parametros_recargas!$L$83*'Plan mensual'!G252</f>
        <v>4571.43366991631</v>
      </c>
      <c r="F237" s="23" t="n">
        <f aca="false">parametros_recargas!$E$83*'Plan mensual'!H245+parametros_recargas!$F$83*'Plan mensual'!H246+parametros_recargas!$G$83*'Plan mensual'!H247+parametros_recargas!$H$83*'Plan mensual'!H248+parametros_recargas!$I$83*'Plan mensual'!H249+parametros_recargas!$J$83*'Plan mensual'!H250+parametros_recargas!$K$83*'Plan mensual'!H251+parametros_recargas!$L$83*'Plan mensual'!H252</f>
        <v>4571.43366991631</v>
      </c>
      <c r="G237" s="23" t="n">
        <f aca="false">parametros_recargas!$E$83*'Plan mensual'!I245+parametros_recargas!$F$83*'Plan mensual'!I246+parametros_recargas!$G$83*'Plan mensual'!I247+parametros_recargas!$H$83*'Plan mensual'!I248+parametros_recargas!$I$83*'Plan mensual'!I249+parametros_recargas!$J$83*'Plan mensual'!I250+parametros_recargas!$K$83*'Plan mensual'!I251+parametros_recargas!$L$83*'Plan mensual'!I252</f>
        <v>4571.43366991631</v>
      </c>
      <c r="H237" s="23" t="n">
        <f aca="false">parametros_recargas!$E$83*'Plan mensual'!J245+parametros_recargas!$F$83*'Plan mensual'!J246+parametros_recargas!$G$83*'Plan mensual'!J247+parametros_recargas!$H$83*'Plan mensual'!J248+parametros_recargas!$I$83*'Plan mensual'!J249+parametros_recargas!$J$83*'Plan mensual'!J250+parametros_recargas!$K$83*'Plan mensual'!J251+parametros_recargas!$L$83*'Plan mensual'!J252</f>
        <v>4571.43366991631</v>
      </c>
      <c r="I237" s="23" t="n">
        <f aca="false">parametros_recargas!$E$83*'Plan mensual'!K245+parametros_recargas!$F$83*'Plan mensual'!K246+parametros_recargas!$G$83*'Plan mensual'!K247+parametros_recargas!$H$83*'Plan mensual'!K248+parametros_recargas!$I$83*'Plan mensual'!K249+parametros_recargas!$J$83*'Plan mensual'!K250+parametros_recargas!$K$83*'Plan mensual'!K251+parametros_recargas!$L$83*'Plan mensual'!K252</f>
        <v>4571.43366991631</v>
      </c>
      <c r="J237" s="23" t="n">
        <f aca="false">parametros_recargas!$E$83*'Plan mensual'!L245+parametros_recargas!$F$83*'Plan mensual'!L246+parametros_recargas!$G$83*'Plan mensual'!L247+parametros_recargas!$H$83*'Plan mensual'!L248+parametros_recargas!$I$83*'Plan mensual'!L249+parametros_recargas!$J$83*'Plan mensual'!L250+parametros_recargas!$K$83*'Plan mensual'!L251+parametros_recargas!$L$83*'Plan mensual'!L252</f>
        <v>4571.43366991631</v>
      </c>
      <c r="K237" s="23" t="n">
        <f aca="false">parametros_recargas!$E$83*'Plan mensual'!M245+parametros_recargas!$F$83*'Plan mensual'!M246+parametros_recargas!$G$83*'Plan mensual'!M247+parametros_recargas!$H$83*'Plan mensual'!M248+parametros_recargas!$I$83*'Plan mensual'!M249+parametros_recargas!$J$83*'Plan mensual'!M250+parametros_recargas!$K$83*'Plan mensual'!M251+parametros_recargas!$L$83*'Plan mensual'!M252</f>
        <v>4571.43366991631</v>
      </c>
      <c r="L237" s="23" t="n">
        <f aca="false">parametros_recargas!$E$83*'Plan mensual'!N245+parametros_recargas!$F$83*'Plan mensual'!N246+parametros_recargas!$G$83*'Plan mensual'!N247+parametros_recargas!$H$83*'Plan mensual'!N248+parametros_recargas!$I$83*'Plan mensual'!N249+parametros_recargas!$J$83*'Plan mensual'!N250+parametros_recargas!$K$83*'Plan mensual'!N251+parametros_recargas!$L$83*'Plan mensual'!N252</f>
        <v>4571.43366991631</v>
      </c>
      <c r="M237" s="23" t="n">
        <f aca="false">parametros_recargas!$E$83*'Plan mensual'!O245+parametros_recargas!$F$83*'Plan mensual'!O246+parametros_recargas!$G$83*'Plan mensual'!O247+parametros_recargas!$H$83*'Plan mensual'!O248+parametros_recargas!$I$83*'Plan mensual'!O249+parametros_recargas!$J$83*'Plan mensual'!O250+parametros_recargas!$K$83*'Plan mensual'!O251+parametros_recargas!$L$83*'Plan mensual'!O252</f>
        <v>4571.43366991631</v>
      </c>
      <c r="N237" s="7" t="n">
        <f aca="false">SUM(B237:M237)</f>
        <v>54857.2040389957</v>
      </c>
      <c r="O237" s="24" t="n">
        <f aca="false">MAX(B237:M237)</f>
        <v>4571.43366991631</v>
      </c>
      <c r="P237" s="15" t="n">
        <f aca="false">O237/parametros_recargas!$B$6</f>
        <v>30.4762244661087</v>
      </c>
    </row>
    <row r="238" customFormat="false" ht="15" hidden="false" customHeight="false" outlineLevel="0" collapsed="false">
      <c r="A238" s="12" t="str">
        <f aca="false">parametros_recargas!$B$84</f>
        <v>Secado</v>
      </c>
      <c r="B238" s="23" t="n">
        <f aca="false">parametros_recargas!$E$84*'Plan mensual'!D245+parametros_recargas!$F$84*'Plan mensual'!D246+parametros_recargas!$G$84*'Plan mensual'!D247+parametros_recargas!$H$84*'Plan mensual'!D248+parametros_recargas!$I$84*'Plan mensual'!D249+parametros_recargas!$J$84*'Plan mensual'!D250+parametros_recargas!$K$84*'Plan mensual'!D251+parametros_recargas!$L$84*'Plan mensual'!D252</f>
        <v>4265.01677477605</v>
      </c>
      <c r="C238" s="23" t="n">
        <f aca="false">parametros_recargas!$E$84*'Plan mensual'!E245+parametros_recargas!$F$84*'Plan mensual'!E246+parametros_recargas!$G$84*'Plan mensual'!E247+parametros_recargas!$H$84*'Plan mensual'!E248+parametros_recargas!$I$84*'Plan mensual'!E249+parametros_recargas!$J$84*'Plan mensual'!E250+parametros_recargas!$K$84*'Plan mensual'!E251+parametros_recargas!$L$84*'Plan mensual'!E252</f>
        <v>4265.01677477605</v>
      </c>
      <c r="D238" s="23" t="n">
        <f aca="false">parametros_recargas!$E$84*'Plan mensual'!F245+parametros_recargas!$F$84*'Plan mensual'!F246+parametros_recargas!$G$84*'Plan mensual'!F247+parametros_recargas!$H$84*'Plan mensual'!F248+parametros_recargas!$I$84*'Plan mensual'!F249+parametros_recargas!$J$84*'Plan mensual'!F250+parametros_recargas!$K$84*'Plan mensual'!F251+parametros_recargas!$L$84*'Plan mensual'!F252</f>
        <v>4265.01677477605</v>
      </c>
      <c r="E238" s="23" t="n">
        <f aca="false">parametros_recargas!$E$84*'Plan mensual'!G245+parametros_recargas!$F$84*'Plan mensual'!G246+parametros_recargas!$G$84*'Plan mensual'!G247+parametros_recargas!$H$84*'Plan mensual'!G248+parametros_recargas!$I$84*'Plan mensual'!G249+parametros_recargas!$J$84*'Plan mensual'!G250+parametros_recargas!$K$84*'Plan mensual'!G251+parametros_recargas!$L$84*'Plan mensual'!G252</f>
        <v>4265.01677477605</v>
      </c>
      <c r="F238" s="23" t="n">
        <f aca="false">parametros_recargas!$E$84*'Plan mensual'!H245+parametros_recargas!$F$84*'Plan mensual'!H246+parametros_recargas!$G$84*'Plan mensual'!H247+parametros_recargas!$H$84*'Plan mensual'!H248+parametros_recargas!$I$84*'Plan mensual'!H249+parametros_recargas!$J$84*'Plan mensual'!H250+parametros_recargas!$K$84*'Plan mensual'!H251+parametros_recargas!$L$84*'Plan mensual'!H252</f>
        <v>4265.01677477605</v>
      </c>
      <c r="G238" s="23" t="n">
        <f aca="false">parametros_recargas!$E$84*'Plan mensual'!I245+parametros_recargas!$F$84*'Plan mensual'!I246+parametros_recargas!$G$84*'Plan mensual'!I247+parametros_recargas!$H$84*'Plan mensual'!I248+parametros_recargas!$I$84*'Plan mensual'!I249+parametros_recargas!$J$84*'Plan mensual'!I250+parametros_recargas!$K$84*'Plan mensual'!I251+parametros_recargas!$L$84*'Plan mensual'!I252</f>
        <v>4265.01677477605</v>
      </c>
      <c r="H238" s="23" t="n">
        <f aca="false">parametros_recargas!$E$84*'Plan mensual'!J245+parametros_recargas!$F$84*'Plan mensual'!J246+parametros_recargas!$G$84*'Plan mensual'!J247+parametros_recargas!$H$84*'Plan mensual'!J248+parametros_recargas!$I$84*'Plan mensual'!J249+parametros_recargas!$J$84*'Plan mensual'!J250+parametros_recargas!$K$84*'Plan mensual'!J251+parametros_recargas!$L$84*'Plan mensual'!J252</f>
        <v>4265.01677477605</v>
      </c>
      <c r="I238" s="23" t="n">
        <f aca="false">parametros_recargas!$E$84*'Plan mensual'!K245+parametros_recargas!$F$84*'Plan mensual'!K246+parametros_recargas!$G$84*'Plan mensual'!K247+parametros_recargas!$H$84*'Plan mensual'!K248+parametros_recargas!$I$84*'Plan mensual'!K249+parametros_recargas!$J$84*'Plan mensual'!K250+parametros_recargas!$K$84*'Plan mensual'!K251+parametros_recargas!$L$84*'Plan mensual'!K252</f>
        <v>4265.01677477605</v>
      </c>
      <c r="J238" s="23" t="n">
        <f aca="false">parametros_recargas!$E$84*'Plan mensual'!L245+parametros_recargas!$F$84*'Plan mensual'!L246+parametros_recargas!$G$84*'Plan mensual'!L247+parametros_recargas!$H$84*'Plan mensual'!L248+parametros_recargas!$I$84*'Plan mensual'!L249+parametros_recargas!$J$84*'Plan mensual'!L250+parametros_recargas!$K$84*'Plan mensual'!L251+parametros_recargas!$L$84*'Plan mensual'!L252</f>
        <v>4265.01677477605</v>
      </c>
      <c r="K238" s="23" t="n">
        <f aca="false">parametros_recargas!$E$84*'Plan mensual'!M245+parametros_recargas!$F$84*'Plan mensual'!M246+parametros_recargas!$G$84*'Plan mensual'!M247+parametros_recargas!$H$84*'Plan mensual'!M248+parametros_recargas!$I$84*'Plan mensual'!M249+parametros_recargas!$J$84*'Plan mensual'!M250+parametros_recargas!$K$84*'Plan mensual'!M251+parametros_recargas!$L$84*'Plan mensual'!M252</f>
        <v>4265.01677477605</v>
      </c>
      <c r="L238" s="23" t="n">
        <f aca="false">parametros_recargas!$E$84*'Plan mensual'!N245+parametros_recargas!$F$84*'Plan mensual'!N246+parametros_recargas!$G$84*'Plan mensual'!N247+parametros_recargas!$H$84*'Plan mensual'!N248+parametros_recargas!$I$84*'Plan mensual'!N249+parametros_recargas!$J$84*'Plan mensual'!N250+parametros_recargas!$K$84*'Plan mensual'!N251+parametros_recargas!$L$84*'Plan mensual'!N252</f>
        <v>4265.01677477605</v>
      </c>
      <c r="M238" s="23" t="n">
        <f aca="false">parametros_recargas!$E$84*'Plan mensual'!O245+parametros_recargas!$F$84*'Plan mensual'!O246+parametros_recargas!$G$84*'Plan mensual'!O247+parametros_recargas!$H$84*'Plan mensual'!O248+parametros_recargas!$I$84*'Plan mensual'!O249+parametros_recargas!$J$84*'Plan mensual'!O250+parametros_recargas!$K$84*'Plan mensual'!O251+parametros_recargas!$L$84*'Plan mensual'!O252</f>
        <v>4265.01677477605</v>
      </c>
      <c r="N238" s="7" t="n">
        <f aca="false">SUM(B238:M238)</f>
        <v>51180.2012973126</v>
      </c>
      <c r="O238" s="24" t="n">
        <f aca="false">MAX(B238:M238)</f>
        <v>4265.01677477605</v>
      </c>
      <c r="P238" s="15" t="n">
        <f aca="false">O238/parametros_recargas!$B$6</f>
        <v>28.4334451651737</v>
      </c>
    </row>
    <row r="239" customFormat="false" ht="15" hidden="false" customHeight="false" outlineLevel="0" collapsed="false">
      <c r="A239" s="12" t="str">
        <f aca="false">parametros_recargas!$B$85</f>
        <v>Inspección interior con videoscopio</v>
      </c>
      <c r="B239" s="23" t="n">
        <f aca="false">parametros_recargas!$E$85*'Plan mensual'!D245+parametros_recargas!$F$85*'Plan mensual'!D246+parametros_recargas!$G$85*'Plan mensual'!D247+parametros_recargas!$H$85*'Plan mensual'!D248+parametros_recargas!$I$85*'Plan mensual'!D249+parametros_recargas!$J$85*'Plan mensual'!D250+parametros_recargas!$K$85*'Plan mensual'!D251+parametros_recargas!$L$85*'Plan mensual'!D252</f>
        <v>4265.01677477605</v>
      </c>
      <c r="C239" s="23" t="n">
        <f aca="false">parametros_recargas!$E$85*'Plan mensual'!E245+parametros_recargas!$F$85*'Plan mensual'!E246+parametros_recargas!$G$85*'Plan mensual'!E247+parametros_recargas!$H$85*'Plan mensual'!E248+parametros_recargas!$I$85*'Plan mensual'!E249+parametros_recargas!$J$85*'Plan mensual'!E250+parametros_recargas!$K$85*'Plan mensual'!E251+parametros_recargas!$L$85*'Plan mensual'!E252</f>
        <v>4265.01677477605</v>
      </c>
      <c r="D239" s="23" t="n">
        <f aca="false">parametros_recargas!$E$85*'Plan mensual'!F245+parametros_recargas!$F$85*'Plan mensual'!F246+parametros_recargas!$G$85*'Plan mensual'!F247+parametros_recargas!$H$85*'Plan mensual'!F248+parametros_recargas!$I$85*'Plan mensual'!F249+parametros_recargas!$J$85*'Plan mensual'!F250+parametros_recargas!$K$85*'Plan mensual'!F251+parametros_recargas!$L$85*'Plan mensual'!F252</f>
        <v>4265.01677477605</v>
      </c>
      <c r="E239" s="23" t="n">
        <f aca="false">parametros_recargas!$E$85*'Plan mensual'!G245+parametros_recargas!$F$85*'Plan mensual'!G246+parametros_recargas!$G$85*'Plan mensual'!G247+parametros_recargas!$H$85*'Plan mensual'!G248+parametros_recargas!$I$85*'Plan mensual'!G249+parametros_recargas!$J$85*'Plan mensual'!G250+parametros_recargas!$K$85*'Plan mensual'!G251+parametros_recargas!$L$85*'Plan mensual'!G252</f>
        <v>4265.01677477605</v>
      </c>
      <c r="F239" s="23" t="n">
        <f aca="false">parametros_recargas!$E$85*'Plan mensual'!H245+parametros_recargas!$F$85*'Plan mensual'!H246+parametros_recargas!$G$85*'Plan mensual'!H247+parametros_recargas!$H$85*'Plan mensual'!H248+parametros_recargas!$I$85*'Plan mensual'!H249+parametros_recargas!$J$85*'Plan mensual'!H250+parametros_recargas!$K$85*'Plan mensual'!H251+parametros_recargas!$L$85*'Plan mensual'!H252</f>
        <v>4265.01677477605</v>
      </c>
      <c r="G239" s="23" t="n">
        <f aca="false">parametros_recargas!$E$85*'Plan mensual'!I245+parametros_recargas!$F$85*'Plan mensual'!I246+parametros_recargas!$G$85*'Plan mensual'!I247+parametros_recargas!$H$85*'Plan mensual'!I248+parametros_recargas!$I$85*'Plan mensual'!I249+parametros_recargas!$J$85*'Plan mensual'!I250+parametros_recargas!$K$85*'Plan mensual'!I251+parametros_recargas!$L$85*'Plan mensual'!I252</f>
        <v>4265.01677477605</v>
      </c>
      <c r="H239" s="23" t="n">
        <f aca="false">parametros_recargas!$E$85*'Plan mensual'!J245+parametros_recargas!$F$85*'Plan mensual'!J246+parametros_recargas!$G$85*'Plan mensual'!J247+parametros_recargas!$H$85*'Plan mensual'!J248+parametros_recargas!$I$85*'Plan mensual'!J249+parametros_recargas!$J$85*'Plan mensual'!J250+parametros_recargas!$K$85*'Plan mensual'!J251+parametros_recargas!$L$85*'Plan mensual'!J252</f>
        <v>4265.01677477605</v>
      </c>
      <c r="I239" s="23" t="n">
        <f aca="false">parametros_recargas!$E$85*'Plan mensual'!K245+parametros_recargas!$F$85*'Plan mensual'!K246+parametros_recargas!$G$85*'Plan mensual'!K247+parametros_recargas!$H$85*'Plan mensual'!K248+parametros_recargas!$I$85*'Plan mensual'!K249+parametros_recargas!$J$85*'Plan mensual'!K250+parametros_recargas!$K$85*'Plan mensual'!K251+parametros_recargas!$L$85*'Plan mensual'!K252</f>
        <v>4265.01677477605</v>
      </c>
      <c r="J239" s="23" t="n">
        <f aca="false">parametros_recargas!$E$85*'Plan mensual'!L245+parametros_recargas!$F$85*'Plan mensual'!L246+parametros_recargas!$G$85*'Plan mensual'!L247+parametros_recargas!$H$85*'Plan mensual'!L248+parametros_recargas!$I$85*'Plan mensual'!L249+parametros_recargas!$J$85*'Plan mensual'!L250+parametros_recargas!$K$85*'Plan mensual'!L251+parametros_recargas!$L$85*'Plan mensual'!L252</f>
        <v>4265.01677477605</v>
      </c>
      <c r="K239" s="23" t="n">
        <f aca="false">parametros_recargas!$E$85*'Plan mensual'!M245+parametros_recargas!$F$85*'Plan mensual'!M246+parametros_recargas!$G$85*'Plan mensual'!M247+parametros_recargas!$H$85*'Plan mensual'!M248+parametros_recargas!$I$85*'Plan mensual'!M249+parametros_recargas!$J$85*'Plan mensual'!M250+parametros_recargas!$K$85*'Plan mensual'!M251+parametros_recargas!$L$85*'Plan mensual'!M252</f>
        <v>4265.01677477605</v>
      </c>
      <c r="L239" s="23" t="n">
        <f aca="false">parametros_recargas!$E$85*'Plan mensual'!N245+parametros_recargas!$F$85*'Plan mensual'!N246+parametros_recargas!$G$85*'Plan mensual'!N247+parametros_recargas!$H$85*'Plan mensual'!N248+parametros_recargas!$I$85*'Plan mensual'!N249+parametros_recargas!$J$85*'Plan mensual'!N250+parametros_recargas!$K$85*'Plan mensual'!N251+parametros_recargas!$L$85*'Plan mensual'!N252</f>
        <v>4265.01677477605</v>
      </c>
      <c r="M239" s="23" t="n">
        <f aca="false">parametros_recargas!$E$85*'Plan mensual'!O245+parametros_recargas!$F$85*'Plan mensual'!O246+parametros_recargas!$G$85*'Plan mensual'!O247+parametros_recargas!$H$85*'Plan mensual'!O248+parametros_recargas!$I$85*'Plan mensual'!O249+parametros_recargas!$J$85*'Plan mensual'!O250+parametros_recargas!$K$85*'Plan mensual'!O251+parametros_recargas!$L$85*'Plan mensual'!O252</f>
        <v>4265.01677477605</v>
      </c>
      <c r="N239" s="7" t="n">
        <f aca="false">SUM(B239:M239)</f>
        <v>51180.2012973126</v>
      </c>
      <c r="O239" s="24" t="n">
        <f aca="false">MAX(B239:M239)</f>
        <v>4265.01677477605</v>
      </c>
      <c r="P239" s="15" t="n">
        <f aca="false">O239/parametros_recargas!$B$6</f>
        <v>28.4334451651737</v>
      </c>
    </row>
    <row r="240" customFormat="false" ht="15" hidden="false" customHeight="false" outlineLevel="0" collapsed="false">
      <c r="A240" s="12" t="str">
        <f aca="false">parametros_recargas!$B$86</f>
        <v>Pintura</v>
      </c>
      <c r="B240" s="23" t="n">
        <f aca="false">parametros_recargas!$E$86*'Plan mensual'!D245+parametros_recargas!$F$86*'Plan mensual'!D246+parametros_recargas!$G$86*'Plan mensual'!D247+parametros_recargas!$H$86*'Plan mensual'!D248+parametros_recargas!$I$86*'Plan mensual'!D249+parametros_recargas!$J$86*'Plan mensual'!D250+parametros_recargas!$K$86*'Plan mensual'!D251+parametros_recargas!$L$86*'Plan mensual'!D252</f>
        <v>2138.21596694838</v>
      </c>
      <c r="C240" s="23" t="n">
        <f aca="false">parametros_recargas!$E$86*'Plan mensual'!E245+parametros_recargas!$F$86*'Plan mensual'!E246+parametros_recargas!$G$86*'Plan mensual'!E247+parametros_recargas!$H$86*'Plan mensual'!E248+parametros_recargas!$I$86*'Plan mensual'!E249+parametros_recargas!$J$86*'Plan mensual'!E250+parametros_recargas!$K$86*'Plan mensual'!E251+parametros_recargas!$L$86*'Plan mensual'!E252</f>
        <v>2138.21596694838</v>
      </c>
      <c r="D240" s="23" t="n">
        <f aca="false">parametros_recargas!$E$86*'Plan mensual'!F245+parametros_recargas!$F$86*'Plan mensual'!F246+parametros_recargas!$G$86*'Plan mensual'!F247+parametros_recargas!$H$86*'Plan mensual'!F248+parametros_recargas!$I$86*'Plan mensual'!F249+parametros_recargas!$J$86*'Plan mensual'!F250+parametros_recargas!$K$86*'Plan mensual'!F251+parametros_recargas!$L$86*'Plan mensual'!F252</f>
        <v>2138.21596694838</v>
      </c>
      <c r="E240" s="23" t="n">
        <f aca="false">parametros_recargas!$E$86*'Plan mensual'!G245+parametros_recargas!$F$86*'Plan mensual'!G246+parametros_recargas!$G$86*'Plan mensual'!G247+parametros_recargas!$H$86*'Plan mensual'!G248+parametros_recargas!$I$86*'Plan mensual'!G249+parametros_recargas!$J$86*'Plan mensual'!G250+parametros_recargas!$K$86*'Plan mensual'!G251+parametros_recargas!$L$86*'Plan mensual'!G252</f>
        <v>2138.21596694838</v>
      </c>
      <c r="F240" s="23" t="n">
        <f aca="false">parametros_recargas!$E$86*'Plan mensual'!H245+parametros_recargas!$F$86*'Plan mensual'!H246+parametros_recargas!$G$86*'Plan mensual'!H247+parametros_recargas!$H$86*'Plan mensual'!H248+parametros_recargas!$I$86*'Plan mensual'!H249+parametros_recargas!$J$86*'Plan mensual'!H250+parametros_recargas!$K$86*'Plan mensual'!H251+parametros_recargas!$L$86*'Plan mensual'!H252</f>
        <v>2138.21596694838</v>
      </c>
      <c r="G240" s="23" t="n">
        <f aca="false">parametros_recargas!$E$86*'Plan mensual'!I245+parametros_recargas!$F$86*'Plan mensual'!I246+parametros_recargas!$G$86*'Plan mensual'!I247+parametros_recargas!$H$86*'Plan mensual'!I248+parametros_recargas!$I$86*'Plan mensual'!I249+parametros_recargas!$J$86*'Plan mensual'!I250+parametros_recargas!$K$86*'Plan mensual'!I251+parametros_recargas!$L$86*'Plan mensual'!I252</f>
        <v>2138.21596694838</v>
      </c>
      <c r="H240" s="23" t="n">
        <f aca="false">parametros_recargas!$E$86*'Plan mensual'!J245+parametros_recargas!$F$86*'Plan mensual'!J246+parametros_recargas!$G$86*'Plan mensual'!J247+parametros_recargas!$H$86*'Plan mensual'!J248+parametros_recargas!$I$86*'Plan mensual'!J249+parametros_recargas!$J$86*'Plan mensual'!J250+parametros_recargas!$K$86*'Plan mensual'!J251+parametros_recargas!$L$86*'Plan mensual'!J252</f>
        <v>2138.21596694838</v>
      </c>
      <c r="I240" s="23" t="n">
        <f aca="false">parametros_recargas!$E$86*'Plan mensual'!K245+parametros_recargas!$F$86*'Plan mensual'!K246+parametros_recargas!$G$86*'Plan mensual'!K247+parametros_recargas!$H$86*'Plan mensual'!K248+parametros_recargas!$I$86*'Plan mensual'!K249+parametros_recargas!$J$86*'Plan mensual'!K250+parametros_recargas!$K$86*'Plan mensual'!K251+parametros_recargas!$L$86*'Plan mensual'!K252</f>
        <v>2138.21596694838</v>
      </c>
      <c r="J240" s="23" t="n">
        <f aca="false">parametros_recargas!$E$86*'Plan mensual'!L245+parametros_recargas!$F$86*'Plan mensual'!L246+parametros_recargas!$G$86*'Plan mensual'!L247+parametros_recargas!$H$86*'Plan mensual'!L248+parametros_recargas!$I$86*'Plan mensual'!L249+parametros_recargas!$J$86*'Plan mensual'!L250+parametros_recargas!$K$86*'Plan mensual'!L251+parametros_recargas!$L$86*'Plan mensual'!L252</f>
        <v>2138.21596694838</v>
      </c>
      <c r="K240" s="23" t="n">
        <f aca="false">parametros_recargas!$E$86*'Plan mensual'!M245+parametros_recargas!$F$86*'Plan mensual'!M246+parametros_recargas!$G$86*'Plan mensual'!M247+parametros_recargas!$H$86*'Plan mensual'!M248+parametros_recargas!$I$86*'Plan mensual'!M249+parametros_recargas!$J$86*'Plan mensual'!M250+parametros_recargas!$K$86*'Plan mensual'!M251+parametros_recargas!$L$86*'Plan mensual'!M252</f>
        <v>2138.21596694838</v>
      </c>
      <c r="L240" s="23" t="n">
        <f aca="false">parametros_recargas!$E$86*'Plan mensual'!N245+parametros_recargas!$F$86*'Plan mensual'!N246+parametros_recargas!$G$86*'Plan mensual'!N247+parametros_recargas!$H$86*'Plan mensual'!N248+parametros_recargas!$I$86*'Plan mensual'!N249+parametros_recargas!$J$86*'Plan mensual'!N250+parametros_recargas!$K$86*'Plan mensual'!N251+parametros_recargas!$L$86*'Plan mensual'!N252</f>
        <v>2138.21596694838</v>
      </c>
      <c r="M240" s="23" t="n">
        <f aca="false">parametros_recargas!$E$86*'Plan mensual'!O245+parametros_recargas!$F$86*'Plan mensual'!O246+parametros_recargas!$G$86*'Plan mensual'!O247+parametros_recargas!$H$86*'Plan mensual'!O248+parametros_recargas!$I$86*'Plan mensual'!O249+parametros_recargas!$J$86*'Plan mensual'!O250+parametros_recargas!$K$86*'Plan mensual'!O251+parametros_recargas!$L$86*'Plan mensual'!O252</f>
        <v>2138.21596694838</v>
      </c>
      <c r="N240" s="7" t="n">
        <f aca="false">SUM(B240:M240)</f>
        <v>25658.5916033806</v>
      </c>
      <c r="O240" s="24" t="n">
        <f aca="false">MAX(B240:M240)</f>
        <v>2138.21596694838</v>
      </c>
      <c r="P240" s="15" t="n">
        <f aca="false">O240/parametros_recargas!$B$6</f>
        <v>14.2547731129892</v>
      </c>
    </row>
    <row r="241" customFormat="false" ht="15" hidden="false" customHeight="false" outlineLevel="0" collapsed="false">
      <c r="A241" s="12" t="str">
        <f aca="false">parametros_recargas!$B$87</f>
        <v>Carga de polvo ABC</v>
      </c>
      <c r="B241" s="23" t="n">
        <f aca="false">parametros_recargas!$E$87*'Plan mensual'!D245+parametros_recargas!$F$87*'Plan mensual'!D246+parametros_recargas!$G$87*'Plan mensual'!D247+parametros_recargas!$H$87*'Plan mensual'!D248+parametros_recargas!$I$87*'Plan mensual'!D249+parametros_recargas!$J$87*'Plan mensual'!D250+parametros_recargas!$K$87*'Plan mensual'!D251+parametros_recargas!$L$87*'Plan mensual'!D252</f>
        <v>18470.2796263752</v>
      </c>
      <c r="C241" s="23" t="n">
        <f aca="false">parametros_recargas!$E$87*'Plan mensual'!E245+parametros_recargas!$F$87*'Plan mensual'!E246+parametros_recargas!$G$87*'Plan mensual'!E247+parametros_recargas!$H$87*'Plan mensual'!E248+parametros_recargas!$I$87*'Plan mensual'!E249+parametros_recargas!$J$87*'Plan mensual'!E250+parametros_recargas!$K$87*'Plan mensual'!E251+parametros_recargas!$L$87*'Plan mensual'!E252</f>
        <v>18470.2796263752</v>
      </c>
      <c r="D241" s="23" t="n">
        <f aca="false">parametros_recargas!$E$87*'Plan mensual'!F245+parametros_recargas!$F$87*'Plan mensual'!F246+parametros_recargas!$G$87*'Plan mensual'!F247+parametros_recargas!$H$87*'Plan mensual'!F248+parametros_recargas!$I$87*'Plan mensual'!F249+parametros_recargas!$J$87*'Plan mensual'!F250+parametros_recargas!$K$87*'Plan mensual'!F251+parametros_recargas!$L$87*'Plan mensual'!F252</f>
        <v>18470.2796263752</v>
      </c>
      <c r="E241" s="23" t="n">
        <f aca="false">parametros_recargas!$E$87*'Plan mensual'!G245+parametros_recargas!$F$87*'Plan mensual'!G246+parametros_recargas!$G$87*'Plan mensual'!G247+parametros_recargas!$H$87*'Plan mensual'!G248+parametros_recargas!$I$87*'Plan mensual'!G249+parametros_recargas!$J$87*'Plan mensual'!G250+parametros_recargas!$K$87*'Plan mensual'!G251+parametros_recargas!$L$87*'Plan mensual'!G252</f>
        <v>18470.2796263752</v>
      </c>
      <c r="F241" s="23" t="n">
        <f aca="false">parametros_recargas!$E$87*'Plan mensual'!H245+parametros_recargas!$F$87*'Plan mensual'!H246+parametros_recargas!$G$87*'Plan mensual'!H247+parametros_recargas!$H$87*'Plan mensual'!H248+parametros_recargas!$I$87*'Plan mensual'!H249+parametros_recargas!$J$87*'Plan mensual'!H250+parametros_recargas!$K$87*'Plan mensual'!H251+parametros_recargas!$L$87*'Plan mensual'!H252</f>
        <v>18470.2796263752</v>
      </c>
      <c r="G241" s="23" t="n">
        <f aca="false">parametros_recargas!$E$87*'Plan mensual'!I245+parametros_recargas!$F$87*'Plan mensual'!I246+parametros_recargas!$G$87*'Plan mensual'!I247+parametros_recargas!$H$87*'Plan mensual'!I248+parametros_recargas!$I$87*'Plan mensual'!I249+parametros_recargas!$J$87*'Plan mensual'!I250+parametros_recargas!$K$87*'Plan mensual'!I251+parametros_recargas!$L$87*'Plan mensual'!I252</f>
        <v>18470.2796263752</v>
      </c>
      <c r="H241" s="23" t="n">
        <f aca="false">parametros_recargas!$E$87*'Plan mensual'!J245+parametros_recargas!$F$87*'Plan mensual'!J246+parametros_recargas!$G$87*'Plan mensual'!J247+parametros_recargas!$H$87*'Plan mensual'!J248+parametros_recargas!$I$87*'Plan mensual'!J249+parametros_recargas!$J$87*'Plan mensual'!J250+parametros_recargas!$K$87*'Plan mensual'!J251+parametros_recargas!$L$87*'Plan mensual'!J252</f>
        <v>18470.2796263752</v>
      </c>
      <c r="I241" s="23" t="n">
        <f aca="false">parametros_recargas!$E$87*'Plan mensual'!K245+parametros_recargas!$F$87*'Plan mensual'!K246+parametros_recargas!$G$87*'Plan mensual'!K247+parametros_recargas!$H$87*'Plan mensual'!K248+parametros_recargas!$I$87*'Plan mensual'!K249+parametros_recargas!$J$87*'Plan mensual'!K250+parametros_recargas!$K$87*'Plan mensual'!K251+parametros_recargas!$L$87*'Plan mensual'!K252</f>
        <v>18470.2796263752</v>
      </c>
      <c r="J241" s="23" t="n">
        <f aca="false">parametros_recargas!$E$87*'Plan mensual'!L245+parametros_recargas!$F$87*'Plan mensual'!L246+parametros_recargas!$G$87*'Plan mensual'!L247+parametros_recargas!$H$87*'Plan mensual'!L248+parametros_recargas!$I$87*'Plan mensual'!L249+parametros_recargas!$J$87*'Plan mensual'!L250+parametros_recargas!$K$87*'Plan mensual'!L251+parametros_recargas!$L$87*'Plan mensual'!L252</f>
        <v>18470.2796263752</v>
      </c>
      <c r="K241" s="23" t="n">
        <f aca="false">parametros_recargas!$E$87*'Plan mensual'!M245+parametros_recargas!$F$87*'Plan mensual'!M246+parametros_recargas!$G$87*'Plan mensual'!M247+parametros_recargas!$H$87*'Plan mensual'!M248+parametros_recargas!$I$87*'Plan mensual'!M249+parametros_recargas!$J$87*'Plan mensual'!M250+parametros_recargas!$K$87*'Plan mensual'!M251+parametros_recargas!$L$87*'Plan mensual'!M252</f>
        <v>18470.2796263752</v>
      </c>
      <c r="L241" s="23" t="n">
        <f aca="false">parametros_recargas!$E$87*'Plan mensual'!N245+parametros_recargas!$F$87*'Plan mensual'!N246+parametros_recargas!$G$87*'Plan mensual'!N247+parametros_recargas!$H$87*'Plan mensual'!N248+parametros_recargas!$I$87*'Plan mensual'!N249+parametros_recargas!$J$87*'Plan mensual'!N250+parametros_recargas!$K$87*'Plan mensual'!N251+parametros_recargas!$L$87*'Plan mensual'!N252</f>
        <v>18470.2796263752</v>
      </c>
      <c r="M241" s="23" t="n">
        <f aca="false">parametros_recargas!$E$87*'Plan mensual'!O245+parametros_recargas!$F$87*'Plan mensual'!O246+parametros_recargas!$G$87*'Plan mensual'!O247+parametros_recargas!$H$87*'Plan mensual'!O248+parametros_recargas!$I$87*'Plan mensual'!O249+parametros_recargas!$J$87*'Plan mensual'!O250+parametros_recargas!$K$87*'Plan mensual'!O251+parametros_recargas!$L$87*'Plan mensual'!O252</f>
        <v>18470.2796263752</v>
      </c>
      <c r="N241" s="7" t="n">
        <f aca="false">SUM(B241:M241)</f>
        <v>221643.355516502</v>
      </c>
      <c r="O241" s="24" t="n">
        <f aca="false">MAX(B241:M241)</f>
        <v>18470.2796263752</v>
      </c>
      <c r="P241" s="15" t="n">
        <f aca="false">O241/parametros_recargas!$B$6</f>
        <v>123.135197509168</v>
      </c>
    </row>
    <row r="242" customFormat="false" ht="15" hidden="false" customHeight="false" outlineLevel="0" collapsed="false">
      <c r="A242" s="12" t="str">
        <f aca="false">parametros_recargas!$B$88</f>
        <v>Carga de polvo BC</v>
      </c>
      <c r="B242" s="23" t="n">
        <f aca="false">parametros_recargas!$E$88*'Plan mensual'!D245+parametros_recargas!$F$88*'Plan mensual'!D246+parametros_recargas!$G$88*'Plan mensual'!D247+parametros_recargas!$H$88*'Plan mensual'!D248+parametros_recargas!$I$88*'Plan mensual'!D249+parametros_recargas!$J$88*'Plan mensual'!D250+parametros_recargas!$K$88*'Plan mensual'!D251+parametros_recargas!$L$88*'Plan mensual'!D252</f>
        <v>28.9742152942938</v>
      </c>
      <c r="C242" s="23" t="n">
        <f aca="false">parametros_recargas!$E$88*'Plan mensual'!E245+parametros_recargas!$F$88*'Plan mensual'!E246+parametros_recargas!$G$88*'Plan mensual'!E247+parametros_recargas!$H$88*'Plan mensual'!E248+parametros_recargas!$I$88*'Plan mensual'!E249+parametros_recargas!$J$88*'Plan mensual'!E250+parametros_recargas!$K$88*'Plan mensual'!E251+parametros_recargas!$L$88*'Plan mensual'!E252</f>
        <v>28.9742152942938</v>
      </c>
      <c r="D242" s="23" t="n">
        <f aca="false">parametros_recargas!$E$88*'Plan mensual'!F245+parametros_recargas!$F$88*'Plan mensual'!F246+parametros_recargas!$G$88*'Plan mensual'!F247+parametros_recargas!$H$88*'Plan mensual'!F248+parametros_recargas!$I$88*'Plan mensual'!F249+parametros_recargas!$J$88*'Plan mensual'!F250+parametros_recargas!$K$88*'Plan mensual'!F251+parametros_recargas!$L$88*'Plan mensual'!F252</f>
        <v>28.9742152942938</v>
      </c>
      <c r="E242" s="23" t="n">
        <f aca="false">parametros_recargas!$E$88*'Plan mensual'!G245+parametros_recargas!$F$88*'Plan mensual'!G246+parametros_recargas!$G$88*'Plan mensual'!G247+parametros_recargas!$H$88*'Plan mensual'!G248+parametros_recargas!$I$88*'Plan mensual'!G249+parametros_recargas!$J$88*'Plan mensual'!G250+parametros_recargas!$K$88*'Plan mensual'!G251+parametros_recargas!$L$88*'Plan mensual'!G252</f>
        <v>28.9742152942938</v>
      </c>
      <c r="F242" s="23" t="n">
        <f aca="false">parametros_recargas!$E$88*'Plan mensual'!H245+parametros_recargas!$F$88*'Plan mensual'!H246+parametros_recargas!$G$88*'Plan mensual'!H247+parametros_recargas!$H$88*'Plan mensual'!H248+parametros_recargas!$I$88*'Plan mensual'!H249+parametros_recargas!$J$88*'Plan mensual'!H250+parametros_recargas!$K$88*'Plan mensual'!H251+parametros_recargas!$L$88*'Plan mensual'!H252</f>
        <v>28.9742152942938</v>
      </c>
      <c r="G242" s="23" t="n">
        <f aca="false">parametros_recargas!$E$88*'Plan mensual'!I245+parametros_recargas!$F$88*'Plan mensual'!I246+parametros_recargas!$G$88*'Plan mensual'!I247+parametros_recargas!$H$88*'Plan mensual'!I248+parametros_recargas!$I$88*'Plan mensual'!I249+parametros_recargas!$J$88*'Plan mensual'!I250+parametros_recargas!$K$88*'Plan mensual'!I251+parametros_recargas!$L$88*'Plan mensual'!I252</f>
        <v>28.9742152942938</v>
      </c>
      <c r="H242" s="23" t="n">
        <f aca="false">parametros_recargas!$E$88*'Plan mensual'!J245+parametros_recargas!$F$88*'Plan mensual'!J246+parametros_recargas!$G$88*'Plan mensual'!J247+parametros_recargas!$H$88*'Plan mensual'!J248+parametros_recargas!$I$88*'Plan mensual'!J249+parametros_recargas!$J$88*'Plan mensual'!J250+parametros_recargas!$K$88*'Plan mensual'!J251+parametros_recargas!$L$88*'Plan mensual'!J252</f>
        <v>28.9742152942938</v>
      </c>
      <c r="I242" s="23" t="n">
        <f aca="false">parametros_recargas!$E$88*'Plan mensual'!K245+parametros_recargas!$F$88*'Plan mensual'!K246+parametros_recargas!$G$88*'Plan mensual'!K247+parametros_recargas!$H$88*'Plan mensual'!K248+parametros_recargas!$I$88*'Plan mensual'!K249+parametros_recargas!$J$88*'Plan mensual'!K250+parametros_recargas!$K$88*'Plan mensual'!K251+parametros_recargas!$L$88*'Plan mensual'!K252</f>
        <v>28.9742152942938</v>
      </c>
      <c r="J242" s="23" t="n">
        <f aca="false">parametros_recargas!$E$88*'Plan mensual'!L245+parametros_recargas!$F$88*'Plan mensual'!L246+parametros_recargas!$G$88*'Plan mensual'!L247+parametros_recargas!$H$88*'Plan mensual'!L248+parametros_recargas!$I$88*'Plan mensual'!L249+parametros_recargas!$J$88*'Plan mensual'!L250+parametros_recargas!$K$88*'Plan mensual'!L251+parametros_recargas!$L$88*'Plan mensual'!L252</f>
        <v>28.9742152942938</v>
      </c>
      <c r="K242" s="23" t="n">
        <f aca="false">parametros_recargas!$E$88*'Plan mensual'!M245+parametros_recargas!$F$88*'Plan mensual'!M246+parametros_recargas!$G$88*'Plan mensual'!M247+parametros_recargas!$H$88*'Plan mensual'!M248+parametros_recargas!$I$88*'Plan mensual'!M249+parametros_recargas!$J$88*'Plan mensual'!M250+parametros_recargas!$K$88*'Plan mensual'!M251+parametros_recargas!$L$88*'Plan mensual'!M252</f>
        <v>28.9742152942938</v>
      </c>
      <c r="L242" s="23" t="n">
        <f aca="false">parametros_recargas!$E$88*'Plan mensual'!N245+parametros_recargas!$F$88*'Plan mensual'!N246+parametros_recargas!$G$88*'Plan mensual'!N247+parametros_recargas!$H$88*'Plan mensual'!N248+parametros_recargas!$I$88*'Plan mensual'!N249+parametros_recargas!$J$88*'Plan mensual'!N250+parametros_recargas!$K$88*'Plan mensual'!N251+parametros_recargas!$L$88*'Plan mensual'!N252</f>
        <v>28.9742152942938</v>
      </c>
      <c r="M242" s="23" t="n">
        <f aca="false">parametros_recargas!$E$88*'Plan mensual'!O245+parametros_recargas!$F$88*'Plan mensual'!O246+parametros_recargas!$G$88*'Plan mensual'!O247+parametros_recargas!$H$88*'Plan mensual'!O248+parametros_recargas!$I$88*'Plan mensual'!O249+parametros_recargas!$J$88*'Plan mensual'!O250+parametros_recargas!$K$88*'Plan mensual'!O251+parametros_recargas!$L$88*'Plan mensual'!O252</f>
        <v>28.9742152942938</v>
      </c>
      <c r="N242" s="7" t="n">
        <f aca="false">SUM(B242:M242)</f>
        <v>347.690583531525</v>
      </c>
      <c r="O242" s="24" t="n">
        <f aca="false">MAX(B242:M242)</f>
        <v>28.9742152942938</v>
      </c>
      <c r="P242" s="15" t="n">
        <f aca="false">O242/parametros_recargas!$B$6</f>
        <v>0.193161435295292</v>
      </c>
    </row>
    <row r="243" customFormat="false" ht="15" hidden="false" customHeight="false" outlineLevel="0" collapsed="false">
      <c r="A243" s="12" t="str">
        <f aca="false">parametros_recargas!$B$89</f>
        <v>Descarga y carga Clase D</v>
      </c>
      <c r="B243" s="23" t="n">
        <f aca="false">parametros_recargas!$E$89*'Plan mensual'!D245+parametros_recargas!$F$89*'Plan mensual'!D246+parametros_recargas!$G$89*'Plan mensual'!D247+parametros_recargas!$H$89*'Plan mensual'!D248+parametros_recargas!$I$89*'Plan mensual'!D249+parametros_recargas!$J$89*'Plan mensual'!D250+parametros_recargas!$K$89*'Plan mensual'!D251+parametros_recargas!$L$89*'Plan mensual'!D252</f>
        <v>26.0126475615436</v>
      </c>
      <c r="C243" s="23" t="n">
        <f aca="false">parametros_recargas!$E$89*'Plan mensual'!E245+parametros_recargas!$F$89*'Plan mensual'!E246+parametros_recargas!$G$89*'Plan mensual'!E247+parametros_recargas!$H$89*'Plan mensual'!E248+parametros_recargas!$I$89*'Plan mensual'!E249+parametros_recargas!$J$89*'Plan mensual'!E250+parametros_recargas!$K$89*'Plan mensual'!E251+parametros_recargas!$L$89*'Plan mensual'!E252</f>
        <v>26.0126475615436</v>
      </c>
      <c r="D243" s="23" t="n">
        <f aca="false">parametros_recargas!$E$89*'Plan mensual'!F245+parametros_recargas!$F$89*'Plan mensual'!F246+parametros_recargas!$G$89*'Plan mensual'!F247+parametros_recargas!$H$89*'Plan mensual'!F248+parametros_recargas!$I$89*'Plan mensual'!F249+parametros_recargas!$J$89*'Plan mensual'!F250+parametros_recargas!$K$89*'Plan mensual'!F251+parametros_recargas!$L$89*'Plan mensual'!F252</f>
        <v>26.0126475615436</v>
      </c>
      <c r="E243" s="23" t="n">
        <f aca="false">parametros_recargas!$E$89*'Plan mensual'!G245+parametros_recargas!$F$89*'Plan mensual'!G246+parametros_recargas!$G$89*'Plan mensual'!G247+parametros_recargas!$H$89*'Plan mensual'!G248+parametros_recargas!$I$89*'Plan mensual'!G249+parametros_recargas!$J$89*'Plan mensual'!G250+parametros_recargas!$K$89*'Plan mensual'!G251+parametros_recargas!$L$89*'Plan mensual'!G252</f>
        <v>26.0126475615436</v>
      </c>
      <c r="F243" s="23" t="n">
        <f aca="false">parametros_recargas!$E$89*'Plan mensual'!H245+parametros_recargas!$F$89*'Plan mensual'!H246+parametros_recargas!$G$89*'Plan mensual'!H247+parametros_recargas!$H$89*'Plan mensual'!H248+parametros_recargas!$I$89*'Plan mensual'!H249+parametros_recargas!$J$89*'Plan mensual'!H250+parametros_recargas!$K$89*'Plan mensual'!H251+parametros_recargas!$L$89*'Plan mensual'!H252</f>
        <v>26.0126475615436</v>
      </c>
      <c r="G243" s="23" t="n">
        <f aca="false">parametros_recargas!$E$89*'Plan mensual'!I245+parametros_recargas!$F$89*'Plan mensual'!I246+parametros_recargas!$G$89*'Plan mensual'!I247+parametros_recargas!$H$89*'Plan mensual'!I248+parametros_recargas!$I$89*'Plan mensual'!I249+parametros_recargas!$J$89*'Plan mensual'!I250+parametros_recargas!$K$89*'Plan mensual'!I251+parametros_recargas!$L$89*'Plan mensual'!I252</f>
        <v>26.0126475615436</v>
      </c>
      <c r="H243" s="23" t="n">
        <f aca="false">parametros_recargas!$E$89*'Plan mensual'!J245+parametros_recargas!$F$89*'Plan mensual'!J246+parametros_recargas!$G$89*'Plan mensual'!J247+parametros_recargas!$H$89*'Plan mensual'!J248+parametros_recargas!$I$89*'Plan mensual'!J249+parametros_recargas!$J$89*'Plan mensual'!J250+parametros_recargas!$K$89*'Plan mensual'!J251+parametros_recargas!$L$89*'Plan mensual'!J252</f>
        <v>26.0126475615436</v>
      </c>
      <c r="I243" s="23" t="n">
        <f aca="false">parametros_recargas!$E$89*'Plan mensual'!K245+parametros_recargas!$F$89*'Plan mensual'!K246+parametros_recargas!$G$89*'Plan mensual'!K247+parametros_recargas!$H$89*'Plan mensual'!K248+parametros_recargas!$I$89*'Plan mensual'!K249+parametros_recargas!$J$89*'Plan mensual'!K250+parametros_recargas!$K$89*'Plan mensual'!K251+parametros_recargas!$L$89*'Plan mensual'!K252</f>
        <v>26.0126475615436</v>
      </c>
      <c r="J243" s="23" t="n">
        <f aca="false">parametros_recargas!$E$89*'Plan mensual'!L245+parametros_recargas!$F$89*'Plan mensual'!L246+parametros_recargas!$G$89*'Plan mensual'!L247+parametros_recargas!$H$89*'Plan mensual'!L248+parametros_recargas!$I$89*'Plan mensual'!L249+parametros_recargas!$J$89*'Plan mensual'!L250+parametros_recargas!$K$89*'Plan mensual'!L251+parametros_recargas!$L$89*'Plan mensual'!L252</f>
        <v>26.0126475615436</v>
      </c>
      <c r="K243" s="23" t="n">
        <f aca="false">parametros_recargas!$E$89*'Plan mensual'!M245+parametros_recargas!$F$89*'Plan mensual'!M246+parametros_recargas!$G$89*'Plan mensual'!M247+parametros_recargas!$H$89*'Plan mensual'!M248+parametros_recargas!$I$89*'Plan mensual'!M249+parametros_recargas!$J$89*'Plan mensual'!M250+parametros_recargas!$K$89*'Plan mensual'!M251+parametros_recargas!$L$89*'Plan mensual'!M252</f>
        <v>26.0126475615436</v>
      </c>
      <c r="L243" s="23" t="n">
        <f aca="false">parametros_recargas!$E$89*'Plan mensual'!N245+parametros_recargas!$F$89*'Plan mensual'!N246+parametros_recargas!$G$89*'Plan mensual'!N247+parametros_recargas!$H$89*'Plan mensual'!N248+parametros_recargas!$I$89*'Plan mensual'!N249+parametros_recargas!$J$89*'Plan mensual'!N250+parametros_recargas!$K$89*'Plan mensual'!N251+parametros_recargas!$L$89*'Plan mensual'!N252</f>
        <v>26.0126475615436</v>
      </c>
      <c r="M243" s="23" t="n">
        <f aca="false">parametros_recargas!$E$89*'Plan mensual'!O245+parametros_recargas!$F$89*'Plan mensual'!O246+parametros_recargas!$G$89*'Plan mensual'!O247+parametros_recargas!$H$89*'Plan mensual'!O248+parametros_recargas!$I$89*'Plan mensual'!O249+parametros_recargas!$J$89*'Plan mensual'!O250+parametros_recargas!$K$89*'Plan mensual'!O251+parametros_recargas!$L$89*'Plan mensual'!O252</f>
        <v>26.0126475615436</v>
      </c>
      <c r="N243" s="7" t="n">
        <f aca="false">SUM(B243:M243)</f>
        <v>312.151770738523</v>
      </c>
      <c r="O243" s="24" t="n">
        <f aca="false">MAX(B243:M243)</f>
        <v>26.0126475615436</v>
      </c>
      <c r="P243" s="15" t="n">
        <f aca="false">O243/parametros_recargas!$B$6</f>
        <v>0.173417650410291</v>
      </c>
    </row>
    <row r="244" customFormat="false" ht="15" hidden="false" customHeight="false" outlineLevel="0" collapsed="false">
      <c r="A244" s="12" t="str">
        <f aca="false">parametros_recargas!$B$90</f>
        <v>Carga de agua / AFFF / sales K</v>
      </c>
      <c r="B244" s="23" t="n">
        <f aca="false">parametros_recargas!$E$90*'Plan mensual'!D245+parametros_recargas!$F$90*'Plan mensual'!D246+parametros_recargas!$G$90*'Plan mensual'!D247+parametros_recargas!$H$90*'Plan mensual'!D248+parametros_recargas!$I$90*'Plan mensual'!D249+parametros_recargas!$J$90*'Plan mensual'!D250+parametros_recargas!$K$90*'Plan mensual'!D251+parametros_recargas!$L$90*'Plan mensual'!D252</f>
        <v>983.339120065132</v>
      </c>
      <c r="C244" s="23" t="n">
        <f aca="false">parametros_recargas!$E$90*'Plan mensual'!E245+parametros_recargas!$F$90*'Plan mensual'!E246+parametros_recargas!$G$90*'Plan mensual'!E247+parametros_recargas!$H$90*'Plan mensual'!E248+parametros_recargas!$I$90*'Plan mensual'!E249+parametros_recargas!$J$90*'Plan mensual'!E250+parametros_recargas!$K$90*'Plan mensual'!E251+parametros_recargas!$L$90*'Plan mensual'!E252</f>
        <v>983.339120065132</v>
      </c>
      <c r="D244" s="23" t="n">
        <f aca="false">parametros_recargas!$E$90*'Plan mensual'!F245+parametros_recargas!$F$90*'Plan mensual'!F246+parametros_recargas!$G$90*'Plan mensual'!F247+parametros_recargas!$H$90*'Plan mensual'!F248+parametros_recargas!$I$90*'Plan mensual'!F249+parametros_recargas!$J$90*'Plan mensual'!F250+parametros_recargas!$K$90*'Plan mensual'!F251+parametros_recargas!$L$90*'Plan mensual'!F252</f>
        <v>983.339120065132</v>
      </c>
      <c r="E244" s="23" t="n">
        <f aca="false">parametros_recargas!$E$90*'Plan mensual'!G245+parametros_recargas!$F$90*'Plan mensual'!G246+parametros_recargas!$G$90*'Plan mensual'!G247+parametros_recargas!$H$90*'Plan mensual'!G248+parametros_recargas!$I$90*'Plan mensual'!G249+parametros_recargas!$J$90*'Plan mensual'!G250+parametros_recargas!$K$90*'Plan mensual'!G251+parametros_recargas!$L$90*'Plan mensual'!G252</f>
        <v>983.339120065132</v>
      </c>
      <c r="F244" s="23" t="n">
        <f aca="false">parametros_recargas!$E$90*'Plan mensual'!H245+parametros_recargas!$F$90*'Plan mensual'!H246+parametros_recargas!$G$90*'Plan mensual'!H247+parametros_recargas!$H$90*'Plan mensual'!H248+parametros_recargas!$I$90*'Plan mensual'!H249+parametros_recargas!$J$90*'Plan mensual'!H250+parametros_recargas!$K$90*'Plan mensual'!H251+parametros_recargas!$L$90*'Plan mensual'!H252</f>
        <v>983.339120065132</v>
      </c>
      <c r="G244" s="23" t="n">
        <f aca="false">parametros_recargas!$E$90*'Plan mensual'!I245+parametros_recargas!$F$90*'Plan mensual'!I246+parametros_recargas!$G$90*'Plan mensual'!I247+parametros_recargas!$H$90*'Plan mensual'!I248+parametros_recargas!$I$90*'Plan mensual'!I249+parametros_recargas!$J$90*'Plan mensual'!I250+parametros_recargas!$K$90*'Plan mensual'!I251+parametros_recargas!$L$90*'Plan mensual'!I252</f>
        <v>983.339120065132</v>
      </c>
      <c r="H244" s="23" t="n">
        <f aca="false">parametros_recargas!$E$90*'Plan mensual'!J245+parametros_recargas!$F$90*'Plan mensual'!J246+parametros_recargas!$G$90*'Plan mensual'!J247+parametros_recargas!$H$90*'Plan mensual'!J248+parametros_recargas!$I$90*'Plan mensual'!J249+parametros_recargas!$J$90*'Plan mensual'!J250+parametros_recargas!$K$90*'Plan mensual'!J251+parametros_recargas!$L$90*'Plan mensual'!J252</f>
        <v>983.339120065132</v>
      </c>
      <c r="I244" s="23" t="n">
        <f aca="false">parametros_recargas!$E$90*'Plan mensual'!K245+parametros_recargas!$F$90*'Plan mensual'!K246+parametros_recargas!$G$90*'Plan mensual'!K247+parametros_recargas!$H$90*'Plan mensual'!K248+parametros_recargas!$I$90*'Plan mensual'!K249+parametros_recargas!$J$90*'Plan mensual'!K250+parametros_recargas!$K$90*'Plan mensual'!K251+parametros_recargas!$L$90*'Plan mensual'!K252</f>
        <v>983.339120065132</v>
      </c>
      <c r="J244" s="23" t="n">
        <f aca="false">parametros_recargas!$E$90*'Plan mensual'!L245+parametros_recargas!$F$90*'Plan mensual'!L246+parametros_recargas!$G$90*'Plan mensual'!L247+parametros_recargas!$H$90*'Plan mensual'!L248+parametros_recargas!$I$90*'Plan mensual'!L249+parametros_recargas!$J$90*'Plan mensual'!L250+parametros_recargas!$K$90*'Plan mensual'!L251+parametros_recargas!$L$90*'Plan mensual'!L252</f>
        <v>983.339120065132</v>
      </c>
      <c r="K244" s="23" t="n">
        <f aca="false">parametros_recargas!$E$90*'Plan mensual'!M245+parametros_recargas!$F$90*'Plan mensual'!M246+parametros_recargas!$G$90*'Plan mensual'!M247+parametros_recargas!$H$90*'Plan mensual'!M248+parametros_recargas!$I$90*'Plan mensual'!M249+parametros_recargas!$J$90*'Plan mensual'!M250+parametros_recargas!$K$90*'Plan mensual'!M251+parametros_recargas!$L$90*'Plan mensual'!M252</f>
        <v>983.339120065132</v>
      </c>
      <c r="L244" s="23" t="n">
        <f aca="false">parametros_recargas!$E$90*'Plan mensual'!N245+parametros_recargas!$F$90*'Plan mensual'!N246+parametros_recargas!$G$90*'Plan mensual'!N247+parametros_recargas!$H$90*'Plan mensual'!N248+parametros_recargas!$I$90*'Plan mensual'!N249+parametros_recargas!$J$90*'Plan mensual'!N250+parametros_recargas!$K$90*'Plan mensual'!N251+parametros_recargas!$L$90*'Plan mensual'!N252</f>
        <v>983.339120065132</v>
      </c>
      <c r="M244" s="23" t="n">
        <f aca="false">parametros_recargas!$E$90*'Plan mensual'!O245+parametros_recargas!$F$90*'Plan mensual'!O246+parametros_recargas!$G$90*'Plan mensual'!O247+parametros_recargas!$H$90*'Plan mensual'!O248+parametros_recargas!$I$90*'Plan mensual'!O249+parametros_recargas!$J$90*'Plan mensual'!O250+parametros_recargas!$K$90*'Plan mensual'!O251+parametros_recargas!$L$90*'Plan mensual'!O252</f>
        <v>983.339120065132</v>
      </c>
      <c r="N244" s="7" t="n">
        <f aca="false">SUM(B244:M244)</f>
        <v>11800.0694407816</v>
      </c>
      <c r="O244" s="24" t="n">
        <f aca="false">MAX(B244:M244)</f>
        <v>983.339120065132</v>
      </c>
      <c r="P244" s="15" t="n">
        <f aca="false">O244/parametros_recargas!$B$6</f>
        <v>6.55559413376754</v>
      </c>
    </row>
    <row r="245" customFormat="false" ht="15" hidden="false" customHeight="false" outlineLevel="0" collapsed="false">
      <c r="A245" s="12" t="str">
        <f aca="false">parametros_recargas!$B$91</f>
        <v>Carga de CO₂</v>
      </c>
      <c r="B245" s="23" t="n">
        <f aca="false">parametros_recargas!$E$91*'Plan mensual'!D245+parametros_recargas!$F$91*'Plan mensual'!D246+parametros_recargas!$G$91*'Plan mensual'!D247+parametros_recargas!$H$91*'Plan mensual'!D248+parametros_recargas!$I$91*'Plan mensual'!D249+parametros_recargas!$J$91*'Plan mensual'!D250+parametros_recargas!$K$91*'Plan mensual'!D251+parametros_recargas!$L$91*'Plan mensual'!D252</f>
        <v>540.036780650113</v>
      </c>
      <c r="C245" s="23" t="n">
        <f aca="false">parametros_recargas!$E$91*'Plan mensual'!E245+parametros_recargas!$F$91*'Plan mensual'!E246+parametros_recargas!$G$91*'Plan mensual'!E247+parametros_recargas!$H$91*'Plan mensual'!E248+parametros_recargas!$I$91*'Plan mensual'!E249+parametros_recargas!$J$91*'Plan mensual'!E250+parametros_recargas!$K$91*'Plan mensual'!E251+parametros_recargas!$L$91*'Plan mensual'!E252</f>
        <v>540.036780650113</v>
      </c>
      <c r="D245" s="23" t="n">
        <f aca="false">parametros_recargas!$E$91*'Plan mensual'!F245+parametros_recargas!$F$91*'Plan mensual'!F246+parametros_recargas!$G$91*'Plan mensual'!F247+parametros_recargas!$H$91*'Plan mensual'!F248+parametros_recargas!$I$91*'Plan mensual'!F249+parametros_recargas!$J$91*'Plan mensual'!F250+parametros_recargas!$K$91*'Plan mensual'!F251+parametros_recargas!$L$91*'Plan mensual'!F252</f>
        <v>540.036780650113</v>
      </c>
      <c r="E245" s="23" t="n">
        <f aca="false">parametros_recargas!$E$91*'Plan mensual'!G245+parametros_recargas!$F$91*'Plan mensual'!G246+parametros_recargas!$G$91*'Plan mensual'!G247+parametros_recargas!$H$91*'Plan mensual'!G248+parametros_recargas!$I$91*'Plan mensual'!G249+parametros_recargas!$J$91*'Plan mensual'!G250+parametros_recargas!$K$91*'Plan mensual'!G251+parametros_recargas!$L$91*'Plan mensual'!G252</f>
        <v>540.036780650113</v>
      </c>
      <c r="F245" s="23" t="n">
        <f aca="false">parametros_recargas!$E$91*'Plan mensual'!H245+parametros_recargas!$F$91*'Plan mensual'!H246+parametros_recargas!$G$91*'Plan mensual'!H247+parametros_recargas!$H$91*'Plan mensual'!H248+parametros_recargas!$I$91*'Plan mensual'!H249+parametros_recargas!$J$91*'Plan mensual'!H250+parametros_recargas!$K$91*'Plan mensual'!H251+parametros_recargas!$L$91*'Plan mensual'!H252</f>
        <v>540.036780650113</v>
      </c>
      <c r="G245" s="23" t="n">
        <f aca="false">parametros_recargas!$E$91*'Plan mensual'!I245+parametros_recargas!$F$91*'Plan mensual'!I246+parametros_recargas!$G$91*'Plan mensual'!I247+parametros_recargas!$H$91*'Plan mensual'!I248+parametros_recargas!$I$91*'Plan mensual'!I249+parametros_recargas!$J$91*'Plan mensual'!I250+parametros_recargas!$K$91*'Plan mensual'!I251+parametros_recargas!$L$91*'Plan mensual'!I252</f>
        <v>540.036780650113</v>
      </c>
      <c r="H245" s="23" t="n">
        <f aca="false">parametros_recargas!$E$91*'Plan mensual'!J245+parametros_recargas!$F$91*'Plan mensual'!J246+parametros_recargas!$G$91*'Plan mensual'!J247+parametros_recargas!$H$91*'Plan mensual'!J248+parametros_recargas!$I$91*'Plan mensual'!J249+parametros_recargas!$J$91*'Plan mensual'!J250+parametros_recargas!$K$91*'Plan mensual'!J251+parametros_recargas!$L$91*'Plan mensual'!J252</f>
        <v>540.036780650113</v>
      </c>
      <c r="I245" s="23" t="n">
        <f aca="false">parametros_recargas!$E$91*'Plan mensual'!K245+parametros_recargas!$F$91*'Plan mensual'!K246+parametros_recargas!$G$91*'Plan mensual'!K247+parametros_recargas!$H$91*'Plan mensual'!K248+parametros_recargas!$I$91*'Plan mensual'!K249+parametros_recargas!$J$91*'Plan mensual'!K250+parametros_recargas!$K$91*'Plan mensual'!K251+parametros_recargas!$L$91*'Plan mensual'!K252</f>
        <v>540.036780650113</v>
      </c>
      <c r="J245" s="23" t="n">
        <f aca="false">parametros_recargas!$E$91*'Plan mensual'!L245+parametros_recargas!$F$91*'Plan mensual'!L246+parametros_recargas!$G$91*'Plan mensual'!L247+parametros_recargas!$H$91*'Plan mensual'!L248+parametros_recargas!$I$91*'Plan mensual'!L249+parametros_recargas!$J$91*'Plan mensual'!L250+parametros_recargas!$K$91*'Plan mensual'!L251+parametros_recargas!$L$91*'Plan mensual'!L252</f>
        <v>540.036780650113</v>
      </c>
      <c r="K245" s="23" t="n">
        <f aca="false">parametros_recargas!$E$91*'Plan mensual'!M245+parametros_recargas!$F$91*'Plan mensual'!M246+parametros_recargas!$G$91*'Plan mensual'!M247+parametros_recargas!$H$91*'Plan mensual'!M248+parametros_recargas!$I$91*'Plan mensual'!M249+parametros_recargas!$J$91*'Plan mensual'!M250+parametros_recargas!$K$91*'Plan mensual'!M251+parametros_recargas!$L$91*'Plan mensual'!M252</f>
        <v>540.036780650113</v>
      </c>
      <c r="L245" s="23" t="n">
        <f aca="false">parametros_recargas!$E$91*'Plan mensual'!N245+parametros_recargas!$F$91*'Plan mensual'!N246+parametros_recargas!$G$91*'Plan mensual'!N247+parametros_recargas!$H$91*'Plan mensual'!N248+parametros_recargas!$I$91*'Plan mensual'!N249+parametros_recargas!$J$91*'Plan mensual'!N250+parametros_recargas!$K$91*'Plan mensual'!N251+parametros_recargas!$L$91*'Plan mensual'!N252</f>
        <v>540.036780650113</v>
      </c>
      <c r="M245" s="23" t="n">
        <f aca="false">parametros_recargas!$E$91*'Plan mensual'!O245+parametros_recargas!$F$91*'Plan mensual'!O246+parametros_recargas!$G$91*'Plan mensual'!O247+parametros_recargas!$H$91*'Plan mensual'!O248+parametros_recargas!$I$91*'Plan mensual'!O249+parametros_recargas!$J$91*'Plan mensual'!O250+parametros_recargas!$K$91*'Plan mensual'!O251+parametros_recargas!$L$91*'Plan mensual'!O252</f>
        <v>540.036780650113</v>
      </c>
      <c r="N245" s="7" t="n">
        <f aca="false">SUM(B245:M245)</f>
        <v>6480.44136780135</v>
      </c>
      <c r="O245" s="24" t="n">
        <f aca="false">MAX(B245:M245)</f>
        <v>540.036780650113</v>
      </c>
      <c r="P245" s="15" t="n">
        <f aca="false">O245/parametros_recargas!$B$6</f>
        <v>3.60024520433408</v>
      </c>
    </row>
    <row r="246" customFormat="false" ht="15" hidden="false" customHeight="false" outlineLevel="0" collapsed="false">
      <c r="A246" s="12" t="str">
        <f aca="false">parametros_recargas!$B$92</f>
        <v>Ensamblaje y marbete — recinto</v>
      </c>
      <c r="B246" s="23" t="n">
        <f aca="false">parametros_recargas!$E$92*'Plan mensual'!D245+parametros_recargas!$F$92*'Plan mensual'!D246+parametros_recargas!$G$92*'Plan mensual'!D247+parametros_recargas!$H$92*'Plan mensual'!D248+parametros_recargas!$I$92*'Plan mensual'!D249+parametros_recargas!$J$92*'Plan mensual'!D250+parametros_recargas!$K$92*'Plan mensual'!D251+parametros_recargas!$L$92*'Plan mensual'!D252</f>
        <v>18525.266489231</v>
      </c>
      <c r="C246" s="23" t="n">
        <f aca="false">parametros_recargas!$E$92*'Plan mensual'!E245+parametros_recargas!$F$92*'Plan mensual'!E246+parametros_recargas!$G$92*'Plan mensual'!E247+parametros_recargas!$H$92*'Plan mensual'!E248+parametros_recargas!$I$92*'Plan mensual'!E249+parametros_recargas!$J$92*'Plan mensual'!E250+parametros_recargas!$K$92*'Plan mensual'!E251+parametros_recargas!$L$92*'Plan mensual'!E252</f>
        <v>18525.266489231</v>
      </c>
      <c r="D246" s="23" t="n">
        <f aca="false">parametros_recargas!$E$92*'Plan mensual'!F245+parametros_recargas!$F$92*'Plan mensual'!F246+parametros_recargas!$G$92*'Plan mensual'!F247+parametros_recargas!$H$92*'Plan mensual'!F248+parametros_recargas!$I$92*'Plan mensual'!F249+parametros_recargas!$J$92*'Plan mensual'!F250+parametros_recargas!$K$92*'Plan mensual'!F251+parametros_recargas!$L$92*'Plan mensual'!F252</f>
        <v>18525.266489231</v>
      </c>
      <c r="E246" s="23" t="n">
        <f aca="false">parametros_recargas!$E$92*'Plan mensual'!G245+parametros_recargas!$F$92*'Plan mensual'!G246+parametros_recargas!$G$92*'Plan mensual'!G247+parametros_recargas!$H$92*'Plan mensual'!G248+parametros_recargas!$I$92*'Plan mensual'!G249+parametros_recargas!$J$92*'Plan mensual'!G250+parametros_recargas!$K$92*'Plan mensual'!G251+parametros_recargas!$L$92*'Plan mensual'!G252</f>
        <v>18525.266489231</v>
      </c>
      <c r="F246" s="23" t="n">
        <f aca="false">parametros_recargas!$E$92*'Plan mensual'!H245+parametros_recargas!$F$92*'Plan mensual'!H246+parametros_recargas!$G$92*'Plan mensual'!H247+parametros_recargas!$H$92*'Plan mensual'!H248+parametros_recargas!$I$92*'Plan mensual'!H249+parametros_recargas!$J$92*'Plan mensual'!H250+parametros_recargas!$K$92*'Plan mensual'!H251+parametros_recargas!$L$92*'Plan mensual'!H252</f>
        <v>18525.266489231</v>
      </c>
      <c r="G246" s="23" t="n">
        <f aca="false">parametros_recargas!$E$92*'Plan mensual'!I245+parametros_recargas!$F$92*'Plan mensual'!I246+parametros_recargas!$G$92*'Plan mensual'!I247+parametros_recargas!$H$92*'Plan mensual'!I248+parametros_recargas!$I$92*'Plan mensual'!I249+parametros_recargas!$J$92*'Plan mensual'!I250+parametros_recargas!$K$92*'Plan mensual'!I251+parametros_recargas!$L$92*'Plan mensual'!I252</f>
        <v>18525.266489231</v>
      </c>
      <c r="H246" s="23" t="n">
        <f aca="false">parametros_recargas!$E$92*'Plan mensual'!J245+parametros_recargas!$F$92*'Plan mensual'!J246+parametros_recargas!$G$92*'Plan mensual'!J247+parametros_recargas!$H$92*'Plan mensual'!J248+parametros_recargas!$I$92*'Plan mensual'!J249+parametros_recargas!$J$92*'Plan mensual'!J250+parametros_recargas!$K$92*'Plan mensual'!J251+parametros_recargas!$L$92*'Plan mensual'!J252</f>
        <v>18525.266489231</v>
      </c>
      <c r="I246" s="23" t="n">
        <f aca="false">parametros_recargas!$E$92*'Plan mensual'!K245+parametros_recargas!$F$92*'Plan mensual'!K246+parametros_recargas!$G$92*'Plan mensual'!K247+parametros_recargas!$H$92*'Plan mensual'!K248+parametros_recargas!$I$92*'Plan mensual'!K249+parametros_recargas!$J$92*'Plan mensual'!K250+parametros_recargas!$K$92*'Plan mensual'!K251+parametros_recargas!$L$92*'Plan mensual'!K252</f>
        <v>18525.266489231</v>
      </c>
      <c r="J246" s="23" t="n">
        <f aca="false">parametros_recargas!$E$92*'Plan mensual'!L245+parametros_recargas!$F$92*'Plan mensual'!L246+parametros_recargas!$G$92*'Plan mensual'!L247+parametros_recargas!$H$92*'Plan mensual'!L248+parametros_recargas!$I$92*'Plan mensual'!L249+parametros_recargas!$J$92*'Plan mensual'!L250+parametros_recargas!$K$92*'Plan mensual'!L251+parametros_recargas!$L$92*'Plan mensual'!L252</f>
        <v>18525.266489231</v>
      </c>
      <c r="K246" s="23" t="n">
        <f aca="false">parametros_recargas!$E$92*'Plan mensual'!M245+parametros_recargas!$F$92*'Plan mensual'!M246+parametros_recargas!$G$92*'Plan mensual'!M247+parametros_recargas!$H$92*'Plan mensual'!M248+parametros_recargas!$I$92*'Plan mensual'!M249+parametros_recargas!$J$92*'Plan mensual'!M250+parametros_recargas!$K$92*'Plan mensual'!M251+parametros_recargas!$L$92*'Plan mensual'!M252</f>
        <v>18525.266489231</v>
      </c>
      <c r="L246" s="23" t="n">
        <f aca="false">parametros_recargas!$E$92*'Plan mensual'!N245+parametros_recargas!$F$92*'Plan mensual'!N246+parametros_recargas!$G$92*'Plan mensual'!N247+parametros_recargas!$H$92*'Plan mensual'!N248+parametros_recargas!$I$92*'Plan mensual'!N249+parametros_recargas!$J$92*'Plan mensual'!N250+parametros_recargas!$K$92*'Plan mensual'!N251+parametros_recargas!$L$92*'Plan mensual'!N252</f>
        <v>18525.266489231</v>
      </c>
      <c r="M246" s="23" t="n">
        <f aca="false">parametros_recargas!$E$92*'Plan mensual'!O245+parametros_recargas!$F$92*'Plan mensual'!O246+parametros_recargas!$G$92*'Plan mensual'!O247+parametros_recargas!$H$92*'Plan mensual'!O248+parametros_recargas!$I$92*'Plan mensual'!O249+parametros_recargas!$J$92*'Plan mensual'!O250+parametros_recargas!$K$92*'Plan mensual'!O251+parametros_recargas!$L$92*'Plan mensual'!O252</f>
        <v>18525.266489231</v>
      </c>
      <c r="N246" s="7" t="n">
        <f aca="false">SUM(B246:M246)</f>
        <v>222303.197870772</v>
      </c>
      <c r="O246" s="24" t="n">
        <f aca="false">MAX(B246:M246)</f>
        <v>18525.266489231</v>
      </c>
      <c r="P246" s="15" t="n">
        <f aca="false">O246/parametros_recargas!$B$6</f>
        <v>123.501776594873</v>
      </c>
    </row>
    <row r="247" customFormat="false" ht="15" hidden="false" customHeight="false" outlineLevel="0" collapsed="false">
      <c r="A247" s="12" t="str">
        <f aca="false">parametros_recargas!$B$93</f>
        <v>Presurización — recinto</v>
      </c>
      <c r="B247" s="23" t="n">
        <f aca="false">parametros_recargas!$E$93*'Plan mensual'!D245+parametros_recargas!$F$93*'Plan mensual'!D246+parametros_recargas!$G$93*'Plan mensual'!D247+parametros_recargas!$H$93*'Plan mensual'!D248+parametros_recargas!$I$93*'Plan mensual'!D249+parametros_recargas!$J$93*'Plan mensual'!D250+parametros_recargas!$K$93*'Plan mensual'!D251+parametros_recargas!$L$93*'Plan mensual'!D252</f>
        <v>18525.266489231</v>
      </c>
      <c r="C247" s="23" t="n">
        <f aca="false">parametros_recargas!$E$93*'Plan mensual'!E245+parametros_recargas!$F$93*'Plan mensual'!E246+parametros_recargas!$G$93*'Plan mensual'!E247+parametros_recargas!$H$93*'Plan mensual'!E248+parametros_recargas!$I$93*'Plan mensual'!E249+parametros_recargas!$J$93*'Plan mensual'!E250+parametros_recargas!$K$93*'Plan mensual'!E251+parametros_recargas!$L$93*'Plan mensual'!E252</f>
        <v>18525.266489231</v>
      </c>
      <c r="D247" s="23" t="n">
        <f aca="false">parametros_recargas!$E$93*'Plan mensual'!F245+parametros_recargas!$F$93*'Plan mensual'!F246+parametros_recargas!$G$93*'Plan mensual'!F247+parametros_recargas!$H$93*'Plan mensual'!F248+parametros_recargas!$I$93*'Plan mensual'!F249+parametros_recargas!$J$93*'Plan mensual'!F250+parametros_recargas!$K$93*'Plan mensual'!F251+parametros_recargas!$L$93*'Plan mensual'!F252</f>
        <v>18525.266489231</v>
      </c>
      <c r="E247" s="23" t="n">
        <f aca="false">parametros_recargas!$E$93*'Plan mensual'!G245+parametros_recargas!$F$93*'Plan mensual'!G246+parametros_recargas!$G$93*'Plan mensual'!G247+parametros_recargas!$H$93*'Plan mensual'!G248+parametros_recargas!$I$93*'Plan mensual'!G249+parametros_recargas!$J$93*'Plan mensual'!G250+parametros_recargas!$K$93*'Plan mensual'!G251+parametros_recargas!$L$93*'Plan mensual'!G252</f>
        <v>18525.266489231</v>
      </c>
      <c r="F247" s="23" t="n">
        <f aca="false">parametros_recargas!$E$93*'Plan mensual'!H245+parametros_recargas!$F$93*'Plan mensual'!H246+parametros_recargas!$G$93*'Plan mensual'!H247+parametros_recargas!$H$93*'Plan mensual'!H248+parametros_recargas!$I$93*'Plan mensual'!H249+parametros_recargas!$J$93*'Plan mensual'!H250+parametros_recargas!$K$93*'Plan mensual'!H251+parametros_recargas!$L$93*'Plan mensual'!H252</f>
        <v>18525.266489231</v>
      </c>
      <c r="G247" s="23" t="n">
        <f aca="false">parametros_recargas!$E$93*'Plan mensual'!I245+parametros_recargas!$F$93*'Plan mensual'!I246+parametros_recargas!$G$93*'Plan mensual'!I247+parametros_recargas!$H$93*'Plan mensual'!I248+parametros_recargas!$I$93*'Plan mensual'!I249+parametros_recargas!$J$93*'Plan mensual'!I250+parametros_recargas!$K$93*'Plan mensual'!I251+parametros_recargas!$L$93*'Plan mensual'!I252</f>
        <v>18525.266489231</v>
      </c>
      <c r="H247" s="23" t="n">
        <f aca="false">parametros_recargas!$E$93*'Plan mensual'!J245+parametros_recargas!$F$93*'Plan mensual'!J246+parametros_recargas!$G$93*'Plan mensual'!J247+parametros_recargas!$H$93*'Plan mensual'!J248+parametros_recargas!$I$93*'Plan mensual'!J249+parametros_recargas!$J$93*'Plan mensual'!J250+parametros_recargas!$K$93*'Plan mensual'!J251+parametros_recargas!$L$93*'Plan mensual'!J252</f>
        <v>18525.266489231</v>
      </c>
      <c r="I247" s="23" t="n">
        <f aca="false">parametros_recargas!$E$93*'Plan mensual'!K245+parametros_recargas!$F$93*'Plan mensual'!K246+parametros_recargas!$G$93*'Plan mensual'!K247+parametros_recargas!$H$93*'Plan mensual'!K248+parametros_recargas!$I$93*'Plan mensual'!K249+parametros_recargas!$J$93*'Plan mensual'!K250+parametros_recargas!$K$93*'Plan mensual'!K251+parametros_recargas!$L$93*'Plan mensual'!K252</f>
        <v>18525.266489231</v>
      </c>
      <c r="J247" s="23" t="n">
        <f aca="false">parametros_recargas!$E$93*'Plan mensual'!L245+parametros_recargas!$F$93*'Plan mensual'!L246+parametros_recargas!$G$93*'Plan mensual'!L247+parametros_recargas!$H$93*'Plan mensual'!L248+parametros_recargas!$I$93*'Plan mensual'!L249+parametros_recargas!$J$93*'Plan mensual'!L250+parametros_recargas!$K$93*'Plan mensual'!L251+parametros_recargas!$L$93*'Plan mensual'!L252</f>
        <v>18525.266489231</v>
      </c>
      <c r="K247" s="23" t="n">
        <f aca="false">parametros_recargas!$E$93*'Plan mensual'!M245+parametros_recargas!$F$93*'Plan mensual'!M246+parametros_recargas!$G$93*'Plan mensual'!M247+parametros_recargas!$H$93*'Plan mensual'!M248+parametros_recargas!$I$93*'Plan mensual'!M249+parametros_recargas!$J$93*'Plan mensual'!M250+parametros_recargas!$K$93*'Plan mensual'!M251+parametros_recargas!$L$93*'Plan mensual'!M252</f>
        <v>18525.266489231</v>
      </c>
      <c r="L247" s="23" t="n">
        <f aca="false">parametros_recargas!$E$93*'Plan mensual'!N245+parametros_recargas!$F$93*'Plan mensual'!N246+parametros_recargas!$G$93*'Plan mensual'!N247+parametros_recargas!$H$93*'Plan mensual'!N248+parametros_recargas!$I$93*'Plan mensual'!N249+parametros_recargas!$J$93*'Plan mensual'!N250+parametros_recargas!$K$93*'Plan mensual'!N251+parametros_recargas!$L$93*'Plan mensual'!N252</f>
        <v>18525.266489231</v>
      </c>
      <c r="M247" s="23" t="n">
        <f aca="false">parametros_recargas!$E$93*'Plan mensual'!O245+parametros_recargas!$F$93*'Plan mensual'!O246+parametros_recargas!$G$93*'Plan mensual'!O247+parametros_recargas!$H$93*'Plan mensual'!O248+parametros_recargas!$I$93*'Plan mensual'!O249+parametros_recargas!$J$93*'Plan mensual'!O250+parametros_recargas!$K$93*'Plan mensual'!O251+parametros_recargas!$L$93*'Plan mensual'!O252</f>
        <v>18525.266489231</v>
      </c>
      <c r="N247" s="7" t="n">
        <f aca="false">SUM(B247:M247)</f>
        <v>222303.197870772</v>
      </c>
      <c r="O247" s="24" t="n">
        <f aca="false">MAX(B247:M247)</f>
        <v>18525.266489231</v>
      </c>
      <c r="P247" s="15" t="n">
        <f aca="false">O247/parametros_recargas!$B$6</f>
        <v>123.501776594873</v>
      </c>
    </row>
    <row r="248" customFormat="false" ht="15" hidden="false" customHeight="false" outlineLevel="0" collapsed="false">
      <c r="A248" s="12" t="str">
        <f aca="false">parametros_recargas!$B$94</f>
        <v>Ensamblaje y presurización — zona general</v>
      </c>
      <c r="B248" s="23" t="n">
        <f aca="false">parametros_recargas!$E$94*'Plan mensual'!D245+parametros_recargas!$F$94*'Plan mensual'!D246+parametros_recargas!$G$94*'Plan mensual'!D247+parametros_recargas!$H$94*'Plan mensual'!D248+parametros_recargas!$I$94*'Plan mensual'!D249+parametros_recargas!$J$94*'Plan mensual'!D250+parametros_recargas!$K$94*'Plan mensual'!D251+parametros_recargas!$L$94*'Plan mensual'!D252</f>
        <v>1451.72763511205</v>
      </c>
      <c r="C248" s="23" t="n">
        <f aca="false">parametros_recargas!$E$94*'Plan mensual'!E245+parametros_recargas!$F$94*'Plan mensual'!E246+parametros_recargas!$G$94*'Plan mensual'!E247+parametros_recargas!$H$94*'Plan mensual'!E248+parametros_recargas!$I$94*'Plan mensual'!E249+parametros_recargas!$J$94*'Plan mensual'!E250+parametros_recargas!$K$94*'Plan mensual'!E251+parametros_recargas!$L$94*'Plan mensual'!E252</f>
        <v>1451.72763511205</v>
      </c>
      <c r="D248" s="23" t="n">
        <f aca="false">parametros_recargas!$E$94*'Plan mensual'!F245+parametros_recargas!$F$94*'Plan mensual'!F246+parametros_recargas!$G$94*'Plan mensual'!F247+parametros_recargas!$H$94*'Plan mensual'!F248+parametros_recargas!$I$94*'Plan mensual'!F249+parametros_recargas!$J$94*'Plan mensual'!F250+parametros_recargas!$K$94*'Plan mensual'!F251+parametros_recargas!$L$94*'Plan mensual'!F252</f>
        <v>1451.72763511205</v>
      </c>
      <c r="E248" s="23" t="n">
        <f aca="false">parametros_recargas!$E$94*'Plan mensual'!G245+parametros_recargas!$F$94*'Plan mensual'!G246+parametros_recargas!$G$94*'Plan mensual'!G247+parametros_recargas!$H$94*'Plan mensual'!G248+parametros_recargas!$I$94*'Plan mensual'!G249+parametros_recargas!$J$94*'Plan mensual'!G250+parametros_recargas!$K$94*'Plan mensual'!G251+parametros_recargas!$L$94*'Plan mensual'!G252</f>
        <v>1451.72763511205</v>
      </c>
      <c r="F248" s="23" t="n">
        <f aca="false">parametros_recargas!$E$94*'Plan mensual'!H245+parametros_recargas!$F$94*'Plan mensual'!H246+parametros_recargas!$G$94*'Plan mensual'!H247+parametros_recargas!$H$94*'Plan mensual'!H248+parametros_recargas!$I$94*'Plan mensual'!H249+parametros_recargas!$J$94*'Plan mensual'!H250+parametros_recargas!$K$94*'Plan mensual'!H251+parametros_recargas!$L$94*'Plan mensual'!H252</f>
        <v>1451.72763511205</v>
      </c>
      <c r="G248" s="23" t="n">
        <f aca="false">parametros_recargas!$E$94*'Plan mensual'!I245+parametros_recargas!$F$94*'Plan mensual'!I246+parametros_recargas!$G$94*'Plan mensual'!I247+parametros_recargas!$H$94*'Plan mensual'!I248+parametros_recargas!$I$94*'Plan mensual'!I249+parametros_recargas!$J$94*'Plan mensual'!I250+parametros_recargas!$K$94*'Plan mensual'!I251+parametros_recargas!$L$94*'Plan mensual'!I252</f>
        <v>1451.72763511205</v>
      </c>
      <c r="H248" s="23" t="n">
        <f aca="false">parametros_recargas!$E$94*'Plan mensual'!J245+parametros_recargas!$F$94*'Plan mensual'!J246+parametros_recargas!$G$94*'Plan mensual'!J247+parametros_recargas!$H$94*'Plan mensual'!J248+parametros_recargas!$I$94*'Plan mensual'!J249+parametros_recargas!$J$94*'Plan mensual'!J250+parametros_recargas!$K$94*'Plan mensual'!J251+parametros_recargas!$L$94*'Plan mensual'!J252</f>
        <v>1451.72763511205</v>
      </c>
      <c r="I248" s="23" t="n">
        <f aca="false">parametros_recargas!$E$94*'Plan mensual'!K245+parametros_recargas!$F$94*'Plan mensual'!K246+parametros_recargas!$G$94*'Plan mensual'!K247+parametros_recargas!$H$94*'Plan mensual'!K248+parametros_recargas!$I$94*'Plan mensual'!K249+parametros_recargas!$J$94*'Plan mensual'!K250+parametros_recargas!$K$94*'Plan mensual'!K251+parametros_recargas!$L$94*'Plan mensual'!K252</f>
        <v>1451.72763511205</v>
      </c>
      <c r="J248" s="23" t="n">
        <f aca="false">parametros_recargas!$E$94*'Plan mensual'!L245+parametros_recargas!$F$94*'Plan mensual'!L246+parametros_recargas!$G$94*'Plan mensual'!L247+parametros_recargas!$H$94*'Plan mensual'!L248+parametros_recargas!$I$94*'Plan mensual'!L249+parametros_recargas!$J$94*'Plan mensual'!L250+parametros_recargas!$K$94*'Plan mensual'!L251+parametros_recargas!$L$94*'Plan mensual'!L252</f>
        <v>1451.72763511205</v>
      </c>
      <c r="K248" s="23" t="n">
        <f aca="false">parametros_recargas!$E$94*'Plan mensual'!M245+parametros_recargas!$F$94*'Plan mensual'!M246+parametros_recargas!$G$94*'Plan mensual'!M247+parametros_recargas!$H$94*'Plan mensual'!M248+parametros_recargas!$I$94*'Plan mensual'!M249+parametros_recargas!$J$94*'Plan mensual'!M250+parametros_recargas!$K$94*'Plan mensual'!M251+parametros_recargas!$L$94*'Plan mensual'!M252</f>
        <v>1451.72763511205</v>
      </c>
      <c r="L248" s="23" t="n">
        <f aca="false">parametros_recargas!$E$94*'Plan mensual'!N245+parametros_recargas!$F$94*'Plan mensual'!N246+parametros_recargas!$G$94*'Plan mensual'!N247+parametros_recargas!$H$94*'Plan mensual'!N248+parametros_recargas!$I$94*'Plan mensual'!N249+parametros_recargas!$J$94*'Plan mensual'!N250+parametros_recargas!$K$94*'Plan mensual'!N251+parametros_recargas!$L$94*'Plan mensual'!N252</f>
        <v>1451.72763511205</v>
      </c>
      <c r="M248" s="23" t="n">
        <f aca="false">parametros_recargas!$E$94*'Plan mensual'!O245+parametros_recargas!$F$94*'Plan mensual'!O246+parametros_recargas!$G$94*'Plan mensual'!O247+parametros_recargas!$H$94*'Plan mensual'!O248+parametros_recargas!$I$94*'Plan mensual'!O249+parametros_recargas!$J$94*'Plan mensual'!O250+parametros_recargas!$K$94*'Plan mensual'!O251+parametros_recargas!$L$94*'Plan mensual'!O252</f>
        <v>1451.72763511205</v>
      </c>
      <c r="N248" s="7" t="n">
        <f aca="false">SUM(B248:M248)</f>
        <v>17420.7316213447</v>
      </c>
      <c r="O248" s="24" t="n">
        <f aca="false">MAX(B248:M248)</f>
        <v>1451.72763511205</v>
      </c>
      <c r="P248" s="15" t="n">
        <f aca="false">O248/parametros_recargas!$B$6</f>
        <v>9.67818423408036</v>
      </c>
    </row>
    <row r="249" customFormat="false" ht="15" hidden="false" customHeight="false" outlineLevel="0" collapsed="false">
      <c r="A249" s="12" t="str">
        <f aca="false">parametros_recargas!$B$95</f>
        <v>Carga y presurización de halogenado</v>
      </c>
      <c r="B249" s="23" t="n">
        <f aca="false">parametros_recargas!$E$95*'Plan mensual'!D245+parametros_recargas!$F$95*'Plan mensual'!D246+parametros_recargas!$G$95*'Plan mensual'!D247+parametros_recargas!$H$95*'Plan mensual'!D248+parametros_recargas!$I$95*'Plan mensual'!D249+parametros_recargas!$J$95*'Plan mensual'!D250+parametros_recargas!$K$95*'Plan mensual'!D251+parametros_recargas!$L$95*'Plan mensual'!D252</f>
        <v>18.3578645051624</v>
      </c>
      <c r="C249" s="23" t="n">
        <f aca="false">parametros_recargas!$E$95*'Plan mensual'!E245+parametros_recargas!$F$95*'Plan mensual'!E246+parametros_recargas!$G$95*'Plan mensual'!E247+parametros_recargas!$H$95*'Plan mensual'!E248+parametros_recargas!$I$95*'Plan mensual'!E249+parametros_recargas!$J$95*'Plan mensual'!E250+parametros_recargas!$K$95*'Plan mensual'!E251+parametros_recargas!$L$95*'Plan mensual'!E252</f>
        <v>18.3578645051624</v>
      </c>
      <c r="D249" s="23" t="n">
        <f aca="false">parametros_recargas!$E$95*'Plan mensual'!F245+parametros_recargas!$F$95*'Plan mensual'!F246+parametros_recargas!$G$95*'Plan mensual'!F247+parametros_recargas!$H$95*'Plan mensual'!F248+parametros_recargas!$I$95*'Plan mensual'!F249+parametros_recargas!$J$95*'Plan mensual'!F250+parametros_recargas!$K$95*'Plan mensual'!F251+parametros_recargas!$L$95*'Plan mensual'!F252</f>
        <v>18.3578645051624</v>
      </c>
      <c r="E249" s="23" t="n">
        <f aca="false">parametros_recargas!$E$95*'Plan mensual'!G245+parametros_recargas!$F$95*'Plan mensual'!G246+parametros_recargas!$G$95*'Plan mensual'!G247+parametros_recargas!$H$95*'Plan mensual'!G248+parametros_recargas!$I$95*'Plan mensual'!G249+parametros_recargas!$J$95*'Plan mensual'!G250+parametros_recargas!$K$95*'Plan mensual'!G251+parametros_recargas!$L$95*'Plan mensual'!G252</f>
        <v>18.3578645051624</v>
      </c>
      <c r="F249" s="23" t="n">
        <f aca="false">parametros_recargas!$E$95*'Plan mensual'!H245+parametros_recargas!$F$95*'Plan mensual'!H246+parametros_recargas!$G$95*'Plan mensual'!H247+parametros_recargas!$H$95*'Plan mensual'!H248+parametros_recargas!$I$95*'Plan mensual'!H249+parametros_recargas!$J$95*'Plan mensual'!H250+parametros_recargas!$K$95*'Plan mensual'!H251+parametros_recargas!$L$95*'Plan mensual'!H252</f>
        <v>18.3578645051624</v>
      </c>
      <c r="G249" s="23" t="n">
        <f aca="false">parametros_recargas!$E$95*'Plan mensual'!I245+parametros_recargas!$F$95*'Plan mensual'!I246+parametros_recargas!$G$95*'Plan mensual'!I247+parametros_recargas!$H$95*'Plan mensual'!I248+parametros_recargas!$I$95*'Plan mensual'!I249+parametros_recargas!$J$95*'Plan mensual'!I250+parametros_recargas!$K$95*'Plan mensual'!I251+parametros_recargas!$L$95*'Plan mensual'!I252</f>
        <v>18.3578645051624</v>
      </c>
      <c r="H249" s="23" t="n">
        <f aca="false">parametros_recargas!$E$95*'Plan mensual'!J245+parametros_recargas!$F$95*'Plan mensual'!J246+parametros_recargas!$G$95*'Plan mensual'!J247+parametros_recargas!$H$95*'Plan mensual'!J248+parametros_recargas!$I$95*'Plan mensual'!J249+parametros_recargas!$J$95*'Plan mensual'!J250+parametros_recargas!$K$95*'Plan mensual'!J251+parametros_recargas!$L$95*'Plan mensual'!J252</f>
        <v>18.3578645051624</v>
      </c>
      <c r="I249" s="23" t="n">
        <f aca="false">parametros_recargas!$E$95*'Plan mensual'!K245+parametros_recargas!$F$95*'Plan mensual'!K246+parametros_recargas!$G$95*'Plan mensual'!K247+parametros_recargas!$H$95*'Plan mensual'!K248+parametros_recargas!$I$95*'Plan mensual'!K249+parametros_recargas!$J$95*'Plan mensual'!K250+parametros_recargas!$K$95*'Plan mensual'!K251+parametros_recargas!$L$95*'Plan mensual'!K252</f>
        <v>18.3578645051624</v>
      </c>
      <c r="J249" s="23" t="n">
        <f aca="false">parametros_recargas!$E$95*'Plan mensual'!L245+parametros_recargas!$F$95*'Plan mensual'!L246+parametros_recargas!$G$95*'Plan mensual'!L247+parametros_recargas!$H$95*'Plan mensual'!L248+parametros_recargas!$I$95*'Plan mensual'!L249+parametros_recargas!$J$95*'Plan mensual'!L250+parametros_recargas!$K$95*'Plan mensual'!L251+parametros_recargas!$L$95*'Plan mensual'!L252</f>
        <v>18.3578645051624</v>
      </c>
      <c r="K249" s="23" t="n">
        <f aca="false">parametros_recargas!$E$95*'Plan mensual'!M245+parametros_recargas!$F$95*'Plan mensual'!M246+parametros_recargas!$G$95*'Plan mensual'!M247+parametros_recargas!$H$95*'Plan mensual'!M248+parametros_recargas!$I$95*'Plan mensual'!M249+parametros_recargas!$J$95*'Plan mensual'!M250+parametros_recargas!$K$95*'Plan mensual'!M251+parametros_recargas!$L$95*'Plan mensual'!M252</f>
        <v>18.3578645051624</v>
      </c>
      <c r="L249" s="23" t="n">
        <f aca="false">parametros_recargas!$E$95*'Plan mensual'!N245+parametros_recargas!$F$95*'Plan mensual'!N246+parametros_recargas!$G$95*'Plan mensual'!N247+parametros_recargas!$H$95*'Plan mensual'!N248+parametros_recargas!$I$95*'Plan mensual'!N249+parametros_recargas!$J$95*'Plan mensual'!N250+parametros_recargas!$K$95*'Plan mensual'!N251+parametros_recargas!$L$95*'Plan mensual'!N252</f>
        <v>18.3578645051624</v>
      </c>
      <c r="M249" s="23" t="n">
        <f aca="false">parametros_recargas!$E$95*'Plan mensual'!O245+parametros_recargas!$F$95*'Plan mensual'!O246+parametros_recargas!$G$95*'Plan mensual'!O247+parametros_recargas!$H$95*'Plan mensual'!O248+parametros_recargas!$I$95*'Plan mensual'!O249+parametros_recargas!$J$95*'Plan mensual'!O250+parametros_recargas!$K$95*'Plan mensual'!O251+parametros_recargas!$L$95*'Plan mensual'!O252</f>
        <v>18.3578645051624</v>
      </c>
      <c r="N249" s="7" t="n">
        <f aca="false">SUM(B249:M249)</f>
        <v>220.294374061949</v>
      </c>
      <c r="O249" s="24" t="n">
        <f aca="false">MAX(B249:M249)</f>
        <v>18.3578645051624</v>
      </c>
      <c r="P249" s="15" t="n">
        <f aca="false">O249/parametros_recargas!$B$6</f>
        <v>0.122385763367749</v>
      </c>
    </row>
    <row r="250" customFormat="false" ht="15" hidden="false" customHeight="false" outlineLevel="0" collapsed="false">
      <c r="A250" s="12" t="str">
        <f aca="false">parametros_recargas!$B$96</f>
        <v>Control de peso (CO₂ y halogenados sin recarga)</v>
      </c>
      <c r="B250" s="23" t="n">
        <f aca="false">parametros_recargas!$E$96*'Plan mensual'!D245+parametros_recargas!$F$96*'Plan mensual'!D246+parametros_recargas!$G$96*'Plan mensual'!D247+parametros_recargas!$H$96*'Plan mensual'!D248+parametros_recargas!$I$96*'Plan mensual'!D249+parametros_recargas!$J$96*'Plan mensual'!D250+parametros_recargas!$K$96*'Plan mensual'!D251+parametros_recargas!$L$96*'Plan mensual'!D252</f>
        <v>1315.15941503242</v>
      </c>
      <c r="C250" s="23" t="n">
        <f aca="false">parametros_recargas!$E$96*'Plan mensual'!E245+parametros_recargas!$F$96*'Plan mensual'!E246+parametros_recargas!$G$96*'Plan mensual'!E247+parametros_recargas!$H$96*'Plan mensual'!E248+parametros_recargas!$I$96*'Plan mensual'!E249+parametros_recargas!$J$96*'Plan mensual'!E250+parametros_recargas!$K$96*'Plan mensual'!E251+parametros_recargas!$L$96*'Plan mensual'!E252</f>
        <v>1315.15941503242</v>
      </c>
      <c r="D250" s="23" t="n">
        <f aca="false">parametros_recargas!$E$96*'Plan mensual'!F245+parametros_recargas!$F$96*'Plan mensual'!F246+parametros_recargas!$G$96*'Plan mensual'!F247+parametros_recargas!$H$96*'Plan mensual'!F248+parametros_recargas!$I$96*'Plan mensual'!F249+parametros_recargas!$J$96*'Plan mensual'!F250+parametros_recargas!$K$96*'Plan mensual'!F251+parametros_recargas!$L$96*'Plan mensual'!F252</f>
        <v>1315.15941503242</v>
      </c>
      <c r="E250" s="23" t="n">
        <f aca="false">parametros_recargas!$E$96*'Plan mensual'!G245+parametros_recargas!$F$96*'Plan mensual'!G246+parametros_recargas!$G$96*'Plan mensual'!G247+parametros_recargas!$H$96*'Plan mensual'!G248+parametros_recargas!$I$96*'Plan mensual'!G249+parametros_recargas!$J$96*'Plan mensual'!G250+parametros_recargas!$K$96*'Plan mensual'!G251+parametros_recargas!$L$96*'Plan mensual'!G252</f>
        <v>1315.15941503242</v>
      </c>
      <c r="F250" s="23" t="n">
        <f aca="false">parametros_recargas!$E$96*'Plan mensual'!H245+parametros_recargas!$F$96*'Plan mensual'!H246+parametros_recargas!$G$96*'Plan mensual'!H247+parametros_recargas!$H$96*'Plan mensual'!H248+parametros_recargas!$I$96*'Plan mensual'!H249+parametros_recargas!$J$96*'Plan mensual'!H250+parametros_recargas!$K$96*'Plan mensual'!H251+parametros_recargas!$L$96*'Plan mensual'!H252</f>
        <v>1315.15941503242</v>
      </c>
      <c r="G250" s="23" t="n">
        <f aca="false">parametros_recargas!$E$96*'Plan mensual'!I245+parametros_recargas!$F$96*'Plan mensual'!I246+parametros_recargas!$G$96*'Plan mensual'!I247+parametros_recargas!$H$96*'Plan mensual'!I248+parametros_recargas!$I$96*'Plan mensual'!I249+parametros_recargas!$J$96*'Plan mensual'!I250+parametros_recargas!$K$96*'Plan mensual'!I251+parametros_recargas!$L$96*'Plan mensual'!I252</f>
        <v>1315.15941503242</v>
      </c>
      <c r="H250" s="23" t="n">
        <f aca="false">parametros_recargas!$E$96*'Plan mensual'!J245+parametros_recargas!$F$96*'Plan mensual'!J246+parametros_recargas!$G$96*'Plan mensual'!J247+parametros_recargas!$H$96*'Plan mensual'!J248+parametros_recargas!$I$96*'Plan mensual'!J249+parametros_recargas!$J$96*'Plan mensual'!J250+parametros_recargas!$K$96*'Plan mensual'!J251+parametros_recargas!$L$96*'Plan mensual'!J252</f>
        <v>1315.15941503242</v>
      </c>
      <c r="I250" s="23" t="n">
        <f aca="false">parametros_recargas!$E$96*'Plan mensual'!K245+parametros_recargas!$F$96*'Plan mensual'!K246+parametros_recargas!$G$96*'Plan mensual'!K247+parametros_recargas!$H$96*'Plan mensual'!K248+parametros_recargas!$I$96*'Plan mensual'!K249+parametros_recargas!$J$96*'Plan mensual'!K250+parametros_recargas!$K$96*'Plan mensual'!K251+parametros_recargas!$L$96*'Plan mensual'!K252</f>
        <v>1315.15941503242</v>
      </c>
      <c r="J250" s="23" t="n">
        <f aca="false">parametros_recargas!$E$96*'Plan mensual'!L245+parametros_recargas!$F$96*'Plan mensual'!L246+parametros_recargas!$G$96*'Plan mensual'!L247+parametros_recargas!$H$96*'Plan mensual'!L248+parametros_recargas!$I$96*'Plan mensual'!L249+parametros_recargas!$J$96*'Plan mensual'!L250+parametros_recargas!$K$96*'Plan mensual'!L251+parametros_recargas!$L$96*'Plan mensual'!L252</f>
        <v>1315.15941503242</v>
      </c>
      <c r="K250" s="23" t="n">
        <f aca="false">parametros_recargas!$E$96*'Plan mensual'!M245+parametros_recargas!$F$96*'Plan mensual'!M246+parametros_recargas!$G$96*'Plan mensual'!M247+parametros_recargas!$H$96*'Plan mensual'!M248+parametros_recargas!$I$96*'Plan mensual'!M249+parametros_recargas!$J$96*'Plan mensual'!M250+parametros_recargas!$K$96*'Plan mensual'!M251+parametros_recargas!$L$96*'Plan mensual'!M252</f>
        <v>1315.15941503242</v>
      </c>
      <c r="L250" s="23" t="n">
        <f aca="false">parametros_recargas!$E$96*'Plan mensual'!N245+parametros_recargas!$F$96*'Plan mensual'!N246+parametros_recargas!$G$96*'Plan mensual'!N247+parametros_recargas!$H$96*'Plan mensual'!N248+parametros_recargas!$I$96*'Plan mensual'!N249+parametros_recargas!$J$96*'Plan mensual'!N250+parametros_recargas!$K$96*'Plan mensual'!N251+parametros_recargas!$L$96*'Plan mensual'!N252</f>
        <v>1315.15941503242</v>
      </c>
      <c r="M250" s="23" t="n">
        <f aca="false">parametros_recargas!$E$96*'Plan mensual'!O245+parametros_recargas!$F$96*'Plan mensual'!O246+parametros_recargas!$G$96*'Plan mensual'!O247+parametros_recargas!$H$96*'Plan mensual'!O248+parametros_recargas!$I$96*'Plan mensual'!O249+parametros_recargas!$J$96*'Plan mensual'!O250+parametros_recargas!$K$96*'Plan mensual'!O251+parametros_recargas!$L$96*'Plan mensual'!O252</f>
        <v>1315.15941503242</v>
      </c>
      <c r="N250" s="7" t="n">
        <f aca="false">SUM(B250:M250)</f>
        <v>15781.912980389</v>
      </c>
      <c r="O250" s="24" t="n">
        <f aca="false">MAX(B250:M250)</f>
        <v>1315.15941503242</v>
      </c>
      <c r="P250" s="15" t="n">
        <f aca="false">O250/parametros_recargas!$B$6</f>
        <v>8.76772943354944</v>
      </c>
    </row>
    <row r="251" customFormat="false" ht="15" hidden="false" customHeight="false" outlineLevel="0" collapsed="false">
      <c r="A251" s="12" t="str">
        <f aca="false">parametros_recargas!$B$97</f>
        <v>Ensayo de pérdidas</v>
      </c>
      <c r="B251" s="23" t="n">
        <f aca="false">parametros_recargas!$E$97*'Plan mensual'!D245+parametros_recargas!$F$97*'Plan mensual'!D246+parametros_recargas!$G$97*'Plan mensual'!D247+parametros_recargas!$H$97*'Plan mensual'!D248+parametros_recargas!$I$97*'Plan mensual'!D249+parametros_recargas!$J$97*'Plan mensual'!D250+parametros_recargas!$K$97*'Plan mensual'!D251+parametros_recargas!$L$97*'Plan mensual'!D252</f>
        <v>21382.1596694838</v>
      </c>
      <c r="C251" s="23" t="n">
        <f aca="false">parametros_recargas!$E$97*'Plan mensual'!E245+parametros_recargas!$F$97*'Plan mensual'!E246+parametros_recargas!$G$97*'Plan mensual'!E247+parametros_recargas!$H$97*'Plan mensual'!E248+parametros_recargas!$I$97*'Plan mensual'!E249+parametros_recargas!$J$97*'Plan mensual'!E250+parametros_recargas!$K$97*'Plan mensual'!E251+parametros_recargas!$L$97*'Plan mensual'!E252</f>
        <v>21382.1596694838</v>
      </c>
      <c r="D251" s="23" t="n">
        <f aca="false">parametros_recargas!$E$97*'Plan mensual'!F245+parametros_recargas!$F$97*'Plan mensual'!F246+parametros_recargas!$G$97*'Plan mensual'!F247+parametros_recargas!$H$97*'Plan mensual'!F248+parametros_recargas!$I$97*'Plan mensual'!F249+parametros_recargas!$J$97*'Plan mensual'!F250+parametros_recargas!$K$97*'Plan mensual'!F251+parametros_recargas!$L$97*'Plan mensual'!F252</f>
        <v>21382.1596694838</v>
      </c>
      <c r="E251" s="23" t="n">
        <f aca="false">parametros_recargas!$E$97*'Plan mensual'!G245+parametros_recargas!$F$97*'Plan mensual'!G246+parametros_recargas!$G$97*'Plan mensual'!G247+parametros_recargas!$H$97*'Plan mensual'!G248+parametros_recargas!$I$97*'Plan mensual'!G249+parametros_recargas!$J$97*'Plan mensual'!G250+parametros_recargas!$K$97*'Plan mensual'!G251+parametros_recargas!$L$97*'Plan mensual'!G252</f>
        <v>21382.1596694838</v>
      </c>
      <c r="F251" s="23" t="n">
        <f aca="false">parametros_recargas!$E$97*'Plan mensual'!H245+parametros_recargas!$F$97*'Plan mensual'!H246+parametros_recargas!$G$97*'Plan mensual'!H247+parametros_recargas!$H$97*'Plan mensual'!H248+parametros_recargas!$I$97*'Plan mensual'!H249+parametros_recargas!$J$97*'Plan mensual'!H250+parametros_recargas!$K$97*'Plan mensual'!H251+parametros_recargas!$L$97*'Plan mensual'!H252</f>
        <v>21382.1596694838</v>
      </c>
      <c r="G251" s="23" t="n">
        <f aca="false">parametros_recargas!$E$97*'Plan mensual'!I245+parametros_recargas!$F$97*'Plan mensual'!I246+parametros_recargas!$G$97*'Plan mensual'!I247+parametros_recargas!$H$97*'Plan mensual'!I248+parametros_recargas!$I$97*'Plan mensual'!I249+parametros_recargas!$J$97*'Plan mensual'!I250+parametros_recargas!$K$97*'Plan mensual'!I251+parametros_recargas!$L$97*'Plan mensual'!I252</f>
        <v>21382.1596694838</v>
      </c>
      <c r="H251" s="23" t="n">
        <f aca="false">parametros_recargas!$E$97*'Plan mensual'!J245+parametros_recargas!$F$97*'Plan mensual'!J246+parametros_recargas!$G$97*'Plan mensual'!J247+parametros_recargas!$H$97*'Plan mensual'!J248+parametros_recargas!$I$97*'Plan mensual'!J249+parametros_recargas!$J$97*'Plan mensual'!J250+parametros_recargas!$K$97*'Plan mensual'!J251+parametros_recargas!$L$97*'Plan mensual'!J252</f>
        <v>21382.1596694838</v>
      </c>
      <c r="I251" s="23" t="n">
        <f aca="false">parametros_recargas!$E$97*'Plan mensual'!K245+parametros_recargas!$F$97*'Plan mensual'!K246+parametros_recargas!$G$97*'Plan mensual'!K247+parametros_recargas!$H$97*'Plan mensual'!K248+parametros_recargas!$I$97*'Plan mensual'!K249+parametros_recargas!$J$97*'Plan mensual'!K250+parametros_recargas!$K$97*'Plan mensual'!K251+parametros_recargas!$L$97*'Plan mensual'!K252</f>
        <v>21382.1596694838</v>
      </c>
      <c r="J251" s="23" t="n">
        <f aca="false">parametros_recargas!$E$97*'Plan mensual'!L245+parametros_recargas!$F$97*'Plan mensual'!L246+parametros_recargas!$G$97*'Plan mensual'!L247+parametros_recargas!$H$97*'Plan mensual'!L248+parametros_recargas!$I$97*'Plan mensual'!L249+parametros_recargas!$J$97*'Plan mensual'!L250+parametros_recargas!$K$97*'Plan mensual'!L251+parametros_recargas!$L$97*'Plan mensual'!L252</f>
        <v>21382.1596694838</v>
      </c>
      <c r="K251" s="23" t="n">
        <f aca="false">parametros_recargas!$E$97*'Plan mensual'!M245+parametros_recargas!$F$97*'Plan mensual'!M246+parametros_recargas!$G$97*'Plan mensual'!M247+parametros_recargas!$H$97*'Plan mensual'!M248+parametros_recargas!$I$97*'Plan mensual'!M249+parametros_recargas!$J$97*'Plan mensual'!M250+parametros_recargas!$K$97*'Plan mensual'!M251+parametros_recargas!$L$97*'Plan mensual'!M252</f>
        <v>21382.1596694838</v>
      </c>
      <c r="L251" s="23" t="n">
        <f aca="false">parametros_recargas!$E$97*'Plan mensual'!N245+parametros_recargas!$F$97*'Plan mensual'!N246+parametros_recargas!$G$97*'Plan mensual'!N247+parametros_recargas!$H$97*'Plan mensual'!N248+parametros_recargas!$I$97*'Plan mensual'!N249+parametros_recargas!$J$97*'Plan mensual'!N250+parametros_recargas!$K$97*'Plan mensual'!N251+parametros_recargas!$L$97*'Plan mensual'!N252</f>
        <v>21382.1596694838</v>
      </c>
      <c r="M251" s="23" t="n">
        <f aca="false">parametros_recargas!$E$97*'Plan mensual'!O245+parametros_recargas!$F$97*'Plan mensual'!O246+parametros_recargas!$G$97*'Plan mensual'!O247+parametros_recargas!$H$97*'Plan mensual'!O248+parametros_recargas!$I$97*'Plan mensual'!O249+parametros_recargas!$J$97*'Plan mensual'!O250+parametros_recargas!$K$97*'Plan mensual'!O251+parametros_recargas!$L$97*'Plan mensual'!O252</f>
        <v>21382.1596694838</v>
      </c>
      <c r="N251" s="7" t="n">
        <f aca="false">SUM(B251:M251)</f>
        <v>256585.916033806</v>
      </c>
      <c r="O251" s="24" t="n">
        <f aca="false">MAX(B251:M251)</f>
        <v>21382.1596694838</v>
      </c>
      <c r="P251" s="15" t="n">
        <f aca="false">O251/parametros_recargas!$B$6</f>
        <v>142.547731129892</v>
      </c>
    </row>
    <row r="252" customFormat="false" ht="15" hidden="false" customHeight="false" outlineLevel="0" collapsed="false">
      <c r="A252" s="12" t="str">
        <f aca="false">parametros_recargas!$B$98</f>
        <v>Precinto, etiqueta y despacho</v>
      </c>
      <c r="B252" s="23" t="n">
        <f aca="false">parametros_recargas!$E$98*'Plan mensual'!D245+parametros_recargas!$F$98*'Plan mensual'!D246+parametros_recargas!$G$98*'Plan mensual'!D247+parametros_recargas!$H$98*'Plan mensual'!D248+parametros_recargas!$I$98*'Plan mensual'!D249+parametros_recargas!$J$98*'Plan mensual'!D250+parametros_recargas!$K$98*'Plan mensual'!D251+parametros_recargas!$L$98*'Plan mensual'!D252</f>
        <v>21382.1596694838</v>
      </c>
      <c r="C252" s="23" t="n">
        <f aca="false">parametros_recargas!$E$98*'Plan mensual'!E245+parametros_recargas!$F$98*'Plan mensual'!E246+parametros_recargas!$G$98*'Plan mensual'!E247+parametros_recargas!$H$98*'Plan mensual'!E248+parametros_recargas!$I$98*'Plan mensual'!E249+parametros_recargas!$J$98*'Plan mensual'!E250+parametros_recargas!$K$98*'Plan mensual'!E251+parametros_recargas!$L$98*'Plan mensual'!E252</f>
        <v>21382.1596694838</v>
      </c>
      <c r="D252" s="23" t="n">
        <f aca="false">parametros_recargas!$E$98*'Plan mensual'!F245+parametros_recargas!$F$98*'Plan mensual'!F246+parametros_recargas!$G$98*'Plan mensual'!F247+parametros_recargas!$H$98*'Plan mensual'!F248+parametros_recargas!$I$98*'Plan mensual'!F249+parametros_recargas!$J$98*'Plan mensual'!F250+parametros_recargas!$K$98*'Plan mensual'!F251+parametros_recargas!$L$98*'Plan mensual'!F252</f>
        <v>21382.1596694838</v>
      </c>
      <c r="E252" s="23" t="n">
        <f aca="false">parametros_recargas!$E$98*'Plan mensual'!G245+parametros_recargas!$F$98*'Plan mensual'!G246+parametros_recargas!$G$98*'Plan mensual'!G247+parametros_recargas!$H$98*'Plan mensual'!G248+parametros_recargas!$I$98*'Plan mensual'!G249+parametros_recargas!$J$98*'Plan mensual'!G250+parametros_recargas!$K$98*'Plan mensual'!G251+parametros_recargas!$L$98*'Plan mensual'!G252</f>
        <v>21382.1596694838</v>
      </c>
      <c r="F252" s="23" t="n">
        <f aca="false">parametros_recargas!$E$98*'Plan mensual'!H245+parametros_recargas!$F$98*'Plan mensual'!H246+parametros_recargas!$G$98*'Plan mensual'!H247+parametros_recargas!$H$98*'Plan mensual'!H248+parametros_recargas!$I$98*'Plan mensual'!H249+parametros_recargas!$J$98*'Plan mensual'!H250+parametros_recargas!$K$98*'Plan mensual'!H251+parametros_recargas!$L$98*'Plan mensual'!H252</f>
        <v>21382.1596694838</v>
      </c>
      <c r="G252" s="23" t="n">
        <f aca="false">parametros_recargas!$E$98*'Plan mensual'!I245+parametros_recargas!$F$98*'Plan mensual'!I246+parametros_recargas!$G$98*'Plan mensual'!I247+parametros_recargas!$H$98*'Plan mensual'!I248+parametros_recargas!$I$98*'Plan mensual'!I249+parametros_recargas!$J$98*'Plan mensual'!I250+parametros_recargas!$K$98*'Plan mensual'!I251+parametros_recargas!$L$98*'Plan mensual'!I252</f>
        <v>21382.1596694838</v>
      </c>
      <c r="H252" s="23" t="n">
        <f aca="false">parametros_recargas!$E$98*'Plan mensual'!J245+parametros_recargas!$F$98*'Plan mensual'!J246+parametros_recargas!$G$98*'Plan mensual'!J247+parametros_recargas!$H$98*'Plan mensual'!J248+parametros_recargas!$I$98*'Plan mensual'!J249+parametros_recargas!$J$98*'Plan mensual'!J250+parametros_recargas!$K$98*'Plan mensual'!J251+parametros_recargas!$L$98*'Plan mensual'!J252</f>
        <v>21382.1596694838</v>
      </c>
      <c r="I252" s="23" t="n">
        <f aca="false">parametros_recargas!$E$98*'Plan mensual'!K245+parametros_recargas!$F$98*'Plan mensual'!K246+parametros_recargas!$G$98*'Plan mensual'!K247+parametros_recargas!$H$98*'Plan mensual'!K248+parametros_recargas!$I$98*'Plan mensual'!K249+parametros_recargas!$J$98*'Plan mensual'!K250+parametros_recargas!$K$98*'Plan mensual'!K251+parametros_recargas!$L$98*'Plan mensual'!K252</f>
        <v>21382.1596694838</v>
      </c>
      <c r="J252" s="23" t="n">
        <f aca="false">parametros_recargas!$E$98*'Plan mensual'!L245+parametros_recargas!$F$98*'Plan mensual'!L246+parametros_recargas!$G$98*'Plan mensual'!L247+parametros_recargas!$H$98*'Plan mensual'!L248+parametros_recargas!$I$98*'Plan mensual'!L249+parametros_recargas!$J$98*'Plan mensual'!L250+parametros_recargas!$K$98*'Plan mensual'!L251+parametros_recargas!$L$98*'Plan mensual'!L252</f>
        <v>21382.1596694838</v>
      </c>
      <c r="K252" s="23" t="n">
        <f aca="false">parametros_recargas!$E$98*'Plan mensual'!M245+parametros_recargas!$F$98*'Plan mensual'!M246+parametros_recargas!$G$98*'Plan mensual'!M247+parametros_recargas!$H$98*'Plan mensual'!M248+parametros_recargas!$I$98*'Plan mensual'!M249+parametros_recargas!$J$98*'Plan mensual'!M250+parametros_recargas!$K$98*'Plan mensual'!M251+parametros_recargas!$L$98*'Plan mensual'!M252</f>
        <v>21382.1596694838</v>
      </c>
      <c r="L252" s="23" t="n">
        <f aca="false">parametros_recargas!$E$98*'Plan mensual'!N245+parametros_recargas!$F$98*'Plan mensual'!N246+parametros_recargas!$G$98*'Plan mensual'!N247+parametros_recargas!$H$98*'Plan mensual'!N248+parametros_recargas!$I$98*'Plan mensual'!N249+parametros_recargas!$J$98*'Plan mensual'!N250+parametros_recargas!$K$98*'Plan mensual'!N251+parametros_recargas!$L$98*'Plan mensual'!N252</f>
        <v>21382.1596694838</v>
      </c>
      <c r="M252" s="23" t="n">
        <f aca="false">parametros_recargas!$E$98*'Plan mensual'!O245+parametros_recargas!$F$98*'Plan mensual'!O246+parametros_recargas!$G$98*'Plan mensual'!O247+parametros_recargas!$H$98*'Plan mensual'!O248+parametros_recargas!$I$98*'Plan mensual'!O249+parametros_recargas!$J$98*'Plan mensual'!O250+parametros_recargas!$K$98*'Plan mensual'!O251+parametros_recargas!$L$98*'Plan mensual'!O252</f>
        <v>21382.1596694838</v>
      </c>
      <c r="N252" s="7" t="n">
        <f aca="false">SUM(B252:M252)</f>
        <v>256585.916033806</v>
      </c>
      <c r="O252" s="24" t="n">
        <f aca="false">MAX(B252:M252)</f>
        <v>21382.1596694838</v>
      </c>
      <c r="P252" s="15" t="n">
        <f aca="false">O252/parametros_recargas!$B$6</f>
        <v>142.547731129892</v>
      </c>
    </row>
    <row r="253" customFormat="false" ht="15" hidden="false" customHeight="false" outlineLevel="0" collapsed="false">
      <c r="A253" s="12" t="str">
        <f aca="false">parametros_recargas!$B$99</f>
        <v>Inutilización y disposición final</v>
      </c>
      <c r="B253" s="23" t="n">
        <f aca="false">parametros_recargas!$E$99*'Plan mensual'!D245+parametros_recargas!$F$99*'Plan mensual'!D246+parametros_recargas!$G$99*'Plan mensual'!D247+parametros_recargas!$H$99*'Plan mensual'!D248+parametros_recargas!$I$99*'Plan mensual'!D249+parametros_recargas!$J$99*'Plan mensual'!D250+parametros_recargas!$K$99*'Plan mensual'!D251+parametros_recargas!$L$99*'Plan mensual'!D252</f>
        <v>1680.57073018926</v>
      </c>
      <c r="C253" s="23" t="n">
        <f aca="false">parametros_recargas!$E$99*'Plan mensual'!E245+parametros_recargas!$F$99*'Plan mensual'!E246+parametros_recargas!$G$99*'Plan mensual'!E247+parametros_recargas!$H$99*'Plan mensual'!E248+parametros_recargas!$I$99*'Plan mensual'!E249+parametros_recargas!$J$99*'Plan mensual'!E250+parametros_recargas!$K$99*'Plan mensual'!E251+parametros_recargas!$L$99*'Plan mensual'!E252</f>
        <v>1680.57073018926</v>
      </c>
      <c r="D253" s="23" t="n">
        <f aca="false">parametros_recargas!$E$99*'Plan mensual'!F245+parametros_recargas!$F$99*'Plan mensual'!F246+parametros_recargas!$G$99*'Plan mensual'!F247+parametros_recargas!$H$99*'Plan mensual'!F248+parametros_recargas!$I$99*'Plan mensual'!F249+parametros_recargas!$J$99*'Plan mensual'!F250+parametros_recargas!$K$99*'Plan mensual'!F251+parametros_recargas!$L$99*'Plan mensual'!F252</f>
        <v>1680.57073018926</v>
      </c>
      <c r="E253" s="23" t="n">
        <f aca="false">parametros_recargas!$E$99*'Plan mensual'!G245+parametros_recargas!$F$99*'Plan mensual'!G246+parametros_recargas!$G$99*'Plan mensual'!G247+parametros_recargas!$H$99*'Plan mensual'!G248+parametros_recargas!$I$99*'Plan mensual'!G249+parametros_recargas!$J$99*'Plan mensual'!G250+parametros_recargas!$K$99*'Plan mensual'!G251+parametros_recargas!$L$99*'Plan mensual'!G252</f>
        <v>1680.57073018926</v>
      </c>
      <c r="F253" s="23" t="n">
        <f aca="false">parametros_recargas!$E$99*'Plan mensual'!H245+parametros_recargas!$F$99*'Plan mensual'!H246+parametros_recargas!$G$99*'Plan mensual'!H247+parametros_recargas!$H$99*'Plan mensual'!H248+parametros_recargas!$I$99*'Plan mensual'!H249+parametros_recargas!$J$99*'Plan mensual'!H250+parametros_recargas!$K$99*'Plan mensual'!H251+parametros_recargas!$L$99*'Plan mensual'!H252</f>
        <v>1680.57073018926</v>
      </c>
      <c r="G253" s="23" t="n">
        <f aca="false">parametros_recargas!$E$99*'Plan mensual'!I245+parametros_recargas!$F$99*'Plan mensual'!I246+parametros_recargas!$G$99*'Plan mensual'!I247+parametros_recargas!$H$99*'Plan mensual'!I248+parametros_recargas!$I$99*'Plan mensual'!I249+parametros_recargas!$J$99*'Plan mensual'!I250+parametros_recargas!$K$99*'Plan mensual'!I251+parametros_recargas!$L$99*'Plan mensual'!I252</f>
        <v>1680.57073018926</v>
      </c>
      <c r="H253" s="23" t="n">
        <f aca="false">parametros_recargas!$E$99*'Plan mensual'!J245+parametros_recargas!$F$99*'Plan mensual'!J246+parametros_recargas!$G$99*'Plan mensual'!J247+parametros_recargas!$H$99*'Plan mensual'!J248+parametros_recargas!$I$99*'Plan mensual'!J249+parametros_recargas!$J$99*'Plan mensual'!J250+parametros_recargas!$K$99*'Plan mensual'!J251+parametros_recargas!$L$99*'Plan mensual'!J252</f>
        <v>1680.57073018926</v>
      </c>
      <c r="I253" s="23" t="n">
        <f aca="false">parametros_recargas!$E$99*'Plan mensual'!K245+parametros_recargas!$F$99*'Plan mensual'!K246+parametros_recargas!$G$99*'Plan mensual'!K247+parametros_recargas!$H$99*'Plan mensual'!K248+parametros_recargas!$I$99*'Plan mensual'!K249+parametros_recargas!$J$99*'Plan mensual'!K250+parametros_recargas!$K$99*'Plan mensual'!K251+parametros_recargas!$L$99*'Plan mensual'!K252</f>
        <v>1680.57073018926</v>
      </c>
      <c r="J253" s="23" t="n">
        <f aca="false">parametros_recargas!$E$99*'Plan mensual'!L245+parametros_recargas!$F$99*'Plan mensual'!L246+parametros_recargas!$G$99*'Plan mensual'!L247+parametros_recargas!$H$99*'Plan mensual'!L248+parametros_recargas!$I$99*'Plan mensual'!L249+parametros_recargas!$J$99*'Plan mensual'!L250+parametros_recargas!$K$99*'Plan mensual'!L251+parametros_recargas!$L$99*'Plan mensual'!L252</f>
        <v>1680.57073018926</v>
      </c>
      <c r="K253" s="23" t="n">
        <f aca="false">parametros_recargas!$E$99*'Plan mensual'!M245+parametros_recargas!$F$99*'Plan mensual'!M246+parametros_recargas!$G$99*'Plan mensual'!M247+parametros_recargas!$H$99*'Plan mensual'!M248+parametros_recargas!$I$99*'Plan mensual'!M249+parametros_recargas!$J$99*'Plan mensual'!M250+parametros_recargas!$K$99*'Plan mensual'!M251+parametros_recargas!$L$99*'Plan mensual'!M252</f>
        <v>1680.57073018926</v>
      </c>
      <c r="L253" s="23" t="n">
        <f aca="false">parametros_recargas!$E$99*'Plan mensual'!N245+parametros_recargas!$F$99*'Plan mensual'!N246+parametros_recargas!$G$99*'Plan mensual'!N247+parametros_recargas!$H$99*'Plan mensual'!N248+parametros_recargas!$I$99*'Plan mensual'!N249+parametros_recargas!$J$99*'Plan mensual'!N250+parametros_recargas!$K$99*'Plan mensual'!N251+parametros_recargas!$L$99*'Plan mensual'!N252</f>
        <v>1680.57073018926</v>
      </c>
      <c r="M253" s="23" t="n">
        <f aca="false">parametros_recargas!$E$99*'Plan mensual'!O245+parametros_recargas!$F$99*'Plan mensual'!O246+parametros_recargas!$G$99*'Plan mensual'!O247+parametros_recargas!$H$99*'Plan mensual'!O248+parametros_recargas!$I$99*'Plan mensual'!O249+parametros_recargas!$J$99*'Plan mensual'!O250+parametros_recargas!$K$99*'Plan mensual'!O251+parametros_recargas!$L$99*'Plan mensual'!O252</f>
        <v>1680.57073018926</v>
      </c>
      <c r="N253" s="7" t="n">
        <f aca="false">SUM(B253:M253)</f>
        <v>20166.8487622711</v>
      </c>
      <c r="O253" s="24" t="n">
        <f aca="false">MAX(B253:M253)</f>
        <v>1680.57073018926</v>
      </c>
      <c r="P253" s="15" t="n">
        <f aca="false">O253/parametros_recargas!$B$6</f>
        <v>11.2038048679284</v>
      </c>
    </row>
    <row r="254" customFormat="false" ht="15" hidden="false" customHeight="false" outlineLevel="0" collapsed="false">
      <c r="A254" s="12" t="str">
        <f aca="false">parametros_recargas!$B$100</f>
        <v>PH de mangueras (CO₂ y rodantes)</v>
      </c>
      <c r="B254" s="23" t="n">
        <f aca="false">'Plan mensual'!D253</f>
        <v>936.734293893292</v>
      </c>
      <c r="C254" s="23" t="n">
        <f aca="false">'Plan mensual'!E253</f>
        <v>936.734293893292</v>
      </c>
      <c r="D254" s="23" t="n">
        <f aca="false">'Plan mensual'!F253</f>
        <v>936.734293893292</v>
      </c>
      <c r="E254" s="23" t="n">
        <f aca="false">'Plan mensual'!G253</f>
        <v>936.734293893292</v>
      </c>
      <c r="F254" s="23" t="n">
        <f aca="false">'Plan mensual'!H253</f>
        <v>936.734293893292</v>
      </c>
      <c r="G254" s="23" t="n">
        <f aca="false">'Plan mensual'!I253</f>
        <v>936.734293893292</v>
      </c>
      <c r="H254" s="23" t="n">
        <f aca="false">'Plan mensual'!J253</f>
        <v>936.734293893292</v>
      </c>
      <c r="I254" s="23" t="n">
        <f aca="false">'Plan mensual'!K253</f>
        <v>936.734293893292</v>
      </c>
      <c r="J254" s="23" t="n">
        <f aca="false">'Plan mensual'!L253</f>
        <v>936.734293893292</v>
      </c>
      <c r="K254" s="23" t="n">
        <f aca="false">'Plan mensual'!M253</f>
        <v>936.734293893292</v>
      </c>
      <c r="L254" s="23" t="n">
        <f aca="false">'Plan mensual'!N253</f>
        <v>936.734293893292</v>
      </c>
      <c r="M254" s="23" t="n">
        <f aca="false">'Plan mensual'!O253</f>
        <v>936.734293893292</v>
      </c>
      <c r="N254" s="7" t="n">
        <f aca="false">SUM(B254:M254)</f>
        <v>11240.8115267195</v>
      </c>
      <c r="O254" s="24" t="n">
        <f aca="false">MAX(B254:M254)</f>
        <v>936.734293893292</v>
      </c>
      <c r="P254" s="15" t="n">
        <f aca="false">O254/parametros_recargas!$B$6</f>
        <v>6.24489529262195</v>
      </c>
    </row>
    <row r="257" customFormat="false" ht="23.85" hidden="false" customHeight="false" outlineLevel="0" collapsed="false">
      <c r="A257" s="3" t="s">
        <v>283</v>
      </c>
      <c r="B257" s="3" t="s">
        <v>120</v>
      </c>
      <c r="C257" s="3" t="s">
        <v>121</v>
      </c>
      <c r="D257" s="3" t="s">
        <v>122</v>
      </c>
      <c r="E257" s="3" t="s">
        <v>123</v>
      </c>
      <c r="F257" s="3" t="s">
        <v>124</v>
      </c>
      <c r="G257" s="3" t="s">
        <v>125</v>
      </c>
      <c r="H257" s="3" t="s">
        <v>126</v>
      </c>
      <c r="I257" s="3" t="s">
        <v>127</v>
      </c>
      <c r="J257" s="3" t="s">
        <v>128</v>
      </c>
      <c r="K257" s="3" t="s">
        <v>129</v>
      </c>
      <c r="L257" s="3" t="s">
        <v>130</v>
      </c>
      <c r="M257" s="3" t="s">
        <v>131</v>
      </c>
      <c r="N257" s="3" t="s">
        <v>273</v>
      </c>
      <c r="O257" s="3" t="s">
        <v>274</v>
      </c>
      <c r="P257" s="3" t="s">
        <v>275</v>
      </c>
    </row>
    <row r="258" customFormat="false" ht="15" hidden="false" customHeight="false" outlineLevel="0" collapsed="false">
      <c r="A258" s="12" t="str">
        <f aca="false">parametros_recargas!$B$72</f>
        <v>Recepción y registro</v>
      </c>
      <c r="B258" s="23" t="n">
        <f aca="false">parametros_recargas!$E$72*'Plan mensual'!D277+parametros_recargas!$F$72*'Plan mensual'!D278+parametros_recargas!$G$72*'Plan mensual'!D279+parametros_recargas!$H$72*'Plan mensual'!D280+parametros_recargas!$I$72*'Plan mensual'!D281+parametros_recargas!$J$72*'Plan mensual'!D282+parametros_recargas!$K$72*'Plan mensual'!D283+parametros_recargas!$L$72*'Plan mensual'!D284</f>
        <v>23519.1778480101</v>
      </c>
      <c r="C258" s="23" t="n">
        <f aca="false">parametros_recargas!$E$72*'Plan mensual'!E277+parametros_recargas!$F$72*'Plan mensual'!E278+parametros_recargas!$G$72*'Plan mensual'!E279+parametros_recargas!$H$72*'Plan mensual'!E280+parametros_recargas!$I$72*'Plan mensual'!E281+parametros_recargas!$J$72*'Plan mensual'!E282+parametros_recargas!$K$72*'Plan mensual'!E283+parametros_recargas!$L$72*'Plan mensual'!E284</f>
        <v>23519.1778480101</v>
      </c>
      <c r="D258" s="23" t="n">
        <f aca="false">parametros_recargas!$E$72*'Plan mensual'!F277+parametros_recargas!$F$72*'Plan mensual'!F278+parametros_recargas!$G$72*'Plan mensual'!F279+parametros_recargas!$H$72*'Plan mensual'!F280+parametros_recargas!$I$72*'Plan mensual'!F281+parametros_recargas!$J$72*'Plan mensual'!F282+parametros_recargas!$K$72*'Plan mensual'!F283+parametros_recargas!$L$72*'Plan mensual'!F284</f>
        <v>23519.1778480101</v>
      </c>
      <c r="E258" s="23" t="n">
        <f aca="false">parametros_recargas!$E$72*'Plan mensual'!G277+parametros_recargas!$F$72*'Plan mensual'!G278+parametros_recargas!$G$72*'Plan mensual'!G279+parametros_recargas!$H$72*'Plan mensual'!G280+parametros_recargas!$I$72*'Plan mensual'!G281+parametros_recargas!$J$72*'Plan mensual'!G282+parametros_recargas!$K$72*'Plan mensual'!G283+parametros_recargas!$L$72*'Plan mensual'!G284</f>
        <v>23519.1778480101</v>
      </c>
      <c r="F258" s="23" t="n">
        <f aca="false">parametros_recargas!$E$72*'Plan mensual'!H277+parametros_recargas!$F$72*'Plan mensual'!H278+parametros_recargas!$G$72*'Plan mensual'!H279+parametros_recargas!$H$72*'Plan mensual'!H280+parametros_recargas!$I$72*'Plan mensual'!H281+parametros_recargas!$J$72*'Plan mensual'!H282+parametros_recargas!$K$72*'Plan mensual'!H283+parametros_recargas!$L$72*'Plan mensual'!H284</f>
        <v>23519.1778480101</v>
      </c>
      <c r="G258" s="23" t="n">
        <f aca="false">parametros_recargas!$E$72*'Plan mensual'!I277+parametros_recargas!$F$72*'Plan mensual'!I278+parametros_recargas!$G$72*'Plan mensual'!I279+parametros_recargas!$H$72*'Plan mensual'!I280+parametros_recargas!$I$72*'Plan mensual'!I281+parametros_recargas!$J$72*'Plan mensual'!I282+parametros_recargas!$K$72*'Plan mensual'!I283+parametros_recargas!$L$72*'Plan mensual'!I284</f>
        <v>23519.1778480101</v>
      </c>
      <c r="H258" s="23" t="n">
        <f aca="false">parametros_recargas!$E$72*'Plan mensual'!J277+parametros_recargas!$F$72*'Plan mensual'!J278+parametros_recargas!$G$72*'Plan mensual'!J279+parametros_recargas!$H$72*'Plan mensual'!J280+parametros_recargas!$I$72*'Plan mensual'!J281+parametros_recargas!$J$72*'Plan mensual'!J282+parametros_recargas!$K$72*'Plan mensual'!J283+parametros_recargas!$L$72*'Plan mensual'!J284</f>
        <v>23519.1778480101</v>
      </c>
      <c r="I258" s="23" t="n">
        <f aca="false">parametros_recargas!$E$72*'Plan mensual'!K277+parametros_recargas!$F$72*'Plan mensual'!K278+parametros_recargas!$G$72*'Plan mensual'!K279+parametros_recargas!$H$72*'Plan mensual'!K280+parametros_recargas!$I$72*'Plan mensual'!K281+parametros_recargas!$J$72*'Plan mensual'!K282+parametros_recargas!$K$72*'Plan mensual'!K283+parametros_recargas!$L$72*'Plan mensual'!K284</f>
        <v>23519.1778480101</v>
      </c>
      <c r="J258" s="23" t="n">
        <f aca="false">parametros_recargas!$E$72*'Plan mensual'!L277+parametros_recargas!$F$72*'Plan mensual'!L278+parametros_recargas!$G$72*'Plan mensual'!L279+parametros_recargas!$H$72*'Plan mensual'!L280+parametros_recargas!$I$72*'Plan mensual'!L281+parametros_recargas!$J$72*'Plan mensual'!L282+parametros_recargas!$K$72*'Plan mensual'!L283+parametros_recargas!$L$72*'Plan mensual'!L284</f>
        <v>23519.1778480101</v>
      </c>
      <c r="K258" s="23" t="n">
        <f aca="false">parametros_recargas!$E$72*'Plan mensual'!M277+parametros_recargas!$F$72*'Plan mensual'!M278+parametros_recargas!$G$72*'Plan mensual'!M279+parametros_recargas!$H$72*'Plan mensual'!M280+parametros_recargas!$I$72*'Plan mensual'!M281+parametros_recargas!$J$72*'Plan mensual'!M282+parametros_recargas!$K$72*'Plan mensual'!M283+parametros_recargas!$L$72*'Plan mensual'!M284</f>
        <v>23519.1778480101</v>
      </c>
      <c r="L258" s="23" t="n">
        <f aca="false">parametros_recargas!$E$72*'Plan mensual'!N277+parametros_recargas!$F$72*'Plan mensual'!N278+parametros_recargas!$G$72*'Plan mensual'!N279+parametros_recargas!$H$72*'Plan mensual'!N280+parametros_recargas!$I$72*'Plan mensual'!N281+parametros_recargas!$J$72*'Plan mensual'!N282+parametros_recargas!$K$72*'Plan mensual'!N283+parametros_recargas!$L$72*'Plan mensual'!N284</f>
        <v>23519.1778480101</v>
      </c>
      <c r="M258" s="23" t="n">
        <f aca="false">parametros_recargas!$E$72*'Plan mensual'!O277+parametros_recargas!$F$72*'Plan mensual'!O278+parametros_recargas!$G$72*'Plan mensual'!O279+parametros_recargas!$H$72*'Plan mensual'!O280+parametros_recargas!$I$72*'Plan mensual'!O281+parametros_recargas!$J$72*'Plan mensual'!O282+parametros_recargas!$K$72*'Plan mensual'!O283+parametros_recargas!$L$72*'Plan mensual'!O284</f>
        <v>23519.1778480101</v>
      </c>
      <c r="N258" s="7" t="n">
        <f aca="false">SUM(B258:M258)</f>
        <v>282230.134176122</v>
      </c>
      <c r="O258" s="24" t="n">
        <f aca="false">MAX(B258:M258)</f>
        <v>23519.1778480101</v>
      </c>
      <c r="P258" s="15" t="n">
        <f aca="false">O258/parametros_recargas!$B$6</f>
        <v>156.794518986734</v>
      </c>
    </row>
    <row r="259" customFormat="false" ht="15" hidden="false" customHeight="false" outlineLevel="0" collapsed="false">
      <c r="A259" s="12" t="str">
        <f aca="false">parametros_recargas!$B$73</f>
        <v>Inspección visual</v>
      </c>
      <c r="B259" s="23" t="n">
        <f aca="false">parametros_recargas!$E$73*'Plan mensual'!D277+parametros_recargas!$F$73*'Plan mensual'!D278+parametros_recargas!$G$73*'Plan mensual'!D279+parametros_recargas!$H$73*'Plan mensual'!D280+parametros_recargas!$I$73*'Plan mensual'!D281+parametros_recargas!$J$73*'Plan mensual'!D282+parametros_recargas!$K$73*'Plan mensual'!D283+parametros_recargas!$L$73*'Plan mensual'!D284</f>
        <v>23519.1778480101</v>
      </c>
      <c r="C259" s="23" t="n">
        <f aca="false">parametros_recargas!$E$73*'Plan mensual'!E277+parametros_recargas!$F$73*'Plan mensual'!E278+parametros_recargas!$G$73*'Plan mensual'!E279+parametros_recargas!$H$73*'Plan mensual'!E280+parametros_recargas!$I$73*'Plan mensual'!E281+parametros_recargas!$J$73*'Plan mensual'!E282+parametros_recargas!$K$73*'Plan mensual'!E283+parametros_recargas!$L$73*'Plan mensual'!E284</f>
        <v>23519.1778480101</v>
      </c>
      <c r="D259" s="23" t="n">
        <f aca="false">parametros_recargas!$E$73*'Plan mensual'!F277+parametros_recargas!$F$73*'Plan mensual'!F278+parametros_recargas!$G$73*'Plan mensual'!F279+parametros_recargas!$H$73*'Plan mensual'!F280+parametros_recargas!$I$73*'Plan mensual'!F281+parametros_recargas!$J$73*'Plan mensual'!F282+parametros_recargas!$K$73*'Plan mensual'!F283+parametros_recargas!$L$73*'Plan mensual'!F284</f>
        <v>23519.1778480101</v>
      </c>
      <c r="E259" s="23" t="n">
        <f aca="false">parametros_recargas!$E$73*'Plan mensual'!G277+parametros_recargas!$F$73*'Plan mensual'!G278+parametros_recargas!$G$73*'Plan mensual'!G279+parametros_recargas!$H$73*'Plan mensual'!G280+parametros_recargas!$I$73*'Plan mensual'!G281+parametros_recargas!$J$73*'Plan mensual'!G282+parametros_recargas!$K$73*'Plan mensual'!G283+parametros_recargas!$L$73*'Plan mensual'!G284</f>
        <v>23519.1778480101</v>
      </c>
      <c r="F259" s="23" t="n">
        <f aca="false">parametros_recargas!$E$73*'Plan mensual'!H277+parametros_recargas!$F$73*'Plan mensual'!H278+parametros_recargas!$G$73*'Plan mensual'!H279+parametros_recargas!$H$73*'Plan mensual'!H280+parametros_recargas!$I$73*'Plan mensual'!H281+parametros_recargas!$J$73*'Plan mensual'!H282+parametros_recargas!$K$73*'Plan mensual'!H283+parametros_recargas!$L$73*'Plan mensual'!H284</f>
        <v>23519.1778480101</v>
      </c>
      <c r="G259" s="23" t="n">
        <f aca="false">parametros_recargas!$E$73*'Plan mensual'!I277+parametros_recargas!$F$73*'Plan mensual'!I278+parametros_recargas!$G$73*'Plan mensual'!I279+parametros_recargas!$H$73*'Plan mensual'!I280+parametros_recargas!$I$73*'Plan mensual'!I281+parametros_recargas!$J$73*'Plan mensual'!I282+parametros_recargas!$K$73*'Plan mensual'!I283+parametros_recargas!$L$73*'Plan mensual'!I284</f>
        <v>23519.1778480101</v>
      </c>
      <c r="H259" s="23" t="n">
        <f aca="false">parametros_recargas!$E$73*'Plan mensual'!J277+parametros_recargas!$F$73*'Plan mensual'!J278+parametros_recargas!$G$73*'Plan mensual'!J279+parametros_recargas!$H$73*'Plan mensual'!J280+parametros_recargas!$I$73*'Plan mensual'!J281+parametros_recargas!$J$73*'Plan mensual'!J282+parametros_recargas!$K$73*'Plan mensual'!J283+parametros_recargas!$L$73*'Plan mensual'!J284</f>
        <v>23519.1778480101</v>
      </c>
      <c r="I259" s="23" t="n">
        <f aca="false">parametros_recargas!$E$73*'Plan mensual'!K277+parametros_recargas!$F$73*'Plan mensual'!K278+parametros_recargas!$G$73*'Plan mensual'!K279+parametros_recargas!$H$73*'Plan mensual'!K280+parametros_recargas!$I$73*'Plan mensual'!K281+parametros_recargas!$J$73*'Plan mensual'!K282+parametros_recargas!$K$73*'Plan mensual'!K283+parametros_recargas!$L$73*'Plan mensual'!K284</f>
        <v>23519.1778480101</v>
      </c>
      <c r="J259" s="23" t="n">
        <f aca="false">parametros_recargas!$E$73*'Plan mensual'!L277+parametros_recargas!$F$73*'Plan mensual'!L278+parametros_recargas!$G$73*'Plan mensual'!L279+parametros_recargas!$H$73*'Plan mensual'!L280+parametros_recargas!$I$73*'Plan mensual'!L281+parametros_recargas!$J$73*'Plan mensual'!L282+parametros_recargas!$K$73*'Plan mensual'!L283+parametros_recargas!$L$73*'Plan mensual'!L284</f>
        <v>23519.1778480101</v>
      </c>
      <c r="K259" s="23" t="n">
        <f aca="false">parametros_recargas!$E$73*'Plan mensual'!M277+parametros_recargas!$F$73*'Plan mensual'!M278+parametros_recargas!$G$73*'Plan mensual'!M279+parametros_recargas!$H$73*'Plan mensual'!M280+parametros_recargas!$I$73*'Plan mensual'!M281+parametros_recargas!$J$73*'Plan mensual'!M282+parametros_recargas!$K$73*'Plan mensual'!M283+parametros_recargas!$L$73*'Plan mensual'!M284</f>
        <v>23519.1778480101</v>
      </c>
      <c r="L259" s="23" t="n">
        <f aca="false">parametros_recargas!$E$73*'Plan mensual'!N277+parametros_recargas!$F$73*'Plan mensual'!N278+parametros_recargas!$G$73*'Plan mensual'!N279+parametros_recargas!$H$73*'Plan mensual'!N280+parametros_recargas!$I$73*'Plan mensual'!N281+parametros_recargas!$J$73*'Plan mensual'!N282+parametros_recargas!$K$73*'Plan mensual'!N283+parametros_recargas!$L$73*'Plan mensual'!N284</f>
        <v>23519.1778480101</v>
      </c>
      <c r="M259" s="23" t="n">
        <f aca="false">parametros_recargas!$E$73*'Plan mensual'!O277+parametros_recargas!$F$73*'Plan mensual'!O278+parametros_recargas!$G$73*'Plan mensual'!O279+parametros_recargas!$H$73*'Plan mensual'!O280+parametros_recargas!$I$73*'Plan mensual'!O281+parametros_recargas!$J$73*'Plan mensual'!O282+parametros_recargas!$K$73*'Plan mensual'!O283+parametros_recargas!$L$73*'Plan mensual'!O284</f>
        <v>23519.1778480101</v>
      </c>
      <c r="N259" s="7" t="n">
        <f aca="false">SUM(B259:M259)</f>
        <v>282230.134176122</v>
      </c>
      <c r="O259" s="24" t="n">
        <f aca="false">MAX(B259:M259)</f>
        <v>23519.1778480101</v>
      </c>
      <c r="P259" s="15" t="n">
        <f aca="false">O259/parametros_recargas!$B$6</f>
        <v>156.794518986734</v>
      </c>
    </row>
    <row r="260" customFormat="false" ht="15" hidden="false" customHeight="false" outlineLevel="0" collapsed="false">
      <c r="A260" s="12" t="str">
        <f aca="false">parametros_recargas!$B$74</f>
        <v>Descarga ABC — ruta recuperable</v>
      </c>
      <c r="B260" s="23" t="n">
        <f aca="false">parametros_recargas!$E$74*'Plan mensual'!D277+parametros_recargas!$F$74*'Plan mensual'!D278+parametros_recargas!$G$74*'Plan mensual'!D279+parametros_recargas!$H$74*'Plan mensual'!D280+parametros_recargas!$I$74*'Plan mensual'!D281+parametros_recargas!$J$74*'Plan mensual'!D282+parametros_recargas!$K$74*'Plan mensual'!D283+parametros_recargas!$L$74*'Plan mensual'!D284</f>
        <v>17209.7975780887</v>
      </c>
      <c r="C260" s="23" t="n">
        <f aca="false">parametros_recargas!$E$74*'Plan mensual'!E277+parametros_recargas!$F$74*'Plan mensual'!E278+parametros_recargas!$G$74*'Plan mensual'!E279+parametros_recargas!$H$74*'Plan mensual'!E280+parametros_recargas!$I$74*'Plan mensual'!E281+parametros_recargas!$J$74*'Plan mensual'!E282+parametros_recargas!$K$74*'Plan mensual'!E283+parametros_recargas!$L$74*'Plan mensual'!E284</f>
        <v>17209.7975780887</v>
      </c>
      <c r="D260" s="23" t="n">
        <f aca="false">parametros_recargas!$E$74*'Plan mensual'!F277+parametros_recargas!$F$74*'Plan mensual'!F278+parametros_recargas!$G$74*'Plan mensual'!F279+parametros_recargas!$H$74*'Plan mensual'!F280+parametros_recargas!$I$74*'Plan mensual'!F281+parametros_recargas!$J$74*'Plan mensual'!F282+parametros_recargas!$K$74*'Plan mensual'!F283+parametros_recargas!$L$74*'Plan mensual'!F284</f>
        <v>17209.7975780887</v>
      </c>
      <c r="E260" s="23" t="n">
        <f aca="false">parametros_recargas!$E$74*'Plan mensual'!G277+parametros_recargas!$F$74*'Plan mensual'!G278+parametros_recargas!$G$74*'Plan mensual'!G279+parametros_recargas!$H$74*'Plan mensual'!G280+parametros_recargas!$I$74*'Plan mensual'!G281+parametros_recargas!$J$74*'Plan mensual'!G282+parametros_recargas!$K$74*'Plan mensual'!G283+parametros_recargas!$L$74*'Plan mensual'!G284</f>
        <v>17209.7975780887</v>
      </c>
      <c r="F260" s="23" t="n">
        <f aca="false">parametros_recargas!$E$74*'Plan mensual'!H277+parametros_recargas!$F$74*'Plan mensual'!H278+parametros_recargas!$G$74*'Plan mensual'!H279+parametros_recargas!$H$74*'Plan mensual'!H280+parametros_recargas!$I$74*'Plan mensual'!H281+parametros_recargas!$J$74*'Plan mensual'!H282+parametros_recargas!$K$74*'Plan mensual'!H283+parametros_recargas!$L$74*'Plan mensual'!H284</f>
        <v>17209.7975780887</v>
      </c>
      <c r="G260" s="23" t="n">
        <f aca="false">parametros_recargas!$E$74*'Plan mensual'!I277+parametros_recargas!$F$74*'Plan mensual'!I278+parametros_recargas!$G$74*'Plan mensual'!I279+parametros_recargas!$H$74*'Plan mensual'!I280+parametros_recargas!$I$74*'Plan mensual'!I281+parametros_recargas!$J$74*'Plan mensual'!I282+parametros_recargas!$K$74*'Plan mensual'!I283+parametros_recargas!$L$74*'Plan mensual'!I284</f>
        <v>17209.7975780887</v>
      </c>
      <c r="H260" s="23" t="n">
        <f aca="false">parametros_recargas!$E$74*'Plan mensual'!J277+parametros_recargas!$F$74*'Plan mensual'!J278+parametros_recargas!$G$74*'Plan mensual'!J279+parametros_recargas!$H$74*'Plan mensual'!J280+parametros_recargas!$I$74*'Plan mensual'!J281+parametros_recargas!$J$74*'Plan mensual'!J282+parametros_recargas!$K$74*'Plan mensual'!J283+parametros_recargas!$L$74*'Plan mensual'!J284</f>
        <v>17209.7975780887</v>
      </c>
      <c r="I260" s="23" t="n">
        <f aca="false">parametros_recargas!$E$74*'Plan mensual'!K277+parametros_recargas!$F$74*'Plan mensual'!K278+parametros_recargas!$G$74*'Plan mensual'!K279+parametros_recargas!$H$74*'Plan mensual'!K280+parametros_recargas!$I$74*'Plan mensual'!K281+parametros_recargas!$J$74*'Plan mensual'!K282+parametros_recargas!$K$74*'Plan mensual'!K283+parametros_recargas!$L$74*'Plan mensual'!K284</f>
        <v>17209.7975780887</v>
      </c>
      <c r="J260" s="23" t="n">
        <f aca="false">parametros_recargas!$E$74*'Plan mensual'!L277+parametros_recargas!$F$74*'Plan mensual'!L278+parametros_recargas!$G$74*'Plan mensual'!L279+parametros_recargas!$H$74*'Plan mensual'!L280+parametros_recargas!$I$74*'Plan mensual'!L281+parametros_recargas!$J$74*'Plan mensual'!L282+parametros_recargas!$K$74*'Plan mensual'!L283+parametros_recargas!$L$74*'Plan mensual'!L284</f>
        <v>17209.7975780887</v>
      </c>
      <c r="K260" s="23" t="n">
        <f aca="false">parametros_recargas!$E$74*'Plan mensual'!M277+parametros_recargas!$F$74*'Plan mensual'!M278+parametros_recargas!$G$74*'Plan mensual'!M279+parametros_recargas!$H$74*'Plan mensual'!M280+parametros_recargas!$I$74*'Plan mensual'!M281+parametros_recargas!$J$74*'Plan mensual'!M282+parametros_recargas!$K$74*'Plan mensual'!M283+parametros_recargas!$L$74*'Plan mensual'!M284</f>
        <v>17209.7975780887</v>
      </c>
      <c r="L260" s="23" t="n">
        <f aca="false">parametros_recargas!$E$74*'Plan mensual'!N277+parametros_recargas!$F$74*'Plan mensual'!N278+parametros_recargas!$G$74*'Plan mensual'!N279+parametros_recargas!$H$74*'Plan mensual'!N280+parametros_recargas!$I$74*'Plan mensual'!N281+parametros_recargas!$J$74*'Plan mensual'!N282+parametros_recargas!$K$74*'Plan mensual'!N283+parametros_recargas!$L$74*'Plan mensual'!N284</f>
        <v>17209.7975780887</v>
      </c>
      <c r="M260" s="23" t="n">
        <f aca="false">parametros_recargas!$E$74*'Plan mensual'!O277+parametros_recargas!$F$74*'Plan mensual'!O278+parametros_recargas!$G$74*'Plan mensual'!O279+parametros_recargas!$H$74*'Plan mensual'!O280+parametros_recargas!$I$74*'Plan mensual'!O281+parametros_recargas!$J$74*'Plan mensual'!O282+parametros_recargas!$K$74*'Plan mensual'!O283+parametros_recargas!$L$74*'Plan mensual'!O284</f>
        <v>17209.7975780887</v>
      </c>
      <c r="N260" s="7" t="n">
        <f aca="false">SUM(B260:M260)</f>
        <v>206517.570937064</v>
      </c>
      <c r="O260" s="24" t="n">
        <f aca="false">MAX(B260:M260)</f>
        <v>17209.7975780887</v>
      </c>
      <c r="P260" s="15" t="n">
        <f aca="false">O260/parametros_recargas!$B$6</f>
        <v>114.731983853925</v>
      </c>
    </row>
    <row r="261" customFormat="false" ht="15" hidden="false" customHeight="false" outlineLevel="0" collapsed="false">
      <c r="A261" s="12" t="str">
        <f aca="false">parametros_recargas!$B$75</f>
        <v>Descarga ABC — ruta descarte</v>
      </c>
      <c r="B261" s="23" t="n">
        <f aca="false">parametros_recargas!$E$75*'Plan mensual'!D277+parametros_recargas!$F$75*'Plan mensual'!D278+parametros_recargas!$G$75*'Plan mensual'!D279+parametros_recargas!$H$75*'Plan mensual'!D280+parametros_recargas!$I$75*'Plan mensual'!D281+parametros_recargas!$J$75*'Plan mensual'!D282+parametros_recargas!$K$75*'Plan mensual'!D283+parametros_recargas!$L$75*'Plan mensual'!D284</f>
        <v>2024.68206801043</v>
      </c>
      <c r="C261" s="23" t="n">
        <f aca="false">parametros_recargas!$E$75*'Plan mensual'!E277+parametros_recargas!$F$75*'Plan mensual'!E278+parametros_recargas!$G$75*'Plan mensual'!E279+parametros_recargas!$H$75*'Plan mensual'!E280+parametros_recargas!$I$75*'Plan mensual'!E281+parametros_recargas!$J$75*'Plan mensual'!E282+parametros_recargas!$K$75*'Plan mensual'!E283+parametros_recargas!$L$75*'Plan mensual'!E284</f>
        <v>2024.68206801043</v>
      </c>
      <c r="D261" s="23" t="n">
        <f aca="false">parametros_recargas!$E$75*'Plan mensual'!F277+parametros_recargas!$F$75*'Plan mensual'!F278+parametros_recargas!$G$75*'Plan mensual'!F279+parametros_recargas!$H$75*'Plan mensual'!F280+parametros_recargas!$I$75*'Plan mensual'!F281+parametros_recargas!$J$75*'Plan mensual'!F282+parametros_recargas!$K$75*'Plan mensual'!F283+parametros_recargas!$L$75*'Plan mensual'!F284</f>
        <v>2024.68206801043</v>
      </c>
      <c r="E261" s="23" t="n">
        <f aca="false">parametros_recargas!$E$75*'Plan mensual'!G277+parametros_recargas!$F$75*'Plan mensual'!G278+parametros_recargas!$G$75*'Plan mensual'!G279+parametros_recargas!$H$75*'Plan mensual'!G280+parametros_recargas!$I$75*'Plan mensual'!G281+parametros_recargas!$J$75*'Plan mensual'!G282+parametros_recargas!$K$75*'Plan mensual'!G283+parametros_recargas!$L$75*'Plan mensual'!G284</f>
        <v>2024.68206801043</v>
      </c>
      <c r="F261" s="23" t="n">
        <f aca="false">parametros_recargas!$E$75*'Plan mensual'!H277+parametros_recargas!$F$75*'Plan mensual'!H278+parametros_recargas!$G$75*'Plan mensual'!H279+parametros_recargas!$H$75*'Plan mensual'!H280+parametros_recargas!$I$75*'Plan mensual'!H281+parametros_recargas!$J$75*'Plan mensual'!H282+parametros_recargas!$K$75*'Plan mensual'!H283+parametros_recargas!$L$75*'Plan mensual'!H284</f>
        <v>2024.68206801043</v>
      </c>
      <c r="G261" s="23" t="n">
        <f aca="false">parametros_recargas!$E$75*'Plan mensual'!I277+parametros_recargas!$F$75*'Plan mensual'!I278+parametros_recargas!$G$75*'Plan mensual'!I279+parametros_recargas!$H$75*'Plan mensual'!I280+parametros_recargas!$I$75*'Plan mensual'!I281+parametros_recargas!$J$75*'Plan mensual'!I282+parametros_recargas!$K$75*'Plan mensual'!I283+parametros_recargas!$L$75*'Plan mensual'!I284</f>
        <v>2024.68206801043</v>
      </c>
      <c r="H261" s="23" t="n">
        <f aca="false">parametros_recargas!$E$75*'Plan mensual'!J277+parametros_recargas!$F$75*'Plan mensual'!J278+parametros_recargas!$G$75*'Plan mensual'!J279+parametros_recargas!$H$75*'Plan mensual'!J280+parametros_recargas!$I$75*'Plan mensual'!J281+parametros_recargas!$J$75*'Plan mensual'!J282+parametros_recargas!$K$75*'Plan mensual'!J283+parametros_recargas!$L$75*'Plan mensual'!J284</f>
        <v>2024.68206801043</v>
      </c>
      <c r="I261" s="23" t="n">
        <f aca="false">parametros_recargas!$E$75*'Plan mensual'!K277+parametros_recargas!$F$75*'Plan mensual'!K278+parametros_recargas!$G$75*'Plan mensual'!K279+parametros_recargas!$H$75*'Plan mensual'!K280+parametros_recargas!$I$75*'Plan mensual'!K281+parametros_recargas!$J$75*'Plan mensual'!K282+parametros_recargas!$K$75*'Plan mensual'!K283+parametros_recargas!$L$75*'Plan mensual'!K284</f>
        <v>2024.68206801043</v>
      </c>
      <c r="J261" s="23" t="n">
        <f aca="false">parametros_recargas!$E$75*'Plan mensual'!L277+parametros_recargas!$F$75*'Plan mensual'!L278+parametros_recargas!$G$75*'Plan mensual'!L279+parametros_recargas!$H$75*'Plan mensual'!L280+parametros_recargas!$I$75*'Plan mensual'!L281+parametros_recargas!$J$75*'Plan mensual'!L282+parametros_recargas!$K$75*'Plan mensual'!L283+parametros_recargas!$L$75*'Plan mensual'!L284</f>
        <v>2024.68206801043</v>
      </c>
      <c r="K261" s="23" t="n">
        <f aca="false">parametros_recargas!$E$75*'Plan mensual'!M277+parametros_recargas!$F$75*'Plan mensual'!M278+parametros_recargas!$G$75*'Plan mensual'!M279+parametros_recargas!$H$75*'Plan mensual'!M280+parametros_recargas!$I$75*'Plan mensual'!M281+parametros_recargas!$J$75*'Plan mensual'!M282+parametros_recargas!$K$75*'Plan mensual'!M283+parametros_recargas!$L$75*'Plan mensual'!M284</f>
        <v>2024.68206801043</v>
      </c>
      <c r="L261" s="23" t="n">
        <f aca="false">parametros_recargas!$E$75*'Plan mensual'!N277+parametros_recargas!$F$75*'Plan mensual'!N278+parametros_recargas!$G$75*'Plan mensual'!N279+parametros_recargas!$H$75*'Plan mensual'!N280+parametros_recargas!$I$75*'Plan mensual'!N281+parametros_recargas!$J$75*'Plan mensual'!N282+parametros_recargas!$K$75*'Plan mensual'!N283+parametros_recargas!$L$75*'Plan mensual'!N284</f>
        <v>2024.68206801043</v>
      </c>
      <c r="M261" s="23" t="n">
        <f aca="false">parametros_recargas!$E$75*'Plan mensual'!O277+parametros_recargas!$F$75*'Plan mensual'!O278+parametros_recargas!$G$75*'Plan mensual'!O279+parametros_recargas!$H$75*'Plan mensual'!O280+parametros_recargas!$I$75*'Plan mensual'!O281+parametros_recargas!$J$75*'Plan mensual'!O282+parametros_recargas!$K$75*'Plan mensual'!O283+parametros_recargas!$L$75*'Plan mensual'!O284</f>
        <v>2024.68206801043</v>
      </c>
      <c r="N261" s="7" t="n">
        <f aca="false">SUM(B261:M261)</f>
        <v>24296.1848161252</v>
      </c>
      <c r="O261" s="24" t="n">
        <f aca="false">MAX(B261:M261)</f>
        <v>2024.68206801043</v>
      </c>
      <c r="P261" s="15" t="n">
        <f aca="false">O261/parametros_recargas!$B$6</f>
        <v>13.4978804534029</v>
      </c>
    </row>
    <row r="262" customFormat="false" ht="15" hidden="false" customHeight="false" outlineLevel="0" collapsed="false">
      <c r="A262" s="12" t="str">
        <f aca="false">parametros_recargas!$B$76</f>
        <v>Descarga BC</v>
      </c>
      <c r="B262" s="23" t="n">
        <f aca="false">parametros_recargas!$E$76*'Plan mensual'!D277+parametros_recargas!$F$76*'Plan mensual'!D278+parametros_recargas!$G$76*'Plan mensual'!D279+parametros_recargas!$H$76*'Plan mensual'!D280+parametros_recargas!$I$76*'Plan mensual'!D281+parametros_recargas!$J$76*'Plan mensual'!D282+parametros_recargas!$K$76*'Plan mensual'!D283+parametros_recargas!$L$76*'Plan mensual'!D284</f>
        <v>32.8576095168221</v>
      </c>
      <c r="C262" s="23" t="n">
        <f aca="false">parametros_recargas!$E$76*'Plan mensual'!E277+parametros_recargas!$F$76*'Plan mensual'!E278+parametros_recargas!$G$76*'Plan mensual'!E279+parametros_recargas!$H$76*'Plan mensual'!E280+parametros_recargas!$I$76*'Plan mensual'!E281+parametros_recargas!$J$76*'Plan mensual'!E282+parametros_recargas!$K$76*'Plan mensual'!E283+parametros_recargas!$L$76*'Plan mensual'!E284</f>
        <v>32.8576095168221</v>
      </c>
      <c r="D262" s="23" t="n">
        <f aca="false">parametros_recargas!$E$76*'Plan mensual'!F277+parametros_recargas!$F$76*'Plan mensual'!F278+parametros_recargas!$G$76*'Plan mensual'!F279+parametros_recargas!$H$76*'Plan mensual'!F280+parametros_recargas!$I$76*'Plan mensual'!F281+parametros_recargas!$J$76*'Plan mensual'!F282+parametros_recargas!$K$76*'Plan mensual'!F283+parametros_recargas!$L$76*'Plan mensual'!F284</f>
        <v>32.8576095168221</v>
      </c>
      <c r="E262" s="23" t="n">
        <f aca="false">parametros_recargas!$E$76*'Plan mensual'!G277+parametros_recargas!$F$76*'Plan mensual'!G278+parametros_recargas!$G$76*'Plan mensual'!G279+parametros_recargas!$H$76*'Plan mensual'!G280+parametros_recargas!$I$76*'Plan mensual'!G281+parametros_recargas!$J$76*'Plan mensual'!G282+parametros_recargas!$K$76*'Plan mensual'!G283+parametros_recargas!$L$76*'Plan mensual'!G284</f>
        <v>32.8576095168221</v>
      </c>
      <c r="F262" s="23" t="n">
        <f aca="false">parametros_recargas!$E$76*'Plan mensual'!H277+parametros_recargas!$F$76*'Plan mensual'!H278+parametros_recargas!$G$76*'Plan mensual'!H279+parametros_recargas!$H$76*'Plan mensual'!H280+parametros_recargas!$I$76*'Plan mensual'!H281+parametros_recargas!$J$76*'Plan mensual'!H282+parametros_recargas!$K$76*'Plan mensual'!H283+parametros_recargas!$L$76*'Plan mensual'!H284</f>
        <v>32.8576095168221</v>
      </c>
      <c r="G262" s="23" t="n">
        <f aca="false">parametros_recargas!$E$76*'Plan mensual'!I277+parametros_recargas!$F$76*'Plan mensual'!I278+parametros_recargas!$G$76*'Plan mensual'!I279+parametros_recargas!$H$76*'Plan mensual'!I280+parametros_recargas!$I$76*'Plan mensual'!I281+parametros_recargas!$J$76*'Plan mensual'!I282+parametros_recargas!$K$76*'Plan mensual'!I283+parametros_recargas!$L$76*'Plan mensual'!I284</f>
        <v>32.8576095168221</v>
      </c>
      <c r="H262" s="23" t="n">
        <f aca="false">parametros_recargas!$E$76*'Plan mensual'!J277+parametros_recargas!$F$76*'Plan mensual'!J278+parametros_recargas!$G$76*'Plan mensual'!J279+parametros_recargas!$H$76*'Plan mensual'!J280+parametros_recargas!$I$76*'Plan mensual'!J281+parametros_recargas!$J$76*'Plan mensual'!J282+parametros_recargas!$K$76*'Plan mensual'!J283+parametros_recargas!$L$76*'Plan mensual'!J284</f>
        <v>32.8576095168221</v>
      </c>
      <c r="I262" s="23" t="n">
        <f aca="false">parametros_recargas!$E$76*'Plan mensual'!K277+parametros_recargas!$F$76*'Plan mensual'!K278+parametros_recargas!$G$76*'Plan mensual'!K279+parametros_recargas!$H$76*'Plan mensual'!K280+parametros_recargas!$I$76*'Plan mensual'!K281+parametros_recargas!$J$76*'Plan mensual'!K282+parametros_recargas!$K$76*'Plan mensual'!K283+parametros_recargas!$L$76*'Plan mensual'!K284</f>
        <v>32.8576095168221</v>
      </c>
      <c r="J262" s="23" t="n">
        <f aca="false">parametros_recargas!$E$76*'Plan mensual'!L277+parametros_recargas!$F$76*'Plan mensual'!L278+parametros_recargas!$G$76*'Plan mensual'!L279+parametros_recargas!$H$76*'Plan mensual'!L280+parametros_recargas!$I$76*'Plan mensual'!L281+parametros_recargas!$J$76*'Plan mensual'!L282+parametros_recargas!$K$76*'Plan mensual'!L283+parametros_recargas!$L$76*'Plan mensual'!L284</f>
        <v>32.8576095168221</v>
      </c>
      <c r="K262" s="23" t="n">
        <f aca="false">parametros_recargas!$E$76*'Plan mensual'!M277+parametros_recargas!$F$76*'Plan mensual'!M278+parametros_recargas!$G$76*'Plan mensual'!M279+parametros_recargas!$H$76*'Plan mensual'!M280+parametros_recargas!$I$76*'Plan mensual'!M281+parametros_recargas!$J$76*'Plan mensual'!M282+parametros_recargas!$K$76*'Plan mensual'!M283+parametros_recargas!$L$76*'Plan mensual'!M284</f>
        <v>32.8576095168221</v>
      </c>
      <c r="L262" s="23" t="n">
        <f aca="false">parametros_recargas!$E$76*'Plan mensual'!N277+parametros_recargas!$F$76*'Plan mensual'!N278+parametros_recargas!$G$76*'Plan mensual'!N279+parametros_recargas!$H$76*'Plan mensual'!N280+parametros_recargas!$I$76*'Plan mensual'!N281+parametros_recargas!$J$76*'Plan mensual'!N282+parametros_recargas!$K$76*'Plan mensual'!N283+parametros_recargas!$L$76*'Plan mensual'!N284</f>
        <v>32.8576095168221</v>
      </c>
      <c r="M262" s="23" t="n">
        <f aca="false">parametros_recargas!$E$76*'Plan mensual'!O277+parametros_recargas!$F$76*'Plan mensual'!O278+parametros_recargas!$G$76*'Plan mensual'!O279+parametros_recargas!$H$76*'Plan mensual'!O280+parametros_recargas!$I$76*'Plan mensual'!O281+parametros_recargas!$J$76*'Plan mensual'!O282+parametros_recargas!$K$76*'Plan mensual'!O283+parametros_recargas!$L$76*'Plan mensual'!O284</f>
        <v>32.8576095168221</v>
      </c>
      <c r="N262" s="7" t="n">
        <f aca="false">SUM(B262:M262)</f>
        <v>394.291314201865</v>
      </c>
      <c r="O262" s="24" t="n">
        <f aca="false">MAX(B262:M262)</f>
        <v>32.8576095168221</v>
      </c>
      <c r="P262" s="15" t="n">
        <f aca="false">O262/parametros_recargas!$B$6</f>
        <v>0.219050730112147</v>
      </c>
    </row>
    <row r="263" customFormat="false" ht="15" hidden="false" customHeight="false" outlineLevel="0" collapsed="false">
      <c r="A263" s="12" t="str">
        <f aca="false">parametros_recargas!$B$77</f>
        <v>Descarga de agua / AFFF / sales K</v>
      </c>
      <c r="B263" s="23" t="n">
        <f aca="false">parametros_recargas!$E$77*'Plan mensual'!D277+parametros_recargas!$F$77*'Plan mensual'!D278+parametros_recargas!$G$77*'Plan mensual'!D279+parametros_recargas!$H$77*'Plan mensual'!D280+parametros_recargas!$I$77*'Plan mensual'!D281+parametros_recargas!$J$77*'Plan mensual'!D282+parametros_recargas!$K$77*'Plan mensual'!D283+parametros_recargas!$L$77*'Plan mensual'!D284</f>
        <v>1106.282998252</v>
      </c>
      <c r="C263" s="23" t="n">
        <f aca="false">parametros_recargas!$E$77*'Plan mensual'!E277+parametros_recargas!$F$77*'Plan mensual'!E278+parametros_recargas!$G$77*'Plan mensual'!E279+parametros_recargas!$H$77*'Plan mensual'!E280+parametros_recargas!$I$77*'Plan mensual'!E281+parametros_recargas!$J$77*'Plan mensual'!E282+parametros_recargas!$K$77*'Plan mensual'!E283+parametros_recargas!$L$77*'Plan mensual'!E284</f>
        <v>1106.282998252</v>
      </c>
      <c r="D263" s="23" t="n">
        <f aca="false">parametros_recargas!$E$77*'Plan mensual'!F277+parametros_recargas!$F$77*'Plan mensual'!F278+parametros_recargas!$G$77*'Plan mensual'!F279+parametros_recargas!$H$77*'Plan mensual'!F280+parametros_recargas!$I$77*'Plan mensual'!F281+parametros_recargas!$J$77*'Plan mensual'!F282+parametros_recargas!$K$77*'Plan mensual'!F283+parametros_recargas!$L$77*'Plan mensual'!F284</f>
        <v>1106.282998252</v>
      </c>
      <c r="E263" s="23" t="n">
        <f aca="false">parametros_recargas!$E$77*'Plan mensual'!G277+parametros_recargas!$F$77*'Plan mensual'!G278+parametros_recargas!$G$77*'Plan mensual'!G279+parametros_recargas!$H$77*'Plan mensual'!G280+parametros_recargas!$I$77*'Plan mensual'!G281+parametros_recargas!$J$77*'Plan mensual'!G282+parametros_recargas!$K$77*'Plan mensual'!G283+parametros_recargas!$L$77*'Plan mensual'!G284</f>
        <v>1106.282998252</v>
      </c>
      <c r="F263" s="23" t="n">
        <f aca="false">parametros_recargas!$E$77*'Plan mensual'!H277+parametros_recargas!$F$77*'Plan mensual'!H278+parametros_recargas!$G$77*'Plan mensual'!H279+parametros_recargas!$H$77*'Plan mensual'!H280+parametros_recargas!$I$77*'Plan mensual'!H281+parametros_recargas!$J$77*'Plan mensual'!H282+parametros_recargas!$K$77*'Plan mensual'!H283+parametros_recargas!$L$77*'Plan mensual'!H284</f>
        <v>1106.282998252</v>
      </c>
      <c r="G263" s="23" t="n">
        <f aca="false">parametros_recargas!$E$77*'Plan mensual'!I277+parametros_recargas!$F$77*'Plan mensual'!I278+parametros_recargas!$G$77*'Plan mensual'!I279+parametros_recargas!$H$77*'Plan mensual'!I280+parametros_recargas!$I$77*'Plan mensual'!I281+parametros_recargas!$J$77*'Plan mensual'!I282+parametros_recargas!$K$77*'Plan mensual'!I283+parametros_recargas!$L$77*'Plan mensual'!I284</f>
        <v>1106.282998252</v>
      </c>
      <c r="H263" s="23" t="n">
        <f aca="false">parametros_recargas!$E$77*'Plan mensual'!J277+parametros_recargas!$F$77*'Plan mensual'!J278+parametros_recargas!$G$77*'Plan mensual'!J279+parametros_recargas!$H$77*'Plan mensual'!J280+parametros_recargas!$I$77*'Plan mensual'!J281+parametros_recargas!$J$77*'Plan mensual'!J282+parametros_recargas!$K$77*'Plan mensual'!J283+parametros_recargas!$L$77*'Plan mensual'!J284</f>
        <v>1106.282998252</v>
      </c>
      <c r="I263" s="23" t="n">
        <f aca="false">parametros_recargas!$E$77*'Plan mensual'!K277+parametros_recargas!$F$77*'Plan mensual'!K278+parametros_recargas!$G$77*'Plan mensual'!K279+parametros_recargas!$H$77*'Plan mensual'!K280+parametros_recargas!$I$77*'Plan mensual'!K281+parametros_recargas!$J$77*'Plan mensual'!K282+parametros_recargas!$K$77*'Plan mensual'!K283+parametros_recargas!$L$77*'Plan mensual'!K284</f>
        <v>1106.282998252</v>
      </c>
      <c r="J263" s="23" t="n">
        <f aca="false">parametros_recargas!$E$77*'Plan mensual'!L277+parametros_recargas!$F$77*'Plan mensual'!L278+parametros_recargas!$G$77*'Plan mensual'!L279+parametros_recargas!$H$77*'Plan mensual'!L280+parametros_recargas!$I$77*'Plan mensual'!L281+parametros_recargas!$J$77*'Plan mensual'!L282+parametros_recargas!$K$77*'Plan mensual'!L283+parametros_recargas!$L$77*'Plan mensual'!L284</f>
        <v>1106.282998252</v>
      </c>
      <c r="K263" s="23" t="n">
        <f aca="false">parametros_recargas!$E$77*'Plan mensual'!M277+parametros_recargas!$F$77*'Plan mensual'!M278+parametros_recargas!$G$77*'Plan mensual'!M279+parametros_recargas!$H$77*'Plan mensual'!M280+parametros_recargas!$I$77*'Plan mensual'!M281+parametros_recargas!$J$77*'Plan mensual'!M282+parametros_recargas!$K$77*'Plan mensual'!M283+parametros_recargas!$L$77*'Plan mensual'!M284</f>
        <v>1106.282998252</v>
      </c>
      <c r="L263" s="23" t="n">
        <f aca="false">parametros_recargas!$E$77*'Plan mensual'!N277+parametros_recargas!$F$77*'Plan mensual'!N278+parametros_recargas!$G$77*'Plan mensual'!N279+parametros_recargas!$H$77*'Plan mensual'!N280+parametros_recargas!$I$77*'Plan mensual'!N281+parametros_recargas!$J$77*'Plan mensual'!N282+parametros_recargas!$K$77*'Plan mensual'!N283+parametros_recargas!$L$77*'Plan mensual'!N284</f>
        <v>1106.282998252</v>
      </c>
      <c r="M263" s="23" t="n">
        <f aca="false">parametros_recargas!$E$77*'Plan mensual'!O277+parametros_recargas!$F$77*'Plan mensual'!O278+parametros_recargas!$G$77*'Plan mensual'!O279+parametros_recargas!$H$77*'Plan mensual'!O280+parametros_recargas!$I$77*'Plan mensual'!O281+parametros_recargas!$J$77*'Plan mensual'!O282+parametros_recargas!$K$77*'Plan mensual'!O283+parametros_recargas!$L$77*'Plan mensual'!O284</f>
        <v>1106.282998252</v>
      </c>
      <c r="N263" s="7" t="n">
        <f aca="false">SUM(B263:M263)</f>
        <v>13275.395979024</v>
      </c>
      <c r="O263" s="24" t="n">
        <f aca="false">MAX(B263:M263)</f>
        <v>1106.282998252</v>
      </c>
      <c r="P263" s="15" t="n">
        <f aca="false">O263/parametros_recargas!$B$6</f>
        <v>7.37521998834669</v>
      </c>
    </row>
    <row r="264" customFormat="false" ht="15" hidden="false" customHeight="false" outlineLevel="0" collapsed="false">
      <c r="A264" s="12" t="str">
        <f aca="false">parametros_recargas!$B$78</f>
        <v>Recuperación de CO₂</v>
      </c>
      <c r="B264" s="23" t="n">
        <f aca="false">parametros_recargas!$E$78*'Plan mensual'!D277+parametros_recargas!$F$78*'Plan mensual'!D278+parametros_recargas!$G$78*'Plan mensual'!D279+parametros_recargas!$H$78*'Plan mensual'!D280+parametros_recargas!$I$78*'Plan mensual'!D281+parametros_recargas!$J$78*'Plan mensual'!D282+parametros_recargas!$K$78*'Plan mensual'!D283+parametros_recargas!$L$78*'Plan mensual'!D284</f>
        <v>505.056793389665</v>
      </c>
      <c r="C264" s="23" t="n">
        <f aca="false">parametros_recargas!$E$78*'Plan mensual'!E277+parametros_recargas!$F$78*'Plan mensual'!E278+parametros_recargas!$G$78*'Plan mensual'!E279+parametros_recargas!$H$78*'Plan mensual'!E280+parametros_recargas!$I$78*'Plan mensual'!E281+parametros_recargas!$J$78*'Plan mensual'!E282+parametros_recargas!$K$78*'Plan mensual'!E283+parametros_recargas!$L$78*'Plan mensual'!E284</f>
        <v>505.056793389665</v>
      </c>
      <c r="D264" s="23" t="n">
        <f aca="false">parametros_recargas!$E$78*'Plan mensual'!F277+parametros_recargas!$F$78*'Plan mensual'!F278+parametros_recargas!$G$78*'Plan mensual'!F279+parametros_recargas!$H$78*'Plan mensual'!F280+parametros_recargas!$I$78*'Plan mensual'!F281+parametros_recargas!$J$78*'Plan mensual'!F282+parametros_recargas!$K$78*'Plan mensual'!F283+parametros_recargas!$L$78*'Plan mensual'!F284</f>
        <v>505.056793389665</v>
      </c>
      <c r="E264" s="23" t="n">
        <f aca="false">parametros_recargas!$E$78*'Plan mensual'!G277+parametros_recargas!$F$78*'Plan mensual'!G278+parametros_recargas!$G$78*'Plan mensual'!G279+parametros_recargas!$H$78*'Plan mensual'!G280+parametros_recargas!$I$78*'Plan mensual'!G281+parametros_recargas!$J$78*'Plan mensual'!G282+parametros_recargas!$K$78*'Plan mensual'!G283+parametros_recargas!$L$78*'Plan mensual'!G284</f>
        <v>505.056793389665</v>
      </c>
      <c r="F264" s="23" t="n">
        <f aca="false">parametros_recargas!$E$78*'Plan mensual'!H277+parametros_recargas!$F$78*'Plan mensual'!H278+parametros_recargas!$G$78*'Plan mensual'!H279+parametros_recargas!$H$78*'Plan mensual'!H280+parametros_recargas!$I$78*'Plan mensual'!H281+parametros_recargas!$J$78*'Plan mensual'!H282+parametros_recargas!$K$78*'Plan mensual'!H283+parametros_recargas!$L$78*'Plan mensual'!H284</f>
        <v>505.056793389665</v>
      </c>
      <c r="G264" s="23" t="n">
        <f aca="false">parametros_recargas!$E$78*'Plan mensual'!I277+parametros_recargas!$F$78*'Plan mensual'!I278+parametros_recargas!$G$78*'Plan mensual'!I279+parametros_recargas!$H$78*'Plan mensual'!I280+parametros_recargas!$I$78*'Plan mensual'!I281+parametros_recargas!$J$78*'Plan mensual'!I282+parametros_recargas!$K$78*'Plan mensual'!I283+parametros_recargas!$L$78*'Plan mensual'!I284</f>
        <v>505.056793389665</v>
      </c>
      <c r="H264" s="23" t="n">
        <f aca="false">parametros_recargas!$E$78*'Plan mensual'!J277+parametros_recargas!$F$78*'Plan mensual'!J278+parametros_recargas!$G$78*'Plan mensual'!J279+parametros_recargas!$H$78*'Plan mensual'!J280+parametros_recargas!$I$78*'Plan mensual'!J281+parametros_recargas!$J$78*'Plan mensual'!J282+parametros_recargas!$K$78*'Plan mensual'!J283+parametros_recargas!$L$78*'Plan mensual'!J284</f>
        <v>505.056793389665</v>
      </c>
      <c r="I264" s="23" t="n">
        <f aca="false">parametros_recargas!$E$78*'Plan mensual'!K277+parametros_recargas!$F$78*'Plan mensual'!K278+parametros_recargas!$G$78*'Plan mensual'!K279+parametros_recargas!$H$78*'Plan mensual'!K280+parametros_recargas!$I$78*'Plan mensual'!K281+parametros_recargas!$J$78*'Plan mensual'!K282+parametros_recargas!$K$78*'Plan mensual'!K283+parametros_recargas!$L$78*'Plan mensual'!K284</f>
        <v>505.056793389665</v>
      </c>
      <c r="J264" s="23" t="n">
        <f aca="false">parametros_recargas!$E$78*'Plan mensual'!L277+parametros_recargas!$F$78*'Plan mensual'!L278+parametros_recargas!$G$78*'Plan mensual'!L279+parametros_recargas!$H$78*'Plan mensual'!L280+parametros_recargas!$I$78*'Plan mensual'!L281+parametros_recargas!$J$78*'Plan mensual'!L282+parametros_recargas!$K$78*'Plan mensual'!L283+parametros_recargas!$L$78*'Plan mensual'!L284</f>
        <v>505.056793389665</v>
      </c>
      <c r="K264" s="23" t="n">
        <f aca="false">parametros_recargas!$E$78*'Plan mensual'!M277+parametros_recargas!$F$78*'Plan mensual'!M278+parametros_recargas!$G$78*'Plan mensual'!M279+parametros_recargas!$H$78*'Plan mensual'!M280+parametros_recargas!$I$78*'Plan mensual'!M281+parametros_recargas!$J$78*'Plan mensual'!M282+parametros_recargas!$K$78*'Plan mensual'!M283+parametros_recargas!$L$78*'Plan mensual'!M284</f>
        <v>505.056793389665</v>
      </c>
      <c r="L264" s="23" t="n">
        <f aca="false">parametros_recargas!$E$78*'Plan mensual'!N277+parametros_recargas!$F$78*'Plan mensual'!N278+parametros_recargas!$G$78*'Plan mensual'!N279+parametros_recargas!$H$78*'Plan mensual'!N280+parametros_recargas!$I$78*'Plan mensual'!N281+parametros_recargas!$J$78*'Plan mensual'!N282+parametros_recargas!$K$78*'Plan mensual'!N283+parametros_recargas!$L$78*'Plan mensual'!N284</f>
        <v>505.056793389665</v>
      </c>
      <c r="M264" s="23" t="n">
        <f aca="false">parametros_recargas!$E$78*'Plan mensual'!O277+parametros_recargas!$F$78*'Plan mensual'!O278+parametros_recargas!$G$78*'Plan mensual'!O279+parametros_recargas!$H$78*'Plan mensual'!O280+parametros_recargas!$I$78*'Plan mensual'!O281+parametros_recargas!$J$78*'Plan mensual'!O282+parametros_recargas!$K$78*'Plan mensual'!O283+parametros_recargas!$L$78*'Plan mensual'!O284</f>
        <v>505.056793389665</v>
      </c>
      <c r="N264" s="7" t="n">
        <f aca="false">SUM(B264:M264)</f>
        <v>6060.68152067598</v>
      </c>
      <c r="O264" s="24" t="n">
        <f aca="false">MAX(B264:M264)</f>
        <v>505.056793389665</v>
      </c>
      <c r="P264" s="15" t="n">
        <f aca="false">O264/parametros_recargas!$B$6</f>
        <v>3.36704528926443</v>
      </c>
    </row>
    <row r="265" customFormat="false" ht="15" hidden="false" customHeight="false" outlineLevel="0" collapsed="false">
      <c r="A265" s="12" t="str">
        <f aca="false">parametros_recargas!$B$79</f>
        <v>Recuperación de halogenado</v>
      </c>
      <c r="B265" s="23" t="n">
        <f aca="false">parametros_recargas!$E$79*'Plan mensual'!D277+parametros_recargas!$F$79*'Plan mensual'!D278+parametros_recargas!$G$79*'Plan mensual'!D279+parametros_recargas!$H$79*'Plan mensual'!D280+parametros_recargas!$I$79*'Plan mensual'!D281+parametros_recargas!$J$79*'Plan mensual'!D282+parametros_recargas!$K$79*'Plan mensual'!D283+parametros_recargas!$L$79*'Plan mensual'!D284</f>
        <v>20.8535471568525</v>
      </c>
      <c r="C265" s="23" t="n">
        <f aca="false">parametros_recargas!$E$79*'Plan mensual'!E277+parametros_recargas!$F$79*'Plan mensual'!E278+parametros_recargas!$G$79*'Plan mensual'!E279+parametros_recargas!$H$79*'Plan mensual'!E280+parametros_recargas!$I$79*'Plan mensual'!E281+parametros_recargas!$J$79*'Plan mensual'!E282+parametros_recargas!$K$79*'Plan mensual'!E283+parametros_recargas!$L$79*'Plan mensual'!E284</f>
        <v>20.8535471568525</v>
      </c>
      <c r="D265" s="23" t="n">
        <f aca="false">parametros_recargas!$E$79*'Plan mensual'!F277+parametros_recargas!$F$79*'Plan mensual'!F278+parametros_recargas!$G$79*'Plan mensual'!F279+parametros_recargas!$H$79*'Plan mensual'!F280+parametros_recargas!$I$79*'Plan mensual'!F281+parametros_recargas!$J$79*'Plan mensual'!F282+parametros_recargas!$K$79*'Plan mensual'!F283+parametros_recargas!$L$79*'Plan mensual'!F284</f>
        <v>20.8535471568525</v>
      </c>
      <c r="E265" s="23" t="n">
        <f aca="false">parametros_recargas!$E$79*'Plan mensual'!G277+parametros_recargas!$F$79*'Plan mensual'!G278+parametros_recargas!$G$79*'Plan mensual'!G279+parametros_recargas!$H$79*'Plan mensual'!G280+parametros_recargas!$I$79*'Plan mensual'!G281+parametros_recargas!$J$79*'Plan mensual'!G282+parametros_recargas!$K$79*'Plan mensual'!G283+parametros_recargas!$L$79*'Plan mensual'!G284</f>
        <v>20.8535471568525</v>
      </c>
      <c r="F265" s="23" t="n">
        <f aca="false">parametros_recargas!$E$79*'Plan mensual'!H277+parametros_recargas!$F$79*'Plan mensual'!H278+parametros_recargas!$G$79*'Plan mensual'!H279+parametros_recargas!$H$79*'Plan mensual'!H280+parametros_recargas!$I$79*'Plan mensual'!H281+parametros_recargas!$J$79*'Plan mensual'!H282+parametros_recargas!$K$79*'Plan mensual'!H283+parametros_recargas!$L$79*'Plan mensual'!H284</f>
        <v>20.8535471568525</v>
      </c>
      <c r="G265" s="23" t="n">
        <f aca="false">parametros_recargas!$E$79*'Plan mensual'!I277+parametros_recargas!$F$79*'Plan mensual'!I278+parametros_recargas!$G$79*'Plan mensual'!I279+parametros_recargas!$H$79*'Plan mensual'!I280+parametros_recargas!$I$79*'Plan mensual'!I281+parametros_recargas!$J$79*'Plan mensual'!I282+parametros_recargas!$K$79*'Plan mensual'!I283+parametros_recargas!$L$79*'Plan mensual'!I284</f>
        <v>20.8535471568525</v>
      </c>
      <c r="H265" s="23" t="n">
        <f aca="false">parametros_recargas!$E$79*'Plan mensual'!J277+parametros_recargas!$F$79*'Plan mensual'!J278+parametros_recargas!$G$79*'Plan mensual'!J279+parametros_recargas!$H$79*'Plan mensual'!J280+parametros_recargas!$I$79*'Plan mensual'!J281+parametros_recargas!$J$79*'Plan mensual'!J282+parametros_recargas!$K$79*'Plan mensual'!J283+parametros_recargas!$L$79*'Plan mensual'!J284</f>
        <v>20.8535471568525</v>
      </c>
      <c r="I265" s="23" t="n">
        <f aca="false">parametros_recargas!$E$79*'Plan mensual'!K277+parametros_recargas!$F$79*'Plan mensual'!K278+parametros_recargas!$G$79*'Plan mensual'!K279+parametros_recargas!$H$79*'Plan mensual'!K280+parametros_recargas!$I$79*'Plan mensual'!K281+parametros_recargas!$J$79*'Plan mensual'!K282+parametros_recargas!$K$79*'Plan mensual'!K283+parametros_recargas!$L$79*'Plan mensual'!K284</f>
        <v>20.8535471568525</v>
      </c>
      <c r="J265" s="23" t="n">
        <f aca="false">parametros_recargas!$E$79*'Plan mensual'!L277+parametros_recargas!$F$79*'Plan mensual'!L278+parametros_recargas!$G$79*'Plan mensual'!L279+parametros_recargas!$H$79*'Plan mensual'!L280+parametros_recargas!$I$79*'Plan mensual'!L281+parametros_recargas!$J$79*'Plan mensual'!L282+parametros_recargas!$K$79*'Plan mensual'!L283+parametros_recargas!$L$79*'Plan mensual'!L284</f>
        <v>20.8535471568525</v>
      </c>
      <c r="K265" s="23" t="n">
        <f aca="false">parametros_recargas!$E$79*'Plan mensual'!M277+parametros_recargas!$F$79*'Plan mensual'!M278+parametros_recargas!$G$79*'Plan mensual'!M279+parametros_recargas!$H$79*'Plan mensual'!M280+parametros_recargas!$I$79*'Plan mensual'!M281+parametros_recargas!$J$79*'Plan mensual'!M282+parametros_recargas!$K$79*'Plan mensual'!M283+parametros_recargas!$L$79*'Plan mensual'!M284</f>
        <v>20.8535471568525</v>
      </c>
      <c r="L265" s="23" t="n">
        <f aca="false">parametros_recargas!$E$79*'Plan mensual'!N277+parametros_recargas!$F$79*'Plan mensual'!N278+parametros_recargas!$G$79*'Plan mensual'!N279+parametros_recargas!$H$79*'Plan mensual'!N280+parametros_recargas!$I$79*'Plan mensual'!N281+parametros_recargas!$J$79*'Plan mensual'!N282+parametros_recargas!$K$79*'Plan mensual'!N283+parametros_recargas!$L$79*'Plan mensual'!N284</f>
        <v>20.8535471568525</v>
      </c>
      <c r="M265" s="23" t="n">
        <f aca="false">parametros_recargas!$E$79*'Plan mensual'!O277+parametros_recargas!$F$79*'Plan mensual'!O278+parametros_recargas!$G$79*'Plan mensual'!O279+parametros_recargas!$H$79*'Plan mensual'!O280+parametros_recargas!$I$79*'Plan mensual'!O281+parametros_recargas!$J$79*'Plan mensual'!O282+parametros_recargas!$K$79*'Plan mensual'!O283+parametros_recargas!$L$79*'Plan mensual'!O284</f>
        <v>20.8535471568525</v>
      </c>
      <c r="N265" s="7" t="n">
        <f aca="false">SUM(B265:M265)</f>
        <v>250.24256588223</v>
      </c>
      <c r="O265" s="24" t="n">
        <f aca="false">MAX(B265:M265)</f>
        <v>20.8535471568525</v>
      </c>
      <c r="P265" s="15" t="n">
        <f aca="false">O265/parametros_recargas!$B$6</f>
        <v>0.13902364771235</v>
      </c>
    </row>
    <row r="266" customFormat="false" ht="15" hidden="false" customHeight="false" outlineLevel="0" collapsed="false">
      <c r="A266" s="12" t="str">
        <f aca="false">parametros_recargas!$B$80</f>
        <v>Desarme y limpieza — recinto</v>
      </c>
      <c r="B266" s="23" t="n">
        <f aca="false">parametros_recargas!$E$80*'Plan mensual'!D277+parametros_recargas!$F$80*'Plan mensual'!D278+parametros_recargas!$G$80*'Plan mensual'!D279+parametros_recargas!$H$80*'Plan mensual'!D280+parametros_recargas!$I$80*'Plan mensual'!D281+parametros_recargas!$J$80*'Plan mensual'!D282+parametros_recargas!$K$80*'Plan mensual'!D283+parametros_recargas!$L$80*'Plan mensual'!D284</f>
        <v>20309.2534875721</v>
      </c>
      <c r="C266" s="23" t="n">
        <f aca="false">parametros_recargas!$E$80*'Plan mensual'!E277+parametros_recargas!$F$80*'Plan mensual'!E278+parametros_recargas!$G$80*'Plan mensual'!E279+parametros_recargas!$H$80*'Plan mensual'!E280+parametros_recargas!$I$80*'Plan mensual'!E281+parametros_recargas!$J$80*'Plan mensual'!E282+parametros_recargas!$K$80*'Plan mensual'!E283+parametros_recargas!$L$80*'Plan mensual'!E284</f>
        <v>20309.2534875721</v>
      </c>
      <c r="D266" s="23" t="n">
        <f aca="false">parametros_recargas!$E$80*'Plan mensual'!F277+parametros_recargas!$F$80*'Plan mensual'!F278+parametros_recargas!$G$80*'Plan mensual'!F279+parametros_recargas!$H$80*'Plan mensual'!F280+parametros_recargas!$I$80*'Plan mensual'!F281+parametros_recargas!$J$80*'Plan mensual'!F282+parametros_recargas!$K$80*'Plan mensual'!F283+parametros_recargas!$L$80*'Plan mensual'!F284</f>
        <v>20309.2534875721</v>
      </c>
      <c r="E266" s="23" t="n">
        <f aca="false">parametros_recargas!$E$80*'Plan mensual'!G277+parametros_recargas!$F$80*'Plan mensual'!G278+parametros_recargas!$G$80*'Plan mensual'!G279+parametros_recargas!$H$80*'Plan mensual'!G280+parametros_recargas!$I$80*'Plan mensual'!G281+parametros_recargas!$J$80*'Plan mensual'!G282+parametros_recargas!$K$80*'Plan mensual'!G283+parametros_recargas!$L$80*'Plan mensual'!G284</f>
        <v>20309.2534875721</v>
      </c>
      <c r="F266" s="23" t="n">
        <f aca="false">parametros_recargas!$E$80*'Plan mensual'!H277+parametros_recargas!$F$80*'Plan mensual'!H278+parametros_recargas!$G$80*'Plan mensual'!H279+parametros_recargas!$H$80*'Plan mensual'!H280+parametros_recargas!$I$80*'Plan mensual'!H281+parametros_recargas!$J$80*'Plan mensual'!H282+parametros_recargas!$K$80*'Plan mensual'!H283+parametros_recargas!$L$80*'Plan mensual'!H284</f>
        <v>20309.2534875721</v>
      </c>
      <c r="G266" s="23" t="n">
        <f aca="false">parametros_recargas!$E$80*'Plan mensual'!I277+parametros_recargas!$F$80*'Plan mensual'!I278+parametros_recargas!$G$80*'Plan mensual'!I279+parametros_recargas!$H$80*'Plan mensual'!I280+parametros_recargas!$I$80*'Plan mensual'!I281+parametros_recargas!$J$80*'Plan mensual'!I282+parametros_recargas!$K$80*'Plan mensual'!I283+parametros_recargas!$L$80*'Plan mensual'!I284</f>
        <v>20309.2534875721</v>
      </c>
      <c r="H266" s="23" t="n">
        <f aca="false">parametros_recargas!$E$80*'Plan mensual'!J277+parametros_recargas!$F$80*'Plan mensual'!J278+parametros_recargas!$G$80*'Plan mensual'!J279+parametros_recargas!$H$80*'Plan mensual'!J280+parametros_recargas!$I$80*'Plan mensual'!J281+parametros_recargas!$J$80*'Plan mensual'!J282+parametros_recargas!$K$80*'Plan mensual'!J283+parametros_recargas!$L$80*'Plan mensual'!J284</f>
        <v>20309.2534875721</v>
      </c>
      <c r="I266" s="23" t="n">
        <f aca="false">parametros_recargas!$E$80*'Plan mensual'!K277+parametros_recargas!$F$80*'Plan mensual'!K278+parametros_recargas!$G$80*'Plan mensual'!K279+parametros_recargas!$H$80*'Plan mensual'!K280+parametros_recargas!$I$80*'Plan mensual'!K281+parametros_recargas!$J$80*'Plan mensual'!K282+parametros_recargas!$K$80*'Plan mensual'!K283+parametros_recargas!$L$80*'Plan mensual'!K284</f>
        <v>20309.2534875721</v>
      </c>
      <c r="J266" s="23" t="n">
        <f aca="false">parametros_recargas!$E$80*'Plan mensual'!L277+parametros_recargas!$F$80*'Plan mensual'!L278+parametros_recargas!$G$80*'Plan mensual'!L279+parametros_recargas!$H$80*'Plan mensual'!L280+parametros_recargas!$I$80*'Plan mensual'!L281+parametros_recargas!$J$80*'Plan mensual'!L282+parametros_recargas!$K$80*'Plan mensual'!L283+parametros_recargas!$L$80*'Plan mensual'!L284</f>
        <v>20309.2534875721</v>
      </c>
      <c r="K266" s="23" t="n">
        <f aca="false">parametros_recargas!$E$80*'Plan mensual'!M277+parametros_recargas!$F$80*'Plan mensual'!M278+parametros_recargas!$G$80*'Plan mensual'!M279+parametros_recargas!$H$80*'Plan mensual'!M280+parametros_recargas!$I$80*'Plan mensual'!M281+parametros_recargas!$J$80*'Plan mensual'!M282+parametros_recargas!$K$80*'Plan mensual'!M283+parametros_recargas!$L$80*'Plan mensual'!M284</f>
        <v>20309.2534875721</v>
      </c>
      <c r="L266" s="23" t="n">
        <f aca="false">parametros_recargas!$E$80*'Plan mensual'!N277+parametros_recargas!$F$80*'Plan mensual'!N278+parametros_recargas!$G$80*'Plan mensual'!N279+parametros_recargas!$H$80*'Plan mensual'!N280+parametros_recargas!$I$80*'Plan mensual'!N281+parametros_recargas!$J$80*'Plan mensual'!N282+parametros_recargas!$K$80*'Plan mensual'!N283+parametros_recargas!$L$80*'Plan mensual'!N284</f>
        <v>20309.2534875721</v>
      </c>
      <c r="M266" s="23" t="n">
        <f aca="false">parametros_recargas!$E$80*'Plan mensual'!O277+parametros_recargas!$F$80*'Plan mensual'!O278+parametros_recargas!$G$80*'Plan mensual'!O279+parametros_recargas!$H$80*'Plan mensual'!O280+parametros_recargas!$I$80*'Plan mensual'!O281+parametros_recargas!$J$80*'Plan mensual'!O282+parametros_recargas!$K$80*'Plan mensual'!O283+parametros_recargas!$L$80*'Plan mensual'!O284</f>
        <v>20309.2534875721</v>
      </c>
      <c r="N266" s="7" t="n">
        <f aca="false">SUM(B266:M266)</f>
        <v>243711.041850865</v>
      </c>
      <c r="O266" s="24" t="n">
        <f aca="false">MAX(B266:M266)</f>
        <v>20309.2534875721</v>
      </c>
      <c r="P266" s="15" t="n">
        <f aca="false">O266/parametros_recargas!$B$6</f>
        <v>135.39502325048</v>
      </c>
    </row>
    <row r="267" customFormat="false" ht="15" hidden="false" customHeight="false" outlineLevel="0" collapsed="false">
      <c r="A267" s="12" t="str">
        <f aca="false">parametros_recargas!$B$81</f>
        <v>Desarme e inspección interior — zona general</v>
      </c>
      <c r="B267" s="23" t="n">
        <f aca="false">parametros_recargas!$E$81*'Plan mensual'!D277+parametros_recargas!$F$81*'Plan mensual'!D278+parametros_recargas!$G$81*'Plan mensual'!D279+parametros_recargas!$H$81*'Plan mensual'!D280+parametros_recargas!$I$81*'Plan mensual'!D281+parametros_recargas!$J$81*'Plan mensual'!D282+parametros_recargas!$K$81*'Plan mensual'!D283+parametros_recargas!$L$81*'Plan mensual'!D284</f>
        <v>1632.19333879852</v>
      </c>
      <c r="C267" s="23" t="n">
        <f aca="false">parametros_recargas!$E$81*'Plan mensual'!E277+parametros_recargas!$F$81*'Plan mensual'!E278+parametros_recargas!$G$81*'Plan mensual'!E279+parametros_recargas!$H$81*'Plan mensual'!E280+parametros_recargas!$I$81*'Plan mensual'!E281+parametros_recargas!$J$81*'Plan mensual'!E282+parametros_recargas!$K$81*'Plan mensual'!E283+parametros_recargas!$L$81*'Plan mensual'!E284</f>
        <v>1632.19333879852</v>
      </c>
      <c r="D267" s="23" t="n">
        <f aca="false">parametros_recargas!$E$81*'Plan mensual'!F277+parametros_recargas!$F$81*'Plan mensual'!F278+parametros_recargas!$G$81*'Plan mensual'!F279+parametros_recargas!$H$81*'Plan mensual'!F280+parametros_recargas!$I$81*'Plan mensual'!F281+parametros_recargas!$J$81*'Plan mensual'!F282+parametros_recargas!$K$81*'Plan mensual'!F283+parametros_recargas!$L$81*'Plan mensual'!F284</f>
        <v>1632.19333879852</v>
      </c>
      <c r="E267" s="23" t="n">
        <f aca="false">parametros_recargas!$E$81*'Plan mensual'!G277+parametros_recargas!$F$81*'Plan mensual'!G278+parametros_recargas!$G$81*'Plan mensual'!G279+parametros_recargas!$H$81*'Plan mensual'!G280+parametros_recargas!$I$81*'Plan mensual'!G281+parametros_recargas!$J$81*'Plan mensual'!G282+parametros_recargas!$K$81*'Plan mensual'!G283+parametros_recargas!$L$81*'Plan mensual'!G284</f>
        <v>1632.19333879852</v>
      </c>
      <c r="F267" s="23" t="n">
        <f aca="false">parametros_recargas!$E$81*'Plan mensual'!H277+parametros_recargas!$F$81*'Plan mensual'!H278+parametros_recargas!$G$81*'Plan mensual'!H279+parametros_recargas!$H$81*'Plan mensual'!H280+parametros_recargas!$I$81*'Plan mensual'!H281+parametros_recargas!$J$81*'Plan mensual'!H282+parametros_recargas!$K$81*'Plan mensual'!H283+parametros_recargas!$L$81*'Plan mensual'!H284</f>
        <v>1632.19333879852</v>
      </c>
      <c r="G267" s="23" t="n">
        <f aca="false">parametros_recargas!$E$81*'Plan mensual'!I277+parametros_recargas!$F$81*'Plan mensual'!I278+parametros_recargas!$G$81*'Plan mensual'!I279+parametros_recargas!$H$81*'Plan mensual'!I280+parametros_recargas!$I$81*'Plan mensual'!I281+parametros_recargas!$J$81*'Plan mensual'!I282+parametros_recargas!$K$81*'Plan mensual'!I283+parametros_recargas!$L$81*'Plan mensual'!I284</f>
        <v>1632.19333879852</v>
      </c>
      <c r="H267" s="23" t="n">
        <f aca="false">parametros_recargas!$E$81*'Plan mensual'!J277+parametros_recargas!$F$81*'Plan mensual'!J278+parametros_recargas!$G$81*'Plan mensual'!J279+parametros_recargas!$H$81*'Plan mensual'!J280+parametros_recargas!$I$81*'Plan mensual'!J281+parametros_recargas!$J$81*'Plan mensual'!J282+parametros_recargas!$K$81*'Plan mensual'!J283+parametros_recargas!$L$81*'Plan mensual'!J284</f>
        <v>1632.19333879852</v>
      </c>
      <c r="I267" s="23" t="n">
        <f aca="false">parametros_recargas!$E$81*'Plan mensual'!K277+parametros_recargas!$F$81*'Plan mensual'!K278+parametros_recargas!$G$81*'Plan mensual'!K279+parametros_recargas!$H$81*'Plan mensual'!K280+parametros_recargas!$I$81*'Plan mensual'!K281+parametros_recargas!$J$81*'Plan mensual'!K282+parametros_recargas!$K$81*'Plan mensual'!K283+parametros_recargas!$L$81*'Plan mensual'!K284</f>
        <v>1632.19333879852</v>
      </c>
      <c r="J267" s="23" t="n">
        <f aca="false">parametros_recargas!$E$81*'Plan mensual'!L277+parametros_recargas!$F$81*'Plan mensual'!L278+parametros_recargas!$G$81*'Plan mensual'!L279+parametros_recargas!$H$81*'Plan mensual'!L280+parametros_recargas!$I$81*'Plan mensual'!L281+parametros_recargas!$J$81*'Plan mensual'!L282+parametros_recargas!$K$81*'Plan mensual'!L283+parametros_recargas!$L$81*'Plan mensual'!L284</f>
        <v>1632.19333879852</v>
      </c>
      <c r="K267" s="23" t="n">
        <f aca="false">parametros_recargas!$E$81*'Plan mensual'!M277+parametros_recargas!$F$81*'Plan mensual'!M278+parametros_recargas!$G$81*'Plan mensual'!M279+parametros_recargas!$H$81*'Plan mensual'!M280+parametros_recargas!$I$81*'Plan mensual'!M281+parametros_recargas!$J$81*'Plan mensual'!M282+parametros_recargas!$K$81*'Plan mensual'!M283+parametros_recargas!$L$81*'Plan mensual'!M284</f>
        <v>1632.19333879852</v>
      </c>
      <c r="L267" s="23" t="n">
        <f aca="false">parametros_recargas!$E$81*'Plan mensual'!N277+parametros_recargas!$F$81*'Plan mensual'!N278+parametros_recargas!$G$81*'Plan mensual'!N279+parametros_recargas!$H$81*'Plan mensual'!N280+parametros_recargas!$I$81*'Plan mensual'!N281+parametros_recargas!$J$81*'Plan mensual'!N282+parametros_recargas!$K$81*'Plan mensual'!N283+parametros_recargas!$L$81*'Plan mensual'!N284</f>
        <v>1632.19333879852</v>
      </c>
      <c r="M267" s="23" t="n">
        <f aca="false">parametros_recargas!$E$81*'Plan mensual'!O277+parametros_recargas!$F$81*'Plan mensual'!O278+parametros_recargas!$G$81*'Plan mensual'!O279+parametros_recargas!$H$81*'Plan mensual'!O280+parametros_recargas!$I$81*'Plan mensual'!O281+parametros_recargas!$J$81*'Plan mensual'!O282+parametros_recargas!$K$81*'Plan mensual'!O283+parametros_recargas!$L$81*'Plan mensual'!O284</f>
        <v>1632.19333879852</v>
      </c>
      <c r="N267" s="7" t="n">
        <f aca="false">SUM(B267:M267)</f>
        <v>19586.3200655822</v>
      </c>
      <c r="O267" s="24" t="n">
        <f aca="false">MAX(B267:M267)</f>
        <v>1632.19333879852</v>
      </c>
      <c r="P267" s="15" t="n">
        <f aca="false">O267/parametros_recargas!$B$6</f>
        <v>10.8812889253235</v>
      </c>
    </row>
    <row r="268" customFormat="false" ht="15" hidden="false" customHeight="false" outlineLevel="0" collapsed="false">
      <c r="A268" s="12" t="str">
        <f aca="false">parametros_recargas!$B$82</f>
        <v>Laboratorio — Puffer y mufla</v>
      </c>
      <c r="B268" s="23" t="n">
        <f aca="false">parametros_recargas!$E$82*'Plan mensual'!D277+parametros_recargas!$F$82*'Plan mensual'!D278+parametros_recargas!$G$82*'Plan mensual'!D279+parametros_recargas!$H$82*'Plan mensual'!D280+parametros_recargas!$I$82*'Plan mensual'!D281+parametros_recargas!$J$82*'Plan mensual'!D282+parametros_recargas!$K$82*'Plan mensual'!D283+parametros_recargas!$L$82*'Plan mensual'!D284</f>
        <v>20.2796782896212</v>
      </c>
      <c r="C268" s="23" t="n">
        <f aca="false">parametros_recargas!$E$82*'Plan mensual'!E277+parametros_recargas!$F$82*'Plan mensual'!E278+parametros_recargas!$G$82*'Plan mensual'!E279+parametros_recargas!$H$82*'Plan mensual'!E280+parametros_recargas!$I$82*'Plan mensual'!E281+parametros_recargas!$J$82*'Plan mensual'!E282+parametros_recargas!$K$82*'Plan mensual'!E283+parametros_recargas!$L$82*'Plan mensual'!E284</f>
        <v>20.2796782896212</v>
      </c>
      <c r="D268" s="23" t="n">
        <f aca="false">parametros_recargas!$E$82*'Plan mensual'!F277+parametros_recargas!$F$82*'Plan mensual'!F278+parametros_recargas!$G$82*'Plan mensual'!F279+parametros_recargas!$H$82*'Plan mensual'!F280+parametros_recargas!$I$82*'Plan mensual'!F281+parametros_recargas!$J$82*'Plan mensual'!F282+parametros_recargas!$K$82*'Plan mensual'!F283+parametros_recargas!$L$82*'Plan mensual'!F284</f>
        <v>20.2796782896212</v>
      </c>
      <c r="E268" s="23" t="n">
        <f aca="false">parametros_recargas!$E$82*'Plan mensual'!G277+parametros_recargas!$F$82*'Plan mensual'!G278+parametros_recargas!$G$82*'Plan mensual'!G279+parametros_recargas!$H$82*'Plan mensual'!G280+parametros_recargas!$I$82*'Plan mensual'!G281+parametros_recargas!$J$82*'Plan mensual'!G282+parametros_recargas!$K$82*'Plan mensual'!G283+parametros_recargas!$L$82*'Plan mensual'!G284</f>
        <v>20.2796782896212</v>
      </c>
      <c r="F268" s="23" t="n">
        <f aca="false">parametros_recargas!$E$82*'Plan mensual'!H277+parametros_recargas!$F$82*'Plan mensual'!H278+parametros_recargas!$G$82*'Plan mensual'!H279+parametros_recargas!$H$82*'Plan mensual'!H280+parametros_recargas!$I$82*'Plan mensual'!H281+parametros_recargas!$J$82*'Plan mensual'!H282+parametros_recargas!$K$82*'Plan mensual'!H283+parametros_recargas!$L$82*'Plan mensual'!H284</f>
        <v>20.2796782896212</v>
      </c>
      <c r="G268" s="23" t="n">
        <f aca="false">parametros_recargas!$E$82*'Plan mensual'!I277+parametros_recargas!$F$82*'Plan mensual'!I278+parametros_recargas!$G$82*'Plan mensual'!I279+parametros_recargas!$H$82*'Plan mensual'!I280+parametros_recargas!$I$82*'Plan mensual'!I281+parametros_recargas!$J$82*'Plan mensual'!I282+parametros_recargas!$K$82*'Plan mensual'!I283+parametros_recargas!$L$82*'Plan mensual'!I284</f>
        <v>20.2796782896212</v>
      </c>
      <c r="H268" s="23" t="n">
        <f aca="false">parametros_recargas!$E$82*'Plan mensual'!J277+parametros_recargas!$F$82*'Plan mensual'!J278+parametros_recargas!$G$82*'Plan mensual'!J279+parametros_recargas!$H$82*'Plan mensual'!J280+parametros_recargas!$I$82*'Plan mensual'!J281+parametros_recargas!$J$82*'Plan mensual'!J282+parametros_recargas!$K$82*'Plan mensual'!J283+parametros_recargas!$L$82*'Plan mensual'!J284</f>
        <v>20.2796782896212</v>
      </c>
      <c r="I268" s="23" t="n">
        <f aca="false">parametros_recargas!$E$82*'Plan mensual'!K277+parametros_recargas!$F$82*'Plan mensual'!K278+parametros_recargas!$G$82*'Plan mensual'!K279+parametros_recargas!$H$82*'Plan mensual'!K280+parametros_recargas!$I$82*'Plan mensual'!K281+parametros_recargas!$J$82*'Plan mensual'!K282+parametros_recargas!$K$82*'Plan mensual'!K283+parametros_recargas!$L$82*'Plan mensual'!K284</f>
        <v>20.2796782896212</v>
      </c>
      <c r="J268" s="23" t="n">
        <f aca="false">parametros_recargas!$E$82*'Plan mensual'!L277+parametros_recargas!$F$82*'Plan mensual'!L278+parametros_recargas!$G$82*'Plan mensual'!L279+parametros_recargas!$H$82*'Plan mensual'!L280+parametros_recargas!$I$82*'Plan mensual'!L281+parametros_recargas!$J$82*'Plan mensual'!L282+parametros_recargas!$K$82*'Plan mensual'!L283+parametros_recargas!$L$82*'Plan mensual'!L284</f>
        <v>20.2796782896212</v>
      </c>
      <c r="K268" s="23" t="n">
        <f aca="false">parametros_recargas!$E$82*'Plan mensual'!M277+parametros_recargas!$F$82*'Plan mensual'!M278+parametros_recargas!$G$82*'Plan mensual'!M279+parametros_recargas!$H$82*'Plan mensual'!M280+parametros_recargas!$I$82*'Plan mensual'!M281+parametros_recargas!$J$82*'Plan mensual'!M282+parametros_recargas!$K$82*'Plan mensual'!M283+parametros_recargas!$L$82*'Plan mensual'!M284</f>
        <v>20.2796782896212</v>
      </c>
      <c r="L268" s="23" t="n">
        <f aca="false">parametros_recargas!$E$82*'Plan mensual'!N277+parametros_recargas!$F$82*'Plan mensual'!N278+parametros_recargas!$G$82*'Plan mensual'!N279+parametros_recargas!$H$82*'Plan mensual'!N280+parametros_recargas!$I$82*'Plan mensual'!N281+parametros_recargas!$J$82*'Plan mensual'!N282+parametros_recargas!$K$82*'Plan mensual'!N283+parametros_recargas!$L$82*'Plan mensual'!N284</f>
        <v>20.2796782896212</v>
      </c>
      <c r="M268" s="23" t="n">
        <f aca="false">parametros_recargas!$E$82*'Plan mensual'!O277+parametros_recargas!$F$82*'Plan mensual'!O278+parametros_recargas!$G$82*'Plan mensual'!O279+parametros_recargas!$H$82*'Plan mensual'!O280+parametros_recargas!$I$82*'Plan mensual'!O281+parametros_recargas!$J$82*'Plan mensual'!O282+parametros_recargas!$K$82*'Plan mensual'!O283+parametros_recargas!$L$82*'Plan mensual'!O284</f>
        <v>20.2796782896212</v>
      </c>
      <c r="N268" s="7" t="n">
        <f aca="false">SUM(B268:M268)</f>
        <v>243.356139475454</v>
      </c>
      <c r="O268" s="24" t="n">
        <f aca="false">MAX(B268:M268)</f>
        <v>20.2796782896212</v>
      </c>
      <c r="P268" s="15" t="n">
        <f aca="false">O268/parametros_recargas!$B$6</f>
        <v>0.135197855264141</v>
      </c>
    </row>
    <row r="269" customFormat="false" ht="15" hidden="false" customHeight="false" outlineLevel="0" collapsed="false">
      <c r="A269" s="12" t="str">
        <f aca="false">parametros_recargas!$B$83</f>
        <v>Prueba hidráulica</v>
      </c>
      <c r="B269" s="23" t="n">
        <f aca="false">parametros_recargas!$E$83*'Plan mensual'!D277+parametros_recargas!$F$83*'Plan mensual'!D278+parametros_recargas!$G$83*'Plan mensual'!D279+parametros_recargas!$H$83*'Plan mensual'!D280+parametros_recargas!$I$83*'Plan mensual'!D281+parametros_recargas!$J$83*'Plan mensual'!D282+parametros_recargas!$K$83*'Plan mensual'!D283+parametros_recargas!$L$83*'Plan mensual'!D284</f>
        <v>5035.72046907763</v>
      </c>
      <c r="C269" s="23" t="n">
        <f aca="false">parametros_recargas!$E$83*'Plan mensual'!E277+parametros_recargas!$F$83*'Plan mensual'!E278+parametros_recargas!$G$83*'Plan mensual'!E279+parametros_recargas!$H$83*'Plan mensual'!E280+parametros_recargas!$I$83*'Plan mensual'!E281+parametros_recargas!$J$83*'Plan mensual'!E282+parametros_recargas!$K$83*'Plan mensual'!E283+parametros_recargas!$L$83*'Plan mensual'!E284</f>
        <v>5035.72046907763</v>
      </c>
      <c r="D269" s="23" t="n">
        <f aca="false">parametros_recargas!$E$83*'Plan mensual'!F277+parametros_recargas!$F$83*'Plan mensual'!F278+parametros_recargas!$G$83*'Plan mensual'!F279+parametros_recargas!$H$83*'Plan mensual'!F280+parametros_recargas!$I$83*'Plan mensual'!F281+parametros_recargas!$J$83*'Plan mensual'!F282+parametros_recargas!$K$83*'Plan mensual'!F283+parametros_recargas!$L$83*'Plan mensual'!F284</f>
        <v>5035.72046907763</v>
      </c>
      <c r="E269" s="23" t="n">
        <f aca="false">parametros_recargas!$E$83*'Plan mensual'!G277+parametros_recargas!$F$83*'Plan mensual'!G278+parametros_recargas!$G$83*'Plan mensual'!G279+parametros_recargas!$H$83*'Plan mensual'!G280+parametros_recargas!$I$83*'Plan mensual'!G281+parametros_recargas!$J$83*'Plan mensual'!G282+parametros_recargas!$K$83*'Plan mensual'!G283+parametros_recargas!$L$83*'Plan mensual'!G284</f>
        <v>5035.72046907763</v>
      </c>
      <c r="F269" s="23" t="n">
        <f aca="false">parametros_recargas!$E$83*'Plan mensual'!H277+parametros_recargas!$F$83*'Plan mensual'!H278+parametros_recargas!$G$83*'Plan mensual'!H279+parametros_recargas!$H$83*'Plan mensual'!H280+parametros_recargas!$I$83*'Plan mensual'!H281+parametros_recargas!$J$83*'Plan mensual'!H282+parametros_recargas!$K$83*'Plan mensual'!H283+parametros_recargas!$L$83*'Plan mensual'!H284</f>
        <v>5035.72046907763</v>
      </c>
      <c r="G269" s="23" t="n">
        <f aca="false">parametros_recargas!$E$83*'Plan mensual'!I277+parametros_recargas!$F$83*'Plan mensual'!I278+parametros_recargas!$G$83*'Plan mensual'!I279+parametros_recargas!$H$83*'Plan mensual'!I280+parametros_recargas!$I$83*'Plan mensual'!I281+parametros_recargas!$J$83*'Plan mensual'!I282+parametros_recargas!$K$83*'Plan mensual'!I283+parametros_recargas!$L$83*'Plan mensual'!I284</f>
        <v>5035.72046907763</v>
      </c>
      <c r="H269" s="23" t="n">
        <f aca="false">parametros_recargas!$E$83*'Plan mensual'!J277+parametros_recargas!$F$83*'Plan mensual'!J278+parametros_recargas!$G$83*'Plan mensual'!J279+parametros_recargas!$H$83*'Plan mensual'!J280+parametros_recargas!$I$83*'Plan mensual'!J281+parametros_recargas!$J$83*'Plan mensual'!J282+parametros_recargas!$K$83*'Plan mensual'!J283+parametros_recargas!$L$83*'Plan mensual'!J284</f>
        <v>5035.72046907763</v>
      </c>
      <c r="I269" s="23" t="n">
        <f aca="false">parametros_recargas!$E$83*'Plan mensual'!K277+parametros_recargas!$F$83*'Plan mensual'!K278+parametros_recargas!$G$83*'Plan mensual'!K279+parametros_recargas!$H$83*'Plan mensual'!K280+parametros_recargas!$I$83*'Plan mensual'!K281+parametros_recargas!$J$83*'Plan mensual'!K282+parametros_recargas!$K$83*'Plan mensual'!K283+parametros_recargas!$L$83*'Plan mensual'!K284</f>
        <v>5035.72046907763</v>
      </c>
      <c r="J269" s="23" t="n">
        <f aca="false">parametros_recargas!$E$83*'Plan mensual'!L277+parametros_recargas!$F$83*'Plan mensual'!L278+parametros_recargas!$G$83*'Plan mensual'!L279+parametros_recargas!$H$83*'Plan mensual'!L280+parametros_recargas!$I$83*'Plan mensual'!L281+parametros_recargas!$J$83*'Plan mensual'!L282+parametros_recargas!$K$83*'Plan mensual'!L283+parametros_recargas!$L$83*'Plan mensual'!L284</f>
        <v>5035.72046907763</v>
      </c>
      <c r="K269" s="23" t="n">
        <f aca="false">parametros_recargas!$E$83*'Plan mensual'!M277+parametros_recargas!$F$83*'Plan mensual'!M278+parametros_recargas!$G$83*'Plan mensual'!M279+parametros_recargas!$H$83*'Plan mensual'!M280+parametros_recargas!$I$83*'Plan mensual'!M281+parametros_recargas!$J$83*'Plan mensual'!M282+parametros_recargas!$K$83*'Plan mensual'!M283+parametros_recargas!$L$83*'Plan mensual'!M284</f>
        <v>5035.72046907763</v>
      </c>
      <c r="L269" s="23" t="n">
        <f aca="false">parametros_recargas!$E$83*'Plan mensual'!N277+parametros_recargas!$F$83*'Plan mensual'!N278+parametros_recargas!$G$83*'Plan mensual'!N279+parametros_recargas!$H$83*'Plan mensual'!N280+parametros_recargas!$I$83*'Plan mensual'!N281+parametros_recargas!$J$83*'Plan mensual'!N282+parametros_recargas!$K$83*'Plan mensual'!N283+parametros_recargas!$L$83*'Plan mensual'!N284</f>
        <v>5035.72046907763</v>
      </c>
      <c r="M269" s="23" t="n">
        <f aca="false">parametros_recargas!$E$83*'Plan mensual'!O277+parametros_recargas!$F$83*'Plan mensual'!O278+parametros_recargas!$G$83*'Plan mensual'!O279+parametros_recargas!$H$83*'Plan mensual'!O280+parametros_recargas!$I$83*'Plan mensual'!O281+parametros_recargas!$J$83*'Plan mensual'!O282+parametros_recargas!$K$83*'Plan mensual'!O283+parametros_recargas!$L$83*'Plan mensual'!O284</f>
        <v>5035.72046907763</v>
      </c>
      <c r="N269" s="7" t="n">
        <f aca="false">SUM(B269:M269)</f>
        <v>60428.6456289316</v>
      </c>
      <c r="O269" s="24" t="n">
        <f aca="false">MAX(B269:M269)</f>
        <v>5035.72046907763</v>
      </c>
      <c r="P269" s="15" t="n">
        <f aca="false">O269/parametros_recargas!$B$6</f>
        <v>33.5714697938509</v>
      </c>
    </row>
    <row r="270" customFormat="false" ht="15" hidden="false" customHeight="false" outlineLevel="0" collapsed="false">
      <c r="A270" s="12" t="str">
        <f aca="false">parametros_recargas!$B$84</f>
        <v>Secado</v>
      </c>
      <c r="B270" s="23" t="n">
        <f aca="false">parametros_recargas!$E$84*'Plan mensual'!D277+parametros_recargas!$F$84*'Plan mensual'!D278+parametros_recargas!$G$84*'Plan mensual'!D279+parametros_recargas!$H$84*'Plan mensual'!D280+parametros_recargas!$I$84*'Plan mensual'!D281+parametros_recargas!$J$84*'Plan mensual'!D282+parametros_recargas!$K$84*'Plan mensual'!D283+parametros_recargas!$L$84*'Plan mensual'!D284</f>
        <v>4685.67150482735</v>
      </c>
      <c r="C270" s="23" t="n">
        <f aca="false">parametros_recargas!$E$84*'Plan mensual'!E277+parametros_recargas!$F$84*'Plan mensual'!E278+parametros_recargas!$G$84*'Plan mensual'!E279+parametros_recargas!$H$84*'Plan mensual'!E280+parametros_recargas!$I$84*'Plan mensual'!E281+parametros_recargas!$J$84*'Plan mensual'!E282+parametros_recargas!$K$84*'Plan mensual'!E283+parametros_recargas!$L$84*'Plan mensual'!E284</f>
        <v>4685.67150482735</v>
      </c>
      <c r="D270" s="23" t="n">
        <f aca="false">parametros_recargas!$E$84*'Plan mensual'!F277+parametros_recargas!$F$84*'Plan mensual'!F278+parametros_recargas!$G$84*'Plan mensual'!F279+parametros_recargas!$H$84*'Plan mensual'!F280+parametros_recargas!$I$84*'Plan mensual'!F281+parametros_recargas!$J$84*'Plan mensual'!F282+parametros_recargas!$K$84*'Plan mensual'!F283+parametros_recargas!$L$84*'Plan mensual'!F284</f>
        <v>4685.67150482735</v>
      </c>
      <c r="E270" s="23" t="n">
        <f aca="false">parametros_recargas!$E$84*'Plan mensual'!G277+parametros_recargas!$F$84*'Plan mensual'!G278+parametros_recargas!$G$84*'Plan mensual'!G279+parametros_recargas!$H$84*'Plan mensual'!G280+parametros_recargas!$I$84*'Plan mensual'!G281+parametros_recargas!$J$84*'Plan mensual'!G282+parametros_recargas!$K$84*'Plan mensual'!G283+parametros_recargas!$L$84*'Plan mensual'!G284</f>
        <v>4685.67150482735</v>
      </c>
      <c r="F270" s="23" t="n">
        <f aca="false">parametros_recargas!$E$84*'Plan mensual'!H277+parametros_recargas!$F$84*'Plan mensual'!H278+parametros_recargas!$G$84*'Plan mensual'!H279+parametros_recargas!$H$84*'Plan mensual'!H280+parametros_recargas!$I$84*'Plan mensual'!H281+parametros_recargas!$J$84*'Plan mensual'!H282+parametros_recargas!$K$84*'Plan mensual'!H283+parametros_recargas!$L$84*'Plan mensual'!H284</f>
        <v>4685.67150482735</v>
      </c>
      <c r="G270" s="23" t="n">
        <f aca="false">parametros_recargas!$E$84*'Plan mensual'!I277+parametros_recargas!$F$84*'Plan mensual'!I278+parametros_recargas!$G$84*'Plan mensual'!I279+parametros_recargas!$H$84*'Plan mensual'!I280+parametros_recargas!$I$84*'Plan mensual'!I281+parametros_recargas!$J$84*'Plan mensual'!I282+parametros_recargas!$K$84*'Plan mensual'!I283+parametros_recargas!$L$84*'Plan mensual'!I284</f>
        <v>4685.67150482735</v>
      </c>
      <c r="H270" s="23" t="n">
        <f aca="false">parametros_recargas!$E$84*'Plan mensual'!J277+parametros_recargas!$F$84*'Plan mensual'!J278+parametros_recargas!$G$84*'Plan mensual'!J279+parametros_recargas!$H$84*'Plan mensual'!J280+parametros_recargas!$I$84*'Plan mensual'!J281+parametros_recargas!$J$84*'Plan mensual'!J282+parametros_recargas!$K$84*'Plan mensual'!J283+parametros_recargas!$L$84*'Plan mensual'!J284</f>
        <v>4685.67150482735</v>
      </c>
      <c r="I270" s="23" t="n">
        <f aca="false">parametros_recargas!$E$84*'Plan mensual'!K277+parametros_recargas!$F$84*'Plan mensual'!K278+parametros_recargas!$G$84*'Plan mensual'!K279+parametros_recargas!$H$84*'Plan mensual'!K280+parametros_recargas!$I$84*'Plan mensual'!K281+parametros_recargas!$J$84*'Plan mensual'!K282+parametros_recargas!$K$84*'Plan mensual'!K283+parametros_recargas!$L$84*'Plan mensual'!K284</f>
        <v>4685.67150482735</v>
      </c>
      <c r="J270" s="23" t="n">
        <f aca="false">parametros_recargas!$E$84*'Plan mensual'!L277+parametros_recargas!$F$84*'Plan mensual'!L278+parametros_recargas!$G$84*'Plan mensual'!L279+parametros_recargas!$H$84*'Plan mensual'!L280+parametros_recargas!$I$84*'Plan mensual'!L281+parametros_recargas!$J$84*'Plan mensual'!L282+parametros_recargas!$K$84*'Plan mensual'!L283+parametros_recargas!$L$84*'Plan mensual'!L284</f>
        <v>4685.67150482735</v>
      </c>
      <c r="K270" s="23" t="n">
        <f aca="false">parametros_recargas!$E$84*'Plan mensual'!M277+parametros_recargas!$F$84*'Plan mensual'!M278+parametros_recargas!$G$84*'Plan mensual'!M279+parametros_recargas!$H$84*'Plan mensual'!M280+parametros_recargas!$I$84*'Plan mensual'!M281+parametros_recargas!$J$84*'Plan mensual'!M282+parametros_recargas!$K$84*'Plan mensual'!M283+parametros_recargas!$L$84*'Plan mensual'!M284</f>
        <v>4685.67150482735</v>
      </c>
      <c r="L270" s="23" t="n">
        <f aca="false">parametros_recargas!$E$84*'Plan mensual'!N277+parametros_recargas!$F$84*'Plan mensual'!N278+parametros_recargas!$G$84*'Plan mensual'!N279+parametros_recargas!$H$84*'Plan mensual'!N280+parametros_recargas!$I$84*'Plan mensual'!N281+parametros_recargas!$J$84*'Plan mensual'!N282+parametros_recargas!$K$84*'Plan mensual'!N283+parametros_recargas!$L$84*'Plan mensual'!N284</f>
        <v>4685.67150482735</v>
      </c>
      <c r="M270" s="23" t="n">
        <f aca="false">parametros_recargas!$E$84*'Plan mensual'!O277+parametros_recargas!$F$84*'Plan mensual'!O278+parametros_recargas!$G$84*'Plan mensual'!O279+parametros_recargas!$H$84*'Plan mensual'!O280+parametros_recargas!$I$84*'Plan mensual'!O281+parametros_recargas!$J$84*'Plan mensual'!O282+parametros_recargas!$K$84*'Plan mensual'!O283+parametros_recargas!$L$84*'Plan mensual'!O284</f>
        <v>4685.67150482735</v>
      </c>
      <c r="N270" s="7" t="n">
        <f aca="false">SUM(B270:M270)</f>
        <v>56228.0580579282</v>
      </c>
      <c r="O270" s="24" t="n">
        <f aca="false">MAX(B270:M270)</f>
        <v>4685.67150482735</v>
      </c>
      <c r="P270" s="15" t="n">
        <f aca="false">O270/parametros_recargas!$B$6</f>
        <v>31.2378100321823</v>
      </c>
    </row>
    <row r="271" customFormat="false" ht="15" hidden="false" customHeight="false" outlineLevel="0" collapsed="false">
      <c r="A271" s="12" t="str">
        <f aca="false">parametros_recargas!$B$85</f>
        <v>Inspección interior con videoscopio</v>
      </c>
      <c r="B271" s="23" t="n">
        <f aca="false">parametros_recargas!$E$85*'Plan mensual'!D277+parametros_recargas!$F$85*'Plan mensual'!D278+parametros_recargas!$G$85*'Plan mensual'!D279+parametros_recargas!$H$85*'Plan mensual'!D280+parametros_recargas!$I$85*'Plan mensual'!D281+parametros_recargas!$J$85*'Plan mensual'!D282+parametros_recargas!$K$85*'Plan mensual'!D283+parametros_recargas!$L$85*'Plan mensual'!D284</f>
        <v>4685.67150482735</v>
      </c>
      <c r="C271" s="23" t="n">
        <f aca="false">parametros_recargas!$E$85*'Plan mensual'!E277+parametros_recargas!$F$85*'Plan mensual'!E278+parametros_recargas!$G$85*'Plan mensual'!E279+parametros_recargas!$H$85*'Plan mensual'!E280+parametros_recargas!$I$85*'Plan mensual'!E281+parametros_recargas!$J$85*'Plan mensual'!E282+parametros_recargas!$K$85*'Plan mensual'!E283+parametros_recargas!$L$85*'Plan mensual'!E284</f>
        <v>4685.67150482735</v>
      </c>
      <c r="D271" s="23" t="n">
        <f aca="false">parametros_recargas!$E$85*'Plan mensual'!F277+parametros_recargas!$F$85*'Plan mensual'!F278+parametros_recargas!$G$85*'Plan mensual'!F279+parametros_recargas!$H$85*'Plan mensual'!F280+parametros_recargas!$I$85*'Plan mensual'!F281+parametros_recargas!$J$85*'Plan mensual'!F282+parametros_recargas!$K$85*'Plan mensual'!F283+parametros_recargas!$L$85*'Plan mensual'!F284</f>
        <v>4685.67150482735</v>
      </c>
      <c r="E271" s="23" t="n">
        <f aca="false">parametros_recargas!$E$85*'Plan mensual'!G277+parametros_recargas!$F$85*'Plan mensual'!G278+parametros_recargas!$G$85*'Plan mensual'!G279+parametros_recargas!$H$85*'Plan mensual'!G280+parametros_recargas!$I$85*'Plan mensual'!G281+parametros_recargas!$J$85*'Plan mensual'!G282+parametros_recargas!$K$85*'Plan mensual'!G283+parametros_recargas!$L$85*'Plan mensual'!G284</f>
        <v>4685.67150482735</v>
      </c>
      <c r="F271" s="23" t="n">
        <f aca="false">parametros_recargas!$E$85*'Plan mensual'!H277+parametros_recargas!$F$85*'Plan mensual'!H278+parametros_recargas!$G$85*'Plan mensual'!H279+parametros_recargas!$H$85*'Plan mensual'!H280+parametros_recargas!$I$85*'Plan mensual'!H281+parametros_recargas!$J$85*'Plan mensual'!H282+parametros_recargas!$K$85*'Plan mensual'!H283+parametros_recargas!$L$85*'Plan mensual'!H284</f>
        <v>4685.67150482735</v>
      </c>
      <c r="G271" s="23" t="n">
        <f aca="false">parametros_recargas!$E$85*'Plan mensual'!I277+parametros_recargas!$F$85*'Plan mensual'!I278+parametros_recargas!$G$85*'Plan mensual'!I279+parametros_recargas!$H$85*'Plan mensual'!I280+parametros_recargas!$I$85*'Plan mensual'!I281+parametros_recargas!$J$85*'Plan mensual'!I282+parametros_recargas!$K$85*'Plan mensual'!I283+parametros_recargas!$L$85*'Plan mensual'!I284</f>
        <v>4685.67150482735</v>
      </c>
      <c r="H271" s="23" t="n">
        <f aca="false">parametros_recargas!$E$85*'Plan mensual'!J277+parametros_recargas!$F$85*'Plan mensual'!J278+parametros_recargas!$G$85*'Plan mensual'!J279+parametros_recargas!$H$85*'Plan mensual'!J280+parametros_recargas!$I$85*'Plan mensual'!J281+parametros_recargas!$J$85*'Plan mensual'!J282+parametros_recargas!$K$85*'Plan mensual'!J283+parametros_recargas!$L$85*'Plan mensual'!J284</f>
        <v>4685.67150482735</v>
      </c>
      <c r="I271" s="23" t="n">
        <f aca="false">parametros_recargas!$E$85*'Plan mensual'!K277+parametros_recargas!$F$85*'Plan mensual'!K278+parametros_recargas!$G$85*'Plan mensual'!K279+parametros_recargas!$H$85*'Plan mensual'!K280+parametros_recargas!$I$85*'Plan mensual'!K281+parametros_recargas!$J$85*'Plan mensual'!K282+parametros_recargas!$K$85*'Plan mensual'!K283+parametros_recargas!$L$85*'Plan mensual'!K284</f>
        <v>4685.67150482735</v>
      </c>
      <c r="J271" s="23" t="n">
        <f aca="false">parametros_recargas!$E$85*'Plan mensual'!L277+parametros_recargas!$F$85*'Plan mensual'!L278+parametros_recargas!$G$85*'Plan mensual'!L279+parametros_recargas!$H$85*'Plan mensual'!L280+parametros_recargas!$I$85*'Plan mensual'!L281+parametros_recargas!$J$85*'Plan mensual'!L282+parametros_recargas!$K$85*'Plan mensual'!L283+parametros_recargas!$L$85*'Plan mensual'!L284</f>
        <v>4685.67150482735</v>
      </c>
      <c r="K271" s="23" t="n">
        <f aca="false">parametros_recargas!$E$85*'Plan mensual'!M277+parametros_recargas!$F$85*'Plan mensual'!M278+parametros_recargas!$G$85*'Plan mensual'!M279+parametros_recargas!$H$85*'Plan mensual'!M280+parametros_recargas!$I$85*'Plan mensual'!M281+parametros_recargas!$J$85*'Plan mensual'!M282+parametros_recargas!$K$85*'Plan mensual'!M283+parametros_recargas!$L$85*'Plan mensual'!M284</f>
        <v>4685.67150482735</v>
      </c>
      <c r="L271" s="23" t="n">
        <f aca="false">parametros_recargas!$E$85*'Plan mensual'!N277+parametros_recargas!$F$85*'Plan mensual'!N278+parametros_recargas!$G$85*'Plan mensual'!N279+parametros_recargas!$H$85*'Plan mensual'!N280+parametros_recargas!$I$85*'Plan mensual'!N281+parametros_recargas!$J$85*'Plan mensual'!N282+parametros_recargas!$K$85*'Plan mensual'!N283+parametros_recargas!$L$85*'Plan mensual'!N284</f>
        <v>4685.67150482735</v>
      </c>
      <c r="M271" s="23" t="n">
        <f aca="false">parametros_recargas!$E$85*'Plan mensual'!O277+parametros_recargas!$F$85*'Plan mensual'!O278+parametros_recargas!$G$85*'Plan mensual'!O279+parametros_recargas!$H$85*'Plan mensual'!O280+parametros_recargas!$I$85*'Plan mensual'!O281+parametros_recargas!$J$85*'Plan mensual'!O282+parametros_recargas!$K$85*'Plan mensual'!O283+parametros_recargas!$L$85*'Plan mensual'!O284</f>
        <v>4685.67150482735</v>
      </c>
      <c r="N271" s="7" t="n">
        <f aca="false">SUM(B271:M271)</f>
        <v>56228.0580579282</v>
      </c>
      <c r="O271" s="24" t="n">
        <f aca="false">MAX(B271:M271)</f>
        <v>4685.67150482735</v>
      </c>
      <c r="P271" s="15" t="n">
        <f aca="false">O271/parametros_recargas!$B$6</f>
        <v>31.2378100321823</v>
      </c>
    </row>
    <row r="272" customFormat="false" ht="15" hidden="false" customHeight="false" outlineLevel="0" collapsed="false">
      <c r="A272" s="12" t="str">
        <f aca="false">parametros_recargas!$B$86</f>
        <v>Pintura</v>
      </c>
      <c r="B272" s="23" t="n">
        <f aca="false">parametros_recargas!$E$86*'Plan mensual'!D277+parametros_recargas!$F$86*'Plan mensual'!D278+parametros_recargas!$G$86*'Plan mensual'!D279+parametros_recargas!$H$86*'Plan mensual'!D280+parametros_recargas!$I$86*'Plan mensual'!D281+parametros_recargas!$J$86*'Plan mensual'!D282+parametros_recargas!$K$86*'Plan mensual'!D283+parametros_recargas!$L$86*'Plan mensual'!D284</f>
        <v>2351.91778480101</v>
      </c>
      <c r="C272" s="23" t="n">
        <f aca="false">parametros_recargas!$E$86*'Plan mensual'!E277+parametros_recargas!$F$86*'Plan mensual'!E278+parametros_recargas!$G$86*'Plan mensual'!E279+parametros_recargas!$H$86*'Plan mensual'!E280+parametros_recargas!$I$86*'Plan mensual'!E281+parametros_recargas!$J$86*'Plan mensual'!E282+parametros_recargas!$K$86*'Plan mensual'!E283+parametros_recargas!$L$86*'Plan mensual'!E284</f>
        <v>2351.91778480101</v>
      </c>
      <c r="D272" s="23" t="n">
        <f aca="false">parametros_recargas!$E$86*'Plan mensual'!F277+parametros_recargas!$F$86*'Plan mensual'!F278+parametros_recargas!$G$86*'Plan mensual'!F279+parametros_recargas!$H$86*'Plan mensual'!F280+parametros_recargas!$I$86*'Plan mensual'!F281+parametros_recargas!$J$86*'Plan mensual'!F282+parametros_recargas!$K$86*'Plan mensual'!F283+parametros_recargas!$L$86*'Plan mensual'!F284</f>
        <v>2351.91778480101</v>
      </c>
      <c r="E272" s="23" t="n">
        <f aca="false">parametros_recargas!$E$86*'Plan mensual'!G277+parametros_recargas!$F$86*'Plan mensual'!G278+parametros_recargas!$G$86*'Plan mensual'!G279+parametros_recargas!$H$86*'Plan mensual'!G280+parametros_recargas!$I$86*'Plan mensual'!G281+parametros_recargas!$J$86*'Plan mensual'!G282+parametros_recargas!$K$86*'Plan mensual'!G283+parametros_recargas!$L$86*'Plan mensual'!G284</f>
        <v>2351.91778480101</v>
      </c>
      <c r="F272" s="23" t="n">
        <f aca="false">parametros_recargas!$E$86*'Plan mensual'!H277+parametros_recargas!$F$86*'Plan mensual'!H278+parametros_recargas!$G$86*'Plan mensual'!H279+parametros_recargas!$H$86*'Plan mensual'!H280+parametros_recargas!$I$86*'Plan mensual'!H281+parametros_recargas!$J$86*'Plan mensual'!H282+parametros_recargas!$K$86*'Plan mensual'!H283+parametros_recargas!$L$86*'Plan mensual'!H284</f>
        <v>2351.91778480101</v>
      </c>
      <c r="G272" s="23" t="n">
        <f aca="false">parametros_recargas!$E$86*'Plan mensual'!I277+parametros_recargas!$F$86*'Plan mensual'!I278+parametros_recargas!$G$86*'Plan mensual'!I279+parametros_recargas!$H$86*'Plan mensual'!I280+parametros_recargas!$I$86*'Plan mensual'!I281+parametros_recargas!$J$86*'Plan mensual'!I282+parametros_recargas!$K$86*'Plan mensual'!I283+parametros_recargas!$L$86*'Plan mensual'!I284</f>
        <v>2351.91778480101</v>
      </c>
      <c r="H272" s="23" t="n">
        <f aca="false">parametros_recargas!$E$86*'Plan mensual'!J277+parametros_recargas!$F$86*'Plan mensual'!J278+parametros_recargas!$G$86*'Plan mensual'!J279+parametros_recargas!$H$86*'Plan mensual'!J280+parametros_recargas!$I$86*'Plan mensual'!J281+parametros_recargas!$J$86*'Plan mensual'!J282+parametros_recargas!$K$86*'Plan mensual'!J283+parametros_recargas!$L$86*'Plan mensual'!J284</f>
        <v>2351.91778480101</v>
      </c>
      <c r="I272" s="23" t="n">
        <f aca="false">parametros_recargas!$E$86*'Plan mensual'!K277+parametros_recargas!$F$86*'Plan mensual'!K278+parametros_recargas!$G$86*'Plan mensual'!K279+parametros_recargas!$H$86*'Plan mensual'!K280+parametros_recargas!$I$86*'Plan mensual'!K281+parametros_recargas!$J$86*'Plan mensual'!K282+parametros_recargas!$K$86*'Plan mensual'!K283+parametros_recargas!$L$86*'Plan mensual'!K284</f>
        <v>2351.91778480101</v>
      </c>
      <c r="J272" s="23" t="n">
        <f aca="false">parametros_recargas!$E$86*'Plan mensual'!L277+parametros_recargas!$F$86*'Plan mensual'!L278+parametros_recargas!$G$86*'Plan mensual'!L279+parametros_recargas!$H$86*'Plan mensual'!L280+parametros_recargas!$I$86*'Plan mensual'!L281+parametros_recargas!$J$86*'Plan mensual'!L282+parametros_recargas!$K$86*'Plan mensual'!L283+parametros_recargas!$L$86*'Plan mensual'!L284</f>
        <v>2351.91778480101</v>
      </c>
      <c r="K272" s="23" t="n">
        <f aca="false">parametros_recargas!$E$86*'Plan mensual'!M277+parametros_recargas!$F$86*'Plan mensual'!M278+parametros_recargas!$G$86*'Plan mensual'!M279+parametros_recargas!$H$86*'Plan mensual'!M280+parametros_recargas!$I$86*'Plan mensual'!M281+parametros_recargas!$J$86*'Plan mensual'!M282+parametros_recargas!$K$86*'Plan mensual'!M283+parametros_recargas!$L$86*'Plan mensual'!M284</f>
        <v>2351.91778480101</v>
      </c>
      <c r="L272" s="23" t="n">
        <f aca="false">parametros_recargas!$E$86*'Plan mensual'!N277+parametros_recargas!$F$86*'Plan mensual'!N278+parametros_recargas!$G$86*'Plan mensual'!N279+parametros_recargas!$H$86*'Plan mensual'!N280+parametros_recargas!$I$86*'Plan mensual'!N281+parametros_recargas!$J$86*'Plan mensual'!N282+parametros_recargas!$K$86*'Plan mensual'!N283+parametros_recargas!$L$86*'Plan mensual'!N284</f>
        <v>2351.91778480101</v>
      </c>
      <c r="M272" s="23" t="n">
        <f aca="false">parametros_recargas!$E$86*'Plan mensual'!O277+parametros_recargas!$F$86*'Plan mensual'!O278+parametros_recargas!$G$86*'Plan mensual'!O279+parametros_recargas!$H$86*'Plan mensual'!O280+parametros_recargas!$I$86*'Plan mensual'!O281+parametros_recargas!$J$86*'Plan mensual'!O282+parametros_recargas!$K$86*'Plan mensual'!O283+parametros_recargas!$L$86*'Plan mensual'!O284</f>
        <v>2351.91778480101</v>
      </c>
      <c r="N272" s="7" t="n">
        <f aca="false">SUM(B272:M272)</f>
        <v>28223.0134176122</v>
      </c>
      <c r="O272" s="24" t="n">
        <f aca="false">MAX(B272:M272)</f>
        <v>2351.91778480101</v>
      </c>
      <c r="P272" s="15" t="n">
        <f aca="false">O272/parametros_recargas!$B$6</f>
        <v>15.6794518986734</v>
      </c>
    </row>
    <row r="273" customFormat="false" ht="15" hidden="false" customHeight="false" outlineLevel="0" collapsed="false">
      <c r="A273" s="12" t="str">
        <f aca="false">parametros_recargas!$B$87</f>
        <v>Carga de polvo ABC</v>
      </c>
      <c r="B273" s="23" t="n">
        <f aca="false">parametros_recargas!$E$87*'Plan mensual'!D277+parametros_recargas!$F$87*'Plan mensual'!D278+parametros_recargas!$G$87*'Plan mensual'!D279+parametros_recargas!$H$87*'Plan mensual'!D280+parametros_recargas!$I$87*'Plan mensual'!D281+parametros_recargas!$J$87*'Plan mensual'!D282+parametros_recargas!$K$87*'Plan mensual'!D283+parametros_recargas!$L$87*'Plan mensual'!D284</f>
        <v>20246.8206801043</v>
      </c>
      <c r="C273" s="23" t="n">
        <f aca="false">parametros_recargas!$E$87*'Plan mensual'!E277+parametros_recargas!$F$87*'Plan mensual'!E278+parametros_recargas!$G$87*'Plan mensual'!E279+parametros_recargas!$H$87*'Plan mensual'!E280+parametros_recargas!$I$87*'Plan mensual'!E281+parametros_recargas!$J$87*'Plan mensual'!E282+parametros_recargas!$K$87*'Plan mensual'!E283+parametros_recargas!$L$87*'Plan mensual'!E284</f>
        <v>20246.8206801043</v>
      </c>
      <c r="D273" s="23" t="n">
        <f aca="false">parametros_recargas!$E$87*'Plan mensual'!F277+parametros_recargas!$F$87*'Plan mensual'!F278+parametros_recargas!$G$87*'Plan mensual'!F279+parametros_recargas!$H$87*'Plan mensual'!F280+parametros_recargas!$I$87*'Plan mensual'!F281+parametros_recargas!$J$87*'Plan mensual'!F282+parametros_recargas!$K$87*'Plan mensual'!F283+parametros_recargas!$L$87*'Plan mensual'!F284</f>
        <v>20246.8206801043</v>
      </c>
      <c r="E273" s="23" t="n">
        <f aca="false">parametros_recargas!$E$87*'Plan mensual'!G277+parametros_recargas!$F$87*'Plan mensual'!G278+parametros_recargas!$G$87*'Plan mensual'!G279+parametros_recargas!$H$87*'Plan mensual'!G280+parametros_recargas!$I$87*'Plan mensual'!G281+parametros_recargas!$J$87*'Plan mensual'!G282+parametros_recargas!$K$87*'Plan mensual'!G283+parametros_recargas!$L$87*'Plan mensual'!G284</f>
        <v>20246.8206801043</v>
      </c>
      <c r="F273" s="23" t="n">
        <f aca="false">parametros_recargas!$E$87*'Plan mensual'!H277+parametros_recargas!$F$87*'Plan mensual'!H278+parametros_recargas!$G$87*'Plan mensual'!H279+parametros_recargas!$H$87*'Plan mensual'!H280+parametros_recargas!$I$87*'Plan mensual'!H281+parametros_recargas!$J$87*'Plan mensual'!H282+parametros_recargas!$K$87*'Plan mensual'!H283+parametros_recargas!$L$87*'Plan mensual'!H284</f>
        <v>20246.8206801043</v>
      </c>
      <c r="G273" s="23" t="n">
        <f aca="false">parametros_recargas!$E$87*'Plan mensual'!I277+parametros_recargas!$F$87*'Plan mensual'!I278+parametros_recargas!$G$87*'Plan mensual'!I279+parametros_recargas!$H$87*'Plan mensual'!I280+parametros_recargas!$I$87*'Plan mensual'!I281+parametros_recargas!$J$87*'Plan mensual'!I282+parametros_recargas!$K$87*'Plan mensual'!I283+parametros_recargas!$L$87*'Plan mensual'!I284</f>
        <v>20246.8206801043</v>
      </c>
      <c r="H273" s="23" t="n">
        <f aca="false">parametros_recargas!$E$87*'Plan mensual'!J277+parametros_recargas!$F$87*'Plan mensual'!J278+parametros_recargas!$G$87*'Plan mensual'!J279+parametros_recargas!$H$87*'Plan mensual'!J280+parametros_recargas!$I$87*'Plan mensual'!J281+parametros_recargas!$J$87*'Plan mensual'!J282+parametros_recargas!$K$87*'Plan mensual'!J283+parametros_recargas!$L$87*'Plan mensual'!J284</f>
        <v>20246.8206801043</v>
      </c>
      <c r="I273" s="23" t="n">
        <f aca="false">parametros_recargas!$E$87*'Plan mensual'!K277+parametros_recargas!$F$87*'Plan mensual'!K278+parametros_recargas!$G$87*'Plan mensual'!K279+parametros_recargas!$H$87*'Plan mensual'!K280+parametros_recargas!$I$87*'Plan mensual'!K281+parametros_recargas!$J$87*'Plan mensual'!K282+parametros_recargas!$K$87*'Plan mensual'!K283+parametros_recargas!$L$87*'Plan mensual'!K284</f>
        <v>20246.8206801043</v>
      </c>
      <c r="J273" s="23" t="n">
        <f aca="false">parametros_recargas!$E$87*'Plan mensual'!L277+parametros_recargas!$F$87*'Plan mensual'!L278+parametros_recargas!$G$87*'Plan mensual'!L279+parametros_recargas!$H$87*'Plan mensual'!L280+parametros_recargas!$I$87*'Plan mensual'!L281+parametros_recargas!$J$87*'Plan mensual'!L282+parametros_recargas!$K$87*'Plan mensual'!L283+parametros_recargas!$L$87*'Plan mensual'!L284</f>
        <v>20246.8206801043</v>
      </c>
      <c r="K273" s="23" t="n">
        <f aca="false">parametros_recargas!$E$87*'Plan mensual'!M277+parametros_recargas!$F$87*'Plan mensual'!M278+parametros_recargas!$G$87*'Plan mensual'!M279+parametros_recargas!$H$87*'Plan mensual'!M280+parametros_recargas!$I$87*'Plan mensual'!M281+parametros_recargas!$J$87*'Plan mensual'!M282+parametros_recargas!$K$87*'Plan mensual'!M283+parametros_recargas!$L$87*'Plan mensual'!M284</f>
        <v>20246.8206801043</v>
      </c>
      <c r="L273" s="23" t="n">
        <f aca="false">parametros_recargas!$E$87*'Plan mensual'!N277+parametros_recargas!$F$87*'Plan mensual'!N278+parametros_recargas!$G$87*'Plan mensual'!N279+parametros_recargas!$H$87*'Plan mensual'!N280+parametros_recargas!$I$87*'Plan mensual'!N281+parametros_recargas!$J$87*'Plan mensual'!N282+parametros_recargas!$K$87*'Plan mensual'!N283+parametros_recargas!$L$87*'Plan mensual'!N284</f>
        <v>20246.8206801043</v>
      </c>
      <c r="M273" s="23" t="n">
        <f aca="false">parametros_recargas!$E$87*'Plan mensual'!O277+parametros_recargas!$F$87*'Plan mensual'!O278+parametros_recargas!$G$87*'Plan mensual'!O279+parametros_recargas!$H$87*'Plan mensual'!O280+parametros_recargas!$I$87*'Plan mensual'!O281+parametros_recargas!$J$87*'Plan mensual'!O282+parametros_recargas!$K$87*'Plan mensual'!O283+parametros_recargas!$L$87*'Plan mensual'!O284</f>
        <v>20246.8206801043</v>
      </c>
      <c r="N273" s="7" t="n">
        <f aca="false">SUM(B273:M273)</f>
        <v>242961.848161252</v>
      </c>
      <c r="O273" s="24" t="n">
        <f aca="false">MAX(B273:M273)</f>
        <v>20246.8206801043</v>
      </c>
      <c r="P273" s="15" t="n">
        <f aca="false">O273/parametros_recargas!$B$6</f>
        <v>134.978804534029</v>
      </c>
    </row>
    <row r="274" customFormat="false" ht="15" hidden="false" customHeight="false" outlineLevel="0" collapsed="false">
      <c r="A274" s="12" t="str">
        <f aca="false">parametros_recargas!$B$88</f>
        <v>Carga de polvo BC</v>
      </c>
      <c r="B274" s="23" t="n">
        <f aca="false">parametros_recargas!$E$88*'Plan mensual'!D277+parametros_recargas!$F$88*'Plan mensual'!D278+parametros_recargas!$G$88*'Plan mensual'!D279+parametros_recargas!$H$88*'Plan mensual'!D280+parametros_recargas!$I$88*'Plan mensual'!D281+parametros_recargas!$J$88*'Plan mensual'!D282+parametros_recargas!$K$88*'Plan mensual'!D283+parametros_recargas!$L$88*'Plan mensual'!D284</f>
        <v>32.8576095168221</v>
      </c>
      <c r="C274" s="23" t="n">
        <f aca="false">parametros_recargas!$E$88*'Plan mensual'!E277+parametros_recargas!$F$88*'Plan mensual'!E278+parametros_recargas!$G$88*'Plan mensual'!E279+parametros_recargas!$H$88*'Plan mensual'!E280+parametros_recargas!$I$88*'Plan mensual'!E281+parametros_recargas!$J$88*'Plan mensual'!E282+parametros_recargas!$K$88*'Plan mensual'!E283+parametros_recargas!$L$88*'Plan mensual'!E284</f>
        <v>32.8576095168221</v>
      </c>
      <c r="D274" s="23" t="n">
        <f aca="false">parametros_recargas!$E$88*'Plan mensual'!F277+parametros_recargas!$F$88*'Plan mensual'!F278+parametros_recargas!$G$88*'Plan mensual'!F279+parametros_recargas!$H$88*'Plan mensual'!F280+parametros_recargas!$I$88*'Plan mensual'!F281+parametros_recargas!$J$88*'Plan mensual'!F282+parametros_recargas!$K$88*'Plan mensual'!F283+parametros_recargas!$L$88*'Plan mensual'!F284</f>
        <v>32.8576095168221</v>
      </c>
      <c r="E274" s="23" t="n">
        <f aca="false">parametros_recargas!$E$88*'Plan mensual'!G277+parametros_recargas!$F$88*'Plan mensual'!G278+parametros_recargas!$G$88*'Plan mensual'!G279+parametros_recargas!$H$88*'Plan mensual'!G280+parametros_recargas!$I$88*'Plan mensual'!G281+parametros_recargas!$J$88*'Plan mensual'!G282+parametros_recargas!$K$88*'Plan mensual'!G283+parametros_recargas!$L$88*'Plan mensual'!G284</f>
        <v>32.8576095168221</v>
      </c>
      <c r="F274" s="23" t="n">
        <f aca="false">parametros_recargas!$E$88*'Plan mensual'!H277+parametros_recargas!$F$88*'Plan mensual'!H278+parametros_recargas!$G$88*'Plan mensual'!H279+parametros_recargas!$H$88*'Plan mensual'!H280+parametros_recargas!$I$88*'Plan mensual'!H281+parametros_recargas!$J$88*'Plan mensual'!H282+parametros_recargas!$K$88*'Plan mensual'!H283+parametros_recargas!$L$88*'Plan mensual'!H284</f>
        <v>32.8576095168221</v>
      </c>
      <c r="G274" s="23" t="n">
        <f aca="false">parametros_recargas!$E$88*'Plan mensual'!I277+parametros_recargas!$F$88*'Plan mensual'!I278+parametros_recargas!$G$88*'Plan mensual'!I279+parametros_recargas!$H$88*'Plan mensual'!I280+parametros_recargas!$I$88*'Plan mensual'!I281+parametros_recargas!$J$88*'Plan mensual'!I282+parametros_recargas!$K$88*'Plan mensual'!I283+parametros_recargas!$L$88*'Plan mensual'!I284</f>
        <v>32.8576095168221</v>
      </c>
      <c r="H274" s="23" t="n">
        <f aca="false">parametros_recargas!$E$88*'Plan mensual'!J277+parametros_recargas!$F$88*'Plan mensual'!J278+parametros_recargas!$G$88*'Plan mensual'!J279+parametros_recargas!$H$88*'Plan mensual'!J280+parametros_recargas!$I$88*'Plan mensual'!J281+parametros_recargas!$J$88*'Plan mensual'!J282+parametros_recargas!$K$88*'Plan mensual'!J283+parametros_recargas!$L$88*'Plan mensual'!J284</f>
        <v>32.8576095168221</v>
      </c>
      <c r="I274" s="23" t="n">
        <f aca="false">parametros_recargas!$E$88*'Plan mensual'!K277+parametros_recargas!$F$88*'Plan mensual'!K278+parametros_recargas!$G$88*'Plan mensual'!K279+parametros_recargas!$H$88*'Plan mensual'!K280+parametros_recargas!$I$88*'Plan mensual'!K281+parametros_recargas!$J$88*'Plan mensual'!K282+parametros_recargas!$K$88*'Plan mensual'!K283+parametros_recargas!$L$88*'Plan mensual'!K284</f>
        <v>32.8576095168221</v>
      </c>
      <c r="J274" s="23" t="n">
        <f aca="false">parametros_recargas!$E$88*'Plan mensual'!L277+parametros_recargas!$F$88*'Plan mensual'!L278+parametros_recargas!$G$88*'Plan mensual'!L279+parametros_recargas!$H$88*'Plan mensual'!L280+parametros_recargas!$I$88*'Plan mensual'!L281+parametros_recargas!$J$88*'Plan mensual'!L282+parametros_recargas!$K$88*'Plan mensual'!L283+parametros_recargas!$L$88*'Plan mensual'!L284</f>
        <v>32.8576095168221</v>
      </c>
      <c r="K274" s="23" t="n">
        <f aca="false">parametros_recargas!$E$88*'Plan mensual'!M277+parametros_recargas!$F$88*'Plan mensual'!M278+parametros_recargas!$G$88*'Plan mensual'!M279+parametros_recargas!$H$88*'Plan mensual'!M280+parametros_recargas!$I$88*'Plan mensual'!M281+parametros_recargas!$J$88*'Plan mensual'!M282+parametros_recargas!$K$88*'Plan mensual'!M283+parametros_recargas!$L$88*'Plan mensual'!M284</f>
        <v>32.8576095168221</v>
      </c>
      <c r="L274" s="23" t="n">
        <f aca="false">parametros_recargas!$E$88*'Plan mensual'!N277+parametros_recargas!$F$88*'Plan mensual'!N278+parametros_recargas!$G$88*'Plan mensual'!N279+parametros_recargas!$H$88*'Plan mensual'!N280+parametros_recargas!$I$88*'Plan mensual'!N281+parametros_recargas!$J$88*'Plan mensual'!N282+parametros_recargas!$K$88*'Plan mensual'!N283+parametros_recargas!$L$88*'Plan mensual'!N284</f>
        <v>32.8576095168221</v>
      </c>
      <c r="M274" s="23" t="n">
        <f aca="false">parametros_recargas!$E$88*'Plan mensual'!O277+parametros_recargas!$F$88*'Plan mensual'!O278+parametros_recargas!$G$88*'Plan mensual'!O279+parametros_recargas!$H$88*'Plan mensual'!O280+parametros_recargas!$I$88*'Plan mensual'!O281+parametros_recargas!$J$88*'Plan mensual'!O282+parametros_recargas!$K$88*'Plan mensual'!O283+parametros_recargas!$L$88*'Plan mensual'!O284</f>
        <v>32.8576095168221</v>
      </c>
      <c r="N274" s="7" t="n">
        <f aca="false">SUM(B274:M274)</f>
        <v>394.291314201865</v>
      </c>
      <c r="O274" s="24" t="n">
        <f aca="false">MAX(B274:M274)</f>
        <v>32.8576095168221</v>
      </c>
      <c r="P274" s="15" t="n">
        <f aca="false">O274/parametros_recargas!$B$6</f>
        <v>0.219050730112147</v>
      </c>
    </row>
    <row r="275" customFormat="false" ht="15" hidden="false" customHeight="false" outlineLevel="0" collapsed="false">
      <c r="A275" s="12" t="str">
        <f aca="false">parametros_recargas!$B$89</f>
        <v>Descarga y carga Clase D</v>
      </c>
      <c r="B275" s="23" t="n">
        <f aca="false">parametros_recargas!$E$89*'Plan mensual'!D277+parametros_recargas!$F$89*'Plan mensual'!D278+parametros_recargas!$G$89*'Plan mensual'!D279+parametros_recargas!$H$89*'Plan mensual'!D280+parametros_recargas!$I$89*'Plan mensual'!D281+parametros_recargas!$J$89*'Plan mensual'!D282+parametros_recargas!$K$89*'Plan mensual'!D283+parametros_recargas!$L$89*'Plan mensual'!D284</f>
        <v>29.5751979509064</v>
      </c>
      <c r="C275" s="23" t="n">
        <f aca="false">parametros_recargas!$E$89*'Plan mensual'!E277+parametros_recargas!$F$89*'Plan mensual'!E278+parametros_recargas!$G$89*'Plan mensual'!E279+parametros_recargas!$H$89*'Plan mensual'!E280+parametros_recargas!$I$89*'Plan mensual'!E281+parametros_recargas!$J$89*'Plan mensual'!E282+parametros_recargas!$K$89*'Plan mensual'!E283+parametros_recargas!$L$89*'Plan mensual'!E284</f>
        <v>29.5751979509064</v>
      </c>
      <c r="D275" s="23" t="n">
        <f aca="false">parametros_recargas!$E$89*'Plan mensual'!F277+parametros_recargas!$F$89*'Plan mensual'!F278+parametros_recargas!$G$89*'Plan mensual'!F279+parametros_recargas!$H$89*'Plan mensual'!F280+parametros_recargas!$I$89*'Plan mensual'!F281+parametros_recargas!$J$89*'Plan mensual'!F282+parametros_recargas!$K$89*'Plan mensual'!F283+parametros_recargas!$L$89*'Plan mensual'!F284</f>
        <v>29.5751979509064</v>
      </c>
      <c r="E275" s="23" t="n">
        <f aca="false">parametros_recargas!$E$89*'Plan mensual'!G277+parametros_recargas!$F$89*'Plan mensual'!G278+parametros_recargas!$G$89*'Plan mensual'!G279+parametros_recargas!$H$89*'Plan mensual'!G280+parametros_recargas!$I$89*'Plan mensual'!G281+parametros_recargas!$J$89*'Plan mensual'!G282+parametros_recargas!$K$89*'Plan mensual'!G283+parametros_recargas!$L$89*'Plan mensual'!G284</f>
        <v>29.5751979509064</v>
      </c>
      <c r="F275" s="23" t="n">
        <f aca="false">parametros_recargas!$E$89*'Plan mensual'!H277+parametros_recargas!$F$89*'Plan mensual'!H278+parametros_recargas!$G$89*'Plan mensual'!H279+parametros_recargas!$H$89*'Plan mensual'!H280+parametros_recargas!$I$89*'Plan mensual'!H281+parametros_recargas!$J$89*'Plan mensual'!H282+parametros_recargas!$K$89*'Plan mensual'!H283+parametros_recargas!$L$89*'Plan mensual'!H284</f>
        <v>29.5751979509064</v>
      </c>
      <c r="G275" s="23" t="n">
        <f aca="false">parametros_recargas!$E$89*'Plan mensual'!I277+parametros_recargas!$F$89*'Plan mensual'!I278+parametros_recargas!$G$89*'Plan mensual'!I279+parametros_recargas!$H$89*'Plan mensual'!I280+parametros_recargas!$I$89*'Plan mensual'!I281+parametros_recargas!$J$89*'Plan mensual'!I282+parametros_recargas!$K$89*'Plan mensual'!I283+parametros_recargas!$L$89*'Plan mensual'!I284</f>
        <v>29.5751979509064</v>
      </c>
      <c r="H275" s="23" t="n">
        <f aca="false">parametros_recargas!$E$89*'Plan mensual'!J277+parametros_recargas!$F$89*'Plan mensual'!J278+parametros_recargas!$G$89*'Plan mensual'!J279+parametros_recargas!$H$89*'Plan mensual'!J280+parametros_recargas!$I$89*'Plan mensual'!J281+parametros_recargas!$J$89*'Plan mensual'!J282+parametros_recargas!$K$89*'Plan mensual'!J283+parametros_recargas!$L$89*'Plan mensual'!J284</f>
        <v>29.5751979509064</v>
      </c>
      <c r="I275" s="23" t="n">
        <f aca="false">parametros_recargas!$E$89*'Plan mensual'!K277+parametros_recargas!$F$89*'Plan mensual'!K278+parametros_recargas!$G$89*'Plan mensual'!K279+parametros_recargas!$H$89*'Plan mensual'!K280+parametros_recargas!$I$89*'Plan mensual'!K281+parametros_recargas!$J$89*'Plan mensual'!K282+parametros_recargas!$K$89*'Plan mensual'!K283+parametros_recargas!$L$89*'Plan mensual'!K284</f>
        <v>29.5751979509064</v>
      </c>
      <c r="J275" s="23" t="n">
        <f aca="false">parametros_recargas!$E$89*'Plan mensual'!L277+parametros_recargas!$F$89*'Plan mensual'!L278+parametros_recargas!$G$89*'Plan mensual'!L279+parametros_recargas!$H$89*'Plan mensual'!L280+parametros_recargas!$I$89*'Plan mensual'!L281+parametros_recargas!$J$89*'Plan mensual'!L282+parametros_recargas!$K$89*'Plan mensual'!L283+parametros_recargas!$L$89*'Plan mensual'!L284</f>
        <v>29.5751979509064</v>
      </c>
      <c r="K275" s="23" t="n">
        <f aca="false">parametros_recargas!$E$89*'Plan mensual'!M277+parametros_recargas!$F$89*'Plan mensual'!M278+parametros_recargas!$G$89*'Plan mensual'!M279+parametros_recargas!$H$89*'Plan mensual'!M280+parametros_recargas!$I$89*'Plan mensual'!M281+parametros_recargas!$J$89*'Plan mensual'!M282+parametros_recargas!$K$89*'Plan mensual'!M283+parametros_recargas!$L$89*'Plan mensual'!M284</f>
        <v>29.5751979509064</v>
      </c>
      <c r="L275" s="23" t="n">
        <f aca="false">parametros_recargas!$E$89*'Plan mensual'!N277+parametros_recargas!$F$89*'Plan mensual'!N278+parametros_recargas!$G$89*'Plan mensual'!N279+parametros_recargas!$H$89*'Plan mensual'!N280+parametros_recargas!$I$89*'Plan mensual'!N281+parametros_recargas!$J$89*'Plan mensual'!N282+parametros_recargas!$K$89*'Plan mensual'!N283+parametros_recargas!$L$89*'Plan mensual'!N284</f>
        <v>29.5751979509064</v>
      </c>
      <c r="M275" s="23" t="n">
        <f aca="false">parametros_recargas!$E$89*'Plan mensual'!O277+parametros_recargas!$F$89*'Plan mensual'!O278+parametros_recargas!$G$89*'Plan mensual'!O279+parametros_recargas!$H$89*'Plan mensual'!O280+parametros_recargas!$I$89*'Plan mensual'!O281+parametros_recargas!$J$89*'Plan mensual'!O282+parametros_recargas!$K$89*'Plan mensual'!O283+parametros_recargas!$L$89*'Plan mensual'!O284</f>
        <v>29.5751979509064</v>
      </c>
      <c r="N275" s="7" t="n">
        <f aca="false">SUM(B275:M275)</f>
        <v>354.902375410877</v>
      </c>
      <c r="O275" s="24" t="n">
        <f aca="false">MAX(B275:M275)</f>
        <v>29.5751979509064</v>
      </c>
      <c r="P275" s="15" t="n">
        <f aca="false">O275/parametros_recargas!$B$6</f>
        <v>0.197167986339376</v>
      </c>
    </row>
    <row r="276" customFormat="false" ht="15" hidden="false" customHeight="false" outlineLevel="0" collapsed="false">
      <c r="A276" s="12" t="str">
        <f aca="false">parametros_recargas!$B$90</f>
        <v>Carga de agua / AFFF / sales K</v>
      </c>
      <c r="B276" s="23" t="n">
        <f aca="false">parametros_recargas!$E$90*'Plan mensual'!D277+parametros_recargas!$F$90*'Plan mensual'!D278+parametros_recargas!$G$90*'Plan mensual'!D279+parametros_recargas!$H$90*'Plan mensual'!D280+parametros_recargas!$I$90*'Plan mensual'!D281+parametros_recargas!$J$90*'Plan mensual'!D282+parametros_recargas!$K$90*'Plan mensual'!D283+parametros_recargas!$L$90*'Plan mensual'!D284</f>
        <v>1106.282998252</v>
      </c>
      <c r="C276" s="23" t="n">
        <f aca="false">parametros_recargas!$E$90*'Plan mensual'!E277+parametros_recargas!$F$90*'Plan mensual'!E278+parametros_recargas!$G$90*'Plan mensual'!E279+parametros_recargas!$H$90*'Plan mensual'!E280+parametros_recargas!$I$90*'Plan mensual'!E281+parametros_recargas!$J$90*'Plan mensual'!E282+parametros_recargas!$K$90*'Plan mensual'!E283+parametros_recargas!$L$90*'Plan mensual'!E284</f>
        <v>1106.282998252</v>
      </c>
      <c r="D276" s="23" t="n">
        <f aca="false">parametros_recargas!$E$90*'Plan mensual'!F277+parametros_recargas!$F$90*'Plan mensual'!F278+parametros_recargas!$G$90*'Plan mensual'!F279+parametros_recargas!$H$90*'Plan mensual'!F280+parametros_recargas!$I$90*'Plan mensual'!F281+parametros_recargas!$J$90*'Plan mensual'!F282+parametros_recargas!$K$90*'Plan mensual'!F283+parametros_recargas!$L$90*'Plan mensual'!F284</f>
        <v>1106.282998252</v>
      </c>
      <c r="E276" s="23" t="n">
        <f aca="false">parametros_recargas!$E$90*'Plan mensual'!G277+parametros_recargas!$F$90*'Plan mensual'!G278+parametros_recargas!$G$90*'Plan mensual'!G279+parametros_recargas!$H$90*'Plan mensual'!G280+parametros_recargas!$I$90*'Plan mensual'!G281+parametros_recargas!$J$90*'Plan mensual'!G282+parametros_recargas!$K$90*'Plan mensual'!G283+parametros_recargas!$L$90*'Plan mensual'!G284</f>
        <v>1106.282998252</v>
      </c>
      <c r="F276" s="23" t="n">
        <f aca="false">parametros_recargas!$E$90*'Plan mensual'!H277+parametros_recargas!$F$90*'Plan mensual'!H278+parametros_recargas!$G$90*'Plan mensual'!H279+parametros_recargas!$H$90*'Plan mensual'!H280+parametros_recargas!$I$90*'Plan mensual'!H281+parametros_recargas!$J$90*'Plan mensual'!H282+parametros_recargas!$K$90*'Plan mensual'!H283+parametros_recargas!$L$90*'Plan mensual'!H284</f>
        <v>1106.282998252</v>
      </c>
      <c r="G276" s="23" t="n">
        <f aca="false">parametros_recargas!$E$90*'Plan mensual'!I277+parametros_recargas!$F$90*'Plan mensual'!I278+parametros_recargas!$G$90*'Plan mensual'!I279+parametros_recargas!$H$90*'Plan mensual'!I280+parametros_recargas!$I$90*'Plan mensual'!I281+parametros_recargas!$J$90*'Plan mensual'!I282+parametros_recargas!$K$90*'Plan mensual'!I283+parametros_recargas!$L$90*'Plan mensual'!I284</f>
        <v>1106.282998252</v>
      </c>
      <c r="H276" s="23" t="n">
        <f aca="false">parametros_recargas!$E$90*'Plan mensual'!J277+parametros_recargas!$F$90*'Plan mensual'!J278+parametros_recargas!$G$90*'Plan mensual'!J279+parametros_recargas!$H$90*'Plan mensual'!J280+parametros_recargas!$I$90*'Plan mensual'!J281+parametros_recargas!$J$90*'Plan mensual'!J282+parametros_recargas!$K$90*'Plan mensual'!J283+parametros_recargas!$L$90*'Plan mensual'!J284</f>
        <v>1106.282998252</v>
      </c>
      <c r="I276" s="23" t="n">
        <f aca="false">parametros_recargas!$E$90*'Plan mensual'!K277+parametros_recargas!$F$90*'Plan mensual'!K278+parametros_recargas!$G$90*'Plan mensual'!K279+parametros_recargas!$H$90*'Plan mensual'!K280+parametros_recargas!$I$90*'Plan mensual'!K281+parametros_recargas!$J$90*'Plan mensual'!K282+parametros_recargas!$K$90*'Plan mensual'!K283+parametros_recargas!$L$90*'Plan mensual'!K284</f>
        <v>1106.282998252</v>
      </c>
      <c r="J276" s="23" t="n">
        <f aca="false">parametros_recargas!$E$90*'Plan mensual'!L277+parametros_recargas!$F$90*'Plan mensual'!L278+parametros_recargas!$G$90*'Plan mensual'!L279+parametros_recargas!$H$90*'Plan mensual'!L280+parametros_recargas!$I$90*'Plan mensual'!L281+parametros_recargas!$J$90*'Plan mensual'!L282+parametros_recargas!$K$90*'Plan mensual'!L283+parametros_recargas!$L$90*'Plan mensual'!L284</f>
        <v>1106.282998252</v>
      </c>
      <c r="K276" s="23" t="n">
        <f aca="false">parametros_recargas!$E$90*'Plan mensual'!M277+parametros_recargas!$F$90*'Plan mensual'!M278+parametros_recargas!$G$90*'Plan mensual'!M279+parametros_recargas!$H$90*'Plan mensual'!M280+parametros_recargas!$I$90*'Plan mensual'!M281+parametros_recargas!$J$90*'Plan mensual'!M282+parametros_recargas!$K$90*'Plan mensual'!M283+parametros_recargas!$L$90*'Plan mensual'!M284</f>
        <v>1106.282998252</v>
      </c>
      <c r="L276" s="23" t="n">
        <f aca="false">parametros_recargas!$E$90*'Plan mensual'!N277+parametros_recargas!$F$90*'Plan mensual'!N278+parametros_recargas!$G$90*'Plan mensual'!N279+parametros_recargas!$H$90*'Plan mensual'!N280+parametros_recargas!$I$90*'Plan mensual'!N281+parametros_recargas!$J$90*'Plan mensual'!N282+parametros_recargas!$K$90*'Plan mensual'!N283+parametros_recargas!$L$90*'Plan mensual'!N284</f>
        <v>1106.282998252</v>
      </c>
      <c r="M276" s="23" t="n">
        <f aca="false">parametros_recargas!$E$90*'Plan mensual'!O277+parametros_recargas!$F$90*'Plan mensual'!O278+parametros_recargas!$G$90*'Plan mensual'!O279+parametros_recargas!$H$90*'Plan mensual'!O280+parametros_recargas!$I$90*'Plan mensual'!O281+parametros_recargas!$J$90*'Plan mensual'!O282+parametros_recargas!$K$90*'Plan mensual'!O283+parametros_recargas!$L$90*'Plan mensual'!O284</f>
        <v>1106.282998252</v>
      </c>
      <c r="N276" s="7" t="n">
        <f aca="false">SUM(B276:M276)</f>
        <v>13275.395979024</v>
      </c>
      <c r="O276" s="24" t="n">
        <f aca="false">MAX(B276:M276)</f>
        <v>1106.282998252</v>
      </c>
      <c r="P276" s="15" t="n">
        <f aca="false">O276/parametros_recargas!$B$6</f>
        <v>7.37521998834669</v>
      </c>
    </row>
    <row r="277" customFormat="false" ht="15" hidden="false" customHeight="false" outlineLevel="0" collapsed="false">
      <c r="A277" s="12" t="str">
        <f aca="false">parametros_recargas!$B$91</f>
        <v>Carga de CO₂</v>
      </c>
      <c r="B277" s="23" t="n">
        <f aca="false">parametros_recargas!$E$91*'Plan mensual'!D277+parametros_recargas!$F$91*'Plan mensual'!D278+parametros_recargas!$G$91*'Plan mensual'!D279+parametros_recargas!$H$91*'Plan mensual'!D280+parametros_recargas!$I$91*'Plan mensual'!D281+parametros_recargas!$J$91*'Plan mensual'!D282+parametros_recargas!$K$91*'Plan mensual'!D283+parametros_recargas!$L$91*'Plan mensual'!D284</f>
        <v>606.068152067598</v>
      </c>
      <c r="C277" s="23" t="n">
        <f aca="false">parametros_recargas!$E$91*'Plan mensual'!E277+parametros_recargas!$F$91*'Plan mensual'!E278+parametros_recargas!$G$91*'Plan mensual'!E279+parametros_recargas!$H$91*'Plan mensual'!E280+parametros_recargas!$I$91*'Plan mensual'!E281+parametros_recargas!$J$91*'Plan mensual'!E282+parametros_recargas!$K$91*'Plan mensual'!E283+parametros_recargas!$L$91*'Plan mensual'!E284</f>
        <v>606.068152067598</v>
      </c>
      <c r="D277" s="23" t="n">
        <f aca="false">parametros_recargas!$E$91*'Plan mensual'!F277+parametros_recargas!$F$91*'Plan mensual'!F278+parametros_recargas!$G$91*'Plan mensual'!F279+parametros_recargas!$H$91*'Plan mensual'!F280+parametros_recargas!$I$91*'Plan mensual'!F281+parametros_recargas!$J$91*'Plan mensual'!F282+parametros_recargas!$K$91*'Plan mensual'!F283+parametros_recargas!$L$91*'Plan mensual'!F284</f>
        <v>606.068152067598</v>
      </c>
      <c r="E277" s="23" t="n">
        <f aca="false">parametros_recargas!$E$91*'Plan mensual'!G277+parametros_recargas!$F$91*'Plan mensual'!G278+parametros_recargas!$G$91*'Plan mensual'!G279+parametros_recargas!$H$91*'Plan mensual'!G280+parametros_recargas!$I$91*'Plan mensual'!G281+parametros_recargas!$J$91*'Plan mensual'!G282+parametros_recargas!$K$91*'Plan mensual'!G283+parametros_recargas!$L$91*'Plan mensual'!G284</f>
        <v>606.068152067598</v>
      </c>
      <c r="F277" s="23" t="n">
        <f aca="false">parametros_recargas!$E$91*'Plan mensual'!H277+parametros_recargas!$F$91*'Plan mensual'!H278+parametros_recargas!$G$91*'Plan mensual'!H279+parametros_recargas!$H$91*'Plan mensual'!H280+parametros_recargas!$I$91*'Plan mensual'!H281+parametros_recargas!$J$91*'Plan mensual'!H282+parametros_recargas!$K$91*'Plan mensual'!H283+parametros_recargas!$L$91*'Plan mensual'!H284</f>
        <v>606.068152067598</v>
      </c>
      <c r="G277" s="23" t="n">
        <f aca="false">parametros_recargas!$E$91*'Plan mensual'!I277+parametros_recargas!$F$91*'Plan mensual'!I278+parametros_recargas!$G$91*'Plan mensual'!I279+parametros_recargas!$H$91*'Plan mensual'!I280+parametros_recargas!$I$91*'Plan mensual'!I281+parametros_recargas!$J$91*'Plan mensual'!I282+parametros_recargas!$K$91*'Plan mensual'!I283+parametros_recargas!$L$91*'Plan mensual'!I284</f>
        <v>606.068152067598</v>
      </c>
      <c r="H277" s="23" t="n">
        <f aca="false">parametros_recargas!$E$91*'Plan mensual'!J277+parametros_recargas!$F$91*'Plan mensual'!J278+parametros_recargas!$G$91*'Plan mensual'!J279+parametros_recargas!$H$91*'Plan mensual'!J280+parametros_recargas!$I$91*'Plan mensual'!J281+parametros_recargas!$J$91*'Plan mensual'!J282+parametros_recargas!$K$91*'Plan mensual'!J283+parametros_recargas!$L$91*'Plan mensual'!J284</f>
        <v>606.068152067598</v>
      </c>
      <c r="I277" s="23" t="n">
        <f aca="false">parametros_recargas!$E$91*'Plan mensual'!K277+parametros_recargas!$F$91*'Plan mensual'!K278+parametros_recargas!$G$91*'Plan mensual'!K279+parametros_recargas!$H$91*'Plan mensual'!K280+parametros_recargas!$I$91*'Plan mensual'!K281+parametros_recargas!$J$91*'Plan mensual'!K282+parametros_recargas!$K$91*'Plan mensual'!K283+parametros_recargas!$L$91*'Plan mensual'!K284</f>
        <v>606.068152067598</v>
      </c>
      <c r="J277" s="23" t="n">
        <f aca="false">parametros_recargas!$E$91*'Plan mensual'!L277+parametros_recargas!$F$91*'Plan mensual'!L278+parametros_recargas!$G$91*'Plan mensual'!L279+parametros_recargas!$H$91*'Plan mensual'!L280+parametros_recargas!$I$91*'Plan mensual'!L281+parametros_recargas!$J$91*'Plan mensual'!L282+parametros_recargas!$K$91*'Plan mensual'!L283+parametros_recargas!$L$91*'Plan mensual'!L284</f>
        <v>606.068152067598</v>
      </c>
      <c r="K277" s="23" t="n">
        <f aca="false">parametros_recargas!$E$91*'Plan mensual'!M277+parametros_recargas!$F$91*'Plan mensual'!M278+parametros_recargas!$G$91*'Plan mensual'!M279+parametros_recargas!$H$91*'Plan mensual'!M280+parametros_recargas!$I$91*'Plan mensual'!M281+parametros_recargas!$J$91*'Plan mensual'!M282+parametros_recargas!$K$91*'Plan mensual'!M283+parametros_recargas!$L$91*'Plan mensual'!M284</f>
        <v>606.068152067598</v>
      </c>
      <c r="L277" s="23" t="n">
        <f aca="false">parametros_recargas!$E$91*'Plan mensual'!N277+parametros_recargas!$F$91*'Plan mensual'!N278+parametros_recargas!$G$91*'Plan mensual'!N279+parametros_recargas!$H$91*'Plan mensual'!N280+parametros_recargas!$I$91*'Plan mensual'!N281+parametros_recargas!$J$91*'Plan mensual'!N282+parametros_recargas!$K$91*'Plan mensual'!N283+parametros_recargas!$L$91*'Plan mensual'!N284</f>
        <v>606.068152067598</v>
      </c>
      <c r="M277" s="23" t="n">
        <f aca="false">parametros_recargas!$E$91*'Plan mensual'!O277+parametros_recargas!$F$91*'Plan mensual'!O278+parametros_recargas!$G$91*'Plan mensual'!O279+parametros_recargas!$H$91*'Plan mensual'!O280+parametros_recargas!$I$91*'Plan mensual'!O281+parametros_recargas!$J$91*'Plan mensual'!O282+parametros_recargas!$K$91*'Plan mensual'!O283+parametros_recargas!$L$91*'Plan mensual'!O284</f>
        <v>606.068152067598</v>
      </c>
      <c r="N277" s="7" t="n">
        <f aca="false">SUM(B277:M277)</f>
        <v>7272.81782481117</v>
      </c>
      <c r="O277" s="24" t="n">
        <f aca="false">MAX(B277:M277)</f>
        <v>606.068152067598</v>
      </c>
      <c r="P277" s="15" t="n">
        <f aca="false">O277/parametros_recargas!$B$6</f>
        <v>4.04045434711732</v>
      </c>
    </row>
    <row r="278" customFormat="false" ht="15" hidden="false" customHeight="false" outlineLevel="0" collapsed="false">
      <c r="A278" s="12" t="str">
        <f aca="false">parametros_recargas!$B$92</f>
        <v>Ensamblaje y marbete — recinto</v>
      </c>
      <c r="B278" s="23" t="n">
        <f aca="false">parametros_recargas!$E$92*'Plan mensual'!D277+parametros_recargas!$F$92*'Plan mensual'!D278+parametros_recargas!$G$92*'Plan mensual'!D279+parametros_recargas!$H$92*'Plan mensual'!D280+parametros_recargas!$I$92*'Plan mensual'!D281+parametros_recargas!$J$92*'Plan mensual'!D282+parametros_recargas!$K$92*'Plan mensual'!D283+parametros_recargas!$L$92*'Plan mensual'!D284</f>
        <v>20309.2534875721</v>
      </c>
      <c r="C278" s="23" t="n">
        <f aca="false">parametros_recargas!$E$92*'Plan mensual'!E277+parametros_recargas!$F$92*'Plan mensual'!E278+parametros_recargas!$G$92*'Plan mensual'!E279+parametros_recargas!$H$92*'Plan mensual'!E280+parametros_recargas!$I$92*'Plan mensual'!E281+parametros_recargas!$J$92*'Plan mensual'!E282+parametros_recargas!$K$92*'Plan mensual'!E283+parametros_recargas!$L$92*'Plan mensual'!E284</f>
        <v>20309.2534875721</v>
      </c>
      <c r="D278" s="23" t="n">
        <f aca="false">parametros_recargas!$E$92*'Plan mensual'!F277+parametros_recargas!$F$92*'Plan mensual'!F278+parametros_recargas!$G$92*'Plan mensual'!F279+parametros_recargas!$H$92*'Plan mensual'!F280+parametros_recargas!$I$92*'Plan mensual'!F281+parametros_recargas!$J$92*'Plan mensual'!F282+parametros_recargas!$K$92*'Plan mensual'!F283+parametros_recargas!$L$92*'Plan mensual'!F284</f>
        <v>20309.2534875721</v>
      </c>
      <c r="E278" s="23" t="n">
        <f aca="false">parametros_recargas!$E$92*'Plan mensual'!G277+parametros_recargas!$F$92*'Plan mensual'!G278+parametros_recargas!$G$92*'Plan mensual'!G279+parametros_recargas!$H$92*'Plan mensual'!G280+parametros_recargas!$I$92*'Plan mensual'!G281+parametros_recargas!$J$92*'Plan mensual'!G282+parametros_recargas!$K$92*'Plan mensual'!G283+parametros_recargas!$L$92*'Plan mensual'!G284</f>
        <v>20309.2534875721</v>
      </c>
      <c r="F278" s="23" t="n">
        <f aca="false">parametros_recargas!$E$92*'Plan mensual'!H277+parametros_recargas!$F$92*'Plan mensual'!H278+parametros_recargas!$G$92*'Plan mensual'!H279+parametros_recargas!$H$92*'Plan mensual'!H280+parametros_recargas!$I$92*'Plan mensual'!H281+parametros_recargas!$J$92*'Plan mensual'!H282+parametros_recargas!$K$92*'Plan mensual'!H283+parametros_recargas!$L$92*'Plan mensual'!H284</f>
        <v>20309.2534875721</v>
      </c>
      <c r="G278" s="23" t="n">
        <f aca="false">parametros_recargas!$E$92*'Plan mensual'!I277+parametros_recargas!$F$92*'Plan mensual'!I278+parametros_recargas!$G$92*'Plan mensual'!I279+parametros_recargas!$H$92*'Plan mensual'!I280+parametros_recargas!$I$92*'Plan mensual'!I281+parametros_recargas!$J$92*'Plan mensual'!I282+parametros_recargas!$K$92*'Plan mensual'!I283+parametros_recargas!$L$92*'Plan mensual'!I284</f>
        <v>20309.2534875721</v>
      </c>
      <c r="H278" s="23" t="n">
        <f aca="false">parametros_recargas!$E$92*'Plan mensual'!J277+parametros_recargas!$F$92*'Plan mensual'!J278+parametros_recargas!$G$92*'Plan mensual'!J279+parametros_recargas!$H$92*'Plan mensual'!J280+parametros_recargas!$I$92*'Plan mensual'!J281+parametros_recargas!$J$92*'Plan mensual'!J282+parametros_recargas!$K$92*'Plan mensual'!J283+parametros_recargas!$L$92*'Plan mensual'!J284</f>
        <v>20309.2534875721</v>
      </c>
      <c r="I278" s="23" t="n">
        <f aca="false">parametros_recargas!$E$92*'Plan mensual'!K277+parametros_recargas!$F$92*'Plan mensual'!K278+parametros_recargas!$G$92*'Plan mensual'!K279+parametros_recargas!$H$92*'Plan mensual'!K280+parametros_recargas!$I$92*'Plan mensual'!K281+parametros_recargas!$J$92*'Plan mensual'!K282+parametros_recargas!$K$92*'Plan mensual'!K283+parametros_recargas!$L$92*'Plan mensual'!K284</f>
        <v>20309.2534875721</v>
      </c>
      <c r="J278" s="23" t="n">
        <f aca="false">parametros_recargas!$E$92*'Plan mensual'!L277+parametros_recargas!$F$92*'Plan mensual'!L278+parametros_recargas!$G$92*'Plan mensual'!L279+parametros_recargas!$H$92*'Plan mensual'!L280+parametros_recargas!$I$92*'Plan mensual'!L281+parametros_recargas!$J$92*'Plan mensual'!L282+parametros_recargas!$K$92*'Plan mensual'!L283+parametros_recargas!$L$92*'Plan mensual'!L284</f>
        <v>20309.2534875721</v>
      </c>
      <c r="K278" s="23" t="n">
        <f aca="false">parametros_recargas!$E$92*'Plan mensual'!M277+parametros_recargas!$F$92*'Plan mensual'!M278+parametros_recargas!$G$92*'Plan mensual'!M279+parametros_recargas!$H$92*'Plan mensual'!M280+parametros_recargas!$I$92*'Plan mensual'!M281+parametros_recargas!$J$92*'Plan mensual'!M282+parametros_recargas!$K$92*'Plan mensual'!M283+parametros_recargas!$L$92*'Plan mensual'!M284</f>
        <v>20309.2534875721</v>
      </c>
      <c r="L278" s="23" t="n">
        <f aca="false">parametros_recargas!$E$92*'Plan mensual'!N277+parametros_recargas!$F$92*'Plan mensual'!N278+parametros_recargas!$G$92*'Plan mensual'!N279+parametros_recargas!$H$92*'Plan mensual'!N280+parametros_recargas!$I$92*'Plan mensual'!N281+parametros_recargas!$J$92*'Plan mensual'!N282+parametros_recargas!$K$92*'Plan mensual'!N283+parametros_recargas!$L$92*'Plan mensual'!N284</f>
        <v>20309.2534875721</v>
      </c>
      <c r="M278" s="23" t="n">
        <f aca="false">parametros_recargas!$E$92*'Plan mensual'!O277+parametros_recargas!$F$92*'Plan mensual'!O278+parametros_recargas!$G$92*'Plan mensual'!O279+parametros_recargas!$H$92*'Plan mensual'!O280+parametros_recargas!$I$92*'Plan mensual'!O281+parametros_recargas!$J$92*'Plan mensual'!O282+parametros_recargas!$K$92*'Plan mensual'!O283+parametros_recargas!$L$92*'Plan mensual'!O284</f>
        <v>20309.2534875721</v>
      </c>
      <c r="N278" s="7" t="n">
        <f aca="false">SUM(B278:M278)</f>
        <v>243711.041850865</v>
      </c>
      <c r="O278" s="24" t="n">
        <f aca="false">MAX(B278:M278)</f>
        <v>20309.2534875721</v>
      </c>
      <c r="P278" s="15" t="n">
        <f aca="false">O278/parametros_recargas!$B$6</f>
        <v>135.39502325048</v>
      </c>
    </row>
    <row r="279" customFormat="false" ht="15" hidden="false" customHeight="false" outlineLevel="0" collapsed="false">
      <c r="A279" s="12" t="str">
        <f aca="false">parametros_recargas!$B$93</f>
        <v>Presurización — recinto</v>
      </c>
      <c r="B279" s="23" t="n">
        <f aca="false">parametros_recargas!$E$93*'Plan mensual'!D277+parametros_recargas!$F$93*'Plan mensual'!D278+parametros_recargas!$G$93*'Plan mensual'!D279+parametros_recargas!$H$93*'Plan mensual'!D280+parametros_recargas!$I$93*'Plan mensual'!D281+parametros_recargas!$J$93*'Plan mensual'!D282+parametros_recargas!$K$93*'Plan mensual'!D283+parametros_recargas!$L$93*'Plan mensual'!D284</f>
        <v>20309.2534875721</v>
      </c>
      <c r="C279" s="23" t="n">
        <f aca="false">parametros_recargas!$E$93*'Plan mensual'!E277+parametros_recargas!$F$93*'Plan mensual'!E278+parametros_recargas!$G$93*'Plan mensual'!E279+parametros_recargas!$H$93*'Plan mensual'!E280+parametros_recargas!$I$93*'Plan mensual'!E281+parametros_recargas!$J$93*'Plan mensual'!E282+parametros_recargas!$K$93*'Plan mensual'!E283+parametros_recargas!$L$93*'Plan mensual'!E284</f>
        <v>20309.2534875721</v>
      </c>
      <c r="D279" s="23" t="n">
        <f aca="false">parametros_recargas!$E$93*'Plan mensual'!F277+parametros_recargas!$F$93*'Plan mensual'!F278+parametros_recargas!$G$93*'Plan mensual'!F279+parametros_recargas!$H$93*'Plan mensual'!F280+parametros_recargas!$I$93*'Plan mensual'!F281+parametros_recargas!$J$93*'Plan mensual'!F282+parametros_recargas!$K$93*'Plan mensual'!F283+parametros_recargas!$L$93*'Plan mensual'!F284</f>
        <v>20309.2534875721</v>
      </c>
      <c r="E279" s="23" t="n">
        <f aca="false">parametros_recargas!$E$93*'Plan mensual'!G277+parametros_recargas!$F$93*'Plan mensual'!G278+parametros_recargas!$G$93*'Plan mensual'!G279+parametros_recargas!$H$93*'Plan mensual'!G280+parametros_recargas!$I$93*'Plan mensual'!G281+parametros_recargas!$J$93*'Plan mensual'!G282+parametros_recargas!$K$93*'Plan mensual'!G283+parametros_recargas!$L$93*'Plan mensual'!G284</f>
        <v>20309.2534875721</v>
      </c>
      <c r="F279" s="23" t="n">
        <f aca="false">parametros_recargas!$E$93*'Plan mensual'!H277+parametros_recargas!$F$93*'Plan mensual'!H278+parametros_recargas!$G$93*'Plan mensual'!H279+parametros_recargas!$H$93*'Plan mensual'!H280+parametros_recargas!$I$93*'Plan mensual'!H281+parametros_recargas!$J$93*'Plan mensual'!H282+parametros_recargas!$K$93*'Plan mensual'!H283+parametros_recargas!$L$93*'Plan mensual'!H284</f>
        <v>20309.2534875721</v>
      </c>
      <c r="G279" s="23" t="n">
        <f aca="false">parametros_recargas!$E$93*'Plan mensual'!I277+parametros_recargas!$F$93*'Plan mensual'!I278+parametros_recargas!$G$93*'Plan mensual'!I279+parametros_recargas!$H$93*'Plan mensual'!I280+parametros_recargas!$I$93*'Plan mensual'!I281+parametros_recargas!$J$93*'Plan mensual'!I282+parametros_recargas!$K$93*'Plan mensual'!I283+parametros_recargas!$L$93*'Plan mensual'!I284</f>
        <v>20309.2534875721</v>
      </c>
      <c r="H279" s="23" t="n">
        <f aca="false">parametros_recargas!$E$93*'Plan mensual'!J277+parametros_recargas!$F$93*'Plan mensual'!J278+parametros_recargas!$G$93*'Plan mensual'!J279+parametros_recargas!$H$93*'Plan mensual'!J280+parametros_recargas!$I$93*'Plan mensual'!J281+parametros_recargas!$J$93*'Plan mensual'!J282+parametros_recargas!$K$93*'Plan mensual'!J283+parametros_recargas!$L$93*'Plan mensual'!J284</f>
        <v>20309.2534875721</v>
      </c>
      <c r="I279" s="23" t="n">
        <f aca="false">parametros_recargas!$E$93*'Plan mensual'!K277+parametros_recargas!$F$93*'Plan mensual'!K278+parametros_recargas!$G$93*'Plan mensual'!K279+parametros_recargas!$H$93*'Plan mensual'!K280+parametros_recargas!$I$93*'Plan mensual'!K281+parametros_recargas!$J$93*'Plan mensual'!K282+parametros_recargas!$K$93*'Plan mensual'!K283+parametros_recargas!$L$93*'Plan mensual'!K284</f>
        <v>20309.2534875721</v>
      </c>
      <c r="J279" s="23" t="n">
        <f aca="false">parametros_recargas!$E$93*'Plan mensual'!L277+parametros_recargas!$F$93*'Plan mensual'!L278+parametros_recargas!$G$93*'Plan mensual'!L279+parametros_recargas!$H$93*'Plan mensual'!L280+parametros_recargas!$I$93*'Plan mensual'!L281+parametros_recargas!$J$93*'Plan mensual'!L282+parametros_recargas!$K$93*'Plan mensual'!L283+parametros_recargas!$L$93*'Plan mensual'!L284</f>
        <v>20309.2534875721</v>
      </c>
      <c r="K279" s="23" t="n">
        <f aca="false">parametros_recargas!$E$93*'Plan mensual'!M277+parametros_recargas!$F$93*'Plan mensual'!M278+parametros_recargas!$G$93*'Plan mensual'!M279+parametros_recargas!$H$93*'Plan mensual'!M280+parametros_recargas!$I$93*'Plan mensual'!M281+parametros_recargas!$J$93*'Plan mensual'!M282+parametros_recargas!$K$93*'Plan mensual'!M283+parametros_recargas!$L$93*'Plan mensual'!M284</f>
        <v>20309.2534875721</v>
      </c>
      <c r="L279" s="23" t="n">
        <f aca="false">parametros_recargas!$E$93*'Plan mensual'!N277+parametros_recargas!$F$93*'Plan mensual'!N278+parametros_recargas!$G$93*'Plan mensual'!N279+parametros_recargas!$H$93*'Plan mensual'!N280+parametros_recargas!$I$93*'Plan mensual'!N281+parametros_recargas!$J$93*'Plan mensual'!N282+parametros_recargas!$K$93*'Plan mensual'!N283+parametros_recargas!$L$93*'Plan mensual'!N284</f>
        <v>20309.2534875721</v>
      </c>
      <c r="M279" s="23" t="n">
        <f aca="false">parametros_recargas!$E$93*'Plan mensual'!O277+parametros_recargas!$F$93*'Plan mensual'!O278+parametros_recargas!$G$93*'Plan mensual'!O279+parametros_recargas!$H$93*'Plan mensual'!O280+parametros_recargas!$I$93*'Plan mensual'!O281+parametros_recargas!$J$93*'Plan mensual'!O282+parametros_recargas!$K$93*'Plan mensual'!O283+parametros_recargas!$L$93*'Plan mensual'!O284</f>
        <v>20309.2534875721</v>
      </c>
      <c r="N279" s="7" t="n">
        <f aca="false">SUM(B279:M279)</f>
        <v>243711.041850865</v>
      </c>
      <c r="O279" s="24" t="n">
        <f aca="false">MAX(B279:M279)</f>
        <v>20309.2534875721</v>
      </c>
      <c r="P279" s="15" t="n">
        <f aca="false">O279/parametros_recargas!$B$6</f>
        <v>135.39502325048</v>
      </c>
    </row>
    <row r="280" customFormat="false" ht="15" hidden="false" customHeight="false" outlineLevel="0" collapsed="false">
      <c r="A280" s="12" t="str">
        <f aca="false">parametros_recargas!$B$94</f>
        <v>Ensamblaje y presurización — zona general</v>
      </c>
      <c r="B280" s="23" t="n">
        <f aca="false">parametros_recargas!$E$94*'Plan mensual'!D277+parametros_recargas!$F$94*'Plan mensual'!D278+parametros_recargas!$G$94*'Plan mensual'!D279+parametros_recargas!$H$94*'Plan mensual'!D280+parametros_recargas!$I$94*'Plan mensual'!D281+parametros_recargas!$J$94*'Plan mensual'!D282+parametros_recargas!$K$94*'Plan mensual'!D283+parametros_recargas!$L$94*'Plan mensual'!D284</f>
        <v>1632.19333879852</v>
      </c>
      <c r="C280" s="23" t="n">
        <f aca="false">parametros_recargas!$E$94*'Plan mensual'!E277+parametros_recargas!$F$94*'Plan mensual'!E278+parametros_recargas!$G$94*'Plan mensual'!E279+parametros_recargas!$H$94*'Plan mensual'!E280+parametros_recargas!$I$94*'Plan mensual'!E281+parametros_recargas!$J$94*'Plan mensual'!E282+parametros_recargas!$K$94*'Plan mensual'!E283+parametros_recargas!$L$94*'Plan mensual'!E284</f>
        <v>1632.19333879852</v>
      </c>
      <c r="D280" s="23" t="n">
        <f aca="false">parametros_recargas!$E$94*'Plan mensual'!F277+parametros_recargas!$F$94*'Plan mensual'!F278+parametros_recargas!$G$94*'Plan mensual'!F279+parametros_recargas!$H$94*'Plan mensual'!F280+parametros_recargas!$I$94*'Plan mensual'!F281+parametros_recargas!$J$94*'Plan mensual'!F282+parametros_recargas!$K$94*'Plan mensual'!F283+parametros_recargas!$L$94*'Plan mensual'!F284</f>
        <v>1632.19333879852</v>
      </c>
      <c r="E280" s="23" t="n">
        <f aca="false">parametros_recargas!$E$94*'Plan mensual'!G277+parametros_recargas!$F$94*'Plan mensual'!G278+parametros_recargas!$G$94*'Plan mensual'!G279+parametros_recargas!$H$94*'Plan mensual'!G280+parametros_recargas!$I$94*'Plan mensual'!G281+parametros_recargas!$J$94*'Plan mensual'!G282+parametros_recargas!$K$94*'Plan mensual'!G283+parametros_recargas!$L$94*'Plan mensual'!G284</f>
        <v>1632.19333879852</v>
      </c>
      <c r="F280" s="23" t="n">
        <f aca="false">parametros_recargas!$E$94*'Plan mensual'!H277+parametros_recargas!$F$94*'Plan mensual'!H278+parametros_recargas!$G$94*'Plan mensual'!H279+parametros_recargas!$H$94*'Plan mensual'!H280+parametros_recargas!$I$94*'Plan mensual'!H281+parametros_recargas!$J$94*'Plan mensual'!H282+parametros_recargas!$K$94*'Plan mensual'!H283+parametros_recargas!$L$94*'Plan mensual'!H284</f>
        <v>1632.19333879852</v>
      </c>
      <c r="G280" s="23" t="n">
        <f aca="false">parametros_recargas!$E$94*'Plan mensual'!I277+parametros_recargas!$F$94*'Plan mensual'!I278+parametros_recargas!$G$94*'Plan mensual'!I279+parametros_recargas!$H$94*'Plan mensual'!I280+parametros_recargas!$I$94*'Plan mensual'!I281+parametros_recargas!$J$94*'Plan mensual'!I282+parametros_recargas!$K$94*'Plan mensual'!I283+parametros_recargas!$L$94*'Plan mensual'!I284</f>
        <v>1632.19333879852</v>
      </c>
      <c r="H280" s="23" t="n">
        <f aca="false">parametros_recargas!$E$94*'Plan mensual'!J277+parametros_recargas!$F$94*'Plan mensual'!J278+parametros_recargas!$G$94*'Plan mensual'!J279+parametros_recargas!$H$94*'Plan mensual'!J280+parametros_recargas!$I$94*'Plan mensual'!J281+parametros_recargas!$J$94*'Plan mensual'!J282+parametros_recargas!$K$94*'Plan mensual'!J283+parametros_recargas!$L$94*'Plan mensual'!J284</f>
        <v>1632.19333879852</v>
      </c>
      <c r="I280" s="23" t="n">
        <f aca="false">parametros_recargas!$E$94*'Plan mensual'!K277+parametros_recargas!$F$94*'Plan mensual'!K278+parametros_recargas!$G$94*'Plan mensual'!K279+parametros_recargas!$H$94*'Plan mensual'!K280+parametros_recargas!$I$94*'Plan mensual'!K281+parametros_recargas!$J$94*'Plan mensual'!K282+parametros_recargas!$K$94*'Plan mensual'!K283+parametros_recargas!$L$94*'Plan mensual'!K284</f>
        <v>1632.19333879852</v>
      </c>
      <c r="J280" s="23" t="n">
        <f aca="false">parametros_recargas!$E$94*'Plan mensual'!L277+parametros_recargas!$F$94*'Plan mensual'!L278+parametros_recargas!$G$94*'Plan mensual'!L279+parametros_recargas!$H$94*'Plan mensual'!L280+parametros_recargas!$I$94*'Plan mensual'!L281+parametros_recargas!$J$94*'Plan mensual'!L282+parametros_recargas!$K$94*'Plan mensual'!L283+parametros_recargas!$L$94*'Plan mensual'!L284</f>
        <v>1632.19333879852</v>
      </c>
      <c r="K280" s="23" t="n">
        <f aca="false">parametros_recargas!$E$94*'Plan mensual'!M277+parametros_recargas!$F$94*'Plan mensual'!M278+parametros_recargas!$G$94*'Plan mensual'!M279+parametros_recargas!$H$94*'Plan mensual'!M280+parametros_recargas!$I$94*'Plan mensual'!M281+parametros_recargas!$J$94*'Plan mensual'!M282+parametros_recargas!$K$94*'Plan mensual'!M283+parametros_recargas!$L$94*'Plan mensual'!M284</f>
        <v>1632.19333879852</v>
      </c>
      <c r="L280" s="23" t="n">
        <f aca="false">parametros_recargas!$E$94*'Plan mensual'!N277+parametros_recargas!$F$94*'Plan mensual'!N278+parametros_recargas!$G$94*'Plan mensual'!N279+parametros_recargas!$H$94*'Plan mensual'!N280+parametros_recargas!$I$94*'Plan mensual'!N281+parametros_recargas!$J$94*'Plan mensual'!N282+parametros_recargas!$K$94*'Plan mensual'!N283+parametros_recargas!$L$94*'Plan mensual'!N284</f>
        <v>1632.19333879852</v>
      </c>
      <c r="M280" s="23" t="n">
        <f aca="false">parametros_recargas!$E$94*'Plan mensual'!O277+parametros_recargas!$F$94*'Plan mensual'!O278+parametros_recargas!$G$94*'Plan mensual'!O279+parametros_recargas!$H$94*'Plan mensual'!O280+parametros_recargas!$I$94*'Plan mensual'!O281+parametros_recargas!$J$94*'Plan mensual'!O282+parametros_recargas!$K$94*'Plan mensual'!O283+parametros_recargas!$L$94*'Plan mensual'!O284</f>
        <v>1632.19333879852</v>
      </c>
      <c r="N280" s="7" t="n">
        <f aca="false">SUM(B280:M280)</f>
        <v>19586.3200655822</v>
      </c>
      <c r="O280" s="24" t="n">
        <f aca="false">MAX(B280:M280)</f>
        <v>1632.19333879852</v>
      </c>
      <c r="P280" s="15" t="n">
        <f aca="false">O280/parametros_recargas!$B$6</f>
        <v>10.8812889253235</v>
      </c>
    </row>
    <row r="281" customFormat="false" ht="15" hidden="false" customHeight="false" outlineLevel="0" collapsed="false">
      <c r="A281" s="12" t="str">
        <f aca="false">parametros_recargas!$B$95</f>
        <v>Carga y presurización de halogenado</v>
      </c>
      <c r="B281" s="23" t="n">
        <f aca="false">parametros_recargas!$E$95*'Plan mensual'!D277+parametros_recargas!$F$95*'Plan mensual'!D278+parametros_recargas!$G$95*'Plan mensual'!D279+parametros_recargas!$H$95*'Plan mensual'!D280+parametros_recargas!$I$95*'Plan mensual'!D281+parametros_recargas!$J$95*'Plan mensual'!D282+parametros_recargas!$K$95*'Plan mensual'!D283+parametros_recargas!$L$95*'Plan mensual'!D284</f>
        <v>20.8535471568525</v>
      </c>
      <c r="C281" s="23" t="n">
        <f aca="false">parametros_recargas!$E$95*'Plan mensual'!E277+parametros_recargas!$F$95*'Plan mensual'!E278+parametros_recargas!$G$95*'Plan mensual'!E279+parametros_recargas!$H$95*'Plan mensual'!E280+parametros_recargas!$I$95*'Plan mensual'!E281+parametros_recargas!$J$95*'Plan mensual'!E282+parametros_recargas!$K$95*'Plan mensual'!E283+parametros_recargas!$L$95*'Plan mensual'!E284</f>
        <v>20.8535471568525</v>
      </c>
      <c r="D281" s="23" t="n">
        <f aca="false">parametros_recargas!$E$95*'Plan mensual'!F277+parametros_recargas!$F$95*'Plan mensual'!F278+parametros_recargas!$G$95*'Plan mensual'!F279+parametros_recargas!$H$95*'Plan mensual'!F280+parametros_recargas!$I$95*'Plan mensual'!F281+parametros_recargas!$J$95*'Plan mensual'!F282+parametros_recargas!$K$95*'Plan mensual'!F283+parametros_recargas!$L$95*'Plan mensual'!F284</f>
        <v>20.8535471568525</v>
      </c>
      <c r="E281" s="23" t="n">
        <f aca="false">parametros_recargas!$E$95*'Plan mensual'!G277+parametros_recargas!$F$95*'Plan mensual'!G278+parametros_recargas!$G$95*'Plan mensual'!G279+parametros_recargas!$H$95*'Plan mensual'!G280+parametros_recargas!$I$95*'Plan mensual'!G281+parametros_recargas!$J$95*'Plan mensual'!G282+parametros_recargas!$K$95*'Plan mensual'!G283+parametros_recargas!$L$95*'Plan mensual'!G284</f>
        <v>20.8535471568525</v>
      </c>
      <c r="F281" s="23" t="n">
        <f aca="false">parametros_recargas!$E$95*'Plan mensual'!H277+parametros_recargas!$F$95*'Plan mensual'!H278+parametros_recargas!$G$95*'Plan mensual'!H279+parametros_recargas!$H$95*'Plan mensual'!H280+parametros_recargas!$I$95*'Plan mensual'!H281+parametros_recargas!$J$95*'Plan mensual'!H282+parametros_recargas!$K$95*'Plan mensual'!H283+parametros_recargas!$L$95*'Plan mensual'!H284</f>
        <v>20.8535471568525</v>
      </c>
      <c r="G281" s="23" t="n">
        <f aca="false">parametros_recargas!$E$95*'Plan mensual'!I277+parametros_recargas!$F$95*'Plan mensual'!I278+parametros_recargas!$G$95*'Plan mensual'!I279+parametros_recargas!$H$95*'Plan mensual'!I280+parametros_recargas!$I$95*'Plan mensual'!I281+parametros_recargas!$J$95*'Plan mensual'!I282+parametros_recargas!$K$95*'Plan mensual'!I283+parametros_recargas!$L$95*'Plan mensual'!I284</f>
        <v>20.8535471568525</v>
      </c>
      <c r="H281" s="23" t="n">
        <f aca="false">parametros_recargas!$E$95*'Plan mensual'!J277+parametros_recargas!$F$95*'Plan mensual'!J278+parametros_recargas!$G$95*'Plan mensual'!J279+parametros_recargas!$H$95*'Plan mensual'!J280+parametros_recargas!$I$95*'Plan mensual'!J281+parametros_recargas!$J$95*'Plan mensual'!J282+parametros_recargas!$K$95*'Plan mensual'!J283+parametros_recargas!$L$95*'Plan mensual'!J284</f>
        <v>20.8535471568525</v>
      </c>
      <c r="I281" s="23" t="n">
        <f aca="false">parametros_recargas!$E$95*'Plan mensual'!K277+parametros_recargas!$F$95*'Plan mensual'!K278+parametros_recargas!$G$95*'Plan mensual'!K279+parametros_recargas!$H$95*'Plan mensual'!K280+parametros_recargas!$I$95*'Plan mensual'!K281+parametros_recargas!$J$95*'Plan mensual'!K282+parametros_recargas!$K$95*'Plan mensual'!K283+parametros_recargas!$L$95*'Plan mensual'!K284</f>
        <v>20.8535471568525</v>
      </c>
      <c r="J281" s="23" t="n">
        <f aca="false">parametros_recargas!$E$95*'Plan mensual'!L277+parametros_recargas!$F$95*'Plan mensual'!L278+parametros_recargas!$G$95*'Plan mensual'!L279+parametros_recargas!$H$95*'Plan mensual'!L280+parametros_recargas!$I$95*'Plan mensual'!L281+parametros_recargas!$J$95*'Plan mensual'!L282+parametros_recargas!$K$95*'Plan mensual'!L283+parametros_recargas!$L$95*'Plan mensual'!L284</f>
        <v>20.8535471568525</v>
      </c>
      <c r="K281" s="23" t="n">
        <f aca="false">parametros_recargas!$E$95*'Plan mensual'!M277+parametros_recargas!$F$95*'Plan mensual'!M278+parametros_recargas!$G$95*'Plan mensual'!M279+parametros_recargas!$H$95*'Plan mensual'!M280+parametros_recargas!$I$95*'Plan mensual'!M281+parametros_recargas!$J$95*'Plan mensual'!M282+parametros_recargas!$K$95*'Plan mensual'!M283+parametros_recargas!$L$95*'Plan mensual'!M284</f>
        <v>20.8535471568525</v>
      </c>
      <c r="L281" s="23" t="n">
        <f aca="false">parametros_recargas!$E$95*'Plan mensual'!N277+parametros_recargas!$F$95*'Plan mensual'!N278+parametros_recargas!$G$95*'Plan mensual'!N279+parametros_recargas!$H$95*'Plan mensual'!N280+parametros_recargas!$I$95*'Plan mensual'!N281+parametros_recargas!$J$95*'Plan mensual'!N282+parametros_recargas!$K$95*'Plan mensual'!N283+parametros_recargas!$L$95*'Plan mensual'!N284</f>
        <v>20.8535471568525</v>
      </c>
      <c r="M281" s="23" t="n">
        <f aca="false">parametros_recargas!$E$95*'Plan mensual'!O277+parametros_recargas!$F$95*'Plan mensual'!O278+parametros_recargas!$G$95*'Plan mensual'!O279+parametros_recargas!$H$95*'Plan mensual'!O280+parametros_recargas!$I$95*'Plan mensual'!O281+parametros_recargas!$J$95*'Plan mensual'!O282+parametros_recargas!$K$95*'Plan mensual'!O283+parametros_recargas!$L$95*'Plan mensual'!O284</f>
        <v>20.8535471568525</v>
      </c>
      <c r="N281" s="7" t="n">
        <f aca="false">SUM(B281:M281)</f>
        <v>250.24256588223</v>
      </c>
      <c r="O281" s="24" t="n">
        <f aca="false">MAX(B281:M281)</f>
        <v>20.8535471568525</v>
      </c>
      <c r="P281" s="15" t="n">
        <f aca="false">O281/parametros_recargas!$B$6</f>
        <v>0.13902364771235</v>
      </c>
    </row>
    <row r="282" customFormat="false" ht="15" hidden="false" customHeight="false" outlineLevel="0" collapsed="false">
      <c r="A282" s="12" t="str">
        <f aca="false">parametros_recargas!$B$96</f>
        <v>Control de peso (CO₂ y halogenados sin recarga)</v>
      </c>
      <c r="B282" s="23" t="n">
        <f aca="false">parametros_recargas!$E$96*'Plan mensual'!D277+parametros_recargas!$F$96*'Plan mensual'!D278+parametros_recargas!$G$96*'Plan mensual'!D279+parametros_recargas!$H$96*'Plan mensual'!D280+parametros_recargas!$I$96*'Plan mensual'!D281+parametros_recargas!$J$96*'Plan mensual'!D282+parametros_recargas!$K$96*'Plan mensual'!D283+parametros_recargas!$L$96*'Plan mensual'!D284</f>
        <v>1476.71966296162</v>
      </c>
      <c r="C282" s="23" t="n">
        <f aca="false">parametros_recargas!$E$96*'Plan mensual'!E277+parametros_recargas!$F$96*'Plan mensual'!E278+parametros_recargas!$G$96*'Plan mensual'!E279+parametros_recargas!$H$96*'Plan mensual'!E280+parametros_recargas!$I$96*'Plan mensual'!E281+parametros_recargas!$J$96*'Plan mensual'!E282+parametros_recargas!$K$96*'Plan mensual'!E283+parametros_recargas!$L$96*'Plan mensual'!E284</f>
        <v>1476.71966296162</v>
      </c>
      <c r="D282" s="23" t="n">
        <f aca="false">parametros_recargas!$E$96*'Plan mensual'!F277+parametros_recargas!$F$96*'Plan mensual'!F278+parametros_recargas!$G$96*'Plan mensual'!F279+parametros_recargas!$H$96*'Plan mensual'!F280+parametros_recargas!$I$96*'Plan mensual'!F281+parametros_recargas!$J$96*'Plan mensual'!F282+parametros_recargas!$K$96*'Plan mensual'!F283+parametros_recargas!$L$96*'Plan mensual'!F284</f>
        <v>1476.71966296162</v>
      </c>
      <c r="E282" s="23" t="n">
        <f aca="false">parametros_recargas!$E$96*'Plan mensual'!G277+parametros_recargas!$F$96*'Plan mensual'!G278+parametros_recargas!$G$96*'Plan mensual'!G279+parametros_recargas!$H$96*'Plan mensual'!G280+parametros_recargas!$I$96*'Plan mensual'!G281+parametros_recargas!$J$96*'Plan mensual'!G282+parametros_recargas!$K$96*'Plan mensual'!G283+parametros_recargas!$L$96*'Plan mensual'!G284</f>
        <v>1476.71966296162</v>
      </c>
      <c r="F282" s="23" t="n">
        <f aca="false">parametros_recargas!$E$96*'Plan mensual'!H277+parametros_recargas!$F$96*'Plan mensual'!H278+parametros_recargas!$G$96*'Plan mensual'!H279+parametros_recargas!$H$96*'Plan mensual'!H280+parametros_recargas!$I$96*'Plan mensual'!H281+parametros_recargas!$J$96*'Plan mensual'!H282+parametros_recargas!$K$96*'Plan mensual'!H283+parametros_recargas!$L$96*'Plan mensual'!H284</f>
        <v>1476.71966296162</v>
      </c>
      <c r="G282" s="23" t="n">
        <f aca="false">parametros_recargas!$E$96*'Plan mensual'!I277+parametros_recargas!$F$96*'Plan mensual'!I278+parametros_recargas!$G$96*'Plan mensual'!I279+parametros_recargas!$H$96*'Plan mensual'!I280+parametros_recargas!$I$96*'Plan mensual'!I281+parametros_recargas!$J$96*'Plan mensual'!I282+parametros_recargas!$K$96*'Plan mensual'!I283+parametros_recargas!$L$96*'Plan mensual'!I284</f>
        <v>1476.71966296162</v>
      </c>
      <c r="H282" s="23" t="n">
        <f aca="false">parametros_recargas!$E$96*'Plan mensual'!J277+parametros_recargas!$F$96*'Plan mensual'!J278+parametros_recargas!$G$96*'Plan mensual'!J279+parametros_recargas!$H$96*'Plan mensual'!J280+parametros_recargas!$I$96*'Plan mensual'!J281+parametros_recargas!$J$96*'Plan mensual'!J282+parametros_recargas!$K$96*'Plan mensual'!J283+parametros_recargas!$L$96*'Plan mensual'!J284</f>
        <v>1476.71966296162</v>
      </c>
      <c r="I282" s="23" t="n">
        <f aca="false">parametros_recargas!$E$96*'Plan mensual'!K277+parametros_recargas!$F$96*'Plan mensual'!K278+parametros_recargas!$G$96*'Plan mensual'!K279+parametros_recargas!$H$96*'Plan mensual'!K280+parametros_recargas!$I$96*'Plan mensual'!K281+parametros_recargas!$J$96*'Plan mensual'!K282+parametros_recargas!$K$96*'Plan mensual'!K283+parametros_recargas!$L$96*'Plan mensual'!K284</f>
        <v>1476.71966296162</v>
      </c>
      <c r="J282" s="23" t="n">
        <f aca="false">parametros_recargas!$E$96*'Plan mensual'!L277+parametros_recargas!$F$96*'Plan mensual'!L278+parametros_recargas!$G$96*'Plan mensual'!L279+parametros_recargas!$H$96*'Plan mensual'!L280+parametros_recargas!$I$96*'Plan mensual'!L281+parametros_recargas!$J$96*'Plan mensual'!L282+parametros_recargas!$K$96*'Plan mensual'!L283+parametros_recargas!$L$96*'Plan mensual'!L284</f>
        <v>1476.71966296162</v>
      </c>
      <c r="K282" s="23" t="n">
        <f aca="false">parametros_recargas!$E$96*'Plan mensual'!M277+parametros_recargas!$F$96*'Plan mensual'!M278+parametros_recargas!$G$96*'Plan mensual'!M279+parametros_recargas!$H$96*'Plan mensual'!M280+parametros_recargas!$I$96*'Plan mensual'!M281+parametros_recargas!$J$96*'Plan mensual'!M282+parametros_recargas!$K$96*'Plan mensual'!M283+parametros_recargas!$L$96*'Plan mensual'!M284</f>
        <v>1476.71966296162</v>
      </c>
      <c r="L282" s="23" t="n">
        <f aca="false">parametros_recargas!$E$96*'Plan mensual'!N277+parametros_recargas!$F$96*'Plan mensual'!N278+parametros_recargas!$G$96*'Plan mensual'!N279+parametros_recargas!$H$96*'Plan mensual'!N280+parametros_recargas!$I$96*'Plan mensual'!N281+parametros_recargas!$J$96*'Plan mensual'!N282+parametros_recargas!$K$96*'Plan mensual'!N283+parametros_recargas!$L$96*'Plan mensual'!N284</f>
        <v>1476.71966296162</v>
      </c>
      <c r="M282" s="23" t="n">
        <f aca="false">parametros_recargas!$E$96*'Plan mensual'!O277+parametros_recargas!$F$96*'Plan mensual'!O278+parametros_recargas!$G$96*'Plan mensual'!O279+parametros_recargas!$H$96*'Plan mensual'!O280+parametros_recargas!$I$96*'Plan mensual'!O281+parametros_recargas!$J$96*'Plan mensual'!O282+parametros_recargas!$K$96*'Plan mensual'!O283+parametros_recargas!$L$96*'Plan mensual'!O284</f>
        <v>1476.71966296162</v>
      </c>
      <c r="N282" s="7" t="n">
        <f aca="false">SUM(B282:M282)</f>
        <v>17720.6359555394</v>
      </c>
      <c r="O282" s="24" t="n">
        <f aca="false">MAX(B282:M282)</f>
        <v>1476.71966296162</v>
      </c>
      <c r="P282" s="15" t="n">
        <f aca="false">O282/parametros_recargas!$B$6</f>
        <v>9.84479775307745</v>
      </c>
    </row>
    <row r="283" customFormat="false" ht="15" hidden="false" customHeight="false" outlineLevel="0" collapsed="false">
      <c r="A283" s="12" t="str">
        <f aca="false">parametros_recargas!$B$97</f>
        <v>Ensayo de pérdidas</v>
      </c>
      <c r="B283" s="23" t="n">
        <f aca="false">parametros_recargas!$E$97*'Plan mensual'!D277+parametros_recargas!$F$97*'Plan mensual'!D278+parametros_recargas!$G$97*'Plan mensual'!D279+parametros_recargas!$H$97*'Plan mensual'!D280+parametros_recargas!$I$97*'Plan mensual'!D281+parametros_recargas!$J$97*'Plan mensual'!D282+parametros_recargas!$K$97*'Plan mensual'!D283+parametros_recargas!$L$97*'Plan mensual'!D284</f>
        <v>23519.1778480101</v>
      </c>
      <c r="C283" s="23" t="n">
        <f aca="false">parametros_recargas!$E$97*'Plan mensual'!E277+parametros_recargas!$F$97*'Plan mensual'!E278+parametros_recargas!$G$97*'Plan mensual'!E279+parametros_recargas!$H$97*'Plan mensual'!E280+parametros_recargas!$I$97*'Plan mensual'!E281+parametros_recargas!$J$97*'Plan mensual'!E282+parametros_recargas!$K$97*'Plan mensual'!E283+parametros_recargas!$L$97*'Plan mensual'!E284</f>
        <v>23519.1778480101</v>
      </c>
      <c r="D283" s="23" t="n">
        <f aca="false">parametros_recargas!$E$97*'Plan mensual'!F277+parametros_recargas!$F$97*'Plan mensual'!F278+parametros_recargas!$G$97*'Plan mensual'!F279+parametros_recargas!$H$97*'Plan mensual'!F280+parametros_recargas!$I$97*'Plan mensual'!F281+parametros_recargas!$J$97*'Plan mensual'!F282+parametros_recargas!$K$97*'Plan mensual'!F283+parametros_recargas!$L$97*'Plan mensual'!F284</f>
        <v>23519.1778480101</v>
      </c>
      <c r="E283" s="23" t="n">
        <f aca="false">parametros_recargas!$E$97*'Plan mensual'!G277+parametros_recargas!$F$97*'Plan mensual'!G278+parametros_recargas!$G$97*'Plan mensual'!G279+parametros_recargas!$H$97*'Plan mensual'!G280+parametros_recargas!$I$97*'Plan mensual'!G281+parametros_recargas!$J$97*'Plan mensual'!G282+parametros_recargas!$K$97*'Plan mensual'!G283+parametros_recargas!$L$97*'Plan mensual'!G284</f>
        <v>23519.1778480101</v>
      </c>
      <c r="F283" s="23" t="n">
        <f aca="false">parametros_recargas!$E$97*'Plan mensual'!H277+parametros_recargas!$F$97*'Plan mensual'!H278+parametros_recargas!$G$97*'Plan mensual'!H279+parametros_recargas!$H$97*'Plan mensual'!H280+parametros_recargas!$I$97*'Plan mensual'!H281+parametros_recargas!$J$97*'Plan mensual'!H282+parametros_recargas!$K$97*'Plan mensual'!H283+parametros_recargas!$L$97*'Plan mensual'!H284</f>
        <v>23519.1778480101</v>
      </c>
      <c r="G283" s="23" t="n">
        <f aca="false">parametros_recargas!$E$97*'Plan mensual'!I277+parametros_recargas!$F$97*'Plan mensual'!I278+parametros_recargas!$G$97*'Plan mensual'!I279+parametros_recargas!$H$97*'Plan mensual'!I280+parametros_recargas!$I$97*'Plan mensual'!I281+parametros_recargas!$J$97*'Plan mensual'!I282+parametros_recargas!$K$97*'Plan mensual'!I283+parametros_recargas!$L$97*'Plan mensual'!I284</f>
        <v>23519.1778480101</v>
      </c>
      <c r="H283" s="23" t="n">
        <f aca="false">parametros_recargas!$E$97*'Plan mensual'!J277+parametros_recargas!$F$97*'Plan mensual'!J278+parametros_recargas!$G$97*'Plan mensual'!J279+parametros_recargas!$H$97*'Plan mensual'!J280+parametros_recargas!$I$97*'Plan mensual'!J281+parametros_recargas!$J$97*'Plan mensual'!J282+parametros_recargas!$K$97*'Plan mensual'!J283+parametros_recargas!$L$97*'Plan mensual'!J284</f>
        <v>23519.1778480101</v>
      </c>
      <c r="I283" s="23" t="n">
        <f aca="false">parametros_recargas!$E$97*'Plan mensual'!K277+parametros_recargas!$F$97*'Plan mensual'!K278+parametros_recargas!$G$97*'Plan mensual'!K279+parametros_recargas!$H$97*'Plan mensual'!K280+parametros_recargas!$I$97*'Plan mensual'!K281+parametros_recargas!$J$97*'Plan mensual'!K282+parametros_recargas!$K$97*'Plan mensual'!K283+parametros_recargas!$L$97*'Plan mensual'!K284</f>
        <v>23519.1778480101</v>
      </c>
      <c r="J283" s="23" t="n">
        <f aca="false">parametros_recargas!$E$97*'Plan mensual'!L277+parametros_recargas!$F$97*'Plan mensual'!L278+parametros_recargas!$G$97*'Plan mensual'!L279+parametros_recargas!$H$97*'Plan mensual'!L280+parametros_recargas!$I$97*'Plan mensual'!L281+parametros_recargas!$J$97*'Plan mensual'!L282+parametros_recargas!$K$97*'Plan mensual'!L283+parametros_recargas!$L$97*'Plan mensual'!L284</f>
        <v>23519.1778480101</v>
      </c>
      <c r="K283" s="23" t="n">
        <f aca="false">parametros_recargas!$E$97*'Plan mensual'!M277+parametros_recargas!$F$97*'Plan mensual'!M278+parametros_recargas!$G$97*'Plan mensual'!M279+parametros_recargas!$H$97*'Plan mensual'!M280+parametros_recargas!$I$97*'Plan mensual'!M281+parametros_recargas!$J$97*'Plan mensual'!M282+parametros_recargas!$K$97*'Plan mensual'!M283+parametros_recargas!$L$97*'Plan mensual'!M284</f>
        <v>23519.1778480101</v>
      </c>
      <c r="L283" s="23" t="n">
        <f aca="false">parametros_recargas!$E$97*'Plan mensual'!N277+parametros_recargas!$F$97*'Plan mensual'!N278+parametros_recargas!$G$97*'Plan mensual'!N279+parametros_recargas!$H$97*'Plan mensual'!N280+parametros_recargas!$I$97*'Plan mensual'!N281+parametros_recargas!$J$97*'Plan mensual'!N282+parametros_recargas!$K$97*'Plan mensual'!N283+parametros_recargas!$L$97*'Plan mensual'!N284</f>
        <v>23519.1778480101</v>
      </c>
      <c r="M283" s="23" t="n">
        <f aca="false">parametros_recargas!$E$97*'Plan mensual'!O277+parametros_recargas!$F$97*'Plan mensual'!O278+parametros_recargas!$G$97*'Plan mensual'!O279+parametros_recargas!$H$97*'Plan mensual'!O280+parametros_recargas!$I$97*'Plan mensual'!O281+parametros_recargas!$J$97*'Plan mensual'!O282+parametros_recargas!$K$97*'Plan mensual'!O283+parametros_recargas!$L$97*'Plan mensual'!O284</f>
        <v>23519.1778480101</v>
      </c>
      <c r="N283" s="7" t="n">
        <f aca="false">SUM(B283:M283)</f>
        <v>282230.134176122</v>
      </c>
      <c r="O283" s="24" t="n">
        <f aca="false">MAX(B283:M283)</f>
        <v>23519.1778480101</v>
      </c>
      <c r="P283" s="15" t="n">
        <f aca="false">O283/parametros_recargas!$B$6</f>
        <v>156.794518986734</v>
      </c>
    </row>
    <row r="284" customFormat="false" ht="15" hidden="false" customHeight="false" outlineLevel="0" collapsed="false">
      <c r="A284" s="12" t="str">
        <f aca="false">parametros_recargas!$B$98</f>
        <v>Precinto, etiqueta y despacho</v>
      </c>
      <c r="B284" s="23" t="n">
        <f aca="false">parametros_recargas!$E$98*'Plan mensual'!D277+parametros_recargas!$F$98*'Plan mensual'!D278+parametros_recargas!$G$98*'Plan mensual'!D279+parametros_recargas!$H$98*'Plan mensual'!D280+parametros_recargas!$I$98*'Plan mensual'!D281+parametros_recargas!$J$98*'Plan mensual'!D282+parametros_recargas!$K$98*'Plan mensual'!D283+parametros_recargas!$L$98*'Plan mensual'!D284</f>
        <v>23519.1778480101</v>
      </c>
      <c r="C284" s="23" t="n">
        <f aca="false">parametros_recargas!$E$98*'Plan mensual'!E277+parametros_recargas!$F$98*'Plan mensual'!E278+parametros_recargas!$G$98*'Plan mensual'!E279+parametros_recargas!$H$98*'Plan mensual'!E280+parametros_recargas!$I$98*'Plan mensual'!E281+parametros_recargas!$J$98*'Plan mensual'!E282+parametros_recargas!$K$98*'Plan mensual'!E283+parametros_recargas!$L$98*'Plan mensual'!E284</f>
        <v>23519.1778480101</v>
      </c>
      <c r="D284" s="23" t="n">
        <f aca="false">parametros_recargas!$E$98*'Plan mensual'!F277+parametros_recargas!$F$98*'Plan mensual'!F278+parametros_recargas!$G$98*'Plan mensual'!F279+parametros_recargas!$H$98*'Plan mensual'!F280+parametros_recargas!$I$98*'Plan mensual'!F281+parametros_recargas!$J$98*'Plan mensual'!F282+parametros_recargas!$K$98*'Plan mensual'!F283+parametros_recargas!$L$98*'Plan mensual'!F284</f>
        <v>23519.1778480101</v>
      </c>
      <c r="E284" s="23" t="n">
        <f aca="false">parametros_recargas!$E$98*'Plan mensual'!G277+parametros_recargas!$F$98*'Plan mensual'!G278+parametros_recargas!$G$98*'Plan mensual'!G279+parametros_recargas!$H$98*'Plan mensual'!G280+parametros_recargas!$I$98*'Plan mensual'!G281+parametros_recargas!$J$98*'Plan mensual'!G282+parametros_recargas!$K$98*'Plan mensual'!G283+parametros_recargas!$L$98*'Plan mensual'!G284</f>
        <v>23519.1778480101</v>
      </c>
      <c r="F284" s="23" t="n">
        <f aca="false">parametros_recargas!$E$98*'Plan mensual'!H277+parametros_recargas!$F$98*'Plan mensual'!H278+parametros_recargas!$G$98*'Plan mensual'!H279+parametros_recargas!$H$98*'Plan mensual'!H280+parametros_recargas!$I$98*'Plan mensual'!H281+parametros_recargas!$J$98*'Plan mensual'!H282+parametros_recargas!$K$98*'Plan mensual'!H283+parametros_recargas!$L$98*'Plan mensual'!H284</f>
        <v>23519.1778480101</v>
      </c>
      <c r="G284" s="23" t="n">
        <f aca="false">parametros_recargas!$E$98*'Plan mensual'!I277+parametros_recargas!$F$98*'Plan mensual'!I278+parametros_recargas!$G$98*'Plan mensual'!I279+parametros_recargas!$H$98*'Plan mensual'!I280+parametros_recargas!$I$98*'Plan mensual'!I281+parametros_recargas!$J$98*'Plan mensual'!I282+parametros_recargas!$K$98*'Plan mensual'!I283+parametros_recargas!$L$98*'Plan mensual'!I284</f>
        <v>23519.1778480101</v>
      </c>
      <c r="H284" s="23" t="n">
        <f aca="false">parametros_recargas!$E$98*'Plan mensual'!J277+parametros_recargas!$F$98*'Plan mensual'!J278+parametros_recargas!$G$98*'Plan mensual'!J279+parametros_recargas!$H$98*'Plan mensual'!J280+parametros_recargas!$I$98*'Plan mensual'!J281+parametros_recargas!$J$98*'Plan mensual'!J282+parametros_recargas!$K$98*'Plan mensual'!J283+parametros_recargas!$L$98*'Plan mensual'!J284</f>
        <v>23519.1778480101</v>
      </c>
      <c r="I284" s="23" t="n">
        <f aca="false">parametros_recargas!$E$98*'Plan mensual'!K277+parametros_recargas!$F$98*'Plan mensual'!K278+parametros_recargas!$G$98*'Plan mensual'!K279+parametros_recargas!$H$98*'Plan mensual'!K280+parametros_recargas!$I$98*'Plan mensual'!K281+parametros_recargas!$J$98*'Plan mensual'!K282+parametros_recargas!$K$98*'Plan mensual'!K283+parametros_recargas!$L$98*'Plan mensual'!K284</f>
        <v>23519.1778480101</v>
      </c>
      <c r="J284" s="23" t="n">
        <f aca="false">parametros_recargas!$E$98*'Plan mensual'!L277+parametros_recargas!$F$98*'Plan mensual'!L278+parametros_recargas!$G$98*'Plan mensual'!L279+parametros_recargas!$H$98*'Plan mensual'!L280+parametros_recargas!$I$98*'Plan mensual'!L281+parametros_recargas!$J$98*'Plan mensual'!L282+parametros_recargas!$K$98*'Plan mensual'!L283+parametros_recargas!$L$98*'Plan mensual'!L284</f>
        <v>23519.1778480101</v>
      </c>
      <c r="K284" s="23" t="n">
        <f aca="false">parametros_recargas!$E$98*'Plan mensual'!M277+parametros_recargas!$F$98*'Plan mensual'!M278+parametros_recargas!$G$98*'Plan mensual'!M279+parametros_recargas!$H$98*'Plan mensual'!M280+parametros_recargas!$I$98*'Plan mensual'!M281+parametros_recargas!$J$98*'Plan mensual'!M282+parametros_recargas!$K$98*'Plan mensual'!M283+parametros_recargas!$L$98*'Plan mensual'!M284</f>
        <v>23519.1778480101</v>
      </c>
      <c r="L284" s="23" t="n">
        <f aca="false">parametros_recargas!$E$98*'Plan mensual'!N277+parametros_recargas!$F$98*'Plan mensual'!N278+parametros_recargas!$G$98*'Plan mensual'!N279+parametros_recargas!$H$98*'Plan mensual'!N280+parametros_recargas!$I$98*'Plan mensual'!N281+parametros_recargas!$J$98*'Plan mensual'!N282+parametros_recargas!$K$98*'Plan mensual'!N283+parametros_recargas!$L$98*'Plan mensual'!N284</f>
        <v>23519.1778480101</v>
      </c>
      <c r="M284" s="23" t="n">
        <f aca="false">parametros_recargas!$E$98*'Plan mensual'!O277+parametros_recargas!$F$98*'Plan mensual'!O278+parametros_recargas!$G$98*'Plan mensual'!O279+parametros_recargas!$H$98*'Plan mensual'!O280+parametros_recargas!$I$98*'Plan mensual'!O281+parametros_recargas!$J$98*'Plan mensual'!O282+parametros_recargas!$K$98*'Plan mensual'!O283+parametros_recargas!$L$98*'Plan mensual'!O284</f>
        <v>23519.1778480101</v>
      </c>
      <c r="N284" s="7" t="n">
        <f aca="false">SUM(B284:M284)</f>
        <v>282230.134176122</v>
      </c>
      <c r="O284" s="24" t="n">
        <f aca="false">MAX(B284:M284)</f>
        <v>23519.1778480101</v>
      </c>
      <c r="P284" s="15" t="n">
        <f aca="false">O284/parametros_recargas!$B$6</f>
        <v>156.794518986734</v>
      </c>
    </row>
    <row r="285" customFormat="false" ht="15" hidden="false" customHeight="false" outlineLevel="0" collapsed="false">
      <c r="A285" s="12" t="str">
        <f aca="false">parametros_recargas!$B$99</f>
        <v>Inutilización y disposición final</v>
      </c>
      <c r="B285" s="23" t="n">
        <f aca="false">parametros_recargas!$E$99*'Plan mensual'!D277+parametros_recargas!$F$99*'Plan mensual'!D278+parametros_recargas!$G$99*'Plan mensual'!D279+parametros_recargas!$H$99*'Plan mensual'!D280+parametros_recargas!$I$99*'Plan mensual'!D281+parametros_recargas!$J$99*'Plan mensual'!D282+parametros_recargas!$K$99*'Plan mensual'!D283+parametros_recargas!$L$99*'Plan mensual'!D284</f>
        <v>1847.86377494817</v>
      </c>
      <c r="C285" s="23" t="n">
        <f aca="false">parametros_recargas!$E$99*'Plan mensual'!E277+parametros_recargas!$F$99*'Plan mensual'!E278+parametros_recargas!$G$99*'Plan mensual'!E279+parametros_recargas!$H$99*'Plan mensual'!E280+parametros_recargas!$I$99*'Plan mensual'!E281+parametros_recargas!$J$99*'Plan mensual'!E282+parametros_recargas!$K$99*'Plan mensual'!E283+parametros_recargas!$L$99*'Plan mensual'!E284</f>
        <v>1847.86377494817</v>
      </c>
      <c r="D285" s="23" t="n">
        <f aca="false">parametros_recargas!$E$99*'Plan mensual'!F277+parametros_recargas!$F$99*'Plan mensual'!F278+parametros_recargas!$G$99*'Plan mensual'!F279+parametros_recargas!$H$99*'Plan mensual'!F280+parametros_recargas!$I$99*'Plan mensual'!F281+parametros_recargas!$J$99*'Plan mensual'!F282+parametros_recargas!$K$99*'Plan mensual'!F283+parametros_recargas!$L$99*'Plan mensual'!F284</f>
        <v>1847.86377494817</v>
      </c>
      <c r="E285" s="23" t="n">
        <f aca="false">parametros_recargas!$E$99*'Plan mensual'!G277+parametros_recargas!$F$99*'Plan mensual'!G278+parametros_recargas!$G$99*'Plan mensual'!G279+parametros_recargas!$H$99*'Plan mensual'!G280+parametros_recargas!$I$99*'Plan mensual'!G281+parametros_recargas!$J$99*'Plan mensual'!G282+parametros_recargas!$K$99*'Plan mensual'!G283+parametros_recargas!$L$99*'Plan mensual'!G284</f>
        <v>1847.86377494817</v>
      </c>
      <c r="F285" s="23" t="n">
        <f aca="false">parametros_recargas!$E$99*'Plan mensual'!H277+parametros_recargas!$F$99*'Plan mensual'!H278+parametros_recargas!$G$99*'Plan mensual'!H279+parametros_recargas!$H$99*'Plan mensual'!H280+parametros_recargas!$I$99*'Plan mensual'!H281+parametros_recargas!$J$99*'Plan mensual'!H282+parametros_recargas!$K$99*'Plan mensual'!H283+parametros_recargas!$L$99*'Plan mensual'!H284</f>
        <v>1847.86377494817</v>
      </c>
      <c r="G285" s="23" t="n">
        <f aca="false">parametros_recargas!$E$99*'Plan mensual'!I277+parametros_recargas!$F$99*'Plan mensual'!I278+parametros_recargas!$G$99*'Plan mensual'!I279+parametros_recargas!$H$99*'Plan mensual'!I280+parametros_recargas!$I$99*'Plan mensual'!I281+parametros_recargas!$J$99*'Plan mensual'!I282+parametros_recargas!$K$99*'Plan mensual'!I283+parametros_recargas!$L$99*'Plan mensual'!I284</f>
        <v>1847.86377494817</v>
      </c>
      <c r="H285" s="23" t="n">
        <f aca="false">parametros_recargas!$E$99*'Plan mensual'!J277+parametros_recargas!$F$99*'Plan mensual'!J278+parametros_recargas!$G$99*'Plan mensual'!J279+parametros_recargas!$H$99*'Plan mensual'!J280+parametros_recargas!$I$99*'Plan mensual'!J281+parametros_recargas!$J$99*'Plan mensual'!J282+parametros_recargas!$K$99*'Plan mensual'!J283+parametros_recargas!$L$99*'Plan mensual'!J284</f>
        <v>1847.86377494817</v>
      </c>
      <c r="I285" s="23" t="n">
        <f aca="false">parametros_recargas!$E$99*'Plan mensual'!K277+parametros_recargas!$F$99*'Plan mensual'!K278+parametros_recargas!$G$99*'Plan mensual'!K279+parametros_recargas!$H$99*'Plan mensual'!K280+parametros_recargas!$I$99*'Plan mensual'!K281+parametros_recargas!$J$99*'Plan mensual'!K282+parametros_recargas!$K$99*'Plan mensual'!K283+parametros_recargas!$L$99*'Plan mensual'!K284</f>
        <v>1847.86377494817</v>
      </c>
      <c r="J285" s="23" t="n">
        <f aca="false">parametros_recargas!$E$99*'Plan mensual'!L277+parametros_recargas!$F$99*'Plan mensual'!L278+parametros_recargas!$G$99*'Plan mensual'!L279+parametros_recargas!$H$99*'Plan mensual'!L280+parametros_recargas!$I$99*'Plan mensual'!L281+parametros_recargas!$J$99*'Plan mensual'!L282+parametros_recargas!$K$99*'Plan mensual'!L283+parametros_recargas!$L$99*'Plan mensual'!L284</f>
        <v>1847.86377494817</v>
      </c>
      <c r="K285" s="23" t="n">
        <f aca="false">parametros_recargas!$E$99*'Plan mensual'!M277+parametros_recargas!$F$99*'Plan mensual'!M278+parametros_recargas!$G$99*'Plan mensual'!M279+parametros_recargas!$H$99*'Plan mensual'!M280+parametros_recargas!$I$99*'Plan mensual'!M281+parametros_recargas!$J$99*'Plan mensual'!M282+parametros_recargas!$K$99*'Plan mensual'!M283+parametros_recargas!$L$99*'Plan mensual'!M284</f>
        <v>1847.86377494817</v>
      </c>
      <c r="L285" s="23" t="n">
        <f aca="false">parametros_recargas!$E$99*'Plan mensual'!N277+parametros_recargas!$F$99*'Plan mensual'!N278+parametros_recargas!$G$99*'Plan mensual'!N279+parametros_recargas!$H$99*'Plan mensual'!N280+parametros_recargas!$I$99*'Plan mensual'!N281+parametros_recargas!$J$99*'Plan mensual'!N282+parametros_recargas!$K$99*'Plan mensual'!N283+parametros_recargas!$L$99*'Plan mensual'!N284</f>
        <v>1847.86377494817</v>
      </c>
      <c r="M285" s="23" t="n">
        <f aca="false">parametros_recargas!$E$99*'Plan mensual'!O277+parametros_recargas!$F$99*'Plan mensual'!O278+parametros_recargas!$G$99*'Plan mensual'!O279+parametros_recargas!$H$99*'Plan mensual'!O280+parametros_recargas!$I$99*'Plan mensual'!O281+parametros_recargas!$J$99*'Plan mensual'!O282+parametros_recargas!$K$99*'Plan mensual'!O283+parametros_recargas!$L$99*'Plan mensual'!O284</f>
        <v>1847.86377494817</v>
      </c>
      <c r="N285" s="7" t="n">
        <f aca="false">SUM(B285:M285)</f>
        <v>22174.365299378</v>
      </c>
      <c r="O285" s="24" t="n">
        <f aca="false">MAX(B285:M285)</f>
        <v>1847.86377494817</v>
      </c>
      <c r="P285" s="15" t="n">
        <f aca="false">O285/parametros_recargas!$B$6</f>
        <v>12.3190918329878</v>
      </c>
    </row>
    <row r="286" customFormat="false" ht="15" hidden="false" customHeight="false" outlineLevel="0" collapsed="false">
      <c r="A286" s="12" t="str">
        <f aca="false">parametros_recargas!$B$100</f>
        <v>PH de mangueras (CO₂ y rodantes)</v>
      </c>
      <c r="B286" s="23" t="n">
        <f aca="false">'Plan mensual'!D285</f>
        <v>1104.94195456296</v>
      </c>
      <c r="C286" s="23" t="n">
        <f aca="false">'Plan mensual'!E285</f>
        <v>1104.94195456296</v>
      </c>
      <c r="D286" s="23" t="n">
        <f aca="false">'Plan mensual'!F285</f>
        <v>1104.94195456296</v>
      </c>
      <c r="E286" s="23" t="n">
        <f aca="false">'Plan mensual'!G285</f>
        <v>1104.94195456296</v>
      </c>
      <c r="F286" s="23" t="n">
        <f aca="false">'Plan mensual'!H285</f>
        <v>1104.94195456296</v>
      </c>
      <c r="G286" s="23" t="n">
        <f aca="false">'Plan mensual'!I285</f>
        <v>1104.94195456296</v>
      </c>
      <c r="H286" s="23" t="n">
        <f aca="false">'Plan mensual'!J285</f>
        <v>1104.94195456296</v>
      </c>
      <c r="I286" s="23" t="n">
        <f aca="false">'Plan mensual'!K285</f>
        <v>1104.94195456296</v>
      </c>
      <c r="J286" s="23" t="n">
        <f aca="false">'Plan mensual'!L285</f>
        <v>1104.94195456296</v>
      </c>
      <c r="K286" s="23" t="n">
        <f aca="false">'Plan mensual'!M285</f>
        <v>1104.94195456296</v>
      </c>
      <c r="L286" s="23" t="n">
        <f aca="false">'Plan mensual'!N285</f>
        <v>1104.94195456296</v>
      </c>
      <c r="M286" s="23" t="n">
        <f aca="false">'Plan mensual'!O285</f>
        <v>1104.94195456296</v>
      </c>
      <c r="N286" s="7" t="n">
        <f aca="false">SUM(B286:M286)</f>
        <v>13259.3034547555</v>
      </c>
      <c r="O286" s="24" t="n">
        <f aca="false">MAX(B286:M286)</f>
        <v>1104.94195456296</v>
      </c>
      <c r="P286" s="15" t="n">
        <f aca="false">O286/parametros_recargas!$B$6</f>
        <v>7.36627969708638</v>
      </c>
    </row>
    <row r="289" customFormat="false" ht="23.85" hidden="false" customHeight="false" outlineLevel="0" collapsed="false">
      <c r="A289" s="3" t="s">
        <v>284</v>
      </c>
      <c r="B289" s="3" t="s">
        <v>120</v>
      </c>
      <c r="C289" s="3" t="s">
        <v>121</v>
      </c>
      <c r="D289" s="3" t="s">
        <v>122</v>
      </c>
      <c r="E289" s="3" t="s">
        <v>123</v>
      </c>
      <c r="F289" s="3" t="s">
        <v>124</v>
      </c>
      <c r="G289" s="3" t="s">
        <v>125</v>
      </c>
      <c r="H289" s="3" t="s">
        <v>126</v>
      </c>
      <c r="I289" s="3" t="s">
        <v>127</v>
      </c>
      <c r="J289" s="3" t="s">
        <v>128</v>
      </c>
      <c r="K289" s="3" t="s">
        <v>129</v>
      </c>
      <c r="L289" s="3" t="s">
        <v>130</v>
      </c>
      <c r="M289" s="3" t="s">
        <v>131</v>
      </c>
      <c r="N289" s="3" t="s">
        <v>273</v>
      </c>
      <c r="O289" s="3" t="s">
        <v>274</v>
      </c>
      <c r="P289" s="3" t="s">
        <v>275</v>
      </c>
    </row>
    <row r="290" customFormat="false" ht="15" hidden="false" customHeight="false" outlineLevel="0" collapsed="false">
      <c r="A290" s="12" t="str">
        <f aca="false">parametros_recargas!$B$72</f>
        <v>Recepción y registro</v>
      </c>
      <c r="B290" s="23" t="n">
        <f aca="false">parametros_recargas!$E$72*'Plan mensual'!D309+parametros_recargas!$F$72*'Plan mensual'!D310+parametros_recargas!$G$72*'Plan mensual'!D311+parametros_recargas!$H$72*'Plan mensual'!D312+parametros_recargas!$I$72*'Plan mensual'!D313+parametros_recargas!$J$72*'Plan mensual'!D314+parametros_recargas!$K$72*'Plan mensual'!D315+parametros_recargas!$L$72*'Plan mensual'!D316</f>
        <v>25560.9834847739</v>
      </c>
      <c r="C290" s="23" t="n">
        <f aca="false">parametros_recargas!$E$72*'Plan mensual'!E309+parametros_recargas!$F$72*'Plan mensual'!E310+parametros_recargas!$G$72*'Plan mensual'!E311+parametros_recargas!$H$72*'Plan mensual'!E312+parametros_recargas!$I$72*'Plan mensual'!E313+parametros_recargas!$J$72*'Plan mensual'!E314+parametros_recargas!$K$72*'Plan mensual'!E315+parametros_recargas!$L$72*'Plan mensual'!E316</f>
        <v>25560.9834847739</v>
      </c>
      <c r="D290" s="23" t="n">
        <f aca="false">parametros_recargas!$E$72*'Plan mensual'!F309+parametros_recargas!$F$72*'Plan mensual'!F310+parametros_recargas!$G$72*'Plan mensual'!F311+parametros_recargas!$H$72*'Plan mensual'!F312+parametros_recargas!$I$72*'Plan mensual'!F313+parametros_recargas!$J$72*'Plan mensual'!F314+parametros_recargas!$K$72*'Plan mensual'!F315+parametros_recargas!$L$72*'Plan mensual'!F316</f>
        <v>25560.9834847739</v>
      </c>
      <c r="E290" s="23" t="n">
        <f aca="false">parametros_recargas!$E$72*'Plan mensual'!G309+parametros_recargas!$F$72*'Plan mensual'!G310+parametros_recargas!$G$72*'Plan mensual'!G311+parametros_recargas!$H$72*'Plan mensual'!G312+parametros_recargas!$I$72*'Plan mensual'!G313+parametros_recargas!$J$72*'Plan mensual'!G314+parametros_recargas!$K$72*'Plan mensual'!G315+parametros_recargas!$L$72*'Plan mensual'!G316</f>
        <v>25560.9834847739</v>
      </c>
      <c r="F290" s="23" t="n">
        <f aca="false">parametros_recargas!$E$72*'Plan mensual'!H309+parametros_recargas!$F$72*'Plan mensual'!H310+parametros_recargas!$G$72*'Plan mensual'!H311+parametros_recargas!$H$72*'Plan mensual'!H312+parametros_recargas!$I$72*'Plan mensual'!H313+parametros_recargas!$J$72*'Plan mensual'!H314+parametros_recargas!$K$72*'Plan mensual'!H315+parametros_recargas!$L$72*'Plan mensual'!H316</f>
        <v>25560.9834847739</v>
      </c>
      <c r="G290" s="23" t="n">
        <f aca="false">parametros_recargas!$E$72*'Plan mensual'!I309+parametros_recargas!$F$72*'Plan mensual'!I310+parametros_recargas!$G$72*'Plan mensual'!I311+parametros_recargas!$H$72*'Plan mensual'!I312+parametros_recargas!$I$72*'Plan mensual'!I313+parametros_recargas!$J$72*'Plan mensual'!I314+parametros_recargas!$K$72*'Plan mensual'!I315+parametros_recargas!$L$72*'Plan mensual'!I316</f>
        <v>25560.9834847739</v>
      </c>
      <c r="H290" s="23" t="n">
        <f aca="false">parametros_recargas!$E$72*'Plan mensual'!J309+parametros_recargas!$F$72*'Plan mensual'!J310+parametros_recargas!$G$72*'Plan mensual'!J311+parametros_recargas!$H$72*'Plan mensual'!J312+parametros_recargas!$I$72*'Plan mensual'!J313+parametros_recargas!$J$72*'Plan mensual'!J314+parametros_recargas!$K$72*'Plan mensual'!J315+parametros_recargas!$L$72*'Plan mensual'!J316</f>
        <v>25560.9834847739</v>
      </c>
      <c r="I290" s="23" t="n">
        <f aca="false">parametros_recargas!$E$72*'Plan mensual'!K309+parametros_recargas!$F$72*'Plan mensual'!K310+parametros_recargas!$G$72*'Plan mensual'!K311+parametros_recargas!$H$72*'Plan mensual'!K312+parametros_recargas!$I$72*'Plan mensual'!K313+parametros_recargas!$J$72*'Plan mensual'!K314+parametros_recargas!$K$72*'Plan mensual'!K315+parametros_recargas!$L$72*'Plan mensual'!K316</f>
        <v>25560.9834847739</v>
      </c>
      <c r="J290" s="23" t="n">
        <f aca="false">parametros_recargas!$E$72*'Plan mensual'!L309+parametros_recargas!$F$72*'Plan mensual'!L310+parametros_recargas!$G$72*'Plan mensual'!L311+parametros_recargas!$H$72*'Plan mensual'!L312+parametros_recargas!$I$72*'Plan mensual'!L313+parametros_recargas!$J$72*'Plan mensual'!L314+parametros_recargas!$K$72*'Plan mensual'!L315+parametros_recargas!$L$72*'Plan mensual'!L316</f>
        <v>25560.9834847739</v>
      </c>
      <c r="K290" s="23" t="n">
        <f aca="false">parametros_recargas!$E$72*'Plan mensual'!M309+parametros_recargas!$F$72*'Plan mensual'!M310+parametros_recargas!$G$72*'Plan mensual'!M311+parametros_recargas!$H$72*'Plan mensual'!M312+parametros_recargas!$I$72*'Plan mensual'!M313+parametros_recargas!$J$72*'Plan mensual'!M314+parametros_recargas!$K$72*'Plan mensual'!M315+parametros_recargas!$L$72*'Plan mensual'!M316</f>
        <v>25560.9834847739</v>
      </c>
      <c r="L290" s="23" t="n">
        <f aca="false">parametros_recargas!$E$72*'Plan mensual'!N309+parametros_recargas!$F$72*'Plan mensual'!N310+parametros_recargas!$G$72*'Plan mensual'!N311+parametros_recargas!$H$72*'Plan mensual'!N312+parametros_recargas!$I$72*'Plan mensual'!N313+parametros_recargas!$J$72*'Plan mensual'!N314+parametros_recargas!$K$72*'Plan mensual'!N315+parametros_recargas!$L$72*'Plan mensual'!N316</f>
        <v>25560.9834847739</v>
      </c>
      <c r="M290" s="23" t="n">
        <f aca="false">parametros_recargas!$E$72*'Plan mensual'!O309+parametros_recargas!$F$72*'Plan mensual'!O310+parametros_recargas!$G$72*'Plan mensual'!O311+parametros_recargas!$H$72*'Plan mensual'!O312+parametros_recargas!$I$72*'Plan mensual'!O313+parametros_recargas!$J$72*'Plan mensual'!O314+parametros_recargas!$K$72*'Plan mensual'!O315+parametros_recargas!$L$72*'Plan mensual'!O316</f>
        <v>25560.9834847739</v>
      </c>
      <c r="N290" s="7" t="n">
        <f aca="false">SUM(B290:M290)</f>
        <v>306731.801817287</v>
      </c>
      <c r="O290" s="24" t="n">
        <f aca="false">MAX(B290:M290)</f>
        <v>25560.9834847739</v>
      </c>
      <c r="P290" s="15" t="n">
        <f aca="false">O290/parametros_recargas!$B$6</f>
        <v>170.406556565159</v>
      </c>
    </row>
    <row r="291" customFormat="false" ht="15" hidden="false" customHeight="false" outlineLevel="0" collapsed="false">
      <c r="A291" s="12" t="str">
        <f aca="false">parametros_recargas!$B$73</f>
        <v>Inspección visual</v>
      </c>
      <c r="B291" s="23" t="n">
        <f aca="false">parametros_recargas!$E$73*'Plan mensual'!D309+parametros_recargas!$F$73*'Plan mensual'!D310+parametros_recargas!$G$73*'Plan mensual'!D311+parametros_recargas!$H$73*'Plan mensual'!D312+parametros_recargas!$I$73*'Plan mensual'!D313+parametros_recargas!$J$73*'Plan mensual'!D314+parametros_recargas!$K$73*'Plan mensual'!D315+parametros_recargas!$L$73*'Plan mensual'!D316</f>
        <v>25560.9834847739</v>
      </c>
      <c r="C291" s="23" t="n">
        <f aca="false">parametros_recargas!$E$73*'Plan mensual'!E309+parametros_recargas!$F$73*'Plan mensual'!E310+parametros_recargas!$G$73*'Plan mensual'!E311+parametros_recargas!$H$73*'Plan mensual'!E312+parametros_recargas!$I$73*'Plan mensual'!E313+parametros_recargas!$J$73*'Plan mensual'!E314+parametros_recargas!$K$73*'Plan mensual'!E315+parametros_recargas!$L$73*'Plan mensual'!E316</f>
        <v>25560.9834847739</v>
      </c>
      <c r="D291" s="23" t="n">
        <f aca="false">parametros_recargas!$E$73*'Plan mensual'!F309+parametros_recargas!$F$73*'Plan mensual'!F310+parametros_recargas!$G$73*'Plan mensual'!F311+parametros_recargas!$H$73*'Plan mensual'!F312+parametros_recargas!$I$73*'Plan mensual'!F313+parametros_recargas!$J$73*'Plan mensual'!F314+parametros_recargas!$K$73*'Plan mensual'!F315+parametros_recargas!$L$73*'Plan mensual'!F316</f>
        <v>25560.9834847739</v>
      </c>
      <c r="E291" s="23" t="n">
        <f aca="false">parametros_recargas!$E$73*'Plan mensual'!G309+parametros_recargas!$F$73*'Plan mensual'!G310+parametros_recargas!$G$73*'Plan mensual'!G311+parametros_recargas!$H$73*'Plan mensual'!G312+parametros_recargas!$I$73*'Plan mensual'!G313+parametros_recargas!$J$73*'Plan mensual'!G314+parametros_recargas!$K$73*'Plan mensual'!G315+parametros_recargas!$L$73*'Plan mensual'!G316</f>
        <v>25560.9834847739</v>
      </c>
      <c r="F291" s="23" t="n">
        <f aca="false">parametros_recargas!$E$73*'Plan mensual'!H309+parametros_recargas!$F$73*'Plan mensual'!H310+parametros_recargas!$G$73*'Plan mensual'!H311+parametros_recargas!$H$73*'Plan mensual'!H312+parametros_recargas!$I$73*'Plan mensual'!H313+parametros_recargas!$J$73*'Plan mensual'!H314+parametros_recargas!$K$73*'Plan mensual'!H315+parametros_recargas!$L$73*'Plan mensual'!H316</f>
        <v>25560.9834847739</v>
      </c>
      <c r="G291" s="23" t="n">
        <f aca="false">parametros_recargas!$E$73*'Plan mensual'!I309+parametros_recargas!$F$73*'Plan mensual'!I310+parametros_recargas!$G$73*'Plan mensual'!I311+parametros_recargas!$H$73*'Plan mensual'!I312+parametros_recargas!$I$73*'Plan mensual'!I313+parametros_recargas!$J$73*'Plan mensual'!I314+parametros_recargas!$K$73*'Plan mensual'!I315+parametros_recargas!$L$73*'Plan mensual'!I316</f>
        <v>25560.9834847739</v>
      </c>
      <c r="H291" s="23" t="n">
        <f aca="false">parametros_recargas!$E$73*'Plan mensual'!J309+parametros_recargas!$F$73*'Plan mensual'!J310+parametros_recargas!$G$73*'Plan mensual'!J311+parametros_recargas!$H$73*'Plan mensual'!J312+parametros_recargas!$I$73*'Plan mensual'!J313+parametros_recargas!$J$73*'Plan mensual'!J314+parametros_recargas!$K$73*'Plan mensual'!J315+parametros_recargas!$L$73*'Plan mensual'!J316</f>
        <v>25560.9834847739</v>
      </c>
      <c r="I291" s="23" t="n">
        <f aca="false">parametros_recargas!$E$73*'Plan mensual'!K309+parametros_recargas!$F$73*'Plan mensual'!K310+parametros_recargas!$G$73*'Plan mensual'!K311+parametros_recargas!$H$73*'Plan mensual'!K312+parametros_recargas!$I$73*'Plan mensual'!K313+parametros_recargas!$J$73*'Plan mensual'!K314+parametros_recargas!$K$73*'Plan mensual'!K315+parametros_recargas!$L$73*'Plan mensual'!K316</f>
        <v>25560.9834847739</v>
      </c>
      <c r="J291" s="23" t="n">
        <f aca="false">parametros_recargas!$E$73*'Plan mensual'!L309+parametros_recargas!$F$73*'Plan mensual'!L310+parametros_recargas!$G$73*'Plan mensual'!L311+parametros_recargas!$H$73*'Plan mensual'!L312+parametros_recargas!$I$73*'Plan mensual'!L313+parametros_recargas!$J$73*'Plan mensual'!L314+parametros_recargas!$K$73*'Plan mensual'!L315+parametros_recargas!$L$73*'Plan mensual'!L316</f>
        <v>25560.9834847739</v>
      </c>
      <c r="K291" s="23" t="n">
        <f aca="false">parametros_recargas!$E$73*'Plan mensual'!M309+parametros_recargas!$F$73*'Plan mensual'!M310+parametros_recargas!$G$73*'Plan mensual'!M311+parametros_recargas!$H$73*'Plan mensual'!M312+parametros_recargas!$I$73*'Plan mensual'!M313+parametros_recargas!$J$73*'Plan mensual'!M314+parametros_recargas!$K$73*'Plan mensual'!M315+parametros_recargas!$L$73*'Plan mensual'!M316</f>
        <v>25560.9834847739</v>
      </c>
      <c r="L291" s="23" t="n">
        <f aca="false">parametros_recargas!$E$73*'Plan mensual'!N309+parametros_recargas!$F$73*'Plan mensual'!N310+parametros_recargas!$G$73*'Plan mensual'!N311+parametros_recargas!$H$73*'Plan mensual'!N312+parametros_recargas!$I$73*'Plan mensual'!N313+parametros_recargas!$J$73*'Plan mensual'!N314+parametros_recargas!$K$73*'Plan mensual'!N315+parametros_recargas!$L$73*'Plan mensual'!N316</f>
        <v>25560.9834847739</v>
      </c>
      <c r="M291" s="23" t="n">
        <f aca="false">parametros_recargas!$E$73*'Plan mensual'!O309+parametros_recargas!$F$73*'Plan mensual'!O310+parametros_recargas!$G$73*'Plan mensual'!O311+parametros_recargas!$H$73*'Plan mensual'!O312+parametros_recargas!$I$73*'Plan mensual'!O313+parametros_recargas!$J$73*'Plan mensual'!O314+parametros_recargas!$K$73*'Plan mensual'!O315+parametros_recargas!$L$73*'Plan mensual'!O316</f>
        <v>25560.9834847739</v>
      </c>
      <c r="N291" s="7" t="n">
        <f aca="false">SUM(B291:M291)</f>
        <v>306731.801817287</v>
      </c>
      <c r="O291" s="24" t="n">
        <f aca="false">MAX(B291:M291)</f>
        <v>25560.9834847739</v>
      </c>
      <c r="P291" s="15" t="n">
        <f aca="false">O291/parametros_recargas!$B$6</f>
        <v>170.406556565159</v>
      </c>
    </row>
    <row r="292" customFormat="false" ht="15" hidden="false" customHeight="false" outlineLevel="0" collapsed="false">
      <c r="A292" s="12" t="str">
        <f aca="false">parametros_recargas!$B$74</f>
        <v>Descarga ABC — ruta recuperable</v>
      </c>
      <c r="B292" s="23" t="n">
        <f aca="false">parametros_recargas!$E$74*'Plan mensual'!D309+parametros_recargas!$F$74*'Plan mensual'!D310+parametros_recargas!$G$74*'Plan mensual'!D311+parametros_recargas!$H$74*'Plan mensual'!D312+parametros_recargas!$I$74*'Plan mensual'!D313+parametros_recargas!$J$74*'Plan mensual'!D314+parametros_recargas!$K$74*'Plan mensual'!D315+parametros_recargas!$L$74*'Plan mensual'!D316</f>
        <v>18659.7466749851</v>
      </c>
      <c r="C292" s="23" t="n">
        <f aca="false">parametros_recargas!$E$74*'Plan mensual'!E309+parametros_recargas!$F$74*'Plan mensual'!E310+parametros_recargas!$G$74*'Plan mensual'!E311+parametros_recargas!$H$74*'Plan mensual'!E312+parametros_recargas!$I$74*'Plan mensual'!E313+parametros_recargas!$J$74*'Plan mensual'!E314+parametros_recargas!$K$74*'Plan mensual'!E315+parametros_recargas!$L$74*'Plan mensual'!E316</f>
        <v>18659.7466749851</v>
      </c>
      <c r="D292" s="23" t="n">
        <f aca="false">parametros_recargas!$E$74*'Plan mensual'!F309+parametros_recargas!$F$74*'Plan mensual'!F310+parametros_recargas!$G$74*'Plan mensual'!F311+parametros_recargas!$H$74*'Plan mensual'!F312+parametros_recargas!$I$74*'Plan mensual'!F313+parametros_recargas!$J$74*'Plan mensual'!F314+parametros_recargas!$K$74*'Plan mensual'!F315+parametros_recargas!$L$74*'Plan mensual'!F316</f>
        <v>18659.7466749851</v>
      </c>
      <c r="E292" s="23" t="n">
        <f aca="false">parametros_recargas!$E$74*'Plan mensual'!G309+parametros_recargas!$F$74*'Plan mensual'!G310+parametros_recargas!$G$74*'Plan mensual'!G311+parametros_recargas!$H$74*'Plan mensual'!G312+parametros_recargas!$I$74*'Plan mensual'!G313+parametros_recargas!$J$74*'Plan mensual'!G314+parametros_recargas!$K$74*'Plan mensual'!G315+parametros_recargas!$L$74*'Plan mensual'!G316</f>
        <v>18659.7466749851</v>
      </c>
      <c r="F292" s="23" t="n">
        <f aca="false">parametros_recargas!$E$74*'Plan mensual'!H309+parametros_recargas!$F$74*'Plan mensual'!H310+parametros_recargas!$G$74*'Plan mensual'!H311+parametros_recargas!$H$74*'Plan mensual'!H312+parametros_recargas!$I$74*'Plan mensual'!H313+parametros_recargas!$J$74*'Plan mensual'!H314+parametros_recargas!$K$74*'Plan mensual'!H315+parametros_recargas!$L$74*'Plan mensual'!H316</f>
        <v>18659.7466749851</v>
      </c>
      <c r="G292" s="23" t="n">
        <f aca="false">parametros_recargas!$E$74*'Plan mensual'!I309+parametros_recargas!$F$74*'Plan mensual'!I310+parametros_recargas!$G$74*'Plan mensual'!I311+parametros_recargas!$H$74*'Plan mensual'!I312+parametros_recargas!$I$74*'Plan mensual'!I313+parametros_recargas!$J$74*'Plan mensual'!I314+parametros_recargas!$K$74*'Plan mensual'!I315+parametros_recargas!$L$74*'Plan mensual'!I316</f>
        <v>18659.7466749851</v>
      </c>
      <c r="H292" s="23" t="n">
        <f aca="false">parametros_recargas!$E$74*'Plan mensual'!J309+parametros_recargas!$F$74*'Plan mensual'!J310+parametros_recargas!$G$74*'Plan mensual'!J311+parametros_recargas!$H$74*'Plan mensual'!J312+parametros_recargas!$I$74*'Plan mensual'!J313+parametros_recargas!$J$74*'Plan mensual'!J314+parametros_recargas!$K$74*'Plan mensual'!J315+parametros_recargas!$L$74*'Plan mensual'!J316</f>
        <v>18659.7466749851</v>
      </c>
      <c r="I292" s="23" t="n">
        <f aca="false">parametros_recargas!$E$74*'Plan mensual'!K309+parametros_recargas!$F$74*'Plan mensual'!K310+parametros_recargas!$G$74*'Plan mensual'!K311+parametros_recargas!$H$74*'Plan mensual'!K312+parametros_recargas!$I$74*'Plan mensual'!K313+parametros_recargas!$J$74*'Plan mensual'!K314+parametros_recargas!$K$74*'Plan mensual'!K315+parametros_recargas!$L$74*'Plan mensual'!K316</f>
        <v>18659.7466749851</v>
      </c>
      <c r="J292" s="23" t="n">
        <f aca="false">parametros_recargas!$E$74*'Plan mensual'!L309+parametros_recargas!$F$74*'Plan mensual'!L310+parametros_recargas!$G$74*'Plan mensual'!L311+parametros_recargas!$H$74*'Plan mensual'!L312+parametros_recargas!$I$74*'Plan mensual'!L313+parametros_recargas!$J$74*'Plan mensual'!L314+parametros_recargas!$K$74*'Plan mensual'!L315+parametros_recargas!$L$74*'Plan mensual'!L316</f>
        <v>18659.7466749851</v>
      </c>
      <c r="K292" s="23" t="n">
        <f aca="false">parametros_recargas!$E$74*'Plan mensual'!M309+parametros_recargas!$F$74*'Plan mensual'!M310+parametros_recargas!$G$74*'Plan mensual'!M311+parametros_recargas!$H$74*'Plan mensual'!M312+parametros_recargas!$I$74*'Plan mensual'!M313+parametros_recargas!$J$74*'Plan mensual'!M314+parametros_recargas!$K$74*'Plan mensual'!M315+parametros_recargas!$L$74*'Plan mensual'!M316</f>
        <v>18659.7466749851</v>
      </c>
      <c r="L292" s="23" t="n">
        <f aca="false">parametros_recargas!$E$74*'Plan mensual'!N309+parametros_recargas!$F$74*'Plan mensual'!N310+parametros_recargas!$G$74*'Plan mensual'!N311+parametros_recargas!$H$74*'Plan mensual'!N312+parametros_recargas!$I$74*'Plan mensual'!N313+parametros_recargas!$J$74*'Plan mensual'!N314+parametros_recargas!$K$74*'Plan mensual'!N315+parametros_recargas!$L$74*'Plan mensual'!N316</f>
        <v>18659.7466749851</v>
      </c>
      <c r="M292" s="23" t="n">
        <f aca="false">parametros_recargas!$E$74*'Plan mensual'!O309+parametros_recargas!$F$74*'Plan mensual'!O310+parametros_recargas!$G$74*'Plan mensual'!O311+parametros_recargas!$H$74*'Plan mensual'!O312+parametros_recargas!$I$74*'Plan mensual'!O313+parametros_recargas!$J$74*'Plan mensual'!O314+parametros_recargas!$K$74*'Plan mensual'!O315+parametros_recargas!$L$74*'Plan mensual'!O316</f>
        <v>18659.7466749851</v>
      </c>
      <c r="N292" s="7" t="n">
        <f aca="false">SUM(B292:M292)</f>
        <v>223916.960099821</v>
      </c>
      <c r="O292" s="24" t="n">
        <f aca="false">MAX(B292:M292)</f>
        <v>18659.7466749851</v>
      </c>
      <c r="P292" s="15" t="n">
        <f aca="false">O292/parametros_recargas!$B$6</f>
        <v>124.398311166567</v>
      </c>
    </row>
    <row r="293" customFormat="false" ht="15" hidden="false" customHeight="false" outlineLevel="0" collapsed="false">
      <c r="A293" s="12" t="str">
        <f aca="false">parametros_recargas!$B$75</f>
        <v>Descarga ABC — ruta descarte</v>
      </c>
      <c r="B293" s="23" t="n">
        <f aca="false">parametros_recargas!$E$75*'Plan mensual'!D309+parametros_recargas!$F$75*'Plan mensual'!D310+parametros_recargas!$G$75*'Plan mensual'!D311+parametros_recargas!$H$75*'Plan mensual'!D312+parametros_recargas!$I$75*'Plan mensual'!D313+parametros_recargas!$J$75*'Plan mensual'!D314+parametros_recargas!$K$75*'Plan mensual'!D315+parametros_recargas!$L$75*'Plan mensual'!D316</f>
        <v>2195.26431470413</v>
      </c>
      <c r="C293" s="23" t="n">
        <f aca="false">parametros_recargas!$E$75*'Plan mensual'!E309+parametros_recargas!$F$75*'Plan mensual'!E310+parametros_recargas!$G$75*'Plan mensual'!E311+parametros_recargas!$H$75*'Plan mensual'!E312+parametros_recargas!$I$75*'Plan mensual'!E313+parametros_recargas!$J$75*'Plan mensual'!E314+parametros_recargas!$K$75*'Plan mensual'!E315+parametros_recargas!$L$75*'Plan mensual'!E316</f>
        <v>2195.26431470413</v>
      </c>
      <c r="D293" s="23" t="n">
        <f aca="false">parametros_recargas!$E$75*'Plan mensual'!F309+parametros_recargas!$F$75*'Plan mensual'!F310+parametros_recargas!$G$75*'Plan mensual'!F311+parametros_recargas!$H$75*'Plan mensual'!F312+parametros_recargas!$I$75*'Plan mensual'!F313+parametros_recargas!$J$75*'Plan mensual'!F314+parametros_recargas!$K$75*'Plan mensual'!F315+parametros_recargas!$L$75*'Plan mensual'!F316</f>
        <v>2195.26431470413</v>
      </c>
      <c r="E293" s="23" t="n">
        <f aca="false">parametros_recargas!$E$75*'Plan mensual'!G309+parametros_recargas!$F$75*'Plan mensual'!G310+parametros_recargas!$G$75*'Plan mensual'!G311+parametros_recargas!$H$75*'Plan mensual'!G312+parametros_recargas!$I$75*'Plan mensual'!G313+parametros_recargas!$J$75*'Plan mensual'!G314+parametros_recargas!$K$75*'Plan mensual'!G315+parametros_recargas!$L$75*'Plan mensual'!G316</f>
        <v>2195.26431470413</v>
      </c>
      <c r="F293" s="23" t="n">
        <f aca="false">parametros_recargas!$E$75*'Plan mensual'!H309+parametros_recargas!$F$75*'Plan mensual'!H310+parametros_recargas!$G$75*'Plan mensual'!H311+parametros_recargas!$H$75*'Plan mensual'!H312+parametros_recargas!$I$75*'Plan mensual'!H313+parametros_recargas!$J$75*'Plan mensual'!H314+parametros_recargas!$K$75*'Plan mensual'!H315+parametros_recargas!$L$75*'Plan mensual'!H316</f>
        <v>2195.26431470413</v>
      </c>
      <c r="G293" s="23" t="n">
        <f aca="false">parametros_recargas!$E$75*'Plan mensual'!I309+parametros_recargas!$F$75*'Plan mensual'!I310+parametros_recargas!$G$75*'Plan mensual'!I311+parametros_recargas!$H$75*'Plan mensual'!I312+parametros_recargas!$I$75*'Plan mensual'!I313+parametros_recargas!$J$75*'Plan mensual'!I314+parametros_recargas!$K$75*'Plan mensual'!I315+parametros_recargas!$L$75*'Plan mensual'!I316</f>
        <v>2195.26431470413</v>
      </c>
      <c r="H293" s="23" t="n">
        <f aca="false">parametros_recargas!$E$75*'Plan mensual'!J309+parametros_recargas!$F$75*'Plan mensual'!J310+parametros_recargas!$G$75*'Plan mensual'!J311+parametros_recargas!$H$75*'Plan mensual'!J312+parametros_recargas!$I$75*'Plan mensual'!J313+parametros_recargas!$J$75*'Plan mensual'!J314+parametros_recargas!$K$75*'Plan mensual'!J315+parametros_recargas!$L$75*'Plan mensual'!J316</f>
        <v>2195.26431470413</v>
      </c>
      <c r="I293" s="23" t="n">
        <f aca="false">parametros_recargas!$E$75*'Plan mensual'!K309+parametros_recargas!$F$75*'Plan mensual'!K310+parametros_recargas!$G$75*'Plan mensual'!K311+parametros_recargas!$H$75*'Plan mensual'!K312+parametros_recargas!$I$75*'Plan mensual'!K313+parametros_recargas!$J$75*'Plan mensual'!K314+parametros_recargas!$K$75*'Plan mensual'!K315+parametros_recargas!$L$75*'Plan mensual'!K316</f>
        <v>2195.26431470413</v>
      </c>
      <c r="J293" s="23" t="n">
        <f aca="false">parametros_recargas!$E$75*'Plan mensual'!L309+parametros_recargas!$F$75*'Plan mensual'!L310+parametros_recargas!$G$75*'Plan mensual'!L311+parametros_recargas!$H$75*'Plan mensual'!L312+parametros_recargas!$I$75*'Plan mensual'!L313+parametros_recargas!$J$75*'Plan mensual'!L314+parametros_recargas!$K$75*'Plan mensual'!L315+parametros_recargas!$L$75*'Plan mensual'!L316</f>
        <v>2195.26431470413</v>
      </c>
      <c r="K293" s="23" t="n">
        <f aca="false">parametros_recargas!$E$75*'Plan mensual'!M309+parametros_recargas!$F$75*'Plan mensual'!M310+parametros_recargas!$G$75*'Plan mensual'!M311+parametros_recargas!$H$75*'Plan mensual'!M312+parametros_recargas!$I$75*'Plan mensual'!M313+parametros_recargas!$J$75*'Plan mensual'!M314+parametros_recargas!$K$75*'Plan mensual'!M315+parametros_recargas!$L$75*'Plan mensual'!M316</f>
        <v>2195.26431470413</v>
      </c>
      <c r="L293" s="23" t="n">
        <f aca="false">parametros_recargas!$E$75*'Plan mensual'!N309+parametros_recargas!$F$75*'Plan mensual'!N310+parametros_recargas!$G$75*'Plan mensual'!N311+parametros_recargas!$H$75*'Plan mensual'!N312+parametros_recargas!$I$75*'Plan mensual'!N313+parametros_recargas!$J$75*'Plan mensual'!N314+parametros_recargas!$K$75*'Plan mensual'!N315+parametros_recargas!$L$75*'Plan mensual'!N316</f>
        <v>2195.26431470413</v>
      </c>
      <c r="M293" s="23" t="n">
        <f aca="false">parametros_recargas!$E$75*'Plan mensual'!O309+parametros_recargas!$F$75*'Plan mensual'!O310+parametros_recargas!$G$75*'Plan mensual'!O311+parametros_recargas!$H$75*'Plan mensual'!O312+parametros_recargas!$I$75*'Plan mensual'!O313+parametros_recargas!$J$75*'Plan mensual'!O314+parametros_recargas!$K$75*'Plan mensual'!O315+parametros_recargas!$L$75*'Plan mensual'!O316</f>
        <v>2195.26431470413</v>
      </c>
      <c r="N293" s="7" t="n">
        <f aca="false">SUM(B293:M293)</f>
        <v>26343.1717764495</v>
      </c>
      <c r="O293" s="24" t="n">
        <f aca="false">MAX(B293:M293)</f>
        <v>2195.26431470413</v>
      </c>
      <c r="P293" s="15" t="n">
        <f aca="false">O293/parametros_recargas!$B$6</f>
        <v>14.6350954313609</v>
      </c>
    </row>
    <row r="294" customFormat="false" ht="15" hidden="false" customHeight="false" outlineLevel="0" collapsed="false">
      <c r="A294" s="12" t="str">
        <f aca="false">parametros_recargas!$B$76</f>
        <v>Descarga BC</v>
      </c>
      <c r="B294" s="23" t="n">
        <f aca="false">parametros_recargas!$E$76*'Plan mensual'!D309+parametros_recargas!$F$76*'Plan mensual'!D310+parametros_recargas!$G$76*'Plan mensual'!D311+parametros_recargas!$H$76*'Plan mensual'!D312+parametros_recargas!$I$76*'Plan mensual'!D313+parametros_recargas!$J$76*'Plan mensual'!D314+parametros_recargas!$K$76*'Plan mensual'!D315+parametros_recargas!$L$76*'Plan mensual'!D316</f>
        <v>36.5935705830839</v>
      </c>
      <c r="C294" s="23" t="n">
        <f aca="false">parametros_recargas!$E$76*'Plan mensual'!E309+parametros_recargas!$F$76*'Plan mensual'!E310+parametros_recargas!$G$76*'Plan mensual'!E311+parametros_recargas!$H$76*'Plan mensual'!E312+parametros_recargas!$I$76*'Plan mensual'!E313+parametros_recargas!$J$76*'Plan mensual'!E314+parametros_recargas!$K$76*'Plan mensual'!E315+parametros_recargas!$L$76*'Plan mensual'!E316</f>
        <v>36.5935705830839</v>
      </c>
      <c r="D294" s="23" t="n">
        <f aca="false">parametros_recargas!$E$76*'Plan mensual'!F309+parametros_recargas!$F$76*'Plan mensual'!F310+parametros_recargas!$G$76*'Plan mensual'!F311+parametros_recargas!$H$76*'Plan mensual'!F312+parametros_recargas!$I$76*'Plan mensual'!F313+parametros_recargas!$J$76*'Plan mensual'!F314+parametros_recargas!$K$76*'Plan mensual'!F315+parametros_recargas!$L$76*'Plan mensual'!F316</f>
        <v>36.5935705830839</v>
      </c>
      <c r="E294" s="23" t="n">
        <f aca="false">parametros_recargas!$E$76*'Plan mensual'!G309+parametros_recargas!$F$76*'Plan mensual'!G310+parametros_recargas!$G$76*'Plan mensual'!G311+parametros_recargas!$H$76*'Plan mensual'!G312+parametros_recargas!$I$76*'Plan mensual'!G313+parametros_recargas!$J$76*'Plan mensual'!G314+parametros_recargas!$K$76*'Plan mensual'!G315+parametros_recargas!$L$76*'Plan mensual'!G316</f>
        <v>36.5935705830839</v>
      </c>
      <c r="F294" s="23" t="n">
        <f aca="false">parametros_recargas!$E$76*'Plan mensual'!H309+parametros_recargas!$F$76*'Plan mensual'!H310+parametros_recargas!$G$76*'Plan mensual'!H311+parametros_recargas!$H$76*'Plan mensual'!H312+parametros_recargas!$I$76*'Plan mensual'!H313+parametros_recargas!$J$76*'Plan mensual'!H314+parametros_recargas!$K$76*'Plan mensual'!H315+parametros_recargas!$L$76*'Plan mensual'!H316</f>
        <v>36.5935705830839</v>
      </c>
      <c r="G294" s="23" t="n">
        <f aca="false">parametros_recargas!$E$76*'Plan mensual'!I309+parametros_recargas!$F$76*'Plan mensual'!I310+parametros_recargas!$G$76*'Plan mensual'!I311+parametros_recargas!$H$76*'Plan mensual'!I312+parametros_recargas!$I$76*'Plan mensual'!I313+parametros_recargas!$J$76*'Plan mensual'!I314+parametros_recargas!$K$76*'Plan mensual'!I315+parametros_recargas!$L$76*'Plan mensual'!I316</f>
        <v>36.5935705830839</v>
      </c>
      <c r="H294" s="23" t="n">
        <f aca="false">parametros_recargas!$E$76*'Plan mensual'!J309+parametros_recargas!$F$76*'Plan mensual'!J310+parametros_recargas!$G$76*'Plan mensual'!J311+parametros_recargas!$H$76*'Plan mensual'!J312+parametros_recargas!$I$76*'Plan mensual'!J313+parametros_recargas!$J$76*'Plan mensual'!J314+parametros_recargas!$K$76*'Plan mensual'!J315+parametros_recargas!$L$76*'Plan mensual'!J316</f>
        <v>36.5935705830839</v>
      </c>
      <c r="I294" s="23" t="n">
        <f aca="false">parametros_recargas!$E$76*'Plan mensual'!K309+parametros_recargas!$F$76*'Plan mensual'!K310+parametros_recargas!$G$76*'Plan mensual'!K311+parametros_recargas!$H$76*'Plan mensual'!K312+parametros_recargas!$I$76*'Plan mensual'!K313+parametros_recargas!$J$76*'Plan mensual'!K314+parametros_recargas!$K$76*'Plan mensual'!K315+parametros_recargas!$L$76*'Plan mensual'!K316</f>
        <v>36.5935705830839</v>
      </c>
      <c r="J294" s="23" t="n">
        <f aca="false">parametros_recargas!$E$76*'Plan mensual'!L309+parametros_recargas!$F$76*'Plan mensual'!L310+parametros_recargas!$G$76*'Plan mensual'!L311+parametros_recargas!$H$76*'Plan mensual'!L312+parametros_recargas!$I$76*'Plan mensual'!L313+parametros_recargas!$J$76*'Plan mensual'!L314+parametros_recargas!$K$76*'Plan mensual'!L315+parametros_recargas!$L$76*'Plan mensual'!L316</f>
        <v>36.5935705830839</v>
      </c>
      <c r="K294" s="23" t="n">
        <f aca="false">parametros_recargas!$E$76*'Plan mensual'!M309+parametros_recargas!$F$76*'Plan mensual'!M310+parametros_recargas!$G$76*'Plan mensual'!M311+parametros_recargas!$H$76*'Plan mensual'!M312+parametros_recargas!$I$76*'Plan mensual'!M313+parametros_recargas!$J$76*'Plan mensual'!M314+parametros_recargas!$K$76*'Plan mensual'!M315+parametros_recargas!$L$76*'Plan mensual'!M316</f>
        <v>36.5935705830839</v>
      </c>
      <c r="L294" s="23" t="n">
        <f aca="false">parametros_recargas!$E$76*'Plan mensual'!N309+parametros_recargas!$F$76*'Plan mensual'!N310+parametros_recargas!$G$76*'Plan mensual'!N311+parametros_recargas!$H$76*'Plan mensual'!N312+parametros_recargas!$I$76*'Plan mensual'!N313+parametros_recargas!$J$76*'Plan mensual'!N314+parametros_recargas!$K$76*'Plan mensual'!N315+parametros_recargas!$L$76*'Plan mensual'!N316</f>
        <v>36.5935705830839</v>
      </c>
      <c r="M294" s="23" t="n">
        <f aca="false">parametros_recargas!$E$76*'Plan mensual'!O309+parametros_recargas!$F$76*'Plan mensual'!O310+parametros_recargas!$G$76*'Plan mensual'!O311+parametros_recargas!$H$76*'Plan mensual'!O312+parametros_recargas!$I$76*'Plan mensual'!O313+parametros_recargas!$J$76*'Plan mensual'!O314+parametros_recargas!$K$76*'Plan mensual'!O315+parametros_recargas!$L$76*'Plan mensual'!O316</f>
        <v>36.5935705830839</v>
      </c>
      <c r="N294" s="7" t="n">
        <f aca="false">SUM(B294:M294)</f>
        <v>439.122846997007</v>
      </c>
      <c r="O294" s="24" t="n">
        <f aca="false">MAX(B294:M294)</f>
        <v>36.5935705830839</v>
      </c>
      <c r="P294" s="15" t="n">
        <f aca="false">O294/parametros_recargas!$B$6</f>
        <v>0.243957137220559</v>
      </c>
    </row>
    <row r="295" customFormat="false" ht="15" hidden="false" customHeight="false" outlineLevel="0" collapsed="false">
      <c r="A295" s="12" t="str">
        <f aca="false">parametros_recargas!$B$77</f>
        <v>Descarga de agua / AFFF / sales K</v>
      </c>
      <c r="B295" s="23" t="n">
        <f aca="false">parametros_recargas!$E$77*'Plan mensual'!D309+parametros_recargas!$F$77*'Plan mensual'!D310+parametros_recargas!$G$77*'Plan mensual'!D311+parametros_recargas!$H$77*'Plan mensual'!D312+parametros_recargas!$I$77*'Plan mensual'!D313+parametros_recargas!$J$77*'Plan mensual'!D314+parametros_recargas!$K$77*'Plan mensual'!D315+parametros_recargas!$L$77*'Plan mensual'!D316</f>
        <v>1220.59437567569</v>
      </c>
      <c r="C295" s="23" t="n">
        <f aca="false">parametros_recargas!$E$77*'Plan mensual'!E309+parametros_recargas!$F$77*'Plan mensual'!E310+parametros_recargas!$G$77*'Plan mensual'!E311+parametros_recargas!$H$77*'Plan mensual'!E312+parametros_recargas!$I$77*'Plan mensual'!E313+parametros_recargas!$J$77*'Plan mensual'!E314+parametros_recargas!$K$77*'Plan mensual'!E315+parametros_recargas!$L$77*'Plan mensual'!E316</f>
        <v>1220.59437567569</v>
      </c>
      <c r="D295" s="23" t="n">
        <f aca="false">parametros_recargas!$E$77*'Plan mensual'!F309+parametros_recargas!$F$77*'Plan mensual'!F310+parametros_recargas!$G$77*'Plan mensual'!F311+parametros_recargas!$H$77*'Plan mensual'!F312+parametros_recargas!$I$77*'Plan mensual'!F313+parametros_recargas!$J$77*'Plan mensual'!F314+parametros_recargas!$K$77*'Plan mensual'!F315+parametros_recargas!$L$77*'Plan mensual'!F316</f>
        <v>1220.59437567569</v>
      </c>
      <c r="E295" s="23" t="n">
        <f aca="false">parametros_recargas!$E$77*'Plan mensual'!G309+parametros_recargas!$F$77*'Plan mensual'!G310+parametros_recargas!$G$77*'Plan mensual'!G311+parametros_recargas!$H$77*'Plan mensual'!G312+parametros_recargas!$I$77*'Plan mensual'!G313+parametros_recargas!$J$77*'Plan mensual'!G314+parametros_recargas!$K$77*'Plan mensual'!G315+parametros_recargas!$L$77*'Plan mensual'!G316</f>
        <v>1220.59437567569</v>
      </c>
      <c r="F295" s="23" t="n">
        <f aca="false">parametros_recargas!$E$77*'Plan mensual'!H309+parametros_recargas!$F$77*'Plan mensual'!H310+parametros_recargas!$G$77*'Plan mensual'!H311+parametros_recargas!$H$77*'Plan mensual'!H312+parametros_recargas!$I$77*'Plan mensual'!H313+parametros_recargas!$J$77*'Plan mensual'!H314+parametros_recargas!$K$77*'Plan mensual'!H315+parametros_recargas!$L$77*'Plan mensual'!H316</f>
        <v>1220.59437567569</v>
      </c>
      <c r="G295" s="23" t="n">
        <f aca="false">parametros_recargas!$E$77*'Plan mensual'!I309+parametros_recargas!$F$77*'Plan mensual'!I310+parametros_recargas!$G$77*'Plan mensual'!I311+parametros_recargas!$H$77*'Plan mensual'!I312+parametros_recargas!$I$77*'Plan mensual'!I313+parametros_recargas!$J$77*'Plan mensual'!I314+parametros_recargas!$K$77*'Plan mensual'!I315+parametros_recargas!$L$77*'Plan mensual'!I316</f>
        <v>1220.59437567569</v>
      </c>
      <c r="H295" s="23" t="n">
        <f aca="false">parametros_recargas!$E$77*'Plan mensual'!J309+parametros_recargas!$F$77*'Plan mensual'!J310+parametros_recargas!$G$77*'Plan mensual'!J311+parametros_recargas!$H$77*'Plan mensual'!J312+parametros_recargas!$I$77*'Plan mensual'!J313+parametros_recargas!$J$77*'Plan mensual'!J314+parametros_recargas!$K$77*'Plan mensual'!J315+parametros_recargas!$L$77*'Plan mensual'!J316</f>
        <v>1220.59437567569</v>
      </c>
      <c r="I295" s="23" t="n">
        <f aca="false">parametros_recargas!$E$77*'Plan mensual'!K309+parametros_recargas!$F$77*'Plan mensual'!K310+parametros_recargas!$G$77*'Plan mensual'!K311+parametros_recargas!$H$77*'Plan mensual'!K312+parametros_recargas!$I$77*'Plan mensual'!K313+parametros_recargas!$J$77*'Plan mensual'!K314+parametros_recargas!$K$77*'Plan mensual'!K315+parametros_recargas!$L$77*'Plan mensual'!K316</f>
        <v>1220.59437567569</v>
      </c>
      <c r="J295" s="23" t="n">
        <f aca="false">parametros_recargas!$E$77*'Plan mensual'!L309+parametros_recargas!$F$77*'Plan mensual'!L310+parametros_recargas!$G$77*'Plan mensual'!L311+parametros_recargas!$H$77*'Plan mensual'!L312+parametros_recargas!$I$77*'Plan mensual'!L313+parametros_recargas!$J$77*'Plan mensual'!L314+parametros_recargas!$K$77*'Plan mensual'!L315+parametros_recargas!$L$77*'Plan mensual'!L316</f>
        <v>1220.59437567569</v>
      </c>
      <c r="K295" s="23" t="n">
        <f aca="false">parametros_recargas!$E$77*'Plan mensual'!M309+parametros_recargas!$F$77*'Plan mensual'!M310+parametros_recargas!$G$77*'Plan mensual'!M311+parametros_recargas!$H$77*'Plan mensual'!M312+parametros_recargas!$I$77*'Plan mensual'!M313+parametros_recargas!$J$77*'Plan mensual'!M314+parametros_recargas!$K$77*'Plan mensual'!M315+parametros_recargas!$L$77*'Plan mensual'!M316</f>
        <v>1220.59437567569</v>
      </c>
      <c r="L295" s="23" t="n">
        <f aca="false">parametros_recargas!$E$77*'Plan mensual'!N309+parametros_recargas!$F$77*'Plan mensual'!N310+parametros_recargas!$G$77*'Plan mensual'!N311+parametros_recargas!$H$77*'Plan mensual'!N312+parametros_recargas!$I$77*'Plan mensual'!N313+parametros_recargas!$J$77*'Plan mensual'!N314+parametros_recargas!$K$77*'Plan mensual'!N315+parametros_recargas!$L$77*'Plan mensual'!N316</f>
        <v>1220.59437567569</v>
      </c>
      <c r="M295" s="23" t="n">
        <f aca="false">parametros_recargas!$E$77*'Plan mensual'!O309+parametros_recargas!$F$77*'Plan mensual'!O310+parametros_recargas!$G$77*'Plan mensual'!O311+parametros_recargas!$H$77*'Plan mensual'!O312+parametros_recargas!$I$77*'Plan mensual'!O313+parametros_recargas!$J$77*'Plan mensual'!O314+parametros_recargas!$K$77*'Plan mensual'!O315+parametros_recargas!$L$77*'Plan mensual'!O316</f>
        <v>1220.59437567569</v>
      </c>
      <c r="N295" s="7" t="n">
        <f aca="false">SUM(B295:M295)</f>
        <v>14647.1325081083</v>
      </c>
      <c r="O295" s="24" t="n">
        <f aca="false">MAX(B295:M295)</f>
        <v>1220.59437567569</v>
      </c>
      <c r="P295" s="15" t="n">
        <f aca="false">O295/parametros_recargas!$B$6</f>
        <v>8.13729583783796</v>
      </c>
    </row>
    <row r="296" customFormat="false" ht="15" hidden="false" customHeight="false" outlineLevel="0" collapsed="false">
      <c r="A296" s="12" t="str">
        <f aca="false">parametros_recargas!$B$78</f>
        <v>Recuperación de CO₂</v>
      </c>
      <c r="B296" s="23" t="n">
        <f aca="false">parametros_recargas!$E$78*'Plan mensual'!D309+parametros_recargas!$F$78*'Plan mensual'!D310+parametros_recargas!$G$78*'Plan mensual'!D311+parametros_recargas!$H$78*'Plan mensual'!D312+parametros_recargas!$I$78*'Plan mensual'!D313+parametros_recargas!$J$78*'Plan mensual'!D314+parametros_recargas!$K$78*'Plan mensual'!D315+parametros_recargas!$L$78*'Plan mensual'!D316</f>
        <v>556.368536384921</v>
      </c>
      <c r="C296" s="23" t="n">
        <f aca="false">parametros_recargas!$E$78*'Plan mensual'!E309+parametros_recargas!$F$78*'Plan mensual'!E310+parametros_recargas!$G$78*'Plan mensual'!E311+parametros_recargas!$H$78*'Plan mensual'!E312+parametros_recargas!$I$78*'Plan mensual'!E313+parametros_recargas!$J$78*'Plan mensual'!E314+parametros_recargas!$K$78*'Plan mensual'!E315+parametros_recargas!$L$78*'Plan mensual'!E316</f>
        <v>556.368536384921</v>
      </c>
      <c r="D296" s="23" t="n">
        <f aca="false">parametros_recargas!$E$78*'Plan mensual'!F309+parametros_recargas!$F$78*'Plan mensual'!F310+parametros_recargas!$G$78*'Plan mensual'!F311+parametros_recargas!$H$78*'Plan mensual'!F312+parametros_recargas!$I$78*'Plan mensual'!F313+parametros_recargas!$J$78*'Plan mensual'!F314+parametros_recargas!$K$78*'Plan mensual'!F315+parametros_recargas!$L$78*'Plan mensual'!F316</f>
        <v>556.368536384921</v>
      </c>
      <c r="E296" s="23" t="n">
        <f aca="false">parametros_recargas!$E$78*'Plan mensual'!G309+parametros_recargas!$F$78*'Plan mensual'!G310+parametros_recargas!$G$78*'Plan mensual'!G311+parametros_recargas!$H$78*'Plan mensual'!G312+parametros_recargas!$I$78*'Plan mensual'!G313+parametros_recargas!$J$78*'Plan mensual'!G314+parametros_recargas!$K$78*'Plan mensual'!G315+parametros_recargas!$L$78*'Plan mensual'!G316</f>
        <v>556.368536384921</v>
      </c>
      <c r="F296" s="23" t="n">
        <f aca="false">parametros_recargas!$E$78*'Plan mensual'!H309+parametros_recargas!$F$78*'Plan mensual'!H310+parametros_recargas!$G$78*'Plan mensual'!H311+parametros_recargas!$H$78*'Plan mensual'!H312+parametros_recargas!$I$78*'Plan mensual'!H313+parametros_recargas!$J$78*'Plan mensual'!H314+parametros_recargas!$K$78*'Plan mensual'!H315+parametros_recargas!$L$78*'Plan mensual'!H316</f>
        <v>556.368536384921</v>
      </c>
      <c r="G296" s="23" t="n">
        <f aca="false">parametros_recargas!$E$78*'Plan mensual'!I309+parametros_recargas!$F$78*'Plan mensual'!I310+parametros_recargas!$G$78*'Plan mensual'!I311+parametros_recargas!$H$78*'Plan mensual'!I312+parametros_recargas!$I$78*'Plan mensual'!I313+parametros_recargas!$J$78*'Plan mensual'!I314+parametros_recargas!$K$78*'Plan mensual'!I315+parametros_recargas!$L$78*'Plan mensual'!I316</f>
        <v>556.368536384921</v>
      </c>
      <c r="H296" s="23" t="n">
        <f aca="false">parametros_recargas!$E$78*'Plan mensual'!J309+parametros_recargas!$F$78*'Plan mensual'!J310+parametros_recargas!$G$78*'Plan mensual'!J311+parametros_recargas!$H$78*'Plan mensual'!J312+parametros_recargas!$I$78*'Plan mensual'!J313+parametros_recargas!$J$78*'Plan mensual'!J314+parametros_recargas!$K$78*'Plan mensual'!J315+parametros_recargas!$L$78*'Plan mensual'!J316</f>
        <v>556.368536384921</v>
      </c>
      <c r="I296" s="23" t="n">
        <f aca="false">parametros_recargas!$E$78*'Plan mensual'!K309+parametros_recargas!$F$78*'Plan mensual'!K310+parametros_recargas!$G$78*'Plan mensual'!K311+parametros_recargas!$H$78*'Plan mensual'!K312+parametros_recargas!$I$78*'Plan mensual'!K313+parametros_recargas!$J$78*'Plan mensual'!K314+parametros_recargas!$K$78*'Plan mensual'!K315+parametros_recargas!$L$78*'Plan mensual'!K316</f>
        <v>556.368536384921</v>
      </c>
      <c r="J296" s="23" t="n">
        <f aca="false">parametros_recargas!$E$78*'Plan mensual'!L309+parametros_recargas!$F$78*'Plan mensual'!L310+parametros_recargas!$G$78*'Plan mensual'!L311+parametros_recargas!$H$78*'Plan mensual'!L312+parametros_recargas!$I$78*'Plan mensual'!L313+parametros_recargas!$J$78*'Plan mensual'!L314+parametros_recargas!$K$78*'Plan mensual'!L315+parametros_recargas!$L$78*'Plan mensual'!L316</f>
        <v>556.368536384921</v>
      </c>
      <c r="K296" s="23" t="n">
        <f aca="false">parametros_recargas!$E$78*'Plan mensual'!M309+parametros_recargas!$F$78*'Plan mensual'!M310+parametros_recargas!$G$78*'Plan mensual'!M311+parametros_recargas!$H$78*'Plan mensual'!M312+parametros_recargas!$I$78*'Plan mensual'!M313+parametros_recargas!$J$78*'Plan mensual'!M314+parametros_recargas!$K$78*'Plan mensual'!M315+parametros_recargas!$L$78*'Plan mensual'!M316</f>
        <v>556.368536384921</v>
      </c>
      <c r="L296" s="23" t="n">
        <f aca="false">parametros_recargas!$E$78*'Plan mensual'!N309+parametros_recargas!$F$78*'Plan mensual'!N310+parametros_recargas!$G$78*'Plan mensual'!N311+parametros_recargas!$H$78*'Plan mensual'!N312+parametros_recargas!$I$78*'Plan mensual'!N313+parametros_recargas!$J$78*'Plan mensual'!N314+parametros_recargas!$K$78*'Plan mensual'!N315+parametros_recargas!$L$78*'Plan mensual'!N316</f>
        <v>556.368536384921</v>
      </c>
      <c r="M296" s="23" t="n">
        <f aca="false">parametros_recargas!$E$78*'Plan mensual'!O309+parametros_recargas!$F$78*'Plan mensual'!O310+parametros_recargas!$G$78*'Plan mensual'!O311+parametros_recargas!$H$78*'Plan mensual'!O312+parametros_recargas!$I$78*'Plan mensual'!O313+parametros_recargas!$J$78*'Plan mensual'!O314+parametros_recargas!$K$78*'Plan mensual'!O315+parametros_recargas!$L$78*'Plan mensual'!O316</f>
        <v>556.368536384921</v>
      </c>
      <c r="N296" s="7" t="n">
        <f aca="false">SUM(B296:M296)</f>
        <v>6676.42243661905</v>
      </c>
      <c r="O296" s="24" t="n">
        <f aca="false">MAX(B296:M296)</f>
        <v>556.368536384921</v>
      </c>
      <c r="P296" s="15" t="n">
        <f aca="false">O296/parametros_recargas!$B$6</f>
        <v>3.70912357589947</v>
      </c>
    </row>
    <row r="297" customFormat="false" ht="15" hidden="false" customHeight="false" outlineLevel="0" collapsed="false">
      <c r="A297" s="12" t="str">
        <f aca="false">parametros_recargas!$B$79</f>
        <v>Recuperación de halogenado</v>
      </c>
      <c r="B297" s="23" t="n">
        <f aca="false">parametros_recargas!$E$79*'Plan mensual'!D309+parametros_recargas!$F$79*'Plan mensual'!D310+parametros_recargas!$G$79*'Plan mensual'!D311+parametros_recargas!$H$79*'Plan mensual'!D312+parametros_recargas!$I$79*'Plan mensual'!D313+parametros_recargas!$J$79*'Plan mensual'!D314+parametros_recargas!$K$79*'Plan mensual'!D315+parametros_recargas!$L$79*'Plan mensual'!D316</f>
        <v>23.1733591936503</v>
      </c>
      <c r="C297" s="23" t="n">
        <f aca="false">parametros_recargas!$E$79*'Plan mensual'!E309+parametros_recargas!$F$79*'Plan mensual'!E310+parametros_recargas!$G$79*'Plan mensual'!E311+parametros_recargas!$H$79*'Plan mensual'!E312+parametros_recargas!$I$79*'Plan mensual'!E313+parametros_recargas!$J$79*'Plan mensual'!E314+parametros_recargas!$K$79*'Plan mensual'!E315+parametros_recargas!$L$79*'Plan mensual'!E316</f>
        <v>23.1733591936503</v>
      </c>
      <c r="D297" s="23" t="n">
        <f aca="false">parametros_recargas!$E$79*'Plan mensual'!F309+parametros_recargas!$F$79*'Plan mensual'!F310+parametros_recargas!$G$79*'Plan mensual'!F311+parametros_recargas!$H$79*'Plan mensual'!F312+parametros_recargas!$I$79*'Plan mensual'!F313+parametros_recargas!$J$79*'Plan mensual'!F314+parametros_recargas!$K$79*'Plan mensual'!F315+parametros_recargas!$L$79*'Plan mensual'!F316</f>
        <v>23.1733591936503</v>
      </c>
      <c r="E297" s="23" t="n">
        <f aca="false">parametros_recargas!$E$79*'Plan mensual'!G309+parametros_recargas!$F$79*'Plan mensual'!G310+parametros_recargas!$G$79*'Plan mensual'!G311+parametros_recargas!$H$79*'Plan mensual'!G312+parametros_recargas!$I$79*'Plan mensual'!G313+parametros_recargas!$J$79*'Plan mensual'!G314+parametros_recargas!$K$79*'Plan mensual'!G315+parametros_recargas!$L$79*'Plan mensual'!G316</f>
        <v>23.1733591936503</v>
      </c>
      <c r="F297" s="23" t="n">
        <f aca="false">parametros_recargas!$E$79*'Plan mensual'!H309+parametros_recargas!$F$79*'Plan mensual'!H310+parametros_recargas!$G$79*'Plan mensual'!H311+parametros_recargas!$H$79*'Plan mensual'!H312+parametros_recargas!$I$79*'Plan mensual'!H313+parametros_recargas!$J$79*'Plan mensual'!H314+parametros_recargas!$K$79*'Plan mensual'!H315+parametros_recargas!$L$79*'Plan mensual'!H316</f>
        <v>23.1733591936503</v>
      </c>
      <c r="G297" s="23" t="n">
        <f aca="false">parametros_recargas!$E$79*'Plan mensual'!I309+parametros_recargas!$F$79*'Plan mensual'!I310+parametros_recargas!$G$79*'Plan mensual'!I311+parametros_recargas!$H$79*'Plan mensual'!I312+parametros_recargas!$I$79*'Plan mensual'!I313+parametros_recargas!$J$79*'Plan mensual'!I314+parametros_recargas!$K$79*'Plan mensual'!I315+parametros_recargas!$L$79*'Plan mensual'!I316</f>
        <v>23.1733591936503</v>
      </c>
      <c r="H297" s="23" t="n">
        <f aca="false">parametros_recargas!$E$79*'Plan mensual'!J309+parametros_recargas!$F$79*'Plan mensual'!J310+parametros_recargas!$G$79*'Plan mensual'!J311+parametros_recargas!$H$79*'Plan mensual'!J312+parametros_recargas!$I$79*'Plan mensual'!J313+parametros_recargas!$J$79*'Plan mensual'!J314+parametros_recargas!$K$79*'Plan mensual'!J315+parametros_recargas!$L$79*'Plan mensual'!J316</f>
        <v>23.1733591936503</v>
      </c>
      <c r="I297" s="23" t="n">
        <f aca="false">parametros_recargas!$E$79*'Plan mensual'!K309+parametros_recargas!$F$79*'Plan mensual'!K310+parametros_recargas!$G$79*'Plan mensual'!K311+parametros_recargas!$H$79*'Plan mensual'!K312+parametros_recargas!$I$79*'Plan mensual'!K313+parametros_recargas!$J$79*'Plan mensual'!K314+parametros_recargas!$K$79*'Plan mensual'!K315+parametros_recargas!$L$79*'Plan mensual'!K316</f>
        <v>23.1733591936503</v>
      </c>
      <c r="J297" s="23" t="n">
        <f aca="false">parametros_recargas!$E$79*'Plan mensual'!L309+parametros_recargas!$F$79*'Plan mensual'!L310+parametros_recargas!$G$79*'Plan mensual'!L311+parametros_recargas!$H$79*'Plan mensual'!L312+parametros_recargas!$I$79*'Plan mensual'!L313+parametros_recargas!$J$79*'Plan mensual'!L314+parametros_recargas!$K$79*'Plan mensual'!L315+parametros_recargas!$L$79*'Plan mensual'!L316</f>
        <v>23.1733591936503</v>
      </c>
      <c r="K297" s="23" t="n">
        <f aca="false">parametros_recargas!$E$79*'Plan mensual'!M309+parametros_recargas!$F$79*'Plan mensual'!M310+parametros_recargas!$G$79*'Plan mensual'!M311+parametros_recargas!$H$79*'Plan mensual'!M312+parametros_recargas!$I$79*'Plan mensual'!M313+parametros_recargas!$J$79*'Plan mensual'!M314+parametros_recargas!$K$79*'Plan mensual'!M315+parametros_recargas!$L$79*'Plan mensual'!M316</f>
        <v>23.1733591936503</v>
      </c>
      <c r="L297" s="23" t="n">
        <f aca="false">parametros_recargas!$E$79*'Plan mensual'!N309+parametros_recargas!$F$79*'Plan mensual'!N310+parametros_recargas!$G$79*'Plan mensual'!N311+parametros_recargas!$H$79*'Plan mensual'!N312+parametros_recargas!$I$79*'Plan mensual'!N313+parametros_recargas!$J$79*'Plan mensual'!N314+parametros_recargas!$K$79*'Plan mensual'!N315+parametros_recargas!$L$79*'Plan mensual'!N316</f>
        <v>23.1733591936503</v>
      </c>
      <c r="M297" s="23" t="n">
        <f aca="false">parametros_recargas!$E$79*'Plan mensual'!O309+parametros_recargas!$F$79*'Plan mensual'!O310+parametros_recargas!$G$79*'Plan mensual'!O311+parametros_recargas!$H$79*'Plan mensual'!O312+parametros_recargas!$I$79*'Plan mensual'!O313+parametros_recargas!$J$79*'Plan mensual'!O314+parametros_recargas!$K$79*'Plan mensual'!O315+parametros_recargas!$L$79*'Plan mensual'!O316</f>
        <v>23.1733591936503</v>
      </c>
      <c r="N297" s="7" t="n">
        <f aca="false">SUM(B297:M297)</f>
        <v>278.080310323804</v>
      </c>
      <c r="O297" s="24" t="n">
        <f aca="false">MAX(B297:M297)</f>
        <v>23.1733591936503</v>
      </c>
      <c r="P297" s="15" t="n">
        <f aca="false">O297/parametros_recargas!$B$6</f>
        <v>0.154489061291002</v>
      </c>
    </row>
    <row r="298" customFormat="false" ht="15" hidden="false" customHeight="false" outlineLevel="0" collapsed="false">
      <c r="A298" s="12" t="str">
        <f aca="false">parametros_recargas!$B$80</f>
        <v>Desarme y limpieza — recinto</v>
      </c>
      <c r="B298" s="23" t="n">
        <f aca="false">parametros_recargas!$E$80*'Plan mensual'!D309+parametros_recargas!$F$80*'Plan mensual'!D310+parametros_recargas!$G$80*'Plan mensual'!D311+parametros_recargas!$H$80*'Plan mensual'!D312+parametros_recargas!$I$80*'Plan mensual'!D313+parametros_recargas!$J$80*'Plan mensual'!D314+parametros_recargas!$K$80*'Plan mensual'!D315+parametros_recargas!$L$80*'Plan mensual'!D316</f>
        <v>22022.2215267839</v>
      </c>
      <c r="C298" s="23" t="n">
        <f aca="false">parametros_recargas!$E$80*'Plan mensual'!E309+parametros_recargas!$F$80*'Plan mensual'!E310+parametros_recargas!$G$80*'Plan mensual'!E311+parametros_recargas!$H$80*'Plan mensual'!E312+parametros_recargas!$I$80*'Plan mensual'!E313+parametros_recargas!$J$80*'Plan mensual'!E314+parametros_recargas!$K$80*'Plan mensual'!E315+parametros_recargas!$L$80*'Plan mensual'!E316</f>
        <v>22022.2215267839</v>
      </c>
      <c r="D298" s="23" t="n">
        <f aca="false">parametros_recargas!$E$80*'Plan mensual'!F309+parametros_recargas!$F$80*'Plan mensual'!F310+parametros_recargas!$G$80*'Plan mensual'!F311+parametros_recargas!$H$80*'Plan mensual'!F312+parametros_recargas!$I$80*'Plan mensual'!F313+parametros_recargas!$J$80*'Plan mensual'!F314+parametros_recargas!$K$80*'Plan mensual'!F315+parametros_recargas!$L$80*'Plan mensual'!F316</f>
        <v>22022.2215267839</v>
      </c>
      <c r="E298" s="23" t="n">
        <f aca="false">parametros_recargas!$E$80*'Plan mensual'!G309+parametros_recargas!$F$80*'Plan mensual'!G310+parametros_recargas!$G$80*'Plan mensual'!G311+parametros_recargas!$H$80*'Plan mensual'!G312+parametros_recargas!$I$80*'Plan mensual'!G313+parametros_recargas!$J$80*'Plan mensual'!G314+parametros_recargas!$K$80*'Plan mensual'!G315+parametros_recargas!$L$80*'Plan mensual'!G316</f>
        <v>22022.2215267839</v>
      </c>
      <c r="F298" s="23" t="n">
        <f aca="false">parametros_recargas!$E$80*'Plan mensual'!H309+parametros_recargas!$F$80*'Plan mensual'!H310+parametros_recargas!$G$80*'Plan mensual'!H311+parametros_recargas!$H$80*'Plan mensual'!H312+parametros_recargas!$I$80*'Plan mensual'!H313+parametros_recargas!$J$80*'Plan mensual'!H314+parametros_recargas!$K$80*'Plan mensual'!H315+parametros_recargas!$L$80*'Plan mensual'!H316</f>
        <v>22022.2215267839</v>
      </c>
      <c r="G298" s="23" t="n">
        <f aca="false">parametros_recargas!$E$80*'Plan mensual'!I309+parametros_recargas!$F$80*'Plan mensual'!I310+parametros_recargas!$G$80*'Plan mensual'!I311+parametros_recargas!$H$80*'Plan mensual'!I312+parametros_recargas!$I$80*'Plan mensual'!I313+parametros_recargas!$J$80*'Plan mensual'!I314+parametros_recargas!$K$80*'Plan mensual'!I315+parametros_recargas!$L$80*'Plan mensual'!I316</f>
        <v>22022.2215267839</v>
      </c>
      <c r="H298" s="23" t="n">
        <f aca="false">parametros_recargas!$E$80*'Plan mensual'!J309+parametros_recargas!$F$80*'Plan mensual'!J310+parametros_recargas!$G$80*'Plan mensual'!J311+parametros_recargas!$H$80*'Plan mensual'!J312+parametros_recargas!$I$80*'Plan mensual'!J313+parametros_recargas!$J$80*'Plan mensual'!J314+parametros_recargas!$K$80*'Plan mensual'!J315+parametros_recargas!$L$80*'Plan mensual'!J316</f>
        <v>22022.2215267839</v>
      </c>
      <c r="I298" s="23" t="n">
        <f aca="false">parametros_recargas!$E$80*'Plan mensual'!K309+parametros_recargas!$F$80*'Plan mensual'!K310+parametros_recargas!$G$80*'Plan mensual'!K311+parametros_recargas!$H$80*'Plan mensual'!K312+parametros_recargas!$I$80*'Plan mensual'!K313+parametros_recargas!$J$80*'Plan mensual'!K314+parametros_recargas!$K$80*'Plan mensual'!K315+parametros_recargas!$L$80*'Plan mensual'!K316</f>
        <v>22022.2215267839</v>
      </c>
      <c r="J298" s="23" t="n">
        <f aca="false">parametros_recargas!$E$80*'Plan mensual'!L309+parametros_recargas!$F$80*'Plan mensual'!L310+parametros_recargas!$G$80*'Plan mensual'!L311+parametros_recargas!$H$80*'Plan mensual'!L312+parametros_recargas!$I$80*'Plan mensual'!L313+parametros_recargas!$J$80*'Plan mensual'!L314+parametros_recargas!$K$80*'Plan mensual'!L315+parametros_recargas!$L$80*'Plan mensual'!L316</f>
        <v>22022.2215267839</v>
      </c>
      <c r="K298" s="23" t="n">
        <f aca="false">parametros_recargas!$E$80*'Plan mensual'!M309+parametros_recargas!$F$80*'Plan mensual'!M310+parametros_recargas!$G$80*'Plan mensual'!M311+parametros_recargas!$H$80*'Plan mensual'!M312+parametros_recargas!$I$80*'Plan mensual'!M313+parametros_recargas!$J$80*'Plan mensual'!M314+parametros_recargas!$K$80*'Plan mensual'!M315+parametros_recargas!$L$80*'Plan mensual'!M316</f>
        <v>22022.2215267839</v>
      </c>
      <c r="L298" s="23" t="n">
        <f aca="false">parametros_recargas!$E$80*'Plan mensual'!N309+parametros_recargas!$F$80*'Plan mensual'!N310+parametros_recargas!$G$80*'Plan mensual'!N311+parametros_recargas!$H$80*'Plan mensual'!N312+parametros_recargas!$I$80*'Plan mensual'!N313+parametros_recargas!$J$80*'Plan mensual'!N314+parametros_recargas!$K$80*'Plan mensual'!N315+parametros_recargas!$L$80*'Plan mensual'!N316</f>
        <v>22022.2215267839</v>
      </c>
      <c r="M298" s="23" t="n">
        <f aca="false">parametros_recargas!$E$80*'Plan mensual'!O309+parametros_recargas!$F$80*'Plan mensual'!O310+parametros_recargas!$G$80*'Plan mensual'!O311+parametros_recargas!$H$80*'Plan mensual'!O312+parametros_recargas!$I$80*'Plan mensual'!O313+parametros_recargas!$J$80*'Plan mensual'!O314+parametros_recargas!$K$80*'Plan mensual'!O315+parametros_recargas!$L$80*'Plan mensual'!O316</f>
        <v>22022.2215267839</v>
      </c>
      <c r="N298" s="7" t="n">
        <f aca="false">SUM(B298:M298)</f>
        <v>264266.658321407</v>
      </c>
      <c r="O298" s="24" t="n">
        <f aca="false">MAX(B298:M298)</f>
        <v>22022.2215267839</v>
      </c>
      <c r="P298" s="15" t="n">
        <f aca="false">O298/parametros_recargas!$B$6</f>
        <v>146.814810178559</v>
      </c>
    </row>
    <row r="299" customFormat="false" ht="15" hidden="false" customHeight="false" outlineLevel="0" collapsed="false">
      <c r="A299" s="12" t="str">
        <f aca="false">parametros_recargas!$B$81</f>
        <v>Desarme e inspección interior — zona general</v>
      </c>
      <c r="B299" s="23" t="n">
        <f aca="false">parametros_recargas!$E$81*'Plan mensual'!D309+parametros_recargas!$F$81*'Plan mensual'!D310+parametros_recargas!$G$81*'Plan mensual'!D311+parametros_recargas!$H$81*'Plan mensual'!D312+parametros_recargas!$I$81*'Plan mensual'!D313+parametros_recargas!$J$81*'Plan mensual'!D314+parametros_recargas!$K$81*'Plan mensual'!D315+parametros_recargas!$L$81*'Plan mensual'!D316</f>
        <v>1800.13627125427</v>
      </c>
      <c r="C299" s="23" t="n">
        <f aca="false">parametros_recargas!$E$81*'Plan mensual'!E309+parametros_recargas!$F$81*'Plan mensual'!E310+parametros_recargas!$G$81*'Plan mensual'!E311+parametros_recargas!$H$81*'Plan mensual'!E312+parametros_recargas!$I$81*'Plan mensual'!E313+parametros_recargas!$J$81*'Plan mensual'!E314+parametros_recargas!$K$81*'Plan mensual'!E315+parametros_recargas!$L$81*'Plan mensual'!E316</f>
        <v>1800.13627125427</v>
      </c>
      <c r="D299" s="23" t="n">
        <f aca="false">parametros_recargas!$E$81*'Plan mensual'!F309+parametros_recargas!$F$81*'Plan mensual'!F310+parametros_recargas!$G$81*'Plan mensual'!F311+parametros_recargas!$H$81*'Plan mensual'!F312+parametros_recargas!$I$81*'Plan mensual'!F313+parametros_recargas!$J$81*'Plan mensual'!F314+parametros_recargas!$K$81*'Plan mensual'!F315+parametros_recargas!$L$81*'Plan mensual'!F316</f>
        <v>1800.13627125427</v>
      </c>
      <c r="E299" s="23" t="n">
        <f aca="false">parametros_recargas!$E$81*'Plan mensual'!G309+parametros_recargas!$F$81*'Plan mensual'!G310+parametros_recargas!$G$81*'Plan mensual'!G311+parametros_recargas!$H$81*'Plan mensual'!G312+parametros_recargas!$I$81*'Plan mensual'!G313+parametros_recargas!$J$81*'Plan mensual'!G314+parametros_recargas!$K$81*'Plan mensual'!G315+parametros_recargas!$L$81*'Plan mensual'!G316</f>
        <v>1800.13627125427</v>
      </c>
      <c r="F299" s="23" t="n">
        <f aca="false">parametros_recargas!$E$81*'Plan mensual'!H309+parametros_recargas!$F$81*'Plan mensual'!H310+parametros_recargas!$G$81*'Plan mensual'!H311+parametros_recargas!$H$81*'Plan mensual'!H312+parametros_recargas!$I$81*'Plan mensual'!H313+parametros_recargas!$J$81*'Plan mensual'!H314+parametros_recargas!$K$81*'Plan mensual'!H315+parametros_recargas!$L$81*'Plan mensual'!H316</f>
        <v>1800.13627125427</v>
      </c>
      <c r="G299" s="23" t="n">
        <f aca="false">parametros_recargas!$E$81*'Plan mensual'!I309+parametros_recargas!$F$81*'Plan mensual'!I310+parametros_recargas!$G$81*'Plan mensual'!I311+parametros_recargas!$H$81*'Plan mensual'!I312+parametros_recargas!$I$81*'Plan mensual'!I313+parametros_recargas!$J$81*'Plan mensual'!I314+parametros_recargas!$K$81*'Plan mensual'!I315+parametros_recargas!$L$81*'Plan mensual'!I316</f>
        <v>1800.13627125427</v>
      </c>
      <c r="H299" s="23" t="n">
        <f aca="false">parametros_recargas!$E$81*'Plan mensual'!J309+parametros_recargas!$F$81*'Plan mensual'!J310+parametros_recargas!$G$81*'Plan mensual'!J311+parametros_recargas!$H$81*'Plan mensual'!J312+parametros_recargas!$I$81*'Plan mensual'!J313+parametros_recargas!$J$81*'Plan mensual'!J314+parametros_recargas!$K$81*'Plan mensual'!J315+parametros_recargas!$L$81*'Plan mensual'!J316</f>
        <v>1800.13627125427</v>
      </c>
      <c r="I299" s="23" t="n">
        <f aca="false">parametros_recargas!$E$81*'Plan mensual'!K309+parametros_recargas!$F$81*'Plan mensual'!K310+parametros_recargas!$G$81*'Plan mensual'!K311+parametros_recargas!$H$81*'Plan mensual'!K312+parametros_recargas!$I$81*'Plan mensual'!K313+parametros_recargas!$J$81*'Plan mensual'!K314+parametros_recargas!$K$81*'Plan mensual'!K315+parametros_recargas!$L$81*'Plan mensual'!K316</f>
        <v>1800.13627125427</v>
      </c>
      <c r="J299" s="23" t="n">
        <f aca="false">parametros_recargas!$E$81*'Plan mensual'!L309+parametros_recargas!$F$81*'Plan mensual'!L310+parametros_recargas!$G$81*'Plan mensual'!L311+parametros_recargas!$H$81*'Plan mensual'!L312+parametros_recargas!$I$81*'Plan mensual'!L313+parametros_recargas!$J$81*'Plan mensual'!L314+parametros_recargas!$K$81*'Plan mensual'!L315+parametros_recargas!$L$81*'Plan mensual'!L316</f>
        <v>1800.13627125427</v>
      </c>
      <c r="K299" s="23" t="n">
        <f aca="false">parametros_recargas!$E$81*'Plan mensual'!M309+parametros_recargas!$F$81*'Plan mensual'!M310+parametros_recargas!$G$81*'Plan mensual'!M311+parametros_recargas!$H$81*'Plan mensual'!M312+parametros_recargas!$I$81*'Plan mensual'!M313+parametros_recargas!$J$81*'Plan mensual'!M314+parametros_recargas!$K$81*'Plan mensual'!M315+parametros_recargas!$L$81*'Plan mensual'!M316</f>
        <v>1800.13627125427</v>
      </c>
      <c r="L299" s="23" t="n">
        <f aca="false">parametros_recargas!$E$81*'Plan mensual'!N309+parametros_recargas!$F$81*'Plan mensual'!N310+parametros_recargas!$G$81*'Plan mensual'!N311+parametros_recargas!$H$81*'Plan mensual'!N312+parametros_recargas!$I$81*'Plan mensual'!N313+parametros_recargas!$J$81*'Plan mensual'!N314+parametros_recargas!$K$81*'Plan mensual'!N315+parametros_recargas!$L$81*'Plan mensual'!N316</f>
        <v>1800.13627125427</v>
      </c>
      <c r="M299" s="23" t="n">
        <f aca="false">parametros_recargas!$E$81*'Plan mensual'!O309+parametros_recargas!$F$81*'Plan mensual'!O310+parametros_recargas!$G$81*'Plan mensual'!O311+parametros_recargas!$H$81*'Plan mensual'!O312+parametros_recargas!$I$81*'Plan mensual'!O313+parametros_recargas!$J$81*'Plan mensual'!O314+parametros_recargas!$K$81*'Plan mensual'!O315+parametros_recargas!$L$81*'Plan mensual'!O316</f>
        <v>1800.13627125427</v>
      </c>
      <c r="N299" s="7" t="n">
        <f aca="false">SUM(B299:M299)</f>
        <v>21601.6352550512</v>
      </c>
      <c r="O299" s="24" t="n">
        <f aca="false">MAX(B299:M299)</f>
        <v>1800.13627125427</v>
      </c>
      <c r="P299" s="15" t="n">
        <f aca="false">O299/parametros_recargas!$B$6</f>
        <v>12.0009084750284</v>
      </c>
    </row>
    <row r="300" customFormat="false" ht="15" hidden="false" customHeight="false" outlineLevel="0" collapsed="false">
      <c r="A300" s="12" t="str">
        <f aca="false">parametros_recargas!$B$82</f>
        <v>Laboratorio — Puffer y mufla</v>
      </c>
      <c r="B300" s="23" t="n">
        <f aca="false">parametros_recargas!$E$82*'Plan mensual'!D309+parametros_recargas!$F$82*'Plan mensual'!D310+parametros_recargas!$G$82*'Plan mensual'!D311+parametros_recargas!$H$82*'Plan mensual'!D312+parametros_recargas!$I$82*'Plan mensual'!D313+parametros_recargas!$J$82*'Plan mensual'!D314+parametros_recargas!$K$82*'Plan mensual'!D315+parametros_recargas!$L$82*'Plan mensual'!D316</f>
        <v>21.9892367176244</v>
      </c>
      <c r="C300" s="23" t="n">
        <f aca="false">parametros_recargas!$E$82*'Plan mensual'!E309+parametros_recargas!$F$82*'Plan mensual'!E310+parametros_recargas!$G$82*'Plan mensual'!E311+parametros_recargas!$H$82*'Plan mensual'!E312+parametros_recargas!$I$82*'Plan mensual'!E313+parametros_recargas!$J$82*'Plan mensual'!E314+parametros_recargas!$K$82*'Plan mensual'!E315+parametros_recargas!$L$82*'Plan mensual'!E316</f>
        <v>21.9892367176244</v>
      </c>
      <c r="D300" s="23" t="n">
        <f aca="false">parametros_recargas!$E$82*'Plan mensual'!F309+parametros_recargas!$F$82*'Plan mensual'!F310+parametros_recargas!$G$82*'Plan mensual'!F311+parametros_recargas!$H$82*'Plan mensual'!F312+parametros_recargas!$I$82*'Plan mensual'!F313+parametros_recargas!$J$82*'Plan mensual'!F314+parametros_recargas!$K$82*'Plan mensual'!F315+parametros_recargas!$L$82*'Plan mensual'!F316</f>
        <v>21.9892367176244</v>
      </c>
      <c r="E300" s="23" t="n">
        <f aca="false">parametros_recargas!$E$82*'Plan mensual'!G309+parametros_recargas!$F$82*'Plan mensual'!G310+parametros_recargas!$G$82*'Plan mensual'!G311+parametros_recargas!$H$82*'Plan mensual'!G312+parametros_recargas!$I$82*'Plan mensual'!G313+parametros_recargas!$J$82*'Plan mensual'!G314+parametros_recargas!$K$82*'Plan mensual'!G315+parametros_recargas!$L$82*'Plan mensual'!G316</f>
        <v>21.9892367176244</v>
      </c>
      <c r="F300" s="23" t="n">
        <f aca="false">parametros_recargas!$E$82*'Plan mensual'!H309+parametros_recargas!$F$82*'Plan mensual'!H310+parametros_recargas!$G$82*'Plan mensual'!H311+parametros_recargas!$H$82*'Plan mensual'!H312+parametros_recargas!$I$82*'Plan mensual'!H313+parametros_recargas!$J$82*'Plan mensual'!H314+parametros_recargas!$K$82*'Plan mensual'!H315+parametros_recargas!$L$82*'Plan mensual'!H316</f>
        <v>21.9892367176244</v>
      </c>
      <c r="G300" s="23" t="n">
        <f aca="false">parametros_recargas!$E$82*'Plan mensual'!I309+parametros_recargas!$F$82*'Plan mensual'!I310+parametros_recargas!$G$82*'Plan mensual'!I311+parametros_recargas!$H$82*'Plan mensual'!I312+parametros_recargas!$I$82*'Plan mensual'!I313+parametros_recargas!$J$82*'Plan mensual'!I314+parametros_recargas!$K$82*'Plan mensual'!I315+parametros_recargas!$L$82*'Plan mensual'!I316</f>
        <v>21.9892367176244</v>
      </c>
      <c r="H300" s="23" t="n">
        <f aca="false">parametros_recargas!$E$82*'Plan mensual'!J309+parametros_recargas!$F$82*'Plan mensual'!J310+parametros_recargas!$G$82*'Plan mensual'!J311+parametros_recargas!$H$82*'Plan mensual'!J312+parametros_recargas!$I$82*'Plan mensual'!J313+parametros_recargas!$J$82*'Plan mensual'!J314+parametros_recargas!$K$82*'Plan mensual'!J315+parametros_recargas!$L$82*'Plan mensual'!J316</f>
        <v>21.9892367176244</v>
      </c>
      <c r="I300" s="23" t="n">
        <f aca="false">parametros_recargas!$E$82*'Plan mensual'!K309+parametros_recargas!$F$82*'Plan mensual'!K310+parametros_recargas!$G$82*'Plan mensual'!K311+parametros_recargas!$H$82*'Plan mensual'!K312+parametros_recargas!$I$82*'Plan mensual'!K313+parametros_recargas!$J$82*'Plan mensual'!K314+parametros_recargas!$K$82*'Plan mensual'!K315+parametros_recargas!$L$82*'Plan mensual'!K316</f>
        <v>21.9892367176244</v>
      </c>
      <c r="J300" s="23" t="n">
        <f aca="false">parametros_recargas!$E$82*'Plan mensual'!L309+parametros_recargas!$F$82*'Plan mensual'!L310+parametros_recargas!$G$82*'Plan mensual'!L311+parametros_recargas!$H$82*'Plan mensual'!L312+parametros_recargas!$I$82*'Plan mensual'!L313+parametros_recargas!$J$82*'Plan mensual'!L314+parametros_recargas!$K$82*'Plan mensual'!L315+parametros_recargas!$L$82*'Plan mensual'!L316</f>
        <v>21.9892367176244</v>
      </c>
      <c r="K300" s="23" t="n">
        <f aca="false">parametros_recargas!$E$82*'Plan mensual'!M309+parametros_recargas!$F$82*'Plan mensual'!M310+parametros_recargas!$G$82*'Plan mensual'!M311+parametros_recargas!$H$82*'Plan mensual'!M312+parametros_recargas!$I$82*'Plan mensual'!M313+parametros_recargas!$J$82*'Plan mensual'!M314+parametros_recargas!$K$82*'Plan mensual'!M315+parametros_recargas!$L$82*'Plan mensual'!M316</f>
        <v>21.9892367176244</v>
      </c>
      <c r="L300" s="23" t="n">
        <f aca="false">parametros_recargas!$E$82*'Plan mensual'!N309+parametros_recargas!$F$82*'Plan mensual'!N310+parametros_recargas!$G$82*'Plan mensual'!N311+parametros_recargas!$H$82*'Plan mensual'!N312+parametros_recargas!$I$82*'Plan mensual'!N313+parametros_recargas!$J$82*'Plan mensual'!N314+parametros_recargas!$K$82*'Plan mensual'!N315+parametros_recargas!$L$82*'Plan mensual'!N316</f>
        <v>21.9892367176244</v>
      </c>
      <c r="M300" s="23" t="n">
        <f aca="false">parametros_recargas!$E$82*'Plan mensual'!O309+parametros_recargas!$F$82*'Plan mensual'!O310+parametros_recargas!$G$82*'Plan mensual'!O311+parametros_recargas!$H$82*'Plan mensual'!O312+parametros_recargas!$I$82*'Plan mensual'!O313+parametros_recargas!$J$82*'Plan mensual'!O314+parametros_recargas!$K$82*'Plan mensual'!O315+parametros_recargas!$L$82*'Plan mensual'!O316</f>
        <v>21.9892367176244</v>
      </c>
      <c r="N300" s="7" t="n">
        <f aca="false">SUM(B300:M300)</f>
        <v>263.870840611492</v>
      </c>
      <c r="O300" s="24" t="n">
        <f aca="false">MAX(B300:M300)</f>
        <v>21.9892367176244</v>
      </c>
      <c r="P300" s="15" t="n">
        <f aca="false">O300/parametros_recargas!$B$6</f>
        <v>0.146594911450829</v>
      </c>
    </row>
    <row r="301" customFormat="false" ht="15" hidden="false" customHeight="false" outlineLevel="0" collapsed="false">
      <c r="A301" s="12" t="str">
        <f aca="false">parametros_recargas!$B$83</f>
        <v>Prueba hidráulica</v>
      </c>
      <c r="B301" s="23" t="n">
        <f aca="false">parametros_recargas!$E$83*'Plan mensual'!D309+parametros_recargas!$F$83*'Plan mensual'!D310+parametros_recargas!$G$83*'Plan mensual'!D311+parametros_recargas!$H$83*'Plan mensual'!D312+parametros_recargas!$I$83*'Plan mensual'!D313+parametros_recargas!$J$83*'Plan mensual'!D314+parametros_recargas!$K$83*'Plan mensual'!D315+parametros_recargas!$L$83*'Plan mensual'!D316</f>
        <v>5478.37500965749</v>
      </c>
      <c r="C301" s="23" t="n">
        <f aca="false">parametros_recargas!$E$83*'Plan mensual'!E309+parametros_recargas!$F$83*'Plan mensual'!E310+parametros_recargas!$G$83*'Plan mensual'!E311+parametros_recargas!$H$83*'Plan mensual'!E312+parametros_recargas!$I$83*'Plan mensual'!E313+parametros_recargas!$J$83*'Plan mensual'!E314+parametros_recargas!$K$83*'Plan mensual'!E315+parametros_recargas!$L$83*'Plan mensual'!E316</f>
        <v>5478.37500965749</v>
      </c>
      <c r="D301" s="23" t="n">
        <f aca="false">parametros_recargas!$E$83*'Plan mensual'!F309+parametros_recargas!$F$83*'Plan mensual'!F310+parametros_recargas!$G$83*'Plan mensual'!F311+parametros_recargas!$H$83*'Plan mensual'!F312+parametros_recargas!$I$83*'Plan mensual'!F313+parametros_recargas!$J$83*'Plan mensual'!F314+parametros_recargas!$K$83*'Plan mensual'!F315+parametros_recargas!$L$83*'Plan mensual'!F316</f>
        <v>5478.37500965749</v>
      </c>
      <c r="E301" s="23" t="n">
        <f aca="false">parametros_recargas!$E$83*'Plan mensual'!G309+parametros_recargas!$F$83*'Plan mensual'!G310+parametros_recargas!$G$83*'Plan mensual'!G311+parametros_recargas!$H$83*'Plan mensual'!G312+parametros_recargas!$I$83*'Plan mensual'!G313+parametros_recargas!$J$83*'Plan mensual'!G314+parametros_recargas!$K$83*'Plan mensual'!G315+parametros_recargas!$L$83*'Plan mensual'!G316</f>
        <v>5478.37500965749</v>
      </c>
      <c r="F301" s="23" t="n">
        <f aca="false">parametros_recargas!$E$83*'Plan mensual'!H309+parametros_recargas!$F$83*'Plan mensual'!H310+parametros_recargas!$G$83*'Plan mensual'!H311+parametros_recargas!$H$83*'Plan mensual'!H312+parametros_recargas!$I$83*'Plan mensual'!H313+parametros_recargas!$J$83*'Plan mensual'!H314+parametros_recargas!$K$83*'Plan mensual'!H315+parametros_recargas!$L$83*'Plan mensual'!H316</f>
        <v>5478.37500965749</v>
      </c>
      <c r="G301" s="23" t="n">
        <f aca="false">parametros_recargas!$E$83*'Plan mensual'!I309+parametros_recargas!$F$83*'Plan mensual'!I310+parametros_recargas!$G$83*'Plan mensual'!I311+parametros_recargas!$H$83*'Plan mensual'!I312+parametros_recargas!$I$83*'Plan mensual'!I313+parametros_recargas!$J$83*'Plan mensual'!I314+parametros_recargas!$K$83*'Plan mensual'!I315+parametros_recargas!$L$83*'Plan mensual'!I316</f>
        <v>5478.37500965749</v>
      </c>
      <c r="H301" s="23" t="n">
        <f aca="false">parametros_recargas!$E$83*'Plan mensual'!J309+parametros_recargas!$F$83*'Plan mensual'!J310+parametros_recargas!$G$83*'Plan mensual'!J311+parametros_recargas!$H$83*'Plan mensual'!J312+parametros_recargas!$I$83*'Plan mensual'!J313+parametros_recargas!$J$83*'Plan mensual'!J314+parametros_recargas!$K$83*'Plan mensual'!J315+parametros_recargas!$L$83*'Plan mensual'!J316</f>
        <v>5478.37500965749</v>
      </c>
      <c r="I301" s="23" t="n">
        <f aca="false">parametros_recargas!$E$83*'Plan mensual'!K309+parametros_recargas!$F$83*'Plan mensual'!K310+parametros_recargas!$G$83*'Plan mensual'!K311+parametros_recargas!$H$83*'Plan mensual'!K312+parametros_recargas!$I$83*'Plan mensual'!K313+parametros_recargas!$J$83*'Plan mensual'!K314+parametros_recargas!$K$83*'Plan mensual'!K315+parametros_recargas!$L$83*'Plan mensual'!K316</f>
        <v>5478.37500965749</v>
      </c>
      <c r="J301" s="23" t="n">
        <f aca="false">parametros_recargas!$E$83*'Plan mensual'!L309+parametros_recargas!$F$83*'Plan mensual'!L310+parametros_recargas!$G$83*'Plan mensual'!L311+parametros_recargas!$H$83*'Plan mensual'!L312+parametros_recargas!$I$83*'Plan mensual'!L313+parametros_recargas!$J$83*'Plan mensual'!L314+parametros_recargas!$K$83*'Plan mensual'!L315+parametros_recargas!$L$83*'Plan mensual'!L316</f>
        <v>5478.37500965749</v>
      </c>
      <c r="K301" s="23" t="n">
        <f aca="false">parametros_recargas!$E$83*'Plan mensual'!M309+parametros_recargas!$F$83*'Plan mensual'!M310+parametros_recargas!$G$83*'Plan mensual'!M311+parametros_recargas!$H$83*'Plan mensual'!M312+parametros_recargas!$I$83*'Plan mensual'!M313+parametros_recargas!$J$83*'Plan mensual'!M314+parametros_recargas!$K$83*'Plan mensual'!M315+parametros_recargas!$L$83*'Plan mensual'!M316</f>
        <v>5478.37500965749</v>
      </c>
      <c r="L301" s="23" t="n">
        <f aca="false">parametros_recargas!$E$83*'Plan mensual'!N309+parametros_recargas!$F$83*'Plan mensual'!N310+parametros_recargas!$G$83*'Plan mensual'!N311+parametros_recargas!$H$83*'Plan mensual'!N312+parametros_recargas!$I$83*'Plan mensual'!N313+parametros_recargas!$J$83*'Plan mensual'!N314+parametros_recargas!$K$83*'Plan mensual'!N315+parametros_recargas!$L$83*'Plan mensual'!N316</f>
        <v>5478.37500965749</v>
      </c>
      <c r="M301" s="23" t="n">
        <f aca="false">parametros_recargas!$E$83*'Plan mensual'!O309+parametros_recargas!$F$83*'Plan mensual'!O310+parametros_recargas!$G$83*'Plan mensual'!O311+parametros_recargas!$H$83*'Plan mensual'!O312+parametros_recargas!$I$83*'Plan mensual'!O313+parametros_recargas!$J$83*'Plan mensual'!O314+parametros_recargas!$K$83*'Plan mensual'!O315+parametros_recargas!$L$83*'Plan mensual'!O316</f>
        <v>5478.37500965749</v>
      </c>
      <c r="N301" s="7" t="n">
        <f aca="false">SUM(B301:M301)</f>
        <v>65740.5001158899</v>
      </c>
      <c r="O301" s="24" t="n">
        <f aca="false">MAX(B301:M301)</f>
        <v>5478.37500965749</v>
      </c>
      <c r="P301" s="15" t="n">
        <f aca="false">O301/parametros_recargas!$B$6</f>
        <v>36.5225000643833</v>
      </c>
    </row>
    <row r="302" customFormat="false" ht="15" hidden="false" customHeight="false" outlineLevel="0" collapsed="false">
      <c r="A302" s="12" t="str">
        <f aca="false">parametros_recargas!$B$84</f>
        <v>Secado</v>
      </c>
      <c r="B302" s="23" t="n">
        <f aca="false">parametros_recargas!$E$84*'Plan mensual'!D309+parametros_recargas!$F$84*'Plan mensual'!D310+parametros_recargas!$G$84*'Plan mensual'!D311+parametros_recargas!$H$84*'Plan mensual'!D312+parametros_recargas!$I$84*'Plan mensual'!D313+parametros_recargas!$J$84*'Plan mensual'!D314+parametros_recargas!$K$84*'Plan mensual'!D315+parametros_recargas!$L$84*'Plan mensual'!D316</f>
        <v>5088.30003708748</v>
      </c>
      <c r="C302" s="23" t="n">
        <f aca="false">parametros_recargas!$E$84*'Plan mensual'!E309+parametros_recargas!$F$84*'Plan mensual'!E310+parametros_recargas!$G$84*'Plan mensual'!E311+parametros_recargas!$H$84*'Plan mensual'!E312+parametros_recargas!$I$84*'Plan mensual'!E313+parametros_recargas!$J$84*'Plan mensual'!E314+parametros_recargas!$K$84*'Plan mensual'!E315+parametros_recargas!$L$84*'Plan mensual'!E316</f>
        <v>5088.30003708748</v>
      </c>
      <c r="D302" s="23" t="n">
        <f aca="false">parametros_recargas!$E$84*'Plan mensual'!F309+parametros_recargas!$F$84*'Plan mensual'!F310+parametros_recargas!$G$84*'Plan mensual'!F311+parametros_recargas!$H$84*'Plan mensual'!F312+parametros_recargas!$I$84*'Plan mensual'!F313+parametros_recargas!$J$84*'Plan mensual'!F314+parametros_recargas!$K$84*'Plan mensual'!F315+parametros_recargas!$L$84*'Plan mensual'!F316</f>
        <v>5088.30003708748</v>
      </c>
      <c r="E302" s="23" t="n">
        <f aca="false">parametros_recargas!$E$84*'Plan mensual'!G309+parametros_recargas!$F$84*'Plan mensual'!G310+parametros_recargas!$G$84*'Plan mensual'!G311+parametros_recargas!$H$84*'Plan mensual'!G312+parametros_recargas!$I$84*'Plan mensual'!G313+parametros_recargas!$J$84*'Plan mensual'!G314+parametros_recargas!$K$84*'Plan mensual'!G315+parametros_recargas!$L$84*'Plan mensual'!G316</f>
        <v>5088.30003708748</v>
      </c>
      <c r="F302" s="23" t="n">
        <f aca="false">parametros_recargas!$E$84*'Plan mensual'!H309+parametros_recargas!$F$84*'Plan mensual'!H310+parametros_recargas!$G$84*'Plan mensual'!H311+parametros_recargas!$H$84*'Plan mensual'!H312+parametros_recargas!$I$84*'Plan mensual'!H313+parametros_recargas!$J$84*'Plan mensual'!H314+parametros_recargas!$K$84*'Plan mensual'!H315+parametros_recargas!$L$84*'Plan mensual'!H316</f>
        <v>5088.30003708748</v>
      </c>
      <c r="G302" s="23" t="n">
        <f aca="false">parametros_recargas!$E$84*'Plan mensual'!I309+parametros_recargas!$F$84*'Plan mensual'!I310+parametros_recargas!$G$84*'Plan mensual'!I311+parametros_recargas!$H$84*'Plan mensual'!I312+parametros_recargas!$I$84*'Plan mensual'!I313+parametros_recargas!$J$84*'Plan mensual'!I314+parametros_recargas!$K$84*'Plan mensual'!I315+parametros_recargas!$L$84*'Plan mensual'!I316</f>
        <v>5088.30003708748</v>
      </c>
      <c r="H302" s="23" t="n">
        <f aca="false">parametros_recargas!$E$84*'Plan mensual'!J309+parametros_recargas!$F$84*'Plan mensual'!J310+parametros_recargas!$G$84*'Plan mensual'!J311+parametros_recargas!$H$84*'Plan mensual'!J312+parametros_recargas!$I$84*'Plan mensual'!J313+parametros_recargas!$J$84*'Plan mensual'!J314+parametros_recargas!$K$84*'Plan mensual'!J315+parametros_recargas!$L$84*'Plan mensual'!J316</f>
        <v>5088.30003708748</v>
      </c>
      <c r="I302" s="23" t="n">
        <f aca="false">parametros_recargas!$E$84*'Plan mensual'!K309+parametros_recargas!$F$84*'Plan mensual'!K310+parametros_recargas!$G$84*'Plan mensual'!K311+parametros_recargas!$H$84*'Plan mensual'!K312+parametros_recargas!$I$84*'Plan mensual'!K313+parametros_recargas!$J$84*'Plan mensual'!K314+parametros_recargas!$K$84*'Plan mensual'!K315+parametros_recargas!$L$84*'Plan mensual'!K316</f>
        <v>5088.30003708748</v>
      </c>
      <c r="J302" s="23" t="n">
        <f aca="false">parametros_recargas!$E$84*'Plan mensual'!L309+parametros_recargas!$F$84*'Plan mensual'!L310+parametros_recargas!$G$84*'Plan mensual'!L311+parametros_recargas!$H$84*'Plan mensual'!L312+parametros_recargas!$I$84*'Plan mensual'!L313+parametros_recargas!$J$84*'Plan mensual'!L314+parametros_recargas!$K$84*'Plan mensual'!L315+parametros_recargas!$L$84*'Plan mensual'!L316</f>
        <v>5088.30003708748</v>
      </c>
      <c r="K302" s="23" t="n">
        <f aca="false">parametros_recargas!$E$84*'Plan mensual'!M309+parametros_recargas!$F$84*'Plan mensual'!M310+parametros_recargas!$G$84*'Plan mensual'!M311+parametros_recargas!$H$84*'Plan mensual'!M312+parametros_recargas!$I$84*'Plan mensual'!M313+parametros_recargas!$J$84*'Plan mensual'!M314+parametros_recargas!$K$84*'Plan mensual'!M315+parametros_recargas!$L$84*'Plan mensual'!M316</f>
        <v>5088.30003708748</v>
      </c>
      <c r="L302" s="23" t="n">
        <f aca="false">parametros_recargas!$E$84*'Plan mensual'!N309+parametros_recargas!$F$84*'Plan mensual'!N310+parametros_recargas!$G$84*'Plan mensual'!N311+parametros_recargas!$H$84*'Plan mensual'!N312+parametros_recargas!$I$84*'Plan mensual'!N313+parametros_recargas!$J$84*'Plan mensual'!N314+parametros_recargas!$K$84*'Plan mensual'!N315+parametros_recargas!$L$84*'Plan mensual'!N316</f>
        <v>5088.30003708748</v>
      </c>
      <c r="M302" s="23" t="n">
        <f aca="false">parametros_recargas!$E$84*'Plan mensual'!O309+parametros_recargas!$F$84*'Plan mensual'!O310+parametros_recargas!$G$84*'Plan mensual'!O311+parametros_recargas!$H$84*'Plan mensual'!O312+parametros_recargas!$I$84*'Plan mensual'!O313+parametros_recargas!$J$84*'Plan mensual'!O314+parametros_recargas!$K$84*'Plan mensual'!O315+parametros_recargas!$L$84*'Plan mensual'!O316</f>
        <v>5088.30003708748</v>
      </c>
      <c r="N302" s="7" t="n">
        <f aca="false">SUM(B302:M302)</f>
        <v>61059.6004450498</v>
      </c>
      <c r="O302" s="24" t="n">
        <f aca="false">MAX(B302:M302)</f>
        <v>5088.30003708748</v>
      </c>
      <c r="P302" s="15" t="n">
        <f aca="false">O302/parametros_recargas!$B$6</f>
        <v>33.9220002472499</v>
      </c>
    </row>
    <row r="303" customFormat="false" ht="15" hidden="false" customHeight="false" outlineLevel="0" collapsed="false">
      <c r="A303" s="12" t="str">
        <f aca="false">parametros_recargas!$B$85</f>
        <v>Inspección interior con videoscopio</v>
      </c>
      <c r="B303" s="23" t="n">
        <f aca="false">parametros_recargas!$E$85*'Plan mensual'!D309+parametros_recargas!$F$85*'Plan mensual'!D310+parametros_recargas!$G$85*'Plan mensual'!D311+parametros_recargas!$H$85*'Plan mensual'!D312+parametros_recargas!$I$85*'Plan mensual'!D313+parametros_recargas!$J$85*'Plan mensual'!D314+parametros_recargas!$K$85*'Plan mensual'!D315+parametros_recargas!$L$85*'Plan mensual'!D316</f>
        <v>5088.30003708748</v>
      </c>
      <c r="C303" s="23" t="n">
        <f aca="false">parametros_recargas!$E$85*'Plan mensual'!E309+parametros_recargas!$F$85*'Plan mensual'!E310+parametros_recargas!$G$85*'Plan mensual'!E311+parametros_recargas!$H$85*'Plan mensual'!E312+parametros_recargas!$I$85*'Plan mensual'!E313+parametros_recargas!$J$85*'Plan mensual'!E314+parametros_recargas!$K$85*'Plan mensual'!E315+parametros_recargas!$L$85*'Plan mensual'!E316</f>
        <v>5088.30003708748</v>
      </c>
      <c r="D303" s="23" t="n">
        <f aca="false">parametros_recargas!$E$85*'Plan mensual'!F309+parametros_recargas!$F$85*'Plan mensual'!F310+parametros_recargas!$G$85*'Plan mensual'!F311+parametros_recargas!$H$85*'Plan mensual'!F312+parametros_recargas!$I$85*'Plan mensual'!F313+parametros_recargas!$J$85*'Plan mensual'!F314+parametros_recargas!$K$85*'Plan mensual'!F315+parametros_recargas!$L$85*'Plan mensual'!F316</f>
        <v>5088.30003708748</v>
      </c>
      <c r="E303" s="23" t="n">
        <f aca="false">parametros_recargas!$E$85*'Plan mensual'!G309+parametros_recargas!$F$85*'Plan mensual'!G310+parametros_recargas!$G$85*'Plan mensual'!G311+parametros_recargas!$H$85*'Plan mensual'!G312+parametros_recargas!$I$85*'Plan mensual'!G313+parametros_recargas!$J$85*'Plan mensual'!G314+parametros_recargas!$K$85*'Plan mensual'!G315+parametros_recargas!$L$85*'Plan mensual'!G316</f>
        <v>5088.30003708748</v>
      </c>
      <c r="F303" s="23" t="n">
        <f aca="false">parametros_recargas!$E$85*'Plan mensual'!H309+parametros_recargas!$F$85*'Plan mensual'!H310+parametros_recargas!$G$85*'Plan mensual'!H311+parametros_recargas!$H$85*'Plan mensual'!H312+parametros_recargas!$I$85*'Plan mensual'!H313+parametros_recargas!$J$85*'Plan mensual'!H314+parametros_recargas!$K$85*'Plan mensual'!H315+parametros_recargas!$L$85*'Plan mensual'!H316</f>
        <v>5088.30003708748</v>
      </c>
      <c r="G303" s="23" t="n">
        <f aca="false">parametros_recargas!$E$85*'Plan mensual'!I309+parametros_recargas!$F$85*'Plan mensual'!I310+parametros_recargas!$G$85*'Plan mensual'!I311+parametros_recargas!$H$85*'Plan mensual'!I312+parametros_recargas!$I$85*'Plan mensual'!I313+parametros_recargas!$J$85*'Plan mensual'!I314+parametros_recargas!$K$85*'Plan mensual'!I315+parametros_recargas!$L$85*'Plan mensual'!I316</f>
        <v>5088.30003708748</v>
      </c>
      <c r="H303" s="23" t="n">
        <f aca="false">parametros_recargas!$E$85*'Plan mensual'!J309+parametros_recargas!$F$85*'Plan mensual'!J310+parametros_recargas!$G$85*'Plan mensual'!J311+parametros_recargas!$H$85*'Plan mensual'!J312+parametros_recargas!$I$85*'Plan mensual'!J313+parametros_recargas!$J$85*'Plan mensual'!J314+parametros_recargas!$K$85*'Plan mensual'!J315+parametros_recargas!$L$85*'Plan mensual'!J316</f>
        <v>5088.30003708748</v>
      </c>
      <c r="I303" s="23" t="n">
        <f aca="false">parametros_recargas!$E$85*'Plan mensual'!K309+parametros_recargas!$F$85*'Plan mensual'!K310+parametros_recargas!$G$85*'Plan mensual'!K311+parametros_recargas!$H$85*'Plan mensual'!K312+parametros_recargas!$I$85*'Plan mensual'!K313+parametros_recargas!$J$85*'Plan mensual'!K314+parametros_recargas!$K$85*'Plan mensual'!K315+parametros_recargas!$L$85*'Plan mensual'!K316</f>
        <v>5088.30003708748</v>
      </c>
      <c r="J303" s="23" t="n">
        <f aca="false">parametros_recargas!$E$85*'Plan mensual'!L309+parametros_recargas!$F$85*'Plan mensual'!L310+parametros_recargas!$G$85*'Plan mensual'!L311+parametros_recargas!$H$85*'Plan mensual'!L312+parametros_recargas!$I$85*'Plan mensual'!L313+parametros_recargas!$J$85*'Plan mensual'!L314+parametros_recargas!$K$85*'Plan mensual'!L315+parametros_recargas!$L$85*'Plan mensual'!L316</f>
        <v>5088.30003708748</v>
      </c>
      <c r="K303" s="23" t="n">
        <f aca="false">parametros_recargas!$E$85*'Plan mensual'!M309+parametros_recargas!$F$85*'Plan mensual'!M310+parametros_recargas!$G$85*'Plan mensual'!M311+parametros_recargas!$H$85*'Plan mensual'!M312+parametros_recargas!$I$85*'Plan mensual'!M313+parametros_recargas!$J$85*'Plan mensual'!M314+parametros_recargas!$K$85*'Plan mensual'!M315+parametros_recargas!$L$85*'Plan mensual'!M316</f>
        <v>5088.30003708748</v>
      </c>
      <c r="L303" s="23" t="n">
        <f aca="false">parametros_recargas!$E$85*'Plan mensual'!N309+parametros_recargas!$F$85*'Plan mensual'!N310+parametros_recargas!$G$85*'Plan mensual'!N311+parametros_recargas!$H$85*'Plan mensual'!N312+parametros_recargas!$I$85*'Plan mensual'!N313+parametros_recargas!$J$85*'Plan mensual'!N314+parametros_recargas!$K$85*'Plan mensual'!N315+parametros_recargas!$L$85*'Plan mensual'!N316</f>
        <v>5088.30003708748</v>
      </c>
      <c r="M303" s="23" t="n">
        <f aca="false">parametros_recargas!$E$85*'Plan mensual'!O309+parametros_recargas!$F$85*'Plan mensual'!O310+parametros_recargas!$G$85*'Plan mensual'!O311+parametros_recargas!$H$85*'Plan mensual'!O312+parametros_recargas!$I$85*'Plan mensual'!O313+parametros_recargas!$J$85*'Plan mensual'!O314+parametros_recargas!$K$85*'Plan mensual'!O315+parametros_recargas!$L$85*'Plan mensual'!O316</f>
        <v>5088.30003708748</v>
      </c>
      <c r="N303" s="7" t="n">
        <f aca="false">SUM(B303:M303)</f>
        <v>61059.6004450498</v>
      </c>
      <c r="O303" s="24" t="n">
        <f aca="false">MAX(B303:M303)</f>
        <v>5088.30003708748</v>
      </c>
      <c r="P303" s="15" t="n">
        <f aca="false">O303/parametros_recargas!$B$6</f>
        <v>33.9220002472499</v>
      </c>
    </row>
    <row r="304" customFormat="false" ht="15" hidden="false" customHeight="false" outlineLevel="0" collapsed="false">
      <c r="A304" s="12" t="str">
        <f aca="false">parametros_recargas!$B$86</f>
        <v>Pintura</v>
      </c>
      <c r="B304" s="23" t="n">
        <f aca="false">parametros_recargas!$E$86*'Plan mensual'!D309+parametros_recargas!$F$86*'Plan mensual'!D310+parametros_recargas!$G$86*'Plan mensual'!D311+parametros_recargas!$H$86*'Plan mensual'!D312+parametros_recargas!$I$86*'Plan mensual'!D313+parametros_recargas!$J$86*'Plan mensual'!D314+parametros_recargas!$K$86*'Plan mensual'!D315+parametros_recargas!$L$86*'Plan mensual'!D316</f>
        <v>2556.09834847739</v>
      </c>
      <c r="C304" s="23" t="n">
        <f aca="false">parametros_recargas!$E$86*'Plan mensual'!E309+parametros_recargas!$F$86*'Plan mensual'!E310+parametros_recargas!$G$86*'Plan mensual'!E311+parametros_recargas!$H$86*'Plan mensual'!E312+parametros_recargas!$I$86*'Plan mensual'!E313+parametros_recargas!$J$86*'Plan mensual'!E314+parametros_recargas!$K$86*'Plan mensual'!E315+parametros_recargas!$L$86*'Plan mensual'!E316</f>
        <v>2556.09834847739</v>
      </c>
      <c r="D304" s="23" t="n">
        <f aca="false">parametros_recargas!$E$86*'Plan mensual'!F309+parametros_recargas!$F$86*'Plan mensual'!F310+parametros_recargas!$G$86*'Plan mensual'!F311+parametros_recargas!$H$86*'Plan mensual'!F312+parametros_recargas!$I$86*'Plan mensual'!F313+parametros_recargas!$J$86*'Plan mensual'!F314+parametros_recargas!$K$86*'Plan mensual'!F315+parametros_recargas!$L$86*'Plan mensual'!F316</f>
        <v>2556.09834847739</v>
      </c>
      <c r="E304" s="23" t="n">
        <f aca="false">parametros_recargas!$E$86*'Plan mensual'!G309+parametros_recargas!$F$86*'Plan mensual'!G310+parametros_recargas!$G$86*'Plan mensual'!G311+parametros_recargas!$H$86*'Plan mensual'!G312+parametros_recargas!$I$86*'Plan mensual'!G313+parametros_recargas!$J$86*'Plan mensual'!G314+parametros_recargas!$K$86*'Plan mensual'!G315+parametros_recargas!$L$86*'Plan mensual'!G316</f>
        <v>2556.09834847739</v>
      </c>
      <c r="F304" s="23" t="n">
        <f aca="false">parametros_recargas!$E$86*'Plan mensual'!H309+parametros_recargas!$F$86*'Plan mensual'!H310+parametros_recargas!$G$86*'Plan mensual'!H311+parametros_recargas!$H$86*'Plan mensual'!H312+parametros_recargas!$I$86*'Plan mensual'!H313+parametros_recargas!$J$86*'Plan mensual'!H314+parametros_recargas!$K$86*'Plan mensual'!H315+parametros_recargas!$L$86*'Plan mensual'!H316</f>
        <v>2556.09834847739</v>
      </c>
      <c r="G304" s="23" t="n">
        <f aca="false">parametros_recargas!$E$86*'Plan mensual'!I309+parametros_recargas!$F$86*'Plan mensual'!I310+parametros_recargas!$G$86*'Plan mensual'!I311+parametros_recargas!$H$86*'Plan mensual'!I312+parametros_recargas!$I$86*'Plan mensual'!I313+parametros_recargas!$J$86*'Plan mensual'!I314+parametros_recargas!$K$86*'Plan mensual'!I315+parametros_recargas!$L$86*'Plan mensual'!I316</f>
        <v>2556.09834847739</v>
      </c>
      <c r="H304" s="23" t="n">
        <f aca="false">parametros_recargas!$E$86*'Plan mensual'!J309+parametros_recargas!$F$86*'Plan mensual'!J310+parametros_recargas!$G$86*'Plan mensual'!J311+parametros_recargas!$H$86*'Plan mensual'!J312+parametros_recargas!$I$86*'Plan mensual'!J313+parametros_recargas!$J$86*'Plan mensual'!J314+parametros_recargas!$K$86*'Plan mensual'!J315+parametros_recargas!$L$86*'Plan mensual'!J316</f>
        <v>2556.09834847739</v>
      </c>
      <c r="I304" s="23" t="n">
        <f aca="false">parametros_recargas!$E$86*'Plan mensual'!K309+parametros_recargas!$F$86*'Plan mensual'!K310+parametros_recargas!$G$86*'Plan mensual'!K311+parametros_recargas!$H$86*'Plan mensual'!K312+parametros_recargas!$I$86*'Plan mensual'!K313+parametros_recargas!$J$86*'Plan mensual'!K314+parametros_recargas!$K$86*'Plan mensual'!K315+parametros_recargas!$L$86*'Plan mensual'!K316</f>
        <v>2556.09834847739</v>
      </c>
      <c r="J304" s="23" t="n">
        <f aca="false">parametros_recargas!$E$86*'Plan mensual'!L309+parametros_recargas!$F$86*'Plan mensual'!L310+parametros_recargas!$G$86*'Plan mensual'!L311+parametros_recargas!$H$86*'Plan mensual'!L312+parametros_recargas!$I$86*'Plan mensual'!L313+parametros_recargas!$J$86*'Plan mensual'!L314+parametros_recargas!$K$86*'Plan mensual'!L315+parametros_recargas!$L$86*'Plan mensual'!L316</f>
        <v>2556.09834847739</v>
      </c>
      <c r="K304" s="23" t="n">
        <f aca="false">parametros_recargas!$E$86*'Plan mensual'!M309+parametros_recargas!$F$86*'Plan mensual'!M310+parametros_recargas!$G$86*'Plan mensual'!M311+parametros_recargas!$H$86*'Plan mensual'!M312+parametros_recargas!$I$86*'Plan mensual'!M313+parametros_recargas!$J$86*'Plan mensual'!M314+parametros_recargas!$K$86*'Plan mensual'!M315+parametros_recargas!$L$86*'Plan mensual'!M316</f>
        <v>2556.09834847739</v>
      </c>
      <c r="L304" s="23" t="n">
        <f aca="false">parametros_recargas!$E$86*'Plan mensual'!N309+parametros_recargas!$F$86*'Plan mensual'!N310+parametros_recargas!$G$86*'Plan mensual'!N311+parametros_recargas!$H$86*'Plan mensual'!N312+parametros_recargas!$I$86*'Plan mensual'!N313+parametros_recargas!$J$86*'Plan mensual'!N314+parametros_recargas!$K$86*'Plan mensual'!N315+parametros_recargas!$L$86*'Plan mensual'!N316</f>
        <v>2556.09834847739</v>
      </c>
      <c r="M304" s="23" t="n">
        <f aca="false">parametros_recargas!$E$86*'Plan mensual'!O309+parametros_recargas!$F$86*'Plan mensual'!O310+parametros_recargas!$G$86*'Plan mensual'!O311+parametros_recargas!$H$86*'Plan mensual'!O312+parametros_recargas!$I$86*'Plan mensual'!O313+parametros_recargas!$J$86*'Plan mensual'!O314+parametros_recargas!$K$86*'Plan mensual'!O315+parametros_recargas!$L$86*'Plan mensual'!O316</f>
        <v>2556.09834847739</v>
      </c>
      <c r="N304" s="7" t="n">
        <f aca="false">SUM(B304:M304)</f>
        <v>30673.1801817287</v>
      </c>
      <c r="O304" s="24" t="n">
        <f aca="false">MAX(B304:M304)</f>
        <v>2556.09834847739</v>
      </c>
      <c r="P304" s="15" t="n">
        <f aca="false">O304/parametros_recargas!$B$6</f>
        <v>17.0406556565159</v>
      </c>
    </row>
    <row r="305" customFormat="false" ht="15" hidden="false" customHeight="false" outlineLevel="0" collapsed="false">
      <c r="A305" s="12" t="str">
        <f aca="false">parametros_recargas!$B$87</f>
        <v>Carga de polvo ABC</v>
      </c>
      <c r="B305" s="23" t="n">
        <f aca="false">parametros_recargas!$E$87*'Plan mensual'!D309+parametros_recargas!$F$87*'Plan mensual'!D310+parametros_recargas!$G$87*'Plan mensual'!D311+parametros_recargas!$H$87*'Plan mensual'!D312+parametros_recargas!$I$87*'Plan mensual'!D313+parametros_recargas!$J$87*'Plan mensual'!D314+parametros_recargas!$K$87*'Plan mensual'!D315+parametros_recargas!$L$87*'Plan mensual'!D316</f>
        <v>21952.6431470413</v>
      </c>
      <c r="C305" s="23" t="n">
        <f aca="false">parametros_recargas!$E$87*'Plan mensual'!E309+parametros_recargas!$F$87*'Plan mensual'!E310+parametros_recargas!$G$87*'Plan mensual'!E311+parametros_recargas!$H$87*'Plan mensual'!E312+parametros_recargas!$I$87*'Plan mensual'!E313+parametros_recargas!$J$87*'Plan mensual'!E314+parametros_recargas!$K$87*'Plan mensual'!E315+parametros_recargas!$L$87*'Plan mensual'!E316</f>
        <v>21952.6431470413</v>
      </c>
      <c r="D305" s="23" t="n">
        <f aca="false">parametros_recargas!$E$87*'Plan mensual'!F309+parametros_recargas!$F$87*'Plan mensual'!F310+parametros_recargas!$G$87*'Plan mensual'!F311+parametros_recargas!$H$87*'Plan mensual'!F312+parametros_recargas!$I$87*'Plan mensual'!F313+parametros_recargas!$J$87*'Plan mensual'!F314+parametros_recargas!$K$87*'Plan mensual'!F315+parametros_recargas!$L$87*'Plan mensual'!F316</f>
        <v>21952.6431470413</v>
      </c>
      <c r="E305" s="23" t="n">
        <f aca="false">parametros_recargas!$E$87*'Plan mensual'!G309+parametros_recargas!$F$87*'Plan mensual'!G310+parametros_recargas!$G$87*'Plan mensual'!G311+parametros_recargas!$H$87*'Plan mensual'!G312+parametros_recargas!$I$87*'Plan mensual'!G313+parametros_recargas!$J$87*'Plan mensual'!G314+parametros_recargas!$K$87*'Plan mensual'!G315+parametros_recargas!$L$87*'Plan mensual'!G316</f>
        <v>21952.6431470413</v>
      </c>
      <c r="F305" s="23" t="n">
        <f aca="false">parametros_recargas!$E$87*'Plan mensual'!H309+parametros_recargas!$F$87*'Plan mensual'!H310+parametros_recargas!$G$87*'Plan mensual'!H311+parametros_recargas!$H$87*'Plan mensual'!H312+parametros_recargas!$I$87*'Plan mensual'!H313+parametros_recargas!$J$87*'Plan mensual'!H314+parametros_recargas!$K$87*'Plan mensual'!H315+parametros_recargas!$L$87*'Plan mensual'!H316</f>
        <v>21952.6431470413</v>
      </c>
      <c r="G305" s="23" t="n">
        <f aca="false">parametros_recargas!$E$87*'Plan mensual'!I309+parametros_recargas!$F$87*'Plan mensual'!I310+parametros_recargas!$G$87*'Plan mensual'!I311+parametros_recargas!$H$87*'Plan mensual'!I312+parametros_recargas!$I$87*'Plan mensual'!I313+parametros_recargas!$J$87*'Plan mensual'!I314+parametros_recargas!$K$87*'Plan mensual'!I315+parametros_recargas!$L$87*'Plan mensual'!I316</f>
        <v>21952.6431470413</v>
      </c>
      <c r="H305" s="23" t="n">
        <f aca="false">parametros_recargas!$E$87*'Plan mensual'!J309+parametros_recargas!$F$87*'Plan mensual'!J310+parametros_recargas!$G$87*'Plan mensual'!J311+parametros_recargas!$H$87*'Plan mensual'!J312+parametros_recargas!$I$87*'Plan mensual'!J313+parametros_recargas!$J$87*'Plan mensual'!J314+parametros_recargas!$K$87*'Plan mensual'!J315+parametros_recargas!$L$87*'Plan mensual'!J316</f>
        <v>21952.6431470413</v>
      </c>
      <c r="I305" s="23" t="n">
        <f aca="false">parametros_recargas!$E$87*'Plan mensual'!K309+parametros_recargas!$F$87*'Plan mensual'!K310+parametros_recargas!$G$87*'Plan mensual'!K311+parametros_recargas!$H$87*'Plan mensual'!K312+parametros_recargas!$I$87*'Plan mensual'!K313+parametros_recargas!$J$87*'Plan mensual'!K314+parametros_recargas!$K$87*'Plan mensual'!K315+parametros_recargas!$L$87*'Plan mensual'!K316</f>
        <v>21952.6431470413</v>
      </c>
      <c r="J305" s="23" t="n">
        <f aca="false">parametros_recargas!$E$87*'Plan mensual'!L309+parametros_recargas!$F$87*'Plan mensual'!L310+parametros_recargas!$G$87*'Plan mensual'!L311+parametros_recargas!$H$87*'Plan mensual'!L312+parametros_recargas!$I$87*'Plan mensual'!L313+parametros_recargas!$J$87*'Plan mensual'!L314+parametros_recargas!$K$87*'Plan mensual'!L315+parametros_recargas!$L$87*'Plan mensual'!L316</f>
        <v>21952.6431470413</v>
      </c>
      <c r="K305" s="23" t="n">
        <f aca="false">parametros_recargas!$E$87*'Plan mensual'!M309+parametros_recargas!$F$87*'Plan mensual'!M310+parametros_recargas!$G$87*'Plan mensual'!M311+parametros_recargas!$H$87*'Plan mensual'!M312+parametros_recargas!$I$87*'Plan mensual'!M313+parametros_recargas!$J$87*'Plan mensual'!M314+parametros_recargas!$K$87*'Plan mensual'!M315+parametros_recargas!$L$87*'Plan mensual'!M316</f>
        <v>21952.6431470413</v>
      </c>
      <c r="L305" s="23" t="n">
        <f aca="false">parametros_recargas!$E$87*'Plan mensual'!N309+parametros_recargas!$F$87*'Plan mensual'!N310+parametros_recargas!$G$87*'Plan mensual'!N311+parametros_recargas!$H$87*'Plan mensual'!N312+parametros_recargas!$I$87*'Plan mensual'!N313+parametros_recargas!$J$87*'Plan mensual'!N314+parametros_recargas!$K$87*'Plan mensual'!N315+parametros_recargas!$L$87*'Plan mensual'!N316</f>
        <v>21952.6431470413</v>
      </c>
      <c r="M305" s="23" t="n">
        <f aca="false">parametros_recargas!$E$87*'Plan mensual'!O309+parametros_recargas!$F$87*'Plan mensual'!O310+parametros_recargas!$G$87*'Plan mensual'!O311+parametros_recargas!$H$87*'Plan mensual'!O312+parametros_recargas!$I$87*'Plan mensual'!O313+parametros_recargas!$J$87*'Plan mensual'!O314+parametros_recargas!$K$87*'Plan mensual'!O315+parametros_recargas!$L$87*'Plan mensual'!O316</f>
        <v>21952.6431470413</v>
      </c>
      <c r="N305" s="7" t="n">
        <f aca="false">SUM(B305:M305)</f>
        <v>263431.717764495</v>
      </c>
      <c r="O305" s="24" t="n">
        <f aca="false">MAX(B305:M305)</f>
        <v>21952.6431470413</v>
      </c>
      <c r="P305" s="15" t="n">
        <f aca="false">O305/parametros_recargas!$B$6</f>
        <v>146.350954313609</v>
      </c>
    </row>
    <row r="306" customFormat="false" ht="15" hidden="false" customHeight="false" outlineLevel="0" collapsed="false">
      <c r="A306" s="12" t="str">
        <f aca="false">parametros_recargas!$B$88</f>
        <v>Carga de polvo BC</v>
      </c>
      <c r="B306" s="23" t="n">
        <f aca="false">parametros_recargas!$E$88*'Plan mensual'!D309+parametros_recargas!$F$88*'Plan mensual'!D310+parametros_recargas!$G$88*'Plan mensual'!D311+parametros_recargas!$H$88*'Plan mensual'!D312+parametros_recargas!$I$88*'Plan mensual'!D313+parametros_recargas!$J$88*'Plan mensual'!D314+parametros_recargas!$K$88*'Plan mensual'!D315+parametros_recargas!$L$88*'Plan mensual'!D316</f>
        <v>36.5935705830839</v>
      </c>
      <c r="C306" s="23" t="n">
        <f aca="false">parametros_recargas!$E$88*'Plan mensual'!E309+parametros_recargas!$F$88*'Plan mensual'!E310+parametros_recargas!$G$88*'Plan mensual'!E311+parametros_recargas!$H$88*'Plan mensual'!E312+parametros_recargas!$I$88*'Plan mensual'!E313+parametros_recargas!$J$88*'Plan mensual'!E314+parametros_recargas!$K$88*'Plan mensual'!E315+parametros_recargas!$L$88*'Plan mensual'!E316</f>
        <v>36.5935705830839</v>
      </c>
      <c r="D306" s="23" t="n">
        <f aca="false">parametros_recargas!$E$88*'Plan mensual'!F309+parametros_recargas!$F$88*'Plan mensual'!F310+parametros_recargas!$G$88*'Plan mensual'!F311+parametros_recargas!$H$88*'Plan mensual'!F312+parametros_recargas!$I$88*'Plan mensual'!F313+parametros_recargas!$J$88*'Plan mensual'!F314+parametros_recargas!$K$88*'Plan mensual'!F315+parametros_recargas!$L$88*'Plan mensual'!F316</f>
        <v>36.5935705830839</v>
      </c>
      <c r="E306" s="23" t="n">
        <f aca="false">parametros_recargas!$E$88*'Plan mensual'!G309+parametros_recargas!$F$88*'Plan mensual'!G310+parametros_recargas!$G$88*'Plan mensual'!G311+parametros_recargas!$H$88*'Plan mensual'!G312+parametros_recargas!$I$88*'Plan mensual'!G313+parametros_recargas!$J$88*'Plan mensual'!G314+parametros_recargas!$K$88*'Plan mensual'!G315+parametros_recargas!$L$88*'Plan mensual'!G316</f>
        <v>36.5935705830839</v>
      </c>
      <c r="F306" s="23" t="n">
        <f aca="false">parametros_recargas!$E$88*'Plan mensual'!H309+parametros_recargas!$F$88*'Plan mensual'!H310+parametros_recargas!$G$88*'Plan mensual'!H311+parametros_recargas!$H$88*'Plan mensual'!H312+parametros_recargas!$I$88*'Plan mensual'!H313+parametros_recargas!$J$88*'Plan mensual'!H314+parametros_recargas!$K$88*'Plan mensual'!H315+parametros_recargas!$L$88*'Plan mensual'!H316</f>
        <v>36.5935705830839</v>
      </c>
      <c r="G306" s="23" t="n">
        <f aca="false">parametros_recargas!$E$88*'Plan mensual'!I309+parametros_recargas!$F$88*'Plan mensual'!I310+parametros_recargas!$G$88*'Plan mensual'!I311+parametros_recargas!$H$88*'Plan mensual'!I312+parametros_recargas!$I$88*'Plan mensual'!I313+parametros_recargas!$J$88*'Plan mensual'!I314+parametros_recargas!$K$88*'Plan mensual'!I315+parametros_recargas!$L$88*'Plan mensual'!I316</f>
        <v>36.5935705830839</v>
      </c>
      <c r="H306" s="23" t="n">
        <f aca="false">parametros_recargas!$E$88*'Plan mensual'!J309+parametros_recargas!$F$88*'Plan mensual'!J310+parametros_recargas!$G$88*'Plan mensual'!J311+parametros_recargas!$H$88*'Plan mensual'!J312+parametros_recargas!$I$88*'Plan mensual'!J313+parametros_recargas!$J$88*'Plan mensual'!J314+parametros_recargas!$K$88*'Plan mensual'!J315+parametros_recargas!$L$88*'Plan mensual'!J316</f>
        <v>36.5935705830839</v>
      </c>
      <c r="I306" s="23" t="n">
        <f aca="false">parametros_recargas!$E$88*'Plan mensual'!K309+parametros_recargas!$F$88*'Plan mensual'!K310+parametros_recargas!$G$88*'Plan mensual'!K311+parametros_recargas!$H$88*'Plan mensual'!K312+parametros_recargas!$I$88*'Plan mensual'!K313+parametros_recargas!$J$88*'Plan mensual'!K314+parametros_recargas!$K$88*'Plan mensual'!K315+parametros_recargas!$L$88*'Plan mensual'!K316</f>
        <v>36.5935705830839</v>
      </c>
      <c r="J306" s="23" t="n">
        <f aca="false">parametros_recargas!$E$88*'Plan mensual'!L309+parametros_recargas!$F$88*'Plan mensual'!L310+parametros_recargas!$G$88*'Plan mensual'!L311+parametros_recargas!$H$88*'Plan mensual'!L312+parametros_recargas!$I$88*'Plan mensual'!L313+parametros_recargas!$J$88*'Plan mensual'!L314+parametros_recargas!$K$88*'Plan mensual'!L315+parametros_recargas!$L$88*'Plan mensual'!L316</f>
        <v>36.5935705830839</v>
      </c>
      <c r="K306" s="23" t="n">
        <f aca="false">parametros_recargas!$E$88*'Plan mensual'!M309+parametros_recargas!$F$88*'Plan mensual'!M310+parametros_recargas!$G$88*'Plan mensual'!M311+parametros_recargas!$H$88*'Plan mensual'!M312+parametros_recargas!$I$88*'Plan mensual'!M313+parametros_recargas!$J$88*'Plan mensual'!M314+parametros_recargas!$K$88*'Plan mensual'!M315+parametros_recargas!$L$88*'Plan mensual'!M316</f>
        <v>36.5935705830839</v>
      </c>
      <c r="L306" s="23" t="n">
        <f aca="false">parametros_recargas!$E$88*'Plan mensual'!N309+parametros_recargas!$F$88*'Plan mensual'!N310+parametros_recargas!$G$88*'Plan mensual'!N311+parametros_recargas!$H$88*'Plan mensual'!N312+parametros_recargas!$I$88*'Plan mensual'!N313+parametros_recargas!$J$88*'Plan mensual'!N314+parametros_recargas!$K$88*'Plan mensual'!N315+parametros_recargas!$L$88*'Plan mensual'!N316</f>
        <v>36.5935705830839</v>
      </c>
      <c r="M306" s="23" t="n">
        <f aca="false">parametros_recargas!$E$88*'Plan mensual'!O309+parametros_recargas!$F$88*'Plan mensual'!O310+parametros_recargas!$G$88*'Plan mensual'!O311+parametros_recargas!$H$88*'Plan mensual'!O312+parametros_recargas!$I$88*'Plan mensual'!O313+parametros_recargas!$J$88*'Plan mensual'!O314+parametros_recargas!$K$88*'Plan mensual'!O315+parametros_recargas!$L$88*'Plan mensual'!O316</f>
        <v>36.5935705830839</v>
      </c>
      <c r="N306" s="7" t="n">
        <f aca="false">SUM(B306:M306)</f>
        <v>439.122846997007</v>
      </c>
      <c r="O306" s="24" t="n">
        <f aca="false">MAX(B306:M306)</f>
        <v>36.5935705830839</v>
      </c>
      <c r="P306" s="15" t="n">
        <f aca="false">O306/parametros_recargas!$B$6</f>
        <v>0.243957137220559</v>
      </c>
    </row>
    <row r="307" customFormat="false" ht="15" hidden="false" customHeight="false" outlineLevel="0" collapsed="false">
      <c r="A307" s="12" t="str">
        <f aca="false">parametros_recargas!$B$89</f>
        <v>Descarga y carga Clase D</v>
      </c>
      <c r="B307" s="23" t="n">
        <f aca="false">parametros_recargas!$E$89*'Plan mensual'!D309+parametros_recargas!$F$89*'Plan mensual'!D310+parametros_recargas!$G$89*'Plan mensual'!D311+parametros_recargas!$H$89*'Plan mensual'!D312+parametros_recargas!$I$89*'Plan mensual'!D313+parametros_recargas!$J$89*'Plan mensual'!D314+parametros_recargas!$K$89*'Plan mensual'!D315+parametros_recargas!$L$89*'Plan mensual'!D316</f>
        <v>32.9848091595509</v>
      </c>
      <c r="C307" s="23" t="n">
        <f aca="false">parametros_recargas!$E$89*'Plan mensual'!E309+parametros_recargas!$F$89*'Plan mensual'!E310+parametros_recargas!$G$89*'Plan mensual'!E311+parametros_recargas!$H$89*'Plan mensual'!E312+parametros_recargas!$I$89*'Plan mensual'!E313+parametros_recargas!$J$89*'Plan mensual'!E314+parametros_recargas!$K$89*'Plan mensual'!E315+parametros_recargas!$L$89*'Plan mensual'!E316</f>
        <v>32.9848091595509</v>
      </c>
      <c r="D307" s="23" t="n">
        <f aca="false">parametros_recargas!$E$89*'Plan mensual'!F309+parametros_recargas!$F$89*'Plan mensual'!F310+parametros_recargas!$G$89*'Plan mensual'!F311+parametros_recargas!$H$89*'Plan mensual'!F312+parametros_recargas!$I$89*'Plan mensual'!F313+parametros_recargas!$J$89*'Plan mensual'!F314+parametros_recargas!$K$89*'Plan mensual'!F315+parametros_recargas!$L$89*'Plan mensual'!F316</f>
        <v>32.9848091595509</v>
      </c>
      <c r="E307" s="23" t="n">
        <f aca="false">parametros_recargas!$E$89*'Plan mensual'!G309+parametros_recargas!$F$89*'Plan mensual'!G310+parametros_recargas!$G$89*'Plan mensual'!G311+parametros_recargas!$H$89*'Plan mensual'!G312+parametros_recargas!$I$89*'Plan mensual'!G313+parametros_recargas!$J$89*'Plan mensual'!G314+parametros_recargas!$K$89*'Plan mensual'!G315+parametros_recargas!$L$89*'Plan mensual'!G316</f>
        <v>32.9848091595509</v>
      </c>
      <c r="F307" s="23" t="n">
        <f aca="false">parametros_recargas!$E$89*'Plan mensual'!H309+parametros_recargas!$F$89*'Plan mensual'!H310+parametros_recargas!$G$89*'Plan mensual'!H311+parametros_recargas!$H$89*'Plan mensual'!H312+parametros_recargas!$I$89*'Plan mensual'!H313+parametros_recargas!$J$89*'Plan mensual'!H314+parametros_recargas!$K$89*'Plan mensual'!H315+parametros_recargas!$L$89*'Plan mensual'!H316</f>
        <v>32.9848091595509</v>
      </c>
      <c r="G307" s="23" t="n">
        <f aca="false">parametros_recargas!$E$89*'Plan mensual'!I309+parametros_recargas!$F$89*'Plan mensual'!I310+parametros_recargas!$G$89*'Plan mensual'!I311+parametros_recargas!$H$89*'Plan mensual'!I312+parametros_recargas!$I$89*'Plan mensual'!I313+parametros_recargas!$J$89*'Plan mensual'!I314+parametros_recargas!$K$89*'Plan mensual'!I315+parametros_recargas!$L$89*'Plan mensual'!I316</f>
        <v>32.9848091595509</v>
      </c>
      <c r="H307" s="23" t="n">
        <f aca="false">parametros_recargas!$E$89*'Plan mensual'!J309+parametros_recargas!$F$89*'Plan mensual'!J310+parametros_recargas!$G$89*'Plan mensual'!J311+parametros_recargas!$H$89*'Plan mensual'!J312+parametros_recargas!$I$89*'Plan mensual'!J313+parametros_recargas!$J$89*'Plan mensual'!J314+parametros_recargas!$K$89*'Plan mensual'!J315+parametros_recargas!$L$89*'Plan mensual'!J316</f>
        <v>32.9848091595509</v>
      </c>
      <c r="I307" s="23" t="n">
        <f aca="false">parametros_recargas!$E$89*'Plan mensual'!K309+parametros_recargas!$F$89*'Plan mensual'!K310+parametros_recargas!$G$89*'Plan mensual'!K311+parametros_recargas!$H$89*'Plan mensual'!K312+parametros_recargas!$I$89*'Plan mensual'!K313+parametros_recargas!$J$89*'Plan mensual'!K314+parametros_recargas!$K$89*'Plan mensual'!K315+parametros_recargas!$L$89*'Plan mensual'!K316</f>
        <v>32.9848091595509</v>
      </c>
      <c r="J307" s="23" t="n">
        <f aca="false">parametros_recargas!$E$89*'Plan mensual'!L309+parametros_recargas!$F$89*'Plan mensual'!L310+parametros_recargas!$G$89*'Plan mensual'!L311+parametros_recargas!$H$89*'Plan mensual'!L312+parametros_recargas!$I$89*'Plan mensual'!L313+parametros_recargas!$J$89*'Plan mensual'!L314+parametros_recargas!$K$89*'Plan mensual'!L315+parametros_recargas!$L$89*'Plan mensual'!L316</f>
        <v>32.9848091595509</v>
      </c>
      <c r="K307" s="23" t="n">
        <f aca="false">parametros_recargas!$E$89*'Plan mensual'!M309+parametros_recargas!$F$89*'Plan mensual'!M310+parametros_recargas!$G$89*'Plan mensual'!M311+parametros_recargas!$H$89*'Plan mensual'!M312+parametros_recargas!$I$89*'Plan mensual'!M313+parametros_recargas!$J$89*'Plan mensual'!M314+parametros_recargas!$K$89*'Plan mensual'!M315+parametros_recargas!$L$89*'Plan mensual'!M316</f>
        <v>32.9848091595509</v>
      </c>
      <c r="L307" s="23" t="n">
        <f aca="false">parametros_recargas!$E$89*'Plan mensual'!N309+parametros_recargas!$F$89*'Plan mensual'!N310+parametros_recargas!$G$89*'Plan mensual'!N311+parametros_recargas!$H$89*'Plan mensual'!N312+parametros_recargas!$I$89*'Plan mensual'!N313+parametros_recargas!$J$89*'Plan mensual'!N314+parametros_recargas!$K$89*'Plan mensual'!N315+parametros_recargas!$L$89*'Plan mensual'!N316</f>
        <v>32.9848091595509</v>
      </c>
      <c r="M307" s="23" t="n">
        <f aca="false">parametros_recargas!$E$89*'Plan mensual'!O309+parametros_recargas!$F$89*'Plan mensual'!O310+parametros_recargas!$G$89*'Plan mensual'!O311+parametros_recargas!$H$89*'Plan mensual'!O312+parametros_recargas!$I$89*'Plan mensual'!O313+parametros_recargas!$J$89*'Plan mensual'!O314+parametros_recargas!$K$89*'Plan mensual'!O315+parametros_recargas!$L$89*'Plan mensual'!O316</f>
        <v>32.9848091595509</v>
      </c>
      <c r="N307" s="7" t="n">
        <f aca="false">SUM(B307:M307)</f>
        <v>395.817709914611</v>
      </c>
      <c r="O307" s="24" t="n">
        <f aca="false">MAX(B307:M307)</f>
        <v>32.9848091595509</v>
      </c>
      <c r="P307" s="15" t="n">
        <f aca="false">O307/parametros_recargas!$B$6</f>
        <v>0.219898727730339</v>
      </c>
    </row>
    <row r="308" customFormat="false" ht="15" hidden="false" customHeight="false" outlineLevel="0" collapsed="false">
      <c r="A308" s="12" t="str">
        <f aca="false">parametros_recargas!$B$90</f>
        <v>Carga de agua / AFFF / sales K</v>
      </c>
      <c r="B308" s="23" t="n">
        <f aca="false">parametros_recargas!$E$90*'Plan mensual'!D309+parametros_recargas!$F$90*'Plan mensual'!D310+parametros_recargas!$G$90*'Plan mensual'!D311+parametros_recargas!$H$90*'Plan mensual'!D312+parametros_recargas!$I$90*'Plan mensual'!D313+parametros_recargas!$J$90*'Plan mensual'!D314+parametros_recargas!$K$90*'Plan mensual'!D315+parametros_recargas!$L$90*'Plan mensual'!D316</f>
        <v>1220.59437567569</v>
      </c>
      <c r="C308" s="23" t="n">
        <f aca="false">parametros_recargas!$E$90*'Plan mensual'!E309+parametros_recargas!$F$90*'Plan mensual'!E310+parametros_recargas!$G$90*'Plan mensual'!E311+parametros_recargas!$H$90*'Plan mensual'!E312+parametros_recargas!$I$90*'Plan mensual'!E313+parametros_recargas!$J$90*'Plan mensual'!E314+parametros_recargas!$K$90*'Plan mensual'!E315+parametros_recargas!$L$90*'Plan mensual'!E316</f>
        <v>1220.59437567569</v>
      </c>
      <c r="D308" s="23" t="n">
        <f aca="false">parametros_recargas!$E$90*'Plan mensual'!F309+parametros_recargas!$F$90*'Plan mensual'!F310+parametros_recargas!$G$90*'Plan mensual'!F311+parametros_recargas!$H$90*'Plan mensual'!F312+parametros_recargas!$I$90*'Plan mensual'!F313+parametros_recargas!$J$90*'Plan mensual'!F314+parametros_recargas!$K$90*'Plan mensual'!F315+parametros_recargas!$L$90*'Plan mensual'!F316</f>
        <v>1220.59437567569</v>
      </c>
      <c r="E308" s="23" t="n">
        <f aca="false">parametros_recargas!$E$90*'Plan mensual'!G309+parametros_recargas!$F$90*'Plan mensual'!G310+parametros_recargas!$G$90*'Plan mensual'!G311+parametros_recargas!$H$90*'Plan mensual'!G312+parametros_recargas!$I$90*'Plan mensual'!G313+parametros_recargas!$J$90*'Plan mensual'!G314+parametros_recargas!$K$90*'Plan mensual'!G315+parametros_recargas!$L$90*'Plan mensual'!G316</f>
        <v>1220.59437567569</v>
      </c>
      <c r="F308" s="23" t="n">
        <f aca="false">parametros_recargas!$E$90*'Plan mensual'!H309+parametros_recargas!$F$90*'Plan mensual'!H310+parametros_recargas!$G$90*'Plan mensual'!H311+parametros_recargas!$H$90*'Plan mensual'!H312+parametros_recargas!$I$90*'Plan mensual'!H313+parametros_recargas!$J$90*'Plan mensual'!H314+parametros_recargas!$K$90*'Plan mensual'!H315+parametros_recargas!$L$90*'Plan mensual'!H316</f>
        <v>1220.59437567569</v>
      </c>
      <c r="G308" s="23" t="n">
        <f aca="false">parametros_recargas!$E$90*'Plan mensual'!I309+parametros_recargas!$F$90*'Plan mensual'!I310+parametros_recargas!$G$90*'Plan mensual'!I311+parametros_recargas!$H$90*'Plan mensual'!I312+parametros_recargas!$I$90*'Plan mensual'!I313+parametros_recargas!$J$90*'Plan mensual'!I314+parametros_recargas!$K$90*'Plan mensual'!I315+parametros_recargas!$L$90*'Plan mensual'!I316</f>
        <v>1220.59437567569</v>
      </c>
      <c r="H308" s="23" t="n">
        <f aca="false">parametros_recargas!$E$90*'Plan mensual'!J309+parametros_recargas!$F$90*'Plan mensual'!J310+parametros_recargas!$G$90*'Plan mensual'!J311+parametros_recargas!$H$90*'Plan mensual'!J312+parametros_recargas!$I$90*'Plan mensual'!J313+parametros_recargas!$J$90*'Plan mensual'!J314+parametros_recargas!$K$90*'Plan mensual'!J315+parametros_recargas!$L$90*'Plan mensual'!J316</f>
        <v>1220.59437567569</v>
      </c>
      <c r="I308" s="23" t="n">
        <f aca="false">parametros_recargas!$E$90*'Plan mensual'!K309+parametros_recargas!$F$90*'Plan mensual'!K310+parametros_recargas!$G$90*'Plan mensual'!K311+parametros_recargas!$H$90*'Plan mensual'!K312+parametros_recargas!$I$90*'Plan mensual'!K313+parametros_recargas!$J$90*'Plan mensual'!K314+parametros_recargas!$K$90*'Plan mensual'!K315+parametros_recargas!$L$90*'Plan mensual'!K316</f>
        <v>1220.59437567569</v>
      </c>
      <c r="J308" s="23" t="n">
        <f aca="false">parametros_recargas!$E$90*'Plan mensual'!L309+parametros_recargas!$F$90*'Plan mensual'!L310+parametros_recargas!$G$90*'Plan mensual'!L311+parametros_recargas!$H$90*'Plan mensual'!L312+parametros_recargas!$I$90*'Plan mensual'!L313+parametros_recargas!$J$90*'Plan mensual'!L314+parametros_recargas!$K$90*'Plan mensual'!L315+parametros_recargas!$L$90*'Plan mensual'!L316</f>
        <v>1220.59437567569</v>
      </c>
      <c r="K308" s="23" t="n">
        <f aca="false">parametros_recargas!$E$90*'Plan mensual'!M309+parametros_recargas!$F$90*'Plan mensual'!M310+parametros_recargas!$G$90*'Plan mensual'!M311+parametros_recargas!$H$90*'Plan mensual'!M312+parametros_recargas!$I$90*'Plan mensual'!M313+parametros_recargas!$J$90*'Plan mensual'!M314+parametros_recargas!$K$90*'Plan mensual'!M315+parametros_recargas!$L$90*'Plan mensual'!M316</f>
        <v>1220.59437567569</v>
      </c>
      <c r="L308" s="23" t="n">
        <f aca="false">parametros_recargas!$E$90*'Plan mensual'!N309+parametros_recargas!$F$90*'Plan mensual'!N310+parametros_recargas!$G$90*'Plan mensual'!N311+parametros_recargas!$H$90*'Plan mensual'!N312+parametros_recargas!$I$90*'Plan mensual'!N313+parametros_recargas!$J$90*'Plan mensual'!N314+parametros_recargas!$K$90*'Plan mensual'!N315+parametros_recargas!$L$90*'Plan mensual'!N316</f>
        <v>1220.59437567569</v>
      </c>
      <c r="M308" s="23" t="n">
        <f aca="false">parametros_recargas!$E$90*'Plan mensual'!O309+parametros_recargas!$F$90*'Plan mensual'!O310+parametros_recargas!$G$90*'Plan mensual'!O311+parametros_recargas!$H$90*'Plan mensual'!O312+parametros_recargas!$I$90*'Plan mensual'!O313+parametros_recargas!$J$90*'Plan mensual'!O314+parametros_recargas!$K$90*'Plan mensual'!O315+parametros_recargas!$L$90*'Plan mensual'!O316</f>
        <v>1220.59437567569</v>
      </c>
      <c r="N308" s="7" t="n">
        <f aca="false">SUM(B308:M308)</f>
        <v>14647.1325081083</v>
      </c>
      <c r="O308" s="24" t="n">
        <f aca="false">MAX(B308:M308)</f>
        <v>1220.59437567569</v>
      </c>
      <c r="P308" s="15" t="n">
        <f aca="false">O308/parametros_recargas!$B$6</f>
        <v>8.13729583783796</v>
      </c>
    </row>
    <row r="309" customFormat="false" ht="15" hidden="false" customHeight="false" outlineLevel="0" collapsed="false">
      <c r="A309" s="12" t="str">
        <f aca="false">parametros_recargas!$B$91</f>
        <v>Carga de CO₂</v>
      </c>
      <c r="B309" s="23" t="n">
        <f aca="false">parametros_recargas!$E$91*'Plan mensual'!D309+parametros_recargas!$F$91*'Plan mensual'!D310+parametros_recargas!$G$91*'Plan mensual'!D311+parametros_recargas!$H$91*'Plan mensual'!D312+parametros_recargas!$I$91*'Plan mensual'!D313+parametros_recargas!$J$91*'Plan mensual'!D314+parametros_recargas!$K$91*'Plan mensual'!D315+parametros_recargas!$L$91*'Plan mensual'!D316</f>
        <v>667.642243661905</v>
      </c>
      <c r="C309" s="23" t="n">
        <f aca="false">parametros_recargas!$E$91*'Plan mensual'!E309+parametros_recargas!$F$91*'Plan mensual'!E310+parametros_recargas!$G$91*'Plan mensual'!E311+parametros_recargas!$H$91*'Plan mensual'!E312+parametros_recargas!$I$91*'Plan mensual'!E313+parametros_recargas!$J$91*'Plan mensual'!E314+parametros_recargas!$K$91*'Plan mensual'!E315+parametros_recargas!$L$91*'Plan mensual'!E316</f>
        <v>667.642243661905</v>
      </c>
      <c r="D309" s="23" t="n">
        <f aca="false">parametros_recargas!$E$91*'Plan mensual'!F309+parametros_recargas!$F$91*'Plan mensual'!F310+parametros_recargas!$G$91*'Plan mensual'!F311+parametros_recargas!$H$91*'Plan mensual'!F312+parametros_recargas!$I$91*'Plan mensual'!F313+parametros_recargas!$J$91*'Plan mensual'!F314+parametros_recargas!$K$91*'Plan mensual'!F315+parametros_recargas!$L$91*'Plan mensual'!F316</f>
        <v>667.642243661905</v>
      </c>
      <c r="E309" s="23" t="n">
        <f aca="false">parametros_recargas!$E$91*'Plan mensual'!G309+parametros_recargas!$F$91*'Plan mensual'!G310+parametros_recargas!$G$91*'Plan mensual'!G311+parametros_recargas!$H$91*'Plan mensual'!G312+parametros_recargas!$I$91*'Plan mensual'!G313+parametros_recargas!$J$91*'Plan mensual'!G314+parametros_recargas!$K$91*'Plan mensual'!G315+parametros_recargas!$L$91*'Plan mensual'!G316</f>
        <v>667.642243661905</v>
      </c>
      <c r="F309" s="23" t="n">
        <f aca="false">parametros_recargas!$E$91*'Plan mensual'!H309+parametros_recargas!$F$91*'Plan mensual'!H310+parametros_recargas!$G$91*'Plan mensual'!H311+parametros_recargas!$H$91*'Plan mensual'!H312+parametros_recargas!$I$91*'Plan mensual'!H313+parametros_recargas!$J$91*'Plan mensual'!H314+parametros_recargas!$K$91*'Plan mensual'!H315+parametros_recargas!$L$91*'Plan mensual'!H316</f>
        <v>667.642243661905</v>
      </c>
      <c r="G309" s="23" t="n">
        <f aca="false">parametros_recargas!$E$91*'Plan mensual'!I309+parametros_recargas!$F$91*'Plan mensual'!I310+parametros_recargas!$G$91*'Plan mensual'!I311+parametros_recargas!$H$91*'Plan mensual'!I312+parametros_recargas!$I$91*'Plan mensual'!I313+parametros_recargas!$J$91*'Plan mensual'!I314+parametros_recargas!$K$91*'Plan mensual'!I315+parametros_recargas!$L$91*'Plan mensual'!I316</f>
        <v>667.642243661905</v>
      </c>
      <c r="H309" s="23" t="n">
        <f aca="false">parametros_recargas!$E$91*'Plan mensual'!J309+parametros_recargas!$F$91*'Plan mensual'!J310+parametros_recargas!$G$91*'Plan mensual'!J311+parametros_recargas!$H$91*'Plan mensual'!J312+parametros_recargas!$I$91*'Plan mensual'!J313+parametros_recargas!$J$91*'Plan mensual'!J314+parametros_recargas!$K$91*'Plan mensual'!J315+parametros_recargas!$L$91*'Plan mensual'!J316</f>
        <v>667.642243661905</v>
      </c>
      <c r="I309" s="23" t="n">
        <f aca="false">parametros_recargas!$E$91*'Plan mensual'!K309+parametros_recargas!$F$91*'Plan mensual'!K310+parametros_recargas!$G$91*'Plan mensual'!K311+parametros_recargas!$H$91*'Plan mensual'!K312+parametros_recargas!$I$91*'Plan mensual'!K313+parametros_recargas!$J$91*'Plan mensual'!K314+parametros_recargas!$K$91*'Plan mensual'!K315+parametros_recargas!$L$91*'Plan mensual'!K316</f>
        <v>667.642243661905</v>
      </c>
      <c r="J309" s="23" t="n">
        <f aca="false">parametros_recargas!$E$91*'Plan mensual'!L309+parametros_recargas!$F$91*'Plan mensual'!L310+parametros_recargas!$G$91*'Plan mensual'!L311+parametros_recargas!$H$91*'Plan mensual'!L312+parametros_recargas!$I$91*'Plan mensual'!L313+parametros_recargas!$J$91*'Plan mensual'!L314+parametros_recargas!$K$91*'Plan mensual'!L315+parametros_recargas!$L$91*'Plan mensual'!L316</f>
        <v>667.642243661905</v>
      </c>
      <c r="K309" s="23" t="n">
        <f aca="false">parametros_recargas!$E$91*'Plan mensual'!M309+parametros_recargas!$F$91*'Plan mensual'!M310+parametros_recargas!$G$91*'Plan mensual'!M311+parametros_recargas!$H$91*'Plan mensual'!M312+parametros_recargas!$I$91*'Plan mensual'!M313+parametros_recargas!$J$91*'Plan mensual'!M314+parametros_recargas!$K$91*'Plan mensual'!M315+parametros_recargas!$L$91*'Plan mensual'!M316</f>
        <v>667.642243661905</v>
      </c>
      <c r="L309" s="23" t="n">
        <f aca="false">parametros_recargas!$E$91*'Plan mensual'!N309+parametros_recargas!$F$91*'Plan mensual'!N310+parametros_recargas!$G$91*'Plan mensual'!N311+parametros_recargas!$H$91*'Plan mensual'!N312+parametros_recargas!$I$91*'Plan mensual'!N313+parametros_recargas!$J$91*'Plan mensual'!N314+parametros_recargas!$K$91*'Plan mensual'!N315+parametros_recargas!$L$91*'Plan mensual'!N316</f>
        <v>667.642243661905</v>
      </c>
      <c r="M309" s="23" t="n">
        <f aca="false">parametros_recargas!$E$91*'Plan mensual'!O309+parametros_recargas!$F$91*'Plan mensual'!O310+parametros_recargas!$G$91*'Plan mensual'!O311+parametros_recargas!$H$91*'Plan mensual'!O312+parametros_recargas!$I$91*'Plan mensual'!O313+parametros_recargas!$J$91*'Plan mensual'!O314+parametros_recargas!$K$91*'Plan mensual'!O315+parametros_recargas!$L$91*'Plan mensual'!O316</f>
        <v>667.642243661905</v>
      </c>
      <c r="N309" s="7" t="n">
        <f aca="false">SUM(B309:M309)</f>
        <v>8011.70692394286</v>
      </c>
      <c r="O309" s="24" t="n">
        <f aca="false">MAX(B309:M309)</f>
        <v>667.642243661905</v>
      </c>
      <c r="P309" s="15" t="n">
        <f aca="false">O309/parametros_recargas!$B$6</f>
        <v>4.45094829107937</v>
      </c>
    </row>
    <row r="310" customFormat="false" ht="15" hidden="false" customHeight="false" outlineLevel="0" collapsed="false">
      <c r="A310" s="12" t="str">
        <f aca="false">parametros_recargas!$B$92</f>
        <v>Ensamblaje y marbete — recinto</v>
      </c>
      <c r="B310" s="23" t="n">
        <f aca="false">parametros_recargas!$E$92*'Plan mensual'!D309+parametros_recargas!$F$92*'Plan mensual'!D310+parametros_recargas!$G$92*'Plan mensual'!D311+parametros_recargas!$H$92*'Plan mensual'!D312+parametros_recargas!$I$92*'Plan mensual'!D313+parametros_recargas!$J$92*'Plan mensual'!D314+parametros_recargas!$K$92*'Plan mensual'!D315+parametros_recargas!$L$92*'Plan mensual'!D316</f>
        <v>22022.2215267839</v>
      </c>
      <c r="C310" s="23" t="n">
        <f aca="false">parametros_recargas!$E$92*'Plan mensual'!E309+parametros_recargas!$F$92*'Plan mensual'!E310+parametros_recargas!$G$92*'Plan mensual'!E311+parametros_recargas!$H$92*'Plan mensual'!E312+parametros_recargas!$I$92*'Plan mensual'!E313+parametros_recargas!$J$92*'Plan mensual'!E314+parametros_recargas!$K$92*'Plan mensual'!E315+parametros_recargas!$L$92*'Plan mensual'!E316</f>
        <v>22022.2215267839</v>
      </c>
      <c r="D310" s="23" t="n">
        <f aca="false">parametros_recargas!$E$92*'Plan mensual'!F309+parametros_recargas!$F$92*'Plan mensual'!F310+parametros_recargas!$G$92*'Plan mensual'!F311+parametros_recargas!$H$92*'Plan mensual'!F312+parametros_recargas!$I$92*'Plan mensual'!F313+parametros_recargas!$J$92*'Plan mensual'!F314+parametros_recargas!$K$92*'Plan mensual'!F315+parametros_recargas!$L$92*'Plan mensual'!F316</f>
        <v>22022.2215267839</v>
      </c>
      <c r="E310" s="23" t="n">
        <f aca="false">parametros_recargas!$E$92*'Plan mensual'!G309+parametros_recargas!$F$92*'Plan mensual'!G310+parametros_recargas!$G$92*'Plan mensual'!G311+parametros_recargas!$H$92*'Plan mensual'!G312+parametros_recargas!$I$92*'Plan mensual'!G313+parametros_recargas!$J$92*'Plan mensual'!G314+parametros_recargas!$K$92*'Plan mensual'!G315+parametros_recargas!$L$92*'Plan mensual'!G316</f>
        <v>22022.2215267839</v>
      </c>
      <c r="F310" s="23" t="n">
        <f aca="false">parametros_recargas!$E$92*'Plan mensual'!H309+parametros_recargas!$F$92*'Plan mensual'!H310+parametros_recargas!$G$92*'Plan mensual'!H311+parametros_recargas!$H$92*'Plan mensual'!H312+parametros_recargas!$I$92*'Plan mensual'!H313+parametros_recargas!$J$92*'Plan mensual'!H314+parametros_recargas!$K$92*'Plan mensual'!H315+parametros_recargas!$L$92*'Plan mensual'!H316</f>
        <v>22022.2215267839</v>
      </c>
      <c r="G310" s="23" t="n">
        <f aca="false">parametros_recargas!$E$92*'Plan mensual'!I309+parametros_recargas!$F$92*'Plan mensual'!I310+parametros_recargas!$G$92*'Plan mensual'!I311+parametros_recargas!$H$92*'Plan mensual'!I312+parametros_recargas!$I$92*'Plan mensual'!I313+parametros_recargas!$J$92*'Plan mensual'!I314+parametros_recargas!$K$92*'Plan mensual'!I315+parametros_recargas!$L$92*'Plan mensual'!I316</f>
        <v>22022.2215267839</v>
      </c>
      <c r="H310" s="23" t="n">
        <f aca="false">parametros_recargas!$E$92*'Plan mensual'!J309+parametros_recargas!$F$92*'Plan mensual'!J310+parametros_recargas!$G$92*'Plan mensual'!J311+parametros_recargas!$H$92*'Plan mensual'!J312+parametros_recargas!$I$92*'Plan mensual'!J313+parametros_recargas!$J$92*'Plan mensual'!J314+parametros_recargas!$K$92*'Plan mensual'!J315+parametros_recargas!$L$92*'Plan mensual'!J316</f>
        <v>22022.2215267839</v>
      </c>
      <c r="I310" s="23" t="n">
        <f aca="false">parametros_recargas!$E$92*'Plan mensual'!K309+parametros_recargas!$F$92*'Plan mensual'!K310+parametros_recargas!$G$92*'Plan mensual'!K311+parametros_recargas!$H$92*'Plan mensual'!K312+parametros_recargas!$I$92*'Plan mensual'!K313+parametros_recargas!$J$92*'Plan mensual'!K314+parametros_recargas!$K$92*'Plan mensual'!K315+parametros_recargas!$L$92*'Plan mensual'!K316</f>
        <v>22022.2215267839</v>
      </c>
      <c r="J310" s="23" t="n">
        <f aca="false">parametros_recargas!$E$92*'Plan mensual'!L309+parametros_recargas!$F$92*'Plan mensual'!L310+parametros_recargas!$G$92*'Plan mensual'!L311+parametros_recargas!$H$92*'Plan mensual'!L312+parametros_recargas!$I$92*'Plan mensual'!L313+parametros_recargas!$J$92*'Plan mensual'!L314+parametros_recargas!$K$92*'Plan mensual'!L315+parametros_recargas!$L$92*'Plan mensual'!L316</f>
        <v>22022.2215267839</v>
      </c>
      <c r="K310" s="23" t="n">
        <f aca="false">parametros_recargas!$E$92*'Plan mensual'!M309+parametros_recargas!$F$92*'Plan mensual'!M310+parametros_recargas!$G$92*'Plan mensual'!M311+parametros_recargas!$H$92*'Plan mensual'!M312+parametros_recargas!$I$92*'Plan mensual'!M313+parametros_recargas!$J$92*'Plan mensual'!M314+parametros_recargas!$K$92*'Plan mensual'!M315+parametros_recargas!$L$92*'Plan mensual'!M316</f>
        <v>22022.2215267839</v>
      </c>
      <c r="L310" s="23" t="n">
        <f aca="false">parametros_recargas!$E$92*'Plan mensual'!N309+parametros_recargas!$F$92*'Plan mensual'!N310+parametros_recargas!$G$92*'Plan mensual'!N311+parametros_recargas!$H$92*'Plan mensual'!N312+parametros_recargas!$I$92*'Plan mensual'!N313+parametros_recargas!$J$92*'Plan mensual'!N314+parametros_recargas!$K$92*'Plan mensual'!N315+parametros_recargas!$L$92*'Plan mensual'!N316</f>
        <v>22022.2215267839</v>
      </c>
      <c r="M310" s="23" t="n">
        <f aca="false">parametros_recargas!$E$92*'Plan mensual'!O309+parametros_recargas!$F$92*'Plan mensual'!O310+parametros_recargas!$G$92*'Plan mensual'!O311+parametros_recargas!$H$92*'Plan mensual'!O312+parametros_recargas!$I$92*'Plan mensual'!O313+parametros_recargas!$J$92*'Plan mensual'!O314+parametros_recargas!$K$92*'Plan mensual'!O315+parametros_recargas!$L$92*'Plan mensual'!O316</f>
        <v>22022.2215267839</v>
      </c>
      <c r="N310" s="7" t="n">
        <f aca="false">SUM(B310:M310)</f>
        <v>264266.658321407</v>
      </c>
      <c r="O310" s="24" t="n">
        <f aca="false">MAX(B310:M310)</f>
        <v>22022.2215267839</v>
      </c>
      <c r="P310" s="15" t="n">
        <f aca="false">O310/parametros_recargas!$B$6</f>
        <v>146.814810178559</v>
      </c>
    </row>
    <row r="311" customFormat="false" ht="15" hidden="false" customHeight="false" outlineLevel="0" collapsed="false">
      <c r="A311" s="12" t="str">
        <f aca="false">parametros_recargas!$B$93</f>
        <v>Presurización — recinto</v>
      </c>
      <c r="B311" s="23" t="n">
        <f aca="false">parametros_recargas!$E$93*'Plan mensual'!D309+parametros_recargas!$F$93*'Plan mensual'!D310+parametros_recargas!$G$93*'Plan mensual'!D311+parametros_recargas!$H$93*'Plan mensual'!D312+parametros_recargas!$I$93*'Plan mensual'!D313+parametros_recargas!$J$93*'Plan mensual'!D314+parametros_recargas!$K$93*'Plan mensual'!D315+parametros_recargas!$L$93*'Plan mensual'!D316</f>
        <v>22022.2215267839</v>
      </c>
      <c r="C311" s="23" t="n">
        <f aca="false">parametros_recargas!$E$93*'Plan mensual'!E309+parametros_recargas!$F$93*'Plan mensual'!E310+parametros_recargas!$G$93*'Plan mensual'!E311+parametros_recargas!$H$93*'Plan mensual'!E312+parametros_recargas!$I$93*'Plan mensual'!E313+parametros_recargas!$J$93*'Plan mensual'!E314+parametros_recargas!$K$93*'Plan mensual'!E315+parametros_recargas!$L$93*'Plan mensual'!E316</f>
        <v>22022.2215267839</v>
      </c>
      <c r="D311" s="23" t="n">
        <f aca="false">parametros_recargas!$E$93*'Plan mensual'!F309+parametros_recargas!$F$93*'Plan mensual'!F310+parametros_recargas!$G$93*'Plan mensual'!F311+parametros_recargas!$H$93*'Plan mensual'!F312+parametros_recargas!$I$93*'Plan mensual'!F313+parametros_recargas!$J$93*'Plan mensual'!F314+parametros_recargas!$K$93*'Plan mensual'!F315+parametros_recargas!$L$93*'Plan mensual'!F316</f>
        <v>22022.2215267839</v>
      </c>
      <c r="E311" s="23" t="n">
        <f aca="false">parametros_recargas!$E$93*'Plan mensual'!G309+parametros_recargas!$F$93*'Plan mensual'!G310+parametros_recargas!$G$93*'Plan mensual'!G311+parametros_recargas!$H$93*'Plan mensual'!G312+parametros_recargas!$I$93*'Plan mensual'!G313+parametros_recargas!$J$93*'Plan mensual'!G314+parametros_recargas!$K$93*'Plan mensual'!G315+parametros_recargas!$L$93*'Plan mensual'!G316</f>
        <v>22022.2215267839</v>
      </c>
      <c r="F311" s="23" t="n">
        <f aca="false">parametros_recargas!$E$93*'Plan mensual'!H309+parametros_recargas!$F$93*'Plan mensual'!H310+parametros_recargas!$G$93*'Plan mensual'!H311+parametros_recargas!$H$93*'Plan mensual'!H312+parametros_recargas!$I$93*'Plan mensual'!H313+parametros_recargas!$J$93*'Plan mensual'!H314+parametros_recargas!$K$93*'Plan mensual'!H315+parametros_recargas!$L$93*'Plan mensual'!H316</f>
        <v>22022.2215267839</v>
      </c>
      <c r="G311" s="23" t="n">
        <f aca="false">parametros_recargas!$E$93*'Plan mensual'!I309+parametros_recargas!$F$93*'Plan mensual'!I310+parametros_recargas!$G$93*'Plan mensual'!I311+parametros_recargas!$H$93*'Plan mensual'!I312+parametros_recargas!$I$93*'Plan mensual'!I313+parametros_recargas!$J$93*'Plan mensual'!I314+parametros_recargas!$K$93*'Plan mensual'!I315+parametros_recargas!$L$93*'Plan mensual'!I316</f>
        <v>22022.2215267839</v>
      </c>
      <c r="H311" s="23" t="n">
        <f aca="false">parametros_recargas!$E$93*'Plan mensual'!J309+parametros_recargas!$F$93*'Plan mensual'!J310+parametros_recargas!$G$93*'Plan mensual'!J311+parametros_recargas!$H$93*'Plan mensual'!J312+parametros_recargas!$I$93*'Plan mensual'!J313+parametros_recargas!$J$93*'Plan mensual'!J314+parametros_recargas!$K$93*'Plan mensual'!J315+parametros_recargas!$L$93*'Plan mensual'!J316</f>
        <v>22022.2215267839</v>
      </c>
      <c r="I311" s="23" t="n">
        <f aca="false">parametros_recargas!$E$93*'Plan mensual'!K309+parametros_recargas!$F$93*'Plan mensual'!K310+parametros_recargas!$G$93*'Plan mensual'!K311+parametros_recargas!$H$93*'Plan mensual'!K312+parametros_recargas!$I$93*'Plan mensual'!K313+parametros_recargas!$J$93*'Plan mensual'!K314+parametros_recargas!$K$93*'Plan mensual'!K315+parametros_recargas!$L$93*'Plan mensual'!K316</f>
        <v>22022.2215267839</v>
      </c>
      <c r="J311" s="23" t="n">
        <f aca="false">parametros_recargas!$E$93*'Plan mensual'!L309+parametros_recargas!$F$93*'Plan mensual'!L310+parametros_recargas!$G$93*'Plan mensual'!L311+parametros_recargas!$H$93*'Plan mensual'!L312+parametros_recargas!$I$93*'Plan mensual'!L313+parametros_recargas!$J$93*'Plan mensual'!L314+parametros_recargas!$K$93*'Plan mensual'!L315+parametros_recargas!$L$93*'Plan mensual'!L316</f>
        <v>22022.2215267839</v>
      </c>
      <c r="K311" s="23" t="n">
        <f aca="false">parametros_recargas!$E$93*'Plan mensual'!M309+parametros_recargas!$F$93*'Plan mensual'!M310+parametros_recargas!$G$93*'Plan mensual'!M311+parametros_recargas!$H$93*'Plan mensual'!M312+parametros_recargas!$I$93*'Plan mensual'!M313+parametros_recargas!$J$93*'Plan mensual'!M314+parametros_recargas!$K$93*'Plan mensual'!M315+parametros_recargas!$L$93*'Plan mensual'!M316</f>
        <v>22022.2215267839</v>
      </c>
      <c r="L311" s="23" t="n">
        <f aca="false">parametros_recargas!$E$93*'Plan mensual'!N309+parametros_recargas!$F$93*'Plan mensual'!N310+parametros_recargas!$G$93*'Plan mensual'!N311+parametros_recargas!$H$93*'Plan mensual'!N312+parametros_recargas!$I$93*'Plan mensual'!N313+parametros_recargas!$J$93*'Plan mensual'!N314+parametros_recargas!$K$93*'Plan mensual'!N315+parametros_recargas!$L$93*'Plan mensual'!N316</f>
        <v>22022.2215267839</v>
      </c>
      <c r="M311" s="23" t="n">
        <f aca="false">parametros_recargas!$E$93*'Plan mensual'!O309+parametros_recargas!$F$93*'Plan mensual'!O310+parametros_recargas!$G$93*'Plan mensual'!O311+parametros_recargas!$H$93*'Plan mensual'!O312+parametros_recargas!$I$93*'Plan mensual'!O313+parametros_recargas!$J$93*'Plan mensual'!O314+parametros_recargas!$K$93*'Plan mensual'!O315+parametros_recargas!$L$93*'Plan mensual'!O316</f>
        <v>22022.2215267839</v>
      </c>
      <c r="N311" s="7" t="n">
        <f aca="false">SUM(B311:M311)</f>
        <v>264266.658321407</v>
      </c>
      <c r="O311" s="24" t="n">
        <f aca="false">MAX(B311:M311)</f>
        <v>22022.2215267839</v>
      </c>
      <c r="P311" s="15" t="n">
        <f aca="false">O311/parametros_recargas!$B$6</f>
        <v>146.814810178559</v>
      </c>
    </row>
    <row r="312" customFormat="false" ht="15" hidden="false" customHeight="false" outlineLevel="0" collapsed="false">
      <c r="A312" s="12" t="str">
        <f aca="false">parametros_recargas!$B$94</f>
        <v>Ensamblaje y presurización — zona general</v>
      </c>
      <c r="B312" s="23" t="n">
        <f aca="false">parametros_recargas!$E$94*'Plan mensual'!D309+parametros_recargas!$F$94*'Plan mensual'!D310+parametros_recargas!$G$94*'Plan mensual'!D311+parametros_recargas!$H$94*'Plan mensual'!D312+parametros_recargas!$I$94*'Plan mensual'!D313+parametros_recargas!$J$94*'Plan mensual'!D314+parametros_recargas!$K$94*'Plan mensual'!D315+parametros_recargas!$L$94*'Plan mensual'!D316</f>
        <v>1800.13627125427</v>
      </c>
      <c r="C312" s="23" t="n">
        <f aca="false">parametros_recargas!$E$94*'Plan mensual'!E309+parametros_recargas!$F$94*'Plan mensual'!E310+parametros_recargas!$G$94*'Plan mensual'!E311+parametros_recargas!$H$94*'Plan mensual'!E312+parametros_recargas!$I$94*'Plan mensual'!E313+parametros_recargas!$J$94*'Plan mensual'!E314+parametros_recargas!$K$94*'Plan mensual'!E315+parametros_recargas!$L$94*'Plan mensual'!E316</f>
        <v>1800.13627125427</v>
      </c>
      <c r="D312" s="23" t="n">
        <f aca="false">parametros_recargas!$E$94*'Plan mensual'!F309+parametros_recargas!$F$94*'Plan mensual'!F310+parametros_recargas!$G$94*'Plan mensual'!F311+parametros_recargas!$H$94*'Plan mensual'!F312+parametros_recargas!$I$94*'Plan mensual'!F313+parametros_recargas!$J$94*'Plan mensual'!F314+parametros_recargas!$K$94*'Plan mensual'!F315+parametros_recargas!$L$94*'Plan mensual'!F316</f>
        <v>1800.13627125427</v>
      </c>
      <c r="E312" s="23" t="n">
        <f aca="false">parametros_recargas!$E$94*'Plan mensual'!G309+parametros_recargas!$F$94*'Plan mensual'!G310+parametros_recargas!$G$94*'Plan mensual'!G311+parametros_recargas!$H$94*'Plan mensual'!G312+parametros_recargas!$I$94*'Plan mensual'!G313+parametros_recargas!$J$94*'Plan mensual'!G314+parametros_recargas!$K$94*'Plan mensual'!G315+parametros_recargas!$L$94*'Plan mensual'!G316</f>
        <v>1800.13627125427</v>
      </c>
      <c r="F312" s="23" t="n">
        <f aca="false">parametros_recargas!$E$94*'Plan mensual'!H309+parametros_recargas!$F$94*'Plan mensual'!H310+parametros_recargas!$G$94*'Plan mensual'!H311+parametros_recargas!$H$94*'Plan mensual'!H312+parametros_recargas!$I$94*'Plan mensual'!H313+parametros_recargas!$J$94*'Plan mensual'!H314+parametros_recargas!$K$94*'Plan mensual'!H315+parametros_recargas!$L$94*'Plan mensual'!H316</f>
        <v>1800.13627125427</v>
      </c>
      <c r="G312" s="23" t="n">
        <f aca="false">parametros_recargas!$E$94*'Plan mensual'!I309+parametros_recargas!$F$94*'Plan mensual'!I310+parametros_recargas!$G$94*'Plan mensual'!I311+parametros_recargas!$H$94*'Plan mensual'!I312+parametros_recargas!$I$94*'Plan mensual'!I313+parametros_recargas!$J$94*'Plan mensual'!I314+parametros_recargas!$K$94*'Plan mensual'!I315+parametros_recargas!$L$94*'Plan mensual'!I316</f>
        <v>1800.13627125427</v>
      </c>
      <c r="H312" s="23" t="n">
        <f aca="false">parametros_recargas!$E$94*'Plan mensual'!J309+parametros_recargas!$F$94*'Plan mensual'!J310+parametros_recargas!$G$94*'Plan mensual'!J311+parametros_recargas!$H$94*'Plan mensual'!J312+parametros_recargas!$I$94*'Plan mensual'!J313+parametros_recargas!$J$94*'Plan mensual'!J314+parametros_recargas!$K$94*'Plan mensual'!J315+parametros_recargas!$L$94*'Plan mensual'!J316</f>
        <v>1800.13627125427</v>
      </c>
      <c r="I312" s="23" t="n">
        <f aca="false">parametros_recargas!$E$94*'Plan mensual'!K309+parametros_recargas!$F$94*'Plan mensual'!K310+parametros_recargas!$G$94*'Plan mensual'!K311+parametros_recargas!$H$94*'Plan mensual'!K312+parametros_recargas!$I$94*'Plan mensual'!K313+parametros_recargas!$J$94*'Plan mensual'!K314+parametros_recargas!$K$94*'Plan mensual'!K315+parametros_recargas!$L$94*'Plan mensual'!K316</f>
        <v>1800.13627125427</v>
      </c>
      <c r="J312" s="23" t="n">
        <f aca="false">parametros_recargas!$E$94*'Plan mensual'!L309+parametros_recargas!$F$94*'Plan mensual'!L310+parametros_recargas!$G$94*'Plan mensual'!L311+parametros_recargas!$H$94*'Plan mensual'!L312+parametros_recargas!$I$94*'Plan mensual'!L313+parametros_recargas!$J$94*'Plan mensual'!L314+parametros_recargas!$K$94*'Plan mensual'!L315+parametros_recargas!$L$94*'Plan mensual'!L316</f>
        <v>1800.13627125427</v>
      </c>
      <c r="K312" s="23" t="n">
        <f aca="false">parametros_recargas!$E$94*'Plan mensual'!M309+parametros_recargas!$F$94*'Plan mensual'!M310+parametros_recargas!$G$94*'Plan mensual'!M311+parametros_recargas!$H$94*'Plan mensual'!M312+parametros_recargas!$I$94*'Plan mensual'!M313+parametros_recargas!$J$94*'Plan mensual'!M314+parametros_recargas!$K$94*'Plan mensual'!M315+parametros_recargas!$L$94*'Plan mensual'!M316</f>
        <v>1800.13627125427</v>
      </c>
      <c r="L312" s="23" t="n">
        <f aca="false">parametros_recargas!$E$94*'Plan mensual'!N309+parametros_recargas!$F$94*'Plan mensual'!N310+parametros_recargas!$G$94*'Plan mensual'!N311+parametros_recargas!$H$94*'Plan mensual'!N312+parametros_recargas!$I$94*'Plan mensual'!N313+parametros_recargas!$J$94*'Plan mensual'!N314+parametros_recargas!$K$94*'Plan mensual'!N315+parametros_recargas!$L$94*'Plan mensual'!N316</f>
        <v>1800.13627125427</v>
      </c>
      <c r="M312" s="23" t="n">
        <f aca="false">parametros_recargas!$E$94*'Plan mensual'!O309+parametros_recargas!$F$94*'Plan mensual'!O310+parametros_recargas!$G$94*'Plan mensual'!O311+parametros_recargas!$H$94*'Plan mensual'!O312+parametros_recargas!$I$94*'Plan mensual'!O313+parametros_recargas!$J$94*'Plan mensual'!O314+parametros_recargas!$K$94*'Plan mensual'!O315+parametros_recargas!$L$94*'Plan mensual'!O316</f>
        <v>1800.13627125427</v>
      </c>
      <c r="N312" s="7" t="n">
        <f aca="false">SUM(B312:M312)</f>
        <v>21601.6352550512</v>
      </c>
      <c r="O312" s="24" t="n">
        <f aca="false">MAX(B312:M312)</f>
        <v>1800.13627125427</v>
      </c>
      <c r="P312" s="15" t="n">
        <f aca="false">O312/parametros_recargas!$B$6</f>
        <v>12.0009084750284</v>
      </c>
    </row>
    <row r="313" customFormat="false" ht="15" hidden="false" customHeight="false" outlineLevel="0" collapsed="false">
      <c r="A313" s="12" t="str">
        <f aca="false">parametros_recargas!$B$95</f>
        <v>Carga y presurización de halogenado</v>
      </c>
      <c r="B313" s="23" t="n">
        <f aca="false">parametros_recargas!$E$95*'Plan mensual'!D309+parametros_recargas!$F$95*'Plan mensual'!D310+parametros_recargas!$G$95*'Plan mensual'!D311+parametros_recargas!$H$95*'Plan mensual'!D312+parametros_recargas!$I$95*'Plan mensual'!D313+parametros_recargas!$J$95*'Plan mensual'!D314+parametros_recargas!$K$95*'Plan mensual'!D315+parametros_recargas!$L$95*'Plan mensual'!D316</f>
        <v>23.1733591936503</v>
      </c>
      <c r="C313" s="23" t="n">
        <f aca="false">parametros_recargas!$E$95*'Plan mensual'!E309+parametros_recargas!$F$95*'Plan mensual'!E310+parametros_recargas!$G$95*'Plan mensual'!E311+parametros_recargas!$H$95*'Plan mensual'!E312+parametros_recargas!$I$95*'Plan mensual'!E313+parametros_recargas!$J$95*'Plan mensual'!E314+parametros_recargas!$K$95*'Plan mensual'!E315+parametros_recargas!$L$95*'Plan mensual'!E316</f>
        <v>23.1733591936503</v>
      </c>
      <c r="D313" s="23" t="n">
        <f aca="false">parametros_recargas!$E$95*'Plan mensual'!F309+parametros_recargas!$F$95*'Plan mensual'!F310+parametros_recargas!$G$95*'Plan mensual'!F311+parametros_recargas!$H$95*'Plan mensual'!F312+parametros_recargas!$I$95*'Plan mensual'!F313+parametros_recargas!$J$95*'Plan mensual'!F314+parametros_recargas!$K$95*'Plan mensual'!F315+parametros_recargas!$L$95*'Plan mensual'!F316</f>
        <v>23.1733591936503</v>
      </c>
      <c r="E313" s="23" t="n">
        <f aca="false">parametros_recargas!$E$95*'Plan mensual'!G309+parametros_recargas!$F$95*'Plan mensual'!G310+parametros_recargas!$G$95*'Plan mensual'!G311+parametros_recargas!$H$95*'Plan mensual'!G312+parametros_recargas!$I$95*'Plan mensual'!G313+parametros_recargas!$J$95*'Plan mensual'!G314+parametros_recargas!$K$95*'Plan mensual'!G315+parametros_recargas!$L$95*'Plan mensual'!G316</f>
        <v>23.1733591936503</v>
      </c>
      <c r="F313" s="23" t="n">
        <f aca="false">parametros_recargas!$E$95*'Plan mensual'!H309+parametros_recargas!$F$95*'Plan mensual'!H310+parametros_recargas!$G$95*'Plan mensual'!H311+parametros_recargas!$H$95*'Plan mensual'!H312+parametros_recargas!$I$95*'Plan mensual'!H313+parametros_recargas!$J$95*'Plan mensual'!H314+parametros_recargas!$K$95*'Plan mensual'!H315+parametros_recargas!$L$95*'Plan mensual'!H316</f>
        <v>23.1733591936503</v>
      </c>
      <c r="G313" s="23" t="n">
        <f aca="false">parametros_recargas!$E$95*'Plan mensual'!I309+parametros_recargas!$F$95*'Plan mensual'!I310+parametros_recargas!$G$95*'Plan mensual'!I311+parametros_recargas!$H$95*'Plan mensual'!I312+parametros_recargas!$I$95*'Plan mensual'!I313+parametros_recargas!$J$95*'Plan mensual'!I314+parametros_recargas!$K$95*'Plan mensual'!I315+parametros_recargas!$L$95*'Plan mensual'!I316</f>
        <v>23.1733591936503</v>
      </c>
      <c r="H313" s="23" t="n">
        <f aca="false">parametros_recargas!$E$95*'Plan mensual'!J309+parametros_recargas!$F$95*'Plan mensual'!J310+parametros_recargas!$G$95*'Plan mensual'!J311+parametros_recargas!$H$95*'Plan mensual'!J312+parametros_recargas!$I$95*'Plan mensual'!J313+parametros_recargas!$J$95*'Plan mensual'!J314+parametros_recargas!$K$95*'Plan mensual'!J315+parametros_recargas!$L$95*'Plan mensual'!J316</f>
        <v>23.1733591936503</v>
      </c>
      <c r="I313" s="23" t="n">
        <f aca="false">parametros_recargas!$E$95*'Plan mensual'!K309+parametros_recargas!$F$95*'Plan mensual'!K310+parametros_recargas!$G$95*'Plan mensual'!K311+parametros_recargas!$H$95*'Plan mensual'!K312+parametros_recargas!$I$95*'Plan mensual'!K313+parametros_recargas!$J$95*'Plan mensual'!K314+parametros_recargas!$K$95*'Plan mensual'!K315+parametros_recargas!$L$95*'Plan mensual'!K316</f>
        <v>23.1733591936503</v>
      </c>
      <c r="J313" s="23" t="n">
        <f aca="false">parametros_recargas!$E$95*'Plan mensual'!L309+parametros_recargas!$F$95*'Plan mensual'!L310+parametros_recargas!$G$95*'Plan mensual'!L311+parametros_recargas!$H$95*'Plan mensual'!L312+parametros_recargas!$I$95*'Plan mensual'!L313+parametros_recargas!$J$95*'Plan mensual'!L314+parametros_recargas!$K$95*'Plan mensual'!L315+parametros_recargas!$L$95*'Plan mensual'!L316</f>
        <v>23.1733591936503</v>
      </c>
      <c r="K313" s="23" t="n">
        <f aca="false">parametros_recargas!$E$95*'Plan mensual'!M309+parametros_recargas!$F$95*'Plan mensual'!M310+parametros_recargas!$G$95*'Plan mensual'!M311+parametros_recargas!$H$95*'Plan mensual'!M312+parametros_recargas!$I$95*'Plan mensual'!M313+parametros_recargas!$J$95*'Plan mensual'!M314+parametros_recargas!$K$95*'Plan mensual'!M315+parametros_recargas!$L$95*'Plan mensual'!M316</f>
        <v>23.1733591936503</v>
      </c>
      <c r="L313" s="23" t="n">
        <f aca="false">parametros_recargas!$E$95*'Plan mensual'!N309+parametros_recargas!$F$95*'Plan mensual'!N310+parametros_recargas!$G$95*'Plan mensual'!N311+parametros_recargas!$H$95*'Plan mensual'!N312+parametros_recargas!$I$95*'Plan mensual'!N313+parametros_recargas!$J$95*'Plan mensual'!N314+parametros_recargas!$K$95*'Plan mensual'!N315+parametros_recargas!$L$95*'Plan mensual'!N316</f>
        <v>23.1733591936503</v>
      </c>
      <c r="M313" s="23" t="n">
        <f aca="false">parametros_recargas!$E$95*'Plan mensual'!O309+parametros_recargas!$F$95*'Plan mensual'!O310+parametros_recargas!$G$95*'Plan mensual'!O311+parametros_recargas!$H$95*'Plan mensual'!O312+parametros_recargas!$I$95*'Plan mensual'!O313+parametros_recargas!$J$95*'Plan mensual'!O314+parametros_recargas!$K$95*'Plan mensual'!O315+parametros_recargas!$L$95*'Plan mensual'!O316</f>
        <v>23.1733591936503</v>
      </c>
      <c r="N313" s="7" t="n">
        <f aca="false">SUM(B313:M313)</f>
        <v>278.080310323804</v>
      </c>
      <c r="O313" s="24" t="n">
        <f aca="false">MAX(B313:M313)</f>
        <v>23.1733591936503</v>
      </c>
      <c r="P313" s="15" t="n">
        <f aca="false">O313/parametros_recargas!$B$6</f>
        <v>0.154489061291002</v>
      </c>
    </row>
    <row r="314" customFormat="false" ht="15" hidden="false" customHeight="false" outlineLevel="0" collapsed="false">
      <c r="A314" s="12" t="str">
        <f aca="false">parametros_recargas!$B$96</f>
        <v>Control de peso (CO₂ y halogenados sin recarga)</v>
      </c>
      <c r="B314" s="23" t="n">
        <f aca="false">parametros_recargas!$E$96*'Plan mensual'!D309+parametros_recargas!$F$96*'Plan mensual'!D310+parametros_recargas!$G$96*'Plan mensual'!D311+parametros_recargas!$H$96*'Plan mensual'!D312+parametros_recargas!$I$96*'Plan mensual'!D313+parametros_recargas!$J$96*'Plan mensual'!D314+parametros_recargas!$K$96*'Plan mensual'!D315+parametros_recargas!$L$96*'Plan mensual'!D316</f>
        <v>1627.35197945873</v>
      </c>
      <c r="C314" s="23" t="n">
        <f aca="false">parametros_recargas!$E$96*'Plan mensual'!E309+parametros_recargas!$F$96*'Plan mensual'!E310+parametros_recargas!$G$96*'Plan mensual'!E311+parametros_recargas!$H$96*'Plan mensual'!E312+parametros_recargas!$I$96*'Plan mensual'!E313+parametros_recargas!$J$96*'Plan mensual'!E314+parametros_recargas!$K$96*'Plan mensual'!E315+parametros_recargas!$L$96*'Plan mensual'!E316</f>
        <v>1627.35197945873</v>
      </c>
      <c r="D314" s="23" t="n">
        <f aca="false">parametros_recargas!$E$96*'Plan mensual'!F309+parametros_recargas!$F$96*'Plan mensual'!F310+parametros_recargas!$G$96*'Plan mensual'!F311+parametros_recargas!$H$96*'Plan mensual'!F312+parametros_recargas!$I$96*'Plan mensual'!F313+parametros_recargas!$J$96*'Plan mensual'!F314+parametros_recargas!$K$96*'Plan mensual'!F315+parametros_recargas!$L$96*'Plan mensual'!F316</f>
        <v>1627.35197945873</v>
      </c>
      <c r="E314" s="23" t="n">
        <f aca="false">parametros_recargas!$E$96*'Plan mensual'!G309+parametros_recargas!$F$96*'Plan mensual'!G310+parametros_recargas!$G$96*'Plan mensual'!G311+parametros_recargas!$H$96*'Plan mensual'!G312+parametros_recargas!$I$96*'Plan mensual'!G313+parametros_recargas!$J$96*'Plan mensual'!G314+parametros_recargas!$K$96*'Plan mensual'!G315+parametros_recargas!$L$96*'Plan mensual'!G316</f>
        <v>1627.35197945873</v>
      </c>
      <c r="F314" s="23" t="n">
        <f aca="false">parametros_recargas!$E$96*'Plan mensual'!H309+parametros_recargas!$F$96*'Plan mensual'!H310+parametros_recargas!$G$96*'Plan mensual'!H311+parametros_recargas!$H$96*'Plan mensual'!H312+parametros_recargas!$I$96*'Plan mensual'!H313+parametros_recargas!$J$96*'Plan mensual'!H314+parametros_recargas!$K$96*'Plan mensual'!H315+parametros_recargas!$L$96*'Plan mensual'!H316</f>
        <v>1627.35197945873</v>
      </c>
      <c r="G314" s="23" t="n">
        <f aca="false">parametros_recargas!$E$96*'Plan mensual'!I309+parametros_recargas!$F$96*'Plan mensual'!I310+parametros_recargas!$G$96*'Plan mensual'!I311+parametros_recargas!$H$96*'Plan mensual'!I312+parametros_recargas!$I$96*'Plan mensual'!I313+parametros_recargas!$J$96*'Plan mensual'!I314+parametros_recargas!$K$96*'Plan mensual'!I315+parametros_recargas!$L$96*'Plan mensual'!I316</f>
        <v>1627.35197945873</v>
      </c>
      <c r="H314" s="23" t="n">
        <f aca="false">parametros_recargas!$E$96*'Plan mensual'!J309+parametros_recargas!$F$96*'Plan mensual'!J310+parametros_recargas!$G$96*'Plan mensual'!J311+parametros_recargas!$H$96*'Plan mensual'!J312+parametros_recargas!$I$96*'Plan mensual'!J313+parametros_recargas!$J$96*'Plan mensual'!J314+parametros_recargas!$K$96*'Plan mensual'!J315+parametros_recargas!$L$96*'Plan mensual'!J316</f>
        <v>1627.35197945873</v>
      </c>
      <c r="I314" s="23" t="n">
        <f aca="false">parametros_recargas!$E$96*'Plan mensual'!K309+parametros_recargas!$F$96*'Plan mensual'!K310+parametros_recargas!$G$96*'Plan mensual'!K311+parametros_recargas!$H$96*'Plan mensual'!K312+parametros_recargas!$I$96*'Plan mensual'!K313+parametros_recargas!$J$96*'Plan mensual'!K314+parametros_recargas!$K$96*'Plan mensual'!K315+parametros_recargas!$L$96*'Plan mensual'!K316</f>
        <v>1627.35197945873</v>
      </c>
      <c r="J314" s="23" t="n">
        <f aca="false">parametros_recargas!$E$96*'Plan mensual'!L309+parametros_recargas!$F$96*'Plan mensual'!L310+parametros_recargas!$G$96*'Plan mensual'!L311+parametros_recargas!$H$96*'Plan mensual'!L312+parametros_recargas!$I$96*'Plan mensual'!L313+parametros_recargas!$J$96*'Plan mensual'!L314+parametros_recargas!$K$96*'Plan mensual'!L315+parametros_recargas!$L$96*'Plan mensual'!L316</f>
        <v>1627.35197945873</v>
      </c>
      <c r="K314" s="23" t="n">
        <f aca="false">parametros_recargas!$E$96*'Plan mensual'!M309+parametros_recargas!$F$96*'Plan mensual'!M310+parametros_recargas!$G$96*'Plan mensual'!M311+parametros_recargas!$H$96*'Plan mensual'!M312+parametros_recargas!$I$96*'Plan mensual'!M313+parametros_recargas!$J$96*'Plan mensual'!M314+parametros_recargas!$K$96*'Plan mensual'!M315+parametros_recargas!$L$96*'Plan mensual'!M316</f>
        <v>1627.35197945873</v>
      </c>
      <c r="L314" s="23" t="n">
        <f aca="false">parametros_recargas!$E$96*'Plan mensual'!N309+parametros_recargas!$F$96*'Plan mensual'!N310+parametros_recargas!$G$96*'Plan mensual'!N311+parametros_recargas!$H$96*'Plan mensual'!N312+parametros_recargas!$I$96*'Plan mensual'!N313+parametros_recargas!$J$96*'Plan mensual'!N314+parametros_recargas!$K$96*'Plan mensual'!N315+parametros_recargas!$L$96*'Plan mensual'!N316</f>
        <v>1627.35197945873</v>
      </c>
      <c r="M314" s="23" t="n">
        <f aca="false">parametros_recargas!$E$96*'Plan mensual'!O309+parametros_recargas!$F$96*'Plan mensual'!O310+parametros_recargas!$G$96*'Plan mensual'!O311+parametros_recargas!$H$96*'Plan mensual'!O312+parametros_recargas!$I$96*'Plan mensual'!O313+parametros_recargas!$J$96*'Plan mensual'!O314+parametros_recargas!$K$96*'Plan mensual'!O315+parametros_recargas!$L$96*'Plan mensual'!O316</f>
        <v>1627.35197945873</v>
      </c>
      <c r="N314" s="7" t="n">
        <f aca="false">SUM(B314:M314)</f>
        <v>19528.2237535048</v>
      </c>
      <c r="O314" s="24" t="n">
        <f aca="false">MAX(B314:M314)</f>
        <v>1627.35197945873</v>
      </c>
      <c r="P314" s="15" t="n">
        <f aca="false">O314/parametros_recargas!$B$6</f>
        <v>10.8490131963915</v>
      </c>
    </row>
    <row r="315" customFormat="false" ht="15" hidden="false" customHeight="false" outlineLevel="0" collapsed="false">
      <c r="A315" s="12" t="str">
        <f aca="false">parametros_recargas!$B$97</f>
        <v>Ensayo de pérdidas</v>
      </c>
      <c r="B315" s="23" t="n">
        <f aca="false">parametros_recargas!$E$97*'Plan mensual'!D309+parametros_recargas!$F$97*'Plan mensual'!D310+parametros_recargas!$G$97*'Plan mensual'!D311+parametros_recargas!$H$97*'Plan mensual'!D312+parametros_recargas!$I$97*'Plan mensual'!D313+parametros_recargas!$J$97*'Plan mensual'!D314+parametros_recargas!$K$97*'Plan mensual'!D315+parametros_recargas!$L$97*'Plan mensual'!D316</f>
        <v>25560.9834847739</v>
      </c>
      <c r="C315" s="23" t="n">
        <f aca="false">parametros_recargas!$E$97*'Plan mensual'!E309+parametros_recargas!$F$97*'Plan mensual'!E310+parametros_recargas!$G$97*'Plan mensual'!E311+parametros_recargas!$H$97*'Plan mensual'!E312+parametros_recargas!$I$97*'Plan mensual'!E313+parametros_recargas!$J$97*'Plan mensual'!E314+parametros_recargas!$K$97*'Plan mensual'!E315+parametros_recargas!$L$97*'Plan mensual'!E316</f>
        <v>25560.9834847739</v>
      </c>
      <c r="D315" s="23" t="n">
        <f aca="false">parametros_recargas!$E$97*'Plan mensual'!F309+parametros_recargas!$F$97*'Plan mensual'!F310+parametros_recargas!$G$97*'Plan mensual'!F311+parametros_recargas!$H$97*'Plan mensual'!F312+parametros_recargas!$I$97*'Plan mensual'!F313+parametros_recargas!$J$97*'Plan mensual'!F314+parametros_recargas!$K$97*'Plan mensual'!F315+parametros_recargas!$L$97*'Plan mensual'!F316</f>
        <v>25560.9834847739</v>
      </c>
      <c r="E315" s="23" t="n">
        <f aca="false">parametros_recargas!$E$97*'Plan mensual'!G309+parametros_recargas!$F$97*'Plan mensual'!G310+parametros_recargas!$G$97*'Plan mensual'!G311+parametros_recargas!$H$97*'Plan mensual'!G312+parametros_recargas!$I$97*'Plan mensual'!G313+parametros_recargas!$J$97*'Plan mensual'!G314+parametros_recargas!$K$97*'Plan mensual'!G315+parametros_recargas!$L$97*'Plan mensual'!G316</f>
        <v>25560.9834847739</v>
      </c>
      <c r="F315" s="23" t="n">
        <f aca="false">parametros_recargas!$E$97*'Plan mensual'!H309+parametros_recargas!$F$97*'Plan mensual'!H310+parametros_recargas!$G$97*'Plan mensual'!H311+parametros_recargas!$H$97*'Plan mensual'!H312+parametros_recargas!$I$97*'Plan mensual'!H313+parametros_recargas!$J$97*'Plan mensual'!H314+parametros_recargas!$K$97*'Plan mensual'!H315+parametros_recargas!$L$97*'Plan mensual'!H316</f>
        <v>25560.9834847739</v>
      </c>
      <c r="G315" s="23" t="n">
        <f aca="false">parametros_recargas!$E$97*'Plan mensual'!I309+parametros_recargas!$F$97*'Plan mensual'!I310+parametros_recargas!$G$97*'Plan mensual'!I311+parametros_recargas!$H$97*'Plan mensual'!I312+parametros_recargas!$I$97*'Plan mensual'!I313+parametros_recargas!$J$97*'Plan mensual'!I314+parametros_recargas!$K$97*'Plan mensual'!I315+parametros_recargas!$L$97*'Plan mensual'!I316</f>
        <v>25560.9834847739</v>
      </c>
      <c r="H315" s="23" t="n">
        <f aca="false">parametros_recargas!$E$97*'Plan mensual'!J309+parametros_recargas!$F$97*'Plan mensual'!J310+parametros_recargas!$G$97*'Plan mensual'!J311+parametros_recargas!$H$97*'Plan mensual'!J312+parametros_recargas!$I$97*'Plan mensual'!J313+parametros_recargas!$J$97*'Plan mensual'!J314+parametros_recargas!$K$97*'Plan mensual'!J315+parametros_recargas!$L$97*'Plan mensual'!J316</f>
        <v>25560.9834847739</v>
      </c>
      <c r="I315" s="23" t="n">
        <f aca="false">parametros_recargas!$E$97*'Plan mensual'!K309+parametros_recargas!$F$97*'Plan mensual'!K310+parametros_recargas!$G$97*'Plan mensual'!K311+parametros_recargas!$H$97*'Plan mensual'!K312+parametros_recargas!$I$97*'Plan mensual'!K313+parametros_recargas!$J$97*'Plan mensual'!K314+parametros_recargas!$K$97*'Plan mensual'!K315+parametros_recargas!$L$97*'Plan mensual'!K316</f>
        <v>25560.9834847739</v>
      </c>
      <c r="J315" s="23" t="n">
        <f aca="false">parametros_recargas!$E$97*'Plan mensual'!L309+parametros_recargas!$F$97*'Plan mensual'!L310+parametros_recargas!$G$97*'Plan mensual'!L311+parametros_recargas!$H$97*'Plan mensual'!L312+parametros_recargas!$I$97*'Plan mensual'!L313+parametros_recargas!$J$97*'Plan mensual'!L314+parametros_recargas!$K$97*'Plan mensual'!L315+parametros_recargas!$L$97*'Plan mensual'!L316</f>
        <v>25560.9834847739</v>
      </c>
      <c r="K315" s="23" t="n">
        <f aca="false">parametros_recargas!$E$97*'Plan mensual'!M309+parametros_recargas!$F$97*'Plan mensual'!M310+parametros_recargas!$G$97*'Plan mensual'!M311+parametros_recargas!$H$97*'Plan mensual'!M312+parametros_recargas!$I$97*'Plan mensual'!M313+parametros_recargas!$J$97*'Plan mensual'!M314+parametros_recargas!$K$97*'Plan mensual'!M315+parametros_recargas!$L$97*'Plan mensual'!M316</f>
        <v>25560.9834847739</v>
      </c>
      <c r="L315" s="23" t="n">
        <f aca="false">parametros_recargas!$E$97*'Plan mensual'!N309+parametros_recargas!$F$97*'Plan mensual'!N310+parametros_recargas!$G$97*'Plan mensual'!N311+parametros_recargas!$H$97*'Plan mensual'!N312+parametros_recargas!$I$97*'Plan mensual'!N313+parametros_recargas!$J$97*'Plan mensual'!N314+parametros_recargas!$K$97*'Plan mensual'!N315+parametros_recargas!$L$97*'Plan mensual'!N316</f>
        <v>25560.9834847739</v>
      </c>
      <c r="M315" s="23" t="n">
        <f aca="false">parametros_recargas!$E$97*'Plan mensual'!O309+parametros_recargas!$F$97*'Plan mensual'!O310+parametros_recargas!$G$97*'Plan mensual'!O311+parametros_recargas!$H$97*'Plan mensual'!O312+parametros_recargas!$I$97*'Plan mensual'!O313+parametros_recargas!$J$97*'Plan mensual'!O314+parametros_recargas!$K$97*'Plan mensual'!O315+parametros_recargas!$L$97*'Plan mensual'!O316</f>
        <v>25560.9834847739</v>
      </c>
      <c r="N315" s="7" t="n">
        <f aca="false">SUM(B315:M315)</f>
        <v>306731.801817287</v>
      </c>
      <c r="O315" s="24" t="n">
        <f aca="false">MAX(B315:M315)</f>
        <v>25560.9834847739</v>
      </c>
      <c r="P315" s="15" t="n">
        <f aca="false">O315/parametros_recargas!$B$6</f>
        <v>170.406556565159</v>
      </c>
    </row>
    <row r="316" customFormat="false" ht="15" hidden="false" customHeight="false" outlineLevel="0" collapsed="false">
      <c r="A316" s="12" t="str">
        <f aca="false">parametros_recargas!$B$98</f>
        <v>Precinto, etiqueta y despacho</v>
      </c>
      <c r="B316" s="23" t="n">
        <f aca="false">parametros_recargas!$E$98*'Plan mensual'!D309+parametros_recargas!$F$98*'Plan mensual'!D310+parametros_recargas!$G$98*'Plan mensual'!D311+parametros_recargas!$H$98*'Plan mensual'!D312+parametros_recargas!$I$98*'Plan mensual'!D313+parametros_recargas!$J$98*'Plan mensual'!D314+parametros_recargas!$K$98*'Plan mensual'!D315+parametros_recargas!$L$98*'Plan mensual'!D316</f>
        <v>25560.9834847739</v>
      </c>
      <c r="C316" s="23" t="n">
        <f aca="false">parametros_recargas!$E$98*'Plan mensual'!E309+parametros_recargas!$F$98*'Plan mensual'!E310+parametros_recargas!$G$98*'Plan mensual'!E311+parametros_recargas!$H$98*'Plan mensual'!E312+parametros_recargas!$I$98*'Plan mensual'!E313+parametros_recargas!$J$98*'Plan mensual'!E314+parametros_recargas!$K$98*'Plan mensual'!E315+parametros_recargas!$L$98*'Plan mensual'!E316</f>
        <v>25560.9834847739</v>
      </c>
      <c r="D316" s="23" t="n">
        <f aca="false">parametros_recargas!$E$98*'Plan mensual'!F309+parametros_recargas!$F$98*'Plan mensual'!F310+parametros_recargas!$G$98*'Plan mensual'!F311+parametros_recargas!$H$98*'Plan mensual'!F312+parametros_recargas!$I$98*'Plan mensual'!F313+parametros_recargas!$J$98*'Plan mensual'!F314+parametros_recargas!$K$98*'Plan mensual'!F315+parametros_recargas!$L$98*'Plan mensual'!F316</f>
        <v>25560.9834847739</v>
      </c>
      <c r="E316" s="23" t="n">
        <f aca="false">parametros_recargas!$E$98*'Plan mensual'!G309+parametros_recargas!$F$98*'Plan mensual'!G310+parametros_recargas!$G$98*'Plan mensual'!G311+parametros_recargas!$H$98*'Plan mensual'!G312+parametros_recargas!$I$98*'Plan mensual'!G313+parametros_recargas!$J$98*'Plan mensual'!G314+parametros_recargas!$K$98*'Plan mensual'!G315+parametros_recargas!$L$98*'Plan mensual'!G316</f>
        <v>25560.9834847739</v>
      </c>
      <c r="F316" s="23" t="n">
        <f aca="false">parametros_recargas!$E$98*'Plan mensual'!H309+parametros_recargas!$F$98*'Plan mensual'!H310+parametros_recargas!$G$98*'Plan mensual'!H311+parametros_recargas!$H$98*'Plan mensual'!H312+parametros_recargas!$I$98*'Plan mensual'!H313+parametros_recargas!$J$98*'Plan mensual'!H314+parametros_recargas!$K$98*'Plan mensual'!H315+parametros_recargas!$L$98*'Plan mensual'!H316</f>
        <v>25560.9834847739</v>
      </c>
      <c r="G316" s="23" t="n">
        <f aca="false">parametros_recargas!$E$98*'Plan mensual'!I309+parametros_recargas!$F$98*'Plan mensual'!I310+parametros_recargas!$G$98*'Plan mensual'!I311+parametros_recargas!$H$98*'Plan mensual'!I312+parametros_recargas!$I$98*'Plan mensual'!I313+parametros_recargas!$J$98*'Plan mensual'!I314+parametros_recargas!$K$98*'Plan mensual'!I315+parametros_recargas!$L$98*'Plan mensual'!I316</f>
        <v>25560.9834847739</v>
      </c>
      <c r="H316" s="23" t="n">
        <f aca="false">parametros_recargas!$E$98*'Plan mensual'!J309+parametros_recargas!$F$98*'Plan mensual'!J310+parametros_recargas!$G$98*'Plan mensual'!J311+parametros_recargas!$H$98*'Plan mensual'!J312+parametros_recargas!$I$98*'Plan mensual'!J313+parametros_recargas!$J$98*'Plan mensual'!J314+parametros_recargas!$K$98*'Plan mensual'!J315+parametros_recargas!$L$98*'Plan mensual'!J316</f>
        <v>25560.9834847739</v>
      </c>
      <c r="I316" s="23" t="n">
        <f aca="false">parametros_recargas!$E$98*'Plan mensual'!K309+parametros_recargas!$F$98*'Plan mensual'!K310+parametros_recargas!$G$98*'Plan mensual'!K311+parametros_recargas!$H$98*'Plan mensual'!K312+parametros_recargas!$I$98*'Plan mensual'!K313+parametros_recargas!$J$98*'Plan mensual'!K314+parametros_recargas!$K$98*'Plan mensual'!K315+parametros_recargas!$L$98*'Plan mensual'!K316</f>
        <v>25560.9834847739</v>
      </c>
      <c r="J316" s="23" t="n">
        <f aca="false">parametros_recargas!$E$98*'Plan mensual'!L309+parametros_recargas!$F$98*'Plan mensual'!L310+parametros_recargas!$G$98*'Plan mensual'!L311+parametros_recargas!$H$98*'Plan mensual'!L312+parametros_recargas!$I$98*'Plan mensual'!L313+parametros_recargas!$J$98*'Plan mensual'!L314+parametros_recargas!$K$98*'Plan mensual'!L315+parametros_recargas!$L$98*'Plan mensual'!L316</f>
        <v>25560.9834847739</v>
      </c>
      <c r="K316" s="23" t="n">
        <f aca="false">parametros_recargas!$E$98*'Plan mensual'!M309+parametros_recargas!$F$98*'Plan mensual'!M310+parametros_recargas!$G$98*'Plan mensual'!M311+parametros_recargas!$H$98*'Plan mensual'!M312+parametros_recargas!$I$98*'Plan mensual'!M313+parametros_recargas!$J$98*'Plan mensual'!M314+parametros_recargas!$K$98*'Plan mensual'!M315+parametros_recargas!$L$98*'Plan mensual'!M316</f>
        <v>25560.9834847739</v>
      </c>
      <c r="L316" s="23" t="n">
        <f aca="false">parametros_recargas!$E$98*'Plan mensual'!N309+parametros_recargas!$F$98*'Plan mensual'!N310+parametros_recargas!$G$98*'Plan mensual'!N311+parametros_recargas!$H$98*'Plan mensual'!N312+parametros_recargas!$I$98*'Plan mensual'!N313+parametros_recargas!$J$98*'Plan mensual'!N314+parametros_recargas!$K$98*'Plan mensual'!N315+parametros_recargas!$L$98*'Plan mensual'!N316</f>
        <v>25560.9834847739</v>
      </c>
      <c r="M316" s="23" t="n">
        <f aca="false">parametros_recargas!$E$98*'Plan mensual'!O309+parametros_recargas!$F$98*'Plan mensual'!O310+parametros_recargas!$G$98*'Plan mensual'!O311+parametros_recargas!$H$98*'Plan mensual'!O312+parametros_recargas!$I$98*'Plan mensual'!O313+parametros_recargas!$J$98*'Plan mensual'!O314+parametros_recargas!$K$98*'Plan mensual'!O315+parametros_recargas!$L$98*'Plan mensual'!O316</f>
        <v>25560.9834847739</v>
      </c>
      <c r="N316" s="7" t="n">
        <f aca="false">SUM(B316:M316)</f>
        <v>306731.801817287</v>
      </c>
      <c r="O316" s="24" t="n">
        <f aca="false">MAX(B316:M316)</f>
        <v>25560.9834847739</v>
      </c>
      <c r="P316" s="15" t="n">
        <f aca="false">O316/parametros_recargas!$B$6</f>
        <v>170.406556565159</v>
      </c>
    </row>
    <row r="317" customFormat="false" ht="15" hidden="false" customHeight="false" outlineLevel="0" collapsed="false">
      <c r="A317" s="12" t="str">
        <f aca="false">parametros_recargas!$B$99</f>
        <v>Inutilización y disposición final</v>
      </c>
      <c r="B317" s="23" t="n">
        <f aca="false">parametros_recargas!$E$99*'Plan mensual'!D309+parametros_recargas!$F$99*'Plan mensual'!D310+parametros_recargas!$G$99*'Plan mensual'!D311+parametros_recargas!$H$99*'Plan mensual'!D312+parametros_recargas!$I$99*'Plan mensual'!D313+parametros_recargas!$J$99*'Plan mensual'!D314+parametros_recargas!$K$99*'Plan mensual'!D315+parametros_recargas!$L$99*'Plan mensual'!D316</f>
        <v>2007.78744302292</v>
      </c>
      <c r="C317" s="23" t="n">
        <f aca="false">parametros_recargas!$E$99*'Plan mensual'!E309+parametros_recargas!$F$99*'Plan mensual'!E310+parametros_recargas!$G$99*'Plan mensual'!E311+parametros_recargas!$H$99*'Plan mensual'!E312+parametros_recargas!$I$99*'Plan mensual'!E313+parametros_recargas!$J$99*'Plan mensual'!E314+parametros_recargas!$K$99*'Plan mensual'!E315+parametros_recargas!$L$99*'Plan mensual'!E316</f>
        <v>2007.78744302292</v>
      </c>
      <c r="D317" s="23" t="n">
        <f aca="false">parametros_recargas!$E$99*'Plan mensual'!F309+parametros_recargas!$F$99*'Plan mensual'!F310+parametros_recargas!$G$99*'Plan mensual'!F311+parametros_recargas!$H$99*'Plan mensual'!F312+parametros_recargas!$I$99*'Plan mensual'!F313+parametros_recargas!$J$99*'Plan mensual'!F314+parametros_recargas!$K$99*'Plan mensual'!F315+parametros_recargas!$L$99*'Plan mensual'!F316</f>
        <v>2007.78744302292</v>
      </c>
      <c r="E317" s="23" t="n">
        <f aca="false">parametros_recargas!$E$99*'Plan mensual'!G309+parametros_recargas!$F$99*'Plan mensual'!G310+parametros_recargas!$G$99*'Plan mensual'!G311+parametros_recargas!$H$99*'Plan mensual'!G312+parametros_recargas!$I$99*'Plan mensual'!G313+parametros_recargas!$J$99*'Plan mensual'!G314+parametros_recargas!$K$99*'Plan mensual'!G315+parametros_recargas!$L$99*'Plan mensual'!G316</f>
        <v>2007.78744302292</v>
      </c>
      <c r="F317" s="23" t="n">
        <f aca="false">parametros_recargas!$E$99*'Plan mensual'!H309+parametros_recargas!$F$99*'Plan mensual'!H310+parametros_recargas!$G$99*'Plan mensual'!H311+parametros_recargas!$H$99*'Plan mensual'!H312+parametros_recargas!$I$99*'Plan mensual'!H313+parametros_recargas!$J$99*'Plan mensual'!H314+parametros_recargas!$K$99*'Plan mensual'!H315+parametros_recargas!$L$99*'Plan mensual'!H316</f>
        <v>2007.78744302292</v>
      </c>
      <c r="G317" s="23" t="n">
        <f aca="false">parametros_recargas!$E$99*'Plan mensual'!I309+parametros_recargas!$F$99*'Plan mensual'!I310+parametros_recargas!$G$99*'Plan mensual'!I311+parametros_recargas!$H$99*'Plan mensual'!I312+parametros_recargas!$I$99*'Plan mensual'!I313+parametros_recargas!$J$99*'Plan mensual'!I314+parametros_recargas!$K$99*'Plan mensual'!I315+parametros_recargas!$L$99*'Plan mensual'!I316</f>
        <v>2007.78744302292</v>
      </c>
      <c r="H317" s="23" t="n">
        <f aca="false">parametros_recargas!$E$99*'Plan mensual'!J309+parametros_recargas!$F$99*'Plan mensual'!J310+parametros_recargas!$G$99*'Plan mensual'!J311+parametros_recargas!$H$99*'Plan mensual'!J312+parametros_recargas!$I$99*'Plan mensual'!J313+parametros_recargas!$J$99*'Plan mensual'!J314+parametros_recargas!$K$99*'Plan mensual'!J315+parametros_recargas!$L$99*'Plan mensual'!J316</f>
        <v>2007.78744302292</v>
      </c>
      <c r="I317" s="23" t="n">
        <f aca="false">parametros_recargas!$E$99*'Plan mensual'!K309+parametros_recargas!$F$99*'Plan mensual'!K310+parametros_recargas!$G$99*'Plan mensual'!K311+parametros_recargas!$H$99*'Plan mensual'!K312+parametros_recargas!$I$99*'Plan mensual'!K313+parametros_recargas!$J$99*'Plan mensual'!K314+parametros_recargas!$K$99*'Plan mensual'!K315+parametros_recargas!$L$99*'Plan mensual'!K316</f>
        <v>2007.78744302292</v>
      </c>
      <c r="J317" s="23" t="n">
        <f aca="false">parametros_recargas!$E$99*'Plan mensual'!L309+parametros_recargas!$F$99*'Plan mensual'!L310+parametros_recargas!$G$99*'Plan mensual'!L311+parametros_recargas!$H$99*'Plan mensual'!L312+parametros_recargas!$I$99*'Plan mensual'!L313+parametros_recargas!$J$99*'Plan mensual'!L314+parametros_recargas!$K$99*'Plan mensual'!L315+parametros_recargas!$L$99*'Plan mensual'!L316</f>
        <v>2007.78744302292</v>
      </c>
      <c r="K317" s="23" t="n">
        <f aca="false">parametros_recargas!$E$99*'Plan mensual'!M309+parametros_recargas!$F$99*'Plan mensual'!M310+parametros_recargas!$G$99*'Plan mensual'!M311+parametros_recargas!$H$99*'Plan mensual'!M312+parametros_recargas!$I$99*'Plan mensual'!M313+parametros_recargas!$J$99*'Plan mensual'!M314+parametros_recargas!$K$99*'Plan mensual'!M315+parametros_recargas!$L$99*'Plan mensual'!M316</f>
        <v>2007.78744302292</v>
      </c>
      <c r="L317" s="23" t="n">
        <f aca="false">parametros_recargas!$E$99*'Plan mensual'!N309+parametros_recargas!$F$99*'Plan mensual'!N310+parametros_recargas!$G$99*'Plan mensual'!N311+parametros_recargas!$H$99*'Plan mensual'!N312+parametros_recargas!$I$99*'Plan mensual'!N313+parametros_recargas!$J$99*'Plan mensual'!N314+parametros_recargas!$K$99*'Plan mensual'!N315+parametros_recargas!$L$99*'Plan mensual'!N316</f>
        <v>2007.78744302292</v>
      </c>
      <c r="M317" s="23" t="n">
        <f aca="false">parametros_recargas!$E$99*'Plan mensual'!O309+parametros_recargas!$F$99*'Plan mensual'!O310+parametros_recargas!$G$99*'Plan mensual'!O311+parametros_recargas!$H$99*'Plan mensual'!O312+parametros_recargas!$I$99*'Plan mensual'!O313+parametros_recargas!$J$99*'Plan mensual'!O314+parametros_recargas!$K$99*'Plan mensual'!O315+parametros_recargas!$L$99*'Plan mensual'!O316</f>
        <v>2007.78744302292</v>
      </c>
      <c r="N317" s="7" t="n">
        <f aca="false">SUM(B317:M317)</f>
        <v>24093.449316275</v>
      </c>
      <c r="O317" s="24" t="n">
        <f aca="false">MAX(B317:M317)</f>
        <v>2007.78744302292</v>
      </c>
      <c r="P317" s="15" t="n">
        <f aca="false">O317/parametros_recargas!$B$6</f>
        <v>13.3852496201528</v>
      </c>
    </row>
    <row r="318" customFormat="false" ht="15" hidden="false" customHeight="false" outlineLevel="0" collapsed="false">
      <c r="A318" s="12" t="str">
        <f aca="false">parametros_recargas!$B$100</f>
        <v>PH de mangueras (CO₂ y rodantes)</v>
      </c>
      <c r="B318" s="23" t="n">
        <f aca="false">'Plan mensual'!D317</f>
        <v>1253.32032575082</v>
      </c>
      <c r="C318" s="23" t="n">
        <f aca="false">'Plan mensual'!E317</f>
        <v>1253.32032575082</v>
      </c>
      <c r="D318" s="23" t="n">
        <f aca="false">'Plan mensual'!F317</f>
        <v>1253.32032575082</v>
      </c>
      <c r="E318" s="23" t="n">
        <f aca="false">'Plan mensual'!G317</f>
        <v>1253.32032575082</v>
      </c>
      <c r="F318" s="23" t="n">
        <f aca="false">'Plan mensual'!H317</f>
        <v>1253.32032575082</v>
      </c>
      <c r="G318" s="23" t="n">
        <f aca="false">'Plan mensual'!I317</f>
        <v>1253.32032575082</v>
      </c>
      <c r="H318" s="23" t="n">
        <f aca="false">'Plan mensual'!J317</f>
        <v>1253.32032575082</v>
      </c>
      <c r="I318" s="23" t="n">
        <f aca="false">'Plan mensual'!K317</f>
        <v>1253.32032575082</v>
      </c>
      <c r="J318" s="23" t="n">
        <f aca="false">'Plan mensual'!L317</f>
        <v>1253.32032575082</v>
      </c>
      <c r="K318" s="23" t="n">
        <f aca="false">'Plan mensual'!M317</f>
        <v>1253.32032575082</v>
      </c>
      <c r="L318" s="23" t="n">
        <f aca="false">'Plan mensual'!N317</f>
        <v>1253.32032575082</v>
      </c>
      <c r="M318" s="23" t="n">
        <f aca="false">'Plan mensual'!O317</f>
        <v>1253.32032575082</v>
      </c>
      <c r="N318" s="7" t="n">
        <f aca="false">SUM(B318:M318)</f>
        <v>15039.8439090098</v>
      </c>
      <c r="O318" s="24" t="n">
        <f aca="false">MAX(B318:M318)</f>
        <v>1253.32032575082</v>
      </c>
      <c r="P318" s="15" t="n">
        <f aca="false">O318/parametros_recargas!$B$6</f>
        <v>8.35546883833879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1" min="2" style="0" width="10"/>
    <col collapsed="false" customWidth="true" hidden="false" outlineLevel="0" max="13" min="12" style="0" width="3"/>
    <col collapsed="false" customWidth="true" hidden="false" outlineLevel="0" max="14" min="14" style="0" width="30"/>
    <col collapsed="false" customWidth="true" hidden="false" outlineLevel="0" max="15" min="15" style="0" width="56"/>
  </cols>
  <sheetData>
    <row r="1" customFormat="false" ht="15" hidden="false" customHeight="false" outlineLevel="0" collapsed="false">
      <c r="A1" s="3" t="s">
        <v>285</v>
      </c>
      <c r="B1" s="3" t="n">
        <v>2026</v>
      </c>
      <c r="C1" s="3" t="n">
        <v>2027</v>
      </c>
      <c r="D1" s="3" t="n">
        <v>2028</v>
      </c>
      <c r="E1" s="3" t="n">
        <v>2029</v>
      </c>
      <c r="F1" s="3" t="n">
        <v>2030</v>
      </c>
      <c r="G1" s="3" t="n">
        <v>2031</v>
      </c>
      <c r="H1" s="3" t="n">
        <v>2032</v>
      </c>
      <c r="I1" s="3" t="n">
        <v>2033</v>
      </c>
      <c r="J1" s="3" t="n">
        <v>2034</v>
      </c>
      <c r="K1" s="3" t="n">
        <v>2035</v>
      </c>
      <c r="N1" s="3" t="s">
        <v>286</v>
      </c>
      <c r="O1" s="3" t="s">
        <v>287</v>
      </c>
    </row>
    <row r="2" customFormat="false" ht="15" hidden="false" customHeight="false" outlineLevel="0" collapsed="false">
      <c r="A2" s="12" t="str">
        <f aca="false">parametros_recargas!$B$72</f>
        <v>Recepción y registro</v>
      </c>
      <c r="B2" s="25" t="n">
        <f aca="false">IF(parametros_recargas!$N$72*B34*B66=0,0,'Demanda por puesto'!$P$2/(parametros_recargas!$N$72*B34*B66))</f>
        <v>0.0576137414373688</v>
      </c>
      <c r="C2" s="25" t="n">
        <f aca="false">IF(parametros_recargas!$N$72*C34*C66=0,0,'Demanda por puesto'!$P$34/(parametros_recargas!$N$72*C34*C66))</f>
        <v>0.259926756568119</v>
      </c>
      <c r="D2" s="25" t="n">
        <f aca="false">IF(parametros_recargas!$N$72*D34*D66=0,0,'Demanda por puesto'!$P$66/(parametros_recargas!$N$72*D34*D66))</f>
        <v>0.52213623152326</v>
      </c>
      <c r="E2" s="25" t="n">
        <f aca="false">IF(parametros_recargas!$N$72*E34*E66=0,0,'Demanda por puesto'!$P$98/(parametros_recargas!$N$72*E34*E66))</f>
        <v>0.967595288010381</v>
      </c>
      <c r="F2" s="25" t="n">
        <f aca="false">IF(parametros_recargas!$N$72*F34*F66=0,0,'Demanda por puesto'!$P$130/(parametros_recargas!$N$72*F34*F66))</f>
        <v>1.43588624170344</v>
      </c>
      <c r="G2" s="25" t="n">
        <f aca="false">IF(parametros_recargas!$N$72*G34*G66=0,0,'Demanda por puesto'!$P$162/(parametros_recargas!$N$72*G34*G66))</f>
        <v>1.99214036540906</v>
      </c>
      <c r="H2" s="25" t="n">
        <f aca="false">IF(parametros_recargas!$N$72*H34*H66=0,0,'Demanda por puesto'!$P$194/(parametros_recargas!$N$72*H34*H66))</f>
        <v>2.53881191533377</v>
      </c>
      <c r="I2" s="25" t="n">
        <f aca="false">IF(parametros_recargas!$N$72*I34*I66=0,0,'Demanda por puesto'!$P$226/(parametros_recargas!$N$72*I34*I66))</f>
        <v>2.96974439853942</v>
      </c>
      <c r="J2" s="25" t="n">
        <f aca="false">IF(parametros_recargas!$N$72*J34*J66=0,0,'Demanda por puesto'!$P$258/(parametros_recargas!$N$72*J34*J66))</f>
        <v>3.2665524788903</v>
      </c>
      <c r="K2" s="25" t="n">
        <f aca="false">IF(parametros_recargas!$N$72*K34*K66=0,0,'Demanda por puesto'!$P$290/(parametros_recargas!$N$72*K34*K66))</f>
        <v>3.55013659510749</v>
      </c>
      <c r="N2" s="26" t="s">
        <v>288</v>
      </c>
      <c r="O2" s="4" t="s">
        <v>289</v>
      </c>
    </row>
    <row r="3" customFormat="false" ht="15" hidden="false" customHeight="false" outlineLevel="0" collapsed="false">
      <c r="A3" s="12" t="str">
        <f aca="false">parametros_recargas!$B$73</f>
        <v>Inspección visual</v>
      </c>
      <c r="B3" s="25" t="n">
        <f aca="false">IF(parametros_recargas!$N$73*B35*B67=0,0,'Demanda por puesto'!$P$3/(parametros_recargas!$N$73*B35*B67))</f>
        <v>0.0691364897248425</v>
      </c>
      <c r="C3" s="25" t="n">
        <f aca="false">IF(parametros_recargas!$N$73*C35*C67=0,0,'Demanda por puesto'!$P$35/(parametros_recargas!$N$73*C35*C67))</f>
        <v>0.311912107881743</v>
      </c>
      <c r="D3" s="25" t="n">
        <f aca="false">IF(parametros_recargas!$N$73*D35*D67=0,0,'Demanda por puesto'!$P$67/(parametros_recargas!$N$73*D35*D67))</f>
        <v>0.626563477827912</v>
      </c>
      <c r="E3" s="25" t="n">
        <f aca="false">IF(parametros_recargas!$N$73*E35*E67=0,0,'Demanda por puesto'!$P$99/(parametros_recargas!$N$73*E35*E67))</f>
        <v>1.16111434561246</v>
      </c>
      <c r="F3" s="25" t="n">
        <f aca="false">IF(parametros_recargas!$N$73*F35*F67=0,0,'Demanda por puesto'!$P$131/(parametros_recargas!$N$73*F35*F67))</f>
        <v>1.72306349004412</v>
      </c>
      <c r="G3" s="25" t="n">
        <f aca="false">IF(parametros_recargas!$N$73*G35*G67=0,0,'Demanda por puesto'!$P$163/(parametros_recargas!$N$73*G35*G67))</f>
        <v>2.39056843849087</v>
      </c>
      <c r="H3" s="25" t="n">
        <f aca="false">IF(parametros_recargas!$N$73*H35*H67=0,0,'Demanda por puesto'!$P$195/(parametros_recargas!$N$73*H35*H67))</f>
        <v>3.04657429840052</v>
      </c>
      <c r="I3" s="25" t="n">
        <f aca="false">IF(parametros_recargas!$N$73*I35*I67=0,0,'Demanda por puesto'!$P$227/(parametros_recargas!$N$73*I35*I67))</f>
        <v>3.5636932782473</v>
      </c>
      <c r="J3" s="25" t="n">
        <f aca="false">IF(parametros_recargas!$N$73*J35*J67=0,0,'Demanda por puesto'!$P$259/(parametros_recargas!$N$73*J35*J67))</f>
        <v>3.91986297466836</v>
      </c>
      <c r="K3" s="25" t="n">
        <f aca="false">IF(parametros_recargas!$N$73*K35*K67=0,0,'Demanda por puesto'!$P$291/(parametros_recargas!$N$73*K35*K67))</f>
        <v>4.26016391412898</v>
      </c>
      <c r="N3" s="26" t="s">
        <v>290</v>
      </c>
      <c r="O3" s="4" t="s">
        <v>291</v>
      </c>
    </row>
    <row r="4" customFormat="false" ht="15" hidden="false" customHeight="false" outlineLevel="0" collapsed="false">
      <c r="A4" s="12" t="str">
        <f aca="false">parametros_recargas!$B$74</f>
        <v>Descarga ABC — ruta recuperable</v>
      </c>
      <c r="B4" s="25" t="n">
        <f aca="false">IF(parametros_recargas!$N$74*B36*B68=0,0,'Demanda por puesto'!$P$4/(parametros_recargas!$N$74*B36*B68))</f>
        <v>0.0483129874916147</v>
      </c>
      <c r="C4" s="25" t="n">
        <f aca="false">IF(parametros_recargas!$N$74*C36*C68=0,0,'Demanda por puesto'!$P$36/(parametros_recargas!$N$74*C36*C68))</f>
        <v>0.219030908072863</v>
      </c>
      <c r="D4" s="25" t="n">
        <f aca="false">IF(parametros_recargas!$N$74*D36*D68=0,0,'Demanda por puesto'!$P$68/(parametros_recargas!$N$74*D36*D68))</f>
        <v>0.433200161000532</v>
      </c>
      <c r="E4" s="25" t="n">
        <f aca="false">IF(parametros_recargas!$N$74*E36*E68=0,0,'Demanda por puesto'!$P$100/(parametros_recargas!$N$74*E36*E68))</f>
        <v>0.802996104321941</v>
      </c>
      <c r="F4" s="25" t="n">
        <f aca="false">IF(parametros_recargas!$N$74*F36*F68=0,0,'Demanda por puesto'!$P$132/(parametros_recargas!$N$74*F36*F68))</f>
        <v>1.19550542498914</v>
      </c>
      <c r="G4" s="25" t="n">
        <f aca="false">IF(parametros_recargas!$N$74*G36*G68=0,0,'Demanda por puesto'!$P$164/(parametros_recargas!$N$74*G36*G68))</f>
        <v>1.66114485156797</v>
      </c>
      <c r="H4" s="25" t="n">
        <f aca="false">IF(parametros_recargas!$N$74*H36*H68=0,0,'Demanda por puesto'!$P$196/(parametros_recargas!$N$74*H36*H68))</f>
        <v>2.11398156026986</v>
      </c>
      <c r="I4" s="25" t="n">
        <f aca="false">IF(parametros_recargas!$N$74*I36*I68=0,0,'Demanda por puesto'!$P$228/(parametros_recargas!$N$74*I36*I68))</f>
        <v>2.47125500556594</v>
      </c>
      <c r="J4" s="25" t="n">
        <f aca="false">IF(parametros_recargas!$N$74*J36*J68=0,0,'Demanda por puesto'!$P$260/(parametros_recargas!$N$74*J36*J68))</f>
        <v>2.70894961877322</v>
      </c>
      <c r="K4" s="25" t="n">
        <f aca="false">IF(parametros_recargas!$N$74*K36*K68=0,0,'Demanda por puesto'!$P$292/(parametros_recargas!$N$74*K36*K68))</f>
        <v>2.93718234698839</v>
      </c>
      <c r="N4" s="26" t="s">
        <v>292</v>
      </c>
      <c r="O4" s="4" t="s">
        <v>293</v>
      </c>
    </row>
    <row r="5" customFormat="false" ht="15" hidden="false" customHeight="false" outlineLevel="0" collapsed="false">
      <c r="A5" s="12" t="str">
        <f aca="false">parametros_recargas!$B$75</f>
        <v>Descarga ABC — ruta descarte</v>
      </c>
      <c r="B5" s="25" t="n">
        <f aca="false">IF(parametros_recargas!$N$75*B37*B69=0,0,'Demanda por puesto'!$P$5/(parametros_recargas!$N$75*B37*B69))</f>
        <v>0.00568388088136643</v>
      </c>
      <c r="C5" s="25" t="n">
        <f aca="false">IF(parametros_recargas!$N$75*C37*C69=0,0,'Demanda por puesto'!$P$37/(parametros_recargas!$N$75*C37*C69))</f>
        <v>0.0257683421262191</v>
      </c>
      <c r="D5" s="25" t="n">
        <f aca="false">IF(parametros_recargas!$N$75*D37*D69=0,0,'Demanda por puesto'!$P$69/(parametros_recargas!$N$75*D37*D69))</f>
        <v>0.050964724823592</v>
      </c>
      <c r="E5" s="25" t="n">
        <f aca="false">IF(parametros_recargas!$N$75*E37*E69=0,0,'Demanda por puesto'!$P$101/(parametros_recargas!$N$75*E37*E69))</f>
        <v>0.0944701299202284</v>
      </c>
      <c r="F5" s="25" t="n">
        <f aca="false">IF(parametros_recargas!$N$75*F37*F69=0,0,'Demanda por puesto'!$P$133/(parametros_recargas!$N$75*F37*F69))</f>
        <v>0.140647697057546</v>
      </c>
      <c r="G5" s="25" t="n">
        <f aca="false">IF(parametros_recargas!$N$75*G37*G69=0,0,'Demanda por puesto'!$P$165/(parametros_recargas!$N$75*G37*G69))</f>
        <v>0.19542880606682</v>
      </c>
      <c r="H5" s="25" t="n">
        <f aca="false">IF(parametros_recargas!$N$75*H37*H69=0,0,'Demanda por puesto'!$P$197/(parametros_recargas!$N$75*H37*H69))</f>
        <v>0.248703712972925</v>
      </c>
      <c r="I5" s="25" t="n">
        <f aca="false">IF(parametros_recargas!$N$75*I37*I69=0,0,'Demanda por puesto'!$P$229/(parametros_recargas!$N$75*I37*I69))</f>
        <v>0.290735883007757</v>
      </c>
      <c r="J5" s="25" t="n">
        <f aca="false">IF(parametros_recargas!$N$75*J37*J69=0,0,'Demanda por puesto'!$P$261/(parametros_recargas!$N$75*J37*J69))</f>
        <v>0.318699955149791</v>
      </c>
      <c r="K5" s="25" t="n">
        <f aca="false">IF(parametros_recargas!$N$75*K37*K69=0,0,'Demanda por puesto'!$P$293/(parametros_recargas!$N$75*K37*K69))</f>
        <v>0.345550864351576</v>
      </c>
      <c r="N5" s="26" t="s">
        <v>294</v>
      </c>
      <c r="O5" s="4" t="s">
        <v>295</v>
      </c>
    </row>
    <row r="6" customFormat="false" ht="15" hidden="false" customHeight="false" outlineLevel="0" collapsed="false">
      <c r="A6" s="12" t="str">
        <f aca="false">parametros_recargas!$B$76</f>
        <v>Descarga BC</v>
      </c>
      <c r="B6" s="25" t="n">
        <f aca="false">IF(parametros_recargas!$N$76*B38*B70=0,0,'Demanda por puesto'!$P$6/(parametros_recargas!$N$76*B38*B70))</f>
        <v>6.37444560848163E-005</v>
      </c>
      <c r="C6" s="25" t="n">
        <f aca="false">IF(parametros_recargas!$N$76*C38*C70=0,0,'Demanda por puesto'!$P$38/(parametros_recargas!$N$76*C38*C70))</f>
        <v>0.00045261086861099</v>
      </c>
      <c r="D6" s="25" t="n">
        <f aca="false">IF(parametros_recargas!$N$76*D38*D70=0,0,'Demanda por puesto'!$P$70/(parametros_recargas!$N$76*D38*D70))</f>
        <v>0.000843027198224803</v>
      </c>
      <c r="E6" s="25" t="n">
        <f aca="false">IF(parametros_recargas!$N$76*E38*E70=0,0,'Demanda por puesto'!$P$102/(parametros_recargas!$N$76*E38*E70))</f>
        <v>0.00150229695687832</v>
      </c>
      <c r="F6" s="25" t="n">
        <f aca="false">IF(parametros_recargas!$N$76*F38*F70=0,0,'Demanda por puesto'!$P$134/(parametros_recargas!$N$76*F38*F70))</f>
        <v>0.0021045752449485</v>
      </c>
      <c r="G6" s="25" t="n">
        <f aca="false">IF(parametros_recargas!$N$76*G38*G70=0,0,'Demanda por puesto'!$P$166/(parametros_recargas!$N$76*G38*G70))</f>
        <v>0.00290865679797994</v>
      </c>
      <c r="H6" s="25" t="n">
        <f aca="false">IF(parametros_recargas!$N$76*H38*H70=0,0,'Demanda por puesto'!$P$198/(parametros_recargas!$N$76*H38*H70))</f>
        <v>0.00386343121024735</v>
      </c>
      <c r="I6" s="25" t="n">
        <f aca="false">IF(parametros_recargas!$N$76*I38*I70=0,0,'Demanda por puesto'!$P$230/(parametros_recargas!$N$76*I38*I70))</f>
        <v>0.00456075611113884</v>
      </c>
      <c r="J6" s="25" t="n">
        <f aca="false">IF(parametros_recargas!$N$76*J38*J70=0,0,'Demanda por puesto'!$P$262/(parametros_recargas!$N$76*J38*J70))</f>
        <v>0.00517203112764792</v>
      </c>
      <c r="K6" s="25" t="n">
        <f aca="false">IF(parametros_recargas!$N$76*K38*K70=0,0,'Demanda por puesto'!$P$294/(parametros_recargas!$N$76*K38*K70))</f>
        <v>0.00576009907326321</v>
      </c>
      <c r="N6" s="26" t="s">
        <v>296</v>
      </c>
      <c r="O6" s="4" t="s">
        <v>297</v>
      </c>
    </row>
    <row r="7" customFormat="false" ht="15" hidden="false" customHeight="false" outlineLevel="0" collapsed="false">
      <c r="A7" s="12" t="str">
        <f aca="false">parametros_recargas!$B$77</f>
        <v>Descarga de agua / AFFF / sales K</v>
      </c>
      <c r="B7" s="25" t="n">
        <f aca="false">IF(parametros_recargas!$N$77*B39*B71=0,0,'Demanda por puesto'!$P$7/(parametros_recargas!$N$77*B39*B71))</f>
        <v>0.00343845107002478</v>
      </c>
      <c r="C7" s="25" t="n">
        <f aca="false">IF(parametros_recargas!$N$77*C39*C71=0,0,'Demanda por puesto'!$P$39/(parametros_recargas!$N$77*C39*C71))</f>
        <v>0.0161261706432301</v>
      </c>
      <c r="D7" s="25" t="n">
        <f aca="false">IF(parametros_recargas!$N$77*D39*D71=0,0,'Demanda por puesto'!$P$71/(parametros_recargas!$N$77*D39*D71))</f>
        <v>0.0350701067689443</v>
      </c>
      <c r="E7" s="25" t="n">
        <f aca="false">IF(parametros_recargas!$N$77*E39*E71=0,0,'Demanda por puesto'!$P$103/(parametros_recargas!$N$77*E39*E71))</f>
        <v>0.0635898080155893</v>
      </c>
      <c r="F7" s="25" t="n">
        <f aca="false">IF(parametros_recargas!$N$77*F39*F71=0,0,'Demanda por puesto'!$P$135/(parametros_recargas!$N$77*F39*F71))</f>
        <v>0.0921992577991873</v>
      </c>
      <c r="G7" s="25" t="n">
        <f aca="false">IF(parametros_recargas!$N$77*G39*G71=0,0,'Demanda por puesto'!$P$167/(parametros_recargas!$N$77*G39*G71))</f>
        <v>0.126345902232499</v>
      </c>
      <c r="H7" s="25" t="n">
        <f aca="false">IF(parametros_recargas!$N$77*H39*H71=0,0,'Demanda por puesto'!$P$199/(parametros_recargas!$N$77*H39*H71))</f>
        <v>0.162322894336496</v>
      </c>
      <c r="I7" s="25" t="n">
        <f aca="false">IF(parametros_recargas!$N$77*I39*I71=0,0,'Demanda por puesto'!$P$231/(parametros_recargas!$N$77*I39*I71))</f>
        <v>0.191204828901553</v>
      </c>
      <c r="J7" s="25" t="n">
        <f aca="false">IF(parametros_recargas!$N$77*J39*J71=0,0,'Demanda por puesto'!$P$263/(parametros_recargas!$N$77*J39*J71))</f>
        <v>0.215110582993445</v>
      </c>
      <c r="K7" s="25" t="n">
        <f aca="false">IF(parametros_recargas!$N$77*K39*K71=0,0,'Demanda por puesto'!$P$295/(parametros_recargas!$N$77*K39*K71))</f>
        <v>0.237337795270274</v>
      </c>
      <c r="N7" s="26" t="s">
        <v>298</v>
      </c>
      <c r="O7" s="4" t="s">
        <v>299</v>
      </c>
    </row>
    <row r="8" customFormat="false" ht="15" hidden="false" customHeight="false" outlineLevel="0" collapsed="false">
      <c r="A8" s="12" t="str">
        <f aca="false">parametros_recargas!$B$78</f>
        <v>Recuperación de CO₂</v>
      </c>
      <c r="B8" s="25" t="n">
        <f aca="false">IF(parametros_recargas!$N$78*B40*B72=0,0,'Demanda por puesto'!$P$8/(parametros_recargas!$N$78*B40*B72))</f>
        <v>0.00324128072662798</v>
      </c>
      <c r="C8" s="25" t="n">
        <f aca="false">IF(parametros_recargas!$N$78*C40*C72=0,0,'Demanda por puesto'!$P$40/(parametros_recargas!$N$78*C40*C72))</f>
        <v>0.0131929555606966</v>
      </c>
      <c r="D8" s="25" t="n">
        <f aca="false">IF(parametros_recargas!$N$78*D40*D72=0,0,'Demanda por puesto'!$P$72/(parametros_recargas!$N$78*D40*D72))</f>
        <v>0.0300641802285904</v>
      </c>
      <c r="E8" s="25" t="n">
        <f aca="false">IF(parametros_recargas!$N$78*E40*E72=0,0,'Demanda por puesto'!$P$104/(parametros_recargas!$N$78*E40*E72))</f>
        <v>0.056540847532625</v>
      </c>
      <c r="F8" s="25" t="n">
        <f aca="false">IF(parametros_recargas!$N$78*F40*F72=0,0,'Demanda por puesto'!$P$136/(parametros_recargas!$N$78*F40*F72))</f>
        <v>0.0824266517127944</v>
      </c>
      <c r="G8" s="25" t="n">
        <f aca="false">IF(parametros_recargas!$N$78*G40*G72=0,0,'Demanda por puesto'!$P$168/(parametros_recargas!$N$78*G40*G72))</f>
        <v>0.113550014793966</v>
      </c>
      <c r="H8" s="25" t="n">
        <f aca="false">IF(parametros_recargas!$N$78*H40*H72=0,0,'Demanda por puesto'!$P$200/(parametros_recargas!$N$78*H40*H72))</f>
        <v>0.145856126525006</v>
      </c>
      <c r="I8" s="25" t="n">
        <f aca="false">IF(parametros_recargas!$N$78*I40*I72=0,0,'Demanda por puesto'!$P$232/(parametros_recargas!$N$78*I40*I72))</f>
        <v>0.17084496918715</v>
      </c>
      <c r="J8" s="25" t="n">
        <f aca="false">IF(parametros_recargas!$N$78*J40*J72=0,0,'Demanda por puesto'!$P$264/(parametros_recargas!$N$78*J40*J72))</f>
        <v>0.191734523416447</v>
      </c>
      <c r="K8" s="25" t="n">
        <f aca="false">IF(parametros_recargas!$N$78*K40*K72=0,0,'Demanda por puesto'!$P$296/(parametros_recargas!$N$78*K40*K72))</f>
        <v>0.211213981405387</v>
      </c>
    </row>
    <row r="9" customFormat="false" ht="15" hidden="false" customHeight="false" outlineLevel="0" collapsed="false">
      <c r="A9" s="12" t="str">
        <f aca="false">parametros_recargas!$B$79</f>
        <v>Recuperación de halogenado</v>
      </c>
      <c r="B9" s="25" t="n">
        <f aca="false">IF(parametros_recargas!$N$79*B41*B73=0,0,'Demanda por puesto'!$P$9/(parametros_recargas!$N$79*B41*B73))</f>
        <v>0.000232479793784118</v>
      </c>
      <c r="C9" s="25" t="n">
        <f aca="false">IF(parametros_recargas!$N$79*C41*C73=0,0,'Demanda por puesto'!$P$41/(parametros_recargas!$N$79*C41*C73))</f>
        <v>0.0014490164320433</v>
      </c>
      <c r="D9" s="25" t="n">
        <f aca="false">IF(parametros_recargas!$N$79*D41*D73=0,0,'Demanda por puesto'!$P$73/(parametros_recargas!$N$79*D41*D73))</f>
        <v>0.00296569319819106</v>
      </c>
      <c r="E9" s="25" t="n">
        <f aca="false">IF(parametros_recargas!$N$79*E41*E73=0,0,'Demanda por puesto'!$P$105/(parametros_recargas!$N$79*E41*E73))</f>
        <v>0.00513463595949803</v>
      </c>
      <c r="F9" s="25" t="n">
        <f aca="false">IF(parametros_recargas!$N$79*F41*F73=0,0,'Demanda por puesto'!$P$137/(parametros_recargas!$N$79*F41*F73))</f>
        <v>0.00744347443010324</v>
      </c>
      <c r="G9" s="25" t="n">
        <f aca="false">IF(parametros_recargas!$N$79*G41*G73=0,0,'Demanda por puesto'!$P$169/(parametros_recargas!$N$79*G41*G73))</f>
        <v>0.0101165428095871</v>
      </c>
      <c r="H9" s="25" t="n">
        <f aca="false">IF(parametros_recargas!$N$79*H41*H73=0,0,'Demanda por puesto'!$P$201/(parametros_recargas!$N$79*H41*H73))</f>
        <v>0.0132307733062406</v>
      </c>
      <c r="I9" s="25" t="n">
        <f aca="false">IF(parametros_recargas!$N$79*I41*I73=0,0,'Demanda por puesto'!$P$233/(parametros_recargas!$N$79*I41*I73))</f>
        <v>0.0158081611016676</v>
      </c>
      <c r="J9" s="25" t="n">
        <f aca="false">IF(parametros_recargas!$N$79*J41*J73=0,0,'Demanda por puesto'!$P$265/(parametros_recargas!$N$79*J41*J73))</f>
        <v>0.0179572211628452</v>
      </c>
      <c r="K9" s="25" t="n">
        <f aca="false">IF(parametros_recargas!$N$79*K41*K73=0,0,'Demanda por puesto'!$P$297/(parametros_recargas!$N$79*K41*K73))</f>
        <v>0.0199548370834211</v>
      </c>
      <c r="N9" s="6" t="s">
        <v>71</v>
      </c>
      <c r="O9" s="27" t="n">
        <f aca="false">parametros_recargas!B7</f>
        <v>0.9</v>
      </c>
    </row>
    <row r="10" customFormat="false" ht="15" hidden="false" customHeight="false" outlineLevel="0" collapsed="false">
      <c r="A10" s="12" t="str">
        <f aca="false">parametros_recargas!$B$80</f>
        <v>Desarme y limpieza — recinto</v>
      </c>
      <c r="B10" s="25" t="n">
        <f aca="false">IF(parametros_recargas!$N$80*B42*B74=0,0,'Demanda por puesto'!$P$10/(parametros_recargas!$N$80*B42*B74))</f>
        <v>0.0663489820571478</v>
      </c>
      <c r="C10" s="25" t="n">
        <f aca="false">IF(parametros_recargas!$N$80*C42*C74=0,0,'Demanda por puesto'!$P$42/(parametros_recargas!$N$80*C42*C74))</f>
        <v>0.301179713611081</v>
      </c>
      <c r="D10" s="25" t="n">
        <f aca="false">IF(parametros_recargas!$N$80*D42*D74=0,0,'Demanda por puesto'!$P$74/(parametros_recargas!$N$80*D42*D74))</f>
        <v>0.595552905418878</v>
      </c>
      <c r="E10" s="25" t="n">
        <f aca="false">IF(parametros_recargas!$N$80*E42*E74=0,0,'Demanda por puesto'!$P$106/(parametros_recargas!$N$80*E42*E74))</f>
        <v>1.10367658434452</v>
      </c>
      <c r="F10" s="25" t="n">
        <f aca="false">IF(parametros_recargas!$N$80*F42*F74=0,0,'Demanda por puesto'!$P$138/(parametros_recargas!$N$80*F42*F74))</f>
        <v>1.64287598516149</v>
      </c>
      <c r="G10" s="25" t="n">
        <f aca="false">IF(parametros_recargas!$N$80*G42*G74=0,0,'Demanda por puesto'!$P$170/(parametros_recargas!$N$80*G42*G74))</f>
        <v>2.28253837312536</v>
      </c>
      <c r="H10" s="25" t="n">
        <f aca="false">IF(parametros_recargas!$N$80*H42*H74=0,0,'Demanda por puesto'!$P$202/(parametros_recargas!$N$80*H42*H74))</f>
        <v>2.90516558375061</v>
      </c>
      <c r="I10" s="25" t="n">
        <f aca="false">IF(parametros_recargas!$N$80*I42*I74=0,0,'Demanda por puesto'!$P$234/(parametros_recargas!$N$80*I42*I74))</f>
        <v>3.39629885635902</v>
      </c>
      <c r="J10" s="25" t="n">
        <f aca="false">IF(parametros_recargas!$N$80*J42*J74=0,0,'Demanda por puesto'!$P$266/(parametros_recargas!$N$80*J42*J74))</f>
        <v>3.72336313938821</v>
      </c>
      <c r="K10" s="25" t="n">
        <f aca="false">IF(parametros_recargas!$N$80*K42*K74=0,0,'Demanda por puesto'!$P$298/(parametros_recargas!$N$80*K42*K74))</f>
        <v>4.03740727991039</v>
      </c>
      <c r="N10" s="6" t="s">
        <v>73</v>
      </c>
      <c r="O10" s="16" t="n">
        <f aca="false">parametros_recargas!B8</f>
        <v>2</v>
      </c>
    </row>
    <row r="11" customFormat="false" ht="15" hidden="false" customHeight="false" outlineLevel="0" collapsed="false">
      <c r="A11" s="12" t="str">
        <f aca="false">parametros_recargas!$B$81</f>
        <v>Desarme e inspección interior — zona general</v>
      </c>
      <c r="B11" s="25" t="n">
        <f aca="false">IF(parametros_recargas!$N$81*B43*B75=0,0,'Demanda por puesto'!$P$11/(parametros_recargas!$N$81*B43*B75))</f>
        <v>0.00863424937572976</v>
      </c>
      <c r="C11" s="25" t="n">
        <f aca="false">IF(parametros_recargas!$N$81*C43*C75=0,0,'Demanda por puesto'!$P$43/(parametros_recargas!$N$81*C43*C75))</f>
        <v>0.0389056135966862</v>
      </c>
      <c r="D11" s="25" t="n">
        <f aca="false">IF(parametros_recargas!$N$81*D43*D75=0,0,'Demanda por puesto'!$P$75/(parametros_recargas!$N$81*D43*D75))</f>
        <v>0.0857178765312934</v>
      </c>
      <c r="E11" s="25" t="n">
        <f aca="false">IF(parametros_recargas!$N$81*E43*E75=0,0,'Demanda por puesto'!$P$107/(parametros_recargas!$N$81*E43*E75))</f>
        <v>0.157074448857963</v>
      </c>
      <c r="F11" s="25" t="n">
        <f aca="false">IF(parametros_recargas!$N$81*F43*F75=0,0,'Demanda por puesto'!$P$139/(parametros_recargas!$N$81*F43*F75))</f>
        <v>0.228127128992586</v>
      </c>
      <c r="G11" s="25" t="n">
        <f aca="false">IF(parametros_recargas!$N$81*G43*G75=0,0,'Demanda por puesto'!$P$171/(parametros_recargas!$N$81*G43*G75))</f>
        <v>0.313095697060675</v>
      </c>
      <c r="H11" s="25" t="n">
        <f aca="false">IF(parametros_recargas!$N$81*H43*H75=0,0,'Demanda por puesto'!$P$203/(parametros_recargas!$N$81*H43*H75))</f>
        <v>0.402314686939199</v>
      </c>
      <c r="I11" s="25" t="n">
        <f aca="false">IF(parametros_recargas!$N$81*I43*I75=0,0,'Demanda por puesto'!$P$235/(parametros_recargas!$N$81*I43*I75))</f>
        <v>0.473155673666151</v>
      </c>
      <c r="J11" s="25" t="n">
        <f aca="false">IF(parametros_recargas!$N$81*J43*J75=0,0,'Demanda por puesto'!$P$267/(parametros_recargas!$N$81*J43*J75))</f>
        <v>0.531974125238036</v>
      </c>
      <c r="K11" s="25" t="n">
        <f aca="false">IF(parametros_recargas!$N$81*K43*K75=0,0,'Demanda por puesto'!$P$299/(parametros_recargas!$N$81*K43*K75))</f>
        <v>0.58671108100139</v>
      </c>
    </row>
    <row r="12" customFormat="false" ht="15" hidden="false" customHeight="false" outlineLevel="0" collapsed="false">
      <c r="A12" s="12" t="str">
        <f aca="false">parametros_recargas!$B$82</f>
        <v>Laboratorio — Puffer y mufla</v>
      </c>
      <c r="B12" s="25" t="n">
        <f aca="false">IF(parametros_recargas!$N$82*B44*B76=0,0,'Demanda por puesto'!$P$12/(parametros_recargas!$N$82*B44*B76))</f>
        <v>0.00212882493409179</v>
      </c>
      <c r="C12" s="25" t="n">
        <f aca="false">IF(parametros_recargas!$N$82*C44*C76=0,0,'Demanda por puesto'!$P$44/(parametros_recargas!$N$82*C44*C76))</f>
        <v>0.00965732449618766</v>
      </c>
      <c r="D12" s="25" t="n">
        <f aca="false">IF(parametros_recargas!$N$82*D44*D76=0,0,'Demanda por puesto'!$P$76/(parametros_recargas!$N$82*D44*D76))</f>
        <v>0.0190983420691833</v>
      </c>
      <c r="E12" s="25" t="n">
        <f aca="false">IF(parametros_recargas!$N$82*E44*E76=0,0,'Demanda por puesto'!$P$108/(parametros_recargas!$N$82*E44*E76))</f>
        <v>0.0353991463033663</v>
      </c>
      <c r="F12" s="25" t="n">
        <f aca="false">IF(parametros_recargas!$N$82*F44*F76=0,0,'Demanda por puesto'!$P$140/(parametros_recargas!$N$82*F44*F76))</f>
        <v>0.0526975213612812</v>
      </c>
      <c r="G12" s="25" t="n">
        <f aca="false">IF(parametros_recargas!$N$82*G44*G76=0,0,'Demanda por puesto'!$P$172/(parametros_recargas!$N$82*G44*G76))</f>
        <v>0.0732221830769698</v>
      </c>
      <c r="H12" s="25" t="n">
        <f aca="false">IF(parametros_recargas!$N$82*H44*H76=0,0,'Demanda por puesto'!$P$204/(parametros_recargas!$N$82*H44*H76))</f>
        <v>0.0931889856916187</v>
      </c>
      <c r="I12" s="25" t="n">
        <f aca="false">IF(parametros_recargas!$N$82*I44*I76=0,0,'Demanda por puesto'!$P$236/(parametros_recargas!$N$82*I44*I76))</f>
        <v>0.108940050400942</v>
      </c>
      <c r="J12" s="25" t="n">
        <f aca="false">IF(parametros_recargas!$N$82*J44*J76=0,0,'Demanda por puesto'!$P$268/(parametros_recargas!$N$82*J44*J76))</f>
        <v>0.119424772149991</v>
      </c>
      <c r="K12" s="25" t="n">
        <f aca="false">IF(parametros_recargas!$N$82*K44*K76=0,0,'Demanda por puesto'!$P$300/(parametros_recargas!$N$82*K44*K76))</f>
        <v>0.129492171781566</v>
      </c>
      <c r="N12" s="2" t="s">
        <v>300</v>
      </c>
    </row>
    <row r="13" customFormat="false" ht="15" hidden="false" customHeight="false" outlineLevel="0" collapsed="false">
      <c r="A13" s="12" t="str">
        <f aca="false">parametros_recargas!$B$83</f>
        <v>Prueba hidráulica</v>
      </c>
      <c r="B13" s="25" t="n">
        <f aca="false">IF(parametros_recargas!$N$83*B45*B77=0,0,'Demanda por puesto'!$P$13/(parametros_recargas!$N$83*B45*B77))</f>
        <v>0.0493651585036966</v>
      </c>
      <c r="C13" s="25" t="n">
        <f aca="false">IF(parametros_recargas!$N$83*C45*C77=0,0,'Demanda por puesto'!$P$45/(parametros_recargas!$N$83*C45*C77))</f>
        <v>0.223242262815969</v>
      </c>
      <c r="D13" s="25" t="n">
        <f aca="false">IF(parametros_recargas!$N$83*D45*D77=0,0,'Demanda por puesto'!$P$77/(parametros_recargas!$N$83*D45*D77))</f>
        <v>0.450754203913078</v>
      </c>
      <c r="E13" s="25" t="n">
        <f aca="false">IF(parametros_recargas!$N$83*E45*E77=0,0,'Demanda por puesto'!$P$109/(parametros_recargas!$N$83*E45*E77))</f>
        <v>0.834105658670193</v>
      </c>
      <c r="F13" s="25" t="n">
        <f aca="false">IF(parametros_recargas!$N$83*F45*F77=0,0,'Demanda por puesto'!$P$141/(parametros_recargas!$N$83*F45*F77))</f>
        <v>1.23592184147666</v>
      </c>
      <c r="G13" s="25" t="n">
        <f aca="false">IF(parametros_recargas!$N$83*G45*G77=0,0,'Demanda por puesto'!$P$173/(parametros_recargas!$N$83*G45*G77))</f>
        <v>1.7133555051548</v>
      </c>
      <c r="H13" s="25" t="n">
        <f aca="false">IF(parametros_recargas!$N$83*H45*H77=0,0,'Demanda por puesto'!$P$205/(parametros_recargas!$N$83*H45*H77))</f>
        <v>2.18465133130962</v>
      </c>
      <c r="I13" s="25" t="n">
        <f aca="false">IF(parametros_recargas!$N$83*I45*I77=0,0,'Demanda por puesto'!$P$237/(parametros_recargas!$N$83*I45*I77))</f>
        <v>2.55661660799023</v>
      </c>
      <c r="J13" s="25" t="n">
        <f aca="false">IF(parametros_recargas!$N$83*J45*J77=0,0,'Demanda por puesto'!$P$269/(parametros_recargas!$N$83*J45*J77))</f>
        <v>2.81627329937304</v>
      </c>
      <c r="K13" s="25" t="n">
        <f aca="false">IF(parametros_recargas!$N$83*K45*K77=0,0,'Demanda por puesto'!$P$301/(parametros_recargas!$N$83*K45*K77))</f>
        <v>3.06383194984548</v>
      </c>
    </row>
    <row r="14" customFormat="false" ht="15" hidden="false" customHeight="false" outlineLevel="0" collapsed="false">
      <c r="A14" s="12" t="str">
        <f aca="false">parametros_recargas!$B$84</f>
        <v>Secado</v>
      </c>
      <c r="B14" s="25" t="n">
        <f aca="false">IF(parametros_recargas!$N$84*B46*B78=0,0,'Demanda por puesto'!$P$14/(parametros_recargas!$N$84*B46*B78))</f>
        <v>0.027682043508526</v>
      </c>
      <c r="C14" s="25" t="n">
        <f aca="false">IF(parametros_recargas!$N$84*C46*C78=0,0,'Demanda por puesto'!$P$46/(parametros_recargas!$N$84*C46*C78))</f>
        <v>0.124711865153661</v>
      </c>
      <c r="D14" s="25" t="n">
        <f aca="false">IF(parametros_recargas!$N$84*D46*D78=0,0,'Demanda por puesto'!$P$78/(parametros_recargas!$N$84*D46*D78))</f>
        <v>0.249429589168649</v>
      </c>
      <c r="E14" s="25" t="n">
        <f aca="false">IF(parametros_recargas!$N$84*E46*E78=0,0,'Demanda por puesto'!$P$110/(parametros_recargas!$N$84*E46*E78))</f>
        <v>0.462710365342006</v>
      </c>
      <c r="F14" s="25" t="n">
        <f aca="false">IF(parametros_recargas!$N$84*F46*F78=0,0,'Demanda por puesto'!$P$142/(parametros_recargas!$N$84*F46*F78))</f>
        <v>0.687484694372553</v>
      </c>
      <c r="G14" s="25" t="n">
        <f aca="false">IF(parametros_recargas!$N$84*G46*G78=0,0,'Demanda por puesto'!$P$174/(parametros_recargas!$N$84*G46*G78))</f>
        <v>0.954409478038393</v>
      </c>
      <c r="H14" s="25" t="n">
        <f aca="false">IF(parametros_recargas!$N$84*H46*H78=0,0,'Demanda por puesto'!$P$206/(parametros_recargas!$N$84*H46*H78))</f>
        <v>1.21579734801953</v>
      </c>
      <c r="I14" s="25" t="n">
        <f aca="false">IF(parametros_recargas!$N$84*I46*I78=0,0,'Demanda por puesto'!$P$238/(parametros_recargas!$N$84*I46*I78))</f>
        <v>1.42167225825868</v>
      </c>
      <c r="J14" s="25" t="n">
        <f aca="false">IF(parametros_recargas!$N$84*J46*J78=0,0,'Demanda por puesto'!$P$270/(parametros_recargas!$N$84*J46*J78))</f>
        <v>1.56189050160912</v>
      </c>
      <c r="K14" s="25" t="n">
        <f aca="false">IF(parametros_recargas!$N$84*K46*K78=0,0,'Demanda por puesto'!$P$302/(parametros_recargas!$N$84*K46*K78))</f>
        <v>1.69610001236249</v>
      </c>
    </row>
    <row r="15" customFormat="false" ht="15" hidden="false" customHeight="false" outlineLevel="0" collapsed="false">
      <c r="A15" s="12" t="str">
        <f aca="false">parametros_recargas!$B$85</f>
        <v>Inspección interior con videoscopio</v>
      </c>
      <c r="B15" s="25" t="n">
        <f aca="false">IF(parametros_recargas!$N$85*B47*B79=0,0,'Demanda por puesto'!$P$15/(parametros_recargas!$N$85*B47*B79))</f>
        <v>0.0130720761012484</v>
      </c>
      <c r="C15" s="25" t="n">
        <f aca="false">IF(parametros_recargas!$N$85*C47*C79=0,0,'Demanda por puesto'!$P$47/(parametros_recargas!$N$85*C47*C79))</f>
        <v>0.0588917141003401</v>
      </c>
      <c r="D15" s="25" t="n">
        <f aca="false">IF(parametros_recargas!$N$85*D47*D79=0,0,'Demanda por puesto'!$P$79/(parametros_recargas!$N$85*D47*D79))</f>
        <v>0.117786194885195</v>
      </c>
      <c r="E15" s="25" t="n">
        <f aca="false">IF(parametros_recargas!$N$85*E47*E79=0,0,'Demanda por puesto'!$P$111/(parametros_recargas!$N$85*E47*E79))</f>
        <v>0.218502116967058</v>
      </c>
      <c r="F15" s="25" t="n">
        <f aca="false">IF(parametros_recargas!$N$85*F47*F79=0,0,'Demanda por puesto'!$P$143/(parametros_recargas!$N$85*F47*F79))</f>
        <v>0.324645550120372</v>
      </c>
      <c r="G15" s="25" t="n">
        <f aca="false">IF(parametros_recargas!$N$85*G47*G79=0,0,'Demanda por puesto'!$P$175/(parametros_recargas!$N$85*G47*G79))</f>
        <v>0.450693364629241</v>
      </c>
      <c r="H15" s="25" t="n">
        <f aca="false">IF(parametros_recargas!$N$85*H47*H79=0,0,'Demanda por puesto'!$P$207/(parametros_recargas!$N$85*H47*H79))</f>
        <v>0.574126525453665</v>
      </c>
      <c r="I15" s="25" t="n">
        <f aca="false">IF(parametros_recargas!$N$85*I47*I79=0,0,'Demanda por puesto'!$P$239/(parametros_recargas!$N$85*I47*I79))</f>
        <v>0.671345233066601</v>
      </c>
      <c r="J15" s="25" t="n">
        <f aca="false">IF(parametros_recargas!$N$85*J47*J79=0,0,'Demanda por puesto'!$P$271/(parametros_recargas!$N$85*J47*J79))</f>
        <v>0.737559403537638</v>
      </c>
      <c r="K15" s="25" t="n">
        <f aca="false">IF(parametros_recargas!$N$85*K47*K79=0,0,'Demanda por puesto'!$P$303/(parametros_recargas!$N$85*K47*K79))</f>
        <v>0.800936116948955</v>
      </c>
    </row>
    <row r="16" customFormat="false" ht="15" hidden="false" customHeight="false" outlineLevel="0" collapsed="false">
      <c r="A16" s="12" t="str">
        <f aca="false">parametros_recargas!$B$86</f>
        <v>Pintura</v>
      </c>
      <c r="B16" s="25" t="n">
        <f aca="false">IF(parametros_recargas!$N$86*B48*B80=0,0,'Demanda por puesto'!$P$16/(parametros_recargas!$N$86*B48*B80))</f>
        <v>0.0576137414373688</v>
      </c>
      <c r="C16" s="25" t="n">
        <f aca="false">IF(parametros_recargas!$N$86*C48*C80=0,0,'Demanda por puesto'!$P$48/(parametros_recargas!$N$86*C48*C80))</f>
        <v>0.259926756568119</v>
      </c>
      <c r="D16" s="25" t="n">
        <f aca="false">IF(parametros_recargas!$N$86*D48*D80=0,0,'Demanda por puesto'!$P$80/(parametros_recargas!$N$86*D48*D80))</f>
        <v>0.52213623152326</v>
      </c>
      <c r="E16" s="25" t="n">
        <f aca="false">IF(parametros_recargas!$N$86*E48*E80=0,0,'Demanda por puesto'!$P$112/(parametros_recargas!$N$86*E48*E80))</f>
        <v>0.967595288010381</v>
      </c>
      <c r="F16" s="25" t="n">
        <f aca="false">IF(parametros_recargas!$N$86*F48*F80=0,0,'Demanda por puesto'!$P$144/(parametros_recargas!$N$86*F48*F80))</f>
        <v>1.43588624170344</v>
      </c>
      <c r="G16" s="25" t="n">
        <f aca="false">IF(parametros_recargas!$N$86*G48*G80=0,0,'Demanda por puesto'!$P$176/(parametros_recargas!$N$86*G48*G80))</f>
        <v>1.99214036540906</v>
      </c>
      <c r="H16" s="25" t="n">
        <f aca="false">IF(parametros_recargas!$N$86*H48*H80=0,0,'Demanda por puesto'!$P$208/(parametros_recargas!$N$86*H48*H80))</f>
        <v>2.53881191533377</v>
      </c>
      <c r="I16" s="25" t="n">
        <f aca="false">IF(parametros_recargas!$N$86*I48*I80=0,0,'Demanda por puesto'!$P$240/(parametros_recargas!$N$86*I48*I80))</f>
        <v>2.96974439853942</v>
      </c>
      <c r="J16" s="25" t="n">
        <f aca="false">IF(parametros_recargas!$N$86*J48*J80=0,0,'Demanda por puesto'!$P$272/(parametros_recargas!$N$86*J48*J80))</f>
        <v>3.2665524788903</v>
      </c>
      <c r="K16" s="25" t="n">
        <f aca="false">IF(parametros_recargas!$N$86*K48*K80=0,0,'Demanda por puesto'!$P$304/(parametros_recargas!$N$86*K48*K80))</f>
        <v>3.55013659510749</v>
      </c>
    </row>
    <row r="17" customFormat="false" ht="15" hidden="false" customHeight="false" outlineLevel="0" collapsed="false">
      <c r="A17" s="12" t="str">
        <f aca="false">parametros_recargas!$B$87</f>
        <v>Carga de polvo ABC</v>
      </c>
      <c r="B17" s="25" t="n">
        <f aca="false">IF(parametros_recargas!$N$87*B49*B81=0,0,'Demanda por puesto'!$P$17/(parametros_recargas!$N$87*B49*B81))</f>
        <v>0.0708813380499814</v>
      </c>
      <c r="C17" s="25" t="n">
        <f aca="false">IF(parametros_recargas!$N$87*C49*C81=0,0,'Demanda por puesto'!$P$49/(parametros_recargas!$N$87*C49*C81))</f>
        <v>0.321346384162262</v>
      </c>
      <c r="D17" s="25" t="n">
        <f aca="false">IF(parametros_recargas!$N$87*D49*D81=0,0,'Demanda por puesto'!$P$81/(parametros_recargas!$N$87*D49*D81))</f>
        <v>0.635560097800089</v>
      </c>
      <c r="E17" s="25" t="n">
        <f aca="false">IF(parametros_recargas!$N$87*E49*E81=0,0,'Demanda por puesto'!$P$113/(parametros_recargas!$N$87*E49*E81))</f>
        <v>1.17809809076991</v>
      </c>
      <c r="F17" s="25" t="n">
        <f aca="false">IF(parametros_recargas!$N$87*F49*F81=0,0,'Demanda por puesto'!$P$145/(parametros_recargas!$N$87*F49*F81))</f>
        <v>1.75395951624705</v>
      </c>
      <c r="G17" s="25" t="n">
        <f aca="false">IF(parametros_recargas!$N$87*G49*G81=0,0,'Demanda por puesto'!$P$177/(parametros_recargas!$N$87*G49*G81))</f>
        <v>2.43711216977445</v>
      </c>
      <c r="H17" s="25" t="n">
        <f aca="false">IF(parametros_recargas!$N$87*H49*H81=0,0,'Demanda por puesto'!$P$209/(parametros_recargas!$N$87*H49*H81))</f>
        <v>3.10148159707412</v>
      </c>
      <c r="I17" s="25" t="n">
        <f aca="false">IF(parametros_recargas!$N$87*I49*I81=0,0,'Demanda por puesto'!$P$241/(parametros_recargas!$N$87*I49*I81))</f>
        <v>3.62564748221439</v>
      </c>
      <c r="J17" s="25" t="n">
        <f aca="false">IF(parametros_recargas!$N$87*J49*J81=0,0,'Demanda por puesto'!$P$273/(parametros_recargas!$N$87*J49*J81))</f>
        <v>3.97437591127974</v>
      </c>
      <c r="K17" s="25" t="n">
        <f aca="false">IF(parametros_recargas!$N$87*K49*K81=0,0,'Demanda por puesto'!$P$305/(parametros_recargas!$N$87*K49*K81))</f>
        <v>4.30922254367847</v>
      </c>
    </row>
    <row r="18" customFormat="false" ht="15" hidden="false" customHeight="false" outlineLevel="0" collapsed="false">
      <c r="A18" s="12" t="str">
        <f aca="false">parametros_recargas!$B$88</f>
        <v>Carga de polvo BC</v>
      </c>
      <c r="B18" s="25" t="n">
        <f aca="false">IF(parametros_recargas!$N$88*B50*B82=0,0,'Demanda por puesto'!$P$18/(parametros_recargas!$N$88*B50*B82))</f>
        <v>0.00010499086884558</v>
      </c>
      <c r="C18" s="25" t="n">
        <f aca="false">IF(parametros_recargas!$N$88*C50*C82=0,0,'Demanda por puesto'!$P$50/(parametros_recargas!$N$88*C50*C82))</f>
        <v>0.000745476724771043</v>
      </c>
      <c r="D18" s="25" t="n">
        <f aca="false">IF(parametros_recargas!$N$88*D50*D82=0,0,'Demanda por puesto'!$P$82/(parametros_recargas!$N$88*D50*D82))</f>
        <v>0.00138851538531144</v>
      </c>
      <c r="E18" s="25" t="n">
        <f aca="false">IF(parametros_recargas!$N$88*E50*E82=0,0,'Demanda por puesto'!$P$114/(parametros_recargas!$N$88*E50*E82))</f>
        <v>0.00247437145838781</v>
      </c>
      <c r="F18" s="25" t="n">
        <f aca="false">IF(parametros_recargas!$N$88*F50*F82=0,0,'Demanda por puesto'!$P$146/(parametros_recargas!$N$88*F50*F82))</f>
        <v>0.00346635922697401</v>
      </c>
      <c r="G18" s="25" t="n">
        <f aca="false">IF(parametros_recargas!$N$88*G50*G82=0,0,'Demanda por puesto'!$P$178/(parametros_recargas!$N$88*G50*G82))</f>
        <v>0.00479072884373167</v>
      </c>
      <c r="H18" s="25" t="n">
        <f aca="false">IF(parametros_recargas!$N$88*H50*H82=0,0,'Demanda por puesto'!$P$210/(parametros_recargas!$N$88*H50*H82))</f>
        <v>0.00636329846393682</v>
      </c>
      <c r="I18" s="25" t="n">
        <f aca="false">IF(parametros_recargas!$N$88*I50*I82=0,0,'Demanda por puesto'!$P$242/(parametros_recargas!$N$88*I50*I82))</f>
        <v>0.00751183359481691</v>
      </c>
      <c r="J18" s="25" t="n">
        <f aca="false">IF(parametros_recargas!$N$88*J50*J82=0,0,'Demanda por puesto'!$P$274/(parametros_recargas!$N$88*J50*J82))</f>
        <v>0.00851863950436128</v>
      </c>
      <c r="K18" s="25" t="n">
        <f aca="false">IF(parametros_recargas!$N$88*K50*K82=0,0,'Demanda por puesto'!$P$306/(parametros_recargas!$N$88*K50*K82))</f>
        <v>0.00948722200302175</v>
      </c>
    </row>
    <row r="19" customFormat="false" ht="15" hidden="false" customHeight="false" outlineLevel="0" collapsed="false">
      <c r="A19" s="12" t="str">
        <f aca="false">parametros_recargas!$B$89</f>
        <v>Descarga y carga Clase D</v>
      </c>
      <c r="B19" s="25" t="n">
        <f aca="false">IF(parametros_recargas!$N$89*B51*B83=0,0,'Demanda por puesto'!$P$19/(parametros_recargas!$N$89*B51*B83))</f>
        <v>0.000367468040959529</v>
      </c>
      <c r="C19" s="25" t="n">
        <f aca="false">IF(parametros_recargas!$N$89*C51*C83=0,0,'Demanda por puesto'!$P$51/(parametros_recargas!$N$89*C51*C83))</f>
        <v>0.00260916853669865</v>
      </c>
      <c r="D19" s="25" t="n">
        <f aca="false">IF(parametros_recargas!$N$89*D51*D83=0,0,'Demanda por puesto'!$P$83/(parametros_recargas!$N$89*D51*D83))</f>
        <v>0.00485980384859004</v>
      </c>
      <c r="E19" s="25" t="n">
        <f aca="false">IF(parametros_recargas!$N$89*E51*E83=0,0,'Demanda por puesto'!$P$115/(parametros_recargas!$N$89*E51*E83))</f>
        <v>0.00805624340683269</v>
      </c>
      <c r="F19" s="25" t="n">
        <f aca="false">IF(parametros_recargas!$N$89*F51*F83=0,0,'Demanda por puesto'!$P$147/(parametros_recargas!$N$89*F51*F83))</f>
        <v>0.0113480682386339</v>
      </c>
      <c r="G19" s="25" t="n">
        <f aca="false">IF(parametros_recargas!$N$89*G51*G83=0,0,'Demanda por puesto'!$P$179/(parametros_recargas!$N$89*G51*G83))</f>
        <v>0.0147487197132642</v>
      </c>
      <c r="H19" s="25" t="n">
        <f aca="false">IF(parametros_recargas!$N$89*H51*H83=0,0,'Demanda por puesto'!$P$211/(parametros_recargas!$N$89*H51*H83))</f>
        <v>0.0197932682160506</v>
      </c>
      <c r="I19" s="25" t="n">
        <f aca="false">IF(parametros_recargas!$N$89*I51*I83=0,0,'Demanda por puesto'!$P$243/(parametros_recargas!$N$89*I51*I83))</f>
        <v>0.0236040690836229</v>
      </c>
      <c r="J19" s="25" t="n">
        <f aca="false">IF(parametros_recargas!$N$89*J51*J83=0,0,'Demanda por puesto'!$P$275/(parametros_recargas!$N$89*J51*J83))</f>
        <v>0.0268367536961929</v>
      </c>
      <c r="K19" s="25" t="n">
        <f aca="false">IF(parametros_recargas!$N$89*K51*K83=0,0,'Demanda por puesto'!$P$307/(parametros_recargas!$N$89*K51*K83))</f>
        <v>0.0299306601632962</v>
      </c>
    </row>
    <row r="20" customFormat="false" ht="15" hidden="false" customHeight="false" outlineLevel="0" collapsed="false">
      <c r="A20" s="12" t="str">
        <f aca="false">parametros_recargas!$B$90</f>
        <v>Carga de agua / AFFF / sales K</v>
      </c>
      <c r="B20" s="25" t="n">
        <f aca="false">IF(parametros_recargas!$N$90*B52*B84=0,0,'Demanda por puesto'!$P$20/(parametros_recargas!$N$90*B52*B84))</f>
        <v>0.00327471530478551</v>
      </c>
      <c r="C20" s="25" t="n">
        <f aca="false">IF(parametros_recargas!$N$90*C52*C84=0,0,'Demanda por puesto'!$P$52/(parametros_recargas!$N$90*C52*C84))</f>
        <v>0.0153582577554572</v>
      </c>
      <c r="D20" s="25" t="n">
        <f aca="false">IF(parametros_recargas!$N$90*D52*D84=0,0,'Demanda por puesto'!$P$84/(parametros_recargas!$N$90*D52*D84))</f>
        <v>0.0334001016847089</v>
      </c>
      <c r="E20" s="25" t="n">
        <f aca="false">IF(parametros_recargas!$N$90*E52*E84=0,0,'Demanda por puesto'!$P$116/(parametros_recargas!$N$90*E52*E84))</f>
        <v>0.0605617219196088</v>
      </c>
      <c r="F20" s="25" t="n">
        <f aca="false">IF(parametros_recargas!$N$90*F52*F84=0,0,'Demanda por puesto'!$P$148/(parametros_recargas!$N$90*F52*F84))</f>
        <v>0.0878088169516069</v>
      </c>
      <c r="G20" s="25" t="n">
        <f aca="false">IF(parametros_recargas!$N$90*G52*G84=0,0,'Demanda por puesto'!$P$180/(parametros_recargas!$N$90*G52*G84))</f>
        <v>0.120329430697618</v>
      </c>
      <c r="H20" s="25" t="n">
        <f aca="false">IF(parametros_recargas!$N$90*H52*H84=0,0,'Demanda por puesto'!$P$212/(parametros_recargas!$N$90*H52*H84))</f>
        <v>0.154593232701425</v>
      </c>
      <c r="I20" s="25" t="n">
        <f aca="false">IF(parametros_recargas!$N$90*I52*I84=0,0,'Demanda por puesto'!$P$244/(parametros_recargas!$N$90*I52*I84))</f>
        <v>0.182099837049098</v>
      </c>
      <c r="J20" s="25" t="n">
        <f aca="false">IF(parametros_recargas!$N$90*J52*J84=0,0,'Demanda por puesto'!$P$276/(parametros_recargas!$N$90*J52*J84))</f>
        <v>0.204867221898519</v>
      </c>
      <c r="K20" s="25" t="n">
        <f aca="false">IF(parametros_recargas!$N$90*K52*K84=0,0,'Demanda por puesto'!$P$308/(parametros_recargas!$N$90*K52*K84))</f>
        <v>0.226035995495499</v>
      </c>
    </row>
    <row r="21" customFormat="false" ht="15" hidden="false" customHeight="false" outlineLevel="0" collapsed="false">
      <c r="A21" s="12" t="str">
        <f aca="false">parametros_recargas!$B$91</f>
        <v>Carga de CO₂</v>
      </c>
      <c r="B21" s="25" t="n">
        <f aca="false">IF(parametros_recargas!$N$91*B53*B85=0,0,'Demanda por puesto'!$P$21/(parametros_recargas!$N$91*B53*B85))</f>
        <v>0.00455360414277492</v>
      </c>
      <c r="C21" s="25" t="n">
        <f aca="false">IF(parametros_recargas!$N$91*C53*C85=0,0,'Demanda por puesto'!$P$53/(parametros_recargas!$N$91*C53*C85))</f>
        <v>0.0185344936657592</v>
      </c>
      <c r="D21" s="25" t="n">
        <f aca="false">IF(parametros_recargas!$N$91*D53*D85=0,0,'Demanda por puesto'!$P$85/(parametros_recargas!$N$91*D53*D85))</f>
        <v>0.042236506857727</v>
      </c>
      <c r="E21" s="25" t="n">
        <f aca="false">IF(parametros_recargas!$N$91*E53*E85=0,0,'Demanda por puesto'!$P$117/(parametros_recargas!$N$91*E53*E85))</f>
        <v>0.0794329955580292</v>
      </c>
      <c r="F21" s="25" t="n">
        <f aca="false">IF(parametros_recargas!$N$91*F53*F85=0,0,'Demanda por puesto'!$P$149/(parametros_recargas!$N$91*F53*F85))</f>
        <v>0.115799393625779</v>
      </c>
      <c r="G21" s="25" t="n">
        <f aca="false">IF(parametros_recargas!$N$91*G53*G85=0,0,'Demanda por puesto'!$P$181/(parametros_recargas!$N$91*G53*G85))</f>
        <v>0.159523923222742</v>
      </c>
      <c r="H21" s="25" t="n">
        <f aca="false">IF(parametros_recargas!$N$91*H53*H85=0,0,'Demanda por puesto'!$P$213/(parametros_recargas!$N$91*H53*H85))</f>
        <v>0.204910070435131</v>
      </c>
      <c r="I21" s="25" t="n">
        <f aca="false">IF(parametros_recargas!$N$91*I53*I85=0,0,'Demanda por puesto'!$P$245/(parametros_recargas!$N$91*I53*I85))</f>
        <v>0.240016346955606</v>
      </c>
      <c r="J21" s="25" t="n">
        <f aca="false">IF(parametros_recargas!$N$91*J53*J85=0,0,'Demanda por puesto'!$P$277/(parametros_recargas!$N$91*J53*J85))</f>
        <v>0.269363623141154</v>
      </c>
      <c r="K21" s="25" t="n">
        <f aca="false">IF(parametros_recargas!$N$91*K53*K85=0,0,'Demanda por puesto'!$P$309/(parametros_recargas!$N$91*K53*K85))</f>
        <v>0.296729886071958</v>
      </c>
    </row>
    <row r="22" customFormat="false" ht="15" hidden="false" customHeight="false" outlineLevel="0" collapsed="false">
      <c r="A22" s="12" t="str">
        <f aca="false">parametros_recargas!$B$92</f>
        <v>Ensamblaje y marbete — recinto</v>
      </c>
      <c r="B22" s="25" t="n">
        <f aca="false">IF(parametros_recargas!$N$92*B54*B86=0,0,'Demanda por puesto'!$P$22/(parametros_recargas!$N$92*B54*B86))</f>
        <v>0.0804230085541185</v>
      </c>
      <c r="C22" s="25" t="n">
        <f aca="false">IF(parametros_recargas!$N$92*C54*C86=0,0,'Demanda por puesto'!$P$54/(parametros_recargas!$N$92*C54*C86))</f>
        <v>0.365066319528583</v>
      </c>
      <c r="D22" s="25" t="n">
        <f aca="false">IF(parametros_recargas!$N$92*D54*D86=0,0,'Demanda por puesto'!$P$86/(parametros_recargas!$N$92*D54*D86))</f>
        <v>0.72188230959864</v>
      </c>
      <c r="E22" s="25" t="n">
        <f aca="false">IF(parametros_recargas!$N$92*E54*E86=0,0,'Demanda por puesto'!$P$118/(parametros_recargas!$N$92*E54*E86))</f>
        <v>1.33778979920548</v>
      </c>
      <c r="F22" s="25" t="n">
        <f aca="false">IF(parametros_recargas!$N$92*F54*F86=0,0,'Demanda por puesto'!$P$150/(parametros_recargas!$N$92*F54*F86))</f>
        <v>1.99136483049878</v>
      </c>
      <c r="G22" s="25" t="n">
        <f aca="false">IF(parametros_recargas!$N$92*G54*G86=0,0,'Demanda por puesto'!$P$182/(parametros_recargas!$N$92*G54*G86))</f>
        <v>2.76671317954589</v>
      </c>
      <c r="H22" s="25" t="n">
        <f aca="false">IF(parametros_recargas!$N$92*H54*H86=0,0,'Demanda por puesto'!$P$214/(parametros_recargas!$N$92*H54*H86))</f>
        <v>3.52141282878862</v>
      </c>
      <c r="I22" s="25" t="n">
        <f aca="false">IF(parametros_recargas!$N$92*I54*I86=0,0,'Demanda por puesto'!$P$246/(parametros_recargas!$N$92*I54*I86))</f>
        <v>4.11672588649578</v>
      </c>
      <c r="J22" s="25" t="n">
        <f aca="false">IF(parametros_recargas!$N$92*J54*J86=0,0,'Demanda por puesto'!$P$278/(parametros_recargas!$N$92*J54*J86))</f>
        <v>4.51316744168268</v>
      </c>
      <c r="K22" s="25" t="n">
        <f aca="false">IF(parametros_recargas!$N$92*K54*K86=0,0,'Demanda por puesto'!$P$310/(parametros_recargas!$N$92*K54*K86))</f>
        <v>4.89382700595198</v>
      </c>
    </row>
    <row r="23" customFormat="false" ht="15" hidden="false" customHeight="false" outlineLevel="0" collapsed="false">
      <c r="A23" s="12" t="str">
        <f aca="false">parametros_recargas!$B$93</f>
        <v>Presurización — recinto</v>
      </c>
      <c r="B23" s="25" t="n">
        <f aca="false">IF(parametros_recargas!$N$93*B55*B87=0,0,'Demanda por puesto'!$P$23/(parametros_recargas!$N$93*B55*B87))</f>
        <v>0.0489239968704221</v>
      </c>
      <c r="C23" s="25" t="n">
        <f aca="false">IF(parametros_recargas!$N$93*C55*C87=0,0,'Demanda por puesto'!$P$55/(parametros_recargas!$N$93*C55*C87))</f>
        <v>0.222082011046555</v>
      </c>
      <c r="D23" s="25" t="n">
        <f aca="false">IF(parametros_recargas!$N$93*D55*D87=0,0,'Demanda por puesto'!$P$87/(parametros_recargas!$N$93*D55*D87))</f>
        <v>0.439145071672506</v>
      </c>
      <c r="E23" s="25" t="n">
        <f aca="false">IF(parametros_recargas!$N$93*E55*E87=0,0,'Demanda por puesto'!$P$119/(parametros_recargas!$N$93*E55*E87))</f>
        <v>0.813822127850003</v>
      </c>
      <c r="F23" s="25" t="n">
        <f aca="false">IF(parametros_recargas!$N$93*F55*F87=0,0,'Demanda por puesto'!$P$151/(parametros_recargas!$N$93*F55*F87))</f>
        <v>1.21141360522009</v>
      </c>
      <c r="G23" s="25" t="n">
        <f aca="false">IF(parametros_recargas!$N$93*G55*G87=0,0,'Demanda por puesto'!$P$183/(parametros_recargas!$N$93*G55*G87))</f>
        <v>1.68308385089042</v>
      </c>
      <c r="H23" s="25" t="n">
        <f aca="false">IF(parametros_recargas!$N$93*H55*H87=0,0,'Demanda por puesto'!$P$215/(parametros_recargas!$N$93*H55*H87))</f>
        <v>2.14219280417974</v>
      </c>
      <c r="I23" s="25" t="n">
        <f aca="false">IF(parametros_recargas!$N$93*I55*I87=0,0,'Demanda por puesto'!$P$247/(parametros_recargas!$N$93*I55*I87))</f>
        <v>2.5043415809516</v>
      </c>
      <c r="J23" s="25" t="n">
        <f aca="false">IF(parametros_recargas!$N$93*J55*J87=0,0,'Demanda por puesto'!$P$279/(parametros_recargas!$N$93*J55*J87))</f>
        <v>2.7455101936903</v>
      </c>
      <c r="K23" s="25" t="n">
        <f aca="false">IF(parametros_recargas!$N$93*K55*K87=0,0,'Demanda por puesto'!$P$311/(parametros_recargas!$N$93*K55*K87))</f>
        <v>2.97707809528746</v>
      </c>
    </row>
    <row r="24" customFormat="false" ht="15" hidden="false" customHeight="false" outlineLevel="0" collapsed="false">
      <c r="A24" s="12" t="str">
        <f aca="false">parametros_recargas!$B$94</f>
        <v>Ensamblaje y presurización — zona general</v>
      </c>
      <c r="B24" s="25" t="n">
        <f aca="false">IF(parametros_recargas!$N$94*B56*B88=0,0,'Demanda por puesto'!$P$24/(parametros_recargas!$N$94*B56*B88))</f>
        <v>0.00833989996519352</v>
      </c>
      <c r="C24" s="25" t="n">
        <f aca="false">IF(parametros_recargas!$N$94*C56*C88=0,0,'Demanda por puesto'!$P$56/(parametros_recargas!$N$94*C56*C88))</f>
        <v>0.0375792858604355</v>
      </c>
      <c r="D24" s="25" t="n">
        <f aca="false">IF(parametros_recargas!$N$94*D56*D88=0,0,'Demanda por puesto'!$P$88/(parametros_recargas!$N$94*D56*D88))</f>
        <v>0.0827956761949993</v>
      </c>
      <c r="E24" s="25" t="n">
        <f aca="false">IF(parametros_recargas!$N$94*E56*E88=0,0,'Demanda por puesto'!$P$120/(parametros_recargas!$N$94*E56*E88))</f>
        <v>0.151719638101442</v>
      </c>
      <c r="F24" s="25" t="n">
        <f aca="false">IF(parametros_recargas!$N$94*F56*F88=0,0,'Demanda por puesto'!$P$152/(parametros_recargas!$N$94*F56*F88))</f>
        <v>0.220350067776929</v>
      </c>
      <c r="G24" s="25" t="n">
        <f aca="false">IF(parametros_recargas!$N$94*G56*G88=0,0,'Demanda por puesto'!$P$184/(parametros_recargas!$N$94*G56*G88))</f>
        <v>0.302421980115425</v>
      </c>
      <c r="H24" s="25" t="n">
        <f aca="false">IF(parametros_recargas!$N$94*H56*H88=0,0,'Demanda por puesto'!$P$216/(parametros_recargas!$N$94*H56*H88))</f>
        <v>0.388599413520817</v>
      </c>
      <c r="I24" s="25" t="n">
        <f aca="false">IF(parametros_recargas!$N$94*I56*I88=0,0,'Demanda por puesto'!$P$248/(parametros_recargas!$N$94*I56*I88))</f>
        <v>0.45702536660935</v>
      </c>
      <c r="J24" s="25" t="n">
        <f aca="false">IF(parametros_recargas!$N$94*J56*J88=0,0,'Demanda por puesto'!$P$280/(parametros_recargas!$N$94*J56*J88))</f>
        <v>0.51383864369583</v>
      </c>
      <c r="K24" s="25" t="n">
        <f aca="false">IF(parametros_recargas!$N$94*K56*K88=0,0,'Demanda por puesto'!$P$312/(parametros_recargas!$N$94*K56*K88))</f>
        <v>0.566709566876343</v>
      </c>
    </row>
    <row r="25" customFormat="false" ht="15" hidden="false" customHeight="false" outlineLevel="0" collapsed="false">
      <c r="A25" s="12" t="str">
        <f aca="false">parametros_recargas!$B$95</f>
        <v>Carga y presurización de halogenado</v>
      </c>
      <c r="B25" s="25" t="n">
        <f aca="false">IF(parametros_recargas!$N$95*B57*B89=0,0,'Demanda por puesto'!$P$25/(parametros_recargas!$N$95*B57*B89))</f>
        <v>0.000214981314682087</v>
      </c>
      <c r="C25" s="25" t="n">
        <f aca="false">IF(parametros_recargas!$N$95*C57*C89=0,0,'Demanda por puesto'!$P$57/(parametros_recargas!$N$95*C57*C89))</f>
        <v>0.0013399506790938</v>
      </c>
      <c r="D25" s="25" t="n">
        <f aca="false">IF(parametros_recargas!$N$95*D57*D89=0,0,'Demanda por puesto'!$P$89/(parametros_recargas!$N$95*D57*D89))</f>
        <v>0.00274246897897238</v>
      </c>
      <c r="E25" s="25" t="n">
        <f aca="false">IF(parametros_recargas!$N$95*E57*E89=0,0,'Demanda por puesto'!$P$121/(parametros_recargas!$N$95*E57*E89))</f>
        <v>0.00474815798405194</v>
      </c>
      <c r="F25" s="25" t="n">
        <f aca="false">IF(parametros_recargas!$N$95*F57*F89=0,0,'Demanda por puesto'!$P$153/(parametros_recargas!$N$95*F57*F89))</f>
        <v>0.00688321291385891</v>
      </c>
      <c r="G25" s="25" t="n">
        <f aca="false">IF(parametros_recargas!$N$95*G57*G89=0,0,'Demanda por puesto'!$P$185/(parametros_recargas!$N$95*G57*G89))</f>
        <v>0.00935508259811284</v>
      </c>
      <c r="H25" s="25" t="n">
        <f aca="false">IF(parametros_recargas!$N$95*H57*H89=0,0,'Demanda por puesto'!$P$217/(parametros_recargas!$N$95*H57*H89))</f>
        <v>0.0122349086487816</v>
      </c>
      <c r="I25" s="25" t="n">
        <f aca="false">IF(parametros_recargas!$N$95*I57*I89=0,0,'Demanda por puesto'!$P$249/(parametros_recargas!$N$95*I57*I89))</f>
        <v>0.01461829951337</v>
      </c>
      <c r="J25" s="25" t="n">
        <f aca="false">IF(parametros_recargas!$N$95*J57*J89=0,0,'Demanda por puesto'!$P$281/(parametros_recargas!$N$95*J57*J89))</f>
        <v>0.0166056023656418</v>
      </c>
      <c r="K25" s="25" t="n">
        <f aca="false">IF(parametros_recargas!$N$95*K57*K89=0,0,'Demanda por puesto'!$P$313/(parametros_recargas!$N$95*K57*K89))</f>
        <v>0.0184528600986475</v>
      </c>
    </row>
    <row r="26" customFormat="false" ht="15" hidden="false" customHeight="false" outlineLevel="0" collapsed="false">
      <c r="A26" s="12" t="str">
        <f aca="false">parametros_recargas!$B$96</f>
        <v>Control de peso (CO₂ y halogenados sin recarga)</v>
      </c>
      <c r="B26" s="25" t="n">
        <f aca="false">IF(parametros_recargas!$N$96*B58*B90=0,0,'Demanda por puesto'!$P$26/(parametros_recargas!$N$96*B58*B90))</f>
        <v>0.00183084084101625</v>
      </c>
      <c r="C26" s="25" t="n">
        <f aca="false">IF(parametros_recargas!$N$96*C58*C90=0,0,'Demanda por puesto'!$P$58/(parametros_recargas!$N$96*C58*C90))</f>
        <v>0.00758179837219351</v>
      </c>
      <c r="D26" s="25" t="n">
        <f aca="false">IF(parametros_recargas!$N$96*D58*D90=0,0,'Demanda por puesto'!$P$90/(parametros_recargas!$N$96*D58*D90))</f>
        <v>0.0171906484026277</v>
      </c>
      <c r="E26" s="25" t="n">
        <f aca="false">IF(parametros_recargas!$N$96*E58*E90=0,0,'Demanda por puesto'!$P$122/(parametros_recargas!$N$96*E58*E90))</f>
        <v>0.0322156767280646</v>
      </c>
      <c r="F26" s="25" t="n">
        <f aca="false">IF(parametros_recargas!$N$96*F58*F90=0,0,'Demanda por puesto'!$P$154/(parametros_recargas!$N$96*F58*F90))</f>
        <v>0.0469539941482599</v>
      </c>
      <c r="G26" s="25" t="n">
        <f aca="false">IF(parametros_recargas!$N$96*G58*G90=0,0,'Demanda por puesto'!$P$186/(parametros_recargas!$N$96*G58*G90))</f>
        <v>0.0646478019783434</v>
      </c>
      <c r="H26" s="25" t="n">
        <f aca="false">IF(parametros_recargas!$N$96*H58*H90=0,0,'Demanda por puesto'!$P$218/(parametros_recargas!$N$96*H58*H90))</f>
        <v>0.0831016427249499</v>
      </c>
      <c r="I26" s="25" t="n">
        <f aca="false">IF(parametros_recargas!$N$96*I58*I90=0,0,'Demanda por puesto'!$P$250/(parametros_recargas!$N$96*I58*I90))</f>
        <v>0.0974192159283271</v>
      </c>
      <c r="J26" s="25" t="n">
        <f aca="false">IF(parametros_recargas!$N$96*J58*J90=0,0,'Demanda por puesto'!$P$282/(parametros_recargas!$N$96*J58*J90))</f>
        <v>0.109386641700861</v>
      </c>
      <c r="K26" s="25" t="n">
        <f aca="false">IF(parametros_recargas!$N$96*K58*K90=0,0,'Demanda por puesto'!$P$314/(parametros_recargas!$N$96*K58*K90))</f>
        <v>0.120544591071017</v>
      </c>
    </row>
    <row r="27" customFormat="false" ht="15" hidden="false" customHeight="false" outlineLevel="0" collapsed="false">
      <c r="A27" s="12" t="str">
        <f aca="false">parametros_recargas!$B$97</f>
        <v>Ensayo de pérdidas</v>
      </c>
      <c r="B27" s="25" t="n">
        <f aca="false">IF(parametros_recargas!$N$97*B59*B91=0,0,'Demanda por puesto'!$P$27/(parametros_recargas!$N$97*B59*B91))</f>
        <v>0.0614546575331934</v>
      </c>
      <c r="C27" s="25" t="n">
        <f aca="false">IF(parametros_recargas!$N$97*C59*C91=0,0,'Demanda por puesto'!$P$59/(parametros_recargas!$N$97*C59*C91))</f>
        <v>0.277255207005994</v>
      </c>
      <c r="D27" s="25" t="n">
        <f aca="false">IF(parametros_recargas!$N$97*D59*D91=0,0,'Demanda por puesto'!$P$91/(parametros_recargas!$N$97*D59*D91))</f>
        <v>0.55694531362481</v>
      </c>
      <c r="E27" s="25" t="n">
        <f aca="false">IF(parametros_recargas!$N$97*E59*E91=0,0,'Demanda por puesto'!$P$123/(parametros_recargas!$N$97*E59*E91))</f>
        <v>1.03210164054441</v>
      </c>
      <c r="F27" s="25" t="n">
        <f aca="false">IF(parametros_recargas!$N$97*F59*F91=0,0,'Demanda por puesto'!$P$155/(parametros_recargas!$N$97*F59*F91))</f>
        <v>1.53161199115033</v>
      </c>
      <c r="G27" s="25" t="n">
        <f aca="false">IF(parametros_recargas!$N$97*G59*G91=0,0,'Demanda por puesto'!$P$187/(parametros_recargas!$N$97*G59*G91))</f>
        <v>2.12494972310299</v>
      </c>
      <c r="H27" s="25" t="n">
        <f aca="false">IF(parametros_recargas!$N$97*H59*H91=0,0,'Demanda por puesto'!$P$219/(parametros_recargas!$N$97*H59*H91))</f>
        <v>2.70806604302269</v>
      </c>
      <c r="I27" s="25" t="n">
        <f aca="false">IF(parametros_recargas!$N$97*I59*I91=0,0,'Demanda por puesto'!$P$251/(parametros_recargas!$N$97*I59*I91))</f>
        <v>3.16772735844205</v>
      </c>
      <c r="J27" s="25" t="n">
        <f aca="false">IF(parametros_recargas!$N$97*J59*J91=0,0,'Demanda por puesto'!$P$283/(parametros_recargas!$N$97*J59*J91))</f>
        <v>3.48432264414965</v>
      </c>
      <c r="K27" s="25" t="n">
        <f aca="false">IF(parametros_recargas!$N$97*K59*K91=0,0,'Demanda por puesto'!$P$315/(parametros_recargas!$N$97*K59*K91))</f>
        <v>3.78681236811465</v>
      </c>
    </row>
    <row r="28" customFormat="false" ht="15" hidden="false" customHeight="false" outlineLevel="0" collapsed="false">
      <c r="A28" s="12" t="str">
        <f aca="false">parametros_recargas!$B$98</f>
        <v>Precinto, etiqueta y despacho</v>
      </c>
      <c r="B28" s="25" t="n">
        <f aca="false">IF(parametros_recargas!$N$98*B60*B92=0,0,'Demanda por puesto'!$P$28/(parametros_recargas!$N$98*B60*B92))</f>
        <v>0.0660637568481829</v>
      </c>
      <c r="C28" s="25" t="n">
        <f aca="false">IF(parametros_recargas!$N$98*C60*C92=0,0,'Demanda por puesto'!$P$60/(parametros_recargas!$N$98*C60*C92))</f>
        <v>0.298049347531443</v>
      </c>
      <c r="D28" s="25" t="n">
        <f aca="false">IF(parametros_recargas!$N$98*D60*D92=0,0,'Demanda por puesto'!$P$92/(parametros_recargas!$N$98*D60*D92))</f>
        <v>0.598716212146671</v>
      </c>
      <c r="E28" s="25" t="n">
        <f aca="false">IF(parametros_recargas!$N$98*E60*E92=0,0,'Demanda por puesto'!$P$124/(parametros_recargas!$N$98*E60*E92))</f>
        <v>1.10950926358524</v>
      </c>
      <c r="F28" s="25" t="n">
        <f aca="false">IF(parametros_recargas!$N$98*F60*F92=0,0,'Demanda por puesto'!$P$156/(parametros_recargas!$N$98*F60*F92))</f>
        <v>1.64648289048661</v>
      </c>
      <c r="G28" s="25" t="n">
        <f aca="false">IF(parametros_recargas!$N$98*G60*G92=0,0,'Demanda por puesto'!$P$188/(parametros_recargas!$N$98*G60*G92))</f>
        <v>2.28432095233572</v>
      </c>
      <c r="H28" s="25" t="n">
        <f aca="false">IF(parametros_recargas!$N$98*H60*H92=0,0,'Demanda por puesto'!$P$220/(parametros_recargas!$N$98*H60*H92))</f>
        <v>2.91117099624939</v>
      </c>
      <c r="I28" s="25" t="n">
        <f aca="false">IF(parametros_recargas!$N$98*I60*I92=0,0,'Demanda por puesto'!$P$252/(parametros_recargas!$N$98*I60*I92))</f>
        <v>3.4053069103252</v>
      </c>
      <c r="J28" s="25" t="n">
        <f aca="false">IF(parametros_recargas!$N$98*J60*J92=0,0,'Demanda por puesto'!$P$284/(parametros_recargas!$N$98*J60*J92))</f>
        <v>3.74564684246087</v>
      </c>
      <c r="K28" s="25" t="n">
        <f aca="false">IF(parametros_recargas!$N$98*K60*K92=0,0,'Demanda por puesto'!$P$316/(parametros_recargas!$N$98*K60*K92))</f>
        <v>4.07082329572325</v>
      </c>
    </row>
    <row r="29" customFormat="false" ht="15" hidden="false" customHeight="false" outlineLevel="0" collapsed="false">
      <c r="A29" s="12" t="str">
        <f aca="false">parametros_recargas!$B$99</f>
        <v>Inutilización y disposición final</v>
      </c>
      <c r="B29" s="25" t="n">
        <f aca="false">IF(parametros_recargas!$N$99*B61*B93=0,0,'Demanda por puesto'!$P$29/(parametros_recargas!$N$99*B61*B93))</f>
        <v>0.023556227175056</v>
      </c>
      <c r="C29" s="25" t="n">
        <f aca="false">IF(parametros_recargas!$N$99*C61*C93=0,0,'Demanda por puesto'!$P$61/(parametros_recargas!$N$99*C61*C93))</f>
        <v>0.106456277831957</v>
      </c>
      <c r="D29" s="25" t="n">
        <f aca="false">IF(parametros_recargas!$N$99*D61*D93=0,0,'Demanda por puesto'!$P$93/(parametros_recargas!$N$99*D61*D93))</f>
        <v>0.213395654333465</v>
      </c>
      <c r="E29" s="25" t="n">
        <f aca="false">IF(parametros_recargas!$N$99*E61*E93=0,0,'Demanda por puesto'!$P$125/(parametros_recargas!$N$99*E61*E93))</f>
        <v>0.395348605491108</v>
      </c>
      <c r="F29" s="25" t="n">
        <f aca="false">IF(parametros_recargas!$N$99*F61*F93=0,0,'Demanda por puesto'!$P$157/(parametros_recargas!$N$99*F61*F93))</f>
        <v>0.586874564624081</v>
      </c>
      <c r="G29" s="25" t="n">
        <f aca="false">IF(parametros_recargas!$N$99*G61*G93=0,0,'Demanda por puesto'!$P$189/(parametros_recargas!$N$99*G61*G93))</f>
        <v>0.814328926719225</v>
      </c>
      <c r="H29" s="25" t="n">
        <f aca="false">IF(parametros_recargas!$N$99*H61*H93=0,0,'Demanda por puesto'!$P$221/(parametros_recargas!$N$99*H61*H93))</f>
        <v>1.03764693097568</v>
      </c>
      <c r="I29" s="25" t="n">
        <f aca="false">IF(parametros_recargas!$N$99*I61*I93=0,0,'Demanda por puesto'!$P$253/(parametros_recargas!$N$99*I61*I93))</f>
        <v>1.21374552735891</v>
      </c>
      <c r="J29" s="25" t="n">
        <f aca="false">IF(parametros_recargas!$N$99*J61*J93=0,0,'Demanda por puesto'!$P$285/(parametros_recargas!$N$99*J61*J93))</f>
        <v>1.33456828190701</v>
      </c>
      <c r="K29" s="25" t="n">
        <f aca="false">IF(parametros_recargas!$N$99*K61*K93=0,0,'Demanda por puesto'!$P$317/(parametros_recargas!$N$99*K61*K93))</f>
        <v>1.45006870884988</v>
      </c>
    </row>
    <row r="30" customFormat="false" ht="15" hidden="false" customHeight="false" outlineLevel="0" collapsed="false">
      <c r="A30" s="12" t="str">
        <f aca="false">parametros_recargas!$B$100</f>
        <v>PH de mangueras (CO₂ y rodantes)</v>
      </c>
      <c r="B30" s="25" t="n">
        <f aca="false">IF(parametros_recargas!$N$100*B62*B94=0,0,'Demanda por puesto'!$P$30/(parametros_recargas!$N$100*B62*B94))</f>
        <v>0.00686990275033096</v>
      </c>
      <c r="C30" s="25" t="n">
        <f aca="false">IF(parametros_recargas!$N$100*C62*C94=0,0,'Demanda por puesto'!$P$62/(parametros_recargas!$N$100*C62*C94))</f>
        <v>0.035753445758576</v>
      </c>
      <c r="D30" s="25" t="n">
        <f aca="false">IF(parametros_recargas!$N$100*D62*D94=0,0,'Demanda por puesto'!$P$94/(parametros_recargas!$N$100*D62*D94))</f>
        <v>0.0763485817106509</v>
      </c>
      <c r="E30" s="25" t="n">
        <f aca="false">IF(parametros_recargas!$N$100*E62*E94=0,0,'Demanda por puesto'!$P$126/(parametros_recargas!$N$100*E62*E94))</f>
        <v>0.136536652310862</v>
      </c>
      <c r="F30" s="25" t="n">
        <f aca="false">IF(parametros_recargas!$N$100*F62*F94=0,0,'Demanda por puesto'!$P$158/(parametros_recargas!$N$100*F62*F94))</f>
        <v>0.202622466884268</v>
      </c>
      <c r="G30" s="25" t="n">
        <f aca="false">IF(parametros_recargas!$N$100*G62*G94=0,0,'Demanda por puesto'!$P$190/(parametros_recargas!$N$100*G62*G94))</f>
        <v>0.296523572964254</v>
      </c>
      <c r="H30" s="25" t="n">
        <f aca="false">IF(parametros_recargas!$N$100*H62*H94=0,0,'Demanda por puesto'!$P$222/(parametros_recargas!$N$100*H62*H94))</f>
        <v>0.411821638730649</v>
      </c>
      <c r="I30" s="25" t="n">
        <f aca="false">IF(parametros_recargas!$N$100*I62*I94=0,0,'Demanda por puesto'!$P$254/(parametros_recargas!$N$100*I62*I94))</f>
        <v>0.523877327325508</v>
      </c>
      <c r="J30" s="25" t="n">
        <f aca="false">IF(parametros_recargas!$N$100*J62*J94=0,0,'Demanda por puesto'!$P$286/(parametros_recargas!$N$100*J62*J94))</f>
        <v>0.617949019033357</v>
      </c>
      <c r="K30" s="25" t="n">
        <f aca="false">IF(parametros_recargas!$N$100*K62*K94=0,0,'Demanda por puesto'!$P$318/(parametros_recargas!$N$100*K62*K94))</f>
        <v>0.700930996993976</v>
      </c>
    </row>
    <row r="31" customFormat="false" ht="15" hidden="false" customHeight="false" outlineLevel="0" collapsed="false">
      <c r="A31" s="6" t="s">
        <v>301</v>
      </c>
      <c r="B31" s="27" t="n">
        <f aca="false">MAX(B2:B30)</f>
        <v>0.0804230085541185</v>
      </c>
      <c r="C31" s="27" t="n">
        <f aca="false">MAX(C2:C30)</f>
        <v>0.365066319528583</v>
      </c>
      <c r="D31" s="27" t="n">
        <f aca="false">MAX(D2:D30)</f>
        <v>0.72188230959864</v>
      </c>
      <c r="E31" s="27" t="n">
        <f aca="false">MAX(E2:E30)</f>
        <v>1.33778979920548</v>
      </c>
      <c r="F31" s="27" t="n">
        <f aca="false">MAX(F2:F30)</f>
        <v>1.99136483049878</v>
      </c>
      <c r="G31" s="27" t="n">
        <f aca="false">MAX(G2:G30)</f>
        <v>2.76671317954589</v>
      </c>
      <c r="H31" s="27" t="n">
        <f aca="false">MAX(H2:H30)</f>
        <v>3.52141282878862</v>
      </c>
      <c r="I31" s="27" t="n">
        <f aca="false">MAX(I2:I30)</f>
        <v>4.11672588649578</v>
      </c>
      <c r="J31" s="27" t="n">
        <f aca="false">MAX(J2:J30)</f>
        <v>4.51316744168268</v>
      </c>
      <c r="K31" s="27" t="n">
        <f aca="false">MAX(K2:K30)</f>
        <v>4.89382700595198</v>
      </c>
    </row>
    <row r="33" customFormat="false" ht="15" hidden="false" customHeight="false" outlineLevel="0" collapsed="false">
      <c r="A33" s="3" t="s">
        <v>302</v>
      </c>
      <c r="B33" s="3" t="n">
        <v>2026</v>
      </c>
      <c r="C33" s="3" t="n">
        <v>2027</v>
      </c>
      <c r="D33" s="3" t="n">
        <v>2028</v>
      </c>
      <c r="E33" s="3" t="n">
        <v>2029</v>
      </c>
      <c r="F33" s="3" t="n">
        <v>2030</v>
      </c>
      <c r="G33" s="3" t="n">
        <v>2031</v>
      </c>
      <c r="H33" s="3" t="n">
        <v>2032</v>
      </c>
      <c r="I33" s="3" t="n">
        <v>2033</v>
      </c>
      <c r="J33" s="3" t="n">
        <v>2034</v>
      </c>
      <c r="K33" s="3" t="n">
        <v>2035</v>
      </c>
    </row>
    <row r="34" customFormat="false" ht="15" hidden="false" customHeight="false" outlineLevel="0" collapsed="false">
      <c r="A34" s="12" t="str">
        <f aca="false">parametros_recargas!$B$72</f>
        <v>Recepción y registro</v>
      </c>
      <c r="B34" s="14" t="n">
        <v>1</v>
      </c>
      <c r="C34" s="14" t="n">
        <v>1</v>
      </c>
      <c r="D34" s="14" t="n">
        <v>1</v>
      </c>
      <c r="E34" s="14" t="n">
        <v>1</v>
      </c>
      <c r="F34" s="14" t="n">
        <v>1</v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1</v>
      </c>
    </row>
    <row r="35" customFormat="false" ht="15" hidden="false" customHeight="false" outlineLevel="0" collapsed="false">
      <c r="A35" s="12" t="str">
        <f aca="false">parametros_recargas!$B$73</f>
        <v>Inspección visual</v>
      </c>
      <c r="B35" s="14" t="n">
        <v>1</v>
      </c>
      <c r="C35" s="14" t="n">
        <v>1</v>
      </c>
      <c r="D35" s="14" t="n">
        <v>1</v>
      </c>
      <c r="E35" s="14" t="n">
        <v>1</v>
      </c>
      <c r="F35" s="14" t="n">
        <v>1</v>
      </c>
      <c r="G35" s="14" t="n">
        <v>1</v>
      </c>
      <c r="H35" s="14" t="n">
        <v>1</v>
      </c>
      <c r="I35" s="14" t="n">
        <v>1</v>
      </c>
      <c r="J35" s="14" t="n">
        <v>1</v>
      </c>
      <c r="K35" s="14" t="n">
        <v>1</v>
      </c>
    </row>
    <row r="36" customFormat="false" ht="15" hidden="false" customHeight="false" outlineLevel="0" collapsed="false">
      <c r="A36" s="12" t="str">
        <f aca="false">parametros_recargas!$B$74</f>
        <v>Descarga ABC — ruta recuperable</v>
      </c>
      <c r="B36" s="14" t="n">
        <v>1</v>
      </c>
      <c r="C36" s="14" t="n">
        <v>1</v>
      </c>
      <c r="D36" s="14" t="n">
        <v>1</v>
      </c>
      <c r="E36" s="14" t="n">
        <v>1</v>
      </c>
      <c r="F36" s="14" t="n">
        <v>1</v>
      </c>
      <c r="G36" s="14" t="n">
        <v>1</v>
      </c>
      <c r="H36" s="14" t="n">
        <v>1</v>
      </c>
      <c r="I36" s="14" t="n">
        <v>1</v>
      </c>
      <c r="J36" s="14" t="n">
        <v>1</v>
      </c>
      <c r="K36" s="14" t="n">
        <v>1</v>
      </c>
    </row>
    <row r="37" customFormat="false" ht="15" hidden="false" customHeight="false" outlineLevel="0" collapsed="false">
      <c r="A37" s="12" t="str">
        <f aca="false">parametros_recargas!$B$75</f>
        <v>Descarga ABC — ruta descarte</v>
      </c>
      <c r="B37" s="14" t="n">
        <v>1</v>
      </c>
      <c r="C37" s="14" t="n">
        <v>1</v>
      </c>
      <c r="D37" s="14" t="n">
        <v>1</v>
      </c>
      <c r="E37" s="14" t="n">
        <v>1</v>
      </c>
      <c r="F37" s="14" t="n">
        <v>1</v>
      </c>
      <c r="G37" s="14" t="n">
        <v>1</v>
      </c>
      <c r="H37" s="14" t="n">
        <v>1</v>
      </c>
      <c r="I37" s="14" t="n">
        <v>1</v>
      </c>
      <c r="J37" s="14" t="n">
        <v>1</v>
      </c>
      <c r="K37" s="14" t="n">
        <v>1</v>
      </c>
    </row>
    <row r="38" customFormat="false" ht="15" hidden="false" customHeight="false" outlineLevel="0" collapsed="false">
      <c r="A38" s="12" t="str">
        <f aca="false">parametros_recargas!$B$76</f>
        <v>Descarga BC</v>
      </c>
      <c r="B38" s="14" t="n">
        <v>1</v>
      </c>
      <c r="C38" s="14" t="n">
        <v>1</v>
      </c>
      <c r="D38" s="14" t="n">
        <v>1</v>
      </c>
      <c r="E38" s="14" t="n">
        <v>1</v>
      </c>
      <c r="F38" s="14" t="n">
        <v>1</v>
      </c>
      <c r="G38" s="14" t="n">
        <v>1</v>
      </c>
      <c r="H38" s="14" t="n">
        <v>1</v>
      </c>
      <c r="I38" s="14" t="n">
        <v>1</v>
      </c>
      <c r="J38" s="14" t="n">
        <v>1</v>
      </c>
      <c r="K38" s="14" t="n">
        <v>1</v>
      </c>
    </row>
    <row r="39" customFormat="false" ht="15" hidden="false" customHeight="false" outlineLevel="0" collapsed="false">
      <c r="A39" s="12" t="str">
        <f aca="false">parametros_recargas!$B$77</f>
        <v>Descarga de agua / AFFF / sales K</v>
      </c>
      <c r="B39" s="14" t="n">
        <v>1</v>
      </c>
      <c r="C39" s="14" t="n">
        <v>1</v>
      </c>
      <c r="D39" s="14" t="n">
        <v>1</v>
      </c>
      <c r="E39" s="14" t="n">
        <v>1</v>
      </c>
      <c r="F39" s="14" t="n">
        <v>1</v>
      </c>
      <c r="G39" s="14" t="n">
        <v>1</v>
      </c>
      <c r="H39" s="14" t="n">
        <v>1</v>
      </c>
      <c r="I39" s="14" t="n">
        <v>1</v>
      </c>
      <c r="J39" s="14" t="n">
        <v>1</v>
      </c>
      <c r="K39" s="14" t="n">
        <v>1</v>
      </c>
    </row>
    <row r="40" customFormat="false" ht="15" hidden="false" customHeight="false" outlineLevel="0" collapsed="false">
      <c r="A40" s="12" t="str">
        <f aca="false">parametros_recargas!$B$78</f>
        <v>Recuperación de CO₂</v>
      </c>
      <c r="B40" s="14" t="n">
        <v>1</v>
      </c>
      <c r="C40" s="14" t="n">
        <v>1</v>
      </c>
      <c r="D40" s="14" t="n">
        <v>1</v>
      </c>
      <c r="E40" s="14" t="n">
        <v>1</v>
      </c>
      <c r="F40" s="14" t="n">
        <v>1</v>
      </c>
      <c r="G40" s="14" t="n">
        <v>1</v>
      </c>
      <c r="H40" s="14" t="n">
        <v>1</v>
      </c>
      <c r="I40" s="14" t="n">
        <v>1</v>
      </c>
      <c r="J40" s="14" t="n">
        <v>1</v>
      </c>
      <c r="K40" s="14" t="n">
        <v>1</v>
      </c>
    </row>
    <row r="41" customFormat="false" ht="15" hidden="false" customHeight="false" outlineLevel="0" collapsed="false">
      <c r="A41" s="12" t="str">
        <f aca="false">parametros_recargas!$B$79</f>
        <v>Recuperación de halogenado</v>
      </c>
      <c r="B41" s="14" t="n">
        <v>1</v>
      </c>
      <c r="C41" s="14" t="n">
        <v>1</v>
      </c>
      <c r="D41" s="14" t="n">
        <v>1</v>
      </c>
      <c r="E41" s="14" t="n">
        <v>1</v>
      </c>
      <c r="F41" s="14" t="n">
        <v>1</v>
      </c>
      <c r="G41" s="14" t="n">
        <v>1</v>
      </c>
      <c r="H41" s="14" t="n">
        <v>1</v>
      </c>
      <c r="I41" s="14" t="n">
        <v>1</v>
      </c>
      <c r="J41" s="14" t="n">
        <v>1</v>
      </c>
      <c r="K41" s="14" t="n">
        <v>1</v>
      </c>
    </row>
    <row r="42" customFormat="false" ht="15" hidden="false" customHeight="false" outlineLevel="0" collapsed="false">
      <c r="A42" s="12" t="str">
        <f aca="false">parametros_recargas!$B$80</f>
        <v>Desarme y limpieza — recinto</v>
      </c>
      <c r="B42" s="14" t="n">
        <v>1</v>
      </c>
      <c r="C42" s="14" t="n">
        <v>1</v>
      </c>
      <c r="D42" s="14" t="n">
        <v>1</v>
      </c>
      <c r="E42" s="14" t="n">
        <v>1</v>
      </c>
      <c r="F42" s="14" t="n">
        <v>1</v>
      </c>
      <c r="G42" s="14" t="n">
        <v>1</v>
      </c>
      <c r="H42" s="14" t="n">
        <v>1</v>
      </c>
      <c r="I42" s="14" t="n">
        <v>1</v>
      </c>
      <c r="J42" s="14" t="n">
        <v>1</v>
      </c>
      <c r="K42" s="14" t="n">
        <v>1</v>
      </c>
    </row>
    <row r="43" customFormat="false" ht="15" hidden="false" customHeight="false" outlineLevel="0" collapsed="false">
      <c r="A43" s="12" t="str">
        <f aca="false">parametros_recargas!$B$81</f>
        <v>Desarme e inspección interior — zona general</v>
      </c>
      <c r="B43" s="14" t="n">
        <v>1</v>
      </c>
      <c r="C43" s="14" t="n">
        <v>1</v>
      </c>
      <c r="D43" s="14" t="n">
        <v>1</v>
      </c>
      <c r="E43" s="14" t="n">
        <v>1</v>
      </c>
      <c r="F43" s="14" t="n">
        <v>1</v>
      </c>
      <c r="G43" s="14" t="n">
        <v>1</v>
      </c>
      <c r="H43" s="14" t="n">
        <v>1</v>
      </c>
      <c r="I43" s="14" t="n">
        <v>1</v>
      </c>
      <c r="J43" s="14" t="n">
        <v>1</v>
      </c>
      <c r="K43" s="14" t="n">
        <v>1</v>
      </c>
    </row>
    <row r="44" customFormat="false" ht="15" hidden="false" customHeight="false" outlineLevel="0" collapsed="false">
      <c r="A44" s="12" t="str">
        <f aca="false">parametros_recargas!$B$82</f>
        <v>Laboratorio — Puffer y mufla</v>
      </c>
      <c r="B44" s="14" t="n">
        <v>1</v>
      </c>
      <c r="C44" s="14" t="n">
        <v>1</v>
      </c>
      <c r="D44" s="14" t="n">
        <v>1</v>
      </c>
      <c r="E44" s="14" t="n">
        <v>1</v>
      </c>
      <c r="F44" s="14" t="n">
        <v>1</v>
      </c>
      <c r="G44" s="14" t="n">
        <v>1</v>
      </c>
      <c r="H44" s="14" t="n">
        <v>1</v>
      </c>
      <c r="I44" s="14" t="n">
        <v>1</v>
      </c>
      <c r="J44" s="14" t="n">
        <v>1</v>
      </c>
      <c r="K44" s="14" t="n">
        <v>1</v>
      </c>
    </row>
    <row r="45" customFormat="false" ht="15" hidden="false" customHeight="false" outlineLevel="0" collapsed="false">
      <c r="A45" s="12" t="str">
        <f aca="false">parametros_recargas!$B$83</f>
        <v>Prueba hidráulica</v>
      </c>
      <c r="B45" s="14" t="n">
        <v>1</v>
      </c>
      <c r="C45" s="14" t="n">
        <v>1</v>
      </c>
      <c r="D45" s="14" t="n">
        <v>1</v>
      </c>
      <c r="E45" s="14" t="n">
        <v>1</v>
      </c>
      <c r="F45" s="14" t="n">
        <v>1</v>
      </c>
      <c r="G45" s="14" t="n">
        <v>1</v>
      </c>
      <c r="H45" s="14" t="n">
        <v>1</v>
      </c>
      <c r="I45" s="14" t="n">
        <v>1</v>
      </c>
      <c r="J45" s="14" t="n">
        <v>1</v>
      </c>
      <c r="K45" s="14" t="n">
        <v>1</v>
      </c>
    </row>
    <row r="46" customFormat="false" ht="15" hidden="false" customHeight="false" outlineLevel="0" collapsed="false">
      <c r="A46" s="12" t="str">
        <f aca="false">parametros_recargas!$B$84</f>
        <v>Secado</v>
      </c>
      <c r="B46" s="14" t="n">
        <v>1</v>
      </c>
      <c r="C46" s="14" t="n">
        <v>1</v>
      </c>
      <c r="D46" s="14" t="n">
        <v>1</v>
      </c>
      <c r="E46" s="14" t="n">
        <v>1</v>
      </c>
      <c r="F46" s="14" t="n">
        <v>1</v>
      </c>
      <c r="G46" s="14" t="n">
        <v>1</v>
      </c>
      <c r="H46" s="14" t="n">
        <v>1</v>
      </c>
      <c r="I46" s="14" t="n">
        <v>1</v>
      </c>
      <c r="J46" s="14" t="n">
        <v>1</v>
      </c>
      <c r="K46" s="14" t="n">
        <v>1</v>
      </c>
    </row>
    <row r="47" customFormat="false" ht="15" hidden="false" customHeight="false" outlineLevel="0" collapsed="false">
      <c r="A47" s="12" t="str">
        <f aca="false">parametros_recargas!$B$85</f>
        <v>Inspección interior con videoscopio</v>
      </c>
      <c r="B47" s="14" t="n">
        <v>1</v>
      </c>
      <c r="C47" s="14" t="n">
        <v>1</v>
      </c>
      <c r="D47" s="14" t="n">
        <v>1</v>
      </c>
      <c r="E47" s="14" t="n">
        <v>1</v>
      </c>
      <c r="F47" s="14" t="n">
        <v>1</v>
      </c>
      <c r="G47" s="14" t="n">
        <v>1</v>
      </c>
      <c r="H47" s="14" t="n">
        <v>1</v>
      </c>
      <c r="I47" s="14" t="n">
        <v>1</v>
      </c>
      <c r="J47" s="14" t="n">
        <v>1</v>
      </c>
      <c r="K47" s="14" t="n">
        <v>1</v>
      </c>
    </row>
    <row r="48" customFormat="false" ht="15" hidden="false" customHeight="false" outlineLevel="0" collapsed="false">
      <c r="A48" s="12" t="str">
        <f aca="false">parametros_recargas!$B$86</f>
        <v>Pintura</v>
      </c>
      <c r="B48" s="14" t="n">
        <v>1</v>
      </c>
      <c r="C48" s="14" t="n">
        <v>1</v>
      </c>
      <c r="D48" s="14" t="n">
        <v>1</v>
      </c>
      <c r="E48" s="14" t="n">
        <v>1</v>
      </c>
      <c r="F48" s="14" t="n">
        <v>1</v>
      </c>
      <c r="G48" s="14" t="n">
        <v>1</v>
      </c>
      <c r="H48" s="14" t="n">
        <v>1</v>
      </c>
      <c r="I48" s="14" t="n">
        <v>1</v>
      </c>
      <c r="J48" s="14" t="n">
        <v>1</v>
      </c>
      <c r="K48" s="14" t="n">
        <v>1</v>
      </c>
    </row>
    <row r="49" customFormat="false" ht="15" hidden="false" customHeight="false" outlineLevel="0" collapsed="false">
      <c r="A49" s="12" t="str">
        <f aca="false">parametros_recargas!$B$87</f>
        <v>Carga de polvo ABC</v>
      </c>
      <c r="B49" s="14" t="n">
        <v>1</v>
      </c>
      <c r="C49" s="14" t="n">
        <v>1</v>
      </c>
      <c r="D49" s="14" t="n">
        <v>1</v>
      </c>
      <c r="E49" s="14" t="n">
        <v>1</v>
      </c>
      <c r="F49" s="14" t="n">
        <v>1</v>
      </c>
      <c r="G49" s="14" t="n">
        <v>1</v>
      </c>
      <c r="H49" s="14" t="n">
        <v>1</v>
      </c>
      <c r="I49" s="14" t="n">
        <v>1</v>
      </c>
      <c r="J49" s="14" t="n">
        <v>1</v>
      </c>
      <c r="K49" s="14" t="n">
        <v>1</v>
      </c>
    </row>
    <row r="50" customFormat="false" ht="15" hidden="false" customHeight="false" outlineLevel="0" collapsed="false">
      <c r="A50" s="12" t="str">
        <f aca="false">parametros_recargas!$B$88</f>
        <v>Carga de polvo BC</v>
      </c>
      <c r="B50" s="14" t="n">
        <v>1</v>
      </c>
      <c r="C50" s="14" t="n">
        <v>1</v>
      </c>
      <c r="D50" s="14" t="n">
        <v>1</v>
      </c>
      <c r="E50" s="14" t="n">
        <v>1</v>
      </c>
      <c r="F50" s="14" t="n">
        <v>1</v>
      </c>
      <c r="G50" s="14" t="n">
        <v>1</v>
      </c>
      <c r="H50" s="14" t="n">
        <v>1</v>
      </c>
      <c r="I50" s="14" t="n">
        <v>1</v>
      </c>
      <c r="J50" s="14" t="n">
        <v>1</v>
      </c>
      <c r="K50" s="14" t="n">
        <v>1</v>
      </c>
    </row>
    <row r="51" customFormat="false" ht="15" hidden="false" customHeight="false" outlineLevel="0" collapsed="false">
      <c r="A51" s="12" t="str">
        <f aca="false">parametros_recargas!$B$89</f>
        <v>Descarga y carga Clase D</v>
      </c>
      <c r="B51" s="14" t="n">
        <v>1</v>
      </c>
      <c r="C51" s="14" t="n">
        <v>1</v>
      </c>
      <c r="D51" s="14" t="n">
        <v>1</v>
      </c>
      <c r="E51" s="14" t="n">
        <v>1</v>
      </c>
      <c r="F51" s="14" t="n">
        <v>1</v>
      </c>
      <c r="G51" s="14" t="n">
        <v>1</v>
      </c>
      <c r="H51" s="14" t="n">
        <v>1</v>
      </c>
      <c r="I51" s="14" t="n">
        <v>1</v>
      </c>
      <c r="J51" s="14" t="n">
        <v>1</v>
      </c>
      <c r="K51" s="14" t="n">
        <v>1</v>
      </c>
    </row>
    <row r="52" customFormat="false" ht="15" hidden="false" customHeight="false" outlineLevel="0" collapsed="false">
      <c r="A52" s="12" t="str">
        <f aca="false">parametros_recargas!$B$90</f>
        <v>Carga de agua / AFFF / sales K</v>
      </c>
      <c r="B52" s="14" t="n">
        <v>1</v>
      </c>
      <c r="C52" s="14" t="n">
        <v>1</v>
      </c>
      <c r="D52" s="14" t="n">
        <v>1</v>
      </c>
      <c r="E52" s="14" t="n">
        <v>1</v>
      </c>
      <c r="F52" s="14" t="n">
        <v>1</v>
      </c>
      <c r="G52" s="14" t="n">
        <v>1</v>
      </c>
      <c r="H52" s="14" t="n">
        <v>1</v>
      </c>
      <c r="I52" s="14" t="n">
        <v>1</v>
      </c>
      <c r="J52" s="14" t="n">
        <v>1</v>
      </c>
      <c r="K52" s="14" t="n">
        <v>1</v>
      </c>
    </row>
    <row r="53" customFormat="false" ht="15" hidden="false" customHeight="false" outlineLevel="0" collapsed="false">
      <c r="A53" s="12" t="str">
        <f aca="false">parametros_recargas!$B$91</f>
        <v>Carga de CO₂</v>
      </c>
      <c r="B53" s="14" t="n">
        <v>1</v>
      </c>
      <c r="C53" s="14" t="n">
        <v>1</v>
      </c>
      <c r="D53" s="14" t="n">
        <v>1</v>
      </c>
      <c r="E53" s="14" t="n">
        <v>1</v>
      </c>
      <c r="F53" s="14" t="n">
        <v>1</v>
      </c>
      <c r="G53" s="14" t="n">
        <v>1</v>
      </c>
      <c r="H53" s="14" t="n">
        <v>1</v>
      </c>
      <c r="I53" s="14" t="n">
        <v>1</v>
      </c>
      <c r="J53" s="14" t="n">
        <v>1</v>
      </c>
      <c r="K53" s="14" t="n">
        <v>1</v>
      </c>
    </row>
    <row r="54" customFormat="false" ht="15" hidden="false" customHeight="false" outlineLevel="0" collapsed="false">
      <c r="A54" s="12" t="str">
        <f aca="false">parametros_recargas!$B$92</f>
        <v>Ensamblaje y marbete — recinto</v>
      </c>
      <c r="B54" s="14" t="n">
        <v>1</v>
      </c>
      <c r="C54" s="14" t="n">
        <v>1</v>
      </c>
      <c r="D54" s="14" t="n">
        <v>1</v>
      </c>
      <c r="E54" s="14" t="n">
        <v>1</v>
      </c>
      <c r="F54" s="14" t="n">
        <v>1</v>
      </c>
      <c r="G54" s="14" t="n">
        <v>1</v>
      </c>
      <c r="H54" s="14" t="n">
        <v>1</v>
      </c>
      <c r="I54" s="14" t="n">
        <v>1</v>
      </c>
      <c r="J54" s="14" t="n">
        <v>1</v>
      </c>
      <c r="K54" s="14" t="n">
        <v>1</v>
      </c>
    </row>
    <row r="55" customFormat="false" ht="15" hidden="false" customHeight="false" outlineLevel="0" collapsed="false">
      <c r="A55" s="12" t="str">
        <f aca="false">parametros_recargas!$B$93</f>
        <v>Presurización — recinto</v>
      </c>
      <c r="B55" s="14" t="n">
        <v>1</v>
      </c>
      <c r="C55" s="14" t="n">
        <v>1</v>
      </c>
      <c r="D55" s="14" t="n">
        <v>1</v>
      </c>
      <c r="E55" s="14" t="n">
        <v>1</v>
      </c>
      <c r="F55" s="14" t="n">
        <v>1</v>
      </c>
      <c r="G55" s="14" t="n">
        <v>1</v>
      </c>
      <c r="H55" s="14" t="n">
        <v>1</v>
      </c>
      <c r="I55" s="14" t="n">
        <v>1</v>
      </c>
      <c r="J55" s="14" t="n">
        <v>1</v>
      </c>
      <c r="K55" s="14" t="n">
        <v>1</v>
      </c>
    </row>
    <row r="56" customFormat="false" ht="15" hidden="false" customHeight="false" outlineLevel="0" collapsed="false">
      <c r="A56" s="12" t="str">
        <f aca="false">parametros_recargas!$B$94</f>
        <v>Ensamblaje y presurización — zona general</v>
      </c>
      <c r="B56" s="14" t="n">
        <v>1</v>
      </c>
      <c r="C56" s="14" t="n">
        <v>1</v>
      </c>
      <c r="D56" s="14" t="n">
        <v>1</v>
      </c>
      <c r="E56" s="14" t="n">
        <v>1</v>
      </c>
      <c r="F56" s="14" t="n">
        <v>1</v>
      </c>
      <c r="G56" s="14" t="n">
        <v>1</v>
      </c>
      <c r="H56" s="14" t="n">
        <v>1</v>
      </c>
      <c r="I56" s="14" t="n">
        <v>1</v>
      </c>
      <c r="J56" s="14" t="n">
        <v>1</v>
      </c>
      <c r="K56" s="14" t="n">
        <v>1</v>
      </c>
    </row>
    <row r="57" customFormat="false" ht="15" hidden="false" customHeight="false" outlineLevel="0" collapsed="false">
      <c r="A57" s="12" t="str">
        <f aca="false">parametros_recargas!$B$95</f>
        <v>Carga y presurización de halogenado</v>
      </c>
      <c r="B57" s="14" t="n">
        <v>1</v>
      </c>
      <c r="C57" s="14" t="n">
        <v>1</v>
      </c>
      <c r="D57" s="14" t="n">
        <v>1</v>
      </c>
      <c r="E57" s="14" t="n">
        <v>1</v>
      </c>
      <c r="F57" s="14" t="n">
        <v>1</v>
      </c>
      <c r="G57" s="14" t="n">
        <v>1</v>
      </c>
      <c r="H57" s="14" t="n">
        <v>1</v>
      </c>
      <c r="I57" s="14" t="n">
        <v>1</v>
      </c>
      <c r="J57" s="14" t="n">
        <v>1</v>
      </c>
      <c r="K57" s="14" t="n">
        <v>1</v>
      </c>
    </row>
    <row r="58" customFormat="false" ht="15" hidden="false" customHeight="false" outlineLevel="0" collapsed="false">
      <c r="A58" s="12" t="str">
        <f aca="false">parametros_recargas!$B$96</f>
        <v>Control de peso (CO₂ y halogenados sin recarga)</v>
      </c>
      <c r="B58" s="14" t="n">
        <v>1</v>
      </c>
      <c r="C58" s="14" t="n">
        <v>1</v>
      </c>
      <c r="D58" s="14" t="n">
        <v>1</v>
      </c>
      <c r="E58" s="14" t="n">
        <v>1</v>
      </c>
      <c r="F58" s="14" t="n">
        <v>1</v>
      </c>
      <c r="G58" s="14" t="n">
        <v>1</v>
      </c>
      <c r="H58" s="14" t="n">
        <v>1</v>
      </c>
      <c r="I58" s="14" t="n">
        <v>1</v>
      </c>
      <c r="J58" s="14" t="n">
        <v>1</v>
      </c>
      <c r="K58" s="14" t="n">
        <v>1</v>
      </c>
    </row>
    <row r="59" customFormat="false" ht="15" hidden="false" customHeight="false" outlineLevel="0" collapsed="false">
      <c r="A59" s="12" t="str">
        <f aca="false">parametros_recargas!$B$97</f>
        <v>Ensayo de pérdidas</v>
      </c>
      <c r="B59" s="14" t="n">
        <v>1</v>
      </c>
      <c r="C59" s="14" t="n">
        <v>1</v>
      </c>
      <c r="D59" s="14" t="n">
        <v>1</v>
      </c>
      <c r="E59" s="14" t="n">
        <v>1</v>
      </c>
      <c r="F59" s="14" t="n">
        <v>1</v>
      </c>
      <c r="G59" s="14" t="n">
        <v>1</v>
      </c>
      <c r="H59" s="14" t="n">
        <v>1</v>
      </c>
      <c r="I59" s="14" t="n">
        <v>1</v>
      </c>
      <c r="J59" s="14" t="n">
        <v>1</v>
      </c>
      <c r="K59" s="14" t="n">
        <v>1</v>
      </c>
    </row>
    <row r="60" customFormat="false" ht="15" hidden="false" customHeight="false" outlineLevel="0" collapsed="false">
      <c r="A60" s="12" t="str">
        <f aca="false">parametros_recargas!$B$98</f>
        <v>Precinto, etiqueta y despacho</v>
      </c>
      <c r="B60" s="14" t="n">
        <v>1</v>
      </c>
      <c r="C60" s="14" t="n">
        <v>1</v>
      </c>
      <c r="D60" s="14" t="n">
        <v>1</v>
      </c>
      <c r="E60" s="14" t="n">
        <v>1</v>
      </c>
      <c r="F60" s="14" t="n">
        <v>1</v>
      </c>
      <c r="G60" s="14" t="n">
        <v>1</v>
      </c>
      <c r="H60" s="14" t="n">
        <v>1</v>
      </c>
      <c r="I60" s="14" t="n">
        <v>1</v>
      </c>
      <c r="J60" s="14" t="n">
        <v>1</v>
      </c>
      <c r="K60" s="14" t="n">
        <v>1</v>
      </c>
    </row>
    <row r="61" customFormat="false" ht="15" hidden="false" customHeight="false" outlineLevel="0" collapsed="false">
      <c r="A61" s="12" t="str">
        <f aca="false">parametros_recargas!$B$99</f>
        <v>Inutilización y disposición final</v>
      </c>
      <c r="B61" s="14" t="n">
        <v>1</v>
      </c>
      <c r="C61" s="14" t="n">
        <v>1</v>
      </c>
      <c r="D61" s="14" t="n">
        <v>1</v>
      </c>
      <c r="E61" s="14" t="n">
        <v>1</v>
      </c>
      <c r="F61" s="14" t="n">
        <v>1</v>
      </c>
      <c r="G61" s="14" t="n">
        <v>1</v>
      </c>
      <c r="H61" s="14" t="n">
        <v>1</v>
      </c>
      <c r="I61" s="14" t="n">
        <v>1</v>
      </c>
      <c r="J61" s="14" t="n">
        <v>1</v>
      </c>
      <c r="K61" s="14" t="n">
        <v>1</v>
      </c>
    </row>
    <row r="62" customFormat="false" ht="15" hidden="false" customHeight="false" outlineLevel="0" collapsed="false">
      <c r="A62" s="12" t="str">
        <f aca="false">parametros_recargas!$B$100</f>
        <v>PH de mangueras (CO₂ y rodantes)</v>
      </c>
      <c r="B62" s="14" t="n">
        <v>1</v>
      </c>
      <c r="C62" s="14" t="n">
        <v>1</v>
      </c>
      <c r="D62" s="14" t="n">
        <v>1</v>
      </c>
      <c r="E62" s="14" t="n">
        <v>1</v>
      </c>
      <c r="F62" s="14" t="n">
        <v>1</v>
      </c>
      <c r="G62" s="14" t="n">
        <v>1</v>
      </c>
      <c r="H62" s="14" t="n">
        <v>1</v>
      </c>
      <c r="I62" s="14" t="n">
        <v>1</v>
      </c>
      <c r="J62" s="14" t="n">
        <v>1</v>
      </c>
      <c r="K62" s="14" t="n">
        <v>1</v>
      </c>
    </row>
    <row r="63" customFormat="false" ht="15" hidden="false" customHeight="false" outlineLevel="0" collapsed="false">
      <c r="A63" s="6" t="s">
        <v>303</v>
      </c>
      <c r="B63" s="16" t="n">
        <f aca="false">SUM(B34:B62)</f>
        <v>29</v>
      </c>
      <c r="C63" s="16" t="n">
        <f aca="false">SUM(C34:C62)</f>
        <v>29</v>
      </c>
      <c r="D63" s="16" t="n">
        <f aca="false">SUM(D34:D62)</f>
        <v>29</v>
      </c>
      <c r="E63" s="16" t="n">
        <f aca="false">SUM(E34:E62)</f>
        <v>29</v>
      </c>
      <c r="F63" s="16" t="n">
        <f aca="false">SUM(F34:F62)</f>
        <v>29</v>
      </c>
      <c r="G63" s="16" t="n">
        <f aca="false">SUM(G34:G62)</f>
        <v>29</v>
      </c>
      <c r="H63" s="16" t="n">
        <f aca="false">SUM(H34:H62)</f>
        <v>29</v>
      </c>
      <c r="I63" s="16" t="n">
        <f aca="false">SUM(I34:I62)</f>
        <v>29</v>
      </c>
      <c r="J63" s="16" t="n">
        <f aca="false">SUM(J34:J62)</f>
        <v>29</v>
      </c>
      <c r="K63" s="16" t="n">
        <f aca="false">SUM(K34:K62)</f>
        <v>29</v>
      </c>
    </row>
    <row r="65" customFormat="false" ht="15" hidden="false" customHeight="false" outlineLevel="0" collapsed="false">
      <c r="A65" s="3" t="s">
        <v>304</v>
      </c>
      <c r="B65" s="3" t="n">
        <v>2026</v>
      </c>
      <c r="C65" s="3" t="n">
        <v>2027</v>
      </c>
      <c r="D65" s="3" t="n">
        <v>2028</v>
      </c>
      <c r="E65" s="3" t="n">
        <v>2029</v>
      </c>
      <c r="F65" s="3" t="n">
        <v>2030</v>
      </c>
      <c r="G65" s="3" t="n">
        <v>2031</v>
      </c>
      <c r="H65" s="3" t="n">
        <v>2032</v>
      </c>
      <c r="I65" s="3" t="n">
        <v>2033</v>
      </c>
      <c r="J65" s="3" t="n">
        <v>2034</v>
      </c>
      <c r="K65" s="3" t="n">
        <v>2035</v>
      </c>
    </row>
    <row r="66" customFormat="false" ht="15" hidden="false" customHeight="false" outlineLevel="0" collapsed="false">
      <c r="A66" s="12" t="str">
        <f aca="false">parametros_recargas!$B$72</f>
        <v>Recepción y registro</v>
      </c>
      <c r="B66" s="14" t="n">
        <v>1</v>
      </c>
      <c r="C66" s="14" t="n">
        <v>1</v>
      </c>
      <c r="D66" s="14" t="n">
        <v>1</v>
      </c>
      <c r="E66" s="14" t="n">
        <v>1</v>
      </c>
      <c r="F66" s="14" t="n">
        <v>1</v>
      </c>
      <c r="G66" s="14" t="n">
        <v>1</v>
      </c>
      <c r="H66" s="14" t="n">
        <v>1</v>
      </c>
      <c r="I66" s="14" t="n">
        <v>1</v>
      </c>
      <c r="J66" s="14" t="n">
        <v>1</v>
      </c>
      <c r="K66" s="14" t="n">
        <v>1</v>
      </c>
    </row>
    <row r="67" customFormat="false" ht="15" hidden="false" customHeight="false" outlineLevel="0" collapsed="false">
      <c r="A67" s="12" t="str">
        <f aca="false">parametros_recargas!$B$73</f>
        <v>Inspección visual</v>
      </c>
      <c r="B67" s="14" t="n">
        <v>1</v>
      </c>
      <c r="C67" s="14" t="n">
        <v>1</v>
      </c>
      <c r="D67" s="14" t="n">
        <v>1</v>
      </c>
      <c r="E67" s="14" t="n">
        <v>1</v>
      </c>
      <c r="F67" s="14" t="n">
        <v>1</v>
      </c>
      <c r="G67" s="14" t="n">
        <v>1</v>
      </c>
      <c r="H67" s="14" t="n">
        <v>1</v>
      </c>
      <c r="I67" s="14" t="n">
        <v>1</v>
      </c>
      <c r="J67" s="14" t="n">
        <v>1</v>
      </c>
      <c r="K67" s="14" t="n">
        <v>1</v>
      </c>
    </row>
    <row r="68" customFormat="false" ht="15" hidden="false" customHeight="false" outlineLevel="0" collapsed="false">
      <c r="A68" s="12" t="str">
        <f aca="false">parametros_recargas!$B$74</f>
        <v>Descarga ABC — ruta recuperable</v>
      </c>
      <c r="B68" s="14" t="n">
        <v>1</v>
      </c>
      <c r="C68" s="14" t="n">
        <v>1</v>
      </c>
      <c r="D68" s="14" t="n">
        <v>1</v>
      </c>
      <c r="E68" s="14" t="n">
        <v>1</v>
      </c>
      <c r="F68" s="14" t="n">
        <v>1</v>
      </c>
      <c r="G68" s="14" t="n">
        <v>1</v>
      </c>
      <c r="H68" s="14" t="n">
        <v>1</v>
      </c>
      <c r="I68" s="14" t="n">
        <v>1</v>
      </c>
      <c r="J68" s="14" t="n">
        <v>1</v>
      </c>
      <c r="K68" s="14" t="n">
        <v>1</v>
      </c>
    </row>
    <row r="69" customFormat="false" ht="15" hidden="false" customHeight="false" outlineLevel="0" collapsed="false">
      <c r="A69" s="12" t="str">
        <f aca="false">parametros_recargas!$B$75</f>
        <v>Descarga ABC — ruta descarte</v>
      </c>
      <c r="B69" s="14" t="n">
        <v>1</v>
      </c>
      <c r="C69" s="14" t="n">
        <v>1</v>
      </c>
      <c r="D69" s="14" t="n">
        <v>1</v>
      </c>
      <c r="E69" s="14" t="n">
        <v>1</v>
      </c>
      <c r="F69" s="14" t="n">
        <v>1</v>
      </c>
      <c r="G69" s="14" t="n">
        <v>1</v>
      </c>
      <c r="H69" s="14" t="n">
        <v>1</v>
      </c>
      <c r="I69" s="14" t="n">
        <v>1</v>
      </c>
      <c r="J69" s="14" t="n">
        <v>1</v>
      </c>
      <c r="K69" s="14" t="n">
        <v>1</v>
      </c>
    </row>
    <row r="70" customFormat="false" ht="15" hidden="false" customHeight="false" outlineLevel="0" collapsed="false">
      <c r="A70" s="12" t="str">
        <f aca="false">parametros_recargas!$B$76</f>
        <v>Descarga BC</v>
      </c>
      <c r="B70" s="14" t="n">
        <v>1</v>
      </c>
      <c r="C70" s="14" t="n">
        <v>1</v>
      </c>
      <c r="D70" s="14" t="n">
        <v>1</v>
      </c>
      <c r="E70" s="14" t="n">
        <v>1</v>
      </c>
      <c r="F70" s="14" t="n">
        <v>1</v>
      </c>
      <c r="G70" s="14" t="n">
        <v>1</v>
      </c>
      <c r="H70" s="14" t="n">
        <v>1</v>
      </c>
      <c r="I70" s="14" t="n">
        <v>1</v>
      </c>
      <c r="J70" s="14" t="n">
        <v>1</v>
      </c>
      <c r="K70" s="14" t="n">
        <v>1</v>
      </c>
    </row>
    <row r="71" customFormat="false" ht="15" hidden="false" customHeight="false" outlineLevel="0" collapsed="false">
      <c r="A71" s="12" t="str">
        <f aca="false">parametros_recargas!$B$77</f>
        <v>Descarga de agua / AFFF / sales K</v>
      </c>
      <c r="B71" s="14" t="n">
        <v>1</v>
      </c>
      <c r="C71" s="14" t="n">
        <v>1</v>
      </c>
      <c r="D71" s="14" t="n">
        <v>1</v>
      </c>
      <c r="E71" s="14" t="n">
        <v>1</v>
      </c>
      <c r="F71" s="14" t="n">
        <v>1</v>
      </c>
      <c r="G71" s="14" t="n">
        <v>1</v>
      </c>
      <c r="H71" s="14" t="n">
        <v>1</v>
      </c>
      <c r="I71" s="14" t="n">
        <v>1</v>
      </c>
      <c r="J71" s="14" t="n">
        <v>1</v>
      </c>
      <c r="K71" s="14" t="n">
        <v>1</v>
      </c>
    </row>
    <row r="72" customFormat="false" ht="15" hidden="false" customHeight="false" outlineLevel="0" collapsed="false">
      <c r="A72" s="12" t="str">
        <f aca="false">parametros_recargas!$B$78</f>
        <v>Recuperación de CO₂</v>
      </c>
      <c r="B72" s="14" t="n">
        <v>1</v>
      </c>
      <c r="C72" s="14" t="n">
        <v>1</v>
      </c>
      <c r="D72" s="14" t="n">
        <v>1</v>
      </c>
      <c r="E72" s="14" t="n">
        <v>1</v>
      </c>
      <c r="F72" s="14" t="n">
        <v>1</v>
      </c>
      <c r="G72" s="14" t="n">
        <v>1</v>
      </c>
      <c r="H72" s="14" t="n">
        <v>1</v>
      </c>
      <c r="I72" s="14" t="n">
        <v>1</v>
      </c>
      <c r="J72" s="14" t="n">
        <v>1</v>
      </c>
      <c r="K72" s="14" t="n">
        <v>1</v>
      </c>
    </row>
    <row r="73" customFormat="false" ht="15" hidden="false" customHeight="false" outlineLevel="0" collapsed="false">
      <c r="A73" s="12" t="str">
        <f aca="false">parametros_recargas!$B$79</f>
        <v>Recuperación de halogenado</v>
      </c>
      <c r="B73" s="14" t="n">
        <v>1</v>
      </c>
      <c r="C73" s="14" t="n">
        <v>1</v>
      </c>
      <c r="D73" s="14" t="n">
        <v>1</v>
      </c>
      <c r="E73" s="14" t="n">
        <v>1</v>
      </c>
      <c r="F73" s="14" t="n">
        <v>1</v>
      </c>
      <c r="G73" s="14" t="n">
        <v>1</v>
      </c>
      <c r="H73" s="14" t="n">
        <v>1</v>
      </c>
      <c r="I73" s="14" t="n">
        <v>1</v>
      </c>
      <c r="J73" s="14" t="n">
        <v>1</v>
      </c>
      <c r="K73" s="14" t="n">
        <v>1</v>
      </c>
    </row>
    <row r="74" customFormat="false" ht="15" hidden="false" customHeight="false" outlineLevel="0" collapsed="false">
      <c r="A74" s="12" t="str">
        <f aca="false">parametros_recargas!$B$80</f>
        <v>Desarme y limpieza — recinto</v>
      </c>
      <c r="B74" s="14" t="n">
        <v>1</v>
      </c>
      <c r="C74" s="14" t="n">
        <v>1</v>
      </c>
      <c r="D74" s="14" t="n">
        <v>1</v>
      </c>
      <c r="E74" s="14" t="n">
        <v>1</v>
      </c>
      <c r="F74" s="14" t="n">
        <v>1</v>
      </c>
      <c r="G74" s="14" t="n">
        <v>1</v>
      </c>
      <c r="H74" s="14" t="n">
        <v>1</v>
      </c>
      <c r="I74" s="14" t="n">
        <v>1</v>
      </c>
      <c r="J74" s="14" t="n">
        <v>1</v>
      </c>
      <c r="K74" s="14" t="n">
        <v>1</v>
      </c>
    </row>
    <row r="75" customFormat="false" ht="15" hidden="false" customHeight="false" outlineLevel="0" collapsed="false">
      <c r="A75" s="12" t="str">
        <f aca="false">parametros_recargas!$B$81</f>
        <v>Desarme e inspección interior — zona general</v>
      </c>
      <c r="B75" s="14" t="n">
        <v>1</v>
      </c>
      <c r="C75" s="14" t="n">
        <v>1</v>
      </c>
      <c r="D75" s="14" t="n">
        <v>1</v>
      </c>
      <c r="E75" s="14" t="n">
        <v>1</v>
      </c>
      <c r="F75" s="14" t="n">
        <v>1</v>
      </c>
      <c r="G75" s="14" t="n">
        <v>1</v>
      </c>
      <c r="H75" s="14" t="n">
        <v>1</v>
      </c>
      <c r="I75" s="14" t="n">
        <v>1</v>
      </c>
      <c r="J75" s="14" t="n">
        <v>1</v>
      </c>
      <c r="K75" s="14" t="n">
        <v>1</v>
      </c>
    </row>
    <row r="76" customFormat="false" ht="15" hidden="false" customHeight="false" outlineLevel="0" collapsed="false">
      <c r="A76" s="12" t="str">
        <f aca="false">parametros_recargas!$B$82</f>
        <v>Laboratorio — Puffer y mufla</v>
      </c>
      <c r="B76" s="14" t="n">
        <v>1</v>
      </c>
      <c r="C76" s="14" t="n">
        <v>1</v>
      </c>
      <c r="D76" s="14" t="n">
        <v>1</v>
      </c>
      <c r="E76" s="14" t="n">
        <v>1</v>
      </c>
      <c r="F76" s="14" t="n">
        <v>1</v>
      </c>
      <c r="G76" s="14" t="n">
        <v>1</v>
      </c>
      <c r="H76" s="14" t="n">
        <v>1</v>
      </c>
      <c r="I76" s="14" t="n">
        <v>1</v>
      </c>
      <c r="J76" s="14" t="n">
        <v>1</v>
      </c>
      <c r="K76" s="14" t="n">
        <v>1</v>
      </c>
    </row>
    <row r="77" customFormat="false" ht="15" hidden="false" customHeight="false" outlineLevel="0" collapsed="false">
      <c r="A77" s="12" t="str">
        <f aca="false">parametros_recargas!$B$83</f>
        <v>Prueba hidráulica</v>
      </c>
      <c r="B77" s="14" t="n">
        <v>1</v>
      </c>
      <c r="C77" s="14" t="n">
        <v>1</v>
      </c>
      <c r="D77" s="14" t="n">
        <v>1</v>
      </c>
      <c r="E77" s="14" t="n">
        <v>1</v>
      </c>
      <c r="F77" s="14" t="n">
        <v>1</v>
      </c>
      <c r="G77" s="14" t="n">
        <v>1</v>
      </c>
      <c r="H77" s="14" t="n">
        <v>1</v>
      </c>
      <c r="I77" s="14" t="n">
        <v>1</v>
      </c>
      <c r="J77" s="14" t="n">
        <v>1</v>
      </c>
      <c r="K77" s="14" t="n">
        <v>1</v>
      </c>
    </row>
    <row r="78" customFormat="false" ht="15" hidden="false" customHeight="false" outlineLevel="0" collapsed="false">
      <c r="A78" s="12" t="str">
        <f aca="false">parametros_recargas!$B$84</f>
        <v>Secado</v>
      </c>
      <c r="B78" s="14" t="n">
        <v>1</v>
      </c>
      <c r="C78" s="14" t="n">
        <v>1</v>
      </c>
      <c r="D78" s="14" t="n">
        <v>1</v>
      </c>
      <c r="E78" s="14" t="n">
        <v>1</v>
      </c>
      <c r="F78" s="14" t="n">
        <v>1</v>
      </c>
      <c r="G78" s="14" t="n">
        <v>1</v>
      </c>
      <c r="H78" s="14" t="n">
        <v>1</v>
      </c>
      <c r="I78" s="14" t="n">
        <v>1</v>
      </c>
      <c r="J78" s="14" t="n">
        <v>1</v>
      </c>
      <c r="K78" s="14" t="n">
        <v>1</v>
      </c>
    </row>
    <row r="79" customFormat="false" ht="15" hidden="false" customHeight="false" outlineLevel="0" collapsed="false">
      <c r="A79" s="12" t="str">
        <f aca="false">parametros_recargas!$B$85</f>
        <v>Inspección interior con videoscopio</v>
      </c>
      <c r="B79" s="14" t="n">
        <v>1</v>
      </c>
      <c r="C79" s="14" t="n">
        <v>1</v>
      </c>
      <c r="D79" s="14" t="n">
        <v>1</v>
      </c>
      <c r="E79" s="14" t="n">
        <v>1</v>
      </c>
      <c r="F79" s="14" t="n">
        <v>1</v>
      </c>
      <c r="G79" s="14" t="n">
        <v>1</v>
      </c>
      <c r="H79" s="14" t="n">
        <v>1</v>
      </c>
      <c r="I79" s="14" t="n">
        <v>1</v>
      </c>
      <c r="J79" s="14" t="n">
        <v>1</v>
      </c>
      <c r="K79" s="14" t="n">
        <v>1</v>
      </c>
    </row>
    <row r="80" customFormat="false" ht="15" hidden="false" customHeight="false" outlineLevel="0" collapsed="false">
      <c r="A80" s="12" t="str">
        <f aca="false">parametros_recargas!$B$86</f>
        <v>Pintura</v>
      </c>
      <c r="B80" s="14" t="n">
        <v>1</v>
      </c>
      <c r="C80" s="14" t="n">
        <v>1</v>
      </c>
      <c r="D80" s="14" t="n">
        <v>1</v>
      </c>
      <c r="E80" s="14" t="n">
        <v>1</v>
      </c>
      <c r="F80" s="14" t="n">
        <v>1</v>
      </c>
      <c r="G80" s="14" t="n">
        <v>1</v>
      </c>
      <c r="H80" s="14" t="n">
        <v>1</v>
      </c>
      <c r="I80" s="14" t="n">
        <v>1</v>
      </c>
      <c r="J80" s="14" t="n">
        <v>1</v>
      </c>
      <c r="K80" s="14" t="n">
        <v>1</v>
      </c>
    </row>
    <row r="81" customFormat="false" ht="15" hidden="false" customHeight="false" outlineLevel="0" collapsed="false">
      <c r="A81" s="12" t="str">
        <f aca="false">parametros_recargas!$B$87</f>
        <v>Carga de polvo ABC</v>
      </c>
      <c r="B81" s="14" t="n">
        <v>1</v>
      </c>
      <c r="C81" s="14" t="n">
        <v>1</v>
      </c>
      <c r="D81" s="14" t="n">
        <v>1</v>
      </c>
      <c r="E81" s="14" t="n">
        <v>1</v>
      </c>
      <c r="F81" s="14" t="n">
        <v>1</v>
      </c>
      <c r="G81" s="14" t="n">
        <v>1</v>
      </c>
      <c r="H81" s="14" t="n">
        <v>1</v>
      </c>
      <c r="I81" s="14" t="n">
        <v>1</v>
      </c>
      <c r="J81" s="14" t="n">
        <v>1</v>
      </c>
      <c r="K81" s="14" t="n">
        <v>1</v>
      </c>
    </row>
    <row r="82" customFormat="false" ht="15" hidden="false" customHeight="false" outlineLevel="0" collapsed="false">
      <c r="A82" s="12" t="str">
        <f aca="false">parametros_recargas!$B$88</f>
        <v>Carga de polvo BC</v>
      </c>
      <c r="B82" s="14" t="n">
        <v>1</v>
      </c>
      <c r="C82" s="14" t="n">
        <v>1</v>
      </c>
      <c r="D82" s="14" t="n">
        <v>1</v>
      </c>
      <c r="E82" s="14" t="n">
        <v>1</v>
      </c>
      <c r="F82" s="14" t="n">
        <v>1</v>
      </c>
      <c r="G82" s="14" t="n">
        <v>1</v>
      </c>
      <c r="H82" s="14" t="n">
        <v>1</v>
      </c>
      <c r="I82" s="14" t="n">
        <v>1</v>
      </c>
      <c r="J82" s="14" t="n">
        <v>1</v>
      </c>
      <c r="K82" s="14" t="n">
        <v>1</v>
      </c>
    </row>
    <row r="83" customFormat="false" ht="15" hidden="false" customHeight="false" outlineLevel="0" collapsed="false">
      <c r="A83" s="12" t="str">
        <f aca="false">parametros_recargas!$B$89</f>
        <v>Descarga y carga Clase D</v>
      </c>
      <c r="B83" s="14" t="n">
        <v>1</v>
      </c>
      <c r="C83" s="14" t="n">
        <v>1</v>
      </c>
      <c r="D83" s="14" t="n">
        <v>1</v>
      </c>
      <c r="E83" s="14" t="n">
        <v>1</v>
      </c>
      <c r="F83" s="14" t="n">
        <v>1</v>
      </c>
      <c r="G83" s="14" t="n">
        <v>1</v>
      </c>
      <c r="H83" s="14" t="n">
        <v>1</v>
      </c>
      <c r="I83" s="14" t="n">
        <v>1</v>
      </c>
      <c r="J83" s="14" t="n">
        <v>1</v>
      </c>
      <c r="K83" s="14" t="n">
        <v>1</v>
      </c>
    </row>
    <row r="84" customFormat="false" ht="15" hidden="false" customHeight="false" outlineLevel="0" collapsed="false">
      <c r="A84" s="12" t="str">
        <f aca="false">parametros_recargas!$B$90</f>
        <v>Carga de agua / AFFF / sales K</v>
      </c>
      <c r="B84" s="14" t="n">
        <v>1</v>
      </c>
      <c r="C84" s="14" t="n">
        <v>1</v>
      </c>
      <c r="D84" s="14" t="n">
        <v>1</v>
      </c>
      <c r="E84" s="14" t="n">
        <v>1</v>
      </c>
      <c r="F84" s="14" t="n">
        <v>1</v>
      </c>
      <c r="G84" s="14" t="n">
        <v>1</v>
      </c>
      <c r="H84" s="14" t="n">
        <v>1</v>
      </c>
      <c r="I84" s="14" t="n">
        <v>1</v>
      </c>
      <c r="J84" s="14" t="n">
        <v>1</v>
      </c>
      <c r="K84" s="14" t="n">
        <v>1</v>
      </c>
    </row>
    <row r="85" customFormat="false" ht="15" hidden="false" customHeight="false" outlineLevel="0" collapsed="false">
      <c r="A85" s="12" t="str">
        <f aca="false">parametros_recargas!$B$91</f>
        <v>Carga de CO₂</v>
      </c>
      <c r="B85" s="14" t="n">
        <v>1</v>
      </c>
      <c r="C85" s="14" t="n">
        <v>1</v>
      </c>
      <c r="D85" s="14" t="n">
        <v>1</v>
      </c>
      <c r="E85" s="14" t="n">
        <v>1</v>
      </c>
      <c r="F85" s="14" t="n">
        <v>1</v>
      </c>
      <c r="G85" s="14" t="n">
        <v>1</v>
      </c>
      <c r="H85" s="14" t="n">
        <v>1</v>
      </c>
      <c r="I85" s="14" t="n">
        <v>1</v>
      </c>
      <c r="J85" s="14" t="n">
        <v>1</v>
      </c>
      <c r="K85" s="14" t="n">
        <v>1</v>
      </c>
    </row>
    <row r="86" customFormat="false" ht="15" hidden="false" customHeight="false" outlineLevel="0" collapsed="false">
      <c r="A86" s="12" t="str">
        <f aca="false">parametros_recargas!$B$92</f>
        <v>Ensamblaje y marbete — recinto</v>
      </c>
      <c r="B86" s="14" t="n">
        <v>1</v>
      </c>
      <c r="C86" s="14" t="n">
        <v>1</v>
      </c>
      <c r="D86" s="14" t="n">
        <v>1</v>
      </c>
      <c r="E86" s="14" t="n">
        <v>1</v>
      </c>
      <c r="F86" s="14" t="n">
        <v>1</v>
      </c>
      <c r="G86" s="14" t="n">
        <v>1</v>
      </c>
      <c r="H86" s="14" t="n">
        <v>1</v>
      </c>
      <c r="I86" s="14" t="n">
        <v>1</v>
      </c>
      <c r="J86" s="14" t="n">
        <v>1</v>
      </c>
      <c r="K86" s="14" t="n">
        <v>1</v>
      </c>
    </row>
    <row r="87" customFormat="false" ht="15" hidden="false" customHeight="false" outlineLevel="0" collapsed="false">
      <c r="A87" s="12" t="str">
        <f aca="false">parametros_recargas!$B$93</f>
        <v>Presurización — recinto</v>
      </c>
      <c r="B87" s="14" t="n">
        <v>1</v>
      </c>
      <c r="C87" s="14" t="n">
        <v>1</v>
      </c>
      <c r="D87" s="14" t="n">
        <v>1</v>
      </c>
      <c r="E87" s="14" t="n">
        <v>1</v>
      </c>
      <c r="F87" s="14" t="n">
        <v>1</v>
      </c>
      <c r="G87" s="14" t="n">
        <v>1</v>
      </c>
      <c r="H87" s="14" t="n">
        <v>1</v>
      </c>
      <c r="I87" s="14" t="n">
        <v>1</v>
      </c>
      <c r="J87" s="14" t="n">
        <v>1</v>
      </c>
      <c r="K87" s="14" t="n">
        <v>1</v>
      </c>
    </row>
    <row r="88" customFormat="false" ht="15" hidden="false" customHeight="false" outlineLevel="0" collapsed="false">
      <c r="A88" s="12" t="str">
        <f aca="false">parametros_recargas!$B$94</f>
        <v>Ensamblaje y presurización — zona general</v>
      </c>
      <c r="B88" s="14" t="n">
        <v>1</v>
      </c>
      <c r="C88" s="14" t="n">
        <v>1</v>
      </c>
      <c r="D88" s="14" t="n">
        <v>1</v>
      </c>
      <c r="E88" s="14" t="n">
        <v>1</v>
      </c>
      <c r="F88" s="14" t="n">
        <v>1</v>
      </c>
      <c r="G88" s="14" t="n">
        <v>1</v>
      </c>
      <c r="H88" s="14" t="n">
        <v>1</v>
      </c>
      <c r="I88" s="14" t="n">
        <v>1</v>
      </c>
      <c r="J88" s="14" t="n">
        <v>1</v>
      </c>
      <c r="K88" s="14" t="n">
        <v>1</v>
      </c>
    </row>
    <row r="89" customFormat="false" ht="15" hidden="false" customHeight="false" outlineLevel="0" collapsed="false">
      <c r="A89" s="12" t="str">
        <f aca="false">parametros_recargas!$B$95</f>
        <v>Carga y presurización de halogenado</v>
      </c>
      <c r="B89" s="14" t="n">
        <v>1</v>
      </c>
      <c r="C89" s="14" t="n">
        <v>1</v>
      </c>
      <c r="D89" s="14" t="n">
        <v>1</v>
      </c>
      <c r="E89" s="14" t="n">
        <v>1</v>
      </c>
      <c r="F89" s="14" t="n">
        <v>1</v>
      </c>
      <c r="G89" s="14" t="n">
        <v>1</v>
      </c>
      <c r="H89" s="14" t="n">
        <v>1</v>
      </c>
      <c r="I89" s="14" t="n">
        <v>1</v>
      </c>
      <c r="J89" s="14" t="n">
        <v>1</v>
      </c>
      <c r="K89" s="14" t="n">
        <v>1</v>
      </c>
    </row>
    <row r="90" customFormat="false" ht="15" hidden="false" customHeight="false" outlineLevel="0" collapsed="false">
      <c r="A90" s="12" t="str">
        <f aca="false">parametros_recargas!$B$96</f>
        <v>Control de peso (CO₂ y halogenados sin recarga)</v>
      </c>
      <c r="B90" s="14" t="n">
        <v>1</v>
      </c>
      <c r="C90" s="14" t="n">
        <v>1</v>
      </c>
      <c r="D90" s="14" t="n">
        <v>1</v>
      </c>
      <c r="E90" s="14" t="n">
        <v>1</v>
      </c>
      <c r="F90" s="14" t="n">
        <v>1</v>
      </c>
      <c r="G90" s="14" t="n">
        <v>1</v>
      </c>
      <c r="H90" s="14" t="n">
        <v>1</v>
      </c>
      <c r="I90" s="14" t="n">
        <v>1</v>
      </c>
      <c r="J90" s="14" t="n">
        <v>1</v>
      </c>
      <c r="K90" s="14" t="n">
        <v>1</v>
      </c>
    </row>
    <row r="91" customFormat="false" ht="15" hidden="false" customHeight="false" outlineLevel="0" collapsed="false">
      <c r="A91" s="12" t="str">
        <f aca="false">parametros_recargas!$B$97</f>
        <v>Ensayo de pérdidas</v>
      </c>
      <c r="B91" s="14" t="n">
        <v>1</v>
      </c>
      <c r="C91" s="14" t="n">
        <v>1</v>
      </c>
      <c r="D91" s="14" t="n">
        <v>1</v>
      </c>
      <c r="E91" s="14" t="n">
        <v>1</v>
      </c>
      <c r="F91" s="14" t="n">
        <v>1</v>
      </c>
      <c r="G91" s="14" t="n">
        <v>1</v>
      </c>
      <c r="H91" s="14" t="n">
        <v>1</v>
      </c>
      <c r="I91" s="14" t="n">
        <v>1</v>
      </c>
      <c r="J91" s="14" t="n">
        <v>1</v>
      </c>
      <c r="K91" s="14" t="n">
        <v>1</v>
      </c>
    </row>
    <row r="92" customFormat="false" ht="15" hidden="false" customHeight="false" outlineLevel="0" collapsed="false">
      <c r="A92" s="12" t="str">
        <f aca="false">parametros_recargas!$B$98</f>
        <v>Precinto, etiqueta y despacho</v>
      </c>
      <c r="B92" s="14" t="n">
        <v>1</v>
      </c>
      <c r="C92" s="14" t="n">
        <v>1</v>
      </c>
      <c r="D92" s="14" t="n">
        <v>1</v>
      </c>
      <c r="E92" s="14" t="n">
        <v>1</v>
      </c>
      <c r="F92" s="14" t="n">
        <v>1</v>
      </c>
      <c r="G92" s="14" t="n">
        <v>1</v>
      </c>
      <c r="H92" s="14" t="n">
        <v>1</v>
      </c>
      <c r="I92" s="14" t="n">
        <v>1</v>
      </c>
      <c r="J92" s="14" t="n">
        <v>1</v>
      </c>
      <c r="K92" s="14" t="n">
        <v>1</v>
      </c>
    </row>
    <row r="93" customFormat="false" ht="15" hidden="false" customHeight="false" outlineLevel="0" collapsed="false">
      <c r="A93" s="12" t="str">
        <f aca="false">parametros_recargas!$B$99</f>
        <v>Inutilización y disposición final</v>
      </c>
      <c r="B93" s="14" t="n">
        <v>1</v>
      </c>
      <c r="C93" s="14" t="n">
        <v>1</v>
      </c>
      <c r="D93" s="14" t="n">
        <v>1</v>
      </c>
      <c r="E93" s="14" t="n">
        <v>1</v>
      </c>
      <c r="F93" s="14" t="n">
        <v>1</v>
      </c>
      <c r="G93" s="14" t="n">
        <v>1</v>
      </c>
      <c r="H93" s="14" t="n">
        <v>1</v>
      </c>
      <c r="I93" s="14" t="n">
        <v>1</v>
      </c>
      <c r="J93" s="14" t="n">
        <v>1</v>
      </c>
      <c r="K93" s="14" t="n">
        <v>1</v>
      </c>
    </row>
    <row r="94" customFormat="false" ht="15" hidden="false" customHeight="false" outlineLevel="0" collapsed="false">
      <c r="A94" s="12" t="str">
        <f aca="false">parametros_recargas!$B$100</f>
        <v>PH de mangueras (CO₂ y rodantes)</v>
      </c>
      <c r="B94" s="14" t="n">
        <v>1</v>
      </c>
      <c r="C94" s="14" t="n">
        <v>1</v>
      </c>
      <c r="D94" s="14" t="n">
        <v>1</v>
      </c>
      <c r="E94" s="14" t="n">
        <v>1</v>
      </c>
      <c r="F94" s="14" t="n">
        <v>1</v>
      </c>
      <c r="G94" s="14" t="n">
        <v>1</v>
      </c>
      <c r="H94" s="14" t="n">
        <v>1</v>
      </c>
      <c r="I94" s="14" t="n">
        <v>1</v>
      </c>
      <c r="J94" s="14" t="n">
        <v>1</v>
      </c>
      <c r="K94" s="14" t="n">
        <v>1</v>
      </c>
    </row>
    <row r="95" customFormat="false" ht="15" hidden="false" customHeight="false" outlineLevel="0" collapsed="false">
      <c r="A95" s="6" t="s">
        <v>305</v>
      </c>
      <c r="B95" s="16" t="n">
        <f aca="false">MAX(B66:B94)</f>
        <v>1</v>
      </c>
      <c r="C95" s="16" t="n">
        <f aca="false">MAX(C66:C94)</f>
        <v>1</v>
      </c>
      <c r="D95" s="16" t="n">
        <f aca="false">MAX(D66:D94)</f>
        <v>1</v>
      </c>
      <c r="E95" s="16" t="n">
        <f aca="false">MAX(E66:E94)</f>
        <v>1</v>
      </c>
      <c r="F95" s="16" t="n">
        <f aca="false">MAX(F66:F94)</f>
        <v>1</v>
      </c>
      <c r="G95" s="16" t="n">
        <f aca="false">MAX(G66:G94)</f>
        <v>1</v>
      </c>
      <c r="H95" s="16" t="n">
        <f aca="false">MAX(H66:H94)</f>
        <v>1</v>
      </c>
      <c r="I95" s="16" t="n">
        <f aca="false">MAX(I66:I94)</f>
        <v>1</v>
      </c>
      <c r="J95" s="16" t="n">
        <f aca="false">MAX(J66:J94)</f>
        <v>1</v>
      </c>
      <c r="K95" s="16" t="n">
        <f aca="false">MAX(K66:K94)</f>
        <v>1</v>
      </c>
    </row>
    <row r="97" customFormat="false" ht="15" hidden="false" customHeight="false" outlineLevel="0" collapsed="false">
      <c r="A97" s="3" t="s">
        <v>306</v>
      </c>
      <c r="B97" s="3" t="n">
        <v>2026</v>
      </c>
      <c r="C97" s="3" t="n">
        <v>2027</v>
      </c>
      <c r="D97" s="3" t="n">
        <v>2028</v>
      </c>
      <c r="E97" s="3" t="n">
        <v>2029</v>
      </c>
      <c r="F97" s="3" t="n">
        <v>2030</v>
      </c>
      <c r="G97" s="3" t="n">
        <v>2031</v>
      </c>
      <c r="H97" s="3" t="n">
        <v>2032</v>
      </c>
      <c r="I97" s="3" t="n">
        <v>2033</v>
      </c>
      <c r="J97" s="3" t="n">
        <v>2034</v>
      </c>
      <c r="K97" s="3" t="n">
        <v>2035</v>
      </c>
    </row>
    <row r="98" customFormat="false" ht="15" hidden="false" customHeight="false" outlineLevel="0" collapsed="false">
      <c r="A98" s="12" t="str">
        <f aca="false">parametros_recargas!$B$72</f>
        <v>Recepción y registro</v>
      </c>
      <c r="B98" s="22" t="n">
        <f aca="false">IF(parametros_recargas!$N$72=0,0,ROUNDUP('Demanda por puesto'!$P$2/(parametros_recargas!$N$72*$O$9),0))</f>
        <v>1</v>
      </c>
      <c r="C98" s="22" t="n">
        <f aca="false">IF(parametros_recargas!$N$72=0,0,ROUNDUP('Demanda por puesto'!$P$34/(parametros_recargas!$N$72*$O$9),0))</f>
        <v>1</v>
      </c>
      <c r="D98" s="22" t="n">
        <f aca="false">IF(parametros_recargas!$N$72=0,0,ROUNDUP('Demanda por puesto'!$P$66/(parametros_recargas!$N$72*$O$9),0))</f>
        <v>1</v>
      </c>
      <c r="E98" s="22" t="n">
        <f aca="false">IF(parametros_recargas!$N$72=0,0,ROUNDUP('Demanda por puesto'!$P$98/(parametros_recargas!$N$72*$O$9),0))</f>
        <v>2</v>
      </c>
      <c r="F98" s="22" t="n">
        <f aca="false">IF(parametros_recargas!$N$72=0,0,ROUNDUP('Demanda por puesto'!$P$130/(parametros_recargas!$N$72*$O$9),0))</f>
        <v>2</v>
      </c>
      <c r="G98" s="22" t="n">
        <f aca="false">IF(parametros_recargas!$N$72=0,0,ROUNDUP('Demanda por puesto'!$P$162/(parametros_recargas!$N$72*$O$9),0))</f>
        <v>3</v>
      </c>
      <c r="H98" s="22" t="n">
        <f aca="false">IF(parametros_recargas!$N$72=0,0,ROUNDUP('Demanda por puesto'!$P$194/(parametros_recargas!$N$72*$O$9),0))</f>
        <v>3</v>
      </c>
      <c r="I98" s="22" t="n">
        <f aca="false">IF(parametros_recargas!$N$72=0,0,ROUNDUP('Demanda por puesto'!$P$226/(parametros_recargas!$N$72*$O$9),0))</f>
        <v>4</v>
      </c>
      <c r="J98" s="22" t="n">
        <f aca="false">IF(parametros_recargas!$N$72=0,0,ROUNDUP('Demanda por puesto'!$P$258/(parametros_recargas!$N$72*$O$9),0))</f>
        <v>4</v>
      </c>
      <c r="K98" s="22" t="n">
        <f aca="false">IF(parametros_recargas!$N$72=0,0,ROUNDUP('Demanda por puesto'!$P$290/(parametros_recargas!$N$72*$O$9),0))</f>
        <v>4</v>
      </c>
    </row>
    <row r="99" customFormat="false" ht="15" hidden="false" customHeight="false" outlineLevel="0" collapsed="false">
      <c r="A99" s="12" t="str">
        <f aca="false">parametros_recargas!$B$73</f>
        <v>Inspección visual</v>
      </c>
      <c r="B99" s="22" t="n">
        <f aca="false">IF(parametros_recargas!$N$73=0,0,ROUNDUP('Demanda por puesto'!$P$3/(parametros_recargas!$N$73*$O$9),0))</f>
        <v>1</v>
      </c>
      <c r="C99" s="22" t="n">
        <f aca="false">IF(parametros_recargas!$N$73=0,0,ROUNDUP('Demanda por puesto'!$P$35/(parametros_recargas!$N$73*$O$9),0))</f>
        <v>1</v>
      </c>
      <c r="D99" s="22" t="n">
        <f aca="false">IF(parametros_recargas!$N$73=0,0,ROUNDUP('Demanda por puesto'!$P$67/(parametros_recargas!$N$73*$O$9),0))</f>
        <v>1</v>
      </c>
      <c r="E99" s="22" t="n">
        <f aca="false">IF(parametros_recargas!$N$73=0,0,ROUNDUP('Demanda por puesto'!$P$99/(parametros_recargas!$N$73*$O$9),0))</f>
        <v>2</v>
      </c>
      <c r="F99" s="22" t="n">
        <f aca="false">IF(parametros_recargas!$N$73=0,0,ROUNDUP('Demanda por puesto'!$P$131/(parametros_recargas!$N$73*$O$9),0))</f>
        <v>2</v>
      </c>
      <c r="G99" s="22" t="n">
        <f aca="false">IF(parametros_recargas!$N$73=0,0,ROUNDUP('Demanda por puesto'!$P$163/(parametros_recargas!$N$73*$O$9),0))</f>
        <v>3</v>
      </c>
      <c r="H99" s="22" t="n">
        <f aca="false">IF(parametros_recargas!$N$73=0,0,ROUNDUP('Demanda por puesto'!$P$195/(parametros_recargas!$N$73*$O$9),0))</f>
        <v>4</v>
      </c>
      <c r="I99" s="22" t="n">
        <f aca="false">IF(parametros_recargas!$N$73=0,0,ROUNDUP('Demanda por puesto'!$P$227/(parametros_recargas!$N$73*$O$9),0))</f>
        <v>4</v>
      </c>
      <c r="J99" s="22" t="n">
        <f aca="false">IF(parametros_recargas!$N$73=0,0,ROUNDUP('Demanda por puesto'!$P$259/(parametros_recargas!$N$73*$O$9),0))</f>
        <v>5</v>
      </c>
      <c r="K99" s="22" t="n">
        <f aca="false">IF(parametros_recargas!$N$73=0,0,ROUNDUP('Demanda por puesto'!$P$291/(parametros_recargas!$N$73*$O$9),0))</f>
        <v>5</v>
      </c>
    </row>
    <row r="100" customFormat="false" ht="15" hidden="false" customHeight="false" outlineLevel="0" collapsed="false">
      <c r="A100" s="12" t="str">
        <f aca="false">parametros_recargas!$B$74</f>
        <v>Descarga ABC — ruta recuperable</v>
      </c>
      <c r="B100" s="22" t="n">
        <f aca="false">IF(parametros_recargas!$N$74=0,0,ROUNDUP('Demanda por puesto'!$P$4/(parametros_recargas!$N$74*$O$9),0))</f>
        <v>1</v>
      </c>
      <c r="C100" s="22" t="n">
        <f aca="false">IF(parametros_recargas!$N$74=0,0,ROUNDUP('Demanda por puesto'!$P$36/(parametros_recargas!$N$74*$O$9),0))</f>
        <v>1</v>
      </c>
      <c r="D100" s="22" t="n">
        <f aca="false">IF(parametros_recargas!$N$74=0,0,ROUNDUP('Demanda por puesto'!$P$68/(parametros_recargas!$N$74*$O$9),0))</f>
        <v>1</v>
      </c>
      <c r="E100" s="22" t="n">
        <f aca="false">IF(parametros_recargas!$N$74=0,0,ROUNDUP('Demanda por puesto'!$P$100/(parametros_recargas!$N$74*$O$9),0))</f>
        <v>1</v>
      </c>
      <c r="F100" s="22" t="n">
        <f aca="false">IF(parametros_recargas!$N$74=0,0,ROUNDUP('Demanda por puesto'!$P$132/(parametros_recargas!$N$74*$O$9),0))</f>
        <v>2</v>
      </c>
      <c r="G100" s="22" t="n">
        <f aca="false">IF(parametros_recargas!$N$74=0,0,ROUNDUP('Demanda por puesto'!$P$164/(parametros_recargas!$N$74*$O$9),0))</f>
        <v>2</v>
      </c>
      <c r="H100" s="22" t="n">
        <f aca="false">IF(parametros_recargas!$N$74=0,0,ROUNDUP('Demanda por puesto'!$P$196/(parametros_recargas!$N$74*$O$9),0))</f>
        <v>3</v>
      </c>
      <c r="I100" s="22" t="n">
        <f aca="false">IF(parametros_recargas!$N$74=0,0,ROUNDUP('Demanda por puesto'!$P$228/(parametros_recargas!$N$74*$O$9),0))</f>
        <v>3</v>
      </c>
      <c r="J100" s="22" t="n">
        <f aca="false">IF(parametros_recargas!$N$74=0,0,ROUNDUP('Demanda por puesto'!$P$260/(parametros_recargas!$N$74*$O$9),0))</f>
        <v>4</v>
      </c>
      <c r="K100" s="22" t="n">
        <f aca="false">IF(parametros_recargas!$N$74=0,0,ROUNDUP('Demanda por puesto'!$P$292/(parametros_recargas!$N$74*$O$9),0))</f>
        <v>4</v>
      </c>
    </row>
    <row r="101" customFormat="false" ht="15" hidden="false" customHeight="false" outlineLevel="0" collapsed="false">
      <c r="A101" s="12" t="str">
        <f aca="false">parametros_recargas!$B$75</f>
        <v>Descarga ABC — ruta descarte</v>
      </c>
      <c r="B101" s="22" t="n">
        <f aca="false">IF(parametros_recargas!$N$75=0,0,ROUNDUP('Demanda por puesto'!$P$5/(parametros_recargas!$N$75*$O$9),0))</f>
        <v>1</v>
      </c>
      <c r="C101" s="22" t="n">
        <f aca="false">IF(parametros_recargas!$N$75=0,0,ROUNDUP('Demanda por puesto'!$P$37/(parametros_recargas!$N$75*$O$9),0))</f>
        <v>1</v>
      </c>
      <c r="D101" s="22" t="n">
        <f aca="false">IF(parametros_recargas!$N$75=0,0,ROUNDUP('Demanda por puesto'!$P$69/(parametros_recargas!$N$75*$O$9),0))</f>
        <v>1</v>
      </c>
      <c r="E101" s="22" t="n">
        <f aca="false">IF(parametros_recargas!$N$75=0,0,ROUNDUP('Demanda por puesto'!$P$101/(parametros_recargas!$N$75*$O$9),0))</f>
        <v>1</v>
      </c>
      <c r="F101" s="22" t="n">
        <f aca="false">IF(parametros_recargas!$N$75=0,0,ROUNDUP('Demanda por puesto'!$P$133/(parametros_recargas!$N$75*$O$9),0))</f>
        <v>1</v>
      </c>
      <c r="G101" s="22" t="n">
        <f aca="false">IF(parametros_recargas!$N$75=0,0,ROUNDUP('Demanda por puesto'!$P$165/(parametros_recargas!$N$75*$O$9),0))</f>
        <v>1</v>
      </c>
      <c r="H101" s="22" t="n">
        <f aca="false">IF(parametros_recargas!$N$75=0,0,ROUNDUP('Demanda por puesto'!$P$197/(parametros_recargas!$N$75*$O$9),0))</f>
        <v>1</v>
      </c>
      <c r="I101" s="22" t="n">
        <f aca="false">IF(parametros_recargas!$N$75=0,0,ROUNDUP('Demanda por puesto'!$P$229/(parametros_recargas!$N$75*$O$9),0))</f>
        <v>1</v>
      </c>
      <c r="J101" s="22" t="n">
        <f aca="false">IF(parametros_recargas!$N$75=0,0,ROUNDUP('Demanda por puesto'!$P$261/(parametros_recargas!$N$75*$O$9),0))</f>
        <v>1</v>
      </c>
      <c r="K101" s="22" t="n">
        <f aca="false">IF(parametros_recargas!$N$75=0,0,ROUNDUP('Demanda por puesto'!$P$293/(parametros_recargas!$N$75*$O$9),0))</f>
        <v>1</v>
      </c>
    </row>
    <row r="102" customFormat="false" ht="15" hidden="false" customHeight="false" outlineLevel="0" collapsed="false">
      <c r="A102" s="12" t="str">
        <f aca="false">parametros_recargas!$B$76</f>
        <v>Descarga BC</v>
      </c>
      <c r="B102" s="22" t="n">
        <f aca="false">IF(parametros_recargas!$N$76=0,0,ROUNDUP('Demanda por puesto'!$P$6/(parametros_recargas!$N$76*$O$9),0))</f>
        <v>1</v>
      </c>
      <c r="C102" s="22" t="n">
        <f aca="false">IF(parametros_recargas!$N$76=0,0,ROUNDUP('Demanda por puesto'!$P$38/(parametros_recargas!$N$76*$O$9),0))</f>
        <v>1</v>
      </c>
      <c r="D102" s="22" t="n">
        <f aca="false">IF(parametros_recargas!$N$76=0,0,ROUNDUP('Demanda por puesto'!$P$70/(parametros_recargas!$N$76*$O$9),0))</f>
        <v>1</v>
      </c>
      <c r="E102" s="22" t="n">
        <f aca="false">IF(parametros_recargas!$N$76=0,0,ROUNDUP('Demanda por puesto'!$P$102/(parametros_recargas!$N$76*$O$9),0))</f>
        <v>1</v>
      </c>
      <c r="F102" s="22" t="n">
        <f aca="false">IF(parametros_recargas!$N$76=0,0,ROUNDUP('Demanda por puesto'!$P$134/(parametros_recargas!$N$76*$O$9),0))</f>
        <v>1</v>
      </c>
      <c r="G102" s="22" t="n">
        <f aca="false">IF(parametros_recargas!$N$76=0,0,ROUNDUP('Demanda por puesto'!$P$166/(parametros_recargas!$N$76*$O$9),0))</f>
        <v>1</v>
      </c>
      <c r="H102" s="22" t="n">
        <f aca="false">IF(parametros_recargas!$N$76=0,0,ROUNDUP('Demanda por puesto'!$P$198/(parametros_recargas!$N$76*$O$9),0))</f>
        <v>1</v>
      </c>
      <c r="I102" s="22" t="n">
        <f aca="false">IF(parametros_recargas!$N$76=0,0,ROUNDUP('Demanda por puesto'!$P$230/(parametros_recargas!$N$76*$O$9),0))</f>
        <v>1</v>
      </c>
      <c r="J102" s="22" t="n">
        <f aca="false">IF(parametros_recargas!$N$76=0,0,ROUNDUP('Demanda por puesto'!$P$262/(parametros_recargas!$N$76*$O$9),0))</f>
        <v>1</v>
      </c>
      <c r="K102" s="22" t="n">
        <f aca="false">IF(parametros_recargas!$N$76=0,0,ROUNDUP('Demanda por puesto'!$P$294/(parametros_recargas!$N$76*$O$9),0))</f>
        <v>1</v>
      </c>
    </row>
    <row r="103" customFormat="false" ht="15" hidden="false" customHeight="false" outlineLevel="0" collapsed="false">
      <c r="A103" s="12" t="str">
        <f aca="false">parametros_recargas!$B$77</f>
        <v>Descarga de agua / AFFF / sales K</v>
      </c>
      <c r="B103" s="22" t="n">
        <f aca="false">IF(parametros_recargas!$N$77=0,0,ROUNDUP('Demanda por puesto'!$P$7/(parametros_recargas!$N$77*$O$9),0))</f>
        <v>1</v>
      </c>
      <c r="C103" s="22" t="n">
        <f aca="false">IF(parametros_recargas!$N$77=0,0,ROUNDUP('Demanda por puesto'!$P$39/(parametros_recargas!$N$77*$O$9),0))</f>
        <v>1</v>
      </c>
      <c r="D103" s="22" t="n">
        <f aca="false">IF(parametros_recargas!$N$77=0,0,ROUNDUP('Demanda por puesto'!$P$71/(parametros_recargas!$N$77*$O$9),0))</f>
        <v>1</v>
      </c>
      <c r="E103" s="22" t="n">
        <f aca="false">IF(parametros_recargas!$N$77=0,0,ROUNDUP('Demanda por puesto'!$P$103/(parametros_recargas!$N$77*$O$9),0))</f>
        <v>1</v>
      </c>
      <c r="F103" s="22" t="n">
        <f aca="false">IF(parametros_recargas!$N$77=0,0,ROUNDUP('Demanda por puesto'!$P$135/(parametros_recargas!$N$77*$O$9),0))</f>
        <v>1</v>
      </c>
      <c r="G103" s="22" t="n">
        <f aca="false">IF(parametros_recargas!$N$77=0,0,ROUNDUP('Demanda por puesto'!$P$167/(parametros_recargas!$N$77*$O$9),0))</f>
        <v>1</v>
      </c>
      <c r="H103" s="22" t="n">
        <f aca="false">IF(parametros_recargas!$N$77=0,0,ROUNDUP('Demanda por puesto'!$P$199/(parametros_recargas!$N$77*$O$9),0))</f>
        <v>1</v>
      </c>
      <c r="I103" s="22" t="n">
        <f aca="false">IF(parametros_recargas!$N$77=0,0,ROUNDUP('Demanda por puesto'!$P$231/(parametros_recargas!$N$77*$O$9),0))</f>
        <v>1</v>
      </c>
      <c r="J103" s="22" t="n">
        <f aca="false">IF(parametros_recargas!$N$77=0,0,ROUNDUP('Demanda por puesto'!$P$263/(parametros_recargas!$N$77*$O$9),0))</f>
        <v>1</v>
      </c>
      <c r="K103" s="22" t="n">
        <f aca="false">IF(parametros_recargas!$N$77=0,0,ROUNDUP('Demanda por puesto'!$P$295/(parametros_recargas!$N$77*$O$9),0))</f>
        <v>1</v>
      </c>
    </row>
    <row r="104" customFormat="false" ht="15" hidden="false" customHeight="false" outlineLevel="0" collapsed="false">
      <c r="A104" s="12" t="str">
        <f aca="false">parametros_recargas!$B$78</f>
        <v>Recuperación de CO₂</v>
      </c>
      <c r="B104" s="22" t="n">
        <f aca="false">IF(parametros_recargas!$N$78=0,0,ROUNDUP('Demanda por puesto'!$P$8/(parametros_recargas!$N$78*$O$9),0))</f>
        <v>1</v>
      </c>
      <c r="C104" s="22" t="n">
        <f aca="false">IF(parametros_recargas!$N$78=0,0,ROUNDUP('Demanda por puesto'!$P$40/(parametros_recargas!$N$78*$O$9),0))</f>
        <v>1</v>
      </c>
      <c r="D104" s="22" t="n">
        <f aca="false">IF(parametros_recargas!$N$78=0,0,ROUNDUP('Demanda por puesto'!$P$72/(parametros_recargas!$N$78*$O$9),0))</f>
        <v>1</v>
      </c>
      <c r="E104" s="22" t="n">
        <f aca="false">IF(parametros_recargas!$N$78=0,0,ROUNDUP('Demanda por puesto'!$P$104/(parametros_recargas!$N$78*$O$9),0))</f>
        <v>1</v>
      </c>
      <c r="F104" s="22" t="n">
        <f aca="false">IF(parametros_recargas!$N$78=0,0,ROUNDUP('Demanda por puesto'!$P$136/(parametros_recargas!$N$78*$O$9),0))</f>
        <v>1</v>
      </c>
      <c r="G104" s="22" t="n">
        <f aca="false">IF(parametros_recargas!$N$78=0,0,ROUNDUP('Demanda por puesto'!$P$168/(parametros_recargas!$N$78*$O$9),0))</f>
        <v>1</v>
      </c>
      <c r="H104" s="22" t="n">
        <f aca="false">IF(parametros_recargas!$N$78=0,0,ROUNDUP('Demanda por puesto'!$P$200/(parametros_recargas!$N$78*$O$9),0))</f>
        <v>1</v>
      </c>
      <c r="I104" s="22" t="n">
        <f aca="false">IF(parametros_recargas!$N$78=0,0,ROUNDUP('Demanda por puesto'!$P$232/(parametros_recargas!$N$78*$O$9),0))</f>
        <v>1</v>
      </c>
      <c r="J104" s="22" t="n">
        <f aca="false">IF(parametros_recargas!$N$78=0,0,ROUNDUP('Demanda por puesto'!$P$264/(parametros_recargas!$N$78*$O$9),0))</f>
        <v>1</v>
      </c>
      <c r="K104" s="22" t="n">
        <f aca="false">IF(parametros_recargas!$N$78=0,0,ROUNDUP('Demanda por puesto'!$P$296/(parametros_recargas!$N$78*$O$9),0))</f>
        <v>1</v>
      </c>
    </row>
    <row r="105" customFormat="false" ht="15" hidden="false" customHeight="false" outlineLevel="0" collapsed="false">
      <c r="A105" s="12" t="str">
        <f aca="false">parametros_recargas!$B$79</f>
        <v>Recuperación de halogenado</v>
      </c>
      <c r="B105" s="22" t="n">
        <f aca="false">IF(parametros_recargas!$N$79=0,0,ROUNDUP('Demanda por puesto'!$P$9/(parametros_recargas!$N$79*$O$9),0))</f>
        <v>1</v>
      </c>
      <c r="C105" s="22" t="n">
        <f aca="false">IF(parametros_recargas!$N$79=0,0,ROUNDUP('Demanda por puesto'!$P$41/(parametros_recargas!$N$79*$O$9),0))</f>
        <v>1</v>
      </c>
      <c r="D105" s="22" t="n">
        <f aca="false">IF(parametros_recargas!$N$79=0,0,ROUNDUP('Demanda por puesto'!$P$73/(parametros_recargas!$N$79*$O$9),0))</f>
        <v>1</v>
      </c>
      <c r="E105" s="22" t="n">
        <f aca="false">IF(parametros_recargas!$N$79=0,0,ROUNDUP('Demanda por puesto'!$P$105/(parametros_recargas!$N$79*$O$9),0))</f>
        <v>1</v>
      </c>
      <c r="F105" s="22" t="n">
        <f aca="false">IF(parametros_recargas!$N$79=0,0,ROUNDUP('Demanda por puesto'!$P$137/(parametros_recargas!$N$79*$O$9),0))</f>
        <v>1</v>
      </c>
      <c r="G105" s="22" t="n">
        <f aca="false">IF(parametros_recargas!$N$79=0,0,ROUNDUP('Demanda por puesto'!$P$169/(parametros_recargas!$N$79*$O$9),0))</f>
        <v>1</v>
      </c>
      <c r="H105" s="22" t="n">
        <f aca="false">IF(parametros_recargas!$N$79=0,0,ROUNDUP('Demanda por puesto'!$P$201/(parametros_recargas!$N$79*$O$9),0))</f>
        <v>1</v>
      </c>
      <c r="I105" s="22" t="n">
        <f aca="false">IF(parametros_recargas!$N$79=0,0,ROUNDUP('Demanda por puesto'!$P$233/(parametros_recargas!$N$79*$O$9),0))</f>
        <v>1</v>
      </c>
      <c r="J105" s="22" t="n">
        <f aca="false">IF(parametros_recargas!$N$79=0,0,ROUNDUP('Demanda por puesto'!$P$265/(parametros_recargas!$N$79*$O$9),0))</f>
        <v>1</v>
      </c>
      <c r="K105" s="22" t="n">
        <f aca="false">IF(parametros_recargas!$N$79=0,0,ROUNDUP('Demanda por puesto'!$P$297/(parametros_recargas!$N$79*$O$9),0))</f>
        <v>1</v>
      </c>
    </row>
    <row r="106" customFormat="false" ht="15" hidden="false" customHeight="false" outlineLevel="0" collapsed="false">
      <c r="A106" s="12" t="str">
        <f aca="false">parametros_recargas!$B$80</f>
        <v>Desarme y limpieza — recinto</v>
      </c>
      <c r="B106" s="22" t="n">
        <f aca="false">IF(parametros_recargas!$N$80=0,0,ROUNDUP('Demanda por puesto'!$P$10/(parametros_recargas!$N$80*$O$9),0))</f>
        <v>1</v>
      </c>
      <c r="C106" s="22" t="n">
        <f aca="false">IF(parametros_recargas!$N$80=0,0,ROUNDUP('Demanda por puesto'!$P$42/(parametros_recargas!$N$80*$O$9),0))</f>
        <v>1</v>
      </c>
      <c r="D106" s="22" t="n">
        <f aca="false">IF(parametros_recargas!$N$80=0,0,ROUNDUP('Demanda por puesto'!$P$74/(parametros_recargas!$N$80*$O$9),0))</f>
        <v>1</v>
      </c>
      <c r="E106" s="22" t="n">
        <f aca="false">IF(parametros_recargas!$N$80=0,0,ROUNDUP('Demanda por puesto'!$P$106/(parametros_recargas!$N$80*$O$9),0))</f>
        <v>2</v>
      </c>
      <c r="F106" s="22" t="n">
        <f aca="false">IF(parametros_recargas!$N$80=0,0,ROUNDUP('Demanda por puesto'!$P$138/(parametros_recargas!$N$80*$O$9),0))</f>
        <v>2</v>
      </c>
      <c r="G106" s="22" t="n">
        <f aca="false">IF(parametros_recargas!$N$80=0,0,ROUNDUP('Demanda por puesto'!$P$170/(parametros_recargas!$N$80*$O$9),0))</f>
        <v>3</v>
      </c>
      <c r="H106" s="22" t="n">
        <f aca="false">IF(parametros_recargas!$N$80=0,0,ROUNDUP('Demanda por puesto'!$P$202/(parametros_recargas!$N$80*$O$9),0))</f>
        <v>4</v>
      </c>
      <c r="I106" s="22" t="n">
        <f aca="false">IF(parametros_recargas!$N$80=0,0,ROUNDUP('Demanda por puesto'!$P$234/(parametros_recargas!$N$80*$O$9),0))</f>
        <v>4</v>
      </c>
      <c r="J106" s="22" t="n">
        <f aca="false">IF(parametros_recargas!$N$80=0,0,ROUNDUP('Demanda por puesto'!$P$266/(parametros_recargas!$N$80*$O$9),0))</f>
        <v>5</v>
      </c>
      <c r="K106" s="22" t="n">
        <f aca="false">IF(parametros_recargas!$N$80=0,0,ROUNDUP('Demanda por puesto'!$P$298/(parametros_recargas!$N$80*$O$9),0))</f>
        <v>5</v>
      </c>
    </row>
    <row r="107" customFormat="false" ht="15" hidden="false" customHeight="false" outlineLevel="0" collapsed="false">
      <c r="A107" s="12" t="str">
        <f aca="false">parametros_recargas!$B$81</f>
        <v>Desarme e inspección interior — zona general</v>
      </c>
      <c r="B107" s="22" t="n">
        <f aca="false">IF(parametros_recargas!$N$81=0,0,ROUNDUP('Demanda por puesto'!$P$11/(parametros_recargas!$N$81*$O$9),0))</f>
        <v>1</v>
      </c>
      <c r="C107" s="22" t="n">
        <f aca="false">IF(parametros_recargas!$N$81=0,0,ROUNDUP('Demanda por puesto'!$P$43/(parametros_recargas!$N$81*$O$9),0))</f>
        <v>1</v>
      </c>
      <c r="D107" s="22" t="n">
        <f aca="false">IF(parametros_recargas!$N$81=0,0,ROUNDUP('Demanda por puesto'!$P$75/(parametros_recargas!$N$81*$O$9),0))</f>
        <v>1</v>
      </c>
      <c r="E107" s="22" t="n">
        <f aca="false">IF(parametros_recargas!$N$81=0,0,ROUNDUP('Demanda por puesto'!$P$107/(parametros_recargas!$N$81*$O$9),0))</f>
        <v>1</v>
      </c>
      <c r="F107" s="22" t="n">
        <f aca="false">IF(parametros_recargas!$N$81=0,0,ROUNDUP('Demanda por puesto'!$P$139/(parametros_recargas!$N$81*$O$9),0))</f>
        <v>1</v>
      </c>
      <c r="G107" s="22" t="n">
        <f aca="false">IF(parametros_recargas!$N$81=0,0,ROUNDUP('Demanda por puesto'!$P$171/(parametros_recargas!$N$81*$O$9),0))</f>
        <v>1</v>
      </c>
      <c r="H107" s="22" t="n">
        <f aca="false">IF(parametros_recargas!$N$81=0,0,ROUNDUP('Demanda por puesto'!$P$203/(parametros_recargas!$N$81*$O$9),0))</f>
        <v>1</v>
      </c>
      <c r="I107" s="22" t="n">
        <f aca="false">IF(parametros_recargas!$N$81=0,0,ROUNDUP('Demanda por puesto'!$P$235/(parametros_recargas!$N$81*$O$9),0))</f>
        <v>1</v>
      </c>
      <c r="J107" s="22" t="n">
        <f aca="false">IF(parametros_recargas!$N$81=0,0,ROUNDUP('Demanda por puesto'!$P$267/(parametros_recargas!$N$81*$O$9),0))</f>
        <v>1</v>
      </c>
      <c r="K107" s="22" t="n">
        <f aca="false">IF(parametros_recargas!$N$81=0,0,ROUNDUP('Demanda por puesto'!$P$299/(parametros_recargas!$N$81*$O$9),0))</f>
        <v>1</v>
      </c>
    </row>
    <row r="108" customFormat="false" ht="15" hidden="false" customHeight="false" outlineLevel="0" collapsed="false">
      <c r="A108" s="12" t="str">
        <f aca="false">parametros_recargas!$B$82</f>
        <v>Laboratorio — Puffer y mufla</v>
      </c>
      <c r="B108" s="22" t="n">
        <f aca="false">IF(parametros_recargas!$N$82=0,0,ROUNDUP('Demanda por puesto'!$P$12/(parametros_recargas!$N$82*$O$9),0))</f>
        <v>1</v>
      </c>
      <c r="C108" s="22" t="n">
        <f aca="false">IF(parametros_recargas!$N$82=0,0,ROUNDUP('Demanda por puesto'!$P$44/(parametros_recargas!$N$82*$O$9),0))</f>
        <v>1</v>
      </c>
      <c r="D108" s="22" t="n">
        <f aca="false">IF(parametros_recargas!$N$82=0,0,ROUNDUP('Demanda por puesto'!$P$76/(parametros_recargas!$N$82*$O$9),0))</f>
        <v>1</v>
      </c>
      <c r="E108" s="22" t="n">
        <f aca="false">IF(parametros_recargas!$N$82=0,0,ROUNDUP('Demanda por puesto'!$P$108/(parametros_recargas!$N$82*$O$9),0))</f>
        <v>1</v>
      </c>
      <c r="F108" s="22" t="n">
        <f aca="false">IF(parametros_recargas!$N$82=0,0,ROUNDUP('Demanda por puesto'!$P$140/(parametros_recargas!$N$82*$O$9),0))</f>
        <v>1</v>
      </c>
      <c r="G108" s="22" t="n">
        <f aca="false">IF(parametros_recargas!$N$82=0,0,ROUNDUP('Demanda por puesto'!$P$172/(parametros_recargas!$N$82*$O$9),0))</f>
        <v>1</v>
      </c>
      <c r="H108" s="22" t="n">
        <f aca="false">IF(parametros_recargas!$N$82=0,0,ROUNDUP('Demanda por puesto'!$P$204/(parametros_recargas!$N$82*$O$9),0))</f>
        <v>1</v>
      </c>
      <c r="I108" s="22" t="n">
        <f aca="false">IF(parametros_recargas!$N$82=0,0,ROUNDUP('Demanda por puesto'!$P$236/(parametros_recargas!$N$82*$O$9),0))</f>
        <v>1</v>
      </c>
      <c r="J108" s="22" t="n">
        <f aca="false">IF(parametros_recargas!$N$82=0,0,ROUNDUP('Demanda por puesto'!$P$268/(parametros_recargas!$N$82*$O$9),0))</f>
        <v>1</v>
      </c>
      <c r="K108" s="22" t="n">
        <f aca="false">IF(parametros_recargas!$N$82=0,0,ROUNDUP('Demanda por puesto'!$P$300/(parametros_recargas!$N$82*$O$9),0))</f>
        <v>1</v>
      </c>
    </row>
    <row r="109" customFormat="false" ht="15" hidden="false" customHeight="false" outlineLevel="0" collapsed="false">
      <c r="A109" s="12" t="str">
        <f aca="false">parametros_recargas!$B$83</f>
        <v>Prueba hidráulica</v>
      </c>
      <c r="B109" s="22" t="n">
        <f aca="false">IF(parametros_recargas!$N$83=0,0,ROUNDUP('Demanda por puesto'!$P$13/(parametros_recargas!$N$83*$O$9),0))</f>
        <v>1</v>
      </c>
      <c r="C109" s="22" t="n">
        <f aca="false">IF(parametros_recargas!$N$83=0,0,ROUNDUP('Demanda por puesto'!$P$45/(parametros_recargas!$N$83*$O$9),0))</f>
        <v>1</v>
      </c>
      <c r="D109" s="22" t="n">
        <f aca="false">IF(parametros_recargas!$N$83=0,0,ROUNDUP('Demanda por puesto'!$P$77/(parametros_recargas!$N$83*$O$9),0))</f>
        <v>1</v>
      </c>
      <c r="E109" s="22" t="n">
        <f aca="false">IF(parametros_recargas!$N$83=0,0,ROUNDUP('Demanda por puesto'!$P$109/(parametros_recargas!$N$83*$O$9),0))</f>
        <v>1</v>
      </c>
      <c r="F109" s="22" t="n">
        <f aca="false">IF(parametros_recargas!$N$83=0,0,ROUNDUP('Demanda por puesto'!$P$141/(parametros_recargas!$N$83*$O$9),0))</f>
        <v>2</v>
      </c>
      <c r="G109" s="22" t="n">
        <f aca="false">IF(parametros_recargas!$N$83=0,0,ROUNDUP('Demanda por puesto'!$P$173/(parametros_recargas!$N$83*$O$9),0))</f>
        <v>2</v>
      </c>
      <c r="H109" s="22" t="n">
        <f aca="false">IF(parametros_recargas!$N$83=0,0,ROUNDUP('Demanda por puesto'!$P$205/(parametros_recargas!$N$83*$O$9),0))</f>
        <v>3</v>
      </c>
      <c r="I109" s="22" t="n">
        <f aca="false">IF(parametros_recargas!$N$83=0,0,ROUNDUP('Demanda por puesto'!$P$237/(parametros_recargas!$N$83*$O$9),0))</f>
        <v>3</v>
      </c>
      <c r="J109" s="22" t="n">
        <f aca="false">IF(parametros_recargas!$N$83=0,0,ROUNDUP('Demanda por puesto'!$P$269/(parametros_recargas!$N$83*$O$9),0))</f>
        <v>4</v>
      </c>
      <c r="K109" s="22" t="n">
        <f aca="false">IF(parametros_recargas!$N$83=0,0,ROUNDUP('Demanda por puesto'!$P$301/(parametros_recargas!$N$83*$O$9),0))</f>
        <v>4</v>
      </c>
    </row>
    <row r="110" customFormat="false" ht="15" hidden="false" customHeight="false" outlineLevel="0" collapsed="false">
      <c r="A110" s="12" t="str">
        <f aca="false">parametros_recargas!$B$84</f>
        <v>Secado</v>
      </c>
      <c r="B110" s="22" t="n">
        <f aca="false">IF(parametros_recargas!$N$84=0,0,ROUNDUP('Demanda por puesto'!$P$14/(parametros_recargas!$N$84*$O$9),0))</f>
        <v>1</v>
      </c>
      <c r="C110" s="22" t="n">
        <f aca="false">IF(parametros_recargas!$N$84=0,0,ROUNDUP('Demanda por puesto'!$P$46/(parametros_recargas!$N$84*$O$9),0))</f>
        <v>1</v>
      </c>
      <c r="D110" s="22" t="n">
        <f aca="false">IF(parametros_recargas!$N$84=0,0,ROUNDUP('Demanda por puesto'!$P$78/(parametros_recargas!$N$84*$O$9),0))</f>
        <v>1</v>
      </c>
      <c r="E110" s="22" t="n">
        <f aca="false">IF(parametros_recargas!$N$84=0,0,ROUNDUP('Demanda por puesto'!$P$110/(parametros_recargas!$N$84*$O$9),0))</f>
        <v>1</v>
      </c>
      <c r="F110" s="22" t="n">
        <f aca="false">IF(parametros_recargas!$N$84=0,0,ROUNDUP('Demanda por puesto'!$P$142/(parametros_recargas!$N$84*$O$9),0))</f>
        <v>1</v>
      </c>
      <c r="G110" s="22" t="n">
        <f aca="false">IF(parametros_recargas!$N$84=0,0,ROUNDUP('Demanda por puesto'!$P$174/(parametros_recargas!$N$84*$O$9),0))</f>
        <v>2</v>
      </c>
      <c r="H110" s="22" t="n">
        <f aca="false">IF(parametros_recargas!$N$84=0,0,ROUNDUP('Demanda por puesto'!$P$206/(parametros_recargas!$N$84*$O$9),0))</f>
        <v>2</v>
      </c>
      <c r="I110" s="22" t="n">
        <f aca="false">IF(parametros_recargas!$N$84=0,0,ROUNDUP('Demanda por puesto'!$P$238/(parametros_recargas!$N$84*$O$9),0))</f>
        <v>2</v>
      </c>
      <c r="J110" s="22" t="n">
        <f aca="false">IF(parametros_recargas!$N$84=0,0,ROUNDUP('Demanda por puesto'!$P$270/(parametros_recargas!$N$84*$O$9),0))</f>
        <v>2</v>
      </c>
      <c r="K110" s="22" t="n">
        <f aca="false">IF(parametros_recargas!$N$84=0,0,ROUNDUP('Demanda por puesto'!$P$302/(parametros_recargas!$N$84*$O$9),0))</f>
        <v>2</v>
      </c>
    </row>
    <row r="111" customFormat="false" ht="15" hidden="false" customHeight="false" outlineLevel="0" collapsed="false">
      <c r="A111" s="12" t="str">
        <f aca="false">parametros_recargas!$B$85</f>
        <v>Inspección interior con videoscopio</v>
      </c>
      <c r="B111" s="22" t="n">
        <f aca="false">IF(parametros_recargas!$N$85=0,0,ROUNDUP('Demanda por puesto'!$P$15/(parametros_recargas!$N$85*$O$9),0))</f>
        <v>1</v>
      </c>
      <c r="C111" s="22" t="n">
        <f aca="false">IF(parametros_recargas!$N$85=0,0,ROUNDUP('Demanda por puesto'!$P$47/(parametros_recargas!$N$85*$O$9),0))</f>
        <v>1</v>
      </c>
      <c r="D111" s="22" t="n">
        <f aca="false">IF(parametros_recargas!$N$85=0,0,ROUNDUP('Demanda por puesto'!$P$79/(parametros_recargas!$N$85*$O$9),0))</f>
        <v>1</v>
      </c>
      <c r="E111" s="22" t="n">
        <f aca="false">IF(parametros_recargas!$N$85=0,0,ROUNDUP('Demanda por puesto'!$P$111/(parametros_recargas!$N$85*$O$9),0))</f>
        <v>1</v>
      </c>
      <c r="F111" s="22" t="n">
        <f aca="false">IF(parametros_recargas!$N$85=0,0,ROUNDUP('Demanda por puesto'!$P$143/(parametros_recargas!$N$85*$O$9),0))</f>
        <v>1</v>
      </c>
      <c r="G111" s="22" t="n">
        <f aca="false">IF(parametros_recargas!$N$85=0,0,ROUNDUP('Demanda por puesto'!$P$175/(parametros_recargas!$N$85*$O$9),0))</f>
        <v>1</v>
      </c>
      <c r="H111" s="22" t="n">
        <f aca="false">IF(parametros_recargas!$N$85=0,0,ROUNDUP('Demanda por puesto'!$P$207/(parametros_recargas!$N$85*$O$9),0))</f>
        <v>1</v>
      </c>
      <c r="I111" s="22" t="n">
        <f aca="false">IF(parametros_recargas!$N$85=0,0,ROUNDUP('Demanda por puesto'!$P$239/(parametros_recargas!$N$85*$O$9),0))</f>
        <v>1</v>
      </c>
      <c r="J111" s="22" t="n">
        <f aca="false">IF(parametros_recargas!$N$85=0,0,ROUNDUP('Demanda por puesto'!$P$271/(parametros_recargas!$N$85*$O$9),0))</f>
        <v>1</v>
      </c>
      <c r="K111" s="22" t="n">
        <f aca="false">IF(parametros_recargas!$N$85=0,0,ROUNDUP('Demanda por puesto'!$P$303/(parametros_recargas!$N$85*$O$9),0))</f>
        <v>1</v>
      </c>
    </row>
    <row r="112" customFormat="false" ht="15" hidden="false" customHeight="false" outlineLevel="0" collapsed="false">
      <c r="A112" s="12" t="str">
        <f aca="false">parametros_recargas!$B$86</f>
        <v>Pintura</v>
      </c>
      <c r="B112" s="22" t="n">
        <f aca="false">IF(parametros_recargas!$N$86=0,0,ROUNDUP('Demanda por puesto'!$P$16/(parametros_recargas!$N$86*$O$9),0))</f>
        <v>1</v>
      </c>
      <c r="C112" s="22" t="n">
        <f aca="false">IF(parametros_recargas!$N$86=0,0,ROUNDUP('Demanda por puesto'!$P$48/(parametros_recargas!$N$86*$O$9),0))</f>
        <v>1</v>
      </c>
      <c r="D112" s="22" t="n">
        <f aca="false">IF(parametros_recargas!$N$86=0,0,ROUNDUP('Demanda por puesto'!$P$80/(parametros_recargas!$N$86*$O$9),0))</f>
        <v>1</v>
      </c>
      <c r="E112" s="22" t="n">
        <f aca="false">IF(parametros_recargas!$N$86=0,0,ROUNDUP('Demanda por puesto'!$P$112/(parametros_recargas!$N$86*$O$9),0))</f>
        <v>2</v>
      </c>
      <c r="F112" s="22" t="n">
        <f aca="false">IF(parametros_recargas!$N$86=0,0,ROUNDUP('Demanda por puesto'!$P$144/(parametros_recargas!$N$86*$O$9),0))</f>
        <v>2</v>
      </c>
      <c r="G112" s="22" t="n">
        <f aca="false">IF(parametros_recargas!$N$86=0,0,ROUNDUP('Demanda por puesto'!$P$176/(parametros_recargas!$N$86*$O$9),0))</f>
        <v>3</v>
      </c>
      <c r="H112" s="22" t="n">
        <f aca="false">IF(parametros_recargas!$N$86=0,0,ROUNDUP('Demanda por puesto'!$P$208/(parametros_recargas!$N$86*$O$9),0))</f>
        <v>3</v>
      </c>
      <c r="I112" s="22" t="n">
        <f aca="false">IF(parametros_recargas!$N$86=0,0,ROUNDUP('Demanda por puesto'!$P$240/(parametros_recargas!$N$86*$O$9),0))</f>
        <v>4</v>
      </c>
      <c r="J112" s="22" t="n">
        <f aca="false">IF(parametros_recargas!$N$86=0,0,ROUNDUP('Demanda por puesto'!$P$272/(parametros_recargas!$N$86*$O$9),0))</f>
        <v>4</v>
      </c>
      <c r="K112" s="22" t="n">
        <f aca="false">IF(parametros_recargas!$N$86=0,0,ROUNDUP('Demanda por puesto'!$P$304/(parametros_recargas!$N$86*$O$9),0))</f>
        <v>4</v>
      </c>
    </row>
    <row r="113" customFormat="false" ht="15" hidden="false" customHeight="false" outlineLevel="0" collapsed="false">
      <c r="A113" s="12" t="str">
        <f aca="false">parametros_recargas!$B$87</f>
        <v>Carga de polvo ABC</v>
      </c>
      <c r="B113" s="22" t="n">
        <f aca="false">IF(parametros_recargas!$N$87=0,0,ROUNDUP('Demanda por puesto'!$P$17/(parametros_recargas!$N$87*$O$9),0))</f>
        <v>1</v>
      </c>
      <c r="C113" s="22" t="n">
        <f aca="false">IF(parametros_recargas!$N$87=0,0,ROUNDUP('Demanda por puesto'!$P$49/(parametros_recargas!$N$87*$O$9),0))</f>
        <v>1</v>
      </c>
      <c r="D113" s="22" t="n">
        <f aca="false">IF(parametros_recargas!$N$87=0,0,ROUNDUP('Demanda por puesto'!$P$81/(parametros_recargas!$N$87*$O$9),0))</f>
        <v>1</v>
      </c>
      <c r="E113" s="22" t="n">
        <f aca="false">IF(parametros_recargas!$N$87=0,0,ROUNDUP('Demanda por puesto'!$P$113/(parametros_recargas!$N$87*$O$9),0))</f>
        <v>2</v>
      </c>
      <c r="F113" s="22" t="n">
        <f aca="false">IF(parametros_recargas!$N$87=0,0,ROUNDUP('Demanda por puesto'!$P$145/(parametros_recargas!$N$87*$O$9),0))</f>
        <v>2</v>
      </c>
      <c r="G113" s="22" t="n">
        <f aca="false">IF(parametros_recargas!$N$87=0,0,ROUNDUP('Demanda por puesto'!$P$177/(parametros_recargas!$N$87*$O$9),0))</f>
        <v>3</v>
      </c>
      <c r="H113" s="22" t="n">
        <f aca="false">IF(parametros_recargas!$N$87=0,0,ROUNDUP('Demanda por puesto'!$P$209/(parametros_recargas!$N$87*$O$9),0))</f>
        <v>4</v>
      </c>
      <c r="I113" s="22" t="n">
        <f aca="false">IF(parametros_recargas!$N$87=0,0,ROUNDUP('Demanda por puesto'!$P$241/(parametros_recargas!$N$87*$O$9),0))</f>
        <v>5</v>
      </c>
      <c r="J113" s="22" t="n">
        <f aca="false">IF(parametros_recargas!$N$87=0,0,ROUNDUP('Demanda por puesto'!$P$273/(parametros_recargas!$N$87*$O$9),0))</f>
        <v>5</v>
      </c>
      <c r="K113" s="22" t="n">
        <f aca="false">IF(parametros_recargas!$N$87=0,0,ROUNDUP('Demanda por puesto'!$P$305/(parametros_recargas!$N$87*$O$9),0))</f>
        <v>5</v>
      </c>
    </row>
    <row r="114" customFormat="false" ht="15" hidden="false" customHeight="false" outlineLevel="0" collapsed="false">
      <c r="A114" s="12" t="str">
        <f aca="false">parametros_recargas!$B$88</f>
        <v>Carga de polvo BC</v>
      </c>
      <c r="B114" s="22" t="n">
        <f aca="false">IF(parametros_recargas!$N$88=0,0,ROUNDUP('Demanda por puesto'!$P$18/(parametros_recargas!$N$88*$O$9),0))</f>
        <v>1</v>
      </c>
      <c r="C114" s="22" t="n">
        <f aca="false">IF(parametros_recargas!$N$88=0,0,ROUNDUP('Demanda por puesto'!$P$50/(parametros_recargas!$N$88*$O$9),0))</f>
        <v>1</v>
      </c>
      <c r="D114" s="22" t="n">
        <f aca="false">IF(parametros_recargas!$N$88=0,0,ROUNDUP('Demanda por puesto'!$P$82/(parametros_recargas!$N$88*$O$9),0))</f>
        <v>1</v>
      </c>
      <c r="E114" s="22" t="n">
        <f aca="false">IF(parametros_recargas!$N$88=0,0,ROUNDUP('Demanda por puesto'!$P$114/(parametros_recargas!$N$88*$O$9),0))</f>
        <v>1</v>
      </c>
      <c r="F114" s="22" t="n">
        <f aca="false">IF(parametros_recargas!$N$88=0,0,ROUNDUP('Demanda por puesto'!$P$146/(parametros_recargas!$N$88*$O$9),0))</f>
        <v>1</v>
      </c>
      <c r="G114" s="22" t="n">
        <f aca="false">IF(parametros_recargas!$N$88=0,0,ROUNDUP('Demanda por puesto'!$P$178/(parametros_recargas!$N$88*$O$9),0))</f>
        <v>1</v>
      </c>
      <c r="H114" s="22" t="n">
        <f aca="false">IF(parametros_recargas!$N$88=0,0,ROUNDUP('Demanda por puesto'!$P$210/(parametros_recargas!$N$88*$O$9),0))</f>
        <v>1</v>
      </c>
      <c r="I114" s="22" t="n">
        <f aca="false">IF(parametros_recargas!$N$88=0,0,ROUNDUP('Demanda por puesto'!$P$242/(parametros_recargas!$N$88*$O$9),0))</f>
        <v>1</v>
      </c>
      <c r="J114" s="22" t="n">
        <f aca="false">IF(parametros_recargas!$N$88=0,0,ROUNDUP('Demanda por puesto'!$P$274/(parametros_recargas!$N$88*$O$9),0))</f>
        <v>1</v>
      </c>
      <c r="K114" s="22" t="n">
        <f aca="false">IF(parametros_recargas!$N$88=0,0,ROUNDUP('Demanda por puesto'!$P$306/(parametros_recargas!$N$88*$O$9),0))</f>
        <v>1</v>
      </c>
    </row>
    <row r="115" customFormat="false" ht="15" hidden="false" customHeight="false" outlineLevel="0" collapsed="false">
      <c r="A115" s="12" t="str">
        <f aca="false">parametros_recargas!$B$89</f>
        <v>Descarga y carga Clase D</v>
      </c>
      <c r="B115" s="22" t="n">
        <f aca="false">IF(parametros_recargas!$N$89=0,0,ROUNDUP('Demanda por puesto'!$P$19/(parametros_recargas!$N$89*$O$9),0))</f>
        <v>1</v>
      </c>
      <c r="C115" s="22" t="n">
        <f aca="false">IF(parametros_recargas!$N$89=0,0,ROUNDUP('Demanda por puesto'!$P$51/(parametros_recargas!$N$89*$O$9),0))</f>
        <v>1</v>
      </c>
      <c r="D115" s="22" t="n">
        <f aca="false">IF(parametros_recargas!$N$89=0,0,ROUNDUP('Demanda por puesto'!$P$83/(parametros_recargas!$N$89*$O$9),0))</f>
        <v>1</v>
      </c>
      <c r="E115" s="22" t="n">
        <f aca="false">IF(parametros_recargas!$N$89=0,0,ROUNDUP('Demanda por puesto'!$P$115/(parametros_recargas!$N$89*$O$9),0))</f>
        <v>1</v>
      </c>
      <c r="F115" s="22" t="n">
        <f aca="false">IF(parametros_recargas!$N$89=0,0,ROUNDUP('Demanda por puesto'!$P$147/(parametros_recargas!$N$89*$O$9),0))</f>
        <v>1</v>
      </c>
      <c r="G115" s="22" t="n">
        <f aca="false">IF(parametros_recargas!$N$89=0,0,ROUNDUP('Demanda por puesto'!$P$179/(parametros_recargas!$N$89*$O$9),0))</f>
        <v>1</v>
      </c>
      <c r="H115" s="22" t="n">
        <f aca="false">IF(parametros_recargas!$N$89=0,0,ROUNDUP('Demanda por puesto'!$P$211/(parametros_recargas!$N$89*$O$9),0))</f>
        <v>1</v>
      </c>
      <c r="I115" s="22" t="n">
        <f aca="false">IF(parametros_recargas!$N$89=0,0,ROUNDUP('Demanda por puesto'!$P$243/(parametros_recargas!$N$89*$O$9),0))</f>
        <v>1</v>
      </c>
      <c r="J115" s="22" t="n">
        <f aca="false">IF(parametros_recargas!$N$89=0,0,ROUNDUP('Demanda por puesto'!$P$275/(parametros_recargas!$N$89*$O$9),0))</f>
        <v>1</v>
      </c>
      <c r="K115" s="22" t="n">
        <f aca="false">IF(parametros_recargas!$N$89=0,0,ROUNDUP('Demanda por puesto'!$P$307/(parametros_recargas!$N$89*$O$9),0))</f>
        <v>1</v>
      </c>
    </row>
    <row r="116" customFormat="false" ht="15" hidden="false" customHeight="false" outlineLevel="0" collapsed="false">
      <c r="A116" s="12" t="str">
        <f aca="false">parametros_recargas!$B$90</f>
        <v>Carga de agua / AFFF / sales K</v>
      </c>
      <c r="B116" s="22" t="n">
        <f aca="false">IF(parametros_recargas!$N$90=0,0,ROUNDUP('Demanda por puesto'!$P$20/(parametros_recargas!$N$90*$O$9),0))</f>
        <v>1</v>
      </c>
      <c r="C116" s="22" t="n">
        <f aca="false">IF(parametros_recargas!$N$90=0,0,ROUNDUP('Demanda por puesto'!$P$52/(parametros_recargas!$N$90*$O$9),0))</f>
        <v>1</v>
      </c>
      <c r="D116" s="22" t="n">
        <f aca="false">IF(parametros_recargas!$N$90=0,0,ROUNDUP('Demanda por puesto'!$P$84/(parametros_recargas!$N$90*$O$9),0))</f>
        <v>1</v>
      </c>
      <c r="E116" s="22" t="n">
        <f aca="false">IF(parametros_recargas!$N$90=0,0,ROUNDUP('Demanda por puesto'!$P$116/(parametros_recargas!$N$90*$O$9),0))</f>
        <v>1</v>
      </c>
      <c r="F116" s="22" t="n">
        <f aca="false">IF(parametros_recargas!$N$90=0,0,ROUNDUP('Demanda por puesto'!$P$148/(parametros_recargas!$N$90*$O$9),0))</f>
        <v>1</v>
      </c>
      <c r="G116" s="22" t="n">
        <f aca="false">IF(parametros_recargas!$N$90=0,0,ROUNDUP('Demanda por puesto'!$P$180/(parametros_recargas!$N$90*$O$9),0))</f>
        <v>1</v>
      </c>
      <c r="H116" s="22" t="n">
        <f aca="false">IF(parametros_recargas!$N$90=0,0,ROUNDUP('Demanda por puesto'!$P$212/(parametros_recargas!$N$90*$O$9),0))</f>
        <v>1</v>
      </c>
      <c r="I116" s="22" t="n">
        <f aca="false">IF(parametros_recargas!$N$90=0,0,ROUNDUP('Demanda por puesto'!$P$244/(parametros_recargas!$N$90*$O$9),0))</f>
        <v>1</v>
      </c>
      <c r="J116" s="22" t="n">
        <f aca="false">IF(parametros_recargas!$N$90=0,0,ROUNDUP('Demanda por puesto'!$P$276/(parametros_recargas!$N$90*$O$9),0))</f>
        <v>1</v>
      </c>
      <c r="K116" s="22" t="n">
        <f aca="false">IF(parametros_recargas!$N$90=0,0,ROUNDUP('Demanda por puesto'!$P$308/(parametros_recargas!$N$90*$O$9),0))</f>
        <v>1</v>
      </c>
    </row>
    <row r="117" customFormat="false" ht="15" hidden="false" customHeight="false" outlineLevel="0" collapsed="false">
      <c r="A117" s="12" t="str">
        <f aca="false">parametros_recargas!$B$91</f>
        <v>Carga de CO₂</v>
      </c>
      <c r="B117" s="22" t="n">
        <f aca="false">IF(parametros_recargas!$N$91=0,0,ROUNDUP('Demanda por puesto'!$P$21/(parametros_recargas!$N$91*$O$9),0))</f>
        <v>1</v>
      </c>
      <c r="C117" s="22" t="n">
        <f aca="false">IF(parametros_recargas!$N$91=0,0,ROUNDUP('Demanda por puesto'!$P$53/(parametros_recargas!$N$91*$O$9),0))</f>
        <v>1</v>
      </c>
      <c r="D117" s="22" t="n">
        <f aca="false">IF(parametros_recargas!$N$91=0,0,ROUNDUP('Demanda por puesto'!$P$85/(parametros_recargas!$N$91*$O$9),0))</f>
        <v>1</v>
      </c>
      <c r="E117" s="22" t="n">
        <f aca="false">IF(parametros_recargas!$N$91=0,0,ROUNDUP('Demanda por puesto'!$P$117/(parametros_recargas!$N$91*$O$9),0))</f>
        <v>1</v>
      </c>
      <c r="F117" s="22" t="n">
        <f aca="false">IF(parametros_recargas!$N$91=0,0,ROUNDUP('Demanda por puesto'!$P$149/(parametros_recargas!$N$91*$O$9),0))</f>
        <v>1</v>
      </c>
      <c r="G117" s="22" t="n">
        <f aca="false">IF(parametros_recargas!$N$91=0,0,ROUNDUP('Demanda por puesto'!$P$181/(parametros_recargas!$N$91*$O$9),0))</f>
        <v>1</v>
      </c>
      <c r="H117" s="22" t="n">
        <f aca="false">IF(parametros_recargas!$N$91=0,0,ROUNDUP('Demanda por puesto'!$P$213/(parametros_recargas!$N$91*$O$9),0))</f>
        <v>1</v>
      </c>
      <c r="I117" s="22" t="n">
        <f aca="false">IF(parametros_recargas!$N$91=0,0,ROUNDUP('Demanda por puesto'!$P$245/(parametros_recargas!$N$91*$O$9),0))</f>
        <v>1</v>
      </c>
      <c r="J117" s="22" t="n">
        <f aca="false">IF(parametros_recargas!$N$91=0,0,ROUNDUP('Demanda por puesto'!$P$277/(parametros_recargas!$N$91*$O$9),0))</f>
        <v>1</v>
      </c>
      <c r="K117" s="22" t="n">
        <f aca="false">IF(parametros_recargas!$N$91=0,0,ROUNDUP('Demanda por puesto'!$P$309/(parametros_recargas!$N$91*$O$9),0))</f>
        <v>1</v>
      </c>
    </row>
    <row r="118" customFormat="false" ht="15" hidden="false" customHeight="false" outlineLevel="0" collapsed="false">
      <c r="A118" s="12" t="str">
        <f aca="false">parametros_recargas!$B$92</f>
        <v>Ensamblaje y marbete — recinto</v>
      </c>
      <c r="B118" s="22" t="n">
        <f aca="false">IF(parametros_recargas!$N$92=0,0,ROUNDUP('Demanda por puesto'!$P$22/(parametros_recargas!$N$92*$O$9),0))</f>
        <v>1</v>
      </c>
      <c r="C118" s="22" t="n">
        <f aca="false">IF(parametros_recargas!$N$92=0,0,ROUNDUP('Demanda por puesto'!$P$54/(parametros_recargas!$N$92*$O$9),0))</f>
        <v>1</v>
      </c>
      <c r="D118" s="22" t="n">
        <f aca="false">IF(parametros_recargas!$N$92=0,0,ROUNDUP('Demanda por puesto'!$P$86/(parametros_recargas!$N$92*$O$9),0))</f>
        <v>1</v>
      </c>
      <c r="E118" s="22" t="n">
        <f aca="false">IF(parametros_recargas!$N$92=0,0,ROUNDUP('Demanda por puesto'!$P$118/(parametros_recargas!$N$92*$O$9),0))</f>
        <v>2</v>
      </c>
      <c r="F118" s="22" t="n">
        <f aca="false">IF(parametros_recargas!$N$92=0,0,ROUNDUP('Demanda por puesto'!$P$150/(parametros_recargas!$N$92*$O$9),0))</f>
        <v>3</v>
      </c>
      <c r="G118" s="22" t="n">
        <f aca="false">IF(parametros_recargas!$N$92=0,0,ROUNDUP('Demanda por puesto'!$P$182/(parametros_recargas!$N$92*$O$9),0))</f>
        <v>4</v>
      </c>
      <c r="H118" s="22" t="n">
        <f aca="false">IF(parametros_recargas!$N$92=0,0,ROUNDUP('Demanda por puesto'!$P$214/(parametros_recargas!$N$92*$O$9),0))</f>
        <v>4</v>
      </c>
      <c r="I118" s="22" t="n">
        <f aca="false">IF(parametros_recargas!$N$92=0,0,ROUNDUP('Demanda por puesto'!$P$246/(parametros_recargas!$N$92*$O$9),0))</f>
        <v>5</v>
      </c>
      <c r="J118" s="22" t="n">
        <f aca="false">IF(parametros_recargas!$N$92=0,0,ROUNDUP('Demanda por puesto'!$P$278/(parametros_recargas!$N$92*$O$9),0))</f>
        <v>6</v>
      </c>
      <c r="K118" s="22" t="n">
        <f aca="false">IF(parametros_recargas!$N$92=0,0,ROUNDUP('Demanda por puesto'!$P$310/(parametros_recargas!$N$92*$O$9),0))</f>
        <v>6</v>
      </c>
    </row>
    <row r="119" customFormat="false" ht="15" hidden="false" customHeight="false" outlineLevel="0" collapsed="false">
      <c r="A119" s="12" t="str">
        <f aca="false">parametros_recargas!$B$93</f>
        <v>Presurización — recinto</v>
      </c>
      <c r="B119" s="22" t="n">
        <f aca="false">IF(parametros_recargas!$N$93=0,0,ROUNDUP('Demanda por puesto'!$P$23/(parametros_recargas!$N$93*$O$9),0))</f>
        <v>1</v>
      </c>
      <c r="C119" s="22" t="n">
        <f aca="false">IF(parametros_recargas!$N$93=0,0,ROUNDUP('Demanda por puesto'!$P$55/(parametros_recargas!$N$93*$O$9),0))</f>
        <v>1</v>
      </c>
      <c r="D119" s="22" t="n">
        <f aca="false">IF(parametros_recargas!$N$93=0,0,ROUNDUP('Demanda por puesto'!$P$87/(parametros_recargas!$N$93*$O$9),0))</f>
        <v>1</v>
      </c>
      <c r="E119" s="22" t="n">
        <f aca="false">IF(parametros_recargas!$N$93=0,0,ROUNDUP('Demanda por puesto'!$P$119/(parametros_recargas!$N$93*$O$9),0))</f>
        <v>1</v>
      </c>
      <c r="F119" s="22" t="n">
        <f aca="false">IF(parametros_recargas!$N$93=0,0,ROUNDUP('Demanda por puesto'!$P$151/(parametros_recargas!$N$93*$O$9),0))</f>
        <v>2</v>
      </c>
      <c r="G119" s="22" t="n">
        <f aca="false">IF(parametros_recargas!$N$93=0,0,ROUNDUP('Demanda por puesto'!$P$183/(parametros_recargas!$N$93*$O$9),0))</f>
        <v>2</v>
      </c>
      <c r="H119" s="22" t="n">
        <f aca="false">IF(parametros_recargas!$N$93=0,0,ROUNDUP('Demanda por puesto'!$P$215/(parametros_recargas!$N$93*$O$9),0))</f>
        <v>3</v>
      </c>
      <c r="I119" s="22" t="n">
        <f aca="false">IF(parametros_recargas!$N$93=0,0,ROUNDUP('Demanda por puesto'!$P$247/(parametros_recargas!$N$93*$O$9),0))</f>
        <v>3</v>
      </c>
      <c r="J119" s="22" t="n">
        <f aca="false">IF(parametros_recargas!$N$93=0,0,ROUNDUP('Demanda por puesto'!$P$279/(parametros_recargas!$N$93*$O$9),0))</f>
        <v>4</v>
      </c>
      <c r="K119" s="22" t="n">
        <f aca="false">IF(parametros_recargas!$N$93=0,0,ROUNDUP('Demanda por puesto'!$P$311/(parametros_recargas!$N$93*$O$9),0))</f>
        <v>4</v>
      </c>
    </row>
    <row r="120" customFormat="false" ht="15" hidden="false" customHeight="false" outlineLevel="0" collapsed="false">
      <c r="A120" s="12" t="str">
        <f aca="false">parametros_recargas!$B$94</f>
        <v>Ensamblaje y presurización — zona general</v>
      </c>
      <c r="B120" s="22" t="n">
        <f aca="false">IF(parametros_recargas!$N$94=0,0,ROUNDUP('Demanda por puesto'!$P$24/(parametros_recargas!$N$94*$O$9),0))</f>
        <v>1</v>
      </c>
      <c r="C120" s="22" t="n">
        <f aca="false">IF(parametros_recargas!$N$94=0,0,ROUNDUP('Demanda por puesto'!$P$56/(parametros_recargas!$N$94*$O$9),0))</f>
        <v>1</v>
      </c>
      <c r="D120" s="22" t="n">
        <f aca="false">IF(parametros_recargas!$N$94=0,0,ROUNDUP('Demanda por puesto'!$P$88/(parametros_recargas!$N$94*$O$9),0))</f>
        <v>1</v>
      </c>
      <c r="E120" s="22" t="n">
        <f aca="false">IF(parametros_recargas!$N$94=0,0,ROUNDUP('Demanda por puesto'!$P$120/(parametros_recargas!$N$94*$O$9),0))</f>
        <v>1</v>
      </c>
      <c r="F120" s="22" t="n">
        <f aca="false">IF(parametros_recargas!$N$94=0,0,ROUNDUP('Demanda por puesto'!$P$152/(parametros_recargas!$N$94*$O$9),0))</f>
        <v>1</v>
      </c>
      <c r="G120" s="22" t="n">
        <f aca="false">IF(parametros_recargas!$N$94=0,0,ROUNDUP('Demanda por puesto'!$P$184/(parametros_recargas!$N$94*$O$9),0))</f>
        <v>1</v>
      </c>
      <c r="H120" s="22" t="n">
        <f aca="false">IF(parametros_recargas!$N$94=0,0,ROUNDUP('Demanda por puesto'!$P$216/(parametros_recargas!$N$94*$O$9),0))</f>
        <v>1</v>
      </c>
      <c r="I120" s="22" t="n">
        <f aca="false">IF(parametros_recargas!$N$94=0,0,ROUNDUP('Demanda por puesto'!$P$248/(parametros_recargas!$N$94*$O$9),0))</f>
        <v>1</v>
      </c>
      <c r="J120" s="22" t="n">
        <f aca="false">IF(parametros_recargas!$N$94=0,0,ROUNDUP('Demanda por puesto'!$P$280/(parametros_recargas!$N$94*$O$9),0))</f>
        <v>1</v>
      </c>
      <c r="K120" s="22" t="n">
        <f aca="false">IF(parametros_recargas!$N$94=0,0,ROUNDUP('Demanda por puesto'!$P$312/(parametros_recargas!$N$94*$O$9),0))</f>
        <v>1</v>
      </c>
    </row>
    <row r="121" customFormat="false" ht="15" hidden="false" customHeight="false" outlineLevel="0" collapsed="false">
      <c r="A121" s="12" t="str">
        <f aca="false">parametros_recargas!$B$95</f>
        <v>Carga y presurización de halogenado</v>
      </c>
      <c r="B121" s="22" t="n">
        <f aca="false">IF(parametros_recargas!$N$95=0,0,ROUNDUP('Demanda por puesto'!$P$25/(parametros_recargas!$N$95*$O$9),0))</f>
        <v>1</v>
      </c>
      <c r="C121" s="22" t="n">
        <f aca="false">IF(parametros_recargas!$N$95=0,0,ROUNDUP('Demanda por puesto'!$P$57/(parametros_recargas!$N$95*$O$9),0))</f>
        <v>1</v>
      </c>
      <c r="D121" s="22" t="n">
        <f aca="false">IF(parametros_recargas!$N$95=0,0,ROUNDUP('Demanda por puesto'!$P$89/(parametros_recargas!$N$95*$O$9),0))</f>
        <v>1</v>
      </c>
      <c r="E121" s="22" t="n">
        <f aca="false">IF(parametros_recargas!$N$95=0,0,ROUNDUP('Demanda por puesto'!$P$121/(parametros_recargas!$N$95*$O$9),0))</f>
        <v>1</v>
      </c>
      <c r="F121" s="22" t="n">
        <f aca="false">IF(parametros_recargas!$N$95=0,0,ROUNDUP('Demanda por puesto'!$P$153/(parametros_recargas!$N$95*$O$9),0))</f>
        <v>1</v>
      </c>
      <c r="G121" s="22" t="n">
        <f aca="false">IF(parametros_recargas!$N$95=0,0,ROUNDUP('Demanda por puesto'!$P$185/(parametros_recargas!$N$95*$O$9),0))</f>
        <v>1</v>
      </c>
      <c r="H121" s="22" t="n">
        <f aca="false">IF(parametros_recargas!$N$95=0,0,ROUNDUP('Demanda por puesto'!$P$217/(parametros_recargas!$N$95*$O$9),0))</f>
        <v>1</v>
      </c>
      <c r="I121" s="22" t="n">
        <f aca="false">IF(parametros_recargas!$N$95=0,0,ROUNDUP('Demanda por puesto'!$P$249/(parametros_recargas!$N$95*$O$9),0))</f>
        <v>1</v>
      </c>
      <c r="J121" s="22" t="n">
        <f aca="false">IF(parametros_recargas!$N$95=0,0,ROUNDUP('Demanda por puesto'!$P$281/(parametros_recargas!$N$95*$O$9),0))</f>
        <v>1</v>
      </c>
      <c r="K121" s="22" t="n">
        <f aca="false">IF(parametros_recargas!$N$95=0,0,ROUNDUP('Demanda por puesto'!$P$313/(parametros_recargas!$N$95*$O$9),0))</f>
        <v>1</v>
      </c>
    </row>
    <row r="122" customFormat="false" ht="15" hidden="false" customHeight="false" outlineLevel="0" collapsed="false">
      <c r="A122" s="12" t="str">
        <f aca="false">parametros_recargas!$B$96</f>
        <v>Control de peso (CO₂ y halogenados sin recarga)</v>
      </c>
      <c r="B122" s="22" t="n">
        <f aca="false">IF(parametros_recargas!$N$96=0,0,ROUNDUP('Demanda por puesto'!$P$26/(parametros_recargas!$N$96*$O$9),0))</f>
        <v>1</v>
      </c>
      <c r="C122" s="22" t="n">
        <f aca="false">IF(parametros_recargas!$N$96=0,0,ROUNDUP('Demanda por puesto'!$P$58/(parametros_recargas!$N$96*$O$9),0))</f>
        <v>1</v>
      </c>
      <c r="D122" s="22" t="n">
        <f aca="false">IF(parametros_recargas!$N$96=0,0,ROUNDUP('Demanda por puesto'!$P$90/(parametros_recargas!$N$96*$O$9),0))</f>
        <v>1</v>
      </c>
      <c r="E122" s="22" t="n">
        <f aca="false">IF(parametros_recargas!$N$96=0,0,ROUNDUP('Demanda por puesto'!$P$122/(parametros_recargas!$N$96*$O$9),0))</f>
        <v>1</v>
      </c>
      <c r="F122" s="22" t="n">
        <f aca="false">IF(parametros_recargas!$N$96=0,0,ROUNDUP('Demanda por puesto'!$P$154/(parametros_recargas!$N$96*$O$9),0))</f>
        <v>1</v>
      </c>
      <c r="G122" s="22" t="n">
        <f aca="false">IF(parametros_recargas!$N$96=0,0,ROUNDUP('Demanda por puesto'!$P$186/(parametros_recargas!$N$96*$O$9),0))</f>
        <v>1</v>
      </c>
      <c r="H122" s="22" t="n">
        <f aca="false">IF(parametros_recargas!$N$96=0,0,ROUNDUP('Demanda por puesto'!$P$218/(parametros_recargas!$N$96*$O$9),0))</f>
        <v>1</v>
      </c>
      <c r="I122" s="22" t="n">
        <f aca="false">IF(parametros_recargas!$N$96=0,0,ROUNDUP('Demanda por puesto'!$P$250/(parametros_recargas!$N$96*$O$9),0))</f>
        <v>1</v>
      </c>
      <c r="J122" s="22" t="n">
        <f aca="false">IF(parametros_recargas!$N$96=0,0,ROUNDUP('Demanda por puesto'!$P$282/(parametros_recargas!$N$96*$O$9),0))</f>
        <v>1</v>
      </c>
      <c r="K122" s="22" t="n">
        <f aca="false">IF(parametros_recargas!$N$96=0,0,ROUNDUP('Demanda por puesto'!$P$314/(parametros_recargas!$N$96*$O$9),0))</f>
        <v>1</v>
      </c>
    </row>
    <row r="123" customFormat="false" ht="15" hidden="false" customHeight="false" outlineLevel="0" collapsed="false">
      <c r="A123" s="12" t="str">
        <f aca="false">parametros_recargas!$B$97</f>
        <v>Ensayo de pérdidas</v>
      </c>
      <c r="B123" s="22" t="n">
        <f aca="false">IF(parametros_recargas!$N$97=0,0,ROUNDUP('Demanda por puesto'!$P$27/(parametros_recargas!$N$97*$O$9),0))</f>
        <v>1</v>
      </c>
      <c r="C123" s="22" t="n">
        <f aca="false">IF(parametros_recargas!$N$97=0,0,ROUNDUP('Demanda por puesto'!$P$59/(parametros_recargas!$N$97*$O$9),0))</f>
        <v>1</v>
      </c>
      <c r="D123" s="22" t="n">
        <f aca="false">IF(parametros_recargas!$N$97=0,0,ROUNDUP('Demanda por puesto'!$P$91/(parametros_recargas!$N$97*$O$9),0))</f>
        <v>1</v>
      </c>
      <c r="E123" s="22" t="n">
        <f aca="false">IF(parametros_recargas!$N$97=0,0,ROUNDUP('Demanda por puesto'!$P$123/(parametros_recargas!$N$97*$O$9),0))</f>
        <v>2</v>
      </c>
      <c r="F123" s="22" t="n">
        <f aca="false">IF(parametros_recargas!$N$97=0,0,ROUNDUP('Demanda por puesto'!$P$155/(parametros_recargas!$N$97*$O$9),0))</f>
        <v>2</v>
      </c>
      <c r="G123" s="22" t="n">
        <f aca="false">IF(parametros_recargas!$N$97=0,0,ROUNDUP('Demanda por puesto'!$P$187/(parametros_recargas!$N$97*$O$9),0))</f>
        <v>3</v>
      </c>
      <c r="H123" s="22" t="n">
        <f aca="false">IF(parametros_recargas!$N$97=0,0,ROUNDUP('Demanda por puesto'!$P$219/(parametros_recargas!$N$97*$O$9),0))</f>
        <v>4</v>
      </c>
      <c r="I123" s="22" t="n">
        <f aca="false">IF(parametros_recargas!$N$97=0,0,ROUNDUP('Demanda por puesto'!$P$251/(parametros_recargas!$N$97*$O$9),0))</f>
        <v>4</v>
      </c>
      <c r="J123" s="22" t="n">
        <f aca="false">IF(parametros_recargas!$N$97=0,0,ROUNDUP('Demanda por puesto'!$P$283/(parametros_recargas!$N$97*$O$9),0))</f>
        <v>4</v>
      </c>
      <c r="K123" s="22" t="n">
        <f aca="false">IF(parametros_recargas!$N$97=0,0,ROUNDUP('Demanda por puesto'!$P$315/(parametros_recargas!$N$97*$O$9),0))</f>
        <v>5</v>
      </c>
    </row>
    <row r="124" customFormat="false" ht="15" hidden="false" customHeight="false" outlineLevel="0" collapsed="false">
      <c r="A124" s="12" t="str">
        <f aca="false">parametros_recargas!$B$98</f>
        <v>Precinto, etiqueta y despacho</v>
      </c>
      <c r="B124" s="22" t="n">
        <f aca="false">IF(parametros_recargas!$N$98=0,0,ROUNDUP('Demanda por puesto'!$P$28/(parametros_recargas!$N$98*$O$9),0))</f>
        <v>1</v>
      </c>
      <c r="C124" s="22" t="n">
        <f aca="false">IF(parametros_recargas!$N$98=0,0,ROUNDUP('Demanda por puesto'!$P$60/(parametros_recargas!$N$98*$O$9),0))</f>
        <v>1</v>
      </c>
      <c r="D124" s="22" t="n">
        <f aca="false">IF(parametros_recargas!$N$98=0,0,ROUNDUP('Demanda por puesto'!$P$92/(parametros_recargas!$N$98*$O$9),0))</f>
        <v>1</v>
      </c>
      <c r="E124" s="22" t="n">
        <f aca="false">IF(parametros_recargas!$N$98=0,0,ROUNDUP('Demanda por puesto'!$P$124/(parametros_recargas!$N$98*$O$9),0))</f>
        <v>2</v>
      </c>
      <c r="F124" s="22" t="n">
        <f aca="false">IF(parametros_recargas!$N$98=0,0,ROUNDUP('Demanda por puesto'!$P$156/(parametros_recargas!$N$98*$O$9),0))</f>
        <v>2</v>
      </c>
      <c r="G124" s="22" t="n">
        <f aca="false">IF(parametros_recargas!$N$98=0,0,ROUNDUP('Demanda por puesto'!$P$188/(parametros_recargas!$N$98*$O$9),0))</f>
        <v>3</v>
      </c>
      <c r="H124" s="22" t="n">
        <f aca="false">IF(parametros_recargas!$N$98=0,0,ROUNDUP('Demanda por puesto'!$P$220/(parametros_recargas!$N$98*$O$9),0))</f>
        <v>4</v>
      </c>
      <c r="I124" s="22" t="n">
        <f aca="false">IF(parametros_recargas!$N$98=0,0,ROUNDUP('Demanda por puesto'!$P$252/(parametros_recargas!$N$98*$O$9),0))</f>
        <v>4</v>
      </c>
      <c r="J124" s="22" t="n">
        <f aca="false">IF(parametros_recargas!$N$98=0,0,ROUNDUP('Demanda por puesto'!$P$284/(parametros_recargas!$N$98*$O$9),0))</f>
        <v>5</v>
      </c>
      <c r="K124" s="22" t="n">
        <f aca="false">IF(parametros_recargas!$N$98=0,0,ROUNDUP('Demanda por puesto'!$P$316/(parametros_recargas!$N$98*$O$9),0))</f>
        <v>5</v>
      </c>
    </row>
    <row r="125" customFormat="false" ht="15" hidden="false" customHeight="false" outlineLevel="0" collapsed="false">
      <c r="A125" s="12" t="str">
        <f aca="false">parametros_recargas!$B$99</f>
        <v>Inutilización y disposición final</v>
      </c>
      <c r="B125" s="22" t="n">
        <f aca="false">IF(parametros_recargas!$N$99=0,0,ROUNDUP('Demanda por puesto'!$P$29/(parametros_recargas!$N$99*$O$9),0))</f>
        <v>1</v>
      </c>
      <c r="C125" s="22" t="n">
        <f aca="false">IF(parametros_recargas!$N$99=0,0,ROUNDUP('Demanda por puesto'!$P$61/(parametros_recargas!$N$99*$O$9),0))</f>
        <v>1</v>
      </c>
      <c r="D125" s="22" t="n">
        <f aca="false">IF(parametros_recargas!$N$99=0,0,ROUNDUP('Demanda por puesto'!$P$93/(parametros_recargas!$N$99*$O$9),0))</f>
        <v>1</v>
      </c>
      <c r="E125" s="22" t="n">
        <f aca="false">IF(parametros_recargas!$N$99=0,0,ROUNDUP('Demanda por puesto'!$P$125/(parametros_recargas!$N$99*$O$9),0))</f>
        <v>1</v>
      </c>
      <c r="F125" s="22" t="n">
        <f aca="false">IF(parametros_recargas!$N$99=0,0,ROUNDUP('Demanda por puesto'!$P$157/(parametros_recargas!$N$99*$O$9),0))</f>
        <v>1</v>
      </c>
      <c r="G125" s="22" t="n">
        <f aca="false">IF(parametros_recargas!$N$99=0,0,ROUNDUP('Demanda por puesto'!$P$189/(parametros_recargas!$N$99*$O$9),0))</f>
        <v>1</v>
      </c>
      <c r="H125" s="22" t="n">
        <f aca="false">IF(parametros_recargas!$N$99=0,0,ROUNDUP('Demanda por puesto'!$P$221/(parametros_recargas!$N$99*$O$9),0))</f>
        <v>2</v>
      </c>
      <c r="I125" s="22" t="n">
        <f aca="false">IF(parametros_recargas!$N$99=0,0,ROUNDUP('Demanda por puesto'!$P$253/(parametros_recargas!$N$99*$O$9),0))</f>
        <v>2</v>
      </c>
      <c r="J125" s="22" t="n">
        <f aca="false">IF(parametros_recargas!$N$99=0,0,ROUNDUP('Demanda por puesto'!$P$285/(parametros_recargas!$N$99*$O$9),0))</f>
        <v>2</v>
      </c>
      <c r="K125" s="22" t="n">
        <f aca="false">IF(parametros_recargas!$N$99=0,0,ROUNDUP('Demanda por puesto'!$P$317/(parametros_recargas!$N$99*$O$9),0))</f>
        <v>2</v>
      </c>
    </row>
    <row r="126" customFormat="false" ht="15" hidden="false" customHeight="false" outlineLevel="0" collapsed="false">
      <c r="A126" s="12" t="str">
        <f aca="false">parametros_recargas!$B$100</f>
        <v>PH de mangueras (CO₂ y rodantes)</v>
      </c>
      <c r="B126" s="22" t="n">
        <f aca="false">IF(parametros_recargas!$N$100=0,0,ROUNDUP('Demanda por puesto'!$P$30/(parametros_recargas!$N$100*$O$9),0))</f>
        <v>1</v>
      </c>
      <c r="C126" s="22" t="n">
        <f aca="false">IF(parametros_recargas!$N$100=0,0,ROUNDUP('Demanda por puesto'!$P$62/(parametros_recargas!$N$100*$O$9),0))</f>
        <v>1</v>
      </c>
      <c r="D126" s="22" t="n">
        <f aca="false">IF(parametros_recargas!$N$100=0,0,ROUNDUP('Demanda por puesto'!$P$94/(parametros_recargas!$N$100*$O$9),0))</f>
        <v>1</v>
      </c>
      <c r="E126" s="22" t="n">
        <f aca="false">IF(parametros_recargas!$N$100=0,0,ROUNDUP('Demanda por puesto'!$P$126/(parametros_recargas!$N$100*$O$9),0))</f>
        <v>1</v>
      </c>
      <c r="F126" s="22" t="n">
        <f aca="false">IF(parametros_recargas!$N$100=0,0,ROUNDUP('Demanda por puesto'!$P$158/(parametros_recargas!$N$100*$O$9),0))</f>
        <v>1</v>
      </c>
      <c r="G126" s="22" t="n">
        <f aca="false">IF(parametros_recargas!$N$100=0,0,ROUNDUP('Demanda por puesto'!$P$190/(parametros_recargas!$N$100*$O$9),0))</f>
        <v>1</v>
      </c>
      <c r="H126" s="22" t="n">
        <f aca="false">IF(parametros_recargas!$N$100=0,0,ROUNDUP('Demanda por puesto'!$P$222/(parametros_recargas!$N$100*$O$9),0))</f>
        <v>1</v>
      </c>
      <c r="I126" s="22" t="n">
        <f aca="false">IF(parametros_recargas!$N$100=0,0,ROUNDUP('Demanda por puesto'!$P$254/(parametros_recargas!$N$100*$O$9),0))</f>
        <v>1</v>
      </c>
      <c r="J126" s="22" t="n">
        <f aca="false">IF(parametros_recargas!$N$100=0,0,ROUNDUP('Demanda por puesto'!$P$286/(parametros_recargas!$N$100*$O$9),0))</f>
        <v>1</v>
      </c>
      <c r="K126" s="22" t="n">
        <f aca="false">IF(parametros_recargas!$N$100=0,0,ROUNDUP('Demanda por puesto'!$P$318/(parametros_recargas!$N$100*$O$9),0))</f>
        <v>1</v>
      </c>
    </row>
    <row r="127" customFormat="false" ht="15" hidden="false" customHeight="false" outlineLevel="0" collapsed="false">
      <c r="A127" s="6" t="s">
        <v>307</v>
      </c>
      <c r="B127" s="16" t="n">
        <f aca="false">SUM(B98:B126)</f>
        <v>29</v>
      </c>
      <c r="C127" s="16" t="n">
        <f aca="false">SUM(C98:C126)</f>
        <v>29</v>
      </c>
      <c r="D127" s="16" t="n">
        <f aca="false">SUM(D98:D126)</f>
        <v>29</v>
      </c>
      <c r="E127" s="16" t="n">
        <f aca="false">SUM(E98:E126)</f>
        <v>37</v>
      </c>
      <c r="F127" s="16" t="n">
        <f aca="false">SUM(F98:F126)</f>
        <v>41</v>
      </c>
      <c r="G127" s="16" t="n">
        <f aca="false">SUM(G98:G126)</f>
        <v>50</v>
      </c>
      <c r="H127" s="16" t="n">
        <f aca="false">SUM(H98:H126)</f>
        <v>59</v>
      </c>
      <c r="I127" s="16" t="n">
        <f aca="false">SUM(I98:I126)</f>
        <v>63</v>
      </c>
      <c r="J127" s="16" t="n">
        <f aca="false">SUM(J98:J126)</f>
        <v>70</v>
      </c>
      <c r="K127" s="16" t="n">
        <f aca="false">SUM(K98:K126)</f>
        <v>71</v>
      </c>
    </row>
    <row r="129" customFormat="false" ht="15" hidden="false" customHeight="false" outlineLevel="0" collapsed="false">
      <c r="A129" s="3" t="s">
        <v>308</v>
      </c>
      <c r="B129" s="3" t="n">
        <v>2026</v>
      </c>
      <c r="C129" s="3" t="n">
        <v>2027</v>
      </c>
      <c r="D129" s="3" t="n">
        <v>2028</v>
      </c>
      <c r="E129" s="3" t="n">
        <v>2029</v>
      </c>
      <c r="F129" s="3" t="n">
        <v>2030</v>
      </c>
      <c r="G129" s="3" t="n">
        <v>2031</v>
      </c>
      <c r="H129" s="3" t="n">
        <v>2032</v>
      </c>
      <c r="I129" s="3" t="n">
        <v>2033</v>
      </c>
      <c r="J129" s="3" t="n">
        <v>2034</v>
      </c>
      <c r="K129" s="3" t="n">
        <v>2035</v>
      </c>
    </row>
    <row r="130" customFormat="false" ht="15" hidden="false" customHeight="false" outlineLevel="0" collapsed="false">
      <c r="A130" s="12" t="str">
        <f aca="false">parametros_recargas!$B$72</f>
        <v>Recepción y registro</v>
      </c>
      <c r="B130" s="12" t="str">
        <f aca="false">IF('Demanda por puesto'!$P$2=0,"—",IF(parametros_recargas!$N$72=0,$N$7,IF(B2&lt;=$O$9,$N$2,IF(parametros_recargas!$D$72="Tercerizado",$N$6,IF(B66&lt;$O$10,$N$3,IF(parametros_recargas!$D$72="Manual",$N$5,$N$4))))))</f>
        <v>OK</v>
      </c>
      <c r="C130" s="12" t="str">
        <f aca="false">IF('Demanda por puesto'!$P$34=0,"—",IF(parametros_recargas!$N$72=0,$N$7,IF(C2&lt;=$O$9,$N$2,IF(parametros_recargas!$D$72="Tercerizado",$N$6,IF(C66&lt;$O$10,$N$3,IF(parametros_recargas!$D$72="Manual",$N$5,$N$4))))))</f>
        <v>OK</v>
      </c>
      <c r="D130" s="12" t="str">
        <f aca="false">IF('Demanda por puesto'!$P$66=0,"—",IF(parametros_recargas!$N$72=0,$N$7,IF(D2&lt;=$O$9,$N$2,IF(parametros_recargas!$D$72="Tercerizado",$N$6,IF(D66&lt;$O$10,$N$3,IF(parametros_recargas!$D$72="Manual",$N$5,$N$4))))))</f>
        <v>OK</v>
      </c>
      <c r="E130" s="12" t="str">
        <f aca="false">IF('Demanda por puesto'!$P$98=0,"—",IF(parametros_recargas!$N$72=0,$N$7,IF(E2&lt;=$O$9,$N$2,IF(parametros_recargas!$D$72="Tercerizado",$N$6,IF(E66&lt;$O$10,$N$3,IF(parametros_recargas!$D$72="Manual",$N$5,$N$4))))))</f>
        <v>Agrega turno</v>
      </c>
      <c r="F130" s="12" t="str">
        <f aca="false">IF('Demanda por puesto'!$P$130=0,"—",IF(parametros_recargas!$N$72=0,$N$7,IF(F2&lt;=$O$9,$N$2,IF(parametros_recargas!$D$72="Tercerizado",$N$6,IF(F66&lt;$O$10,$N$3,IF(parametros_recargas!$D$72="Manual",$N$5,$N$4))))))</f>
        <v>Agrega turno</v>
      </c>
      <c r="G130" s="12" t="str">
        <f aca="false">IF('Demanda por puesto'!$P$162=0,"—",IF(parametros_recargas!$N$72=0,$N$7,IF(G2&lt;=$O$9,$N$2,IF(parametros_recargas!$D$72="Tercerizado",$N$6,IF(G66&lt;$O$10,$N$3,IF(parametros_recargas!$D$72="Manual",$N$5,$N$4))))))</f>
        <v>Agrega turno</v>
      </c>
      <c r="H130" s="12" t="str">
        <f aca="false">IF('Demanda por puesto'!$P$194=0,"—",IF(parametros_recargas!$N$72=0,$N$7,IF(H2&lt;=$O$9,$N$2,IF(parametros_recargas!$D$72="Tercerizado",$N$6,IF(H66&lt;$O$10,$N$3,IF(parametros_recargas!$D$72="Manual",$N$5,$N$4))))))</f>
        <v>Agrega turno</v>
      </c>
      <c r="I130" s="12" t="str">
        <f aca="false">IF('Demanda por puesto'!$P$226=0,"—",IF(parametros_recargas!$N$72=0,$N$7,IF(I2&lt;=$O$9,$N$2,IF(parametros_recargas!$D$72="Tercerizado",$N$6,IF(I66&lt;$O$10,$N$3,IF(parametros_recargas!$D$72="Manual",$N$5,$N$4))))))</f>
        <v>Agrega turno</v>
      </c>
      <c r="J130" s="12" t="str">
        <f aca="false">IF('Demanda por puesto'!$P$258=0,"—",IF(parametros_recargas!$N$72=0,$N$7,IF(J2&lt;=$O$9,$N$2,IF(parametros_recargas!$D$72="Tercerizado",$N$6,IF(J66&lt;$O$10,$N$3,IF(parametros_recargas!$D$72="Manual",$N$5,$N$4))))))</f>
        <v>Agrega turno</v>
      </c>
      <c r="K130" s="12" t="str">
        <f aca="false">IF('Demanda por puesto'!$P$290=0,"—",IF(parametros_recargas!$N$72=0,$N$7,IF(K2&lt;=$O$9,$N$2,IF(parametros_recargas!$D$72="Tercerizado",$N$6,IF(K66&lt;$O$10,$N$3,IF(parametros_recargas!$D$72="Manual",$N$5,$N$4))))))</f>
        <v>Agrega turno</v>
      </c>
    </row>
    <row r="131" customFormat="false" ht="15" hidden="false" customHeight="false" outlineLevel="0" collapsed="false">
      <c r="A131" s="12" t="str">
        <f aca="false">parametros_recargas!$B$73</f>
        <v>Inspección visual</v>
      </c>
      <c r="B131" s="12" t="str">
        <f aca="false">IF('Demanda por puesto'!$P$3=0,"—",IF(parametros_recargas!$N$73=0,$N$7,IF(B3&lt;=$O$9,$N$2,IF(parametros_recargas!$D$73="Tercerizado",$N$6,IF(B67&lt;$O$10,$N$3,IF(parametros_recargas!$D$73="Manual",$N$5,$N$4))))))</f>
        <v>OK</v>
      </c>
      <c r="C131" s="12" t="str">
        <f aca="false">IF('Demanda por puesto'!$P$35=0,"—",IF(parametros_recargas!$N$73=0,$N$7,IF(C3&lt;=$O$9,$N$2,IF(parametros_recargas!$D$73="Tercerizado",$N$6,IF(C67&lt;$O$10,$N$3,IF(parametros_recargas!$D$73="Manual",$N$5,$N$4))))))</f>
        <v>OK</v>
      </c>
      <c r="D131" s="12" t="str">
        <f aca="false">IF('Demanda por puesto'!$P$67=0,"—",IF(parametros_recargas!$N$73=0,$N$7,IF(D3&lt;=$O$9,$N$2,IF(parametros_recargas!$D$73="Tercerizado",$N$6,IF(D67&lt;$O$10,$N$3,IF(parametros_recargas!$D$73="Manual",$N$5,$N$4))))))</f>
        <v>OK</v>
      </c>
      <c r="E131" s="12" t="str">
        <f aca="false">IF('Demanda por puesto'!$P$99=0,"—",IF(parametros_recargas!$N$73=0,$N$7,IF(E3&lt;=$O$9,$N$2,IF(parametros_recargas!$D$73="Tercerizado",$N$6,IF(E67&lt;$O$10,$N$3,IF(parametros_recargas!$D$73="Manual",$N$5,$N$4))))))</f>
        <v>Agrega turno</v>
      </c>
      <c r="F131" s="12" t="str">
        <f aca="false">IF('Demanda por puesto'!$P$131=0,"—",IF(parametros_recargas!$N$73=0,$N$7,IF(F3&lt;=$O$9,$N$2,IF(parametros_recargas!$D$73="Tercerizado",$N$6,IF(F67&lt;$O$10,$N$3,IF(parametros_recargas!$D$73="Manual",$N$5,$N$4))))))</f>
        <v>Agrega turno</v>
      </c>
      <c r="G131" s="12" t="str">
        <f aca="false">IF('Demanda por puesto'!$P$163=0,"—",IF(parametros_recargas!$N$73=0,$N$7,IF(G3&lt;=$O$9,$N$2,IF(parametros_recargas!$D$73="Tercerizado",$N$6,IF(G67&lt;$O$10,$N$3,IF(parametros_recargas!$D$73="Manual",$N$5,$N$4))))))</f>
        <v>Agrega turno</v>
      </c>
      <c r="H131" s="12" t="str">
        <f aca="false">IF('Demanda por puesto'!$P$195=0,"—",IF(parametros_recargas!$N$73=0,$N$7,IF(H3&lt;=$O$9,$N$2,IF(parametros_recargas!$D$73="Tercerizado",$N$6,IF(H67&lt;$O$10,$N$3,IF(parametros_recargas!$D$73="Manual",$N$5,$N$4))))))</f>
        <v>Agrega turno</v>
      </c>
      <c r="I131" s="12" t="str">
        <f aca="false">IF('Demanda por puesto'!$P$227=0,"—",IF(parametros_recargas!$N$73=0,$N$7,IF(I3&lt;=$O$9,$N$2,IF(parametros_recargas!$D$73="Tercerizado",$N$6,IF(I67&lt;$O$10,$N$3,IF(parametros_recargas!$D$73="Manual",$N$5,$N$4))))))</f>
        <v>Agrega turno</v>
      </c>
      <c r="J131" s="12" t="str">
        <f aca="false">IF('Demanda por puesto'!$P$259=0,"—",IF(parametros_recargas!$N$73=0,$N$7,IF(J3&lt;=$O$9,$N$2,IF(parametros_recargas!$D$73="Tercerizado",$N$6,IF(J67&lt;$O$10,$N$3,IF(parametros_recargas!$D$73="Manual",$N$5,$N$4))))))</f>
        <v>Agrega turno</v>
      </c>
      <c r="K131" s="12" t="str">
        <f aca="false">IF('Demanda por puesto'!$P$291=0,"—",IF(parametros_recargas!$N$73=0,$N$7,IF(K3&lt;=$O$9,$N$2,IF(parametros_recargas!$D$73="Tercerizado",$N$6,IF(K67&lt;$O$10,$N$3,IF(parametros_recargas!$D$73="Manual",$N$5,$N$4))))))</f>
        <v>Agrega turno</v>
      </c>
    </row>
    <row r="132" customFormat="false" ht="15" hidden="false" customHeight="false" outlineLevel="0" collapsed="false">
      <c r="A132" s="12" t="str">
        <f aca="false">parametros_recargas!$B$74</f>
        <v>Descarga ABC — ruta recuperable</v>
      </c>
      <c r="B132" s="12" t="str">
        <f aca="false">IF('Demanda por puesto'!$P$4=0,"—",IF(parametros_recargas!$N$74=0,$N$7,IF(B4&lt;=$O$9,$N$2,IF(parametros_recargas!$D$74="Tercerizado",$N$6,IF(B68&lt;$O$10,$N$3,IF(parametros_recargas!$D$74="Manual",$N$5,$N$4))))))</f>
        <v>OK</v>
      </c>
      <c r="C132" s="12" t="str">
        <f aca="false">IF('Demanda por puesto'!$P$36=0,"—",IF(parametros_recargas!$N$74=0,$N$7,IF(C4&lt;=$O$9,$N$2,IF(parametros_recargas!$D$74="Tercerizado",$N$6,IF(C68&lt;$O$10,$N$3,IF(parametros_recargas!$D$74="Manual",$N$5,$N$4))))))</f>
        <v>OK</v>
      </c>
      <c r="D132" s="12" t="str">
        <f aca="false">IF('Demanda por puesto'!$P$68=0,"—",IF(parametros_recargas!$N$74=0,$N$7,IF(D4&lt;=$O$9,$N$2,IF(parametros_recargas!$D$74="Tercerizado",$N$6,IF(D68&lt;$O$10,$N$3,IF(parametros_recargas!$D$74="Manual",$N$5,$N$4))))))</f>
        <v>OK</v>
      </c>
      <c r="E132" s="12" t="str">
        <f aca="false">IF('Demanda por puesto'!$P$100=0,"—",IF(parametros_recargas!$N$74=0,$N$7,IF(E4&lt;=$O$9,$N$2,IF(parametros_recargas!$D$74="Tercerizado",$N$6,IF(E68&lt;$O$10,$N$3,IF(parametros_recargas!$D$74="Manual",$N$5,$N$4))))))</f>
        <v>OK</v>
      </c>
      <c r="F132" s="12" t="str">
        <f aca="false">IF('Demanda por puesto'!$P$132=0,"—",IF(parametros_recargas!$N$74=0,$N$7,IF(F4&lt;=$O$9,$N$2,IF(parametros_recargas!$D$74="Tercerizado",$N$6,IF(F68&lt;$O$10,$N$3,IF(parametros_recargas!$D$74="Manual",$N$5,$N$4))))))</f>
        <v>Agrega turno</v>
      </c>
      <c r="G132" s="12" t="str">
        <f aca="false">IF('Demanda por puesto'!$P$164=0,"—",IF(parametros_recargas!$N$74=0,$N$7,IF(G4&lt;=$O$9,$N$2,IF(parametros_recargas!$D$74="Tercerizado",$N$6,IF(G68&lt;$O$10,$N$3,IF(parametros_recargas!$D$74="Manual",$N$5,$N$4))))))</f>
        <v>Agrega turno</v>
      </c>
      <c r="H132" s="12" t="str">
        <f aca="false">IF('Demanda por puesto'!$P$196=0,"—",IF(parametros_recargas!$N$74=0,$N$7,IF(H4&lt;=$O$9,$N$2,IF(parametros_recargas!$D$74="Tercerizado",$N$6,IF(H68&lt;$O$10,$N$3,IF(parametros_recargas!$D$74="Manual",$N$5,$N$4))))))</f>
        <v>Agrega turno</v>
      </c>
      <c r="I132" s="12" t="str">
        <f aca="false">IF('Demanda por puesto'!$P$228=0,"—",IF(parametros_recargas!$N$74=0,$N$7,IF(I4&lt;=$O$9,$N$2,IF(parametros_recargas!$D$74="Tercerizado",$N$6,IF(I68&lt;$O$10,$N$3,IF(parametros_recargas!$D$74="Manual",$N$5,$N$4))))))</f>
        <v>Agrega turno</v>
      </c>
      <c r="J132" s="12" t="str">
        <f aca="false">IF('Demanda por puesto'!$P$260=0,"—",IF(parametros_recargas!$N$74=0,$N$7,IF(J4&lt;=$O$9,$N$2,IF(parametros_recargas!$D$74="Tercerizado",$N$6,IF(J68&lt;$O$10,$N$3,IF(parametros_recargas!$D$74="Manual",$N$5,$N$4))))))</f>
        <v>Agrega turno</v>
      </c>
      <c r="K132" s="12" t="str">
        <f aca="false">IF('Demanda por puesto'!$P$292=0,"—",IF(parametros_recargas!$N$74=0,$N$7,IF(K4&lt;=$O$9,$N$2,IF(parametros_recargas!$D$74="Tercerizado",$N$6,IF(K68&lt;$O$10,$N$3,IF(parametros_recargas!$D$74="Manual",$N$5,$N$4))))))</f>
        <v>Agrega turno</v>
      </c>
    </row>
    <row r="133" customFormat="false" ht="15" hidden="false" customHeight="false" outlineLevel="0" collapsed="false">
      <c r="A133" s="12" t="str">
        <f aca="false">parametros_recargas!$B$75</f>
        <v>Descarga ABC — ruta descarte</v>
      </c>
      <c r="B133" s="12" t="str">
        <f aca="false">IF('Demanda por puesto'!$P$5=0,"—",IF(parametros_recargas!$N$75=0,$N$7,IF(B5&lt;=$O$9,$N$2,IF(parametros_recargas!$D$75="Tercerizado",$N$6,IF(B69&lt;$O$10,$N$3,IF(parametros_recargas!$D$75="Manual",$N$5,$N$4))))))</f>
        <v>OK</v>
      </c>
      <c r="C133" s="12" t="str">
        <f aca="false">IF('Demanda por puesto'!$P$37=0,"—",IF(parametros_recargas!$N$75=0,$N$7,IF(C5&lt;=$O$9,$N$2,IF(parametros_recargas!$D$75="Tercerizado",$N$6,IF(C69&lt;$O$10,$N$3,IF(parametros_recargas!$D$75="Manual",$N$5,$N$4))))))</f>
        <v>OK</v>
      </c>
      <c r="D133" s="12" t="str">
        <f aca="false">IF('Demanda por puesto'!$P$69=0,"—",IF(parametros_recargas!$N$75=0,$N$7,IF(D5&lt;=$O$9,$N$2,IF(parametros_recargas!$D$75="Tercerizado",$N$6,IF(D69&lt;$O$10,$N$3,IF(parametros_recargas!$D$75="Manual",$N$5,$N$4))))))</f>
        <v>OK</v>
      </c>
      <c r="E133" s="12" t="str">
        <f aca="false">IF('Demanda por puesto'!$P$101=0,"—",IF(parametros_recargas!$N$75=0,$N$7,IF(E5&lt;=$O$9,$N$2,IF(parametros_recargas!$D$75="Tercerizado",$N$6,IF(E69&lt;$O$10,$N$3,IF(parametros_recargas!$D$75="Manual",$N$5,$N$4))))))</f>
        <v>OK</v>
      </c>
      <c r="F133" s="12" t="str">
        <f aca="false">IF('Demanda por puesto'!$P$133=0,"—",IF(parametros_recargas!$N$75=0,$N$7,IF(F5&lt;=$O$9,$N$2,IF(parametros_recargas!$D$75="Tercerizado",$N$6,IF(F69&lt;$O$10,$N$3,IF(parametros_recargas!$D$75="Manual",$N$5,$N$4))))))</f>
        <v>OK</v>
      </c>
      <c r="G133" s="12" t="str">
        <f aca="false">IF('Demanda por puesto'!$P$165=0,"—",IF(parametros_recargas!$N$75=0,$N$7,IF(G5&lt;=$O$9,$N$2,IF(parametros_recargas!$D$75="Tercerizado",$N$6,IF(G69&lt;$O$10,$N$3,IF(parametros_recargas!$D$75="Manual",$N$5,$N$4))))))</f>
        <v>OK</v>
      </c>
      <c r="H133" s="12" t="str">
        <f aca="false">IF('Demanda por puesto'!$P$197=0,"—",IF(parametros_recargas!$N$75=0,$N$7,IF(H5&lt;=$O$9,$N$2,IF(parametros_recargas!$D$75="Tercerizado",$N$6,IF(H69&lt;$O$10,$N$3,IF(parametros_recargas!$D$75="Manual",$N$5,$N$4))))))</f>
        <v>OK</v>
      </c>
      <c r="I133" s="12" t="str">
        <f aca="false">IF('Demanda por puesto'!$P$229=0,"—",IF(parametros_recargas!$N$75=0,$N$7,IF(I5&lt;=$O$9,$N$2,IF(parametros_recargas!$D$75="Tercerizado",$N$6,IF(I69&lt;$O$10,$N$3,IF(parametros_recargas!$D$75="Manual",$N$5,$N$4))))))</f>
        <v>OK</v>
      </c>
      <c r="J133" s="12" t="str">
        <f aca="false">IF('Demanda por puesto'!$P$261=0,"—",IF(parametros_recargas!$N$75=0,$N$7,IF(J5&lt;=$O$9,$N$2,IF(parametros_recargas!$D$75="Tercerizado",$N$6,IF(J69&lt;$O$10,$N$3,IF(parametros_recargas!$D$75="Manual",$N$5,$N$4))))))</f>
        <v>OK</v>
      </c>
      <c r="K133" s="12" t="str">
        <f aca="false">IF('Demanda por puesto'!$P$293=0,"—",IF(parametros_recargas!$N$75=0,$N$7,IF(K5&lt;=$O$9,$N$2,IF(parametros_recargas!$D$75="Tercerizado",$N$6,IF(K69&lt;$O$10,$N$3,IF(parametros_recargas!$D$75="Manual",$N$5,$N$4))))))</f>
        <v>OK</v>
      </c>
    </row>
    <row r="134" customFormat="false" ht="15" hidden="false" customHeight="false" outlineLevel="0" collapsed="false">
      <c r="A134" s="12" t="str">
        <f aca="false">parametros_recargas!$B$76</f>
        <v>Descarga BC</v>
      </c>
      <c r="B134" s="12" t="str">
        <f aca="false">IF('Demanda por puesto'!$P$6=0,"—",IF(parametros_recargas!$N$76=0,$N$7,IF(B6&lt;=$O$9,$N$2,IF(parametros_recargas!$D$76="Tercerizado",$N$6,IF(B70&lt;$O$10,$N$3,IF(parametros_recargas!$D$76="Manual",$N$5,$N$4))))))</f>
        <v>OK</v>
      </c>
      <c r="C134" s="12" t="str">
        <f aca="false">IF('Demanda por puesto'!$P$38=0,"—",IF(parametros_recargas!$N$76=0,$N$7,IF(C6&lt;=$O$9,$N$2,IF(parametros_recargas!$D$76="Tercerizado",$N$6,IF(C70&lt;$O$10,$N$3,IF(parametros_recargas!$D$76="Manual",$N$5,$N$4))))))</f>
        <v>OK</v>
      </c>
      <c r="D134" s="12" t="str">
        <f aca="false">IF('Demanda por puesto'!$P$70=0,"—",IF(parametros_recargas!$N$76=0,$N$7,IF(D6&lt;=$O$9,$N$2,IF(parametros_recargas!$D$76="Tercerizado",$N$6,IF(D70&lt;$O$10,$N$3,IF(parametros_recargas!$D$76="Manual",$N$5,$N$4))))))</f>
        <v>OK</v>
      </c>
      <c r="E134" s="12" t="str">
        <f aca="false">IF('Demanda por puesto'!$P$102=0,"—",IF(parametros_recargas!$N$76=0,$N$7,IF(E6&lt;=$O$9,$N$2,IF(parametros_recargas!$D$76="Tercerizado",$N$6,IF(E70&lt;$O$10,$N$3,IF(parametros_recargas!$D$76="Manual",$N$5,$N$4))))))</f>
        <v>OK</v>
      </c>
      <c r="F134" s="12" t="str">
        <f aca="false">IF('Demanda por puesto'!$P$134=0,"—",IF(parametros_recargas!$N$76=0,$N$7,IF(F6&lt;=$O$9,$N$2,IF(parametros_recargas!$D$76="Tercerizado",$N$6,IF(F70&lt;$O$10,$N$3,IF(parametros_recargas!$D$76="Manual",$N$5,$N$4))))))</f>
        <v>OK</v>
      </c>
      <c r="G134" s="12" t="str">
        <f aca="false">IF('Demanda por puesto'!$P$166=0,"—",IF(parametros_recargas!$N$76=0,$N$7,IF(G6&lt;=$O$9,$N$2,IF(parametros_recargas!$D$76="Tercerizado",$N$6,IF(G70&lt;$O$10,$N$3,IF(parametros_recargas!$D$76="Manual",$N$5,$N$4))))))</f>
        <v>OK</v>
      </c>
      <c r="H134" s="12" t="str">
        <f aca="false">IF('Demanda por puesto'!$P$198=0,"—",IF(parametros_recargas!$N$76=0,$N$7,IF(H6&lt;=$O$9,$N$2,IF(parametros_recargas!$D$76="Tercerizado",$N$6,IF(H70&lt;$O$10,$N$3,IF(parametros_recargas!$D$76="Manual",$N$5,$N$4))))))</f>
        <v>OK</v>
      </c>
      <c r="I134" s="12" t="str">
        <f aca="false">IF('Demanda por puesto'!$P$230=0,"—",IF(parametros_recargas!$N$76=0,$N$7,IF(I6&lt;=$O$9,$N$2,IF(parametros_recargas!$D$76="Tercerizado",$N$6,IF(I70&lt;$O$10,$N$3,IF(parametros_recargas!$D$76="Manual",$N$5,$N$4))))))</f>
        <v>OK</v>
      </c>
      <c r="J134" s="12" t="str">
        <f aca="false">IF('Demanda por puesto'!$P$262=0,"—",IF(parametros_recargas!$N$76=0,$N$7,IF(J6&lt;=$O$9,$N$2,IF(parametros_recargas!$D$76="Tercerizado",$N$6,IF(J70&lt;$O$10,$N$3,IF(parametros_recargas!$D$76="Manual",$N$5,$N$4))))))</f>
        <v>OK</v>
      </c>
      <c r="K134" s="12" t="str">
        <f aca="false">IF('Demanda por puesto'!$P$294=0,"—",IF(parametros_recargas!$N$76=0,$N$7,IF(K6&lt;=$O$9,$N$2,IF(parametros_recargas!$D$76="Tercerizado",$N$6,IF(K70&lt;$O$10,$N$3,IF(parametros_recargas!$D$76="Manual",$N$5,$N$4))))))</f>
        <v>OK</v>
      </c>
    </row>
    <row r="135" customFormat="false" ht="15" hidden="false" customHeight="false" outlineLevel="0" collapsed="false">
      <c r="A135" s="12" t="str">
        <f aca="false">parametros_recargas!$B$77</f>
        <v>Descarga de agua / AFFF / sales K</v>
      </c>
      <c r="B135" s="12" t="str">
        <f aca="false">IF('Demanda por puesto'!$P$7=0,"—",IF(parametros_recargas!$N$77=0,$N$7,IF(B7&lt;=$O$9,$N$2,IF(parametros_recargas!$D$77="Tercerizado",$N$6,IF(B71&lt;$O$10,$N$3,IF(parametros_recargas!$D$77="Manual",$N$5,$N$4))))))</f>
        <v>OK</v>
      </c>
      <c r="C135" s="12" t="str">
        <f aca="false">IF('Demanda por puesto'!$P$39=0,"—",IF(parametros_recargas!$N$77=0,$N$7,IF(C7&lt;=$O$9,$N$2,IF(parametros_recargas!$D$77="Tercerizado",$N$6,IF(C71&lt;$O$10,$N$3,IF(parametros_recargas!$D$77="Manual",$N$5,$N$4))))))</f>
        <v>OK</v>
      </c>
      <c r="D135" s="12" t="str">
        <f aca="false">IF('Demanda por puesto'!$P$71=0,"—",IF(parametros_recargas!$N$77=0,$N$7,IF(D7&lt;=$O$9,$N$2,IF(parametros_recargas!$D$77="Tercerizado",$N$6,IF(D71&lt;$O$10,$N$3,IF(parametros_recargas!$D$77="Manual",$N$5,$N$4))))))</f>
        <v>OK</v>
      </c>
      <c r="E135" s="12" t="str">
        <f aca="false">IF('Demanda por puesto'!$P$103=0,"—",IF(parametros_recargas!$N$77=0,$N$7,IF(E7&lt;=$O$9,$N$2,IF(parametros_recargas!$D$77="Tercerizado",$N$6,IF(E71&lt;$O$10,$N$3,IF(parametros_recargas!$D$77="Manual",$N$5,$N$4))))))</f>
        <v>OK</v>
      </c>
      <c r="F135" s="12" t="str">
        <f aca="false">IF('Demanda por puesto'!$P$135=0,"—",IF(parametros_recargas!$N$77=0,$N$7,IF(F7&lt;=$O$9,$N$2,IF(parametros_recargas!$D$77="Tercerizado",$N$6,IF(F71&lt;$O$10,$N$3,IF(parametros_recargas!$D$77="Manual",$N$5,$N$4))))))</f>
        <v>OK</v>
      </c>
      <c r="G135" s="12" t="str">
        <f aca="false">IF('Demanda por puesto'!$P$167=0,"—",IF(parametros_recargas!$N$77=0,$N$7,IF(G7&lt;=$O$9,$N$2,IF(parametros_recargas!$D$77="Tercerizado",$N$6,IF(G71&lt;$O$10,$N$3,IF(parametros_recargas!$D$77="Manual",$N$5,$N$4))))))</f>
        <v>OK</v>
      </c>
      <c r="H135" s="12" t="str">
        <f aca="false">IF('Demanda por puesto'!$P$199=0,"—",IF(parametros_recargas!$N$77=0,$N$7,IF(H7&lt;=$O$9,$N$2,IF(parametros_recargas!$D$77="Tercerizado",$N$6,IF(H71&lt;$O$10,$N$3,IF(parametros_recargas!$D$77="Manual",$N$5,$N$4))))))</f>
        <v>OK</v>
      </c>
      <c r="I135" s="12" t="str">
        <f aca="false">IF('Demanda por puesto'!$P$231=0,"—",IF(parametros_recargas!$N$77=0,$N$7,IF(I7&lt;=$O$9,$N$2,IF(parametros_recargas!$D$77="Tercerizado",$N$6,IF(I71&lt;$O$10,$N$3,IF(parametros_recargas!$D$77="Manual",$N$5,$N$4))))))</f>
        <v>OK</v>
      </c>
      <c r="J135" s="12" t="str">
        <f aca="false">IF('Demanda por puesto'!$P$263=0,"—",IF(parametros_recargas!$N$77=0,$N$7,IF(J7&lt;=$O$9,$N$2,IF(parametros_recargas!$D$77="Tercerizado",$N$6,IF(J71&lt;$O$10,$N$3,IF(parametros_recargas!$D$77="Manual",$N$5,$N$4))))))</f>
        <v>OK</v>
      </c>
      <c r="K135" s="12" t="str">
        <f aca="false">IF('Demanda por puesto'!$P$295=0,"—",IF(parametros_recargas!$N$77=0,$N$7,IF(K7&lt;=$O$9,$N$2,IF(parametros_recargas!$D$77="Tercerizado",$N$6,IF(K71&lt;$O$10,$N$3,IF(parametros_recargas!$D$77="Manual",$N$5,$N$4))))))</f>
        <v>OK</v>
      </c>
    </row>
    <row r="136" customFormat="false" ht="15" hidden="false" customHeight="false" outlineLevel="0" collapsed="false">
      <c r="A136" s="12" t="str">
        <f aca="false">parametros_recargas!$B$78</f>
        <v>Recuperación de CO₂</v>
      </c>
      <c r="B136" s="12" t="str">
        <f aca="false">IF('Demanda por puesto'!$P$8=0,"—",IF(parametros_recargas!$N$78=0,$N$7,IF(B8&lt;=$O$9,$N$2,IF(parametros_recargas!$D$78="Tercerizado",$N$6,IF(B72&lt;$O$10,$N$3,IF(parametros_recargas!$D$78="Manual",$N$5,$N$4))))))</f>
        <v>OK</v>
      </c>
      <c r="C136" s="12" t="str">
        <f aca="false">IF('Demanda por puesto'!$P$40=0,"—",IF(parametros_recargas!$N$78=0,$N$7,IF(C8&lt;=$O$9,$N$2,IF(parametros_recargas!$D$78="Tercerizado",$N$6,IF(C72&lt;$O$10,$N$3,IF(parametros_recargas!$D$78="Manual",$N$5,$N$4))))))</f>
        <v>OK</v>
      </c>
      <c r="D136" s="12" t="str">
        <f aca="false">IF('Demanda por puesto'!$P$72=0,"—",IF(parametros_recargas!$N$78=0,$N$7,IF(D8&lt;=$O$9,$N$2,IF(parametros_recargas!$D$78="Tercerizado",$N$6,IF(D72&lt;$O$10,$N$3,IF(parametros_recargas!$D$78="Manual",$N$5,$N$4))))))</f>
        <v>OK</v>
      </c>
      <c r="E136" s="12" t="str">
        <f aca="false">IF('Demanda por puesto'!$P$104=0,"—",IF(parametros_recargas!$N$78=0,$N$7,IF(E8&lt;=$O$9,$N$2,IF(parametros_recargas!$D$78="Tercerizado",$N$6,IF(E72&lt;$O$10,$N$3,IF(parametros_recargas!$D$78="Manual",$N$5,$N$4))))))</f>
        <v>OK</v>
      </c>
      <c r="F136" s="12" t="str">
        <f aca="false">IF('Demanda por puesto'!$P$136=0,"—",IF(parametros_recargas!$N$78=0,$N$7,IF(F8&lt;=$O$9,$N$2,IF(parametros_recargas!$D$78="Tercerizado",$N$6,IF(F72&lt;$O$10,$N$3,IF(parametros_recargas!$D$78="Manual",$N$5,$N$4))))))</f>
        <v>OK</v>
      </c>
      <c r="G136" s="12" t="str">
        <f aca="false">IF('Demanda por puesto'!$P$168=0,"—",IF(parametros_recargas!$N$78=0,$N$7,IF(G8&lt;=$O$9,$N$2,IF(parametros_recargas!$D$78="Tercerizado",$N$6,IF(G72&lt;$O$10,$N$3,IF(parametros_recargas!$D$78="Manual",$N$5,$N$4))))))</f>
        <v>OK</v>
      </c>
      <c r="H136" s="12" t="str">
        <f aca="false">IF('Demanda por puesto'!$P$200=0,"—",IF(parametros_recargas!$N$78=0,$N$7,IF(H8&lt;=$O$9,$N$2,IF(parametros_recargas!$D$78="Tercerizado",$N$6,IF(H72&lt;$O$10,$N$3,IF(parametros_recargas!$D$78="Manual",$N$5,$N$4))))))</f>
        <v>OK</v>
      </c>
      <c r="I136" s="12" t="str">
        <f aca="false">IF('Demanda por puesto'!$P$232=0,"—",IF(parametros_recargas!$N$78=0,$N$7,IF(I8&lt;=$O$9,$N$2,IF(parametros_recargas!$D$78="Tercerizado",$N$6,IF(I72&lt;$O$10,$N$3,IF(parametros_recargas!$D$78="Manual",$N$5,$N$4))))))</f>
        <v>OK</v>
      </c>
      <c r="J136" s="12" t="str">
        <f aca="false">IF('Demanda por puesto'!$P$264=0,"—",IF(parametros_recargas!$N$78=0,$N$7,IF(J8&lt;=$O$9,$N$2,IF(parametros_recargas!$D$78="Tercerizado",$N$6,IF(J72&lt;$O$10,$N$3,IF(parametros_recargas!$D$78="Manual",$N$5,$N$4))))))</f>
        <v>OK</v>
      </c>
      <c r="K136" s="12" t="str">
        <f aca="false">IF('Demanda por puesto'!$P$296=0,"—",IF(parametros_recargas!$N$78=0,$N$7,IF(K8&lt;=$O$9,$N$2,IF(parametros_recargas!$D$78="Tercerizado",$N$6,IF(K72&lt;$O$10,$N$3,IF(parametros_recargas!$D$78="Manual",$N$5,$N$4))))))</f>
        <v>OK</v>
      </c>
    </row>
    <row r="137" customFormat="false" ht="15" hidden="false" customHeight="false" outlineLevel="0" collapsed="false">
      <c r="A137" s="12" t="str">
        <f aca="false">parametros_recargas!$B$79</f>
        <v>Recuperación de halogenado</v>
      </c>
      <c r="B137" s="12" t="str">
        <f aca="false">IF('Demanda por puesto'!$P$9=0,"—",IF(parametros_recargas!$N$79=0,$N$7,IF(B9&lt;=$O$9,$N$2,IF(parametros_recargas!$D$79="Tercerizado",$N$6,IF(B73&lt;$O$10,$N$3,IF(parametros_recargas!$D$79="Manual",$N$5,$N$4))))))</f>
        <v>OK</v>
      </c>
      <c r="C137" s="12" t="str">
        <f aca="false">IF('Demanda por puesto'!$P$41=0,"—",IF(parametros_recargas!$N$79=0,$N$7,IF(C9&lt;=$O$9,$N$2,IF(parametros_recargas!$D$79="Tercerizado",$N$6,IF(C73&lt;$O$10,$N$3,IF(parametros_recargas!$D$79="Manual",$N$5,$N$4))))))</f>
        <v>OK</v>
      </c>
      <c r="D137" s="12" t="str">
        <f aca="false">IF('Demanda por puesto'!$P$73=0,"—",IF(parametros_recargas!$N$79=0,$N$7,IF(D9&lt;=$O$9,$N$2,IF(parametros_recargas!$D$79="Tercerizado",$N$6,IF(D73&lt;$O$10,$N$3,IF(parametros_recargas!$D$79="Manual",$N$5,$N$4))))))</f>
        <v>OK</v>
      </c>
      <c r="E137" s="12" t="str">
        <f aca="false">IF('Demanda por puesto'!$P$105=0,"—",IF(parametros_recargas!$N$79=0,$N$7,IF(E9&lt;=$O$9,$N$2,IF(parametros_recargas!$D$79="Tercerizado",$N$6,IF(E73&lt;$O$10,$N$3,IF(parametros_recargas!$D$79="Manual",$N$5,$N$4))))))</f>
        <v>OK</v>
      </c>
      <c r="F137" s="12" t="str">
        <f aca="false">IF('Demanda por puesto'!$P$137=0,"—",IF(parametros_recargas!$N$79=0,$N$7,IF(F9&lt;=$O$9,$N$2,IF(parametros_recargas!$D$79="Tercerizado",$N$6,IF(F73&lt;$O$10,$N$3,IF(parametros_recargas!$D$79="Manual",$N$5,$N$4))))))</f>
        <v>OK</v>
      </c>
      <c r="G137" s="12" t="str">
        <f aca="false">IF('Demanda por puesto'!$P$169=0,"—",IF(parametros_recargas!$N$79=0,$N$7,IF(G9&lt;=$O$9,$N$2,IF(parametros_recargas!$D$79="Tercerizado",$N$6,IF(G73&lt;$O$10,$N$3,IF(parametros_recargas!$D$79="Manual",$N$5,$N$4))))))</f>
        <v>OK</v>
      </c>
      <c r="H137" s="12" t="str">
        <f aca="false">IF('Demanda por puesto'!$P$201=0,"—",IF(parametros_recargas!$N$79=0,$N$7,IF(H9&lt;=$O$9,$N$2,IF(parametros_recargas!$D$79="Tercerizado",$N$6,IF(H73&lt;$O$10,$N$3,IF(parametros_recargas!$D$79="Manual",$N$5,$N$4))))))</f>
        <v>OK</v>
      </c>
      <c r="I137" s="12" t="str">
        <f aca="false">IF('Demanda por puesto'!$P$233=0,"—",IF(parametros_recargas!$N$79=0,$N$7,IF(I9&lt;=$O$9,$N$2,IF(parametros_recargas!$D$79="Tercerizado",$N$6,IF(I73&lt;$O$10,$N$3,IF(parametros_recargas!$D$79="Manual",$N$5,$N$4))))))</f>
        <v>OK</v>
      </c>
      <c r="J137" s="12" t="str">
        <f aca="false">IF('Demanda por puesto'!$P$265=0,"—",IF(parametros_recargas!$N$79=0,$N$7,IF(J9&lt;=$O$9,$N$2,IF(parametros_recargas!$D$79="Tercerizado",$N$6,IF(J73&lt;$O$10,$N$3,IF(parametros_recargas!$D$79="Manual",$N$5,$N$4))))))</f>
        <v>OK</v>
      </c>
      <c r="K137" s="12" t="str">
        <f aca="false">IF('Demanda por puesto'!$P$297=0,"—",IF(parametros_recargas!$N$79=0,$N$7,IF(K9&lt;=$O$9,$N$2,IF(parametros_recargas!$D$79="Tercerizado",$N$6,IF(K73&lt;$O$10,$N$3,IF(parametros_recargas!$D$79="Manual",$N$5,$N$4))))))</f>
        <v>OK</v>
      </c>
    </row>
    <row r="138" customFormat="false" ht="15" hidden="false" customHeight="false" outlineLevel="0" collapsed="false">
      <c r="A138" s="12" t="str">
        <f aca="false">parametros_recargas!$B$80</f>
        <v>Desarme y limpieza — recinto</v>
      </c>
      <c r="B138" s="12" t="str">
        <f aca="false">IF('Demanda por puesto'!$P$10=0,"—",IF(parametros_recargas!$N$80=0,$N$7,IF(B10&lt;=$O$9,$N$2,IF(parametros_recargas!$D$80="Tercerizado",$N$6,IF(B74&lt;$O$10,$N$3,IF(parametros_recargas!$D$80="Manual",$N$5,$N$4))))))</f>
        <v>OK</v>
      </c>
      <c r="C138" s="12" t="str">
        <f aca="false">IF('Demanda por puesto'!$P$42=0,"—",IF(parametros_recargas!$N$80=0,$N$7,IF(C10&lt;=$O$9,$N$2,IF(parametros_recargas!$D$80="Tercerizado",$N$6,IF(C74&lt;$O$10,$N$3,IF(parametros_recargas!$D$80="Manual",$N$5,$N$4))))))</f>
        <v>OK</v>
      </c>
      <c r="D138" s="12" t="str">
        <f aca="false">IF('Demanda por puesto'!$P$74=0,"—",IF(parametros_recargas!$N$80=0,$N$7,IF(D10&lt;=$O$9,$N$2,IF(parametros_recargas!$D$80="Tercerizado",$N$6,IF(D74&lt;$O$10,$N$3,IF(parametros_recargas!$D$80="Manual",$N$5,$N$4))))))</f>
        <v>OK</v>
      </c>
      <c r="E138" s="12" t="str">
        <f aca="false">IF('Demanda por puesto'!$P$106=0,"—",IF(parametros_recargas!$N$80=0,$N$7,IF(E10&lt;=$O$9,$N$2,IF(parametros_recargas!$D$80="Tercerizado",$N$6,IF(E74&lt;$O$10,$N$3,IF(parametros_recargas!$D$80="Manual",$N$5,$N$4))))))</f>
        <v>Agrega turno</v>
      </c>
      <c r="F138" s="12" t="str">
        <f aca="false">IF('Demanda por puesto'!$P$138=0,"—",IF(parametros_recargas!$N$80=0,$N$7,IF(F10&lt;=$O$9,$N$2,IF(parametros_recargas!$D$80="Tercerizado",$N$6,IF(F74&lt;$O$10,$N$3,IF(parametros_recargas!$D$80="Manual",$N$5,$N$4))))))</f>
        <v>Agrega turno</v>
      </c>
      <c r="G138" s="12" t="str">
        <f aca="false">IF('Demanda por puesto'!$P$170=0,"—",IF(parametros_recargas!$N$80=0,$N$7,IF(G10&lt;=$O$9,$N$2,IF(parametros_recargas!$D$80="Tercerizado",$N$6,IF(G74&lt;$O$10,$N$3,IF(parametros_recargas!$D$80="Manual",$N$5,$N$4))))))</f>
        <v>Agrega turno</v>
      </c>
      <c r="H138" s="12" t="str">
        <f aca="false">IF('Demanda por puesto'!$P$202=0,"—",IF(parametros_recargas!$N$80=0,$N$7,IF(H10&lt;=$O$9,$N$2,IF(parametros_recargas!$D$80="Tercerizado",$N$6,IF(H74&lt;$O$10,$N$3,IF(parametros_recargas!$D$80="Manual",$N$5,$N$4))))))</f>
        <v>Agrega turno</v>
      </c>
      <c r="I138" s="12" t="str">
        <f aca="false">IF('Demanda por puesto'!$P$234=0,"—",IF(parametros_recargas!$N$80=0,$N$7,IF(I10&lt;=$O$9,$N$2,IF(parametros_recargas!$D$80="Tercerizado",$N$6,IF(I74&lt;$O$10,$N$3,IF(parametros_recargas!$D$80="Manual",$N$5,$N$4))))))</f>
        <v>Agrega turno</v>
      </c>
      <c r="J138" s="12" t="str">
        <f aca="false">IF('Demanda por puesto'!$P$266=0,"—",IF(parametros_recargas!$N$80=0,$N$7,IF(J10&lt;=$O$9,$N$2,IF(parametros_recargas!$D$80="Tercerizado",$N$6,IF(J74&lt;$O$10,$N$3,IF(parametros_recargas!$D$80="Manual",$N$5,$N$4))))))</f>
        <v>Agrega turno</v>
      </c>
      <c r="K138" s="12" t="str">
        <f aca="false">IF('Demanda por puesto'!$P$298=0,"—",IF(parametros_recargas!$N$80=0,$N$7,IF(K10&lt;=$O$9,$N$2,IF(parametros_recargas!$D$80="Tercerizado",$N$6,IF(K74&lt;$O$10,$N$3,IF(parametros_recargas!$D$80="Manual",$N$5,$N$4))))))</f>
        <v>Agrega turno</v>
      </c>
    </row>
    <row r="139" customFormat="false" ht="15" hidden="false" customHeight="false" outlineLevel="0" collapsed="false">
      <c r="A139" s="12" t="str">
        <f aca="false">parametros_recargas!$B$81</f>
        <v>Desarme e inspección interior — zona general</v>
      </c>
      <c r="B139" s="12" t="str">
        <f aca="false">IF('Demanda por puesto'!$P$11=0,"—",IF(parametros_recargas!$N$81=0,$N$7,IF(B11&lt;=$O$9,$N$2,IF(parametros_recargas!$D$81="Tercerizado",$N$6,IF(B75&lt;$O$10,$N$3,IF(parametros_recargas!$D$81="Manual",$N$5,$N$4))))))</f>
        <v>OK</v>
      </c>
      <c r="C139" s="12" t="str">
        <f aca="false">IF('Demanda por puesto'!$P$43=0,"—",IF(parametros_recargas!$N$81=0,$N$7,IF(C11&lt;=$O$9,$N$2,IF(parametros_recargas!$D$81="Tercerizado",$N$6,IF(C75&lt;$O$10,$N$3,IF(parametros_recargas!$D$81="Manual",$N$5,$N$4))))))</f>
        <v>OK</v>
      </c>
      <c r="D139" s="12" t="str">
        <f aca="false">IF('Demanda por puesto'!$P$75=0,"—",IF(parametros_recargas!$N$81=0,$N$7,IF(D11&lt;=$O$9,$N$2,IF(parametros_recargas!$D$81="Tercerizado",$N$6,IF(D75&lt;$O$10,$N$3,IF(parametros_recargas!$D$81="Manual",$N$5,$N$4))))))</f>
        <v>OK</v>
      </c>
      <c r="E139" s="12" t="str">
        <f aca="false">IF('Demanda por puesto'!$P$107=0,"—",IF(parametros_recargas!$N$81=0,$N$7,IF(E11&lt;=$O$9,$N$2,IF(parametros_recargas!$D$81="Tercerizado",$N$6,IF(E75&lt;$O$10,$N$3,IF(parametros_recargas!$D$81="Manual",$N$5,$N$4))))))</f>
        <v>OK</v>
      </c>
      <c r="F139" s="12" t="str">
        <f aca="false">IF('Demanda por puesto'!$P$139=0,"—",IF(parametros_recargas!$N$81=0,$N$7,IF(F11&lt;=$O$9,$N$2,IF(parametros_recargas!$D$81="Tercerizado",$N$6,IF(F75&lt;$O$10,$N$3,IF(parametros_recargas!$D$81="Manual",$N$5,$N$4))))))</f>
        <v>OK</v>
      </c>
      <c r="G139" s="12" t="str">
        <f aca="false">IF('Demanda por puesto'!$P$171=0,"—",IF(parametros_recargas!$N$81=0,$N$7,IF(G11&lt;=$O$9,$N$2,IF(parametros_recargas!$D$81="Tercerizado",$N$6,IF(G75&lt;$O$10,$N$3,IF(parametros_recargas!$D$81="Manual",$N$5,$N$4))))))</f>
        <v>OK</v>
      </c>
      <c r="H139" s="12" t="str">
        <f aca="false">IF('Demanda por puesto'!$P$203=0,"—",IF(parametros_recargas!$N$81=0,$N$7,IF(H11&lt;=$O$9,$N$2,IF(parametros_recargas!$D$81="Tercerizado",$N$6,IF(H75&lt;$O$10,$N$3,IF(parametros_recargas!$D$81="Manual",$N$5,$N$4))))))</f>
        <v>OK</v>
      </c>
      <c r="I139" s="12" t="str">
        <f aca="false">IF('Demanda por puesto'!$P$235=0,"—",IF(parametros_recargas!$N$81=0,$N$7,IF(I11&lt;=$O$9,$N$2,IF(parametros_recargas!$D$81="Tercerizado",$N$6,IF(I75&lt;$O$10,$N$3,IF(parametros_recargas!$D$81="Manual",$N$5,$N$4))))))</f>
        <v>OK</v>
      </c>
      <c r="J139" s="12" t="str">
        <f aca="false">IF('Demanda por puesto'!$P$267=0,"—",IF(parametros_recargas!$N$81=0,$N$7,IF(J11&lt;=$O$9,$N$2,IF(parametros_recargas!$D$81="Tercerizado",$N$6,IF(J75&lt;$O$10,$N$3,IF(parametros_recargas!$D$81="Manual",$N$5,$N$4))))))</f>
        <v>OK</v>
      </c>
      <c r="K139" s="12" t="str">
        <f aca="false">IF('Demanda por puesto'!$P$299=0,"—",IF(parametros_recargas!$N$81=0,$N$7,IF(K11&lt;=$O$9,$N$2,IF(parametros_recargas!$D$81="Tercerizado",$N$6,IF(K75&lt;$O$10,$N$3,IF(parametros_recargas!$D$81="Manual",$N$5,$N$4))))))</f>
        <v>OK</v>
      </c>
    </row>
    <row r="140" customFormat="false" ht="15" hidden="false" customHeight="false" outlineLevel="0" collapsed="false">
      <c r="A140" s="12" t="str">
        <f aca="false">parametros_recargas!$B$82</f>
        <v>Laboratorio — Puffer y mufla</v>
      </c>
      <c r="B140" s="12" t="str">
        <f aca="false">IF('Demanda por puesto'!$P$12=0,"—",IF(parametros_recargas!$N$82=0,$N$7,IF(B12&lt;=$O$9,$N$2,IF(parametros_recargas!$D$82="Tercerizado",$N$6,IF(B76&lt;$O$10,$N$3,IF(parametros_recargas!$D$82="Manual",$N$5,$N$4))))))</f>
        <v>OK</v>
      </c>
      <c r="C140" s="12" t="str">
        <f aca="false">IF('Demanda por puesto'!$P$44=0,"—",IF(parametros_recargas!$N$82=0,$N$7,IF(C12&lt;=$O$9,$N$2,IF(parametros_recargas!$D$82="Tercerizado",$N$6,IF(C76&lt;$O$10,$N$3,IF(parametros_recargas!$D$82="Manual",$N$5,$N$4))))))</f>
        <v>OK</v>
      </c>
      <c r="D140" s="12" t="str">
        <f aca="false">IF('Demanda por puesto'!$P$76=0,"—",IF(parametros_recargas!$N$82=0,$N$7,IF(D12&lt;=$O$9,$N$2,IF(parametros_recargas!$D$82="Tercerizado",$N$6,IF(D76&lt;$O$10,$N$3,IF(parametros_recargas!$D$82="Manual",$N$5,$N$4))))))</f>
        <v>OK</v>
      </c>
      <c r="E140" s="12" t="str">
        <f aca="false">IF('Demanda por puesto'!$P$108=0,"—",IF(parametros_recargas!$N$82=0,$N$7,IF(E12&lt;=$O$9,$N$2,IF(parametros_recargas!$D$82="Tercerizado",$N$6,IF(E76&lt;$O$10,$N$3,IF(parametros_recargas!$D$82="Manual",$N$5,$N$4))))))</f>
        <v>OK</v>
      </c>
      <c r="F140" s="12" t="str">
        <f aca="false">IF('Demanda por puesto'!$P$140=0,"—",IF(parametros_recargas!$N$82=0,$N$7,IF(F12&lt;=$O$9,$N$2,IF(parametros_recargas!$D$82="Tercerizado",$N$6,IF(F76&lt;$O$10,$N$3,IF(parametros_recargas!$D$82="Manual",$N$5,$N$4))))))</f>
        <v>OK</v>
      </c>
      <c r="G140" s="12" t="str">
        <f aca="false">IF('Demanda por puesto'!$P$172=0,"—",IF(parametros_recargas!$N$82=0,$N$7,IF(G12&lt;=$O$9,$N$2,IF(parametros_recargas!$D$82="Tercerizado",$N$6,IF(G76&lt;$O$10,$N$3,IF(parametros_recargas!$D$82="Manual",$N$5,$N$4))))))</f>
        <v>OK</v>
      </c>
      <c r="H140" s="12" t="str">
        <f aca="false">IF('Demanda por puesto'!$P$204=0,"—",IF(parametros_recargas!$N$82=0,$N$7,IF(H12&lt;=$O$9,$N$2,IF(parametros_recargas!$D$82="Tercerizado",$N$6,IF(H76&lt;$O$10,$N$3,IF(parametros_recargas!$D$82="Manual",$N$5,$N$4))))))</f>
        <v>OK</v>
      </c>
      <c r="I140" s="12" t="str">
        <f aca="false">IF('Demanda por puesto'!$P$236=0,"—",IF(parametros_recargas!$N$82=0,$N$7,IF(I12&lt;=$O$9,$N$2,IF(parametros_recargas!$D$82="Tercerizado",$N$6,IF(I76&lt;$O$10,$N$3,IF(parametros_recargas!$D$82="Manual",$N$5,$N$4))))))</f>
        <v>OK</v>
      </c>
      <c r="J140" s="12" t="str">
        <f aca="false">IF('Demanda por puesto'!$P$268=0,"—",IF(parametros_recargas!$N$82=0,$N$7,IF(J12&lt;=$O$9,$N$2,IF(parametros_recargas!$D$82="Tercerizado",$N$6,IF(J76&lt;$O$10,$N$3,IF(parametros_recargas!$D$82="Manual",$N$5,$N$4))))))</f>
        <v>OK</v>
      </c>
      <c r="K140" s="12" t="str">
        <f aca="false">IF('Demanda por puesto'!$P$300=0,"—",IF(parametros_recargas!$N$82=0,$N$7,IF(K12&lt;=$O$9,$N$2,IF(parametros_recargas!$D$82="Tercerizado",$N$6,IF(K76&lt;$O$10,$N$3,IF(parametros_recargas!$D$82="Manual",$N$5,$N$4))))))</f>
        <v>OK</v>
      </c>
    </row>
    <row r="141" customFormat="false" ht="15" hidden="false" customHeight="false" outlineLevel="0" collapsed="false">
      <c r="A141" s="12" t="str">
        <f aca="false">parametros_recargas!$B$83</f>
        <v>Prueba hidráulica</v>
      </c>
      <c r="B141" s="12" t="str">
        <f aca="false">IF('Demanda por puesto'!$P$13=0,"—",IF(parametros_recargas!$N$83=0,$N$7,IF(B13&lt;=$O$9,$N$2,IF(parametros_recargas!$D$83="Tercerizado",$N$6,IF(B77&lt;$O$10,$N$3,IF(parametros_recargas!$D$83="Manual",$N$5,$N$4))))))</f>
        <v>OK</v>
      </c>
      <c r="C141" s="12" t="str">
        <f aca="false">IF('Demanda por puesto'!$P$45=0,"—",IF(parametros_recargas!$N$83=0,$N$7,IF(C13&lt;=$O$9,$N$2,IF(parametros_recargas!$D$83="Tercerizado",$N$6,IF(C77&lt;$O$10,$N$3,IF(parametros_recargas!$D$83="Manual",$N$5,$N$4))))))</f>
        <v>OK</v>
      </c>
      <c r="D141" s="12" t="str">
        <f aca="false">IF('Demanda por puesto'!$P$77=0,"—",IF(parametros_recargas!$N$83=0,$N$7,IF(D13&lt;=$O$9,$N$2,IF(parametros_recargas!$D$83="Tercerizado",$N$6,IF(D77&lt;$O$10,$N$3,IF(parametros_recargas!$D$83="Manual",$N$5,$N$4))))))</f>
        <v>OK</v>
      </c>
      <c r="E141" s="12" t="str">
        <f aca="false">IF('Demanda por puesto'!$P$109=0,"—",IF(parametros_recargas!$N$83=0,$N$7,IF(E13&lt;=$O$9,$N$2,IF(parametros_recargas!$D$83="Tercerizado",$N$6,IF(E77&lt;$O$10,$N$3,IF(parametros_recargas!$D$83="Manual",$N$5,$N$4))))))</f>
        <v>OK</v>
      </c>
      <c r="F141" s="12" t="str">
        <f aca="false">IF('Demanda por puesto'!$P$141=0,"—",IF(parametros_recargas!$N$83=0,$N$7,IF(F13&lt;=$O$9,$N$2,IF(parametros_recargas!$D$83="Tercerizado",$N$6,IF(F77&lt;$O$10,$N$3,IF(parametros_recargas!$D$83="Manual",$N$5,$N$4))))))</f>
        <v>Agrega turno</v>
      </c>
      <c r="G141" s="12" t="str">
        <f aca="false">IF('Demanda por puesto'!$P$173=0,"—",IF(parametros_recargas!$N$83=0,$N$7,IF(G13&lt;=$O$9,$N$2,IF(parametros_recargas!$D$83="Tercerizado",$N$6,IF(G77&lt;$O$10,$N$3,IF(parametros_recargas!$D$83="Manual",$N$5,$N$4))))))</f>
        <v>Agrega turno</v>
      </c>
      <c r="H141" s="12" t="str">
        <f aca="false">IF('Demanda por puesto'!$P$205=0,"—",IF(parametros_recargas!$N$83=0,$N$7,IF(H13&lt;=$O$9,$N$2,IF(parametros_recargas!$D$83="Tercerizado",$N$6,IF(H77&lt;$O$10,$N$3,IF(parametros_recargas!$D$83="Manual",$N$5,$N$4))))))</f>
        <v>Agrega turno</v>
      </c>
      <c r="I141" s="12" t="str">
        <f aca="false">IF('Demanda por puesto'!$P$237=0,"—",IF(parametros_recargas!$N$83=0,$N$7,IF(I13&lt;=$O$9,$N$2,IF(parametros_recargas!$D$83="Tercerizado",$N$6,IF(I77&lt;$O$10,$N$3,IF(parametros_recargas!$D$83="Manual",$N$5,$N$4))))))</f>
        <v>Agrega turno</v>
      </c>
      <c r="J141" s="12" t="str">
        <f aca="false">IF('Demanda por puesto'!$P$269=0,"—",IF(parametros_recargas!$N$83=0,$N$7,IF(J13&lt;=$O$9,$N$2,IF(parametros_recargas!$D$83="Tercerizado",$N$6,IF(J77&lt;$O$10,$N$3,IF(parametros_recargas!$D$83="Manual",$N$5,$N$4))))))</f>
        <v>Agrega turno</v>
      </c>
      <c r="K141" s="12" t="str">
        <f aca="false">IF('Demanda por puesto'!$P$301=0,"—",IF(parametros_recargas!$N$83=0,$N$7,IF(K13&lt;=$O$9,$N$2,IF(parametros_recargas!$D$83="Tercerizado",$N$6,IF(K77&lt;$O$10,$N$3,IF(parametros_recargas!$D$83="Manual",$N$5,$N$4))))))</f>
        <v>Agrega turno</v>
      </c>
    </row>
    <row r="142" customFormat="false" ht="15" hidden="false" customHeight="false" outlineLevel="0" collapsed="false">
      <c r="A142" s="12" t="str">
        <f aca="false">parametros_recargas!$B$84</f>
        <v>Secado</v>
      </c>
      <c r="B142" s="12" t="str">
        <f aca="false">IF('Demanda por puesto'!$P$14=0,"—",IF(parametros_recargas!$N$84=0,$N$7,IF(B14&lt;=$O$9,$N$2,IF(parametros_recargas!$D$84="Tercerizado",$N$6,IF(B78&lt;$O$10,$N$3,IF(parametros_recargas!$D$84="Manual",$N$5,$N$4))))))</f>
        <v>OK</v>
      </c>
      <c r="C142" s="12" t="str">
        <f aca="false">IF('Demanda por puesto'!$P$46=0,"—",IF(parametros_recargas!$N$84=0,$N$7,IF(C14&lt;=$O$9,$N$2,IF(parametros_recargas!$D$84="Tercerizado",$N$6,IF(C78&lt;$O$10,$N$3,IF(parametros_recargas!$D$84="Manual",$N$5,$N$4))))))</f>
        <v>OK</v>
      </c>
      <c r="D142" s="12" t="str">
        <f aca="false">IF('Demanda por puesto'!$P$78=0,"—",IF(parametros_recargas!$N$84=0,$N$7,IF(D14&lt;=$O$9,$N$2,IF(parametros_recargas!$D$84="Tercerizado",$N$6,IF(D78&lt;$O$10,$N$3,IF(parametros_recargas!$D$84="Manual",$N$5,$N$4))))))</f>
        <v>OK</v>
      </c>
      <c r="E142" s="12" t="str">
        <f aca="false">IF('Demanda por puesto'!$P$110=0,"—",IF(parametros_recargas!$N$84=0,$N$7,IF(E14&lt;=$O$9,$N$2,IF(parametros_recargas!$D$84="Tercerizado",$N$6,IF(E78&lt;$O$10,$N$3,IF(parametros_recargas!$D$84="Manual",$N$5,$N$4))))))</f>
        <v>OK</v>
      </c>
      <c r="F142" s="12" t="str">
        <f aca="false">IF('Demanda por puesto'!$P$142=0,"—",IF(parametros_recargas!$N$84=0,$N$7,IF(F14&lt;=$O$9,$N$2,IF(parametros_recargas!$D$84="Tercerizado",$N$6,IF(F78&lt;$O$10,$N$3,IF(parametros_recargas!$D$84="Manual",$N$5,$N$4))))))</f>
        <v>OK</v>
      </c>
      <c r="G142" s="12" t="str">
        <f aca="false">IF('Demanda por puesto'!$P$174=0,"—",IF(parametros_recargas!$N$84=0,$N$7,IF(G14&lt;=$O$9,$N$2,IF(parametros_recargas!$D$84="Tercerizado",$N$6,IF(G78&lt;$O$10,$N$3,IF(parametros_recargas!$D$84="Manual",$N$5,$N$4))))))</f>
        <v>Agrega turno</v>
      </c>
      <c r="H142" s="12" t="str">
        <f aca="false">IF('Demanda por puesto'!$P$206=0,"—",IF(parametros_recargas!$N$84=0,$N$7,IF(H14&lt;=$O$9,$N$2,IF(parametros_recargas!$D$84="Tercerizado",$N$6,IF(H78&lt;$O$10,$N$3,IF(parametros_recargas!$D$84="Manual",$N$5,$N$4))))))</f>
        <v>Agrega turno</v>
      </c>
      <c r="I142" s="12" t="str">
        <f aca="false">IF('Demanda por puesto'!$P$238=0,"—",IF(parametros_recargas!$N$84=0,$N$7,IF(I14&lt;=$O$9,$N$2,IF(parametros_recargas!$D$84="Tercerizado",$N$6,IF(I78&lt;$O$10,$N$3,IF(parametros_recargas!$D$84="Manual",$N$5,$N$4))))))</f>
        <v>Agrega turno</v>
      </c>
      <c r="J142" s="12" t="str">
        <f aca="false">IF('Demanda por puesto'!$P$270=0,"—",IF(parametros_recargas!$N$84=0,$N$7,IF(J14&lt;=$O$9,$N$2,IF(parametros_recargas!$D$84="Tercerizado",$N$6,IF(J78&lt;$O$10,$N$3,IF(parametros_recargas!$D$84="Manual",$N$5,$N$4))))))</f>
        <v>Agrega turno</v>
      </c>
      <c r="K142" s="12" t="str">
        <f aca="false">IF('Demanda por puesto'!$P$302=0,"—",IF(parametros_recargas!$N$84=0,$N$7,IF(K14&lt;=$O$9,$N$2,IF(parametros_recargas!$D$84="Tercerizado",$N$6,IF(K78&lt;$O$10,$N$3,IF(parametros_recargas!$D$84="Manual",$N$5,$N$4))))))</f>
        <v>Agrega turno</v>
      </c>
    </row>
    <row r="143" customFormat="false" ht="15" hidden="false" customHeight="false" outlineLevel="0" collapsed="false">
      <c r="A143" s="12" t="str">
        <f aca="false">parametros_recargas!$B$85</f>
        <v>Inspección interior con videoscopio</v>
      </c>
      <c r="B143" s="12" t="str">
        <f aca="false">IF('Demanda por puesto'!$P$15=0,"—",IF(parametros_recargas!$N$85=0,$N$7,IF(B15&lt;=$O$9,$N$2,IF(parametros_recargas!$D$85="Tercerizado",$N$6,IF(B79&lt;$O$10,$N$3,IF(parametros_recargas!$D$85="Manual",$N$5,$N$4))))))</f>
        <v>OK</v>
      </c>
      <c r="C143" s="12" t="str">
        <f aca="false">IF('Demanda por puesto'!$P$47=0,"—",IF(parametros_recargas!$N$85=0,$N$7,IF(C15&lt;=$O$9,$N$2,IF(parametros_recargas!$D$85="Tercerizado",$N$6,IF(C79&lt;$O$10,$N$3,IF(parametros_recargas!$D$85="Manual",$N$5,$N$4))))))</f>
        <v>OK</v>
      </c>
      <c r="D143" s="12" t="str">
        <f aca="false">IF('Demanda por puesto'!$P$79=0,"—",IF(parametros_recargas!$N$85=0,$N$7,IF(D15&lt;=$O$9,$N$2,IF(parametros_recargas!$D$85="Tercerizado",$N$6,IF(D79&lt;$O$10,$N$3,IF(parametros_recargas!$D$85="Manual",$N$5,$N$4))))))</f>
        <v>OK</v>
      </c>
      <c r="E143" s="12" t="str">
        <f aca="false">IF('Demanda por puesto'!$P$111=0,"—",IF(parametros_recargas!$N$85=0,$N$7,IF(E15&lt;=$O$9,$N$2,IF(parametros_recargas!$D$85="Tercerizado",$N$6,IF(E79&lt;$O$10,$N$3,IF(parametros_recargas!$D$85="Manual",$N$5,$N$4))))))</f>
        <v>OK</v>
      </c>
      <c r="F143" s="12" t="str">
        <f aca="false">IF('Demanda por puesto'!$P$143=0,"—",IF(parametros_recargas!$N$85=0,$N$7,IF(F15&lt;=$O$9,$N$2,IF(parametros_recargas!$D$85="Tercerizado",$N$6,IF(F79&lt;$O$10,$N$3,IF(parametros_recargas!$D$85="Manual",$N$5,$N$4))))))</f>
        <v>OK</v>
      </c>
      <c r="G143" s="12" t="str">
        <f aca="false">IF('Demanda por puesto'!$P$175=0,"—",IF(parametros_recargas!$N$85=0,$N$7,IF(G15&lt;=$O$9,$N$2,IF(parametros_recargas!$D$85="Tercerizado",$N$6,IF(G79&lt;$O$10,$N$3,IF(parametros_recargas!$D$85="Manual",$N$5,$N$4))))))</f>
        <v>OK</v>
      </c>
      <c r="H143" s="12" t="str">
        <f aca="false">IF('Demanda por puesto'!$P$207=0,"—",IF(parametros_recargas!$N$85=0,$N$7,IF(H15&lt;=$O$9,$N$2,IF(parametros_recargas!$D$85="Tercerizado",$N$6,IF(H79&lt;$O$10,$N$3,IF(parametros_recargas!$D$85="Manual",$N$5,$N$4))))))</f>
        <v>OK</v>
      </c>
      <c r="I143" s="12" t="str">
        <f aca="false">IF('Demanda por puesto'!$P$239=0,"—",IF(parametros_recargas!$N$85=0,$N$7,IF(I15&lt;=$O$9,$N$2,IF(parametros_recargas!$D$85="Tercerizado",$N$6,IF(I79&lt;$O$10,$N$3,IF(parametros_recargas!$D$85="Manual",$N$5,$N$4))))))</f>
        <v>OK</v>
      </c>
      <c r="J143" s="12" t="str">
        <f aca="false">IF('Demanda por puesto'!$P$271=0,"—",IF(parametros_recargas!$N$85=0,$N$7,IF(J15&lt;=$O$9,$N$2,IF(parametros_recargas!$D$85="Tercerizado",$N$6,IF(J79&lt;$O$10,$N$3,IF(parametros_recargas!$D$85="Manual",$N$5,$N$4))))))</f>
        <v>OK</v>
      </c>
      <c r="K143" s="12" t="str">
        <f aca="false">IF('Demanda por puesto'!$P$303=0,"—",IF(parametros_recargas!$N$85=0,$N$7,IF(K15&lt;=$O$9,$N$2,IF(parametros_recargas!$D$85="Tercerizado",$N$6,IF(K79&lt;$O$10,$N$3,IF(parametros_recargas!$D$85="Manual",$N$5,$N$4))))))</f>
        <v>OK</v>
      </c>
    </row>
    <row r="144" customFormat="false" ht="15" hidden="false" customHeight="false" outlineLevel="0" collapsed="false">
      <c r="A144" s="12" t="str">
        <f aca="false">parametros_recargas!$B$86</f>
        <v>Pintura</v>
      </c>
      <c r="B144" s="12" t="str">
        <f aca="false">IF('Demanda por puesto'!$P$16=0,"—",IF(parametros_recargas!$N$86=0,$N$7,IF(B16&lt;=$O$9,$N$2,IF(parametros_recargas!$D$86="Tercerizado",$N$6,IF(B80&lt;$O$10,$N$3,IF(parametros_recargas!$D$86="Manual",$N$5,$N$4))))))</f>
        <v>OK</v>
      </c>
      <c r="C144" s="12" t="str">
        <f aca="false">IF('Demanda por puesto'!$P$48=0,"—",IF(parametros_recargas!$N$86=0,$N$7,IF(C16&lt;=$O$9,$N$2,IF(parametros_recargas!$D$86="Tercerizado",$N$6,IF(C80&lt;$O$10,$N$3,IF(parametros_recargas!$D$86="Manual",$N$5,$N$4))))))</f>
        <v>OK</v>
      </c>
      <c r="D144" s="12" t="str">
        <f aca="false">IF('Demanda por puesto'!$P$80=0,"—",IF(parametros_recargas!$N$86=0,$N$7,IF(D16&lt;=$O$9,$N$2,IF(parametros_recargas!$D$86="Tercerizado",$N$6,IF(D80&lt;$O$10,$N$3,IF(parametros_recargas!$D$86="Manual",$N$5,$N$4))))))</f>
        <v>OK</v>
      </c>
      <c r="E144" s="12" t="str">
        <f aca="false">IF('Demanda por puesto'!$P$112=0,"—",IF(parametros_recargas!$N$86=0,$N$7,IF(E16&lt;=$O$9,$N$2,IF(parametros_recargas!$D$86="Tercerizado",$N$6,IF(E80&lt;$O$10,$N$3,IF(parametros_recargas!$D$86="Manual",$N$5,$N$4))))))</f>
        <v>Agrega turno</v>
      </c>
      <c r="F144" s="12" t="str">
        <f aca="false">IF('Demanda por puesto'!$P$144=0,"—",IF(parametros_recargas!$N$86=0,$N$7,IF(F16&lt;=$O$9,$N$2,IF(parametros_recargas!$D$86="Tercerizado",$N$6,IF(F80&lt;$O$10,$N$3,IF(parametros_recargas!$D$86="Manual",$N$5,$N$4))))))</f>
        <v>Agrega turno</v>
      </c>
      <c r="G144" s="12" t="str">
        <f aca="false">IF('Demanda por puesto'!$P$176=0,"—",IF(parametros_recargas!$N$86=0,$N$7,IF(G16&lt;=$O$9,$N$2,IF(parametros_recargas!$D$86="Tercerizado",$N$6,IF(G80&lt;$O$10,$N$3,IF(parametros_recargas!$D$86="Manual",$N$5,$N$4))))))</f>
        <v>Agrega turno</v>
      </c>
      <c r="H144" s="12" t="str">
        <f aca="false">IF('Demanda por puesto'!$P$208=0,"—",IF(parametros_recargas!$N$86=0,$N$7,IF(H16&lt;=$O$9,$N$2,IF(parametros_recargas!$D$86="Tercerizado",$N$6,IF(H80&lt;$O$10,$N$3,IF(parametros_recargas!$D$86="Manual",$N$5,$N$4))))))</f>
        <v>Agrega turno</v>
      </c>
      <c r="I144" s="12" t="str">
        <f aca="false">IF('Demanda por puesto'!$P$240=0,"—",IF(parametros_recargas!$N$86=0,$N$7,IF(I16&lt;=$O$9,$N$2,IF(parametros_recargas!$D$86="Tercerizado",$N$6,IF(I80&lt;$O$10,$N$3,IF(parametros_recargas!$D$86="Manual",$N$5,$N$4))))))</f>
        <v>Agrega turno</v>
      </c>
      <c r="J144" s="12" t="str">
        <f aca="false">IF('Demanda por puesto'!$P$272=0,"—",IF(parametros_recargas!$N$86=0,$N$7,IF(J16&lt;=$O$9,$N$2,IF(parametros_recargas!$D$86="Tercerizado",$N$6,IF(J80&lt;$O$10,$N$3,IF(parametros_recargas!$D$86="Manual",$N$5,$N$4))))))</f>
        <v>Agrega turno</v>
      </c>
      <c r="K144" s="12" t="str">
        <f aca="false">IF('Demanda por puesto'!$P$304=0,"—",IF(parametros_recargas!$N$86=0,$N$7,IF(K16&lt;=$O$9,$N$2,IF(parametros_recargas!$D$86="Tercerizado",$N$6,IF(K80&lt;$O$10,$N$3,IF(parametros_recargas!$D$86="Manual",$N$5,$N$4))))))</f>
        <v>Agrega turno</v>
      </c>
    </row>
    <row r="145" customFormat="false" ht="15" hidden="false" customHeight="false" outlineLevel="0" collapsed="false">
      <c r="A145" s="12" t="str">
        <f aca="false">parametros_recargas!$B$87</f>
        <v>Carga de polvo ABC</v>
      </c>
      <c r="B145" s="12" t="str">
        <f aca="false">IF('Demanda por puesto'!$P$17=0,"—",IF(parametros_recargas!$N$87=0,$N$7,IF(B17&lt;=$O$9,$N$2,IF(parametros_recargas!$D$87="Tercerizado",$N$6,IF(B81&lt;$O$10,$N$3,IF(parametros_recargas!$D$87="Manual",$N$5,$N$4))))))</f>
        <v>OK</v>
      </c>
      <c r="C145" s="12" t="str">
        <f aca="false">IF('Demanda por puesto'!$P$49=0,"—",IF(parametros_recargas!$N$87=0,$N$7,IF(C17&lt;=$O$9,$N$2,IF(parametros_recargas!$D$87="Tercerizado",$N$6,IF(C81&lt;$O$10,$N$3,IF(parametros_recargas!$D$87="Manual",$N$5,$N$4))))))</f>
        <v>OK</v>
      </c>
      <c r="D145" s="12" t="str">
        <f aca="false">IF('Demanda por puesto'!$P$81=0,"—",IF(parametros_recargas!$N$87=0,$N$7,IF(D17&lt;=$O$9,$N$2,IF(parametros_recargas!$D$87="Tercerizado",$N$6,IF(D81&lt;$O$10,$N$3,IF(parametros_recargas!$D$87="Manual",$N$5,$N$4))))))</f>
        <v>OK</v>
      </c>
      <c r="E145" s="12" t="str">
        <f aca="false">IF('Demanda por puesto'!$P$113=0,"—",IF(parametros_recargas!$N$87=0,$N$7,IF(E17&lt;=$O$9,$N$2,IF(parametros_recargas!$D$87="Tercerizado",$N$6,IF(E81&lt;$O$10,$N$3,IF(parametros_recargas!$D$87="Manual",$N$5,$N$4))))))</f>
        <v>Agrega turno</v>
      </c>
      <c r="F145" s="12" t="str">
        <f aca="false">IF('Demanda por puesto'!$P$145=0,"—",IF(parametros_recargas!$N$87=0,$N$7,IF(F17&lt;=$O$9,$N$2,IF(parametros_recargas!$D$87="Tercerizado",$N$6,IF(F81&lt;$O$10,$N$3,IF(parametros_recargas!$D$87="Manual",$N$5,$N$4))))))</f>
        <v>Agrega turno</v>
      </c>
      <c r="G145" s="12" t="str">
        <f aca="false">IF('Demanda por puesto'!$P$177=0,"—",IF(parametros_recargas!$N$87=0,$N$7,IF(G17&lt;=$O$9,$N$2,IF(parametros_recargas!$D$87="Tercerizado",$N$6,IF(G81&lt;$O$10,$N$3,IF(parametros_recargas!$D$87="Manual",$N$5,$N$4))))))</f>
        <v>Agrega turno</v>
      </c>
      <c r="H145" s="12" t="str">
        <f aca="false">IF('Demanda por puesto'!$P$209=0,"—",IF(parametros_recargas!$N$87=0,$N$7,IF(H17&lt;=$O$9,$N$2,IF(parametros_recargas!$D$87="Tercerizado",$N$6,IF(H81&lt;$O$10,$N$3,IF(parametros_recargas!$D$87="Manual",$N$5,$N$4))))))</f>
        <v>Agrega turno</v>
      </c>
      <c r="I145" s="12" t="str">
        <f aca="false">IF('Demanda por puesto'!$P$241=0,"—",IF(parametros_recargas!$N$87=0,$N$7,IF(I17&lt;=$O$9,$N$2,IF(parametros_recargas!$D$87="Tercerizado",$N$6,IF(I81&lt;$O$10,$N$3,IF(parametros_recargas!$D$87="Manual",$N$5,$N$4))))))</f>
        <v>Agrega turno</v>
      </c>
      <c r="J145" s="12" t="str">
        <f aca="false">IF('Demanda por puesto'!$P$273=0,"—",IF(parametros_recargas!$N$87=0,$N$7,IF(J17&lt;=$O$9,$N$2,IF(parametros_recargas!$D$87="Tercerizado",$N$6,IF(J81&lt;$O$10,$N$3,IF(parametros_recargas!$D$87="Manual",$N$5,$N$4))))))</f>
        <v>Agrega turno</v>
      </c>
      <c r="K145" s="12" t="str">
        <f aca="false">IF('Demanda por puesto'!$P$305=0,"—",IF(parametros_recargas!$N$87=0,$N$7,IF(K17&lt;=$O$9,$N$2,IF(parametros_recargas!$D$87="Tercerizado",$N$6,IF(K81&lt;$O$10,$N$3,IF(parametros_recargas!$D$87="Manual",$N$5,$N$4))))))</f>
        <v>Agrega turno</v>
      </c>
    </row>
    <row r="146" customFormat="false" ht="15" hidden="false" customHeight="false" outlineLevel="0" collapsed="false">
      <c r="A146" s="12" t="str">
        <f aca="false">parametros_recargas!$B$88</f>
        <v>Carga de polvo BC</v>
      </c>
      <c r="B146" s="12" t="str">
        <f aca="false">IF('Demanda por puesto'!$P$18=0,"—",IF(parametros_recargas!$N$88=0,$N$7,IF(B18&lt;=$O$9,$N$2,IF(parametros_recargas!$D$88="Tercerizado",$N$6,IF(B82&lt;$O$10,$N$3,IF(parametros_recargas!$D$88="Manual",$N$5,$N$4))))))</f>
        <v>OK</v>
      </c>
      <c r="C146" s="12" t="str">
        <f aca="false">IF('Demanda por puesto'!$P$50=0,"—",IF(parametros_recargas!$N$88=0,$N$7,IF(C18&lt;=$O$9,$N$2,IF(parametros_recargas!$D$88="Tercerizado",$N$6,IF(C82&lt;$O$10,$N$3,IF(parametros_recargas!$D$88="Manual",$N$5,$N$4))))))</f>
        <v>OK</v>
      </c>
      <c r="D146" s="12" t="str">
        <f aca="false">IF('Demanda por puesto'!$P$82=0,"—",IF(parametros_recargas!$N$88=0,$N$7,IF(D18&lt;=$O$9,$N$2,IF(parametros_recargas!$D$88="Tercerizado",$N$6,IF(D82&lt;$O$10,$N$3,IF(parametros_recargas!$D$88="Manual",$N$5,$N$4))))))</f>
        <v>OK</v>
      </c>
      <c r="E146" s="12" t="str">
        <f aca="false">IF('Demanda por puesto'!$P$114=0,"—",IF(parametros_recargas!$N$88=0,$N$7,IF(E18&lt;=$O$9,$N$2,IF(parametros_recargas!$D$88="Tercerizado",$N$6,IF(E82&lt;$O$10,$N$3,IF(parametros_recargas!$D$88="Manual",$N$5,$N$4))))))</f>
        <v>OK</v>
      </c>
      <c r="F146" s="12" t="str">
        <f aca="false">IF('Demanda por puesto'!$P$146=0,"—",IF(parametros_recargas!$N$88=0,$N$7,IF(F18&lt;=$O$9,$N$2,IF(parametros_recargas!$D$88="Tercerizado",$N$6,IF(F82&lt;$O$10,$N$3,IF(parametros_recargas!$D$88="Manual",$N$5,$N$4))))))</f>
        <v>OK</v>
      </c>
      <c r="G146" s="12" t="str">
        <f aca="false">IF('Demanda por puesto'!$P$178=0,"—",IF(parametros_recargas!$N$88=0,$N$7,IF(G18&lt;=$O$9,$N$2,IF(parametros_recargas!$D$88="Tercerizado",$N$6,IF(G82&lt;$O$10,$N$3,IF(parametros_recargas!$D$88="Manual",$N$5,$N$4))))))</f>
        <v>OK</v>
      </c>
      <c r="H146" s="12" t="str">
        <f aca="false">IF('Demanda por puesto'!$P$210=0,"—",IF(parametros_recargas!$N$88=0,$N$7,IF(H18&lt;=$O$9,$N$2,IF(parametros_recargas!$D$88="Tercerizado",$N$6,IF(H82&lt;$O$10,$N$3,IF(parametros_recargas!$D$88="Manual",$N$5,$N$4))))))</f>
        <v>OK</v>
      </c>
      <c r="I146" s="12" t="str">
        <f aca="false">IF('Demanda por puesto'!$P$242=0,"—",IF(parametros_recargas!$N$88=0,$N$7,IF(I18&lt;=$O$9,$N$2,IF(parametros_recargas!$D$88="Tercerizado",$N$6,IF(I82&lt;$O$10,$N$3,IF(parametros_recargas!$D$88="Manual",$N$5,$N$4))))))</f>
        <v>OK</v>
      </c>
      <c r="J146" s="12" t="str">
        <f aca="false">IF('Demanda por puesto'!$P$274=0,"—",IF(parametros_recargas!$N$88=0,$N$7,IF(J18&lt;=$O$9,$N$2,IF(parametros_recargas!$D$88="Tercerizado",$N$6,IF(J82&lt;$O$10,$N$3,IF(parametros_recargas!$D$88="Manual",$N$5,$N$4))))))</f>
        <v>OK</v>
      </c>
      <c r="K146" s="12" t="str">
        <f aca="false">IF('Demanda por puesto'!$P$306=0,"—",IF(parametros_recargas!$N$88=0,$N$7,IF(K18&lt;=$O$9,$N$2,IF(parametros_recargas!$D$88="Tercerizado",$N$6,IF(K82&lt;$O$10,$N$3,IF(parametros_recargas!$D$88="Manual",$N$5,$N$4))))))</f>
        <v>OK</v>
      </c>
    </row>
    <row r="147" customFormat="false" ht="15" hidden="false" customHeight="false" outlineLevel="0" collapsed="false">
      <c r="A147" s="12" t="str">
        <f aca="false">parametros_recargas!$B$89</f>
        <v>Descarga y carga Clase D</v>
      </c>
      <c r="B147" s="12" t="str">
        <f aca="false">IF('Demanda por puesto'!$P$19=0,"—",IF(parametros_recargas!$N$89=0,$N$7,IF(B19&lt;=$O$9,$N$2,IF(parametros_recargas!$D$89="Tercerizado",$N$6,IF(B83&lt;$O$10,$N$3,IF(parametros_recargas!$D$89="Manual",$N$5,$N$4))))))</f>
        <v>OK</v>
      </c>
      <c r="C147" s="12" t="str">
        <f aca="false">IF('Demanda por puesto'!$P$51=0,"—",IF(parametros_recargas!$N$89=0,$N$7,IF(C19&lt;=$O$9,$N$2,IF(parametros_recargas!$D$89="Tercerizado",$N$6,IF(C83&lt;$O$10,$N$3,IF(parametros_recargas!$D$89="Manual",$N$5,$N$4))))))</f>
        <v>OK</v>
      </c>
      <c r="D147" s="12" t="str">
        <f aca="false">IF('Demanda por puesto'!$P$83=0,"—",IF(parametros_recargas!$N$89=0,$N$7,IF(D19&lt;=$O$9,$N$2,IF(parametros_recargas!$D$89="Tercerizado",$N$6,IF(D83&lt;$O$10,$N$3,IF(parametros_recargas!$D$89="Manual",$N$5,$N$4))))))</f>
        <v>OK</v>
      </c>
      <c r="E147" s="12" t="str">
        <f aca="false">IF('Demanda por puesto'!$P$115=0,"—",IF(parametros_recargas!$N$89=0,$N$7,IF(E19&lt;=$O$9,$N$2,IF(parametros_recargas!$D$89="Tercerizado",$N$6,IF(E83&lt;$O$10,$N$3,IF(parametros_recargas!$D$89="Manual",$N$5,$N$4))))))</f>
        <v>OK</v>
      </c>
      <c r="F147" s="12" t="str">
        <f aca="false">IF('Demanda por puesto'!$P$147=0,"—",IF(parametros_recargas!$N$89=0,$N$7,IF(F19&lt;=$O$9,$N$2,IF(parametros_recargas!$D$89="Tercerizado",$N$6,IF(F83&lt;$O$10,$N$3,IF(parametros_recargas!$D$89="Manual",$N$5,$N$4))))))</f>
        <v>OK</v>
      </c>
      <c r="G147" s="12" t="str">
        <f aca="false">IF('Demanda por puesto'!$P$179=0,"—",IF(parametros_recargas!$N$89=0,$N$7,IF(G19&lt;=$O$9,$N$2,IF(parametros_recargas!$D$89="Tercerizado",$N$6,IF(G83&lt;$O$10,$N$3,IF(parametros_recargas!$D$89="Manual",$N$5,$N$4))))))</f>
        <v>OK</v>
      </c>
      <c r="H147" s="12" t="str">
        <f aca="false">IF('Demanda por puesto'!$P$211=0,"—",IF(parametros_recargas!$N$89=0,$N$7,IF(H19&lt;=$O$9,$N$2,IF(parametros_recargas!$D$89="Tercerizado",$N$6,IF(H83&lt;$O$10,$N$3,IF(parametros_recargas!$D$89="Manual",$N$5,$N$4))))))</f>
        <v>OK</v>
      </c>
      <c r="I147" s="12" t="str">
        <f aca="false">IF('Demanda por puesto'!$P$243=0,"—",IF(parametros_recargas!$N$89=0,$N$7,IF(I19&lt;=$O$9,$N$2,IF(parametros_recargas!$D$89="Tercerizado",$N$6,IF(I83&lt;$O$10,$N$3,IF(parametros_recargas!$D$89="Manual",$N$5,$N$4))))))</f>
        <v>OK</v>
      </c>
      <c r="J147" s="12" t="str">
        <f aca="false">IF('Demanda por puesto'!$P$275=0,"—",IF(parametros_recargas!$N$89=0,$N$7,IF(J19&lt;=$O$9,$N$2,IF(parametros_recargas!$D$89="Tercerizado",$N$6,IF(J83&lt;$O$10,$N$3,IF(parametros_recargas!$D$89="Manual",$N$5,$N$4))))))</f>
        <v>OK</v>
      </c>
      <c r="K147" s="12" t="str">
        <f aca="false">IF('Demanda por puesto'!$P$307=0,"—",IF(parametros_recargas!$N$89=0,$N$7,IF(K19&lt;=$O$9,$N$2,IF(parametros_recargas!$D$89="Tercerizado",$N$6,IF(K83&lt;$O$10,$N$3,IF(parametros_recargas!$D$89="Manual",$N$5,$N$4))))))</f>
        <v>OK</v>
      </c>
    </row>
    <row r="148" customFormat="false" ht="15" hidden="false" customHeight="false" outlineLevel="0" collapsed="false">
      <c r="A148" s="12" t="str">
        <f aca="false">parametros_recargas!$B$90</f>
        <v>Carga de agua / AFFF / sales K</v>
      </c>
      <c r="B148" s="12" t="str">
        <f aca="false">IF('Demanda por puesto'!$P$20=0,"—",IF(parametros_recargas!$N$90=0,$N$7,IF(B20&lt;=$O$9,$N$2,IF(parametros_recargas!$D$90="Tercerizado",$N$6,IF(B84&lt;$O$10,$N$3,IF(parametros_recargas!$D$90="Manual",$N$5,$N$4))))))</f>
        <v>OK</v>
      </c>
      <c r="C148" s="12" t="str">
        <f aca="false">IF('Demanda por puesto'!$P$52=0,"—",IF(parametros_recargas!$N$90=0,$N$7,IF(C20&lt;=$O$9,$N$2,IF(parametros_recargas!$D$90="Tercerizado",$N$6,IF(C84&lt;$O$10,$N$3,IF(parametros_recargas!$D$90="Manual",$N$5,$N$4))))))</f>
        <v>OK</v>
      </c>
      <c r="D148" s="12" t="str">
        <f aca="false">IF('Demanda por puesto'!$P$84=0,"—",IF(parametros_recargas!$N$90=0,$N$7,IF(D20&lt;=$O$9,$N$2,IF(parametros_recargas!$D$90="Tercerizado",$N$6,IF(D84&lt;$O$10,$N$3,IF(parametros_recargas!$D$90="Manual",$N$5,$N$4))))))</f>
        <v>OK</v>
      </c>
      <c r="E148" s="12" t="str">
        <f aca="false">IF('Demanda por puesto'!$P$116=0,"—",IF(parametros_recargas!$N$90=0,$N$7,IF(E20&lt;=$O$9,$N$2,IF(parametros_recargas!$D$90="Tercerizado",$N$6,IF(E84&lt;$O$10,$N$3,IF(parametros_recargas!$D$90="Manual",$N$5,$N$4))))))</f>
        <v>OK</v>
      </c>
      <c r="F148" s="12" t="str">
        <f aca="false">IF('Demanda por puesto'!$P$148=0,"—",IF(parametros_recargas!$N$90=0,$N$7,IF(F20&lt;=$O$9,$N$2,IF(parametros_recargas!$D$90="Tercerizado",$N$6,IF(F84&lt;$O$10,$N$3,IF(parametros_recargas!$D$90="Manual",$N$5,$N$4))))))</f>
        <v>OK</v>
      </c>
      <c r="G148" s="12" t="str">
        <f aca="false">IF('Demanda por puesto'!$P$180=0,"—",IF(parametros_recargas!$N$90=0,$N$7,IF(G20&lt;=$O$9,$N$2,IF(parametros_recargas!$D$90="Tercerizado",$N$6,IF(G84&lt;$O$10,$N$3,IF(parametros_recargas!$D$90="Manual",$N$5,$N$4))))))</f>
        <v>OK</v>
      </c>
      <c r="H148" s="12" t="str">
        <f aca="false">IF('Demanda por puesto'!$P$212=0,"—",IF(parametros_recargas!$N$90=0,$N$7,IF(H20&lt;=$O$9,$N$2,IF(parametros_recargas!$D$90="Tercerizado",$N$6,IF(H84&lt;$O$10,$N$3,IF(parametros_recargas!$D$90="Manual",$N$5,$N$4))))))</f>
        <v>OK</v>
      </c>
      <c r="I148" s="12" t="str">
        <f aca="false">IF('Demanda por puesto'!$P$244=0,"—",IF(parametros_recargas!$N$90=0,$N$7,IF(I20&lt;=$O$9,$N$2,IF(parametros_recargas!$D$90="Tercerizado",$N$6,IF(I84&lt;$O$10,$N$3,IF(parametros_recargas!$D$90="Manual",$N$5,$N$4))))))</f>
        <v>OK</v>
      </c>
      <c r="J148" s="12" t="str">
        <f aca="false">IF('Demanda por puesto'!$P$276=0,"—",IF(parametros_recargas!$N$90=0,$N$7,IF(J20&lt;=$O$9,$N$2,IF(parametros_recargas!$D$90="Tercerizado",$N$6,IF(J84&lt;$O$10,$N$3,IF(parametros_recargas!$D$90="Manual",$N$5,$N$4))))))</f>
        <v>OK</v>
      </c>
      <c r="K148" s="12" t="str">
        <f aca="false">IF('Demanda por puesto'!$P$308=0,"—",IF(parametros_recargas!$N$90=0,$N$7,IF(K20&lt;=$O$9,$N$2,IF(parametros_recargas!$D$90="Tercerizado",$N$6,IF(K84&lt;$O$10,$N$3,IF(parametros_recargas!$D$90="Manual",$N$5,$N$4))))))</f>
        <v>OK</v>
      </c>
    </row>
    <row r="149" customFormat="false" ht="15" hidden="false" customHeight="false" outlineLevel="0" collapsed="false">
      <c r="A149" s="12" t="str">
        <f aca="false">parametros_recargas!$B$91</f>
        <v>Carga de CO₂</v>
      </c>
      <c r="B149" s="12" t="str">
        <f aca="false">IF('Demanda por puesto'!$P$21=0,"—",IF(parametros_recargas!$N$91=0,$N$7,IF(B21&lt;=$O$9,$N$2,IF(parametros_recargas!$D$91="Tercerizado",$N$6,IF(B85&lt;$O$10,$N$3,IF(parametros_recargas!$D$91="Manual",$N$5,$N$4))))))</f>
        <v>OK</v>
      </c>
      <c r="C149" s="12" t="str">
        <f aca="false">IF('Demanda por puesto'!$P$53=0,"—",IF(parametros_recargas!$N$91=0,$N$7,IF(C21&lt;=$O$9,$N$2,IF(parametros_recargas!$D$91="Tercerizado",$N$6,IF(C85&lt;$O$10,$N$3,IF(parametros_recargas!$D$91="Manual",$N$5,$N$4))))))</f>
        <v>OK</v>
      </c>
      <c r="D149" s="12" t="str">
        <f aca="false">IF('Demanda por puesto'!$P$85=0,"—",IF(parametros_recargas!$N$91=0,$N$7,IF(D21&lt;=$O$9,$N$2,IF(parametros_recargas!$D$91="Tercerizado",$N$6,IF(D85&lt;$O$10,$N$3,IF(parametros_recargas!$D$91="Manual",$N$5,$N$4))))))</f>
        <v>OK</v>
      </c>
      <c r="E149" s="12" t="str">
        <f aca="false">IF('Demanda por puesto'!$P$117=0,"—",IF(parametros_recargas!$N$91=0,$N$7,IF(E21&lt;=$O$9,$N$2,IF(parametros_recargas!$D$91="Tercerizado",$N$6,IF(E85&lt;$O$10,$N$3,IF(parametros_recargas!$D$91="Manual",$N$5,$N$4))))))</f>
        <v>OK</v>
      </c>
      <c r="F149" s="12" t="str">
        <f aca="false">IF('Demanda por puesto'!$P$149=0,"—",IF(parametros_recargas!$N$91=0,$N$7,IF(F21&lt;=$O$9,$N$2,IF(parametros_recargas!$D$91="Tercerizado",$N$6,IF(F85&lt;$O$10,$N$3,IF(parametros_recargas!$D$91="Manual",$N$5,$N$4))))))</f>
        <v>OK</v>
      </c>
      <c r="G149" s="12" t="str">
        <f aca="false">IF('Demanda por puesto'!$P$181=0,"—",IF(parametros_recargas!$N$91=0,$N$7,IF(G21&lt;=$O$9,$N$2,IF(parametros_recargas!$D$91="Tercerizado",$N$6,IF(G85&lt;$O$10,$N$3,IF(parametros_recargas!$D$91="Manual",$N$5,$N$4))))))</f>
        <v>OK</v>
      </c>
      <c r="H149" s="12" t="str">
        <f aca="false">IF('Demanda por puesto'!$P$213=0,"—",IF(parametros_recargas!$N$91=0,$N$7,IF(H21&lt;=$O$9,$N$2,IF(parametros_recargas!$D$91="Tercerizado",$N$6,IF(H85&lt;$O$10,$N$3,IF(parametros_recargas!$D$91="Manual",$N$5,$N$4))))))</f>
        <v>OK</v>
      </c>
      <c r="I149" s="12" t="str">
        <f aca="false">IF('Demanda por puesto'!$P$245=0,"—",IF(parametros_recargas!$N$91=0,$N$7,IF(I21&lt;=$O$9,$N$2,IF(parametros_recargas!$D$91="Tercerizado",$N$6,IF(I85&lt;$O$10,$N$3,IF(parametros_recargas!$D$91="Manual",$N$5,$N$4))))))</f>
        <v>OK</v>
      </c>
      <c r="J149" s="12" t="str">
        <f aca="false">IF('Demanda por puesto'!$P$277=0,"—",IF(parametros_recargas!$N$91=0,$N$7,IF(J21&lt;=$O$9,$N$2,IF(parametros_recargas!$D$91="Tercerizado",$N$6,IF(J85&lt;$O$10,$N$3,IF(parametros_recargas!$D$91="Manual",$N$5,$N$4))))))</f>
        <v>OK</v>
      </c>
      <c r="K149" s="12" t="str">
        <f aca="false">IF('Demanda por puesto'!$P$309=0,"—",IF(parametros_recargas!$N$91=0,$N$7,IF(K21&lt;=$O$9,$N$2,IF(parametros_recargas!$D$91="Tercerizado",$N$6,IF(K85&lt;$O$10,$N$3,IF(parametros_recargas!$D$91="Manual",$N$5,$N$4))))))</f>
        <v>OK</v>
      </c>
    </row>
    <row r="150" customFormat="false" ht="15" hidden="false" customHeight="false" outlineLevel="0" collapsed="false">
      <c r="A150" s="12" t="str">
        <f aca="false">parametros_recargas!$B$92</f>
        <v>Ensamblaje y marbete — recinto</v>
      </c>
      <c r="B150" s="12" t="str">
        <f aca="false">IF('Demanda por puesto'!$P$22=0,"—",IF(parametros_recargas!$N$92=0,$N$7,IF(B22&lt;=$O$9,$N$2,IF(parametros_recargas!$D$92="Tercerizado",$N$6,IF(B86&lt;$O$10,$N$3,IF(parametros_recargas!$D$92="Manual",$N$5,$N$4))))))</f>
        <v>OK</v>
      </c>
      <c r="C150" s="12" t="str">
        <f aca="false">IF('Demanda por puesto'!$P$54=0,"—",IF(parametros_recargas!$N$92=0,$N$7,IF(C22&lt;=$O$9,$N$2,IF(parametros_recargas!$D$92="Tercerizado",$N$6,IF(C86&lt;$O$10,$N$3,IF(parametros_recargas!$D$92="Manual",$N$5,$N$4))))))</f>
        <v>OK</v>
      </c>
      <c r="D150" s="12" t="str">
        <f aca="false">IF('Demanda por puesto'!$P$86=0,"—",IF(parametros_recargas!$N$92=0,$N$7,IF(D22&lt;=$O$9,$N$2,IF(parametros_recargas!$D$92="Tercerizado",$N$6,IF(D86&lt;$O$10,$N$3,IF(parametros_recargas!$D$92="Manual",$N$5,$N$4))))))</f>
        <v>OK</v>
      </c>
      <c r="E150" s="12" t="str">
        <f aca="false">IF('Demanda por puesto'!$P$118=0,"—",IF(parametros_recargas!$N$92=0,$N$7,IF(E22&lt;=$O$9,$N$2,IF(parametros_recargas!$D$92="Tercerizado",$N$6,IF(E86&lt;$O$10,$N$3,IF(parametros_recargas!$D$92="Manual",$N$5,$N$4))))))</f>
        <v>Agrega turno</v>
      </c>
      <c r="F150" s="12" t="str">
        <f aca="false">IF('Demanda por puesto'!$P$150=0,"—",IF(parametros_recargas!$N$92=0,$N$7,IF(F22&lt;=$O$9,$N$2,IF(parametros_recargas!$D$92="Tercerizado",$N$6,IF(F86&lt;$O$10,$N$3,IF(parametros_recargas!$D$92="Manual",$N$5,$N$4))))))</f>
        <v>Agrega turno</v>
      </c>
      <c r="G150" s="12" t="str">
        <f aca="false">IF('Demanda por puesto'!$P$182=0,"—",IF(parametros_recargas!$N$92=0,$N$7,IF(G22&lt;=$O$9,$N$2,IF(parametros_recargas!$D$92="Tercerizado",$N$6,IF(G86&lt;$O$10,$N$3,IF(parametros_recargas!$D$92="Manual",$N$5,$N$4))))))</f>
        <v>Agrega turno</v>
      </c>
      <c r="H150" s="12" t="str">
        <f aca="false">IF('Demanda por puesto'!$P$214=0,"—",IF(parametros_recargas!$N$92=0,$N$7,IF(H22&lt;=$O$9,$N$2,IF(parametros_recargas!$D$92="Tercerizado",$N$6,IF(H86&lt;$O$10,$N$3,IF(parametros_recargas!$D$92="Manual",$N$5,$N$4))))))</f>
        <v>Agrega turno</v>
      </c>
      <c r="I150" s="12" t="str">
        <f aca="false">IF('Demanda por puesto'!$P$246=0,"—",IF(parametros_recargas!$N$92=0,$N$7,IF(I22&lt;=$O$9,$N$2,IF(parametros_recargas!$D$92="Tercerizado",$N$6,IF(I86&lt;$O$10,$N$3,IF(parametros_recargas!$D$92="Manual",$N$5,$N$4))))))</f>
        <v>Agrega turno</v>
      </c>
      <c r="J150" s="12" t="str">
        <f aca="false">IF('Demanda por puesto'!$P$278=0,"—",IF(parametros_recargas!$N$92=0,$N$7,IF(J22&lt;=$O$9,$N$2,IF(parametros_recargas!$D$92="Tercerizado",$N$6,IF(J86&lt;$O$10,$N$3,IF(parametros_recargas!$D$92="Manual",$N$5,$N$4))))))</f>
        <v>Agrega turno</v>
      </c>
      <c r="K150" s="12" t="str">
        <f aca="false">IF('Demanda por puesto'!$P$310=0,"—",IF(parametros_recargas!$N$92=0,$N$7,IF(K22&lt;=$O$9,$N$2,IF(parametros_recargas!$D$92="Tercerizado",$N$6,IF(K86&lt;$O$10,$N$3,IF(parametros_recargas!$D$92="Manual",$N$5,$N$4))))))</f>
        <v>Agrega turno</v>
      </c>
    </row>
    <row r="151" customFormat="false" ht="15" hidden="false" customHeight="false" outlineLevel="0" collapsed="false">
      <c r="A151" s="12" t="str">
        <f aca="false">parametros_recargas!$B$93</f>
        <v>Presurización — recinto</v>
      </c>
      <c r="B151" s="12" t="str">
        <f aca="false">IF('Demanda por puesto'!$P$23=0,"—",IF(parametros_recargas!$N$93=0,$N$7,IF(B23&lt;=$O$9,$N$2,IF(parametros_recargas!$D$93="Tercerizado",$N$6,IF(B87&lt;$O$10,$N$3,IF(parametros_recargas!$D$93="Manual",$N$5,$N$4))))))</f>
        <v>OK</v>
      </c>
      <c r="C151" s="12" t="str">
        <f aca="false">IF('Demanda por puesto'!$P$55=0,"—",IF(parametros_recargas!$N$93=0,$N$7,IF(C23&lt;=$O$9,$N$2,IF(parametros_recargas!$D$93="Tercerizado",$N$6,IF(C87&lt;$O$10,$N$3,IF(parametros_recargas!$D$93="Manual",$N$5,$N$4))))))</f>
        <v>OK</v>
      </c>
      <c r="D151" s="12" t="str">
        <f aca="false">IF('Demanda por puesto'!$P$87=0,"—",IF(parametros_recargas!$N$93=0,$N$7,IF(D23&lt;=$O$9,$N$2,IF(parametros_recargas!$D$93="Tercerizado",$N$6,IF(D87&lt;$O$10,$N$3,IF(parametros_recargas!$D$93="Manual",$N$5,$N$4))))))</f>
        <v>OK</v>
      </c>
      <c r="E151" s="12" t="str">
        <f aca="false">IF('Demanda por puesto'!$P$119=0,"—",IF(parametros_recargas!$N$93=0,$N$7,IF(E23&lt;=$O$9,$N$2,IF(parametros_recargas!$D$93="Tercerizado",$N$6,IF(E87&lt;$O$10,$N$3,IF(parametros_recargas!$D$93="Manual",$N$5,$N$4))))))</f>
        <v>OK</v>
      </c>
      <c r="F151" s="12" t="str">
        <f aca="false">IF('Demanda por puesto'!$P$151=0,"—",IF(parametros_recargas!$N$93=0,$N$7,IF(F23&lt;=$O$9,$N$2,IF(parametros_recargas!$D$93="Tercerizado",$N$6,IF(F87&lt;$O$10,$N$3,IF(parametros_recargas!$D$93="Manual",$N$5,$N$4))))))</f>
        <v>Agrega turno</v>
      </c>
      <c r="G151" s="12" t="str">
        <f aca="false">IF('Demanda por puesto'!$P$183=0,"—",IF(parametros_recargas!$N$93=0,$N$7,IF(G23&lt;=$O$9,$N$2,IF(parametros_recargas!$D$93="Tercerizado",$N$6,IF(G87&lt;$O$10,$N$3,IF(parametros_recargas!$D$93="Manual",$N$5,$N$4))))))</f>
        <v>Agrega turno</v>
      </c>
      <c r="H151" s="12" t="str">
        <f aca="false">IF('Demanda por puesto'!$P$215=0,"—",IF(parametros_recargas!$N$93=0,$N$7,IF(H23&lt;=$O$9,$N$2,IF(parametros_recargas!$D$93="Tercerizado",$N$6,IF(H87&lt;$O$10,$N$3,IF(parametros_recargas!$D$93="Manual",$N$5,$N$4))))))</f>
        <v>Agrega turno</v>
      </c>
      <c r="I151" s="12" t="str">
        <f aca="false">IF('Demanda por puesto'!$P$247=0,"—",IF(parametros_recargas!$N$93=0,$N$7,IF(I23&lt;=$O$9,$N$2,IF(parametros_recargas!$D$93="Tercerizado",$N$6,IF(I87&lt;$O$10,$N$3,IF(parametros_recargas!$D$93="Manual",$N$5,$N$4))))))</f>
        <v>Agrega turno</v>
      </c>
      <c r="J151" s="12" t="str">
        <f aca="false">IF('Demanda por puesto'!$P$279=0,"—",IF(parametros_recargas!$N$93=0,$N$7,IF(J23&lt;=$O$9,$N$2,IF(parametros_recargas!$D$93="Tercerizado",$N$6,IF(J87&lt;$O$10,$N$3,IF(parametros_recargas!$D$93="Manual",$N$5,$N$4))))))</f>
        <v>Agrega turno</v>
      </c>
      <c r="K151" s="12" t="str">
        <f aca="false">IF('Demanda por puesto'!$P$311=0,"—",IF(parametros_recargas!$N$93=0,$N$7,IF(K23&lt;=$O$9,$N$2,IF(parametros_recargas!$D$93="Tercerizado",$N$6,IF(K87&lt;$O$10,$N$3,IF(parametros_recargas!$D$93="Manual",$N$5,$N$4))))))</f>
        <v>Agrega turno</v>
      </c>
    </row>
    <row r="152" customFormat="false" ht="15" hidden="false" customHeight="false" outlineLevel="0" collapsed="false">
      <c r="A152" s="12" t="str">
        <f aca="false">parametros_recargas!$B$94</f>
        <v>Ensamblaje y presurización — zona general</v>
      </c>
      <c r="B152" s="12" t="str">
        <f aca="false">IF('Demanda por puesto'!$P$24=0,"—",IF(parametros_recargas!$N$94=0,$N$7,IF(B24&lt;=$O$9,$N$2,IF(parametros_recargas!$D$94="Tercerizado",$N$6,IF(B88&lt;$O$10,$N$3,IF(parametros_recargas!$D$94="Manual",$N$5,$N$4))))))</f>
        <v>OK</v>
      </c>
      <c r="C152" s="12" t="str">
        <f aca="false">IF('Demanda por puesto'!$P$56=0,"—",IF(parametros_recargas!$N$94=0,$N$7,IF(C24&lt;=$O$9,$N$2,IF(parametros_recargas!$D$94="Tercerizado",$N$6,IF(C88&lt;$O$10,$N$3,IF(parametros_recargas!$D$94="Manual",$N$5,$N$4))))))</f>
        <v>OK</v>
      </c>
      <c r="D152" s="12" t="str">
        <f aca="false">IF('Demanda por puesto'!$P$88=0,"—",IF(parametros_recargas!$N$94=0,$N$7,IF(D24&lt;=$O$9,$N$2,IF(parametros_recargas!$D$94="Tercerizado",$N$6,IF(D88&lt;$O$10,$N$3,IF(parametros_recargas!$D$94="Manual",$N$5,$N$4))))))</f>
        <v>OK</v>
      </c>
      <c r="E152" s="12" t="str">
        <f aca="false">IF('Demanda por puesto'!$P$120=0,"—",IF(parametros_recargas!$N$94=0,$N$7,IF(E24&lt;=$O$9,$N$2,IF(parametros_recargas!$D$94="Tercerizado",$N$6,IF(E88&lt;$O$10,$N$3,IF(parametros_recargas!$D$94="Manual",$N$5,$N$4))))))</f>
        <v>OK</v>
      </c>
      <c r="F152" s="12" t="str">
        <f aca="false">IF('Demanda por puesto'!$P$152=0,"—",IF(parametros_recargas!$N$94=0,$N$7,IF(F24&lt;=$O$9,$N$2,IF(parametros_recargas!$D$94="Tercerizado",$N$6,IF(F88&lt;$O$10,$N$3,IF(parametros_recargas!$D$94="Manual",$N$5,$N$4))))))</f>
        <v>OK</v>
      </c>
      <c r="G152" s="12" t="str">
        <f aca="false">IF('Demanda por puesto'!$P$184=0,"—",IF(parametros_recargas!$N$94=0,$N$7,IF(G24&lt;=$O$9,$N$2,IF(parametros_recargas!$D$94="Tercerizado",$N$6,IF(G88&lt;$O$10,$N$3,IF(parametros_recargas!$D$94="Manual",$N$5,$N$4))))))</f>
        <v>OK</v>
      </c>
      <c r="H152" s="12" t="str">
        <f aca="false">IF('Demanda por puesto'!$P$216=0,"—",IF(parametros_recargas!$N$94=0,$N$7,IF(H24&lt;=$O$9,$N$2,IF(parametros_recargas!$D$94="Tercerizado",$N$6,IF(H88&lt;$O$10,$N$3,IF(parametros_recargas!$D$94="Manual",$N$5,$N$4))))))</f>
        <v>OK</v>
      </c>
      <c r="I152" s="12" t="str">
        <f aca="false">IF('Demanda por puesto'!$P$248=0,"—",IF(parametros_recargas!$N$94=0,$N$7,IF(I24&lt;=$O$9,$N$2,IF(parametros_recargas!$D$94="Tercerizado",$N$6,IF(I88&lt;$O$10,$N$3,IF(parametros_recargas!$D$94="Manual",$N$5,$N$4))))))</f>
        <v>OK</v>
      </c>
      <c r="J152" s="12" t="str">
        <f aca="false">IF('Demanda por puesto'!$P$280=0,"—",IF(parametros_recargas!$N$94=0,$N$7,IF(J24&lt;=$O$9,$N$2,IF(parametros_recargas!$D$94="Tercerizado",$N$6,IF(J88&lt;$O$10,$N$3,IF(parametros_recargas!$D$94="Manual",$N$5,$N$4))))))</f>
        <v>OK</v>
      </c>
      <c r="K152" s="12" t="str">
        <f aca="false">IF('Demanda por puesto'!$P$312=0,"—",IF(parametros_recargas!$N$94=0,$N$7,IF(K24&lt;=$O$9,$N$2,IF(parametros_recargas!$D$94="Tercerizado",$N$6,IF(K88&lt;$O$10,$N$3,IF(parametros_recargas!$D$94="Manual",$N$5,$N$4))))))</f>
        <v>OK</v>
      </c>
    </row>
    <row r="153" customFormat="false" ht="15" hidden="false" customHeight="false" outlineLevel="0" collapsed="false">
      <c r="A153" s="12" t="str">
        <f aca="false">parametros_recargas!$B$95</f>
        <v>Carga y presurización de halogenado</v>
      </c>
      <c r="B153" s="12" t="str">
        <f aca="false">IF('Demanda por puesto'!$P$25=0,"—",IF(parametros_recargas!$N$95=0,$N$7,IF(B25&lt;=$O$9,$N$2,IF(parametros_recargas!$D$95="Tercerizado",$N$6,IF(B89&lt;$O$10,$N$3,IF(parametros_recargas!$D$95="Manual",$N$5,$N$4))))))</f>
        <v>OK</v>
      </c>
      <c r="C153" s="12" t="str">
        <f aca="false">IF('Demanda por puesto'!$P$57=0,"—",IF(parametros_recargas!$N$95=0,$N$7,IF(C25&lt;=$O$9,$N$2,IF(parametros_recargas!$D$95="Tercerizado",$N$6,IF(C89&lt;$O$10,$N$3,IF(parametros_recargas!$D$95="Manual",$N$5,$N$4))))))</f>
        <v>OK</v>
      </c>
      <c r="D153" s="12" t="str">
        <f aca="false">IF('Demanda por puesto'!$P$89=0,"—",IF(parametros_recargas!$N$95=0,$N$7,IF(D25&lt;=$O$9,$N$2,IF(parametros_recargas!$D$95="Tercerizado",$N$6,IF(D89&lt;$O$10,$N$3,IF(parametros_recargas!$D$95="Manual",$N$5,$N$4))))))</f>
        <v>OK</v>
      </c>
      <c r="E153" s="12" t="str">
        <f aca="false">IF('Demanda por puesto'!$P$121=0,"—",IF(parametros_recargas!$N$95=0,$N$7,IF(E25&lt;=$O$9,$N$2,IF(parametros_recargas!$D$95="Tercerizado",$N$6,IF(E89&lt;$O$10,$N$3,IF(parametros_recargas!$D$95="Manual",$N$5,$N$4))))))</f>
        <v>OK</v>
      </c>
      <c r="F153" s="12" t="str">
        <f aca="false">IF('Demanda por puesto'!$P$153=0,"—",IF(parametros_recargas!$N$95=0,$N$7,IF(F25&lt;=$O$9,$N$2,IF(parametros_recargas!$D$95="Tercerizado",$N$6,IF(F89&lt;$O$10,$N$3,IF(parametros_recargas!$D$95="Manual",$N$5,$N$4))))))</f>
        <v>OK</v>
      </c>
      <c r="G153" s="12" t="str">
        <f aca="false">IF('Demanda por puesto'!$P$185=0,"—",IF(parametros_recargas!$N$95=0,$N$7,IF(G25&lt;=$O$9,$N$2,IF(parametros_recargas!$D$95="Tercerizado",$N$6,IF(G89&lt;$O$10,$N$3,IF(parametros_recargas!$D$95="Manual",$N$5,$N$4))))))</f>
        <v>OK</v>
      </c>
      <c r="H153" s="12" t="str">
        <f aca="false">IF('Demanda por puesto'!$P$217=0,"—",IF(parametros_recargas!$N$95=0,$N$7,IF(H25&lt;=$O$9,$N$2,IF(parametros_recargas!$D$95="Tercerizado",$N$6,IF(H89&lt;$O$10,$N$3,IF(parametros_recargas!$D$95="Manual",$N$5,$N$4))))))</f>
        <v>OK</v>
      </c>
      <c r="I153" s="12" t="str">
        <f aca="false">IF('Demanda por puesto'!$P$249=0,"—",IF(parametros_recargas!$N$95=0,$N$7,IF(I25&lt;=$O$9,$N$2,IF(parametros_recargas!$D$95="Tercerizado",$N$6,IF(I89&lt;$O$10,$N$3,IF(parametros_recargas!$D$95="Manual",$N$5,$N$4))))))</f>
        <v>OK</v>
      </c>
      <c r="J153" s="12" t="str">
        <f aca="false">IF('Demanda por puesto'!$P$281=0,"—",IF(parametros_recargas!$N$95=0,$N$7,IF(J25&lt;=$O$9,$N$2,IF(parametros_recargas!$D$95="Tercerizado",$N$6,IF(J89&lt;$O$10,$N$3,IF(parametros_recargas!$D$95="Manual",$N$5,$N$4))))))</f>
        <v>OK</v>
      </c>
      <c r="K153" s="12" t="str">
        <f aca="false">IF('Demanda por puesto'!$P$313=0,"—",IF(parametros_recargas!$N$95=0,$N$7,IF(K25&lt;=$O$9,$N$2,IF(parametros_recargas!$D$95="Tercerizado",$N$6,IF(K89&lt;$O$10,$N$3,IF(parametros_recargas!$D$95="Manual",$N$5,$N$4))))))</f>
        <v>OK</v>
      </c>
    </row>
    <row r="154" customFormat="false" ht="15" hidden="false" customHeight="false" outlineLevel="0" collapsed="false">
      <c r="A154" s="12" t="str">
        <f aca="false">parametros_recargas!$B$96</f>
        <v>Control de peso (CO₂ y halogenados sin recarga)</v>
      </c>
      <c r="B154" s="12" t="str">
        <f aca="false">IF('Demanda por puesto'!$P$26=0,"—",IF(parametros_recargas!$N$96=0,$N$7,IF(B26&lt;=$O$9,$N$2,IF(parametros_recargas!$D$96="Tercerizado",$N$6,IF(B90&lt;$O$10,$N$3,IF(parametros_recargas!$D$96="Manual",$N$5,$N$4))))))</f>
        <v>OK</v>
      </c>
      <c r="C154" s="12" t="str">
        <f aca="false">IF('Demanda por puesto'!$P$58=0,"—",IF(parametros_recargas!$N$96=0,$N$7,IF(C26&lt;=$O$9,$N$2,IF(parametros_recargas!$D$96="Tercerizado",$N$6,IF(C90&lt;$O$10,$N$3,IF(parametros_recargas!$D$96="Manual",$N$5,$N$4))))))</f>
        <v>OK</v>
      </c>
      <c r="D154" s="12" t="str">
        <f aca="false">IF('Demanda por puesto'!$P$90=0,"—",IF(parametros_recargas!$N$96=0,$N$7,IF(D26&lt;=$O$9,$N$2,IF(parametros_recargas!$D$96="Tercerizado",$N$6,IF(D90&lt;$O$10,$N$3,IF(parametros_recargas!$D$96="Manual",$N$5,$N$4))))))</f>
        <v>OK</v>
      </c>
      <c r="E154" s="12" t="str">
        <f aca="false">IF('Demanda por puesto'!$P$122=0,"—",IF(parametros_recargas!$N$96=0,$N$7,IF(E26&lt;=$O$9,$N$2,IF(parametros_recargas!$D$96="Tercerizado",$N$6,IF(E90&lt;$O$10,$N$3,IF(parametros_recargas!$D$96="Manual",$N$5,$N$4))))))</f>
        <v>OK</v>
      </c>
      <c r="F154" s="12" t="str">
        <f aca="false">IF('Demanda por puesto'!$P$154=0,"—",IF(parametros_recargas!$N$96=0,$N$7,IF(F26&lt;=$O$9,$N$2,IF(parametros_recargas!$D$96="Tercerizado",$N$6,IF(F90&lt;$O$10,$N$3,IF(parametros_recargas!$D$96="Manual",$N$5,$N$4))))))</f>
        <v>OK</v>
      </c>
      <c r="G154" s="12" t="str">
        <f aca="false">IF('Demanda por puesto'!$P$186=0,"—",IF(parametros_recargas!$N$96=0,$N$7,IF(G26&lt;=$O$9,$N$2,IF(parametros_recargas!$D$96="Tercerizado",$N$6,IF(G90&lt;$O$10,$N$3,IF(parametros_recargas!$D$96="Manual",$N$5,$N$4))))))</f>
        <v>OK</v>
      </c>
      <c r="H154" s="12" t="str">
        <f aca="false">IF('Demanda por puesto'!$P$218=0,"—",IF(parametros_recargas!$N$96=0,$N$7,IF(H26&lt;=$O$9,$N$2,IF(parametros_recargas!$D$96="Tercerizado",$N$6,IF(H90&lt;$O$10,$N$3,IF(parametros_recargas!$D$96="Manual",$N$5,$N$4))))))</f>
        <v>OK</v>
      </c>
      <c r="I154" s="12" t="str">
        <f aca="false">IF('Demanda por puesto'!$P$250=0,"—",IF(parametros_recargas!$N$96=0,$N$7,IF(I26&lt;=$O$9,$N$2,IF(parametros_recargas!$D$96="Tercerizado",$N$6,IF(I90&lt;$O$10,$N$3,IF(parametros_recargas!$D$96="Manual",$N$5,$N$4))))))</f>
        <v>OK</v>
      </c>
      <c r="J154" s="12" t="str">
        <f aca="false">IF('Demanda por puesto'!$P$282=0,"—",IF(parametros_recargas!$N$96=0,$N$7,IF(J26&lt;=$O$9,$N$2,IF(parametros_recargas!$D$96="Tercerizado",$N$6,IF(J90&lt;$O$10,$N$3,IF(parametros_recargas!$D$96="Manual",$N$5,$N$4))))))</f>
        <v>OK</v>
      </c>
      <c r="K154" s="12" t="str">
        <f aca="false">IF('Demanda por puesto'!$P$314=0,"—",IF(parametros_recargas!$N$96=0,$N$7,IF(K26&lt;=$O$9,$N$2,IF(parametros_recargas!$D$96="Tercerizado",$N$6,IF(K90&lt;$O$10,$N$3,IF(parametros_recargas!$D$96="Manual",$N$5,$N$4))))))</f>
        <v>OK</v>
      </c>
    </row>
    <row r="155" customFormat="false" ht="15" hidden="false" customHeight="false" outlineLevel="0" collapsed="false">
      <c r="A155" s="12" t="str">
        <f aca="false">parametros_recargas!$B$97</f>
        <v>Ensayo de pérdidas</v>
      </c>
      <c r="B155" s="12" t="str">
        <f aca="false">IF('Demanda por puesto'!$P$27=0,"—",IF(parametros_recargas!$N$97=0,$N$7,IF(B27&lt;=$O$9,$N$2,IF(parametros_recargas!$D$97="Tercerizado",$N$6,IF(B91&lt;$O$10,$N$3,IF(parametros_recargas!$D$97="Manual",$N$5,$N$4))))))</f>
        <v>OK</v>
      </c>
      <c r="C155" s="12" t="str">
        <f aca="false">IF('Demanda por puesto'!$P$59=0,"—",IF(parametros_recargas!$N$97=0,$N$7,IF(C27&lt;=$O$9,$N$2,IF(parametros_recargas!$D$97="Tercerizado",$N$6,IF(C91&lt;$O$10,$N$3,IF(parametros_recargas!$D$97="Manual",$N$5,$N$4))))))</f>
        <v>OK</v>
      </c>
      <c r="D155" s="12" t="str">
        <f aca="false">IF('Demanda por puesto'!$P$91=0,"—",IF(parametros_recargas!$N$97=0,$N$7,IF(D27&lt;=$O$9,$N$2,IF(parametros_recargas!$D$97="Tercerizado",$N$6,IF(D91&lt;$O$10,$N$3,IF(parametros_recargas!$D$97="Manual",$N$5,$N$4))))))</f>
        <v>OK</v>
      </c>
      <c r="E155" s="12" t="str">
        <f aca="false">IF('Demanda por puesto'!$P$123=0,"—",IF(parametros_recargas!$N$97=0,$N$7,IF(E27&lt;=$O$9,$N$2,IF(parametros_recargas!$D$97="Tercerizado",$N$6,IF(E91&lt;$O$10,$N$3,IF(parametros_recargas!$D$97="Manual",$N$5,$N$4))))))</f>
        <v>Agrega turno</v>
      </c>
      <c r="F155" s="12" t="str">
        <f aca="false">IF('Demanda por puesto'!$P$155=0,"—",IF(parametros_recargas!$N$97=0,$N$7,IF(F27&lt;=$O$9,$N$2,IF(parametros_recargas!$D$97="Tercerizado",$N$6,IF(F91&lt;$O$10,$N$3,IF(parametros_recargas!$D$97="Manual",$N$5,$N$4))))))</f>
        <v>Agrega turno</v>
      </c>
      <c r="G155" s="12" t="str">
        <f aca="false">IF('Demanda por puesto'!$P$187=0,"—",IF(parametros_recargas!$N$97=0,$N$7,IF(G27&lt;=$O$9,$N$2,IF(parametros_recargas!$D$97="Tercerizado",$N$6,IF(G91&lt;$O$10,$N$3,IF(parametros_recargas!$D$97="Manual",$N$5,$N$4))))))</f>
        <v>Agrega turno</v>
      </c>
      <c r="H155" s="12" t="str">
        <f aca="false">IF('Demanda por puesto'!$P$219=0,"—",IF(parametros_recargas!$N$97=0,$N$7,IF(H27&lt;=$O$9,$N$2,IF(parametros_recargas!$D$97="Tercerizado",$N$6,IF(H91&lt;$O$10,$N$3,IF(parametros_recargas!$D$97="Manual",$N$5,$N$4))))))</f>
        <v>Agrega turno</v>
      </c>
      <c r="I155" s="12" t="str">
        <f aca="false">IF('Demanda por puesto'!$P$251=0,"—",IF(parametros_recargas!$N$97=0,$N$7,IF(I27&lt;=$O$9,$N$2,IF(parametros_recargas!$D$97="Tercerizado",$N$6,IF(I91&lt;$O$10,$N$3,IF(parametros_recargas!$D$97="Manual",$N$5,$N$4))))))</f>
        <v>Agrega turno</v>
      </c>
      <c r="J155" s="12" t="str">
        <f aca="false">IF('Demanda por puesto'!$P$283=0,"—",IF(parametros_recargas!$N$97=0,$N$7,IF(J27&lt;=$O$9,$N$2,IF(parametros_recargas!$D$97="Tercerizado",$N$6,IF(J91&lt;$O$10,$N$3,IF(parametros_recargas!$D$97="Manual",$N$5,$N$4))))))</f>
        <v>Agrega turno</v>
      </c>
      <c r="K155" s="12" t="str">
        <f aca="false">IF('Demanda por puesto'!$P$315=0,"—",IF(parametros_recargas!$N$97=0,$N$7,IF(K27&lt;=$O$9,$N$2,IF(parametros_recargas!$D$97="Tercerizado",$N$6,IF(K91&lt;$O$10,$N$3,IF(parametros_recargas!$D$97="Manual",$N$5,$N$4))))))</f>
        <v>Agrega turno</v>
      </c>
    </row>
    <row r="156" customFormat="false" ht="15" hidden="false" customHeight="false" outlineLevel="0" collapsed="false">
      <c r="A156" s="12" t="str">
        <f aca="false">parametros_recargas!$B$98</f>
        <v>Precinto, etiqueta y despacho</v>
      </c>
      <c r="B156" s="12" t="str">
        <f aca="false">IF('Demanda por puesto'!$P$28=0,"—",IF(parametros_recargas!$N$98=0,$N$7,IF(B28&lt;=$O$9,$N$2,IF(parametros_recargas!$D$98="Tercerizado",$N$6,IF(B92&lt;$O$10,$N$3,IF(parametros_recargas!$D$98="Manual",$N$5,$N$4))))))</f>
        <v>OK</v>
      </c>
      <c r="C156" s="12" t="str">
        <f aca="false">IF('Demanda por puesto'!$P$60=0,"—",IF(parametros_recargas!$N$98=0,$N$7,IF(C28&lt;=$O$9,$N$2,IF(parametros_recargas!$D$98="Tercerizado",$N$6,IF(C92&lt;$O$10,$N$3,IF(parametros_recargas!$D$98="Manual",$N$5,$N$4))))))</f>
        <v>OK</v>
      </c>
      <c r="D156" s="12" t="str">
        <f aca="false">IF('Demanda por puesto'!$P$92=0,"—",IF(parametros_recargas!$N$98=0,$N$7,IF(D28&lt;=$O$9,$N$2,IF(parametros_recargas!$D$98="Tercerizado",$N$6,IF(D92&lt;$O$10,$N$3,IF(parametros_recargas!$D$98="Manual",$N$5,$N$4))))))</f>
        <v>OK</v>
      </c>
      <c r="E156" s="12" t="str">
        <f aca="false">IF('Demanda por puesto'!$P$124=0,"—",IF(parametros_recargas!$N$98=0,$N$7,IF(E28&lt;=$O$9,$N$2,IF(parametros_recargas!$D$98="Tercerizado",$N$6,IF(E92&lt;$O$10,$N$3,IF(parametros_recargas!$D$98="Manual",$N$5,$N$4))))))</f>
        <v>Agrega turno</v>
      </c>
      <c r="F156" s="12" t="str">
        <f aca="false">IF('Demanda por puesto'!$P$156=0,"—",IF(parametros_recargas!$N$98=0,$N$7,IF(F28&lt;=$O$9,$N$2,IF(parametros_recargas!$D$98="Tercerizado",$N$6,IF(F92&lt;$O$10,$N$3,IF(parametros_recargas!$D$98="Manual",$N$5,$N$4))))))</f>
        <v>Agrega turno</v>
      </c>
      <c r="G156" s="12" t="str">
        <f aca="false">IF('Demanda por puesto'!$P$188=0,"—",IF(parametros_recargas!$N$98=0,$N$7,IF(G28&lt;=$O$9,$N$2,IF(parametros_recargas!$D$98="Tercerizado",$N$6,IF(G92&lt;$O$10,$N$3,IF(parametros_recargas!$D$98="Manual",$N$5,$N$4))))))</f>
        <v>Agrega turno</v>
      </c>
      <c r="H156" s="12" t="str">
        <f aca="false">IF('Demanda por puesto'!$P$220=0,"—",IF(parametros_recargas!$N$98=0,$N$7,IF(H28&lt;=$O$9,$N$2,IF(parametros_recargas!$D$98="Tercerizado",$N$6,IF(H92&lt;$O$10,$N$3,IF(parametros_recargas!$D$98="Manual",$N$5,$N$4))))))</f>
        <v>Agrega turno</v>
      </c>
      <c r="I156" s="12" t="str">
        <f aca="false">IF('Demanda por puesto'!$P$252=0,"—",IF(parametros_recargas!$N$98=0,$N$7,IF(I28&lt;=$O$9,$N$2,IF(parametros_recargas!$D$98="Tercerizado",$N$6,IF(I92&lt;$O$10,$N$3,IF(parametros_recargas!$D$98="Manual",$N$5,$N$4))))))</f>
        <v>Agrega turno</v>
      </c>
      <c r="J156" s="12" t="str">
        <f aca="false">IF('Demanda por puesto'!$P$284=0,"—",IF(parametros_recargas!$N$98=0,$N$7,IF(J28&lt;=$O$9,$N$2,IF(parametros_recargas!$D$98="Tercerizado",$N$6,IF(J92&lt;$O$10,$N$3,IF(parametros_recargas!$D$98="Manual",$N$5,$N$4))))))</f>
        <v>Agrega turno</v>
      </c>
      <c r="K156" s="12" t="str">
        <f aca="false">IF('Demanda por puesto'!$P$316=0,"—",IF(parametros_recargas!$N$98=0,$N$7,IF(K28&lt;=$O$9,$N$2,IF(parametros_recargas!$D$98="Tercerizado",$N$6,IF(K92&lt;$O$10,$N$3,IF(parametros_recargas!$D$98="Manual",$N$5,$N$4))))))</f>
        <v>Agrega turno</v>
      </c>
    </row>
    <row r="157" customFormat="false" ht="15" hidden="false" customHeight="false" outlineLevel="0" collapsed="false">
      <c r="A157" s="12" t="str">
        <f aca="false">parametros_recargas!$B$99</f>
        <v>Inutilización y disposición final</v>
      </c>
      <c r="B157" s="12" t="str">
        <f aca="false">IF('Demanda por puesto'!$P$29=0,"—",IF(parametros_recargas!$N$99=0,$N$7,IF(B29&lt;=$O$9,$N$2,IF(parametros_recargas!$D$99="Tercerizado",$N$6,IF(B93&lt;$O$10,$N$3,IF(parametros_recargas!$D$99="Manual",$N$5,$N$4))))))</f>
        <v>OK</v>
      </c>
      <c r="C157" s="12" t="str">
        <f aca="false">IF('Demanda por puesto'!$P$61=0,"—",IF(parametros_recargas!$N$99=0,$N$7,IF(C29&lt;=$O$9,$N$2,IF(parametros_recargas!$D$99="Tercerizado",$N$6,IF(C93&lt;$O$10,$N$3,IF(parametros_recargas!$D$99="Manual",$N$5,$N$4))))))</f>
        <v>OK</v>
      </c>
      <c r="D157" s="12" t="str">
        <f aca="false">IF('Demanda por puesto'!$P$93=0,"—",IF(parametros_recargas!$N$99=0,$N$7,IF(D29&lt;=$O$9,$N$2,IF(parametros_recargas!$D$99="Tercerizado",$N$6,IF(D93&lt;$O$10,$N$3,IF(parametros_recargas!$D$99="Manual",$N$5,$N$4))))))</f>
        <v>OK</v>
      </c>
      <c r="E157" s="12" t="str">
        <f aca="false">IF('Demanda por puesto'!$P$125=0,"—",IF(parametros_recargas!$N$99=0,$N$7,IF(E29&lt;=$O$9,$N$2,IF(parametros_recargas!$D$99="Tercerizado",$N$6,IF(E93&lt;$O$10,$N$3,IF(parametros_recargas!$D$99="Manual",$N$5,$N$4))))))</f>
        <v>OK</v>
      </c>
      <c r="F157" s="12" t="str">
        <f aca="false">IF('Demanda por puesto'!$P$157=0,"—",IF(parametros_recargas!$N$99=0,$N$7,IF(F29&lt;=$O$9,$N$2,IF(parametros_recargas!$D$99="Tercerizado",$N$6,IF(F93&lt;$O$10,$N$3,IF(parametros_recargas!$D$99="Manual",$N$5,$N$4))))))</f>
        <v>OK</v>
      </c>
      <c r="G157" s="12" t="str">
        <f aca="false">IF('Demanda por puesto'!$P$189=0,"—",IF(parametros_recargas!$N$99=0,$N$7,IF(G29&lt;=$O$9,$N$2,IF(parametros_recargas!$D$99="Tercerizado",$N$6,IF(G93&lt;$O$10,$N$3,IF(parametros_recargas!$D$99="Manual",$N$5,$N$4))))))</f>
        <v>OK</v>
      </c>
      <c r="H157" s="12" t="str">
        <f aca="false">IF('Demanda por puesto'!$P$221=0,"—",IF(parametros_recargas!$N$99=0,$N$7,IF(H29&lt;=$O$9,$N$2,IF(parametros_recargas!$D$99="Tercerizado",$N$6,IF(H93&lt;$O$10,$N$3,IF(parametros_recargas!$D$99="Manual",$N$5,$N$4))))))</f>
        <v>Agrega turno</v>
      </c>
      <c r="I157" s="12" t="str">
        <f aca="false">IF('Demanda por puesto'!$P$253=0,"—",IF(parametros_recargas!$N$99=0,$N$7,IF(I29&lt;=$O$9,$N$2,IF(parametros_recargas!$D$99="Tercerizado",$N$6,IF(I93&lt;$O$10,$N$3,IF(parametros_recargas!$D$99="Manual",$N$5,$N$4))))))</f>
        <v>Agrega turno</v>
      </c>
      <c r="J157" s="12" t="str">
        <f aca="false">IF('Demanda por puesto'!$P$285=0,"—",IF(parametros_recargas!$N$99=0,$N$7,IF(J29&lt;=$O$9,$N$2,IF(parametros_recargas!$D$99="Tercerizado",$N$6,IF(J93&lt;$O$10,$N$3,IF(parametros_recargas!$D$99="Manual",$N$5,$N$4))))))</f>
        <v>Agrega turno</v>
      </c>
      <c r="K157" s="12" t="str">
        <f aca="false">IF('Demanda por puesto'!$P$317=0,"—",IF(parametros_recargas!$N$99=0,$N$7,IF(K29&lt;=$O$9,$N$2,IF(parametros_recargas!$D$99="Tercerizado",$N$6,IF(K93&lt;$O$10,$N$3,IF(parametros_recargas!$D$99="Manual",$N$5,$N$4))))))</f>
        <v>Agrega turno</v>
      </c>
    </row>
    <row r="158" customFormat="false" ht="15" hidden="false" customHeight="false" outlineLevel="0" collapsed="false">
      <c r="A158" s="12" t="str">
        <f aca="false">parametros_recargas!$B$100</f>
        <v>PH de mangueras (CO₂ y rodantes)</v>
      </c>
      <c r="B158" s="12" t="str">
        <f aca="false">IF('Demanda por puesto'!$P$30=0,"—",IF(parametros_recargas!$N$100=0,$N$7,IF(B30&lt;=$O$9,$N$2,IF(parametros_recargas!$D$100="Tercerizado",$N$6,IF(B94&lt;$O$10,$N$3,IF(parametros_recargas!$D$100="Manual",$N$5,$N$4))))))</f>
        <v>OK</v>
      </c>
      <c r="C158" s="12" t="str">
        <f aca="false">IF('Demanda por puesto'!$P$62=0,"—",IF(parametros_recargas!$N$100=0,$N$7,IF(C30&lt;=$O$9,$N$2,IF(parametros_recargas!$D$100="Tercerizado",$N$6,IF(C94&lt;$O$10,$N$3,IF(parametros_recargas!$D$100="Manual",$N$5,$N$4))))))</f>
        <v>OK</v>
      </c>
      <c r="D158" s="12" t="str">
        <f aca="false">IF('Demanda por puesto'!$P$94=0,"—",IF(parametros_recargas!$N$100=0,$N$7,IF(D30&lt;=$O$9,$N$2,IF(parametros_recargas!$D$100="Tercerizado",$N$6,IF(D94&lt;$O$10,$N$3,IF(parametros_recargas!$D$100="Manual",$N$5,$N$4))))))</f>
        <v>OK</v>
      </c>
      <c r="E158" s="12" t="str">
        <f aca="false">IF('Demanda por puesto'!$P$126=0,"—",IF(parametros_recargas!$N$100=0,$N$7,IF(E30&lt;=$O$9,$N$2,IF(parametros_recargas!$D$100="Tercerizado",$N$6,IF(E94&lt;$O$10,$N$3,IF(parametros_recargas!$D$100="Manual",$N$5,$N$4))))))</f>
        <v>OK</v>
      </c>
      <c r="F158" s="12" t="str">
        <f aca="false">IF('Demanda por puesto'!$P$158=0,"—",IF(parametros_recargas!$N$100=0,$N$7,IF(F30&lt;=$O$9,$N$2,IF(parametros_recargas!$D$100="Tercerizado",$N$6,IF(F94&lt;$O$10,$N$3,IF(parametros_recargas!$D$100="Manual",$N$5,$N$4))))))</f>
        <v>OK</v>
      </c>
      <c r="G158" s="12" t="str">
        <f aca="false">IF('Demanda por puesto'!$P$190=0,"—",IF(parametros_recargas!$N$100=0,$N$7,IF(G30&lt;=$O$9,$N$2,IF(parametros_recargas!$D$100="Tercerizado",$N$6,IF(G94&lt;$O$10,$N$3,IF(parametros_recargas!$D$100="Manual",$N$5,$N$4))))))</f>
        <v>OK</v>
      </c>
      <c r="H158" s="12" t="str">
        <f aca="false">IF('Demanda por puesto'!$P$222=0,"—",IF(parametros_recargas!$N$100=0,$N$7,IF(H30&lt;=$O$9,$N$2,IF(parametros_recargas!$D$100="Tercerizado",$N$6,IF(H94&lt;$O$10,$N$3,IF(parametros_recargas!$D$100="Manual",$N$5,$N$4))))))</f>
        <v>OK</v>
      </c>
      <c r="I158" s="12" t="str">
        <f aca="false">IF('Demanda por puesto'!$P$254=0,"—",IF(parametros_recargas!$N$100=0,$N$7,IF(I30&lt;=$O$9,$N$2,IF(parametros_recargas!$D$100="Tercerizado",$N$6,IF(I94&lt;$O$10,$N$3,IF(parametros_recargas!$D$100="Manual",$N$5,$N$4))))))</f>
        <v>OK</v>
      </c>
      <c r="J158" s="12" t="str">
        <f aca="false">IF('Demanda por puesto'!$P$286=0,"—",IF(parametros_recargas!$N$100=0,$N$7,IF(J30&lt;=$O$9,$N$2,IF(parametros_recargas!$D$100="Tercerizado",$N$6,IF(J94&lt;$O$10,$N$3,IF(parametros_recargas!$D$100="Manual",$N$5,$N$4))))))</f>
        <v>OK</v>
      </c>
      <c r="K158" s="12" t="str">
        <f aca="false">IF('Demanda por puesto'!$P$318=0,"—",IF(parametros_recargas!$N$100=0,$N$7,IF(K30&lt;=$O$9,$N$2,IF(parametros_recargas!$D$100="Tercerizado",$N$6,IF(K94&lt;$O$10,$N$3,IF(parametros_recargas!$D$100="Manual",$N$5,$N$4))))))</f>
        <v>OK</v>
      </c>
    </row>
  </sheetData>
  <conditionalFormatting sqref="B2:K31">
    <cfRule type="cellIs" priority="2" operator="greaterThan" aboveAverage="0" equalAverage="0" bottom="0" percent="0" rank="0" text="" dxfId="0">
      <formula>$O$9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1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2" t="s">
        <v>310</v>
      </c>
    </row>
    <row r="4" customFormat="false" ht="15" hidden="false" customHeight="false" outlineLevel="0" collapsed="false">
      <c r="A4" s="3" t="s">
        <v>61</v>
      </c>
      <c r="B4" s="3" t="s">
        <v>46</v>
      </c>
      <c r="C4" s="3"/>
      <c r="D4" s="3"/>
      <c r="E4" s="3"/>
      <c r="F4" s="3"/>
      <c r="G4" s="3"/>
      <c r="H4" s="3"/>
      <c r="I4" s="3"/>
      <c r="J4" s="3"/>
      <c r="K4" s="3"/>
      <c r="L4" s="3" t="s">
        <v>62</v>
      </c>
    </row>
    <row r="5" customFormat="false" ht="23.85" hidden="false" customHeight="false" outlineLevel="0" collapsed="false">
      <c r="A5" s="4" t="s">
        <v>311</v>
      </c>
      <c r="B5" s="14" t="n">
        <v>1</v>
      </c>
      <c r="L5" s="4" t="s">
        <v>312</v>
      </c>
    </row>
    <row r="6" customFormat="false" ht="15" hidden="false" customHeight="false" outlineLevel="0" collapsed="false">
      <c r="A6" s="4" t="s">
        <v>63</v>
      </c>
      <c r="B6" s="16" t="n">
        <f aca="false">parametros_recargas!B2</f>
        <v>20</v>
      </c>
    </row>
    <row r="8" customFormat="false" ht="15" hidden="false" customHeight="false" outlineLevel="0" collapsed="false">
      <c r="A8" s="1" t="s">
        <v>313</v>
      </c>
    </row>
    <row r="9" customFormat="false" ht="23.85" hidden="false" customHeight="false" outlineLevel="0" collapsed="false">
      <c r="A9" s="3" t="s">
        <v>134</v>
      </c>
      <c r="B9" s="3" t="s">
        <v>266</v>
      </c>
      <c r="C9" s="3" t="s">
        <v>314</v>
      </c>
      <c r="D9" s="3" t="s">
        <v>315</v>
      </c>
      <c r="E9" s="3"/>
      <c r="F9" s="3"/>
      <c r="G9" s="3"/>
      <c r="H9" s="3"/>
      <c r="I9" s="3"/>
      <c r="J9" s="3"/>
      <c r="K9" s="3"/>
      <c r="L9" s="3" t="s">
        <v>316</v>
      </c>
    </row>
    <row r="10" customFormat="false" ht="15" hidden="false" customHeight="true" outlineLevel="0" collapsed="false">
      <c r="A10" s="12" t="str">
        <f aca="false">datos_base!A2</f>
        <v>ABC 1 kg</v>
      </c>
      <c r="B10" s="12" t="str">
        <f aca="false">parametros_recargas!B51</f>
        <v>ABC</v>
      </c>
      <c r="C10" s="14" t="n">
        <v>0</v>
      </c>
      <c r="D10" s="26" t="s">
        <v>5</v>
      </c>
      <c r="E10" s="26"/>
      <c r="F10" s="26"/>
      <c r="L10" s="4" t="s">
        <v>317</v>
      </c>
    </row>
    <row r="11" customFormat="false" ht="15" hidden="false" customHeight="true" outlineLevel="0" collapsed="false">
      <c r="A11" s="12" t="str">
        <f aca="false">datos_base!A3</f>
        <v>ABC 2,5 kg</v>
      </c>
      <c r="B11" s="12" t="str">
        <f aca="false">parametros_recargas!B52</f>
        <v>ABC</v>
      </c>
      <c r="C11" s="14" t="n">
        <v>1</v>
      </c>
      <c r="D11" s="26" t="s">
        <v>5</v>
      </c>
      <c r="E11" s="26"/>
      <c r="F11" s="26"/>
      <c r="L11" s="4" t="s">
        <v>318</v>
      </c>
    </row>
    <row r="12" customFormat="false" ht="15" hidden="false" customHeight="true" outlineLevel="0" collapsed="false">
      <c r="A12" s="12" t="str">
        <f aca="false">datos_base!A4</f>
        <v>ABC 5 kg</v>
      </c>
      <c r="B12" s="12" t="str">
        <f aca="false">parametros_recargas!B53</f>
        <v>ABC</v>
      </c>
      <c r="C12" s="14" t="n">
        <v>1</v>
      </c>
      <c r="D12" s="26" t="s">
        <v>5</v>
      </c>
      <c r="E12" s="26"/>
      <c r="F12" s="26"/>
      <c r="L12" s="4" t="s">
        <v>318</v>
      </c>
    </row>
    <row r="13" customFormat="false" ht="15" hidden="false" customHeight="true" outlineLevel="0" collapsed="false">
      <c r="A13" s="12" t="str">
        <f aca="false">datos_base!A5</f>
        <v>ABC 10 kg</v>
      </c>
      <c r="B13" s="12" t="str">
        <f aca="false">parametros_recargas!B54</f>
        <v>ABC</v>
      </c>
      <c r="C13" s="14" t="n">
        <v>1</v>
      </c>
      <c r="D13" s="26" t="s">
        <v>6</v>
      </c>
      <c r="E13" s="26"/>
      <c r="F13" s="26"/>
      <c r="L13" s="4" t="s">
        <v>318</v>
      </c>
    </row>
    <row r="14" customFormat="false" ht="15" hidden="false" customHeight="true" outlineLevel="0" collapsed="false">
      <c r="A14" s="12" t="str">
        <f aca="false">datos_base!A6</f>
        <v>Agua 10 l</v>
      </c>
      <c r="B14" s="12" t="str">
        <f aca="false">parametros_recargas!B55</f>
        <v>Agua</v>
      </c>
      <c r="C14" s="14" t="n">
        <v>1</v>
      </c>
      <c r="D14" s="26" t="s">
        <v>7</v>
      </c>
      <c r="E14" s="26"/>
      <c r="F14" s="26"/>
      <c r="L14" s="4" t="s">
        <v>318</v>
      </c>
    </row>
    <row r="15" customFormat="false" ht="15" hidden="false" customHeight="true" outlineLevel="0" collapsed="false">
      <c r="A15" s="12" t="str">
        <f aca="false">datos_base!A7</f>
        <v>AFFF 10 l</v>
      </c>
      <c r="B15" s="12" t="str">
        <f aca="false">parametros_recargas!B56</f>
        <v>AFFF</v>
      </c>
      <c r="C15" s="14" t="n">
        <v>1</v>
      </c>
      <c r="D15" s="26" t="s">
        <v>8</v>
      </c>
      <c r="E15" s="26"/>
      <c r="F15" s="26"/>
      <c r="L15" s="4" t="s">
        <v>318</v>
      </c>
    </row>
    <row r="16" customFormat="false" ht="15" hidden="false" customHeight="true" outlineLevel="0" collapsed="false">
      <c r="A16" s="12" t="str">
        <f aca="false">datos_base!A8</f>
        <v>AFFF 50 l s/ruedas</v>
      </c>
      <c r="B16" s="12" t="str">
        <f aca="false">parametros_recargas!B57</f>
        <v>AFFF</v>
      </c>
      <c r="C16" s="14" t="n">
        <v>1</v>
      </c>
      <c r="D16" s="26" t="s">
        <v>9</v>
      </c>
      <c r="E16" s="26"/>
      <c r="F16" s="26"/>
      <c r="L16" s="4" t="s">
        <v>318</v>
      </c>
    </row>
    <row r="17" customFormat="false" ht="15" hidden="false" customHeight="true" outlineLevel="0" collapsed="false">
      <c r="A17" s="12" t="str">
        <f aca="false">datos_base!A9</f>
        <v>BC 5 kg</v>
      </c>
      <c r="B17" s="12" t="str">
        <f aca="false">parametros_recargas!B58</f>
        <v>BC</v>
      </c>
      <c r="C17" s="14" t="n">
        <v>1</v>
      </c>
      <c r="D17" s="26" t="s">
        <v>10</v>
      </c>
      <c r="E17" s="26"/>
      <c r="F17" s="26"/>
      <c r="L17" s="4" t="s">
        <v>318</v>
      </c>
    </row>
    <row r="18" customFormat="false" ht="15" hidden="false" customHeight="true" outlineLevel="0" collapsed="false">
      <c r="A18" s="12" t="str">
        <f aca="false">datos_base!A10</f>
        <v>Sales K 6 l</v>
      </c>
      <c r="B18" s="12" t="str">
        <f aca="false">parametros_recargas!B59</f>
        <v>Sales K</v>
      </c>
      <c r="C18" s="14" t="n">
        <v>1</v>
      </c>
      <c r="D18" s="26" t="s">
        <v>11</v>
      </c>
      <c r="E18" s="26"/>
      <c r="F18" s="26"/>
      <c r="L18" s="4" t="s">
        <v>318</v>
      </c>
    </row>
    <row r="19" customFormat="false" ht="15" hidden="false" customHeight="true" outlineLevel="0" collapsed="false">
      <c r="A19" s="12" t="str">
        <f aca="false">datos_base!A11</f>
        <v>CO₂ 2 kg</v>
      </c>
      <c r="B19" s="12" t="str">
        <f aca="false">parametros_recargas!B60</f>
        <v>CO₂</v>
      </c>
      <c r="C19" s="14" t="n">
        <v>1</v>
      </c>
      <c r="D19" s="26" t="s">
        <v>13</v>
      </c>
      <c r="E19" s="26"/>
      <c r="F19" s="26"/>
      <c r="L19" s="4" t="s">
        <v>318</v>
      </c>
    </row>
    <row r="20" customFormat="false" ht="15" hidden="false" customHeight="true" outlineLevel="0" collapsed="false">
      <c r="A20" s="12" t="str">
        <f aca="false">datos_base!A12</f>
        <v>CO₂ 5 kg</v>
      </c>
      <c r="B20" s="12" t="str">
        <f aca="false">parametros_recargas!B61</f>
        <v>CO₂</v>
      </c>
      <c r="C20" s="14" t="n">
        <v>1</v>
      </c>
      <c r="D20" s="26" t="s">
        <v>13</v>
      </c>
      <c r="E20" s="26"/>
      <c r="F20" s="26"/>
      <c r="L20" s="4" t="s">
        <v>318</v>
      </c>
    </row>
    <row r="21" customFormat="false" ht="15" hidden="false" customHeight="true" outlineLevel="0" collapsed="false">
      <c r="A21" s="12" t="str">
        <f aca="false">datos_base!A13</f>
        <v>HCFC/HFC 5 kg</v>
      </c>
      <c r="B21" s="12" t="str">
        <f aca="false">parametros_recargas!B62</f>
        <v>Halogenado</v>
      </c>
      <c r="C21" s="14" t="n">
        <v>1</v>
      </c>
      <c r="D21" s="26" t="s">
        <v>14</v>
      </c>
      <c r="E21" s="26"/>
      <c r="F21" s="26"/>
      <c r="L21" s="4" t="s">
        <v>318</v>
      </c>
    </row>
    <row r="22" customFormat="false" ht="15" hidden="false" customHeight="true" outlineLevel="0" collapsed="false">
      <c r="A22" s="12" t="str">
        <f aca="false">datos_base!A14</f>
        <v>Clase D 9 l</v>
      </c>
      <c r="B22" s="12" t="str">
        <f aca="false">parametros_recargas!B63</f>
        <v>Clase D</v>
      </c>
      <c r="C22" s="14" t="n">
        <v>1</v>
      </c>
      <c r="D22" s="26" t="s">
        <v>15</v>
      </c>
      <c r="E22" s="26"/>
      <c r="F22" s="26"/>
      <c r="L22" s="4" t="s">
        <v>318</v>
      </c>
    </row>
    <row r="23" customFormat="false" ht="15" hidden="false" customHeight="true" outlineLevel="0" collapsed="false">
      <c r="A23" s="12" t="str">
        <f aca="false">datos_base!A15</f>
        <v>ABC 25 kg s/ruedas</v>
      </c>
      <c r="B23" s="12" t="str">
        <f aca="false">parametros_recargas!B64</f>
        <v>ABC</v>
      </c>
      <c r="C23" s="14" t="n">
        <v>1</v>
      </c>
      <c r="D23" s="26" t="s">
        <v>17</v>
      </c>
      <c r="E23" s="26"/>
      <c r="F23" s="26"/>
      <c r="L23" s="4" t="s">
        <v>318</v>
      </c>
    </row>
    <row r="24" customFormat="false" ht="15" hidden="false" customHeight="true" outlineLevel="0" collapsed="false">
      <c r="A24" s="12" t="str">
        <f aca="false">datos_base!A16</f>
        <v>ABC 50 kg s/ruedas</v>
      </c>
      <c r="B24" s="12" t="str">
        <f aca="false">parametros_recargas!B65</f>
        <v>ABC</v>
      </c>
      <c r="C24" s="14" t="n">
        <v>1</v>
      </c>
      <c r="D24" s="26" t="s">
        <v>17</v>
      </c>
      <c r="E24" s="26"/>
      <c r="F24" s="26"/>
      <c r="L24" s="4" t="s">
        <v>318</v>
      </c>
    </row>
    <row r="25" customFormat="false" ht="15" hidden="false" customHeight="true" outlineLevel="0" collapsed="false">
      <c r="A25" s="12" t="str">
        <f aca="false">datos_base!A17</f>
        <v>ABC 70 kg s/ruedas</v>
      </c>
      <c r="B25" s="12" t="str">
        <f aca="false">parametros_recargas!B66</f>
        <v>ABC</v>
      </c>
      <c r="C25" s="14" t="n">
        <v>1</v>
      </c>
      <c r="D25" s="26" t="s">
        <v>19</v>
      </c>
      <c r="E25" s="26"/>
      <c r="F25" s="26"/>
      <c r="L25" s="4" t="s">
        <v>318</v>
      </c>
    </row>
    <row r="26" customFormat="false" ht="15" hidden="false" customHeight="true" outlineLevel="0" collapsed="false">
      <c r="A26" s="12" t="str">
        <f aca="false">datos_base!A18</f>
        <v>ABC 100 kg s/ruedas</v>
      </c>
      <c r="B26" s="12" t="str">
        <f aca="false">parametros_recargas!B67</f>
        <v>ABC</v>
      </c>
      <c r="C26" s="14" t="n">
        <v>1</v>
      </c>
      <c r="D26" s="26" t="s">
        <v>19</v>
      </c>
      <c r="E26" s="26"/>
      <c r="F26" s="26"/>
      <c r="L26" s="4" t="s">
        <v>318</v>
      </c>
    </row>
    <row r="28" customFormat="false" ht="15" hidden="false" customHeight="false" outlineLevel="0" collapsed="false">
      <c r="A28" s="1" t="s">
        <v>319</v>
      </c>
    </row>
    <row r="29" customFormat="false" ht="15" hidden="false" customHeight="false" outlineLevel="0" collapsed="false">
      <c r="A29" s="3" t="s">
        <v>134</v>
      </c>
      <c r="B29" s="3" t="n">
        <v>2026</v>
      </c>
      <c r="C29" s="3" t="n">
        <v>2027</v>
      </c>
      <c r="D29" s="3" t="n">
        <v>2028</v>
      </c>
      <c r="E29" s="3" t="n">
        <v>2029</v>
      </c>
      <c r="F29" s="3" t="n">
        <v>2030</v>
      </c>
      <c r="G29" s="3" t="n">
        <v>2031</v>
      </c>
      <c r="H29" s="3" t="n">
        <v>2032</v>
      </c>
      <c r="I29" s="3" t="n">
        <v>2033</v>
      </c>
      <c r="J29" s="3" t="n">
        <v>2034</v>
      </c>
      <c r="K29" s="3" t="n">
        <v>2035</v>
      </c>
    </row>
    <row r="30" customFormat="false" ht="15" hidden="false" customHeight="false" outlineLevel="0" collapsed="false">
      <c r="A30" s="12" t="str">
        <f aca="false">datos_base!A2</f>
        <v>ABC 1 kg</v>
      </c>
      <c r="B30" s="23" t="n">
        <f aca="false">datos_base!B2*MAX(parametros_recargas!$B$37:$M$37)/$B$6</f>
        <v>10.3131034512157</v>
      </c>
      <c r="C30" s="23" t="n">
        <f aca="false">datos_base!C2*MAX(parametros_recargas!$B$38:$M$38)/$B$6</f>
        <v>50.3293472380869</v>
      </c>
      <c r="D30" s="23" t="n">
        <f aca="false">datos_base!D2*MAX(parametros_recargas!$B$39:$M$39)/$B$6</f>
        <v>90.5899642078866</v>
      </c>
      <c r="E30" s="23" t="n">
        <f aca="false">datos_base!E2*MAX(parametros_recargas!$B$40:$M$40)/$B$6</f>
        <v>166.221423897016</v>
      </c>
      <c r="F30" s="23" t="n">
        <f aca="false">datos_base!F2*MAX(parametros_recargas!$B$41:$M$41)/$B$6</f>
        <v>249.918627600696</v>
      </c>
      <c r="G30" s="23" t="n">
        <f aca="false">datos_base!G2*MAX(parametros_recargas!$B$42:$M$42)/$B$6</f>
        <v>348.194176831471</v>
      </c>
      <c r="H30" s="23" t="n">
        <f aca="false">datos_base!H2*MAX(parametros_recargas!$B$43:$M$43)/$B$6</f>
        <v>437.766090855254</v>
      </c>
      <c r="I30" s="23" t="n">
        <f aca="false">datos_base!I2*MAX(parametros_recargas!$B$44:$M$44)/$B$6</f>
        <v>508.330694696792</v>
      </c>
      <c r="J30" s="23" t="n">
        <f aca="false">datos_base!J2*MAX(parametros_recargas!$B$45:$M$45)/$B$6</f>
        <v>544.767663101974</v>
      </c>
      <c r="K30" s="23" t="n">
        <f aca="false">datos_base!K2*MAX(parametros_recargas!$B$46:$M$46)/$B$6</f>
        <v>582.11189092861</v>
      </c>
    </row>
    <row r="31" customFormat="false" ht="15" hidden="false" customHeight="false" outlineLevel="0" collapsed="false">
      <c r="A31" s="12" t="str">
        <f aca="false">datos_base!A3</f>
        <v>ABC 2,5 kg</v>
      </c>
      <c r="B31" s="23" t="n">
        <f aca="false">datos_base!B3*MAX(parametros_recargas!$B$37:$M$37)/$B$6</f>
        <v>0.978664923150153</v>
      </c>
      <c r="C31" s="23" t="n">
        <f aca="false">datos_base!C3*MAX(parametros_recargas!$B$38:$M$38)/$B$6</f>
        <v>3.81805960192419</v>
      </c>
      <c r="D31" s="23" t="n">
        <f aca="false">datos_base!D3*MAX(parametros_recargas!$B$39:$M$39)/$B$6</f>
        <v>8.74036441570112</v>
      </c>
      <c r="E31" s="23" t="n">
        <f aca="false">datos_base!E3*MAX(parametros_recargas!$B$40:$M$40)/$B$6</f>
        <v>16.0919146579543</v>
      </c>
      <c r="F31" s="23" t="n">
        <f aca="false">datos_base!F3*MAX(parametros_recargas!$B$41:$M$41)/$B$6</f>
        <v>23.2831949907457</v>
      </c>
      <c r="G31" s="23" t="n">
        <f aca="false">datos_base!G3*MAX(parametros_recargas!$B$42:$M$42)/$B$6</f>
        <v>30.9140939906362</v>
      </c>
      <c r="H31" s="23" t="n">
        <f aca="false">datos_base!H3*MAX(parametros_recargas!$B$43:$M$43)/$B$6</f>
        <v>37.9900672227049</v>
      </c>
      <c r="I31" s="23" t="n">
        <f aca="false">datos_base!I3*MAX(parametros_recargas!$B$44:$M$44)/$B$6</f>
        <v>42.2997139216313</v>
      </c>
      <c r="J31" s="23" t="n">
        <f aca="false">datos_base!J3*MAX(parametros_recargas!$B$45:$M$45)/$B$6</f>
        <v>45.7689723284214</v>
      </c>
      <c r="K31" s="23" t="n">
        <f aca="false">datos_base!K3*MAX(parametros_recargas!$B$46:$M$46)/$B$6</f>
        <v>49.2918793747793</v>
      </c>
    </row>
    <row r="32" customFormat="false" ht="15" hidden="false" customHeight="false" outlineLevel="0" collapsed="false">
      <c r="A32" s="12" t="str">
        <f aca="false">datos_base!A4</f>
        <v>ABC 5 kg</v>
      </c>
      <c r="B32" s="23" t="n">
        <f aca="false">datos_base!B4*MAX(parametros_recargas!$B$37:$M$37)/$B$6</f>
        <v>5.78424715807439</v>
      </c>
      <c r="C32" s="23" t="n">
        <f aca="false">datos_base!C4*MAX(parametros_recargas!$B$38:$M$38)/$B$6</f>
        <v>23.288363324939</v>
      </c>
      <c r="D32" s="23" t="n">
        <f aca="false">datos_base!D4*MAX(parametros_recargas!$B$39:$M$39)/$B$6</f>
        <v>52.7175254224681</v>
      </c>
      <c r="E32" s="23" t="n">
        <f aca="false">datos_base!E4*MAX(parametros_recargas!$B$40:$M$40)/$B$6</f>
        <v>99.6634031670585</v>
      </c>
      <c r="F32" s="23" t="n">
        <f aca="false">datos_base!F4*MAX(parametros_recargas!$B$41:$M$41)/$B$6</f>
        <v>143.56142718269</v>
      </c>
      <c r="G32" s="23" t="n">
        <f aca="false">datos_base!G4*MAX(parametros_recargas!$B$42:$M$42)/$B$6</f>
        <v>190.761640355409</v>
      </c>
      <c r="H32" s="23" t="n">
        <f aca="false">datos_base!H4*MAX(parametros_recargas!$B$43:$M$43)/$B$6</f>
        <v>233.461689569165</v>
      </c>
      <c r="I32" s="23" t="n">
        <f aca="false">datos_base!I4*MAX(parametros_recargas!$B$44:$M$44)/$B$6</f>
        <v>258.717763081413</v>
      </c>
      <c r="J32" s="23" t="n">
        <f aca="false">datos_base!J4*MAX(parametros_recargas!$B$45:$M$45)/$B$6</f>
        <v>279.081480391457</v>
      </c>
      <c r="K32" s="23" t="n">
        <f aca="false">datos_base!K4*MAX(parametros_recargas!$B$46:$M$46)/$B$6</f>
        <v>299.816066162899</v>
      </c>
    </row>
    <row r="33" customFormat="false" ht="15" hidden="false" customHeight="false" outlineLevel="0" collapsed="false">
      <c r="A33" s="12" t="str">
        <f aca="false">datos_base!A5</f>
        <v>ABC 10 kg</v>
      </c>
      <c r="B33" s="23" t="n">
        <f aca="false">datos_base!B5*MAX(parametros_recargas!$B$37:$M$37)/$B$6</f>
        <v>0.350969487717949</v>
      </c>
      <c r="C33" s="23" t="n">
        <f aca="false">datos_base!C5*MAX(parametros_recargas!$B$38:$M$38)/$B$6</f>
        <v>1.29812783797538</v>
      </c>
      <c r="D33" s="23" t="n">
        <f aca="false">datos_base!D5*MAX(parametros_recargas!$B$39:$M$39)/$B$6</f>
        <v>3.03974858444573</v>
      </c>
      <c r="E33" s="23" t="n">
        <f aca="false">datos_base!E5*MAX(parametros_recargas!$B$40:$M$40)/$B$6</f>
        <v>5.81395072430559</v>
      </c>
      <c r="F33" s="23" t="n">
        <f aca="false">datos_base!F5*MAX(parametros_recargas!$B$41:$M$41)/$B$6</f>
        <v>8.43729442248354</v>
      </c>
      <c r="G33" s="23" t="n">
        <f aca="false">datos_base!G5*MAX(parametros_recargas!$B$42:$M$42)/$B$6</f>
        <v>11.3004039339321</v>
      </c>
      <c r="H33" s="23" t="n">
        <f aca="false">datos_base!H5*MAX(parametros_recargas!$B$43:$M$43)/$B$6</f>
        <v>13.830982499416</v>
      </c>
      <c r="I33" s="23" t="n">
        <f aca="false">datos_base!I5*MAX(parametros_recargas!$B$44:$M$44)/$B$6</f>
        <v>15.316303946615</v>
      </c>
      <c r="J33" s="23" t="n">
        <f aca="false">datos_base!J5*MAX(parametros_recargas!$B$45:$M$45)/$B$6</f>
        <v>16.5234244170907</v>
      </c>
      <c r="K33" s="23" t="n">
        <f aca="false">datos_base!K5*MAX(parametros_recargas!$B$46:$M$46)/$B$6</f>
        <v>17.7524220744228</v>
      </c>
    </row>
    <row r="34" customFormat="false" ht="15" hidden="false" customHeight="false" outlineLevel="0" collapsed="false">
      <c r="A34" s="12" t="str">
        <f aca="false">datos_base!A6</f>
        <v>Agua 10 l</v>
      </c>
      <c r="B34" s="23" t="n">
        <f aca="false">datos_base!B6*MAX(parametros_recargas!$B$37:$M$37)/$B$6</f>
        <v>0.472458927599196</v>
      </c>
      <c r="C34" s="23" t="n">
        <f aca="false">datos_base!C6*MAX(parametros_recargas!$B$38:$M$38)/$B$6</f>
        <v>1.90818911930477</v>
      </c>
      <c r="D34" s="23" t="n">
        <f aca="false">datos_base!D6*MAX(parametros_recargas!$B$39:$M$39)/$B$6</f>
        <v>4.37248990228051</v>
      </c>
      <c r="E34" s="23" t="n">
        <f aca="false">datos_base!E6*MAX(parametros_recargas!$B$40:$M$40)/$B$6</f>
        <v>8.20441240315788</v>
      </c>
      <c r="F34" s="23" t="n">
        <f aca="false">datos_base!F6*MAX(parametros_recargas!$B$41:$M$41)/$B$6</f>
        <v>11.8374134728126</v>
      </c>
      <c r="G34" s="23" t="n">
        <f aca="false">datos_base!G6*MAX(parametros_recargas!$B$42:$M$42)/$B$6</f>
        <v>15.8241507468242</v>
      </c>
      <c r="H34" s="23" t="n">
        <f aca="false">datos_base!H6*MAX(parametros_recargas!$B$43:$M$43)/$B$6</f>
        <v>19.3924676131211</v>
      </c>
      <c r="I34" s="23" t="n">
        <f aca="false">datos_base!I6*MAX(parametros_recargas!$B$44:$M$44)/$B$6</f>
        <v>21.5599677491936</v>
      </c>
      <c r="J34" s="23" t="n">
        <f aca="false">datos_base!J6*MAX(parametros_recargas!$B$45:$M$45)/$B$6</f>
        <v>23.2967350575033</v>
      </c>
      <c r="K34" s="23" t="n">
        <f aca="false">datos_base!K6*MAX(parametros_recargas!$B$46:$M$46)/$B$6</f>
        <v>25.062420670072</v>
      </c>
    </row>
    <row r="35" customFormat="false" ht="15" hidden="false" customHeight="false" outlineLevel="0" collapsed="false">
      <c r="A35" s="12" t="str">
        <f aca="false">datos_base!A7</f>
        <v>AFFF 10 l</v>
      </c>
      <c r="B35" s="23" t="n">
        <f aca="false">datos_base!B7*MAX(parametros_recargas!$B$37:$M$37)/$B$6</f>
        <v>0.0674941329378396</v>
      </c>
      <c r="C35" s="23" t="n">
        <f aca="false">datos_base!C7*MAX(parametros_recargas!$B$38:$M$38)/$B$6</f>
        <v>0.478411094306335</v>
      </c>
      <c r="D35" s="23" t="n">
        <f aca="false">datos_base!D7*MAX(parametros_recargas!$B$39:$M$39)/$B$6</f>
        <v>0.938956254659272</v>
      </c>
      <c r="E35" s="23" t="n">
        <f aca="false">datos_base!E7*MAX(parametros_recargas!$B$40:$M$40)/$B$6</f>
        <v>1.564084323579</v>
      </c>
      <c r="F35" s="23" t="n">
        <f aca="false">datos_base!F7*MAX(parametros_recargas!$B$41:$M$41)/$B$6</f>
        <v>2.20584091375439</v>
      </c>
      <c r="G35" s="23" t="n">
        <f aca="false">datos_base!G7*MAX(parametros_recargas!$B$42:$M$42)/$B$6</f>
        <v>2.85557833894865</v>
      </c>
      <c r="H35" s="23" t="n">
        <f aca="false">datos_base!H7*MAX(parametros_recargas!$B$43:$M$43)/$B$6</f>
        <v>3.54381767025153</v>
      </c>
      <c r="I35" s="23" t="n">
        <f aca="false">datos_base!I7*MAX(parametros_recargas!$B$44:$M$44)/$B$6</f>
        <v>4.00846570526318</v>
      </c>
      <c r="J35" s="23" t="n">
        <f aca="false">datos_base!J7*MAX(parametros_recargas!$B$45:$M$45)/$B$6</f>
        <v>4.38193891558474</v>
      </c>
      <c r="K35" s="23" t="n">
        <f aca="false">datos_base!K7*MAX(parametros_recargas!$B$46:$M$46)/$B$6</f>
        <v>4.75826180451177</v>
      </c>
    </row>
    <row r="36" customFormat="false" ht="15" hidden="false" customHeight="false" outlineLevel="0" collapsed="false">
      <c r="A36" s="12" t="str">
        <f aca="false">datos_base!A8</f>
        <v>AFFF 50 l s/ruedas</v>
      </c>
      <c r="B36" s="23" t="n">
        <f aca="false">datos_base!B8*MAX(parametros_recargas!$B$37:$M$37)/$B$6</f>
        <v>0.0337470649860792</v>
      </c>
      <c r="C36" s="23" t="n">
        <f aca="false">datos_base!C8*MAX(parametros_recargas!$B$38:$M$38)/$B$6</f>
        <v>0.246814430881118</v>
      </c>
      <c r="D36" s="23" t="n">
        <f aca="false">datos_base!D8*MAX(parametros_recargas!$B$39:$M$39)/$B$6</f>
        <v>0.487747304959423</v>
      </c>
      <c r="E36" s="23" t="n">
        <f aca="false">datos_base!E8*MAX(parametros_recargas!$B$40:$M$40)/$B$6</f>
        <v>0.834368152015405</v>
      </c>
      <c r="F36" s="23" t="n">
        <f aca="false">datos_base!F8*MAX(parametros_recargas!$B$41:$M$41)/$B$6</f>
        <v>1.18301768221153</v>
      </c>
      <c r="G36" s="23" t="n">
        <f aca="false">datos_base!G8*MAX(parametros_recargas!$B$42:$M$42)/$B$6</f>
        <v>1.52592390676659</v>
      </c>
      <c r="H36" s="23" t="n">
        <f aca="false">datos_base!H8*MAX(parametros_recargas!$B$43:$M$43)/$B$6</f>
        <v>1.86560775852209</v>
      </c>
      <c r="I36" s="23" t="n">
        <f aca="false">datos_base!I8*MAX(parametros_recargas!$B$44:$M$44)/$B$6</f>
        <v>2.1091273145947</v>
      </c>
      <c r="J36" s="23" t="n">
        <f aca="false">datos_base!J8*MAX(parametros_recargas!$B$45:$M$45)/$B$6</f>
        <v>2.29369042388387</v>
      </c>
      <c r="K36" s="23" t="n">
        <f aca="false">datos_base!K8*MAX(parametros_recargas!$B$46:$M$46)/$B$6</f>
        <v>2.48034988129605</v>
      </c>
    </row>
    <row r="37" customFormat="false" ht="15" hidden="false" customHeight="false" outlineLevel="0" collapsed="false">
      <c r="A37" s="12" t="str">
        <f aca="false">datos_base!A9</f>
        <v>BC 5 kg</v>
      </c>
      <c r="B37" s="23" t="n">
        <f aca="false">datos_base!B9*MAX(parametros_recargas!$B$37:$M$37)/$B$6</f>
        <v>0.0202482389916475</v>
      </c>
      <c r="C37" s="23" t="n">
        <f aca="false">datos_base!C9*MAX(parametros_recargas!$B$38:$M$38)/$B$6</f>
        <v>0.139603844539177</v>
      </c>
      <c r="D37" s="23" t="n">
        <f aca="false">datos_base!D9*MAX(parametros_recargas!$B$39:$M$39)/$B$6</f>
        <v>0.263618443357683</v>
      </c>
      <c r="E37" s="23" t="n">
        <f aca="false">datos_base!E9*MAX(parametros_recargas!$B$40:$M$40)/$B$6</f>
        <v>0.473033543165269</v>
      </c>
      <c r="F37" s="23" t="n">
        <f aca="false">datos_base!F9*MAX(parametros_recargas!$B$41:$M$41)/$B$6</f>
        <v>0.651845469964034</v>
      </c>
      <c r="G37" s="23" t="n">
        <f aca="false">datos_base!G9*MAX(parametros_recargas!$B$42:$M$42)/$B$6</f>
        <v>0.865592943672059</v>
      </c>
      <c r="H37" s="23" t="n">
        <f aca="false">datos_base!H9*MAX(parametros_recargas!$B$43:$M$43)/$B$6</f>
        <v>1.09387422756877</v>
      </c>
      <c r="I37" s="23" t="n">
        <f aca="false">datos_base!I9*MAX(parametros_recargas!$B$44:$M$44)/$B$6</f>
        <v>1.21121076471469</v>
      </c>
      <c r="J37" s="23" t="n">
        <f aca="false">datos_base!J9*MAX(parametros_recargas!$B$45:$M$45)/$B$6</f>
        <v>1.32204714250777</v>
      </c>
      <c r="K37" s="23" t="n">
        <f aca="false">datos_base!K9*MAX(parametros_recargas!$B$46:$M$46)/$B$6</f>
        <v>1.43384519582086</v>
      </c>
    </row>
    <row r="38" customFormat="false" ht="15" hidden="false" customHeight="false" outlineLevel="0" collapsed="false">
      <c r="A38" s="12" t="str">
        <f aca="false">datos_base!A10</f>
        <v>Sales K 6 l</v>
      </c>
      <c r="B38" s="23" t="n">
        <f aca="false">datos_base!B10*MAX(parametros_recargas!$B$37:$M$37)/$B$6</f>
        <v>0.242978876796814</v>
      </c>
      <c r="C38" s="23" t="n">
        <f aca="false">datos_base!C10*MAX(parametros_recargas!$B$38:$M$38)/$B$6</f>
        <v>0.994686087718996</v>
      </c>
      <c r="D38" s="23" t="n">
        <f aca="false">datos_base!D10*MAX(parametros_recargas!$B$39:$M$39)/$B$6</f>
        <v>2.21417271638667</v>
      </c>
      <c r="E38" s="23" t="n">
        <f aca="false">datos_base!E10*MAX(parametros_recargas!$B$40:$M$40)/$B$6</f>
        <v>4.03006373551129</v>
      </c>
      <c r="F38" s="23" t="n">
        <f aca="false">datos_base!F10*MAX(parametros_recargas!$B$41:$M$41)/$B$6</f>
        <v>5.81607314373227</v>
      </c>
      <c r="G38" s="23" t="n">
        <f aca="false">datos_base!G10*MAX(parametros_recargas!$B$42:$M$42)/$B$6</f>
        <v>7.70644548228429</v>
      </c>
      <c r="H38" s="23" t="n">
        <f aca="false">datos_base!H10*MAX(parametros_recargas!$B$43:$M$43)/$B$6</f>
        <v>9.48206427044589</v>
      </c>
      <c r="I38" s="23" t="n">
        <f aca="false">datos_base!I10*MAX(parametros_recargas!$B$44:$M$44)/$B$6</f>
        <v>10.6128072716824</v>
      </c>
      <c r="J38" s="23" t="n">
        <f aca="false">datos_base!J10*MAX(parametros_recargas!$B$45:$M$45)/$B$6</f>
        <v>11.4794046678605</v>
      </c>
      <c r="K38" s="23" t="n">
        <f aca="false">datos_base!K10*MAX(parametros_recargas!$B$46:$M$46)/$B$6</f>
        <v>12.3596533319794</v>
      </c>
    </row>
    <row r="39" customFormat="false" ht="15" hidden="false" customHeight="false" outlineLevel="0" collapsed="false">
      <c r="A39" s="12" t="str">
        <f aca="false">datos_base!A11</f>
        <v>CO₂ 2 kg</v>
      </c>
      <c r="B39" s="23" t="n">
        <f aca="false">datos_base!B11*MAX(parametros_recargas!$B$37:$M$37)/$B$6</f>
        <v>1.33638382386532</v>
      </c>
      <c r="C39" s="23" t="n">
        <f aca="false">datos_base!C11*MAX(parametros_recargas!$B$38:$M$38)/$B$6</f>
        <v>5.03329928313916</v>
      </c>
      <c r="D39" s="23" t="n">
        <f aca="false">datos_base!D11*MAX(parametros_recargas!$B$39:$M$39)/$B$6</f>
        <v>11.7298530695416</v>
      </c>
      <c r="E39" s="23" t="n">
        <f aca="false">datos_base!E11*MAX(parametros_recargas!$B$40:$M$40)/$B$6</f>
        <v>22.4242878106204</v>
      </c>
      <c r="F39" s="23" t="n">
        <f aca="false">datos_base!F11*MAX(parametros_recargas!$B$41:$M$41)/$B$6</f>
        <v>32.3856684554984</v>
      </c>
      <c r="G39" s="23" t="n">
        <f aca="false">datos_base!G11*MAX(parametros_recargas!$B$42:$M$42)/$B$6</f>
        <v>43.0465226041755</v>
      </c>
      <c r="H39" s="23" t="n">
        <f aca="false">datos_base!H11*MAX(parametros_recargas!$B$43:$M$43)/$B$6</f>
        <v>52.6304597240927</v>
      </c>
      <c r="I39" s="23" t="n">
        <f aca="false">datos_base!I11*MAX(parametros_recargas!$B$44:$M$44)/$B$6</f>
        <v>58.1783779523848</v>
      </c>
      <c r="J39" s="23" t="n">
        <f aca="false">datos_base!J11*MAX(parametros_recargas!$B$45:$M$45)/$B$6</f>
        <v>62.7591715179823</v>
      </c>
      <c r="K39" s="23" t="n">
        <f aca="false">datos_base!K11*MAX(parametros_recargas!$B$46:$M$46)/$B$6</f>
        <v>67.4232849189682</v>
      </c>
    </row>
    <row r="40" customFormat="false" ht="15" hidden="false" customHeight="false" outlineLevel="0" collapsed="false">
      <c r="A40" s="12" t="str">
        <f aca="false">datos_base!A12</f>
        <v>CO₂ 5 kg</v>
      </c>
      <c r="B40" s="23" t="n">
        <f aca="false">datos_base!B12*MAX(parametros_recargas!$B$37:$M$37)/$B$6</f>
        <v>0.371217729675277</v>
      </c>
      <c r="C40" s="23" t="n">
        <f aca="false">datos_base!C12*MAX(parametros_recargas!$B$38:$M$38)/$B$6</f>
        <v>1.9088025081872</v>
      </c>
      <c r="D40" s="23" t="n">
        <f aca="false">datos_base!D12*MAX(parametros_recargas!$B$39:$M$39)/$B$6</f>
        <v>4.07967033543936</v>
      </c>
      <c r="E40" s="23" t="n">
        <f aca="false">datos_base!E12*MAX(parametros_recargas!$B$40:$M$40)/$B$6</f>
        <v>7.2964188569739</v>
      </c>
      <c r="F40" s="23" t="n">
        <f aca="false">datos_base!F12*MAX(parametros_recargas!$B$41:$M$41)/$B$6</f>
        <v>10.5141041541689</v>
      </c>
      <c r="G40" s="23" t="n">
        <f aca="false">datos_base!G12*MAX(parametros_recargas!$B$42:$M$42)/$B$6</f>
        <v>14.0082819376862</v>
      </c>
      <c r="H40" s="23" t="n">
        <f aca="false">datos_base!H12*MAX(parametros_recargas!$B$43:$M$43)/$B$6</f>
        <v>17.3608166890814</v>
      </c>
      <c r="I40" s="23" t="n">
        <f aca="false">datos_base!I12*MAX(parametros_recargas!$B$44:$M$44)/$B$6</f>
        <v>19.5985854893006</v>
      </c>
      <c r="J40" s="23" t="n">
        <f aca="false">datos_base!J12*MAX(parametros_recargas!$B$45:$M$45)/$B$6</f>
        <v>21.3105204932839</v>
      </c>
      <c r="K40" s="23" t="n">
        <f aca="false">datos_base!K12*MAX(parametros_recargas!$B$46:$M$46)/$B$6</f>
        <v>23.0420890246826</v>
      </c>
    </row>
    <row r="41" customFormat="false" ht="15" hidden="false" customHeight="false" outlineLevel="0" collapsed="false">
      <c r="A41" s="12" t="str">
        <f aca="false">datos_base!A13</f>
        <v>HCFC/HFC 5 kg</v>
      </c>
      <c r="B41" s="23" t="n">
        <f aca="false">datos_base!B13*MAX(parametros_recargas!$B$37:$M$37)/$B$6</f>
        <v>0.0539953069434079</v>
      </c>
      <c r="C41" s="23" t="n">
        <f aca="false">datos_base!C13*MAX(parametros_recargas!$B$38:$M$38)/$B$6</f>
        <v>0.332379085291776</v>
      </c>
      <c r="D41" s="23" t="n">
        <f aca="false">datos_base!D13*MAX(parametros_recargas!$B$39:$M$39)/$B$6</f>
        <v>0.684639495493837</v>
      </c>
      <c r="E41" s="23" t="n">
        <f aca="false">datos_base!E13*MAX(parametros_recargas!$B$40:$M$40)/$B$6</f>
        <v>1.18839394328126</v>
      </c>
      <c r="F41" s="23" t="n">
        <f aca="false">datos_base!F13*MAX(parametros_recargas!$B$41:$M$41)/$B$6</f>
        <v>1.70380696441107</v>
      </c>
      <c r="G41" s="23" t="n">
        <f aca="false">datos_base!G13*MAX(parametros_recargas!$B$42:$M$42)/$B$6</f>
        <v>2.23714865254927</v>
      </c>
      <c r="H41" s="23" t="n">
        <f aca="false">datos_base!H13*MAX(parametros_recargas!$B$43:$M$43)/$B$6</f>
        <v>2.80212046682578</v>
      </c>
      <c r="I41" s="23" t="n">
        <f aca="false">datos_base!I13*MAX(parametros_recargas!$B$44:$M$44)/$B$6</f>
        <v>3.17990623436581</v>
      </c>
      <c r="J41" s="23" t="n">
        <f aca="false">datos_base!J13*MAX(parametros_recargas!$B$45:$M$45)/$B$6</f>
        <v>3.47487609803716</v>
      </c>
      <c r="K41" s="23" t="n">
        <f aca="false">datos_base!K13*MAX(parametros_recargas!$B$46:$M$46)/$B$6</f>
        <v>3.77217183873007</v>
      </c>
    </row>
    <row r="42" customFormat="false" ht="15" hidden="false" customHeight="false" outlineLevel="0" collapsed="false">
      <c r="A42" s="12" t="str">
        <f aca="false">datos_base!A14</f>
        <v>Clase D 9 l</v>
      </c>
      <c r="B42" s="23" t="n">
        <f aca="false">datos_base!B14*MAX(parametros_recargas!$B$37:$M$37)/$B$6</f>
        <v>0.0202482389916475</v>
      </c>
      <c r="C42" s="23" t="n">
        <f aca="false">datos_base!C14*MAX(parametros_recargas!$B$38:$M$38)/$B$6</f>
        <v>0.139603844539177</v>
      </c>
      <c r="D42" s="23" t="n">
        <f aca="false">datos_base!D14*MAX(parametros_recargas!$B$39:$M$39)/$B$6</f>
        <v>0.263618443357683</v>
      </c>
      <c r="E42" s="23" t="n">
        <f aca="false">datos_base!E14*MAX(parametros_recargas!$B$40:$M$40)/$B$6</f>
        <v>0.43974878636289</v>
      </c>
      <c r="F42" s="23" t="n">
        <f aca="false">datos_base!F14*MAX(parametros_recargas!$B$41:$M$41)/$B$6</f>
        <v>0.608635052604998</v>
      </c>
      <c r="G42" s="23" t="n">
        <f aca="false">datos_base!G14*MAX(parametros_recargas!$B$42:$M$42)/$B$6</f>
        <v>0.758517888962178</v>
      </c>
      <c r="H42" s="23" t="n">
        <f aca="false">datos_base!H14*MAX(parametros_recargas!$B$43:$M$43)/$B$6</f>
        <v>0.973982806462653</v>
      </c>
      <c r="I42" s="23" t="n">
        <f aca="false">datos_base!I14*MAX(parametros_recargas!$B$44:$M$44)/$B$6</f>
        <v>1.08813237807718</v>
      </c>
      <c r="J42" s="23" t="n">
        <f aca="false">datos_base!J14*MAX(parametros_recargas!$B$45:$M$45)/$B$6</f>
        <v>1.19125989754532</v>
      </c>
      <c r="K42" s="23" t="n">
        <f aca="false">datos_base!K14*MAX(parametros_recargas!$B$46:$M$46)/$B$6</f>
        <v>1.29507379131088</v>
      </c>
    </row>
    <row r="43" customFormat="false" ht="15" hidden="false" customHeight="false" outlineLevel="0" collapsed="false">
      <c r="A43" s="12" t="str">
        <f aca="false">datos_base!A15</f>
        <v>ABC 25 kg s/ruedas</v>
      </c>
      <c r="B43" s="23" t="n">
        <f aca="false">datos_base!B15*MAX(parametros_recargas!$B$37:$M$37)/$B$6</f>
        <v>0.0523079529526837</v>
      </c>
      <c r="C43" s="23" t="n">
        <f aca="false">datos_base!C15*MAX(parametros_recargas!$B$38:$M$38)/$B$6</f>
        <v>0.255012460530311</v>
      </c>
      <c r="D43" s="23" t="n">
        <f aca="false">datos_base!D15*MAX(parametros_recargas!$B$39:$M$39)/$B$6</f>
        <v>0.554195566687229</v>
      </c>
      <c r="E43" s="23" t="n">
        <f aca="false">datos_base!E15*MAX(parametros_recargas!$B$40:$M$40)/$B$6</f>
        <v>0.998199726003188</v>
      </c>
      <c r="F43" s="23" t="n">
        <f aca="false">datos_base!F15*MAX(parametros_recargas!$B$41:$M$41)/$B$6</f>
        <v>1.43578295710596</v>
      </c>
      <c r="G43" s="23" t="n">
        <f aca="false">datos_base!G15*MAX(parametros_recargas!$B$42:$M$42)/$B$6</f>
        <v>1.90758662040381</v>
      </c>
      <c r="H43" s="23" t="n">
        <f aca="false">datos_base!H15*MAX(parametros_recargas!$B$43:$M$43)/$B$6</f>
        <v>2.35009994066416</v>
      </c>
      <c r="I43" s="23" t="n">
        <f aca="false">datos_base!I15*MAX(parametros_recargas!$B$44:$M$44)/$B$6</f>
        <v>2.63850047343375</v>
      </c>
      <c r="J43" s="23" t="n">
        <f aca="false">datos_base!J15*MAX(parametros_recargas!$B$45:$M$45)/$B$6</f>
        <v>2.86280503681976</v>
      </c>
      <c r="K43" s="23" t="n">
        <f aca="false">datos_base!K15*MAX(parametros_recargas!$B$46:$M$46)/$B$6</f>
        <v>3.09006101354006</v>
      </c>
    </row>
    <row r="44" customFormat="false" ht="15" hidden="false" customHeight="false" outlineLevel="0" collapsed="false">
      <c r="A44" s="12" t="str">
        <f aca="false">datos_base!A16</f>
        <v>ABC 50 kg s/ruedas</v>
      </c>
      <c r="B44" s="23" t="n">
        <f aca="false">datos_base!B16*MAX(parametros_recargas!$B$37:$M$37)/$B$6</f>
        <v>0.115077494716495</v>
      </c>
      <c r="C44" s="23" t="n">
        <f aca="false">datos_base!C16*MAX(parametros_recargas!$B$38:$M$38)/$B$6</f>
        <v>0.561027416725502</v>
      </c>
      <c r="D44" s="23" t="n">
        <f aca="false">datos_base!D16*MAX(parametros_recargas!$B$39:$M$39)/$B$6</f>
        <v>1.21923024849131</v>
      </c>
      <c r="E44" s="23" t="n">
        <f aca="false">datos_base!E16*MAX(parametros_recargas!$B$40:$M$40)/$B$6</f>
        <v>2.19603939661388</v>
      </c>
      <c r="F44" s="23" t="n">
        <f aca="false">datos_base!F16*MAX(parametros_recargas!$B$41:$M$41)/$B$6</f>
        <v>3.1587225038537</v>
      </c>
      <c r="G44" s="23" t="n">
        <f aca="false">datos_base!G16*MAX(parametros_recargas!$B$42:$M$42)/$B$6</f>
        <v>4.19669056785405</v>
      </c>
      <c r="H44" s="23" t="n">
        <f aca="false">datos_base!H16*MAX(parametros_recargas!$B$43:$M$43)/$B$6</f>
        <v>5.17021987124057</v>
      </c>
      <c r="I44" s="23" t="n">
        <f aca="false">datos_base!I16*MAX(parametros_recargas!$B$44:$M$44)/$B$6</f>
        <v>5.80470104036797</v>
      </c>
      <c r="J44" s="23" t="n">
        <f aca="false">datos_base!J16*MAX(parametros_recargas!$B$45:$M$45)/$B$6</f>
        <v>6.29817107803779</v>
      </c>
      <c r="K44" s="23" t="n">
        <f aca="false">datos_base!K16*MAX(parametros_recargas!$B$46:$M$46)/$B$6</f>
        <v>6.79813422563618</v>
      </c>
    </row>
    <row r="45" customFormat="false" ht="15" hidden="false" customHeight="false" outlineLevel="0" collapsed="false">
      <c r="A45" s="12" t="str">
        <f aca="false">datos_base!A17</f>
        <v>ABC 70 kg s/ruedas</v>
      </c>
      <c r="B45" s="23" t="n">
        <f aca="false">datos_base!B17*MAX(parametros_recargas!$B$37:$M$37)/$B$6</f>
        <v>0.0251078161123884</v>
      </c>
      <c r="C45" s="23" t="n">
        <f aca="false">datos_base!C17*MAX(parametros_recargas!$B$38:$M$38)/$B$6</f>
        <v>0.122405980698668</v>
      </c>
      <c r="D45" s="23" t="n">
        <f aca="false">datos_base!D17*MAX(parametros_recargas!$B$39:$M$39)/$B$6</f>
        <v>0.266013871535361</v>
      </c>
      <c r="E45" s="23" t="n">
        <f aca="false">datos_base!E17*MAX(parametros_recargas!$B$40:$M$40)/$B$6</f>
        <v>0.479135868244276</v>
      </c>
      <c r="F45" s="23" t="n">
        <f aca="false">datos_base!F17*MAX(parametros_recargas!$B$41:$M$41)/$B$6</f>
        <v>0.689175819292234</v>
      </c>
      <c r="G45" s="23" t="n">
        <f aca="false">datos_base!G17*MAX(parametros_recargas!$B$42:$M$42)/$B$6</f>
        <v>0.915641578386963</v>
      </c>
      <c r="H45" s="23" t="n">
        <f aca="false">datos_base!H17*MAX(parametros_recargas!$B$43:$M$43)/$B$6</f>
        <v>1.12804797104429</v>
      </c>
      <c r="I45" s="23" t="n">
        <f aca="false">datos_base!I17*MAX(parametros_recargas!$B$44:$M$44)/$B$6</f>
        <v>1.26648022618055</v>
      </c>
      <c r="J45" s="23" t="n">
        <f aca="false">datos_base!J17*MAX(parametros_recargas!$B$45:$M$45)/$B$6</f>
        <v>1.37414641826662</v>
      </c>
      <c r="K45" s="23" t="n">
        <f aca="false">datos_base!K17*MAX(parametros_recargas!$B$46:$M$46)/$B$6</f>
        <v>1.48322928661786</v>
      </c>
    </row>
    <row r="46" customFormat="false" ht="15" hidden="false" customHeight="false" outlineLevel="0" collapsed="false">
      <c r="A46" s="12" t="str">
        <f aca="false">datos_base!A18</f>
        <v>ABC 100 kg s/ruedas</v>
      </c>
      <c r="B46" s="23" t="n">
        <f aca="false">datos_base!B18*MAX(parametros_recargas!$B$37:$M$37)/$B$6</f>
        <v>0.016738545063486</v>
      </c>
      <c r="C46" s="23" t="n">
        <f aca="false">datos_base!C18*MAX(parametros_recargas!$B$38:$M$38)/$B$6</f>
        <v>0.0816039871324451</v>
      </c>
      <c r="D46" s="23" t="n">
        <f aca="false">datos_base!D18*MAX(parametros_recargas!$B$39:$M$39)/$B$6</f>
        <v>0.177342583000695</v>
      </c>
      <c r="E46" s="23" t="n">
        <f aca="false">datos_base!E18*MAX(parametros_recargas!$B$40:$M$40)/$B$6</f>
        <v>0.319423913151411</v>
      </c>
      <c r="F46" s="23" t="n">
        <f aca="false">datos_base!F18*MAX(parametros_recargas!$B$41:$M$41)/$B$6</f>
        <v>0.459450545206262</v>
      </c>
      <c r="G46" s="23" t="n">
        <f aca="false">datos_base!G18*MAX(parametros_recargas!$B$42:$M$42)/$B$6</f>
        <v>0.610427717936082</v>
      </c>
      <c r="H46" s="23" t="n">
        <f aca="false">datos_base!H18*MAX(parametros_recargas!$B$43:$M$43)/$B$6</f>
        <v>0.752031982673314</v>
      </c>
      <c r="I46" s="23" t="n">
        <f aca="false">datos_base!I18*MAX(parametros_recargas!$B$44:$M$44)/$B$6</f>
        <v>0.844320150787036</v>
      </c>
      <c r="J46" s="23" t="n">
        <f aca="false">datos_base!J18*MAX(parametros_recargas!$B$45:$M$45)/$B$6</f>
        <v>0.916097611189187</v>
      </c>
      <c r="K46" s="23" t="n">
        <f aca="false">datos_base!K18*MAX(parametros_recargas!$B$46:$M$46)/$B$6</f>
        <v>0.988819522434784</v>
      </c>
    </row>
    <row r="48" customFormat="false" ht="15" hidden="false" customHeight="false" outlineLevel="0" collapsed="false">
      <c r="A48" s="1" t="s">
        <v>320</v>
      </c>
    </row>
    <row r="49" customFormat="false" ht="15" hidden="false" customHeight="false" outlineLevel="0" collapsed="false">
      <c r="A49" s="3" t="s">
        <v>266</v>
      </c>
      <c r="B49" s="3" t="n">
        <v>2026</v>
      </c>
      <c r="C49" s="3" t="n">
        <v>2027</v>
      </c>
      <c r="D49" s="3" t="n">
        <v>2028</v>
      </c>
      <c r="E49" s="3" t="n">
        <v>2029</v>
      </c>
      <c r="F49" s="3" t="n">
        <v>2030</v>
      </c>
      <c r="G49" s="3" t="n">
        <v>2031</v>
      </c>
      <c r="H49" s="3" t="n">
        <v>2032</v>
      </c>
      <c r="I49" s="3" t="n">
        <v>2033</v>
      </c>
      <c r="J49" s="3" t="n">
        <v>2034</v>
      </c>
      <c r="K49" s="3" t="n">
        <v>2035</v>
      </c>
    </row>
    <row r="50" customFormat="false" ht="15" hidden="false" customHeight="false" outlineLevel="0" collapsed="false">
      <c r="A50" s="4" t="s">
        <v>139</v>
      </c>
      <c r="B50" s="25" t="n">
        <f aca="false">SUMPRODUCT(MAX((parametros_recargas!$E$72:$E$99&gt;0)*'Resumen Capacidad'!B$2:B$29))</f>
        <v>0.0804230085541185</v>
      </c>
      <c r="C50" s="25" t="n">
        <f aca="false">SUMPRODUCT(MAX((parametros_recargas!$E$72:$E$99&gt;0)*'Resumen Capacidad'!C$2:C$29))</f>
        <v>0.365066319528583</v>
      </c>
      <c r="D50" s="25" t="n">
        <f aca="false">SUMPRODUCT(MAX((parametros_recargas!$E$72:$E$99&gt;0)*'Resumen Capacidad'!D$2:D$29))</f>
        <v>0.72188230959864</v>
      </c>
      <c r="E50" s="25" t="n">
        <f aca="false">SUMPRODUCT(MAX((parametros_recargas!$E$72:$E$99&gt;0)*'Resumen Capacidad'!E$2:E$29))</f>
        <v>1.33778979920548</v>
      </c>
      <c r="F50" s="25" t="n">
        <f aca="false">SUMPRODUCT(MAX((parametros_recargas!$E$72:$E$99&gt;0)*'Resumen Capacidad'!F$2:F$29))</f>
        <v>1.99136483049878</v>
      </c>
      <c r="G50" s="25" t="n">
        <f aca="false">SUMPRODUCT(MAX((parametros_recargas!$E$72:$E$99&gt;0)*'Resumen Capacidad'!G$2:G$29))</f>
        <v>2.76671317954589</v>
      </c>
      <c r="H50" s="25" t="n">
        <f aca="false">SUMPRODUCT(MAX((parametros_recargas!$E$72:$E$99&gt;0)*'Resumen Capacidad'!H$2:H$29))</f>
        <v>3.52141282878862</v>
      </c>
      <c r="I50" s="25" t="n">
        <f aca="false">SUMPRODUCT(MAX((parametros_recargas!$E$72:$E$99&gt;0)*'Resumen Capacidad'!I$2:I$29))</f>
        <v>4.11672588649578</v>
      </c>
      <c r="J50" s="25" t="n">
        <f aca="false">SUMPRODUCT(MAX((parametros_recargas!$E$72:$E$99&gt;0)*'Resumen Capacidad'!J$2:J$29))</f>
        <v>4.51316744168268</v>
      </c>
      <c r="K50" s="25" t="n">
        <f aca="false">SUMPRODUCT(MAX((parametros_recargas!$E$72:$E$99&gt;0)*'Resumen Capacidad'!K$2:K$29))</f>
        <v>4.89382700595198</v>
      </c>
    </row>
    <row r="51" customFormat="false" ht="15" hidden="false" customHeight="false" outlineLevel="0" collapsed="false">
      <c r="A51" s="4" t="s">
        <v>145</v>
      </c>
      <c r="B51" s="25" t="n">
        <f aca="false">SUMPRODUCT(MAX((parametros_recargas!$F$72:$F$99&gt;0)*'Resumen Capacidad'!B$2:B$29))</f>
        <v>0.0804230085541185</v>
      </c>
      <c r="C51" s="25" t="n">
        <f aca="false">SUMPRODUCT(MAX((parametros_recargas!$F$72:$F$99&gt;0)*'Resumen Capacidad'!C$2:C$29))</f>
        <v>0.365066319528583</v>
      </c>
      <c r="D51" s="25" t="n">
        <f aca="false">SUMPRODUCT(MAX((parametros_recargas!$F$72:$F$99&gt;0)*'Resumen Capacidad'!D$2:D$29))</f>
        <v>0.72188230959864</v>
      </c>
      <c r="E51" s="25" t="n">
        <f aca="false">SUMPRODUCT(MAX((parametros_recargas!$F$72:$F$99&gt;0)*'Resumen Capacidad'!E$2:E$29))</f>
        <v>1.33778979920548</v>
      </c>
      <c r="F51" s="25" t="n">
        <f aca="false">SUMPRODUCT(MAX((parametros_recargas!$F$72:$F$99&gt;0)*'Resumen Capacidad'!F$2:F$29))</f>
        <v>1.99136483049878</v>
      </c>
      <c r="G51" s="25" t="n">
        <f aca="false">SUMPRODUCT(MAX((parametros_recargas!$F$72:$F$99&gt;0)*'Resumen Capacidad'!G$2:G$29))</f>
        <v>2.76671317954589</v>
      </c>
      <c r="H51" s="25" t="n">
        <f aca="false">SUMPRODUCT(MAX((parametros_recargas!$F$72:$F$99&gt;0)*'Resumen Capacidad'!H$2:H$29))</f>
        <v>3.52141282878862</v>
      </c>
      <c r="I51" s="25" t="n">
        <f aca="false">SUMPRODUCT(MAX((parametros_recargas!$F$72:$F$99&gt;0)*'Resumen Capacidad'!I$2:I$29))</f>
        <v>4.11672588649578</v>
      </c>
      <c r="J51" s="25" t="n">
        <f aca="false">SUMPRODUCT(MAX((parametros_recargas!$F$72:$F$99&gt;0)*'Resumen Capacidad'!J$2:J$29))</f>
        <v>4.51316744168268</v>
      </c>
      <c r="K51" s="25" t="n">
        <f aca="false">SUMPRODUCT(MAX((parametros_recargas!$F$72:$F$99&gt;0)*'Resumen Capacidad'!K$2:K$29))</f>
        <v>4.89382700595198</v>
      </c>
    </row>
    <row r="52" customFormat="false" ht="15" hidden="false" customHeight="false" outlineLevel="0" collapsed="false">
      <c r="A52" s="4" t="s">
        <v>151</v>
      </c>
      <c r="B52" s="25" t="n">
        <f aca="false">SUMPRODUCT(MAX((parametros_recargas!$G$72:$G$99&gt;0)*'Resumen Capacidad'!B$2:B$29))</f>
        <v>0.0804230085541185</v>
      </c>
      <c r="C52" s="25" t="n">
        <f aca="false">SUMPRODUCT(MAX((parametros_recargas!$G$72:$G$99&gt;0)*'Resumen Capacidad'!C$2:C$29))</f>
        <v>0.365066319528583</v>
      </c>
      <c r="D52" s="25" t="n">
        <f aca="false">SUMPRODUCT(MAX((parametros_recargas!$G$72:$G$99&gt;0)*'Resumen Capacidad'!D$2:D$29))</f>
        <v>0.72188230959864</v>
      </c>
      <c r="E52" s="25" t="n">
        <f aca="false">SUMPRODUCT(MAX((parametros_recargas!$G$72:$G$99&gt;0)*'Resumen Capacidad'!E$2:E$29))</f>
        <v>1.33778979920548</v>
      </c>
      <c r="F52" s="25" t="n">
        <f aca="false">SUMPRODUCT(MAX((parametros_recargas!$G$72:$G$99&gt;0)*'Resumen Capacidad'!F$2:F$29))</f>
        <v>1.99136483049878</v>
      </c>
      <c r="G52" s="25" t="n">
        <f aca="false">SUMPRODUCT(MAX((parametros_recargas!$G$72:$G$99&gt;0)*'Resumen Capacidad'!G$2:G$29))</f>
        <v>2.76671317954589</v>
      </c>
      <c r="H52" s="25" t="n">
        <f aca="false">SUMPRODUCT(MAX((parametros_recargas!$G$72:$G$99&gt;0)*'Resumen Capacidad'!H$2:H$29))</f>
        <v>3.52141282878862</v>
      </c>
      <c r="I52" s="25" t="n">
        <f aca="false">SUMPRODUCT(MAX((parametros_recargas!$G$72:$G$99&gt;0)*'Resumen Capacidad'!I$2:I$29))</f>
        <v>4.11672588649578</v>
      </c>
      <c r="J52" s="25" t="n">
        <f aca="false">SUMPRODUCT(MAX((parametros_recargas!$G$72:$G$99&gt;0)*'Resumen Capacidad'!J$2:J$29))</f>
        <v>4.51316744168268</v>
      </c>
      <c r="K52" s="25" t="n">
        <f aca="false">SUMPRODUCT(MAX((parametros_recargas!$G$72:$G$99&gt;0)*'Resumen Capacidad'!K$2:K$29))</f>
        <v>4.89382700595198</v>
      </c>
    </row>
    <row r="53" customFormat="false" ht="15" hidden="false" customHeight="false" outlineLevel="0" collapsed="false">
      <c r="A53" s="4" t="s">
        <v>142</v>
      </c>
      <c r="B53" s="25" t="n">
        <f aca="false">SUMPRODUCT(MAX((parametros_recargas!$H$72:$H$99&gt;0)*'Resumen Capacidad'!B$2:B$29))</f>
        <v>0.0691364897248425</v>
      </c>
      <c r="C53" s="25" t="n">
        <f aca="false">SUMPRODUCT(MAX((parametros_recargas!$H$72:$H$99&gt;0)*'Resumen Capacidad'!C$2:C$29))</f>
        <v>0.311912107881743</v>
      </c>
      <c r="D53" s="25" t="n">
        <f aca="false">SUMPRODUCT(MAX((parametros_recargas!$H$72:$H$99&gt;0)*'Resumen Capacidad'!D$2:D$29))</f>
        <v>0.626563477827912</v>
      </c>
      <c r="E53" s="25" t="n">
        <f aca="false">SUMPRODUCT(MAX((parametros_recargas!$H$72:$H$99&gt;0)*'Resumen Capacidad'!E$2:E$29))</f>
        <v>1.16111434561246</v>
      </c>
      <c r="F53" s="25" t="n">
        <f aca="false">SUMPRODUCT(MAX((parametros_recargas!$H$72:$H$99&gt;0)*'Resumen Capacidad'!F$2:F$29))</f>
        <v>1.72306349004412</v>
      </c>
      <c r="G53" s="25" t="n">
        <f aca="false">SUMPRODUCT(MAX((parametros_recargas!$H$72:$H$99&gt;0)*'Resumen Capacidad'!G$2:G$29))</f>
        <v>2.39056843849087</v>
      </c>
      <c r="H53" s="25" t="n">
        <f aca="false">SUMPRODUCT(MAX((parametros_recargas!$H$72:$H$99&gt;0)*'Resumen Capacidad'!H$2:H$29))</f>
        <v>3.04657429840052</v>
      </c>
      <c r="I53" s="25" t="n">
        <f aca="false">SUMPRODUCT(MAX((parametros_recargas!$H$72:$H$99&gt;0)*'Resumen Capacidad'!I$2:I$29))</f>
        <v>3.5636932782473</v>
      </c>
      <c r="J53" s="25" t="n">
        <f aca="false">SUMPRODUCT(MAX((parametros_recargas!$H$72:$H$99&gt;0)*'Resumen Capacidad'!J$2:J$29))</f>
        <v>3.91986297466836</v>
      </c>
      <c r="K53" s="25" t="n">
        <f aca="false">SUMPRODUCT(MAX((parametros_recargas!$H$72:$H$99&gt;0)*'Resumen Capacidad'!K$2:K$29))</f>
        <v>4.26016391412898</v>
      </c>
    </row>
    <row r="54" customFormat="false" ht="15" hidden="false" customHeight="false" outlineLevel="0" collapsed="false">
      <c r="A54" s="4" t="s">
        <v>143</v>
      </c>
      <c r="B54" s="25" t="n">
        <f aca="false">SUMPRODUCT(MAX((parametros_recargas!$I$72:$I$99&gt;0)*'Resumen Capacidad'!B$2:B$29))</f>
        <v>0.0691364897248425</v>
      </c>
      <c r="C54" s="25" t="n">
        <f aca="false">SUMPRODUCT(MAX((parametros_recargas!$I$72:$I$99&gt;0)*'Resumen Capacidad'!C$2:C$29))</f>
        <v>0.311912107881743</v>
      </c>
      <c r="D54" s="25" t="n">
        <f aca="false">SUMPRODUCT(MAX((parametros_recargas!$I$72:$I$99&gt;0)*'Resumen Capacidad'!D$2:D$29))</f>
        <v>0.626563477827912</v>
      </c>
      <c r="E54" s="25" t="n">
        <f aca="false">SUMPRODUCT(MAX((parametros_recargas!$I$72:$I$99&gt;0)*'Resumen Capacidad'!E$2:E$29))</f>
        <v>1.16111434561246</v>
      </c>
      <c r="F54" s="25" t="n">
        <f aca="false">SUMPRODUCT(MAX((parametros_recargas!$I$72:$I$99&gt;0)*'Resumen Capacidad'!F$2:F$29))</f>
        <v>1.72306349004412</v>
      </c>
      <c r="G54" s="25" t="n">
        <f aca="false">SUMPRODUCT(MAX((parametros_recargas!$I$72:$I$99&gt;0)*'Resumen Capacidad'!G$2:G$29))</f>
        <v>2.39056843849087</v>
      </c>
      <c r="H54" s="25" t="n">
        <f aca="false">SUMPRODUCT(MAX((parametros_recargas!$I$72:$I$99&gt;0)*'Resumen Capacidad'!H$2:H$29))</f>
        <v>3.04657429840052</v>
      </c>
      <c r="I54" s="25" t="n">
        <f aca="false">SUMPRODUCT(MAX((parametros_recargas!$I$72:$I$99&gt;0)*'Resumen Capacidad'!I$2:I$29))</f>
        <v>3.5636932782473</v>
      </c>
      <c r="J54" s="25" t="n">
        <f aca="false">SUMPRODUCT(MAX((parametros_recargas!$I$72:$I$99&gt;0)*'Resumen Capacidad'!J$2:J$29))</f>
        <v>3.91986297466836</v>
      </c>
      <c r="K54" s="25" t="n">
        <f aca="false">SUMPRODUCT(MAX((parametros_recargas!$I$72:$I$99&gt;0)*'Resumen Capacidad'!K$2:K$29))</f>
        <v>4.26016391412898</v>
      </c>
    </row>
    <row r="55" customFormat="false" ht="15" hidden="false" customHeight="false" outlineLevel="0" collapsed="false">
      <c r="A55" s="4" t="s">
        <v>146</v>
      </c>
      <c r="B55" s="25" t="n">
        <f aca="false">SUMPRODUCT(MAX((parametros_recargas!$J$72:$J$99&gt;0)*'Resumen Capacidad'!B$2:B$29))</f>
        <v>0.0691364897248425</v>
      </c>
      <c r="C55" s="25" t="n">
        <f aca="false">SUMPRODUCT(MAX((parametros_recargas!$J$72:$J$99&gt;0)*'Resumen Capacidad'!C$2:C$29))</f>
        <v>0.311912107881743</v>
      </c>
      <c r="D55" s="25" t="n">
        <f aca="false">SUMPRODUCT(MAX((parametros_recargas!$J$72:$J$99&gt;0)*'Resumen Capacidad'!D$2:D$29))</f>
        <v>0.626563477827912</v>
      </c>
      <c r="E55" s="25" t="n">
        <f aca="false">SUMPRODUCT(MAX((parametros_recargas!$J$72:$J$99&gt;0)*'Resumen Capacidad'!E$2:E$29))</f>
        <v>1.16111434561246</v>
      </c>
      <c r="F55" s="25" t="n">
        <f aca="false">SUMPRODUCT(MAX((parametros_recargas!$J$72:$J$99&gt;0)*'Resumen Capacidad'!F$2:F$29))</f>
        <v>1.72306349004412</v>
      </c>
      <c r="G55" s="25" t="n">
        <f aca="false">SUMPRODUCT(MAX((parametros_recargas!$J$72:$J$99&gt;0)*'Resumen Capacidad'!G$2:G$29))</f>
        <v>2.39056843849087</v>
      </c>
      <c r="H55" s="25" t="n">
        <f aca="false">SUMPRODUCT(MAX((parametros_recargas!$J$72:$J$99&gt;0)*'Resumen Capacidad'!H$2:H$29))</f>
        <v>3.04657429840052</v>
      </c>
      <c r="I55" s="25" t="n">
        <f aca="false">SUMPRODUCT(MAX((parametros_recargas!$J$72:$J$99&gt;0)*'Resumen Capacidad'!I$2:I$29))</f>
        <v>3.5636932782473</v>
      </c>
      <c r="J55" s="25" t="n">
        <f aca="false">SUMPRODUCT(MAX((parametros_recargas!$J$72:$J$99&gt;0)*'Resumen Capacidad'!J$2:J$29))</f>
        <v>3.91986297466836</v>
      </c>
      <c r="K55" s="25" t="n">
        <f aca="false">SUMPRODUCT(MAX((parametros_recargas!$J$72:$J$99&gt;0)*'Resumen Capacidad'!K$2:K$29))</f>
        <v>4.26016391412898</v>
      </c>
    </row>
    <row r="56" customFormat="false" ht="15" hidden="false" customHeight="false" outlineLevel="0" collapsed="false">
      <c r="A56" s="4" t="s">
        <v>147</v>
      </c>
      <c r="B56" s="25" t="n">
        <f aca="false">SUMPRODUCT(MAX((parametros_recargas!$K$72:$K$99&gt;0)*'Resumen Capacidad'!B$2:B$29))</f>
        <v>0.0691364897248425</v>
      </c>
      <c r="C56" s="25" t="n">
        <f aca="false">SUMPRODUCT(MAX((parametros_recargas!$K$72:$K$99&gt;0)*'Resumen Capacidad'!C$2:C$29))</f>
        <v>0.311912107881743</v>
      </c>
      <c r="D56" s="25" t="n">
        <f aca="false">SUMPRODUCT(MAX((parametros_recargas!$K$72:$K$99&gt;0)*'Resumen Capacidad'!D$2:D$29))</f>
        <v>0.626563477827912</v>
      </c>
      <c r="E56" s="25" t="n">
        <f aca="false">SUMPRODUCT(MAX((parametros_recargas!$K$72:$K$99&gt;0)*'Resumen Capacidad'!E$2:E$29))</f>
        <v>1.16111434561246</v>
      </c>
      <c r="F56" s="25" t="n">
        <f aca="false">SUMPRODUCT(MAX((parametros_recargas!$K$72:$K$99&gt;0)*'Resumen Capacidad'!F$2:F$29))</f>
        <v>1.72306349004412</v>
      </c>
      <c r="G56" s="25" t="n">
        <f aca="false">SUMPRODUCT(MAX((parametros_recargas!$K$72:$K$99&gt;0)*'Resumen Capacidad'!G$2:G$29))</f>
        <v>2.39056843849087</v>
      </c>
      <c r="H56" s="25" t="n">
        <f aca="false">SUMPRODUCT(MAX((parametros_recargas!$K$72:$K$99&gt;0)*'Resumen Capacidad'!H$2:H$29))</f>
        <v>3.04657429840052</v>
      </c>
      <c r="I56" s="25" t="n">
        <f aca="false">SUMPRODUCT(MAX((parametros_recargas!$K$72:$K$99&gt;0)*'Resumen Capacidad'!I$2:I$29))</f>
        <v>3.5636932782473</v>
      </c>
      <c r="J56" s="25" t="n">
        <f aca="false">SUMPRODUCT(MAX((parametros_recargas!$K$72:$K$99&gt;0)*'Resumen Capacidad'!J$2:J$29))</f>
        <v>3.91986297466836</v>
      </c>
      <c r="K56" s="25" t="n">
        <f aca="false">SUMPRODUCT(MAX((parametros_recargas!$K$72:$K$99&gt;0)*'Resumen Capacidad'!K$2:K$29))</f>
        <v>4.26016391412898</v>
      </c>
    </row>
    <row r="57" customFormat="false" ht="15" hidden="false" customHeight="false" outlineLevel="0" collapsed="false">
      <c r="A57" s="4" t="s">
        <v>150</v>
      </c>
      <c r="B57" s="25" t="n">
        <f aca="false">SUMPRODUCT(MAX((parametros_recargas!$L$72:$L$99&gt;0)*'Resumen Capacidad'!B$2:B$29))</f>
        <v>0.0691364897248425</v>
      </c>
      <c r="C57" s="25" t="n">
        <f aca="false">SUMPRODUCT(MAX((parametros_recargas!$L$72:$L$99&gt;0)*'Resumen Capacidad'!C$2:C$29))</f>
        <v>0.311912107881743</v>
      </c>
      <c r="D57" s="25" t="n">
        <f aca="false">SUMPRODUCT(MAX((parametros_recargas!$L$72:$L$99&gt;0)*'Resumen Capacidad'!D$2:D$29))</f>
        <v>0.626563477827912</v>
      </c>
      <c r="E57" s="25" t="n">
        <f aca="false">SUMPRODUCT(MAX((parametros_recargas!$L$72:$L$99&gt;0)*'Resumen Capacidad'!E$2:E$29))</f>
        <v>1.16111434561246</v>
      </c>
      <c r="F57" s="25" t="n">
        <f aca="false">SUMPRODUCT(MAX((parametros_recargas!$L$72:$L$99&gt;0)*'Resumen Capacidad'!F$2:F$29))</f>
        <v>1.72306349004412</v>
      </c>
      <c r="G57" s="25" t="n">
        <f aca="false">SUMPRODUCT(MAX((parametros_recargas!$L$72:$L$99&gt;0)*'Resumen Capacidad'!G$2:G$29))</f>
        <v>2.39056843849087</v>
      </c>
      <c r="H57" s="25" t="n">
        <f aca="false">SUMPRODUCT(MAX((parametros_recargas!$L$72:$L$99&gt;0)*'Resumen Capacidad'!H$2:H$29))</f>
        <v>3.04657429840052</v>
      </c>
      <c r="I57" s="25" t="n">
        <f aca="false">SUMPRODUCT(MAX((parametros_recargas!$L$72:$L$99&gt;0)*'Resumen Capacidad'!I$2:I$29))</f>
        <v>3.5636932782473</v>
      </c>
      <c r="J57" s="25" t="n">
        <f aca="false">SUMPRODUCT(MAX((parametros_recargas!$L$72:$L$99&gt;0)*'Resumen Capacidad'!J$2:J$29))</f>
        <v>3.91986297466836</v>
      </c>
      <c r="K57" s="25" t="n">
        <f aca="false">SUMPRODUCT(MAX((parametros_recargas!$L$72:$L$99&gt;0)*'Resumen Capacidad'!K$2:K$29))</f>
        <v>4.26016391412898</v>
      </c>
    </row>
    <row r="58" customFormat="false" ht="15" hidden="false" customHeight="false" outlineLevel="0" collapsed="false">
      <c r="A58" s="1" t="s">
        <v>321</v>
      </c>
    </row>
    <row r="59" customFormat="false" ht="15" hidden="false" customHeight="false" outlineLevel="0" collapsed="false">
      <c r="A59" s="3" t="s">
        <v>266</v>
      </c>
      <c r="B59" s="3" t="n">
        <v>2026</v>
      </c>
      <c r="C59" s="3" t="n">
        <v>2027</v>
      </c>
      <c r="D59" s="3" t="n">
        <v>2028</v>
      </c>
      <c r="E59" s="3" t="n">
        <v>2029</v>
      </c>
      <c r="F59" s="3" t="n">
        <v>2030</v>
      </c>
      <c r="G59" s="3" t="n">
        <v>2031</v>
      </c>
      <c r="H59" s="3" t="n">
        <v>2032</v>
      </c>
      <c r="I59" s="3" t="n">
        <v>2033</v>
      </c>
      <c r="J59" s="3" t="n">
        <v>2034</v>
      </c>
      <c r="K59" s="3" t="n">
        <v>2035</v>
      </c>
    </row>
    <row r="60" customFormat="false" ht="15" hidden="false" customHeight="false" outlineLevel="0" collapsed="false">
      <c r="A60" s="4" t="s">
        <v>139</v>
      </c>
      <c r="B60" s="28" t="n">
        <f aca="false">MAX(0,B50-1)*$B$6</f>
        <v>0</v>
      </c>
      <c r="C60" s="28" t="n">
        <f aca="false">MAX(0,C50-1)*$B$6</f>
        <v>0</v>
      </c>
      <c r="D60" s="28" t="n">
        <f aca="false">MAX(0,D50-1)*$B$6</f>
        <v>0</v>
      </c>
      <c r="E60" s="28" t="n">
        <f aca="false">MAX(0,E50-1)*$B$6</f>
        <v>6.75579598410968</v>
      </c>
      <c r="F60" s="28" t="n">
        <f aca="false">MAX(0,F50-1)*$B$6</f>
        <v>19.8272966099756</v>
      </c>
      <c r="G60" s="28" t="n">
        <f aca="false">MAX(0,G50-1)*$B$6</f>
        <v>35.3342635909178</v>
      </c>
      <c r="H60" s="28" t="n">
        <f aca="false">MAX(0,H50-1)*$B$6</f>
        <v>50.4282565757723</v>
      </c>
      <c r="I60" s="28" t="n">
        <f aca="false">MAX(0,I50-1)*$B$6</f>
        <v>62.3345177299156</v>
      </c>
      <c r="J60" s="28" t="n">
        <f aca="false">MAX(0,J50-1)*$B$6</f>
        <v>70.2633488336536</v>
      </c>
      <c r="K60" s="28" t="n">
        <f aca="false">MAX(0,K50-1)*$B$6</f>
        <v>77.8765401190397</v>
      </c>
    </row>
    <row r="61" customFormat="false" ht="15" hidden="false" customHeight="false" outlineLevel="0" collapsed="false">
      <c r="A61" s="4" t="s">
        <v>145</v>
      </c>
      <c r="B61" s="28" t="n">
        <f aca="false">MAX(0,B51-1)*$B$6</f>
        <v>0</v>
      </c>
      <c r="C61" s="28" t="n">
        <f aca="false">MAX(0,C51-1)*$B$6</f>
        <v>0</v>
      </c>
      <c r="D61" s="28" t="n">
        <f aca="false">MAX(0,D51-1)*$B$6</f>
        <v>0</v>
      </c>
      <c r="E61" s="28" t="n">
        <f aca="false">MAX(0,E51-1)*$B$6</f>
        <v>6.75579598410968</v>
      </c>
      <c r="F61" s="28" t="n">
        <f aca="false">MAX(0,F51-1)*$B$6</f>
        <v>19.8272966099756</v>
      </c>
      <c r="G61" s="28" t="n">
        <f aca="false">MAX(0,G51-1)*$B$6</f>
        <v>35.3342635909178</v>
      </c>
      <c r="H61" s="28" t="n">
        <f aca="false">MAX(0,H51-1)*$B$6</f>
        <v>50.4282565757723</v>
      </c>
      <c r="I61" s="28" t="n">
        <f aca="false">MAX(0,I51-1)*$B$6</f>
        <v>62.3345177299156</v>
      </c>
      <c r="J61" s="28" t="n">
        <f aca="false">MAX(0,J51-1)*$B$6</f>
        <v>70.2633488336536</v>
      </c>
      <c r="K61" s="28" t="n">
        <f aca="false">MAX(0,K51-1)*$B$6</f>
        <v>77.8765401190397</v>
      </c>
    </row>
    <row r="62" customFormat="false" ht="15" hidden="false" customHeight="false" outlineLevel="0" collapsed="false">
      <c r="A62" s="4" t="s">
        <v>151</v>
      </c>
      <c r="B62" s="28" t="n">
        <f aca="false">MAX(0,B52-1)*$B$6</f>
        <v>0</v>
      </c>
      <c r="C62" s="28" t="n">
        <f aca="false">MAX(0,C52-1)*$B$6</f>
        <v>0</v>
      </c>
      <c r="D62" s="28" t="n">
        <f aca="false">MAX(0,D52-1)*$B$6</f>
        <v>0</v>
      </c>
      <c r="E62" s="28" t="n">
        <f aca="false">MAX(0,E52-1)*$B$6</f>
        <v>6.75579598410968</v>
      </c>
      <c r="F62" s="28" t="n">
        <f aca="false">MAX(0,F52-1)*$B$6</f>
        <v>19.8272966099756</v>
      </c>
      <c r="G62" s="28" t="n">
        <f aca="false">MAX(0,G52-1)*$B$6</f>
        <v>35.3342635909178</v>
      </c>
      <c r="H62" s="28" t="n">
        <f aca="false">MAX(0,H52-1)*$B$6</f>
        <v>50.4282565757723</v>
      </c>
      <c r="I62" s="28" t="n">
        <f aca="false">MAX(0,I52-1)*$B$6</f>
        <v>62.3345177299156</v>
      </c>
      <c r="J62" s="28" t="n">
        <f aca="false">MAX(0,J52-1)*$B$6</f>
        <v>70.2633488336536</v>
      </c>
      <c r="K62" s="28" t="n">
        <f aca="false">MAX(0,K52-1)*$B$6</f>
        <v>77.8765401190397</v>
      </c>
    </row>
    <row r="63" customFormat="false" ht="15" hidden="false" customHeight="false" outlineLevel="0" collapsed="false">
      <c r="A63" s="4" t="s">
        <v>142</v>
      </c>
      <c r="B63" s="28" t="n">
        <f aca="false">MAX(0,B53-1)*$B$6</f>
        <v>0</v>
      </c>
      <c r="C63" s="28" t="n">
        <f aca="false">MAX(0,C53-1)*$B$6</f>
        <v>0</v>
      </c>
      <c r="D63" s="28" t="n">
        <f aca="false">MAX(0,D53-1)*$B$6</f>
        <v>0</v>
      </c>
      <c r="E63" s="28" t="n">
        <f aca="false">MAX(0,E53-1)*$B$6</f>
        <v>3.22228691224914</v>
      </c>
      <c r="F63" s="28" t="n">
        <f aca="false">MAX(0,F53-1)*$B$6</f>
        <v>14.4612698008825</v>
      </c>
      <c r="G63" s="28" t="n">
        <f aca="false">MAX(0,G53-1)*$B$6</f>
        <v>27.8113687698173</v>
      </c>
      <c r="H63" s="28" t="n">
        <f aca="false">MAX(0,H53-1)*$B$6</f>
        <v>40.9314859680104</v>
      </c>
      <c r="I63" s="28" t="n">
        <f aca="false">MAX(0,I53-1)*$B$6</f>
        <v>51.2738655649461</v>
      </c>
      <c r="J63" s="28" t="n">
        <f aca="false">MAX(0,J53-1)*$B$6</f>
        <v>58.3972594933671</v>
      </c>
      <c r="K63" s="28" t="n">
        <f aca="false">MAX(0,K53-1)*$B$6</f>
        <v>65.2032782825797</v>
      </c>
    </row>
    <row r="64" customFormat="false" ht="15" hidden="false" customHeight="false" outlineLevel="0" collapsed="false">
      <c r="A64" s="4" t="s">
        <v>143</v>
      </c>
      <c r="B64" s="28" t="n">
        <f aca="false">MAX(0,B54-1)*$B$6</f>
        <v>0</v>
      </c>
      <c r="C64" s="28" t="n">
        <f aca="false">MAX(0,C54-1)*$B$6</f>
        <v>0</v>
      </c>
      <c r="D64" s="28" t="n">
        <f aca="false">MAX(0,D54-1)*$B$6</f>
        <v>0</v>
      </c>
      <c r="E64" s="28" t="n">
        <f aca="false">MAX(0,E54-1)*$B$6</f>
        <v>3.22228691224914</v>
      </c>
      <c r="F64" s="28" t="n">
        <f aca="false">MAX(0,F54-1)*$B$6</f>
        <v>14.4612698008825</v>
      </c>
      <c r="G64" s="28" t="n">
        <f aca="false">MAX(0,G54-1)*$B$6</f>
        <v>27.8113687698173</v>
      </c>
      <c r="H64" s="28" t="n">
        <f aca="false">MAX(0,H54-1)*$B$6</f>
        <v>40.9314859680104</v>
      </c>
      <c r="I64" s="28" t="n">
        <f aca="false">MAX(0,I54-1)*$B$6</f>
        <v>51.2738655649461</v>
      </c>
      <c r="J64" s="28" t="n">
        <f aca="false">MAX(0,J54-1)*$B$6</f>
        <v>58.3972594933671</v>
      </c>
      <c r="K64" s="28" t="n">
        <f aca="false">MAX(0,K54-1)*$B$6</f>
        <v>65.2032782825797</v>
      </c>
    </row>
    <row r="65" customFormat="false" ht="15" hidden="false" customHeight="false" outlineLevel="0" collapsed="false">
      <c r="A65" s="4" t="s">
        <v>146</v>
      </c>
      <c r="B65" s="28" t="n">
        <f aca="false">MAX(0,B55-1)*$B$6</f>
        <v>0</v>
      </c>
      <c r="C65" s="28" t="n">
        <f aca="false">MAX(0,C55-1)*$B$6</f>
        <v>0</v>
      </c>
      <c r="D65" s="28" t="n">
        <f aca="false">MAX(0,D55-1)*$B$6</f>
        <v>0</v>
      </c>
      <c r="E65" s="28" t="n">
        <f aca="false">MAX(0,E55-1)*$B$6</f>
        <v>3.22228691224914</v>
      </c>
      <c r="F65" s="28" t="n">
        <f aca="false">MAX(0,F55-1)*$B$6</f>
        <v>14.4612698008825</v>
      </c>
      <c r="G65" s="28" t="n">
        <f aca="false">MAX(0,G55-1)*$B$6</f>
        <v>27.8113687698173</v>
      </c>
      <c r="H65" s="28" t="n">
        <f aca="false">MAX(0,H55-1)*$B$6</f>
        <v>40.9314859680104</v>
      </c>
      <c r="I65" s="28" t="n">
        <f aca="false">MAX(0,I55-1)*$B$6</f>
        <v>51.2738655649461</v>
      </c>
      <c r="J65" s="28" t="n">
        <f aca="false">MAX(0,J55-1)*$B$6</f>
        <v>58.3972594933671</v>
      </c>
      <c r="K65" s="28" t="n">
        <f aca="false">MAX(0,K55-1)*$B$6</f>
        <v>65.2032782825797</v>
      </c>
    </row>
    <row r="66" customFormat="false" ht="15" hidden="false" customHeight="false" outlineLevel="0" collapsed="false">
      <c r="A66" s="4" t="s">
        <v>147</v>
      </c>
      <c r="B66" s="28" t="n">
        <f aca="false">MAX(0,B56-1)*$B$6</f>
        <v>0</v>
      </c>
      <c r="C66" s="28" t="n">
        <f aca="false">MAX(0,C56-1)*$B$6</f>
        <v>0</v>
      </c>
      <c r="D66" s="28" t="n">
        <f aca="false">MAX(0,D56-1)*$B$6</f>
        <v>0</v>
      </c>
      <c r="E66" s="28" t="n">
        <f aca="false">MAX(0,E56-1)*$B$6</f>
        <v>3.22228691224914</v>
      </c>
      <c r="F66" s="28" t="n">
        <f aca="false">MAX(0,F56-1)*$B$6</f>
        <v>14.4612698008825</v>
      </c>
      <c r="G66" s="28" t="n">
        <f aca="false">MAX(0,G56-1)*$B$6</f>
        <v>27.8113687698173</v>
      </c>
      <c r="H66" s="28" t="n">
        <f aca="false">MAX(0,H56-1)*$B$6</f>
        <v>40.9314859680104</v>
      </c>
      <c r="I66" s="28" t="n">
        <f aca="false">MAX(0,I56-1)*$B$6</f>
        <v>51.2738655649461</v>
      </c>
      <c r="J66" s="28" t="n">
        <f aca="false">MAX(0,J56-1)*$B$6</f>
        <v>58.3972594933671</v>
      </c>
      <c r="K66" s="28" t="n">
        <f aca="false">MAX(0,K56-1)*$B$6</f>
        <v>65.2032782825797</v>
      </c>
    </row>
    <row r="67" customFormat="false" ht="15" hidden="false" customHeight="false" outlineLevel="0" collapsed="false">
      <c r="A67" s="4" t="s">
        <v>150</v>
      </c>
      <c r="B67" s="28" t="n">
        <f aca="false">MAX(0,B57-1)*$B$6</f>
        <v>0</v>
      </c>
      <c r="C67" s="28" t="n">
        <f aca="false">MAX(0,C57-1)*$B$6</f>
        <v>0</v>
      </c>
      <c r="D67" s="28" t="n">
        <f aca="false">MAX(0,D57-1)*$B$6</f>
        <v>0</v>
      </c>
      <c r="E67" s="28" t="n">
        <f aca="false">MAX(0,E57-1)*$B$6</f>
        <v>3.22228691224914</v>
      </c>
      <c r="F67" s="28" t="n">
        <f aca="false">MAX(0,F57-1)*$B$6</f>
        <v>14.4612698008825</v>
      </c>
      <c r="G67" s="28" t="n">
        <f aca="false">MAX(0,G57-1)*$B$6</f>
        <v>27.8113687698173</v>
      </c>
      <c r="H67" s="28" t="n">
        <f aca="false">MAX(0,H57-1)*$B$6</f>
        <v>40.9314859680104</v>
      </c>
      <c r="I67" s="28" t="n">
        <f aca="false">MAX(0,I57-1)*$B$6</f>
        <v>51.2738655649461</v>
      </c>
      <c r="J67" s="28" t="n">
        <f aca="false">MAX(0,J57-1)*$B$6</f>
        <v>58.3972594933671</v>
      </c>
      <c r="K67" s="28" t="n">
        <f aca="false">MAX(0,K57-1)*$B$6</f>
        <v>65.2032782825797</v>
      </c>
    </row>
    <row r="69" customFormat="false" ht="15" hidden="false" customHeight="false" outlineLevel="0" collapsed="false">
      <c r="A69" s="1" t="s">
        <v>322</v>
      </c>
    </row>
    <row r="70" customFormat="false" ht="15" hidden="false" customHeight="false" outlineLevel="0" collapsed="false">
      <c r="A70" s="3" t="s">
        <v>134</v>
      </c>
      <c r="B70" s="3" t="n">
        <v>2026</v>
      </c>
      <c r="C70" s="3" t="n">
        <v>2027</v>
      </c>
      <c r="D70" s="3" t="n">
        <v>2028</v>
      </c>
      <c r="E70" s="3" t="n">
        <v>2029</v>
      </c>
      <c r="F70" s="3" t="n">
        <v>2030</v>
      </c>
      <c r="G70" s="3" t="n">
        <v>2031</v>
      </c>
      <c r="H70" s="3" t="n">
        <v>2032</v>
      </c>
      <c r="I70" s="3" t="n">
        <v>2033</v>
      </c>
      <c r="J70" s="3" t="n">
        <v>2034</v>
      </c>
      <c r="K70" s="3" t="n">
        <v>2035</v>
      </c>
    </row>
    <row r="71" customFormat="false" ht="15" hidden="false" customHeight="false" outlineLevel="0" collapsed="false">
      <c r="A71" s="12" t="str">
        <f aca="false">datos_base!A2</f>
        <v>ABC 1 kg</v>
      </c>
      <c r="B71" s="28" t="n">
        <f aca="false">$B$5+INDEX(B$60:B$67,MATCH($B$10,$A$60:$A$67,0))</f>
        <v>1</v>
      </c>
      <c r="C71" s="28" t="n">
        <f aca="false">$B$5+INDEX(C$60:C$67,MATCH($B$10,$A$60:$A$67,0))</f>
        <v>1</v>
      </c>
      <c r="D71" s="28" t="n">
        <f aca="false">$B$5+INDEX(D$60:D$67,MATCH($B$10,$A$60:$A$67,0))</f>
        <v>1</v>
      </c>
      <c r="E71" s="28" t="n">
        <f aca="false">$B$5+INDEX(E$60:E$67,MATCH($B$10,$A$60:$A$67,0))</f>
        <v>7.75579598410968</v>
      </c>
      <c r="F71" s="28" t="n">
        <f aca="false">$B$5+INDEX(F$60:F$67,MATCH($B$10,$A$60:$A$67,0))</f>
        <v>20.8272966099756</v>
      </c>
      <c r="G71" s="28" t="n">
        <f aca="false">$B$5+INDEX(G$60:G$67,MATCH($B$10,$A$60:$A$67,0))</f>
        <v>36.3342635909178</v>
      </c>
      <c r="H71" s="28" t="n">
        <f aca="false">$B$5+INDEX(H$60:H$67,MATCH($B$10,$A$60:$A$67,0))</f>
        <v>51.4282565757723</v>
      </c>
      <c r="I71" s="28" t="n">
        <f aca="false">$B$5+INDEX(I$60:I$67,MATCH($B$10,$A$60:$A$67,0))</f>
        <v>63.3345177299156</v>
      </c>
      <c r="J71" s="28" t="n">
        <f aca="false">$B$5+INDEX(J$60:J$67,MATCH($B$10,$A$60:$A$67,0))</f>
        <v>71.2633488336536</v>
      </c>
      <c r="K71" s="28" t="n">
        <f aca="false">$B$5+INDEX(K$60:K$67,MATCH($B$10,$A$60:$A$67,0))</f>
        <v>78.8765401190397</v>
      </c>
    </row>
    <row r="72" customFormat="false" ht="15" hidden="false" customHeight="false" outlineLevel="0" collapsed="false">
      <c r="A72" s="12" t="str">
        <f aca="false">datos_base!A3</f>
        <v>ABC 2,5 kg</v>
      </c>
      <c r="B72" s="28" t="n">
        <f aca="false">$B$5+INDEX(B$60:B$67,MATCH($B$11,$A$60:$A$67,0))</f>
        <v>1</v>
      </c>
      <c r="C72" s="28" t="n">
        <f aca="false">$B$5+INDEX(C$60:C$67,MATCH($B$11,$A$60:$A$67,0))</f>
        <v>1</v>
      </c>
      <c r="D72" s="28" t="n">
        <f aca="false">$B$5+INDEX(D$60:D$67,MATCH($B$11,$A$60:$A$67,0))</f>
        <v>1</v>
      </c>
      <c r="E72" s="28" t="n">
        <f aca="false">$B$5+INDEX(E$60:E$67,MATCH($B$11,$A$60:$A$67,0))</f>
        <v>7.75579598410968</v>
      </c>
      <c r="F72" s="28" t="n">
        <f aca="false">$B$5+INDEX(F$60:F$67,MATCH($B$11,$A$60:$A$67,0))</f>
        <v>20.8272966099756</v>
      </c>
      <c r="G72" s="28" t="n">
        <f aca="false">$B$5+INDEX(G$60:G$67,MATCH($B$11,$A$60:$A$67,0))</f>
        <v>36.3342635909178</v>
      </c>
      <c r="H72" s="28" t="n">
        <f aca="false">$B$5+INDEX(H$60:H$67,MATCH($B$11,$A$60:$A$67,0))</f>
        <v>51.4282565757723</v>
      </c>
      <c r="I72" s="28" t="n">
        <f aca="false">$B$5+INDEX(I$60:I$67,MATCH($B$11,$A$60:$A$67,0))</f>
        <v>63.3345177299156</v>
      </c>
      <c r="J72" s="28" t="n">
        <f aca="false">$B$5+INDEX(J$60:J$67,MATCH($B$11,$A$60:$A$67,0))</f>
        <v>71.2633488336536</v>
      </c>
      <c r="K72" s="28" t="n">
        <f aca="false">$B$5+INDEX(K$60:K$67,MATCH($B$11,$A$60:$A$67,0))</f>
        <v>78.8765401190397</v>
      </c>
    </row>
    <row r="73" customFormat="false" ht="15" hidden="false" customHeight="false" outlineLevel="0" collapsed="false">
      <c r="A73" s="12" t="str">
        <f aca="false">datos_base!A4</f>
        <v>ABC 5 kg</v>
      </c>
      <c r="B73" s="28" t="n">
        <f aca="false">$B$5+INDEX(B$60:B$67,MATCH($B$12,$A$60:$A$67,0))</f>
        <v>1</v>
      </c>
      <c r="C73" s="28" t="n">
        <f aca="false">$B$5+INDEX(C$60:C$67,MATCH($B$12,$A$60:$A$67,0))</f>
        <v>1</v>
      </c>
      <c r="D73" s="28" t="n">
        <f aca="false">$B$5+INDEX(D$60:D$67,MATCH($B$12,$A$60:$A$67,0))</f>
        <v>1</v>
      </c>
      <c r="E73" s="28" t="n">
        <f aca="false">$B$5+INDEX(E$60:E$67,MATCH($B$12,$A$60:$A$67,0))</f>
        <v>7.75579598410968</v>
      </c>
      <c r="F73" s="28" t="n">
        <f aca="false">$B$5+INDEX(F$60:F$67,MATCH($B$12,$A$60:$A$67,0))</f>
        <v>20.8272966099756</v>
      </c>
      <c r="G73" s="28" t="n">
        <f aca="false">$B$5+INDEX(G$60:G$67,MATCH($B$12,$A$60:$A$67,0))</f>
        <v>36.3342635909178</v>
      </c>
      <c r="H73" s="28" t="n">
        <f aca="false">$B$5+INDEX(H$60:H$67,MATCH($B$12,$A$60:$A$67,0))</f>
        <v>51.4282565757723</v>
      </c>
      <c r="I73" s="28" t="n">
        <f aca="false">$B$5+INDEX(I$60:I$67,MATCH($B$12,$A$60:$A$67,0))</f>
        <v>63.3345177299156</v>
      </c>
      <c r="J73" s="28" t="n">
        <f aca="false">$B$5+INDEX(J$60:J$67,MATCH($B$12,$A$60:$A$67,0))</f>
        <v>71.2633488336536</v>
      </c>
      <c r="K73" s="28" t="n">
        <f aca="false">$B$5+INDEX(K$60:K$67,MATCH($B$12,$A$60:$A$67,0))</f>
        <v>78.8765401190397</v>
      </c>
    </row>
    <row r="74" customFormat="false" ht="15" hidden="false" customHeight="false" outlineLevel="0" collapsed="false">
      <c r="A74" s="12" t="str">
        <f aca="false">datos_base!A5</f>
        <v>ABC 10 kg</v>
      </c>
      <c r="B74" s="28" t="n">
        <f aca="false">$B$5+INDEX(B$60:B$67,MATCH($B$13,$A$60:$A$67,0))</f>
        <v>1</v>
      </c>
      <c r="C74" s="28" t="n">
        <f aca="false">$B$5+INDEX(C$60:C$67,MATCH($B$13,$A$60:$A$67,0))</f>
        <v>1</v>
      </c>
      <c r="D74" s="28" t="n">
        <f aca="false">$B$5+INDEX(D$60:D$67,MATCH($B$13,$A$60:$A$67,0))</f>
        <v>1</v>
      </c>
      <c r="E74" s="28" t="n">
        <f aca="false">$B$5+INDEX(E$60:E$67,MATCH($B$13,$A$60:$A$67,0))</f>
        <v>7.75579598410968</v>
      </c>
      <c r="F74" s="28" t="n">
        <f aca="false">$B$5+INDEX(F$60:F$67,MATCH($B$13,$A$60:$A$67,0))</f>
        <v>20.8272966099756</v>
      </c>
      <c r="G74" s="28" t="n">
        <f aca="false">$B$5+INDEX(G$60:G$67,MATCH($B$13,$A$60:$A$67,0))</f>
        <v>36.3342635909178</v>
      </c>
      <c r="H74" s="28" t="n">
        <f aca="false">$B$5+INDEX(H$60:H$67,MATCH($B$13,$A$60:$A$67,0))</f>
        <v>51.4282565757723</v>
      </c>
      <c r="I74" s="28" t="n">
        <f aca="false">$B$5+INDEX(I$60:I$67,MATCH($B$13,$A$60:$A$67,0))</f>
        <v>63.3345177299156</v>
      </c>
      <c r="J74" s="28" t="n">
        <f aca="false">$B$5+INDEX(J$60:J$67,MATCH($B$13,$A$60:$A$67,0))</f>
        <v>71.2633488336536</v>
      </c>
      <c r="K74" s="28" t="n">
        <f aca="false">$B$5+INDEX(K$60:K$67,MATCH($B$13,$A$60:$A$67,0))</f>
        <v>78.8765401190397</v>
      </c>
    </row>
    <row r="75" customFormat="false" ht="15" hidden="false" customHeight="false" outlineLevel="0" collapsed="false">
      <c r="A75" s="12" t="str">
        <f aca="false">datos_base!A6</f>
        <v>Agua 10 l</v>
      </c>
      <c r="B75" s="28" t="n">
        <f aca="false">$B$5+INDEX(B$60:B$67,MATCH($B$14,$A$60:$A$67,0))</f>
        <v>1</v>
      </c>
      <c r="C75" s="28" t="n">
        <f aca="false">$B$5+INDEX(C$60:C$67,MATCH($B$14,$A$60:$A$67,0))</f>
        <v>1</v>
      </c>
      <c r="D75" s="28" t="n">
        <f aca="false">$B$5+INDEX(D$60:D$67,MATCH($B$14,$A$60:$A$67,0))</f>
        <v>1</v>
      </c>
      <c r="E75" s="28" t="n">
        <f aca="false">$B$5+INDEX(E$60:E$67,MATCH($B$14,$A$60:$A$67,0))</f>
        <v>4.22228691224914</v>
      </c>
      <c r="F75" s="28" t="n">
        <f aca="false">$B$5+INDEX(F$60:F$67,MATCH($B$14,$A$60:$A$67,0))</f>
        <v>15.4612698008825</v>
      </c>
      <c r="G75" s="28" t="n">
        <f aca="false">$B$5+INDEX(G$60:G$67,MATCH($B$14,$A$60:$A$67,0))</f>
        <v>28.8113687698173</v>
      </c>
      <c r="H75" s="28" t="n">
        <f aca="false">$B$5+INDEX(H$60:H$67,MATCH($B$14,$A$60:$A$67,0))</f>
        <v>41.9314859680104</v>
      </c>
      <c r="I75" s="28" t="n">
        <f aca="false">$B$5+INDEX(I$60:I$67,MATCH($B$14,$A$60:$A$67,0))</f>
        <v>52.2738655649461</v>
      </c>
      <c r="J75" s="28" t="n">
        <f aca="false">$B$5+INDEX(J$60:J$67,MATCH($B$14,$A$60:$A$67,0))</f>
        <v>59.3972594933671</v>
      </c>
      <c r="K75" s="28" t="n">
        <f aca="false">$B$5+INDEX(K$60:K$67,MATCH($B$14,$A$60:$A$67,0))</f>
        <v>66.2032782825797</v>
      </c>
    </row>
    <row r="76" customFormat="false" ht="15" hidden="false" customHeight="false" outlineLevel="0" collapsed="false">
      <c r="A76" s="12" t="str">
        <f aca="false">datos_base!A7</f>
        <v>AFFF 10 l</v>
      </c>
      <c r="B76" s="28" t="n">
        <f aca="false">$B$5+INDEX(B$60:B$67,MATCH($B$15,$A$60:$A$67,0))</f>
        <v>1</v>
      </c>
      <c r="C76" s="28" t="n">
        <f aca="false">$B$5+INDEX(C$60:C$67,MATCH($B$15,$A$60:$A$67,0))</f>
        <v>1</v>
      </c>
      <c r="D76" s="28" t="n">
        <f aca="false">$B$5+INDEX(D$60:D$67,MATCH($B$15,$A$60:$A$67,0))</f>
        <v>1</v>
      </c>
      <c r="E76" s="28" t="n">
        <f aca="false">$B$5+INDEX(E$60:E$67,MATCH($B$15,$A$60:$A$67,0))</f>
        <v>4.22228691224914</v>
      </c>
      <c r="F76" s="28" t="n">
        <f aca="false">$B$5+INDEX(F$60:F$67,MATCH($B$15,$A$60:$A$67,0))</f>
        <v>15.4612698008825</v>
      </c>
      <c r="G76" s="28" t="n">
        <f aca="false">$B$5+INDEX(G$60:G$67,MATCH($B$15,$A$60:$A$67,0))</f>
        <v>28.8113687698173</v>
      </c>
      <c r="H76" s="28" t="n">
        <f aca="false">$B$5+INDEX(H$60:H$67,MATCH($B$15,$A$60:$A$67,0))</f>
        <v>41.9314859680104</v>
      </c>
      <c r="I76" s="28" t="n">
        <f aca="false">$B$5+INDEX(I$60:I$67,MATCH($B$15,$A$60:$A$67,0))</f>
        <v>52.2738655649461</v>
      </c>
      <c r="J76" s="28" t="n">
        <f aca="false">$B$5+INDEX(J$60:J$67,MATCH($B$15,$A$60:$A$67,0))</f>
        <v>59.3972594933671</v>
      </c>
      <c r="K76" s="28" t="n">
        <f aca="false">$B$5+INDEX(K$60:K$67,MATCH($B$15,$A$60:$A$67,0))</f>
        <v>66.2032782825797</v>
      </c>
    </row>
    <row r="77" customFormat="false" ht="15" hidden="false" customHeight="false" outlineLevel="0" collapsed="false">
      <c r="A77" s="12" t="str">
        <f aca="false">datos_base!A8</f>
        <v>AFFF 50 l s/ruedas</v>
      </c>
      <c r="B77" s="28" t="n">
        <f aca="false">$B$5+INDEX(B$60:B$67,MATCH($B$16,$A$60:$A$67,0))</f>
        <v>1</v>
      </c>
      <c r="C77" s="28" t="n">
        <f aca="false">$B$5+INDEX(C$60:C$67,MATCH($B$16,$A$60:$A$67,0))</f>
        <v>1</v>
      </c>
      <c r="D77" s="28" t="n">
        <f aca="false">$B$5+INDEX(D$60:D$67,MATCH($B$16,$A$60:$A$67,0))</f>
        <v>1</v>
      </c>
      <c r="E77" s="28" t="n">
        <f aca="false">$B$5+INDEX(E$60:E$67,MATCH($B$16,$A$60:$A$67,0))</f>
        <v>4.22228691224914</v>
      </c>
      <c r="F77" s="28" t="n">
        <f aca="false">$B$5+INDEX(F$60:F$67,MATCH($B$16,$A$60:$A$67,0))</f>
        <v>15.4612698008825</v>
      </c>
      <c r="G77" s="28" t="n">
        <f aca="false">$B$5+INDEX(G$60:G$67,MATCH($B$16,$A$60:$A$67,0))</f>
        <v>28.8113687698173</v>
      </c>
      <c r="H77" s="28" t="n">
        <f aca="false">$B$5+INDEX(H$60:H$67,MATCH($B$16,$A$60:$A$67,0))</f>
        <v>41.9314859680104</v>
      </c>
      <c r="I77" s="28" t="n">
        <f aca="false">$B$5+INDEX(I$60:I$67,MATCH($B$16,$A$60:$A$67,0))</f>
        <v>52.2738655649461</v>
      </c>
      <c r="J77" s="28" t="n">
        <f aca="false">$B$5+INDEX(J$60:J$67,MATCH($B$16,$A$60:$A$67,0))</f>
        <v>59.3972594933671</v>
      </c>
      <c r="K77" s="28" t="n">
        <f aca="false">$B$5+INDEX(K$60:K$67,MATCH($B$16,$A$60:$A$67,0))</f>
        <v>66.2032782825797</v>
      </c>
    </row>
    <row r="78" customFormat="false" ht="15" hidden="false" customHeight="false" outlineLevel="0" collapsed="false">
      <c r="A78" s="12" t="str">
        <f aca="false">datos_base!A9</f>
        <v>BC 5 kg</v>
      </c>
      <c r="B78" s="28" t="n">
        <f aca="false">$B$5+INDEX(B$60:B$67,MATCH($B$17,$A$60:$A$67,0))</f>
        <v>1</v>
      </c>
      <c r="C78" s="28" t="n">
        <f aca="false">$B$5+INDEX(C$60:C$67,MATCH($B$17,$A$60:$A$67,0))</f>
        <v>1</v>
      </c>
      <c r="D78" s="28" t="n">
        <f aca="false">$B$5+INDEX(D$60:D$67,MATCH($B$17,$A$60:$A$67,0))</f>
        <v>1</v>
      </c>
      <c r="E78" s="28" t="n">
        <f aca="false">$B$5+INDEX(E$60:E$67,MATCH($B$17,$A$60:$A$67,0))</f>
        <v>7.75579598410968</v>
      </c>
      <c r="F78" s="28" t="n">
        <f aca="false">$B$5+INDEX(F$60:F$67,MATCH($B$17,$A$60:$A$67,0))</f>
        <v>20.8272966099756</v>
      </c>
      <c r="G78" s="28" t="n">
        <f aca="false">$B$5+INDEX(G$60:G$67,MATCH($B$17,$A$60:$A$67,0))</f>
        <v>36.3342635909178</v>
      </c>
      <c r="H78" s="28" t="n">
        <f aca="false">$B$5+INDEX(H$60:H$67,MATCH($B$17,$A$60:$A$67,0))</f>
        <v>51.4282565757723</v>
      </c>
      <c r="I78" s="28" t="n">
        <f aca="false">$B$5+INDEX(I$60:I$67,MATCH($B$17,$A$60:$A$67,0))</f>
        <v>63.3345177299156</v>
      </c>
      <c r="J78" s="28" t="n">
        <f aca="false">$B$5+INDEX(J$60:J$67,MATCH($B$17,$A$60:$A$67,0))</f>
        <v>71.2633488336536</v>
      </c>
      <c r="K78" s="28" t="n">
        <f aca="false">$B$5+INDEX(K$60:K$67,MATCH($B$17,$A$60:$A$67,0))</f>
        <v>78.8765401190397</v>
      </c>
    </row>
    <row r="79" customFormat="false" ht="15" hidden="false" customHeight="false" outlineLevel="0" collapsed="false">
      <c r="A79" s="12" t="str">
        <f aca="false">datos_base!A10</f>
        <v>Sales K 6 l</v>
      </c>
      <c r="B79" s="28" t="n">
        <f aca="false">$B$5+INDEX(B$60:B$67,MATCH($B$18,$A$60:$A$67,0))</f>
        <v>1</v>
      </c>
      <c r="C79" s="28" t="n">
        <f aca="false">$B$5+INDEX(C$60:C$67,MATCH($B$18,$A$60:$A$67,0))</f>
        <v>1</v>
      </c>
      <c r="D79" s="28" t="n">
        <f aca="false">$B$5+INDEX(D$60:D$67,MATCH($B$18,$A$60:$A$67,0))</f>
        <v>1</v>
      </c>
      <c r="E79" s="28" t="n">
        <f aca="false">$B$5+INDEX(E$60:E$67,MATCH($B$18,$A$60:$A$67,0))</f>
        <v>4.22228691224914</v>
      </c>
      <c r="F79" s="28" t="n">
        <f aca="false">$B$5+INDEX(F$60:F$67,MATCH($B$18,$A$60:$A$67,0))</f>
        <v>15.4612698008825</v>
      </c>
      <c r="G79" s="28" t="n">
        <f aca="false">$B$5+INDEX(G$60:G$67,MATCH($B$18,$A$60:$A$67,0))</f>
        <v>28.8113687698173</v>
      </c>
      <c r="H79" s="28" t="n">
        <f aca="false">$B$5+INDEX(H$60:H$67,MATCH($B$18,$A$60:$A$67,0))</f>
        <v>41.9314859680104</v>
      </c>
      <c r="I79" s="28" t="n">
        <f aca="false">$B$5+INDEX(I$60:I$67,MATCH($B$18,$A$60:$A$67,0))</f>
        <v>52.2738655649461</v>
      </c>
      <c r="J79" s="28" t="n">
        <f aca="false">$B$5+INDEX(J$60:J$67,MATCH($B$18,$A$60:$A$67,0))</f>
        <v>59.3972594933671</v>
      </c>
      <c r="K79" s="28" t="n">
        <f aca="false">$B$5+INDEX(K$60:K$67,MATCH($B$18,$A$60:$A$67,0))</f>
        <v>66.2032782825797</v>
      </c>
    </row>
    <row r="80" customFormat="false" ht="15" hidden="false" customHeight="false" outlineLevel="0" collapsed="false">
      <c r="A80" s="12" t="str">
        <f aca="false">datos_base!A11</f>
        <v>CO₂ 2 kg</v>
      </c>
      <c r="B80" s="28" t="n">
        <f aca="false">$B$5+INDEX(B$60:B$67,MATCH($B$19,$A$60:$A$67,0))</f>
        <v>1</v>
      </c>
      <c r="C80" s="28" t="n">
        <f aca="false">$B$5+INDEX(C$60:C$67,MATCH($B$19,$A$60:$A$67,0))</f>
        <v>1</v>
      </c>
      <c r="D80" s="28" t="n">
        <f aca="false">$B$5+INDEX(D$60:D$67,MATCH($B$19,$A$60:$A$67,0))</f>
        <v>1</v>
      </c>
      <c r="E80" s="28" t="n">
        <f aca="false">$B$5+INDEX(E$60:E$67,MATCH($B$19,$A$60:$A$67,0))</f>
        <v>4.22228691224914</v>
      </c>
      <c r="F80" s="28" t="n">
        <f aca="false">$B$5+INDEX(F$60:F$67,MATCH($B$19,$A$60:$A$67,0))</f>
        <v>15.4612698008825</v>
      </c>
      <c r="G80" s="28" t="n">
        <f aca="false">$B$5+INDEX(G$60:G$67,MATCH($B$19,$A$60:$A$67,0))</f>
        <v>28.8113687698173</v>
      </c>
      <c r="H80" s="28" t="n">
        <f aca="false">$B$5+INDEX(H$60:H$67,MATCH($B$19,$A$60:$A$67,0))</f>
        <v>41.9314859680104</v>
      </c>
      <c r="I80" s="28" t="n">
        <f aca="false">$B$5+INDEX(I$60:I$67,MATCH($B$19,$A$60:$A$67,0))</f>
        <v>52.2738655649461</v>
      </c>
      <c r="J80" s="28" t="n">
        <f aca="false">$B$5+INDEX(J$60:J$67,MATCH($B$19,$A$60:$A$67,0))</f>
        <v>59.3972594933671</v>
      </c>
      <c r="K80" s="28" t="n">
        <f aca="false">$B$5+INDEX(K$60:K$67,MATCH($B$19,$A$60:$A$67,0))</f>
        <v>66.2032782825797</v>
      </c>
    </row>
    <row r="81" customFormat="false" ht="15" hidden="false" customHeight="false" outlineLevel="0" collapsed="false">
      <c r="A81" s="12" t="str">
        <f aca="false">datos_base!A12</f>
        <v>CO₂ 5 kg</v>
      </c>
      <c r="B81" s="28" t="n">
        <f aca="false">$B$5+INDEX(B$60:B$67,MATCH($B$20,$A$60:$A$67,0))</f>
        <v>1</v>
      </c>
      <c r="C81" s="28" t="n">
        <f aca="false">$B$5+INDEX(C$60:C$67,MATCH($B$20,$A$60:$A$67,0))</f>
        <v>1</v>
      </c>
      <c r="D81" s="28" t="n">
        <f aca="false">$B$5+INDEX(D$60:D$67,MATCH($B$20,$A$60:$A$67,0))</f>
        <v>1</v>
      </c>
      <c r="E81" s="28" t="n">
        <f aca="false">$B$5+INDEX(E$60:E$67,MATCH($B$20,$A$60:$A$67,0))</f>
        <v>4.22228691224914</v>
      </c>
      <c r="F81" s="28" t="n">
        <f aca="false">$B$5+INDEX(F$60:F$67,MATCH($B$20,$A$60:$A$67,0))</f>
        <v>15.4612698008825</v>
      </c>
      <c r="G81" s="28" t="n">
        <f aca="false">$B$5+INDEX(G$60:G$67,MATCH($B$20,$A$60:$A$67,0))</f>
        <v>28.8113687698173</v>
      </c>
      <c r="H81" s="28" t="n">
        <f aca="false">$B$5+INDEX(H$60:H$67,MATCH($B$20,$A$60:$A$67,0))</f>
        <v>41.9314859680104</v>
      </c>
      <c r="I81" s="28" t="n">
        <f aca="false">$B$5+INDEX(I$60:I$67,MATCH($B$20,$A$60:$A$67,0))</f>
        <v>52.2738655649461</v>
      </c>
      <c r="J81" s="28" t="n">
        <f aca="false">$B$5+INDEX(J$60:J$67,MATCH($B$20,$A$60:$A$67,0))</f>
        <v>59.3972594933671</v>
      </c>
      <c r="K81" s="28" t="n">
        <f aca="false">$B$5+INDEX(K$60:K$67,MATCH($B$20,$A$60:$A$67,0))</f>
        <v>66.2032782825797</v>
      </c>
    </row>
    <row r="82" customFormat="false" ht="15" hidden="false" customHeight="false" outlineLevel="0" collapsed="false">
      <c r="A82" s="12" t="str">
        <f aca="false">datos_base!A13</f>
        <v>HCFC/HFC 5 kg</v>
      </c>
      <c r="B82" s="28" t="n">
        <f aca="false">$B$5+INDEX(B$60:B$67,MATCH($B$21,$A$60:$A$67,0))</f>
        <v>1</v>
      </c>
      <c r="C82" s="28" t="n">
        <f aca="false">$B$5+INDEX(C$60:C$67,MATCH($B$21,$A$60:$A$67,0))</f>
        <v>1</v>
      </c>
      <c r="D82" s="28" t="n">
        <f aca="false">$B$5+INDEX(D$60:D$67,MATCH($B$21,$A$60:$A$67,0))</f>
        <v>1</v>
      </c>
      <c r="E82" s="28" t="n">
        <f aca="false">$B$5+INDEX(E$60:E$67,MATCH($B$21,$A$60:$A$67,0))</f>
        <v>4.22228691224914</v>
      </c>
      <c r="F82" s="28" t="n">
        <f aca="false">$B$5+INDEX(F$60:F$67,MATCH($B$21,$A$60:$A$67,0))</f>
        <v>15.4612698008825</v>
      </c>
      <c r="G82" s="28" t="n">
        <f aca="false">$B$5+INDEX(G$60:G$67,MATCH($B$21,$A$60:$A$67,0))</f>
        <v>28.8113687698173</v>
      </c>
      <c r="H82" s="28" t="n">
        <f aca="false">$B$5+INDEX(H$60:H$67,MATCH($B$21,$A$60:$A$67,0))</f>
        <v>41.9314859680104</v>
      </c>
      <c r="I82" s="28" t="n">
        <f aca="false">$B$5+INDEX(I$60:I$67,MATCH($B$21,$A$60:$A$67,0))</f>
        <v>52.2738655649461</v>
      </c>
      <c r="J82" s="28" t="n">
        <f aca="false">$B$5+INDEX(J$60:J$67,MATCH($B$21,$A$60:$A$67,0))</f>
        <v>59.3972594933671</v>
      </c>
      <c r="K82" s="28" t="n">
        <f aca="false">$B$5+INDEX(K$60:K$67,MATCH($B$21,$A$60:$A$67,0))</f>
        <v>66.2032782825797</v>
      </c>
    </row>
    <row r="83" customFormat="false" ht="15" hidden="false" customHeight="false" outlineLevel="0" collapsed="false">
      <c r="A83" s="12" t="str">
        <f aca="false">datos_base!A14</f>
        <v>Clase D 9 l</v>
      </c>
      <c r="B83" s="28" t="n">
        <f aca="false">$B$5+INDEX(B$60:B$67,MATCH($B$22,$A$60:$A$67,0))</f>
        <v>1</v>
      </c>
      <c r="C83" s="28" t="n">
        <f aca="false">$B$5+INDEX(C$60:C$67,MATCH($B$22,$A$60:$A$67,0))</f>
        <v>1</v>
      </c>
      <c r="D83" s="28" t="n">
        <f aca="false">$B$5+INDEX(D$60:D$67,MATCH($B$22,$A$60:$A$67,0))</f>
        <v>1</v>
      </c>
      <c r="E83" s="28" t="n">
        <f aca="false">$B$5+INDEX(E$60:E$67,MATCH($B$22,$A$60:$A$67,0))</f>
        <v>7.75579598410968</v>
      </c>
      <c r="F83" s="28" t="n">
        <f aca="false">$B$5+INDEX(F$60:F$67,MATCH($B$22,$A$60:$A$67,0))</f>
        <v>20.8272966099756</v>
      </c>
      <c r="G83" s="28" t="n">
        <f aca="false">$B$5+INDEX(G$60:G$67,MATCH($B$22,$A$60:$A$67,0))</f>
        <v>36.3342635909178</v>
      </c>
      <c r="H83" s="28" t="n">
        <f aca="false">$B$5+INDEX(H$60:H$67,MATCH($B$22,$A$60:$A$67,0))</f>
        <v>51.4282565757723</v>
      </c>
      <c r="I83" s="28" t="n">
        <f aca="false">$B$5+INDEX(I$60:I$67,MATCH($B$22,$A$60:$A$67,0))</f>
        <v>63.3345177299156</v>
      </c>
      <c r="J83" s="28" t="n">
        <f aca="false">$B$5+INDEX(J$60:J$67,MATCH($B$22,$A$60:$A$67,0))</f>
        <v>71.2633488336536</v>
      </c>
      <c r="K83" s="28" t="n">
        <f aca="false">$B$5+INDEX(K$60:K$67,MATCH($B$22,$A$60:$A$67,0))</f>
        <v>78.8765401190397</v>
      </c>
    </row>
    <row r="84" customFormat="false" ht="15" hidden="false" customHeight="false" outlineLevel="0" collapsed="false">
      <c r="A84" s="12" t="str">
        <f aca="false">datos_base!A15</f>
        <v>ABC 25 kg s/ruedas</v>
      </c>
      <c r="B84" s="28" t="n">
        <f aca="false">$B$5+INDEX(B$60:B$67,MATCH($B$23,$A$60:$A$67,0))</f>
        <v>1</v>
      </c>
      <c r="C84" s="28" t="n">
        <f aca="false">$B$5+INDEX(C$60:C$67,MATCH($B$23,$A$60:$A$67,0))</f>
        <v>1</v>
      </c>
      <c r="D84" s="28" t="n">
        <f aca="false">$B$5+INDEX(D$60:D$67,MATCH($B$23,$A$60:$A$67,0))</f>
        <v>1</v>
      </c>
      <c r="E84" s="28" t="n">
        <f aca="false">$B$5+INDEX(E$60:E$67,MATCH($B$23,$A$60:$A$67,0))</f>
        <v>7.75579598410968</v>
      </c>
      <c r="F84" s="28" t="n">
        <f aca="false">$B$5+INDEX(F$60:F$67,MATCH($B$23,$A$60:$A$67,0))</f>
        <v>20.8272966099756</v>
      </c>
      <c r="G84" s="28" t="n">
        <f aca="false">$B$5+INDEX(G$60:G$67,MATCH($B$23,$A$60:$A$67,0))</f>
        <v>36.3342635909178</v>
      </c>
      <c r="H84" s="28" t="n">
        <f aca="false">$B$5+INDEX(H$60:H$67,MATCH($B$23,$A$60:$A$67,0))</f>
        <v>51.4282565757723</v>
      </c>
      <c r="I84" s="28" t="n">
        <f aca="false">$B$5+INDEX(I$60:I$67,MATCH($B$23,$A$60:$A$67,0))</f>
        <v>63.3345177299156</v>
      </c>
      <c r="J84" s="28" t="n">
        <f aca="false">$B$5+INDEX(J$60:J$67,MATCH($B$23,$A$60:$A$67,0))</f>
        <v>71.2633488336536</v>
      </c>
      <c r="K84" s="28" t="n">
        <f aca="false">$B$5+INDEX(K$60:K$67,MATCH($B$23,$A$60:$A$67,0))</f>
        <v>78.8765401190397</v>
      </c>
    </row>
    <row r="85" customFormat="false" ht="15" hidden="false" customHeight="false" outlineLevel="0" collapsed="false">
      <c r="A85" s="12" t="str">
        <f aca="false">datos_base!A16</f>
        <v>ABC 50 kg s/ruedas</v>
      </c>
      <c r="B85" s="28" t="n">
        <f aca="false">$B$5+INDEX(B$60:B$67,MATCH($B$24,$A$60:$A$67,0))</f>
        <v>1</v>
      </c>
      <c r="C85" s="28" t="n">
        <f aca="false">$B$5+INDEX(C$60:C$67,MATCH($B$24,$A$60:$A$67,0))</f>
        <v>1</v>
      </c>
      <c r="D85" s="28" t="n">
        <f aca="false">$B$5+INDEX(D$60:D$67,MATCH($B$24,$A$60:$A$67,0))</f>
        <v>1</v>
      </c>
      <c r="E85" s="28" t="n">
        <f aca="false">$B$5+INDEX(E$60:E$67,MATCH($B$24,$A$60:$A$67,0))</f>
        <v>7.75579598410968</v>
      </c>
      <c r="F85" s="28" t="n">
        <f aca="false">$B$5+INDEX(F$60:F$67,MATCH($B$24,$A$60:$A$67,0))</f>
        <v>20.8272966099756</v>
      </c>
      <c r="G85" s="28" t="n">
        <f aca="false">$B$5+INDEX(G$60:G$67,MATCH($B$24,$A$60:$A$67,0))</f>
        <v>36.3342635909178</v>
      </c>
      <c r="H85" s="28" t="n">
        <f aca="false">$B$5+INDEX(H$60:H$67,MATCH($B$24,$A$60:$A$67,0))</f>
        <v>51.4282565757723</v>
      </c>
      <c r="I85" s="28" t="n">
        <f aca="false">$B$5+INDEX(I$60:I$67,MATCH($B$24,$A$60:$A$67,0))</f>
        <v>63.3345177299156</v>
      </c>
      <c r="J85" s="28" t="n">
        <f aca="false">$B$5+INDEX(J$60:J$67,MATCH($B$24,$A$60:$A$67,0))</f>
        <v>71.2633488336536</v>
      </c>
      <c r="K85" s="28" t="n">
        <f aca="false">$B$5+INDEX(K$60:K$67,MATCH($B$24,$A$60:$A$67,0))</f>
        <v>78.8765401190397</v>
      </c>
    </row>
    <row r="86" customFormat="false" ht="15" hidden="false" customHeight="false" outlineLevel="0" collapsed="false">
      <c r="A86" s="12" t="str">
        <f aca="false">datos_base!A17</f>
        <v>ABC 70 kg s/ruedas</v>
      </c>
      <c r="B86" s="28" t="n">
        <f aca="false">$B$5+INDEX(B$60:B$67,MATCH($B$25,$A$60:$A$67,0))</f>
        <v>1</v>
      </c>
      <c r="C86" s="28" t="n">
        <f aca="false">$B$5+INDEX(C$60:C$67,MATCH($B$25,$A$60:$A$67,0))</f>
        <v>1</v>
      </c>
      <c r="D86" s="28" t="n">
        <f aca="false">$B$5+INDEX(D$60:D$67,MATCH($B$25,$A$60:$A$67,0))</f>
        <v>1</v>
      </c>
      <c r="E86" s="28" t="n">
        <f aca="false">$B$5+INDEX(E$60:E$67,MATCH($B$25,$A$60:$A$67,0))</f>
        <v>7.75579598410968</v>
      </c>
      <c r="F86" s="28" t="n">
        <f aca="false">$B$5+INDEX(F$60:F$67,MATCH($B$25,$A$60:$A$67,0))</f>
        <v>20.8272966099756</v>
      </c>
      <c r="G86" s="28" t="n">
        <f aca="false">$B$5+INDEX(G$60:G$67,MATCH($B$25,$A$60:$A$67,0))</f>
        <v>36.3342635909178</v>
      </c>
      <c r="H86" s="28" t="n">
        <f aca="false">$B$5+INDEX(H$60:H$67,MATCH($B$25,$A$60:$A$67,0))</f>
        <v>51.4282565757723</v>
      </c>
      <c r="I86" s="28" t="n">
        <f aca="false">$B$5+INDEX(I$60:I$67,MATCH($B$25,$A$60:$A$67,0))</f>
        <v>63.3345177299156</v>
      </c>
      <c r="J86" s="28" t="n">
        <f aca="false">$B$5+INDEX(J$60:J$67,MATCH($B$25,$A$60:$A$67,0))</f>
        <v>71.2633488336536</v>
      </c>
      <c r="K86" s="28" t="n">
        <f aca="false">$B$5+INDEX(K$60:K$67,MATCH($B$25,$A$60:$A$67,0))</f>
        <v>78.8765401190397</v>
      </c>
    </row>
    <row r="87" customFormat="false" ht="15" hidden="false" customHeight="false" outlineLevel="0" collapsed="false">
      <c r="A87" s="12" t="str">
        <f aca="false">datos_base!A18</f>
        <v>ABC 100 kg s/ruedas</v>
      </c>
      <c r="B87" s="28" t="n">
        <f aca="false">$B$5+INDEX(B$60:B$67,MATCH($B$26,$A$60:$A$67,0))</f>
        <v>1</v>
      </c>
      <c r="C87" s="28" t="n">
        <f aca="false">$B$5+INDEX(C$60:C$67,MATCH($B$26,$A$60:$A$67,0))</f>
        <v>1</v>
      </c>
      <c r="D87" s="28" t="n">
        <f aca="false">$B$5+INDEX(D$60:D$67,MATCH($B$26,$A$60:$A$67,0))</f>
        <v>1</v>
      </c>
      <c r="E87" s="28" t="n">
        <f aca="false">$B$5+INDEX(E$60:E$67,MATCH($B$26,$A$60:$A$67,0))</f>
        <v>7.75579598410968</v>
      </c>
      <c r="F87" s="28" t="n">
        <f aca="false">$B$5+INDEX(F$60:F$67,MATCH($B$26,$A$60:$A$67,0))</f>
        <v>20.8272966099756</v>
      </c>
      <c r="G87" s="28" t="n">
        <f aca="false">$B$5+INDEX(G$60:G$67,MATCH($B$26,$A$60:$A$67,0))</f>
        <v>36.3342635909178</v>
      </c>
      <c r="H87" s="28" t="n">
        <f aca="false">$B$5+INDEX(H$60:H$67,MATCH($B$26,$A$60:$A$67,0))</f>
        <v>51.4282565757723</v>
      </c>
      <c r="I87" s="28" t="n">
        <f aca="false">$B$5+INDEX(I$60:I$67,MATCH($B$26,$A$60:$A$67,0))</f>
        <v>63.3345177299156</v>
      </c>
      <c r="J87" s="28" t="n">
        <f aca="false">$B$5+INDEX(J$60:J$67,MATCH($B$26,$A$60:$A$67,0))</f>
        <v>71.2633488336536</v>
      </c>
      <c r="K87" s="28" t="n">
        <f aca="false">$B$5+INDEX(K$60:K$67,MATCH($B$26,$A$60:$A$67,0))</f>
        <v>78.8765401190397</v>
      </c>
    </row>
    <row r="89" customFormat="false" ht="15" hidden="false" customHeight="false" outlineLevel="0" collapsed="false">
      <c r="A89" s="1" t="s">
        <v>323</v>
      </c>
    </row>
    <row r="90" customFormat="false" ht="15" hidden="false" customHeight="false" outlineLevel="0" collapsed="false">
      <c r="A90" s="3" t="s">
        <v>134</v>
      </c>
      <c r="B90" s="3" t="n">
        <v>2026</v>
      </c>
      <c r="C90" s="3" t="n">
        <v>2027</v>
      </c>
      <c r="D90" s="3" t="n">
        <v>2028</v>
      </c>
      <c r="E90" s="3" t="n">
        <v>2029</v>
      </c>
      <c r="F90" s="3" t="n">
        <v>2030</v>
      </c>
      <c r="G90" s="3" t="n">
        <v>2031</v>
      </c>
      <c r="H90" s="3" t="n">
        <v>2032</v>
      </c>
      <c r="I90" s="3" t="n">
        <v>2033</v>
      </c>
      <c r="J90" s="3" t="n">
        <v>2034</v>
      </c>
      <c r="K90" s="3" t="n">
        <v>2035</v>
      </c>
    </row>
    <row r="91" customFormat="false" ht="15" hidden="false" customHeight="false" outlineLevel="0" collapsed="false">
      <c r="A91" s="12" t="str">
        <f aca="false">datos_base!A2</f>
        <v>ABC 1 kg</v>
      </c>
      <c r="B91" s="23" t="n">
        <f aca="false">B30*B71*$C$10</f>
        <v>0</v>
      </c>
      <c r="C91" s="23" t="n">
        <f aca="false">C30*C71*$C$10</f>
        <v>0</v>
      </c>
      <c r="D91" s="23" t="n">
        <f aca="false">D30*D71*$C$10</f>
        <v>0</v>
      </c>
      <c r="E91" s="23" t="n">
        <f aca="false">E30*E71*$C$10</f>
        <v>0</v>
      </c>
      <c r="F91" s="23" t="n">
        <f aca="false">F30*F71*$C$10</f>
        <v>0</v>
      </c>
      <c r="G91" s="23" t="n">
        <f aca="false">G30*G71*$C$10</f>
        <v>0</v>
      </c>
      <c r="H91" s="23" t="n">
        <f aca="false">H30*H71*$C$10</f>
        <v>0</v>
      </c>
      <c r="I91" s="23" t="n">
        <f aca="false">I30*I71*$C$10</f>
        <v>0</v>
      </c>
      <c r="J91" s="23" t="n">
        <f aca="false">J30*J71*$C$10</f>
        <v>0</v>
      </c>
      <c r="K91" s="23" t="n">
        <f aca="false">K30*K71*$C$10</f>
        <v>0</v>
      </c>
    </row>
    <row r="92" customFormat="false" ht="15" hidden="false" customHeight="false" outlineLevel="0" collapsed="false">
      <c r="A92" s="12" t="str">
        <f aca="false">datos_base!A3</f>
        <v>ABC 2,5 kg</v>
      </c>
      <c r="B92" s="23" t="n">
        <f aca="false">B31*B72*$C$11</f>
        <v>0.978664923150153</v>
      </c>
      <c r="C92" s="23" t="n">
        <f aca="false">C31*C72*$C$11</f>
        <v>3.81805960192419</v>
      </c>
      <c r="D92" s="23" t="n">
        <f aca="false">D31*D72*$C$11</f>
        <v>8.74036441570112</v>
      </c>
      <c r="E92" s="23" t="n">
        <f aca="false">E31*E72*$C$11</f>
        <v>124.805607080798</v>
      </c>
      <c r="F92" s="23" t="n">
        <f aca="false">F31*F72*$C$11</f>
        <v>484.926008100159</v>
      </c>
      <c r="G92" s="23" t="n">
        <f aca="false">G31*G72*$C$11</f>
        <v>1123.24083973018</v>
      </c>
      <c r="H92" s="23" t="n">
        <f aca="false">H31*H72*$C$11</f>
        <v>1953.7629244601</v>
      </c>
      <c r="I92" s="23" t="n">
        <f aca="false">I31*I72*$C$11</f>
        <v>2679.03198133991</v>
      </c>
      <c r="J92" s="23" t="n">
        <f aca="false">J31*J72*$C$11</f>
        <v>3261.65024079813</v>
      </c>
      <c r="K92" s="23" t="n">
        <f aca="false">K31*K72*$C$11</f>
        <v>3887.97290104764</v>
      </c>
    </row>
    <row r="93" customFormat="false" ht="15" hidden="false" customHeight="false" outlineLevel="0" collapsed="false">
      <c r="A93" s="12" t="str">
        <f aca="false">datos_base!A4</f>
        <v>ABC 5 kg</v>
      </c>
      <c r="B93" s="23" t="n">
        <f aca="false">B32*B73*$C$12</f>
        <v>5.78424715807439</v>
      </c>
      <c r="C93" s="23" t="n">
        <f aca="false">C32*C73*$C$12</f>
        <v>23.288363324939</v>
      </c>
      <c r="D93" s="23" t="n">
        <f aca="false">D32*D73*$C$12</f>
        <v>52.7175254224681</v>
      </c>
      <c r="E93" s="23" t="n">
        <f aca="false">E32*E73*$C$12</f>
        <v>772.969022045776</v>
      </c>
      <c r="F93" s="23" t="n">
        <f aca="false">F32*F73*$C$12</f>
        <v>2989.9964256853</v>
      </c>
      <c r="G93" s="23" t="n">
        <f aca="false">G32*G73*$C$12</f>
        <v>6931.1837237093</v>
      </c>
      <c r="H93" s="23" t="n">
        <f aca="false">H32*H73*$C$12</f>
        <v>12006.5276717763</v>
      </c>
      <c r="I93" s="23" t="n">
        <f aca="false">I32*I73*$C$12</f>
        <v>16385.7647529238</v>
      </c>
      <c r="J93" s="23" t="n">
        <f aca="false">J32*J73*$C$12</f>
        <v>19888.2808901489</v>
      </c>
      <c r="K93" s="23" t="n">
        <f aca="false">K32*K73*$C$12</f>
        <v>23648.4539710305</v>
      </c>
    </row>
    <row r="94" customFormat="false" ht="15" hidden="false" customHeight="false" outlineLevel="0" collapsed="false">
      <c r="A94" s="12" t="str">
        <f aca="false">datos_base!A5</f>
        <v>ABC 10 kg</v>
      </c>
      <c r="B94" s="23" t="n">
        <f aca="false">B33*B74*$C$13</f>
        <v>0.350969487717949</v>
      </c>
      <c r="C94" s="23" t="n">
        <f aca="false">C33*C74*$C$13</f>
        <v>1.29812783797538</v>
      </c>
      <c r="D94" s="23" t="n">
        <f aca="false">D33*D74*$C$13</f>
        <v>3.03974858444573</v>
      </c>
      <c r="E94" s="23" t="n">
        <f aca="false">E33*E74*$C$13</f>
        <v>45.0918156793809</v>
      </c>
      <c r="F94" s="23" t="n">
        <f aca="false">F33*F74*$C$13</f>
        <v>175.726033522757</v>
      </c>
      <c r="G94" s="23" t="n">
        <f aca="false">G33*G74*$C$13</f>
        <v>410.591855219334</v>
      </c>
      <c r="H94" s="23" t="n">
        <f aca="false">H33*H74*$C$13</f>
        <v>711.303316674984</v>
      </c>
      <c r="I94" s="23" t="n">
        <f aca="false">I33*I74*$C$13</f>
        <v>970.050723863664</v>
      </c>
      <c r="J94" s="23" t="n">
        <f aca="false">J33*J74*$C$13</f>
        <v>1177.51455816165</v>
      </c>
      <c r="K94" s="23" t="n">
        <f aca="false">K33*K74*$C$13</f>
        <v>1400.24963196333</v>
      </c>
    </row>
    <row r="95" customFormat="false" ht="15" hidden="false" customHeight="false" outlineLevel="0" collapsed="false">
      <c r="A95" s="12" t="str">
        <f aca="false">datos_base!A6</f>
        <v>Agua 10 l</v>
      </c>
      <c r="B95" s="23" t="n">
        <f aca="false">B34*B75*$C$14</f>
        <v>0.472458927599196</v>
      </c>
      <c r="C95" s="23" t="n">
        <f aca="false">C34*C75*$C$14</f>
        <v>1.90818911930477</v>
      </c>
      <c r="D95" s="23" t="n">
        <f aca="false">D34*D75*$C$14</f>
        <v>4.37248990228051</v>
      </c>
      <c r="E95" s="23" t="n">
        <f aca="false">E34*E75*$C$14</f>
        <v>34.641383112548</v>
      </c>
      <c r="F95" s="23" t="n">
        <f aca="false">F34*F75*$C$14</f>
        <v>183.021443447757</v>
      </c>
      <c r="G95" s="23" t="n">
        <f aca="false">G34*G75*$C$14</f>
        <v>455.915442635931</v>
      </c>
      <c r="H95" s="23" t="n">
        <f aca="false">H34*H75*$C$14</f>
        <v>813.154983604683</v>
      </c>
      <c r="I95" s="23" t="n">
        <f aca="false">I34*I75*$C$14</f>
        <v>1127.02285570592</v>
      </c>
      <c r="J95" s="23" t="n">
        <f aca="false">J34*J75*$C$14</f>
        <v>1383.76221755875</v>
      </c>
      <c r="K95" s="23" t="n">
        <f aca="false">K34*K75*$C$14</f>
        <v>1659.21441005585</v>
      </c>
    </row>
    <row r="96" customFormat="false" ht="15" hidden="false" customHeight="false" outlineLevel="0" collapsed="false">
      <c r="A96" s="12" t="str">
        <f aca="false">datos_base!A7</f>
        <v>AFFF 10 l</v>
      </c>
      <c r="B96" s="23" t="n">
        <f aca="false">B35*B76*$C$15</f>
        <v>0.0674941329378396</v>
      </c>
      <c r="C96" s="23" t="n">
        <f aca="false">C35*C76*$C$15</f>
        <v>0.478411094306335</v>
      </c>
      <c r="D96" s="23" t="n">
        <f aca="false">D35*D76*$C$15</f>
        <v>0.938956254659272</v>
      </c>
      <c r="E96" s="23" t="n">
        <f aca="false">E35*E76*$C$15</f>
        <v>6.60401276910167</v>
      </c>
      <c r="F96" s="23" t="n">
        <f aca="false">F35*F76*$C$15</f>
        <v>34.1051015053818</v>
      </c>
      <c r="G96" s="23" t="n">
        <f aca="false">G35*G76*$C$15</f>
        <v>82.273120574552</v>
      </c>
      <c r="H96" s="23" t="n">
        <f aca="false">H35*H76*$C$15</f>
        <v>148.59754091334</v>
      </c>
      <c r="I96" s="23" t="n">
        <f aca="false">I35*I76*$C$15</f>
        <v>209.537997398625</v>
      </c>
      <c r="J96" s="23" t="n">
        <f aca="false">J35*J76*$C$15</f>
        <v>260.27516285307</v>
      </c>
      <c r="K96" s="23" t="n">
        <f aca="false">K35*K76*$C$15</f>
        <v>315.012530385462</v>
      </c>
    </row>
    <row r="97" customFormat="false" ht="15" hidden="false" customHeight="false" outlineLevel="0" collapsed="false">
      <c r="A97" s="12" t="str">
        <f aca="false">datos_base!A8</f>
        <v>AFFF 50 l s/ruedas</v>
      </c>
      <c r="B97" s="23" t="n">
        <f aca="false">B36*B77*$C$16</f>
        <v>0.0337470649860792</v>
      </c>
      <c r="C97" s="23" t="n">
        <f aca="false">C36*C77*$C$16</f>
        <v>0.246814430881118</v>
      </c>
      <c r="D97" s="23" t="n">
        <f aca="false">D36*D77*$C$16</f>
        <v>0.487747304959423</v>
      </c>
      <c r="E97" s="23" t="n">
        <f aca="false">E36*E77*$C$16</f>
        <v>3.52294172825214</v>
      </c>
      <c r="F97" s="23" t="n">
        <f aca="false">F36*F77*$C$16</f>
        <v>18.2909555638871</v>
      </c>
      <c r="G97" s="23" t="n">
        <f aca="false">G36*G77*$C$16</f>
        <v>43.9639563925325</v>
      </c>
      <c r="H97" s="23" t="n">
        <f aca="false">H36*H77*$C$16</f>
        <v>78.2277055482803</v>
      </c>
      <c r="I97" s="23" t="n">
        <f aca="false">I36*I77*$C$16</f>
        <v>110.252237702479</v>
      </c>
      <c r="J97" s="23" t="n">
        <f aca="false">J36*J77*$C$16</f>
        <v>136.238925304881</v>
      </c>
      <c r="K97" s="23" t="n">
        <f aca="false">K36*K77*$C$16</f>
        <v>164.207293429606</v>
      </c>
    </row>
    <row r="98" customFormat="false" ht="15" hidden="false" customHeight="false" outlineLevel="0" collapsed="false">
      <c r="A98" s="12" t="str">
        <f aca="false">datos_base!A9</f>
        <v>BC 5 kg</v>
      </c>
      <c r="B98" s="23" t="n">
        <f aca="false">B37*B78*$C$17</f>
        <v>0.0202482389916475</v>
      </c>
      <c r="C98" s="23" t="n">
        <f aca="false">C37*C78*$C$17</f>
        <v>0.139603844539177</v>
      </c>
      <c r="D98" s="23" t="n">
        <f aca="false">D37*D78*$C$17</f>
        <v>0.263618443357683</v>
      </c>
      <c r="E98" s="23" t="n">
        <f aca="false">E37*E78*$C$17</f>
        <v>3.66875165443037</v>
      </c>
      <c r="F98" s="23" t="n">
        <f aca="false">F37*F78*$C$17</f>
        <v>13.5761789468099</v>
      </c>
      <c r="G98" s="23" t="n">
        <f aca="false">G37*G78*$C$17</f>
        <v>31.4506821778191</v>
      </c>
      <c r="H98" s="23" t="n">
        <f aca="false">H37*H78*$C$17</f>
        <v>56.2560444370313</v>
      </c>
      <c r="I98" s="23" t="n">
        <f aca="false">I37*I78*$C$17</f>
        <v>76.7114496524871</v>
      </c>
      <c r="J98" s="23" t="n">
        <f aca="false">J37*J78*$C$17</f>
        <v>94.2135066910663</v>
      </c>
      <c r="K98" s="23" t="n">
        <f aca="false">K37*K78*$C$17</f>
        <v>113.096748112657</v>
      </c>
    </row>
    <row r="99" customFormat="false" ht="15" hidden="false" customHeight="false" outlineLevel="0" collapsed="false">
      <c r="A99" s="12" t="str">
        <f aca="false">datos_base!A10</f>
        <v>Sales K 6 l</v>
      </c>
      <c r="B99" s="23" t="n">
        <f aca="false">B38*B79*$C$18</f>
        <v>0.242978876796814</v>
      </c>
      <c r="C99" s="23" t="n">
        <f aca="false">C38*C79*$C$18</f>
        <v>0.994686087718996</v>
      </c>
      <c r="D99" s="23" t="n">
        <f aca="false">D38*D79*$C$18</f>
        <v>2.21417271638667</v>
      </c>
      <c r="E99" s="23" t="n">
        <f aca="false">E38*E79*$C$18</f>
        <v>17.0160853659792</v>
      </c>
      <c r="F99" s="23" t="n">
        <f aca="false">F38*F79*$C$18</f>
        <v>89.9238760569114</v>
      </c>
      <c r="G99" s="23" t="n">
        <f aca="false">G38*G79*$C$18</f>
        <v>222.033242694585</v>
      </c>
      <c r="H99" s="23" t="n">
        <f aca="false">H38*H79*$C$18</f>
        <v>397.597044903975</v>
      </c>
      <c r="I99" s="23" t="n">
        <f aca="false">I38*I79*$C$18</f>
        <v>554.772460586609</v>
      </c>
      <c r="J99" s="23" t="n">
        <f aca="false">J38*J79*$C$18</f>
        <v>681.84517788628</v>
      </c>
      <c r="K99" s="23" t="n">
        <f aca="false">K38*K79*$C$18</f>
        <v>818.249569013247</v>
      </c>
    </row>
    <row r="100" customFormat="false" ht="15" hidden="false" customHeight="false" outlineLevel="0" collapsed="false">
      <c r="A100" s="12" t="str">
        <f aca="false">datos_base!A11</f>
        <v>CO₂ 2 kg</v>
      </c>
      <c r="B100" s="23" t="n">
        <f aca="false">B39*B80*$C$19</f>
        <v>1.33638382386532</v>
      </c>
      <c r="C100" s="23" t="n">
        <f aca="false">C39*C80*$C$19</f>
        <v>5.03329928313916</v>
      </c>
      <c r="D100" s="23" t="n">
        <f aca="false">D39*D80*$C$19</f>
        <v>11.7298530695416</v>
      </c>
      <c r="E100" s="23" t="n">
        <f aca="false">E39*E80*$C$19</f>
        <v>94.6817769392905</v>
      </c>
      <c r="F100" s="23" t="n">
        <f aca="false">F39*F80*$C$19</f>
        <v>500.723557672391</v>
      </c>
      <c r="G100" s="23" t="n">
        <f aca="false">G39*G80*$C$19</f>
        <v>1240.22923700718</v>
      </c>
      <c r="H100" s="23" t="n">
        <f aca="false">H39*H80*$C$19</f>
        <v>2206.87338341073</v>
      </c>
      <c r="I100" s="23" t="n">
        <f aca="false">I39*I80*$C$19</f>
        <v>3041.20870786959</v>
      </c>
      <c r="J100" s="23" t="n">
        <f aca="false">J39*J80*$C$19</f>
        <v>3727.72279624233</v>
      </c>
      <c r="K100" s="23" t="n">
        <f aca="false">K39*K80*$C$19</f>
        <v>4463.64249421611</v>
      </c>
    </row>
    <row r="101" customFormat="false" ht="15" hidden="false" customHeight="false" outlineLevel="0" collapsed="false">
      <c r="A101" s="12" t="str">
        <f aca="false">datos_base!A12</f>
        <v>CO₂ 5 kg</v>
      </c>
      <c r="B101" s="23" t="n">
        <f aca="false">B40*B81*$C$20</f>
        <v>0.371217729675277</v>
      </c>
      <c r="C101" s="23" t="n">
        <f aca="false">C40*C81*$C$20</f>
        <v>1.9088025081872</v>
      </c>
      <c r="D101" s="23" t="n">
        <f aca="false">D40*D81*$C$20</f>
        <v>4.07967033543936</v>
      </c>
      <c r="E101" s="23" t="n">
        <f aca="false">E40*E81*$C$20</f>
        <v>30.8075738460887</v>
      </c>
      <c r="F101" s="23" t="n">
        <f aca="false">F40*F81*$C$20</f>
        <v>162.561401042184</v>
      </c>
      <c r="G101" s="23" t="n">
        <f aca="false">G40*G81*$C$20</f>
        <v>403.59777673825</v>
      </c>
      <c r="H101" s="23" t="n">
        <f aca="false">H40*H81*$C$20</f>
        <v>727.964841391418</v>
      </c>
      <c r="I101" s="23" t="n">
        <f aca="false">I40*I81*$C$20</f>
        <v>1024.4938231308</v>
      </c>
      <c r="J101" s="23" t="n">
        <f aca="false">J40*J81*$C$20</f>
        <v>1265.7865156783</v>
      </c>
      <c r="K101" s="23" t="n">
        <f aca="false">K40*K81*$C$20</f>
        <v>1525.46183191304</v>
      </c>
    </row>
    <row r="102" customFormat="false" ht="15" hidden="false" customHeight="false" outlineLevel="0" collapsed="false">
      <c r="A102" s="12" t="str">
        <f aca="false">datos_base!A13</f>
        <v>HCFC/HFC 5 kg</v>
      </c>
      <c r="B102" s="23" t="n">
        <f aca="false">B41*B82*$C$21</f>
        <v>0.0539953069434079</v>
      </c>
      <c r="C102" s="23" t="n">
        <f aca="false">C41*C82*$C$21</f>
        <v>0.332379085291776</v>
      </c>
      <c r="D102" s="23" t="n">
        <f aca="false">D41*D82*$C$21</f>
        <v>0.684639495493837</v>
      </c>
      <c r="E102" s="23" t="n">
        <f aca="false">E41*E82*$C$21</f>
        <v>5.01774019331263</v>
      </c>
      <c r="F102" s="23" t="n">
        <f aca="false">F41*F82*$C$21</f>
        <v>26.3430191653822</v>
      </c>
      <c r="G102" s="23" t="n">
        <f aca="false">G41*G82*$C$21</f>
        <v>64.455314821497</v>
      </c>
      <c r="H102" s="23" t="n">
        <f aca="false">H41*H82*$C$21</f>
        <v>117.49707503538</v>
      </c>
      <c r="I102" s="23" t="n">
        <f aca="false">I41*I82*$C$21</f>
        <v>166.225991004372</v>
      </c>
      <c r="J102" s="23" t="n">
        <f aca="false">J41*J82*$C$21</f>
        <v>206.398117302412</v>
      </c>
      <c r="K102" s="23" t="n">
        <f aca="false">K41*K82*$C$21</f>
        <v>249.730141969157</v>
      </c>
    </row>
    <row r="103" customFormat="false" ht="15" hidden="false" customHeight="false" outlineLevel="0" collapsed="false">
      <c r="A103" s="12" t="str">
        <f aca="false">datos_base!A14</f>
        <v>Clase D 9 l</v>
      </c>
      <c r="B103" s="23" t="n">
        <f aca="false">B42*B83*$C$22</f>
        <v>0.0202482389916475</v>
      </c>
      <c r="C103" s="23" t="n">
        <f aca="false">C42*C83*$C$22</f>
        <v>0.139603844539177</v>
      </c>
      <c r="D103" s="23" t="n">
        <f aca="false">D42*D83*$C$22</f>
        <v>0.263618443357683</v>
      </c>
      <c r="E103" s="23" t="n">
        <f aca="false">E42*E83*$C$22</f>
        <v>3.41060187129041</v>
      </c>
      <c r="F103" s="23" t="n">
        <f aca="false">F42*F83*$C$22</f>
        <v>12.6762227678324</v>
      </c>
      <c r="G103" s="23" t="n">
        <f aca="false">G42*G83*$C$22</f>
        <v>27.5601889159783</v>
      </c>
      <c r="H103" s="23" t="n">
        <f aca="false">H42*H83*$C$22</f>
        <v>50.0902376711521</v>
      </c>
      <c r="I103" s="23" t="n">
        <f aca="false">I42*I83*$C$22</f>
        <v>68.9163393918244</v>
      </c>
      <c r="J103" s="23" t="n">
        <f aca="false">J42*J83*$C$22</f>
        <v>84.8931696303147</v>
      </c>
      <c r="K103" s="23" t="n">
        <f aca="false">K42*K83*$C$22</f>
        <v>102.150939857449</v>
      </c>
    </row>
    <row r="104" customFormat="false" ht="15" hidden="false" customHeight="false" outlineLevel="0" collapsed="false">
      <c r="A104" s="12" t="str">
        <f aca="false">datos_base!A15</f>
        <v>ABC 25 kg s/ruedas</v>
      </c>
      <c r="B104" s="23" t="n">
        <f aca="false">B43*B84*$C$23</f>
        <v>0.0523079529526837</v>
      </c>
      <c r="C104" s="23" t="n">
        <f aca="false">C43*C84*$C$23</f>
        <v>0.255012460530311</v>
      </c>
      <c r="D104" s="23" t="n">
        <f aca="false">D43*D84*$C$23</f>
        <v>0.554195566687229</v>
      </c>
      <c r="E104" s="23" t="n">
        <f aca="false">E43*E84*$C$23</f>
        <v>7.74183342627491</v>
      </c>
      <c r="F104" s="23" t="n">
        <f aca="false">F43*F84*$C$23</f>
        <v>29.9034775151937</v>
      </c>
      <c r="G104" s="23" t="n">
        <f aca="false">G43*G84*$C$23</f>
        <v>69.31075508826</v>
      </c>
      <c r="H104" s="23" t="n">
        <f aca="false">H43*H84*$C$23</f>
        <v>120.861542727184</v>
      </c>
      <c r="I104" s="23" t="n">
        <f aca="false">I43*I84*$C$23</f>
        <v>167.10815501508</v>
      </c>
      <c r="J104" s="23" t="n">
        <f aca="false">J43*J84*$C$23</f>
        <v>204.013073981627</v>
      </c>
      <c r="K104" s="23" t="n">
        <f aca="false">K43*K84*$C$23</f>
        <v>243.733321504773</v>
      </c>
    </row>
    <row r="105" customFormat="false" ht="15" hidden="false" customHeight="false" outlineLevel="0" collapsed="false">
      <c r="A105" s="12" t="str">
        <f aca="false">datos_base!A16</f>
        <v>ABC 50 kg s/ruedas</v>
      </c>
      <c r="B105" s="23" t="n">
        <f aca="false">B44*B85*$C$24</f>
        <v>0.115077494716495</v>
      </c>
      <c r="C105" s="23" t="n">
        <f aca="false">C44*C85*$C$24</f>
        <v>0.561027416725502</v>
      </c>
      <c r="D105" s="23" t="n">
        <f aca="false">D44*D85*$C$24</f>
        <v>1.21923024849131</v>
      </c>
      <c r="E105" s="23" t="n">
        <f aca="false">E44*E85*$C$24</f>
        <v>17.0320335332046</v>
      </c>
      <c r="F105" s="23" t="n">
        <f aca="false">F44*F85*$C$24</f>
        <v>65.7876504963658</v>
      </c>
      <c r="G105" s="23" t="n">
        <f aca="false">G44*G85*$C$24</f>
        <v>152.483661301928</v>
      </c>
      <c r="H105" s="23" t="n">
        <f aca="false">H44*H85*$C$24</f>
        <v>265.895394091317</v>
      </c>
      <c r="I105" s="23" t="n">
        <f aca="false">I44*I85*$C$24</f>
        <v>367.637940958045</v>
      </c>
      <c r="J105" s="23" t="n">
        <f aca="false">J44*J85*$C$24</f>
        <v>448.828762548236</v>
      </c>
      <c r="K105" s="23" t="n">
        <f aca="false">K44*K85*$C$24</f>
        <v>536.213306983009</v>
      </c>
    </row>
    <row r="106" customFormat="false" ht="15" hidden="false" customHeight="false" outlineLevel="0" collapsed="false">
      <c r="A106" s="12" t="str">
        <f aca="false">datos_base!A17</f>
        <v>ABC 70 kg s/ruedas</v>
      </c>
      <c r="B106" s="23" t="n">
        <f aca="false">B45*B86*$C$25</f>
        <v>0.0251078161123884</v>
      </c>
      <c r="C106" s="23" t="n">
        <f aca="false">C45*C86*$C$25</f>
        <v>0.122405980698668</v>
      </c>
      <c r="D106" s="23" t="n">
        <f aca="false">D45*D86*$C$25</f>
        <v>0.266013871535361</v>
      </c>
      <c r="E106" s="23" t="n">
        <f aca="false">E45*E86*$C$25</f>
        <v>3.71608004277186</v>
      </c>
      <c r="F106" s="23" t="n">
        <f aca="false">F45*F86*$C$25</f>
        <v>14.3536692048223</v>
      </c>
      <c r="G106" s="23" t="n">
        <f aca="false">G45*G86*$C$25</f>
        <v>33.269162463916</v>
      </c>
      <c r="H106" s="23" t="n">
        <f aca="false">H45*H86*$C$25</f>
        <v>58.0135404846451</v>
      </c>
      <c r="I106" s="23" t="n">
        <f aca="false">I45*I86*$C$25</f>
        <v>80.2119143396198</v>
      </c>
      <c r="J106" s="23" t="n">
        <f aca="false">J45*J86*$C$25</f>
        <v>97.92627555345</v>
      </c>
      <c r="K106" s="23" t="n">
        <f aca="false">K45*K86*$C$25</f>
        <v>116.991994331648</v>
      </c>
    </row>
    <row r="107" customFormat="false" ht="15" hidden="false" customHeight="false" outlineLevel="0" collapsed="false">
      <c r="A107" s="12" t="str">
        <f aca="false">datos_base!A18</f>
        <v>ABC 100 kg s/ruedas</v>
      </c>
      <c r="B107" s="23" t="n">
        <f aca="false">B46*B87*$C$26</f>
        <v>0.016738545063486</v>
      </c>
      <c r="C107" s="23" t="n">
        <f aca="false">C46*C87*$C$26</f>
        <v>0.0816039871324451</v>
      </c>
      <c r="D107" s="23" t="n">
        <f aca="false">D46*D87*$C$26</f>
        <v>0.177342583000695</v>
      </c>
      <c r="E107" s="23" t="n">
        <f aca="false">E46*E87*$C$26</f>
        <v>2.47738670284831</v>
      </c>
      <c r="F107" s="23" t="n">
        <f aca="false">F46*F87*$C$26</f>
        <v>9.56911278262581</v>
      </c>
      <c r="G107" s="23" t="n">
        <f aca="false">G46*G87*$C$26</f>
        <v>22.179441606692</v>
      </c>
      <c r="H107" s="23" t="n">
        <f aca="false">H46*H87*$C$26</f>
        <v>38.67569375811</v>
      </c>
      <c r="I107" s="23" t="n">
        <f aca="false">I46*I87*$C$26</f>
        <v>53.4746095597465</v>
      </c>
      <c r="J107" s="23" t="n">
        <f aca="false">J46*J87*$C$26</f>
        <v>65.2841836318519</v>
      </c>
      <c r="K107" s="23" t="n">
        <f aca="false">K46*K87*$C$26</f>
        <v>77.9946627318168</v>
      </c>
    </row>
    <row r="109" customFormat="false" ht="15" hidden="false" customHeight="false" outlineLevel="0" collapsed="false">
      <c r="A109" s="1" t="s">
        <v>324</v>
      </c>
    </row>
    <row r="110" customFormat="false" ht="15" hidden="false" customHeight="false" outlineLevel="0" collapsed="false">
      <c r="A110" s="3" t="s">
        <v>315</v>
      </c>
      <c r="B110" s="3" t="n">
        <v>2026</v>
      </c>
      <c r="C110" s="3" t="n">
        <v>2027</v>
      </c>
      <c r="D110" s="3" t="n">
        <v>2028</v>
      </c>
      <c r="E110" s="3" t="n">
        <v>2029</v>
      </c>
      <c r="F110" s="3" t="n">
        <v>2030</v>
      </c>
      <c r="G110" s="3" t="n">
        <v>2031</v>
      </c>
      <c r="H110" s="3" t="n">
        <v>2032</v>
      </c>
      <c r="I110" s="3" t="n">
        <v>2033</v>
      </c>
      <c r="J110" s="3" t="n">
        <v>2034</v>
      </c>
      <c r="K110" s="3" t="n">
        <v>2035</v>
      </c>
    </row>
    <row r="111" customFormat="false" ht="15" hidden="false" customHeight="false" outlineLevel="0" collapsed="false">
      <c r="A111" s="4" t="s">
        <v>5</v>
      </c>
      <c r="B111" s="13" t="n">
        <f aca="false">ROUNDUP(SUMIF($D$10:$D$26,$A111,B$91:B$107),0)</f>
        <v>7</v>
      </c>
      <c r="C111" s="13" t="n">
        <f aca="false">ROUNDUP(SUMIF($D$10:$D$26,$A111,C$91:C$107),0)</f>
        <v>28</v>
      </c>
      <c r="D111" s="13" t="n">
        <f aca="false">ROUNDUP(SUMIF($D$10:$D$26,$A111,D$91:D$107),0)</f>
        <v>62</v>
      </c>
      <c r="E111" s="13" t="n">
        <f aca="false">ROUNDUP(SUMIF($D$10:$D$26,$A111,E$91:E$107),0)</f>
        <v>898</v>
      </c>
      <c r="F111" s="13" t="n">
        <f aca="false">ROUNDUP(SUMIF($D$10:$D$26,$A111,F$91:F$107),0)</f>
        <v>3475</v>
      </c>
      <c r="G111" s="13" t="n">
        <f aca="false">ROUNDUP(SUMIF($D$10:$D$26,$A111,G$91:G$107),0)</f>
        <v>8055</v>
      </c>
      <c r="H111" s="13" t="n">
        <f aca="false">ROUNDUP(SUMIF($D$10:$D$26,$A111,H$91:H$107),0)</f>
        <v>13961</v>
      </c>
      <c r="I111" s="13" t="n">
        <f aca="false">ROUNDUP(SUMIF($D$10:$D$26,$A111,I$91:I$107),0)</f>
        <v>19065</v>
      </c>
      <c r="J111" s="13" t="n">
        <f aca="false">ROUNDUP(SUMIF($D$10:$D$26,$A111,J$91:J$107),0)</f>
        <v>23150</v>
      </c>
      <c r="K111" s="13" t="n">
        <f aca="false">ROUNDUP(SUMIF($D$10:$D$26,$A111,K$91:K$107),0)</f>
        <v>27537</v>
      </c>
    </row>
    <row r="112" customFormat="false" ht="15" hidden="false" customHeight="false" outlineLevel="0" collapsed="false">
      <c r="A112" s="4" t="s">
        <v>6</v>
      </c>
      <c r="B112" s="13" t="n">
        <f aca="false">ROUNDUP(SUMIF($D$10:$D$26,$A112,B$91:B$107),0)</f>
        <v>1</v>
      </c>
      <c r="C112" s="13" t="n">
        <f aca="false">ROUNDUP(SUMIF($D$10:$D$26,$A112,C$91:C$107),0)</f>
        <v>2</v>
      </c>
      <c r="D112" s="13" t="n">
        <f aca="false">ROUNDUP(SUMIF($D$10:$D$26,$A112,D$91:D$107),0)</f>
        <v>4</v>
      </c>
      <c r="E112" s="13" t="n">
        <f aca="false">ROUNDUP(SUMIF($D$10:$D$26,$A112,E$91:E$107),0)</f>
        <v>46</v>
      </c>
      <c r="F112" s="13" t="n">
        <f aca="false">ROUNDUP(SUMIF($D$10:$D$26,$A112,F$91:F$107),0)</f>
        <v>176</v>
      </c>
      <c r="G112" s="13" t="n">
        <f aca="false">ROUNDUP(SUMIF($D$10:$D$26,$A112,G$91:G$107),0)</f>
        <v>411</v>
      </c>
      <c r="H112" s="13" t="n">
        <f aca="false">ROUNDUP(SUMIF($D$10:$D$26,$A112,H$91:H$107),0)</f>
        <v>712</v>
      </c>
      <c r="I112" s="13" t="n">
        <f aca="false">ROUNDUP(SUMIF($D$10:$D$26,$A112,I$91:I$107),0)</f>
        <v>971</v>
      </c>
      <c r="J112" s="13" t="n">
        <f aca="false">ROUNDUP(SUMIF($D$10:$D$26,$A112,J$91:J$107),0)</f>
        <v>1178</v>
      </c>
      <c r="K112" s="13" t="n">
        <f aca="false">ROUNDUP(SUMIF($D$10:$D$26,$A112,K$91:K$107),0)</f>
        <v>1401</v>
      </c>
    </row>
    <row r="113" customFormat="false" ht="15" hidden="false" customHeight="false" outlineLevel="0" collapsed="false">
      <c r="A113" s="4" t="s">
        <v>7</v>
      </c>
      <c r="B113" s="13" t="n">
        <f aca="false">ROUNDUP(SUMIF($D$10:$D$26,$A113,B$91:B$107),0)</f>
        <v>1</v>
      </c>
      <c r="C113" s="13" t="n">
        <f aca="false">ROUNDUP(SUMIF($D$10:$D$26,$A113,C$91:C$107),0)</f>
        <v>2</v>
      </c>
      <c r="D113" s="13" t="n">
        <f aca="false">ROUNDUP(SUMIF($D$10:$D$26,$A113,D$91:D$107),0)</f>
        <v>5</v>
      </c>
      <c r="E113" s="13" t="n">
        <f aca="false">ROUNDUP(SUMIF($D$10:$D$26,$A113,E$91:E$107),0)</f>
        <v>35</v>
      </c>
      <c r="F113" s="13" t="n">
        <f aca="false">ROUNDUP(SUMIF($D$10:$D$26,$A113,F$91:F$107),0)</f>
        <v>184</v>
      </c>
      <c r="G113" s="13" t="n">
        <f aca="false">ROUNDUP(SUMIF($D$10:$D$26,$A113,G$91:G$107),0)</f>
        <v>456</v>
      </c>
      <c r="H113" s="13" t="n">
        <f aca="false">ROUNDUP(SUMIF($D$10:$D$26,$A113,H$91:H$107),0)</f>
        <v>814</v>
      </c>
      <c r="I113" s="13" t="n">
        <f aca="false">ROUNDUP(SUMIF($D$10:$D$26,$A113,I$91:I$107),0)</f>
        <v>1128</v>
      </c>
      <c r="J113" s="13" t="n">
        <f aca="false">ROUNDUP(SUMIF($D$10:$D$26,$A113,J$91:J$107),0)</f>
        <v>1384</v>
      </c>
      <c r="K113" s="13" t="n">
        <f aca="false">ROUNDUP(SUMIF($D$10:$D$26,$A113,K$91:K$107),0)</f>
        <v>1660</v>
      </c>
    </row>
    <row r="114" customFormat="false" ht="15" hidden="false" customHeight="false" outlineLevel="0" collapsed="false">
      <c r="A114" s="4" t="s">
        <v>8</v>
      </c>
      <c r="B114" s="13" t="n">
        <f aca="false">ROUNDUP(SUMIF($D$10:$D$26,$A114,B$91:B$107),0)</f>
        <v>1</v>
      </c>
      <c r="C114" s="13" t="n">
        <f aca="false">ROUNDUP(SUMIF($D$10:$D$26,$A114,C$91:C$107),0)</f>
        <v>1</v>
      </c>
      <c r="D114" s="13" t="n">
        <f aca="false">ROUNDUP(SUMIF($D$10:$D$26,$A114,D$91:D$107),0)</f>
        <v>1</v>
      </c>
      <c r="E114" s="13" t="n">
        <f aca="false">ROUNDUP(SUMIF($D$10:$D$26,$A114,E$91:E$107),0)</f>
        <v>7</v>
      </c>
      <c r="F114" s="13" t="n">
        <f aca="false">ROUNDUP(SUMIF($D$10:$D$26,$A114,F$91:F$107),0)</f>
        <v>35</v>
      </c>
      <c r="G114" s="13" t="n">
        <f aca="false">ROUNDUP(SUMIF($D$10:$D$26,$A114,G$91:G$107),0)</f>
        <v>83</v>
      </c>
      <c r="H114" s="13" t="n">
        <f aca="false">ROUNDUP(SUMIF($D$10:$D$26,$A114,H$91:H$107),0)</f>
        <v>149</v>
      </c>
      <c r="I114" s="13" t="n">
        <f aca="false">ROUNDUP(SUMIF($D$10:$D$26,$A114,I$91:I$107),0)</f>
        <v>210</v>
      </c>
      <c r="J114" s="13" t="n">
        <f aca="false">ROUNDUP(SUMIF($D$10:$D$26,$A114,J$91:J$107),0)</f>
        <v>261</v>
      </c>
      <c r="K114" s="13" t="n">
        <f aca="false">ROUNDUP(SUMIF($D$10:$D$26,$A114,K$91:K$107),0)</f>
        <v>316</v>
      </c>
    </row>
    <row r="115" customFormat="false" ht="15" hidden="false" customHeight="false" outlineLevel="0" collapsed="false">
      <c r="A115" s="4" t="s">
        <v>9</v>
      </c>
      <c r="B115" s="13" t="n">
        <f aca="false">ROUNDUP(SUMIF($D$10:$D$26,$A115,B$91:B$107),0)</f>
        <v>1</v>
      </c>
      <c r="C115" s="13" t="n">
        <f aca="false">ROUNDUP(SUMIF($D$10:$D$26,$A115,C$91:C$107),0)</f>
        <v>1</v>
      </c>
      <c r="D115" s="13" t="n">
        <f aca="false">ROUNDUP(SUMIF($D$10:$D$26,$A115,D$91:D$107),0)</f>
        <v>1</v>
      </c>
      <c r="E115" s="13" t="n">
        <f aca="false">ROUNDUP(SUMIF($D$10:$D$26,$A115,E$91:E$107),0)</f>
        <v>4</v>
      </c>
      <c r="F115" s="13" t="n">
        <f aca="false">ROUNDUP(SUMIF($D$10:$D$26,$A115,F$91:F$107),0)</f>
        <v>19</v>
      </c>
      <c r="G115" s="13" t="n">
        <f aca="false">ROUNDUP(SUMIF($D$10:$D$26,$A115,G$91:G$107),0)</f>
        <v>44</v>
      </c>
      <c r="H115" s="13" t="n">
        <f aca="false">ROUNDUP(SUMIF($D$10:$D$26,$A115,H$91:H$107),0)</f>
        <v>79</v>
      </c>
      <c r="I115" s="13" t="n">
        <f aca="false">ROUNDUP(SUMIF($D$10:$D$26,$A115,I$91:I$107),0)</f>
        <v>111</v>
      </c>
      <c r="J115" s="13" t="n">
        <f aca="false">ROUNDUP(SUMIF($D$10:$D$26,$A115,J$91:J$107),0)</f>
        <v>137</v>
      </c>
      <c r="K115" s="13" t="n">
        <f aca="false">ROUNDUP(SUMIF($D$10:$D$26,$A115,K$91:K$107),0)</f>
        <v>165</v>
      </c>
    </row>
    <row r="116" customFormat="false" ht="15" hidden="false" customHeight="false" outlineLevel="0" collapsed="false">
      <c r="A116" s="4" t="s">
        <v>10</v>
      </c>
      <c r="B116" s="13" t="n">
        <f aca="false">ROUNDUP(SUMIF($D$10:$D$26,$A116,B$91:B$107),0)</f>
        <v>1</v>
      </c>
      <c r="C116" s="13" t="n">
        <f aca="false">ROUNDUP(SUMIF($D$10:$D$26,$A116,C$91:C$107),0)</f>
        <v>1</v>
      </c>
      <c r="D116" s="13" t="n">
        <f aca="false">ROUNDUP(SUMIF($D$10:$D$26,$A116,D$91:D$107),0)</f>
        <v>1</v>
      </c>
      <c r="E116" s="13" t="n">
        <f aca="false">ROUNDUP(SUMIF($D$10:$D$26,$A116,E$91:E$107),0)</f>
        <v>4</v>
      </c>
      <c r="F116" s="13" t="n">
        <f aca="false">ROUNDUP(SUMIF($D$10:$D$26,$A116,F$91:F$107),0)</f>
        <v>14</v>
      </c>
      <c r="G116" s="13" t="n">
        <f aca="false">ROUNDUP(SUMIF($D$10:$D$26,$A116,G$91:G$107),0)</f>
        <v>32</v>
      </c>
      <c r="H116" s="13" t="n">
        <f aca="false">ROUNDUP(SUMIF($D$10:$D$26,$A116,H$91:H$107),0)</f>
        <v>57</v>
      </c>
      <c r="I116" s="13" t="n">
        <f aca="false">ROUNDUP(SUMIF($D$10:$D$26,$A116,I$91:I$107),0)</f>
        <v>77</v>
      </c>
      <c r="J116" s="13" t="n">
        <f aca="false">ROUNDUP(SUMIF($D$10:$D$26,$A116,J$91:J$107),0)</f>
        <v>95</v>
      </c>
      <c r="K116" s="13" t="n">
        <f aca="false">ROUNDUP(SUMIF($D$10:$D$26,$A116,K$91:K$107),0)</f>
        <v>114</v>
      </c>
    </row>
    <row r="117" customFormat="false" ht="15" hidden="false" customHeight="false" outlineLevel="0" collapsed="false">
      <c r="A117" s="4" t="s">
        <v>11</v>
      </c>
      <c r="B117" s="13" t="n">
        <f aca="false">ROUNDUP(SUMIF($D$10:$D$26,$A117,B$91:B$107),0)</f>
        <v>1</v>
      </c>
      <c r="C117" s="13" t="n">
        <f aca="false">ROUNDUP(SUMIF($D$10:$D$26,$A117,C$91:C$107),0)</f>
        <v>1</v>
      </c>
      <c r="D117" s="13" t="n">
        <f aca="false">ROUNDUP(SUMIF($D$10:$D$26,$A117,D$91:D$107),0)</f>
        <v>3</v>
      </c>
      <c r="E117" s="13" t="n">
        <f aca="false">ROUNDUP(SUMIF($D$10:$D$26,$A117,E$91:E$107),0)</f>
        <v>18</v>
      </c>
      <c r="F117" s="13" t="n">
        <f aca="false">ROUNDUP(SUMIF($D$10:$D$26,$A117,F$91:F$107),0)</f>
        <v>90</v>
      </c>
      <c r="G117" s="13" t="n">
        <f aca="false">ROUNDUP(SUMIF($D$10:$D$26,$A117,G$91:G$107),0)</f>
        <v>223</v>
      </c>
      <c r="H117" s="13" t="n">
        <f aca="false">ROUNDUP(SUMIF($D$10:$D$26,$A117,H$91:H$107),0)</f>
        <v>398</v>
      </c>
      <c r="I117" s="13" t="n">
        <f aca="false">ROUNDUP(SUMIF($D$10:$D$26,$A117,I$91:I$107),0)</f>
        <v>555</v>
      </c>
      <c r="J117" s="13" t="n">
        <f aca="false">ROUNDUP(SUMIF($D$10:$D$26,$A117,J$91:J$107),0)</f>
        <v>682</v>
      </c>
      <c r="K117" s="13" t="n">
        <f aca="false">ROUNDUP(SUMIF($D$10:$D$26,$A117,K$91:K$107),0)</f>
        <v>819</v>
      </c>
    </row>
    <row r="118" customFormat="false" ht="15" hidden="false" customHeight="false" outlineLevel="0" collapsed="false">
      <c r="A118" s="4" t="s">
        <v>13</v>
      </c>
      <c r="B118" s="13" t="n">
        <f aca="false">ROUNDUP(SUMIF($D$10:$D$26,$A118,B$91:B$107),0)</f>
        <v>2</v>
      </c>
      <c r="C118" s="13" t="n">
        <f aca="false">ROUNDUP(SUMIF($D$10:$D$26,$A118,C$91:C$107),0)</f>
        <v>7</v>
      </c>
      <c r="D118" s="13" t="n">
        <f aca="false">ROUNDUP(SUMIF($D$10:$D$26,$A118,D$91:D$107),0)</f>
        <v>16</v>
      </c>
      <c r="E118" s="13" t="n">
        <f aca="false">ROUNDUP(SUMIF($D$10:$D$26,$A118,E$91:E$107),0)</f>
        <v>126</v>
      </c>
      <c r="F118" s="13" t="n">
        <f aca="false">ROUNDUP(SUMIF($D$10:$D$26,$A118,F$91:F$107),0)</f>
        <v>664</v>
      </c>
      <c r="G118" s="13" t="n">
        <f aca="false">ROUNDUP(SUMIF($D$10:$D$26,$A118,G$91:G$107),0)</f>
        <v>1644</v>
      </c>
      <c r="H118" s="13" t="n">
        <f aca="false">ROUNDUP(SUMIF($D$10:$D$26,$A118,H$91:H$107),0)</f>
        <v>2935</v>
      </c>
      <c r="I118" s="13" t="n">
        <f aca="false">ROUNDUP(SUMIF($D$10:$D$26,$A118,I$91:I$107),0)</f>
        <v>4066</v>
      </c>
      <c r="J118" s="13" t="n">
        <f aca="false">ROUNDUP(SUMIF($D$10:$D$26,$A118,J$91:J$107),0)</f>
        <v>4994</v>
      </c>
      <c r="K118" s="13" t="n">
        <f aca="false">ROUNDUP(SUMIF($D$10:$D$26,$A118,K$91:K$107),0)</f>
        <v>5990</v>
      </c>
    </row>
    <row r="119" customFormat="false" ht="15" hidden="false" customHeight="false" outlineLevel="0" collapsed="false">
      <c r="A119" s="4" t="s">
        <v>14</v>
      </c>
      <c r="B119" s="13" t="n">
        <f aca="false">ROUNDUP(SUMIF($D$10:$D$26,$A119,B$91:B$107),0)</f>
        <v>1</v>
      </c>
      <c r="C119" s="13" t="n">
        <f aca="false">ROUNDUP(SUMIF($D$10:$D$26,$A119,C$91:C$107),0)</f>
        <v>1</v>
      </c>
      <c r="D119" s="13" t="n">
        <f aca="false">ROUNDUP(SUMIF($D$10:$D$26,$A119,D$91:D$107),0)</f>
        <v>1</v>
      </c>
      <c r="E119" s="13" t="n">
        <f aca="false">ROUNDUP(SUMIF($D$10:$D$26,$A119,E$91:E$107),0)</f>
        <v>6</v>
      </c>
      <c r="F119" s="13" t="n">
        <f aca="false">ROUNDUP(SUMIF($D$10:$D$26,$A119,F$91:F$107),0)</f>
        <v>27</v>
      </c>
      <c r="G119" s="13" t="n">
        <f aca="false">ROUNDUP(SUMIF($D$10:$D$26,$A119,G$91:G$107),0)</f>
        <v>65</v>
      </c>
      <c r="H119" s="13" t="n">
        <f aca="false">ROUNDUP(SUMIF($D$10:$D$26,$A119,H$91:H$107),0)</f>
        <v>118</v>
      </c>
      <c r="I119" s="13" t="n">
        <f aca="false">ROUNDUP(SUMIF($D$10:$D$26,$A119,I$91:I$107),0)</f>
        <v>167</v>
      </c>
      <c r="J119" s="13" t="n">
        <f aca="false">ROUNDUP(SUMIF($D$10:$D$26,$A119,J$91:J$107),0)</f>
        <v>207</v>
      </c>
      <c r="K119" s="13" t="n">
        <f aca="false">ROUNDUP(SUMIF($D$10:$D$26,$A119,K$91:K$107),0)</f>
        <v>250</v>
      </c>
    </row>
    <row r="120" customFormat="false" ht="15" hidden="false" customHeight="false" outlineLevel="0" collapsed="false">
      <c r="A120" s="4" t="s">
        <v>15</v>
      </c>
      <c r="B120" s="13" t="n">
        <f aca="false">ROUNDUP(SUMIF($D$10:$D$26,$A120,B$91:B$107),0)</f>
        <v>1</v>
      </c>
      <c r="C120" s="13" t="n">
        <f aca="false">ROUNDUP(SUMIF($D$10:$D$26,$A120,C$91:C$107),0)</f>
        <v>1</v>
      </c>
      <c r="D120" s="13" t="n">
        <f aca="false">ROUNDUP(SUMIF($D$10:$D$26,$A120,D$91:D$107),0)</f>
        <v>1</v>
      </c>
      <c r="E120" s="13" t="n">
        <f aca="false">ROUNDUP(SUMIF($D$10:$D$26,$A120,E$91:E$107),0)</f>
        <v>4</v>
      </c>
      <c r="F120" s="13" t="n">
        <f aca="false">ROUNDUP(SUMIF($D$10:$D$26,$A120,F$91:F$107),0)</f>
        <v>13</v>
      </c>
      <c r="G120" s="13" t="n">
        <f aca="false">ROUNDUP(SUMIF($D$10:$D$26,$A120,G$91:G$107),0)</f>
        <v>28</v>
      </c>
      <c r="H120" s="13" t="n">
        <f aca="false">ROUNDUP(SUMIF($D$10:$D$26,$A120,H$91:H$107),0)</f>
        <v>51</v>
      </c>
      <c r="I120" s="13" t="n">
        <f aca="false">ROUNDUP(SUMIF($D$10:$D$26,$A120,I$91:I$107),0)</f>
        <v>69</v>
      </c>
      <c r="J120" s="13" t="n">
        <f aca="false">ROUNDUP(SUMIF($D$10:$D$26,$A120,J$91:J$107),0)</f>
        <v>85</v>
      </c>
      <c r="K120" s="13" t="n">
        <f aca="false">ROUNDUP(SUMIF($D$10:$D$26,$A120,K$91:K$107),0)</f>
        <v>103</v>
      </c>
    </row>
    <row r="121" customFormat="false" ht="15" hidden="false" customHeight="false" outlineLevel="0" collapsed="false">
      <c r="A121" s="4" t="s">
        <v>17</v>
      </c>
      <c r="B121" s="13" t="n">
        <f aca="false">ROUNDUP(SUMIF($D$10:$D$26,$A121,B$91:B$107),0)</f>
        <v>1</v>
      </c>
      <c r="C121" s="13" t="n">
        <f aca="false">ROUNDUP(SUMIF($D$10:$D$26,$A121,C$91:C$107),0)</f>
        <v>1</v>
      </c>
      <c r="D121" s="13" t="n">
        <f aca="false">ROUNDUP(SUMIF($D$10:$D$26,$A121,D$91:D$107),0)</f>
        <v>2</v>
      </c>
      <c r="E121" s="13" t="n">
        <f aca="false">ROUNDUP(SUMIF($D$10:$D$26,$A121,E$91:E$107),0)</f>
        <v>25</v>
      </c>
      <c r="F121" s="13" t="n">
        <f aca="false">ROUNDUP(SUMIF($D$10:$D$26,$A121,F$91:F$107),0)</f>
        <v>96</v>
      </c>
      <c r="G121" s="13" t="n">
        <f aca="false">ROUNDUP(SUMIF($D$10:$D$26,$A121,G$91:G$107),0)</f>
        <v>222</v>
      </c>
      <c r="H121" s="13" t="n">
        <f aca="false">ROUNDUP(SUMIF($D$10:$D$26,$A121,H$91:H$107),0)</f>
        <v>387</v>
      </c>
      <c r="I121" s="13" t="n">
        <f aca="false">ROUNDUP(SUMIF($D$10:$D$26,$A121,I$91:I$107),0)</f>
        <v>535</v>
      </c>
      <c r="J121" s="13" t="n">
        <f aca="false">ROUNDUP(SUMIF($D$10:$D$26,$A121,J$91:J$107),0)</f>
        <v>653</v>
      </c>
      <c r="K121" s="13" t="n">
        <f aca="false">ROUNDUP(SUMIF($D$10:$D$26,$A121,K$91:K$107),0)</f>
        <v>780</v>
      </c>
    </row>
    <row r="122" customFormat="false" ht="15" hidden="false" customHeight="false" outlineLevel="0" collapsed="false">
      <c r="A122" s="4" t="s">
        <v>19</v>
      </c>
      <c r="B122" s="13" t="n">
        <f aca="false">ROUNDUP(SUMIF($D$10:$D$26,$A122,B$91:B$107),0)</f>
        <v>1</v>
      </c>
      <c r="C122" s="13" t="n">
        <f aca="false">ROUNDUP(SUMIF($D$10:$D$26,$A122,C$91:C$107),0)</f>
        <v>1</v>
      </c>
      <c r="D122" s="13" t="n">
        <f aca="false">ROUNDUP(SUMIF($D$10:$D$26,$A122,D$91:D$107),0)</f>
        <v>1</v>
      </c>
      <c r="E122" s="13" t="n">
        <f aca="false">ROUNDUP(SUMIF($D$10:$D$26,$A122,E$91:E$107),0)</f>
        <v>7</v>
      </c>
      <c r="F122" s="13" t="n">
        <f aca="false">ROUNDUP(SUMIF($D$10:$D$26,$A122,F$91:F$107),0)</f>
        <v>24</v>
      </c>
      <c r="G122" s="13" t="n">
        <f aca="false">ROUNDUP(SUMIF($D$10:$D$26,$A122,G$91:G$107),0)</f>
        <v>56</v>
      </c>
      <c r="H122" s="13" t="n">
        <f aca="false">ROUNDUP(SUMIF($D$10:$D$26,$A122,H$91:H$107),0)</f>
        <v>97</v>
      </c>
      <c r="I122" s="13" t="n">
        <f aca="false">ROUNDUP(SUMIF($D$10:$D$26,$A122,I$91:I$107),0)</f>
        <v>134</v>
      </c>
      <c r="J122" s="13" t="n">
        <f aca="false">ROUNDUP(SUMIF($D$10:$D$26,$A122,J$91:J$107),0)</f>
        <v>164</v>
      </c>
      <c r="K122" s="13" t="n">
        <f aca="false">ROUNDUP(SUMIF($D$10:$D$26,$A122,K$91:K$107),0)</f>
        <v>195</v>
      </c>
    </row>
    <row r="123" customFormat="false" ht="15" hidden="false" customHeight="false" outlineLevel="0" collapsed="false">
      <c r="A123" s="6" t="s">
        <v>132</v>
      </c>
      <c r="B123" s="7" t="n">
        <f aca="false">SUM(B111:B122)</f>
        <v>19</v>
      </c>
      <c r="C123" s="7" t="n">
        <f aca="false">SUM(C111:C122)</f>
        <v>47</v>
      </c>
      <c r="D123" s="7" t="n">
        <f aca="false">SUM(D111:D122)</f>
        <v>98</v>
      </c>
      <c r="E123" s="7" t="n">
        <f aca="false">SUM(E111:E122)</f>
        <v>1180</v>
      </c>
      <c r="F123" s="7" t="n">
        <f aca="false">SUM(F111:F122)</f>
        <v>4817</v>
      </c>
      <c r="G123" s="7" t="n">
        <f aca="false">SUM(G111:G122)</f>
        <v>11319</v>
      </c>
      <c r="H123" s="7" t="n">
        <f aca="false">SUM(H111:H122)</f>
        <v>19758</v>
      </c>
      <c r="I123" s="7" t="n">
        <f aca="false">SUM(I111:I122)</f>
        <v>27088</v>
      </c>
      <c r="J123" s="7" t="n">
        <f aca="false">SUM(J111:J122)</f>
        <v>32990</v>
      </c>
      <c r="K123" s="7" t="n">
        <f aca="false">SUM(K111:K122)</f>
        <v>39330</v>
      </c>
    </row>
    <row r="125" customFormat="false" ht="15" hidden="false" customHeight="false" outlineLevel="0" collapsed="false">
      <c r="A125" s="1" t="s">
        <v>325</v>
      </c>
    </row>
    <row r="126" customFormat="false" ht="15" hidden="false" customHeight="false" outlineLevel="0" collapsed="false">
      <c r="A126" s="3" t="s">
        <v>315</v>
      </c>
      <c r="B126" s="3" t="n">
        <v>2026</v>
      </c>
      <c r="C126" s="3" t="n">
        <v>2027</v>
      </c>
      <c r="D126" s="3" t="n">
        <v>2028</v>
      </c>
      <c r="E126" s="3" t="n">
        <v>2029</v>
      </c>
      <c r="F126" s="3" t="n">
        <v>2030</v>
      </c>
      <c r="G126" s="3" t="n">
        <v>2031</v>
      </c>
      <c r="H126" s="3" t="n">
        <v>2032</v>
      </c>
      <c r="I126" s="3" t="n">
        <v>2033</v>
      </c>
      <c r="J126" s="3" t="n">
        <v>2034</v>
      </c>
      <c r="K126" s="3" t="n">
        <v>2035</v>
      </c>
    </row>
    <row r="127" customFormat="false" ht="15" hidden="false" customHeight="false" outlineLevel="0" collapsed="false">
      <c r="A127" s="4" t="s">
        <v>5</v>
      </c>
      <c r="B127" s="23" t="n">
        <f aca="false">SUMPRODUCT(($D$10:$D$26=$A127)*$C$10:$C$26*datos_base!B$2:B$18*B$71:B$87)/(12*$B$6)</f>
        <v>6.76291208122454</v>
      </c>
      <c r="C127" s="23" t="n">
        <f aca="false">SUMPRODUCT(($D$10:$D$26=$A127)*$C$10:$C$26*datos_base!C$2:C$18*C$71:C$87)/(12*$B$6)</f>
        <v>27.1064229268632</v>
      </c>
      <c r="D127" s="23" t="n">
        <f aca="false">SUMPRODUCT(($D$10:$D$26=$A127)*$C$10:$C$26*datos_base!D$2:D$18*D$71:D$87)/(12*$B$6)</f>
        <v>61.4578898381692</v>
      </c>
      <c r="E127" s="23" t="n">
        <f aca="false">SUMPRODUCT(($D$10:$D$26=$A127)*$C$10:$C$26*datos_base!E$2:E$18*E$71:E$87)/(12*$B$6)</f>
        <v>897.774629126574</v>
      </c>
      <c r="F127" s="23" t="n">
        <f aca="false">SUMPRODUCT(($D$10:$D$26=$A127)*$C$10:$C$26*datos_base!F$2:F$18*F$71:F$87)/(12*$B$6)</f>
        <v>3474.92243378546</v>
      </c>
      <c r="G127" s="23" t="n">
        <f aca="false">SUMPRODUCT(($D$10:$D$26=$A127)*$C$10:$C$26*datos_base!G$2:G$18*G$71:G$87)/(12*$B$6)</f>
        <v>8054.42456343949</v>
      </c>
      <c r="H127" s="23" t="n">
        <f aca="false">SUMPRODUCT(($D$10:$D$26=$A127)*$C$10:$C$26*datos_base!H$2:H$18*H$71:H$87)/(12*$B$6)</f>
        <v>13960.2905962364</v>
      </c>
      <c r="I127" s="23" t="n">
        <f aca="false">SUMPRODUCT(($D$10:$D$26=$A127)*$C$10:$C$26*datos_base!I$2:I$18*I$71:I$87)/(12*$B$6)</f>
        <v>19064.7967342637</v>
      </c>
      <c r="J127" s="23" t="n">
        <f aca="false">SUMPRODUCT(($D$10:$D$26=$A127)*$C$10:$C$26*datos_base!J$2:J$18*J$71:J$87)/(12*$B$6)</f>
        <v>23149.931130947</v>
      </c>
      <c r="K127" s="23" t="n">
        <f aca="false">SUMPRODUCT(($D$10:$D$26=$A127)*$C$10:$C$26*datos_base!K$2:K$18*K$71:K$87)/(12*$B$6)</f>
        <v>27536.4268720782</v>
      </c>
    </row>
    <row r="128" customFormat="false" ht="15" hidden="false" customHeight="false" outlineLevel="0" collapsed="false">
      <c r="A128" s="4" t="s">
        <v>6</v>
      </c>
      <c r="B128" s="23" t="n">
        <f aca="false">SUMPRODUCT(($D$10:$D$26=$A128)*$C$10:$C$26*datos_base!B$2:B$18*B$71:B$87)/(12*$B$6)</f>
        <v>0.350969487717949</v>
      </c>
      <c r="C128" s="23" t="n">
        <f aca="false">SUMPRODUCT(($D$10:$D$26=$A128)*$C$10:$C$26*datos_base!C$2:C$18*C$71:C$87)/(12*$B$6)</f>
        <v>1.29812783797538</v>
      </c>
      <c r="D128" s="23" t="n">
        <f aca="false">SUMPRODUCT(($D$10:$D$26=$A128)*$C$10:$C$26*datos_base!D$2:D$18*D$71:D$87)/(12*$B$6)</f>
        <v>3.03974858444573</v>
      </c>
      <c r="E128" s="23" t="n">
        <f aca="false">SUMPRODUCT(($D$10:$D$26=$A128)*$C$10:$C$26*datos_base!E$2:E$18*E$71:E$87)/(12*$B$6)</f>
        <v>45.0918156793809</v>
      </c>
      <c r="F128" s="23" t="n">
        <f aca="false">SUMPRODUCT(($D$10:$D$26=$A128)*$C$10:$C$26*datos_base!F$2:F$18*F$71:F$87)/(12*$B$6)</f>
        <v>175.726033522757</v>
      </c>
      <c r="G128" s="23" t="n">
        <f aca="false">SUMPRODUCT(($D$10:$D$26=$A128)*$C$10:$C$26*datos_base!G$2:G$18*G$71:G$87)/(12*$B$6)</f>
        <v>410.591855219334</v>
      </c>
      <c r="H128" s="23" t="n">
        <f aca="false">SUMPRODUCT(($D$10:$D$26=$A128)*$C$10:$C$26*datos_base!H$2:H$18*H$71:H$87)/(12*$B$6)</f>
        <v>711.303316674985</v>
      </c>
      <c r="I128" s="23" t="n">
        <f aca="false">SUMPRODUCT(($D$10:$D$26=$A128)*$C$10:$C$26*datos_base!I$2:I$18*I$71:I$87)/(12*$B$6)</f>
        <v>970.050723863664</v>
      </c>
      <c r="J128" s="23" t="n">
        <f aca="false">SUMPRODUCT(($D$10:$D$26=$A128)*$C$10:$C$26*datos_base!J$2:J$18*J$71:J$87)/(12*$B$6)</f>
        <v>1177.51455816165</v>
      </c>
      <c r="K128" s="23" t="n">
        <f aca="false">SUMPRODUCT(($D$10:$D$26=$A128)*$C$10:$C$26*datos_base!K$2:K$18*K$71:K$87)/(12*$B$6)</f>
        <v>1400.24963196333</v>
      </c>
    </row>
    <row r="129" customFormat="false" ht="15" hidden="false" customHeight="false" outlineLevel="0" collapsed="false">
      <c r="A129" s="4" t="s">
        <v>7</v>
      </c>
      <c r="B129" s="23" t="n">
        <f aca="false">SUMPRODUCT(($D$10:$D$26=$A129)*$C$10:$C$26*datos_base!B$2:B$18*B$71:B$87)/(12*$B$6)</f>
        <v>0.472458927599196</v>
      </c>
      <c r="C129" s="23" t="n">
        <f aca="false">SUMPRODUCT(($D$10:$D$26=$A129)*$C$10:$C$26*datos_base!C$2:C$18*C$71:C$87)/(12*$B$6)</f>
        <v>1.90818911930477</v>
      </c>
      <c r="D129" s="23" t="n">
        <f aca="false">SUMPRODUCT(($D$10:$D$26=$A129)*$C$10:$C$26*datos_base!D$2:D$18*D$71:D$87)/(12*$B$6)</f>
        <v>4.37248990228051</v>
      </c>
      <c r="E129" s="23" t="n">
        <f aca="false">SUMPRODUCT(($D$10:$D$26=$A129)*$C$10:$C$26*datos_base!E$2:E$18*E$71:E$87)/(12*$B$6)</f>
        <v>34.641383112548</v>
      </c>
      <c r="F129" s="23" t="n">
        <f aca="false">SUMPRODUCT(($D$10:$D$26=$A129)*$C$10:$C$26*datos_base!F$2:F$18*F$71:F$87)/(12*$B$6)</f>
        <v>183.021443447757</v>
      </c>
      <c r="G129" s="23" t="n">
        <f aca="false">SUMPRODUCT(($D$10:$D$26=$A129)*$C$10:$C$26*datos_base!G$2:G$18*G$71:G$87)/(12*$B$6)</f>
        <v>455.915442635931</v>
      </c>
      <c r="H129" s="23" t="n">
        <f aca="false">SUMPRODUCT(($D$10:$D$26=$A129)*$C$10:$C$26*datos_base!H$2:H$18*H$71:H$87)/(12*$B$6)</f>
        <v>813.154983604683</v>
      </c>
      <c r="I129" s="23" t="n">
        <f aca="false">SUMPRODUCT(($D$10:$D$26=$A129)*$C$10:$C$26*datos_base!I$2:I$18*I$71:I$87)/(12*$B$6)</f>
        <v>1127.02285570592</v>
      </c>
      <c r="J129" s="23" t="n">
        <f aca="false">SUMPRODUCT(($D$10:$D$26=$A129)*$C$10:$C$26*datos_base!J$2:J$18*J$71:J$87)/(12*$B$6)</f>
        <v>1383.76221755875</v>
      </c>
      <c r="K129" s="23" t="n">
        <f aca="false">SUMPRODUCT(($D$10:$D$26=$A129)*$C$10:$C$26*datos_base!K$2:K$18*K$71:K$87)/(12*$B$6)</f>
        <v>1659.21441005585</v>
      </c>
    </row>
    <row r="130" customFormat="false" ht="15" hidden="false" customHeight="false" outlineLevel="0" collapsed="false">
      <c r="A130" s="4" t="s">
        <v>8</v>
      </c>
      <c r="B130" s="23" t="n">
        <f aca="false">SUMPRODUCT(($D$10:$D$26=$A130)*$C$10:$C$26*datos_base!B$2:B$18*B$71:B$87)/(12*$B$6)</f>
        <v>0.0674941329378396</v>
      </c>
      <c r="C130" s="23" t="n">
        <f aca="false">SUMPRODUCT(($D$10:$D$26=$A130)*$C$10:$C$26*datos_base!C$2:C$18*C$71:C$87)/(12*$B$6)</f>
        <v>0.478411094306335</v>
      </c>
      <c r="D130" s="23" t="n">
        <f aca="false">SUMPRODUCT(($D$10:$D$26=$A130)*$C$10:$C$26*datos_base!D$2:D$18*D$71:D$87)/(12*$B$6)</f>
        <v>0.938956254659272</v>
      </c>
      <c r="E130" s="23" t="n">
        <f aca="false">SUMPRODUCT(($D$10:$D$26=$A130)*$C$10:$C$26*datos_base!E$2:E$18*E$71:E$87)/(12*$B$6)</f>
        <v>6.60401276910167</v>
      </c>
      <c r="F130" s="23" t="n">
        <f aca="false">SUMPRODUCT(($D$10:$D$26=$A130)*$C$10:$C$26*datos_base!F$2:F$18*F$71:F$87)/(12*$B$6)</f>
        <v>34.1051015053818</v>
      </c>
      <c r="G130" s="23" t="n">
        <f aca="false">SUMPRODUCT(($D$10:$D$26=$A130)*$C$10:$C$26*datos_base!G$2:G$18*G$71:G$87)/(12*$B$6)</f>
        <v>82.273120574552</v>
      </c>
      <c r="H130" s="23" t="n">
        <f aca="false">SUMPRODUCT(($D$10:$D$26=$A130)*$C$10:$C$26*datos_base!H$2:H$18*H$71:H$87)/(12*$B$6)</f>
        <v>148.59754091334</v>
      </c>
      <c r="I130" s="23" t="n">
        <f aca="false">SUMPRODUCT(($D$10:$D$26=$A130)*$C$10:$C$26*datos_base!I$2:I$18*I$71:I$87)/(12*$B$6)</f>
        <v>209.537997398625</v>
      </c>
      <c r="J130" s="23" t="n">
        <f aca="false">SUMPRODUCT(($D$10:$D$26=$A130)*$C$10:$C$26*datos_base!J$2:J$18*J$71:J$87)/(12*$B$6)</f>
        <v>260.27516285307</v>
      </c>
      <c r="K130" s="23" t="n">
        <f aca="false">SUMPRODUCT(($D$10:$D$26=$A130)*$C$10:$C$26*datos_base!K$2:K$18*K$71:K$87)/(12*$B$6)</f>
        <v>315.012530385462</v>
      </c>
    </row>
    <row r="131" customFormat="false" ht="15" hidden="false" customHeight="false" outlineLevel="0" collapsed="false">
      <c r="A131" s="4" t="s">
        <v>9</v>
      </c>
      <c r="B131" s="23" t="n">
        <f aca="false">SUMPRODUCT(($D$10:$D$26=$A131)*$C$10:$C$26*datos_base!B$2:B$18*B$71:B$87)/(12*$B$6)</f>
        <v>0.0337470649860792</v>
      </c>
      <c r="C131" s="23" t="n">
        <f aca="false">SUMPRODUCT(($D$10:$D$26=$A131)*$C$10:$C$26*datos_base!C$2:C$18*C$71:C$87)/(12*$B$6)</f>
        <v>0.246814430881118</v>
      </c>
      <c r="D131" s="23" t="n">
        <f aca="false">SUMPRODUCT(($D$10:$D$26=$A131)*$C$10:$C$26*datos_base!D$2:D$18*D$71:D$87)/(12*$B$6)</f>
        <v>0.487747304959423</v>
      </c>
      <c r="E131" s="23" t="n">
        <f aca="false">SUMPRODUCT(($D$10:$D$26=$A131)*$C$10:$C$26*datos_base!E$2:E$18*E$71:E$87)/(12*$B$6)</f>
        <v>3.52294172825214</v>
      </c>
      <c r="F131" s="23" t="n">
        <f aca="false">SUMPRODUCT(($D$10:$D$26=$A131)*$C$10:$C$26*datos_base!F$2:F$18*F$71:F$87)/(12*$B$6)</f>
        <v>18.2909555638872</v>
      </c>
      <c r="G131" s="23" t="n">
        <f aca="false">SUMPRODUCT(($D$10:$D$26=$A131)*$C$10:$C$26*datos_base!G$2:G$18*G$71:G$87)/(12*$B$6)</f>
        <v>43.9639563925325</v>
      </c>
      <c r="H131" s="23" t="n">
        <f aca="false">SUMPRODUCT(($D$10:$D$26=$A131)*$C$10:$C$26*datos_base!H$2:H$18*H$71:H$87)/(12*$B$6)</f>
        <v>78.2277055482803</v>
      </c>
      <c r="I131" s="23" t="n">
        <f aca="false">SUMPRODUCT(($D$10:$D$26=$A131)*$C$10:$C$26*datos_base!I$2:I$18*I$71:I$87)/(12*$B$6)</f>
        <v>110.252237702479</v>
      </c>
      <c r="J131" s="23" t="n">
        <f aca="false">SUMPRODUCT(($D$10:$D$26=$A131)*$C$10:$C$26*datos_base!J$2:J$18*J$71:J$87)/(12*$B$6)</f>
        <v>136.238925304881</v>
      </c>
      <c r="K131" s="23" t="n">
        <f aca="false">SUMPRODUCT(($D$10:$D$26=$A131)*$C$10:$C$26*datos_base!K$2:K$18*K$71:K$87)/(12*$B$6)</f>
        <v>164.207293429606</v>
      </c>
    </row>
    <row r="132" customFormat="false" ht="15" hidden="false" customHeight="false" outlineLevel="0" collapsed="false">
      <c r="A132" s="4" t="s">
        <v>10</v>
      </c>
      <c r="B132" s="23" t="n">
        <f aca="false">SUMPRODUCT(($D$10:$D$26=$A132)*$C$10:$C$26*datos_base!B$2:B$18*B$71:B$87)/(12*$B$6)</f>
        <v>0.0202482389916475</v>
      </c>
      <c r="C132" s="23" t="n">
        <f aca="false">SUMPRODUCT(($D$10:$D$26=$A132)*$C$10:$C$26*datos_base!C$2:C$18*C$71:C$87)/(12*$B$6)</f>
        <v>0.139603844539177</v>
      </c>
      <c r="D132" s="23" t="n">
        <f aca="false">SUMPRODUCT(($D$10:$D$26=$A132)*$C$10:$C$26*datos_base!D$2:D$18*D$71:D$87)/(12*$B$6)</f>
        <v>0.263618443357683</v>
      </c>
      <c r="E132" s="23" t="n">
        <f aca="false">SUMPRODUCT(($D$10:$D$26=$A132)*$C$10:$C$26*datos_base!E$2:E$18*E$71:E$87)/(12*$B$6)</f>
        <v>3.66875165443037</v>
      </c>
      <c r="F132" s="23" t="n">
        <f aca="false">SUMPRODUCT(($D$10:$D$26=$A132)*$C$10:$C$26*datos_base!F$2:F$18*F$71:F$87)/(12*$B$6)</f>
        <v>13.5761789468099</v>
      </c>
      <c r="G132" s="23" t="n">
        <f aca="false">SUMPRODUCT(($D$10:$D$26=$A132)*$C$10:$C$26*datos_base!G$2:G$18*G$71:G$87)/(12*$B$6)</f>
        <v>31.4506821778191</v>
      </c>
      <c r="H132" s="23" t="n">
        <f aca="false">SUMPRODUCT(($D$10:$D$26=$A132)*$C$10:$C$26*datos_base!H$2:H$18*H$71:H$87)/(12*$B$6)</f>
        <v>56.2560444370313</v>
      </c>
      <c r="I132" s="23" t="n">
        <f aca="false">SUMPRODUCT(($D$10:$D$26=$A132)*$C$10:$C$26*datos_base!I$2:I$18*I$71:I$87)/(12*$B$6)</f>
        <v>76.7114496524871</v>
      </c>
      <c r="J132" s="23" t="n">
        <f aca="false">SUMPRODUCT(($D$10:$D$26=$A132)*$C$10:$C$26*datos_base!J$2:J$18*J$71:J$87)/(12*$B$6)</f>
        <v>94.2135066910663</v>
      </c>
      <c r="K132" s="23" t="n">
        <f aca="false">SUMPRODUCT(($D$10:$D$26=$A132)*$C$10:$C$26*datos_base!K$2:K$18*K$71:K$87)/(12*$B$6)</f>
        <v>113.096748112657</v>
      </c>
    </row>
    <row r="133" customFormat="false" ht="15" hidden="false" customHeight="false" outlineLevel="0" collapsed="false">
      <c r="A133" s="4" t="s">
        <v>11</v>
      </c>
      <c r="B133" s="23" t="n">
        <f aca="false">SUMPRODUCT(($D$10:$D$26=$A133)*$C$10:$C$26*datos_base!B$2:B$18*B$71:B$87)/(12*$B$6)</f>
        <v>0.242978876796814</v>
      </c>
      <c r="C133" s="23" t="n">
        <f aca="false">SUMPRODUCT(($D$10:$D$26=$A133)*$C$10:$C$26*datos_base!C$2:C$18*C$71:C$87)/(12*$B$6)</f>
        <v>0.994686087718996</v>
      </c>
      <c r="D133" s="23" t="n">
        <f aca="false">SUMPRODUCT(($D$10:$D$26=$A133)*$C$10:$C$26*datos_base!D$2:D$18*D$71:D$87)/(12*$B$6)</f>
        <v>2.21417271638667</v>
      </c>
      <c r="E133" s="23" t="n">
        <f aca="false">SUMPRODUCT(($D$10:$D$26=$A133)*$C$10:$C$26*datos_base!E$2:E$18*E$71:E$87)/(12*$B$6)</f>
        <v>17.0160853659792</v>
      </c>
      <c r="F133" s="23" t="n">
        <f aca="false">SUMPRODUCT(($D$10:$D$26=$A133)*$C$10:$C$26*datos_base!F$2:F$18*F$71:F$87)/(12*$B$6)</f>
        <v>89.9238760569114</v>
      </c>
      <c r="G133" s="23" t="n">
        <f aca="false">SUMPRODUCT(($D$10:$D$26=$A133)*$C$10:$C$26*datos_base!G$2:G$18*G$71:G$87)/(12*$B$6)</f>
        <v>222.033242694585</v>
      </c>
      <c r="H133" s="23" t="n">
        <f aca="false">SUMPRODUCT(($D$10:$D$26=$A133)*$C$10:$C$26*datos_base!H$2:H$18*H$71:H$87)/(12*$B$6)</f>
        <v>397.597044903975</v>
      </c>
      <c r="I133" s="23" t="n">
        <f aca="false">SUMPRODUCT(($D$10:$D$26=$A133)*$C$10:$C$26*datos_base!I$2:I$18*I$71:I$87)/(12*$B$6)</f>
        <v>554.772460586609</v>
      </c>
      <c r="J133" s="23" t="n">
        <f aca="false">SUMPRODUCT(($D$10:$D$26=$A133)*$C$10:$C$26*datos_base!J$2:J$18*J$71:J$87)/(12*$B$6)</f>
        <v>681.84517788628</v>
      </c>
      <c r="K133" s="23" t="n">
        <f aca="false">SUMPRODUCT(($D$10:$D$26=$A133)*$C$10:$C$26*datos_base!K$2:K$18*K$71:K$87)/(12*$B$6)</f>
        <v>818.249569013247</v>
      </c>
    </row>
    <row r="134" customFormat="false" ht="15" hidden="false" customHeight="false" outlineLevel="0" collapsed="false">
      <c r="A134" s="4" t="s">
        <v>13</v>
      </c>
      <c r="B134" s="23" t="n">
        <f aca="false">SUMPRODUCT(($D$10:$D$26=$A134)*$C$10:$C$26*datos_base!B$2:B$18*B$71:B$87)/(12*$B$6)</f>
        <v>1.70760155354059</v>
      </c>
      <c r="C134" s="23" t="n">
        <f aca="false">SUMPRODUCT(($D$10:$D$26=$A134)*$C$10:$C$26*datos_base!C$2:C$18*C$71:C$87)/(12*$B$6)</f>
        <v>6.94210179132636</v>
      </c>
      <c r="D134" s="23" t="n">
        <f aca="false">SUMPRODUCT(($D$10:$D$26=$A134)*$C$10:$C$26*datos_base!D$2:D$18*D$71:D$87)/(12*$B$6)</f>
        <v>15.8095234049809</v>
      </c>
      <c r="E134" s="23" t="n">
        <f aca="false">SUMPRODUCT(($D$10:$D$26=$A134)*$C$10:$C$26*datos_base!E$2:E$18*E$71:E$87)/(12*$B$6)</f>
        <v>125.489350785379</v>
      </c>
      <c r="F134" s="23" t="n">
        <f aca="false">SUMPRODUCT(($D$10:$D$26=$A134)*$C$10:$C$26*datos_base!F$2:F$18*F$71:F$87)/(12*$B$6)</f>
        <v>663.284958714575</v>
      </c>
      <c r="G134" s="23" t="n">
        <f aca="false">SUMPRODUCT(($D$10:$D$26=$A134)*$C$10:$C$26*datos_base!G$2:G$18*G$71:G$87)/(12*$B$6)</f>
        <v>1643.82701374543</v>
      </c>
      <c r="H134" s="23" t="n">
        <f aca="false">SUMPRODUCT(($D$10:$D$26=$A134)*$C$10:$C$26*datos_base!H$2:H$18*H$71:H$87)/(12*$B$6)</f>
        <v>2934.83822480215</v>
      </c>
      <c r="I134" s="23" t="n">
        <f aca="false">SUMPRODUCT(($D$10:$D$26=$A134)*$C$10:$C$26*datos_base!I$2:I$18*I$71:I$87)/(12*$B$6)</f>
        <v>4065.70253100039</v>
      </c>
      <c r="J134" s="23" t="n">
        <f aca="false">SUMPRODUCT(($D$10:$D$26=$A134)*$C$10:$C$26*datos_base!J$2:J$18*J$71:J$87)/(12*$B$6)</f>
        <v>4993.50931192064</v>
      </c>
      <c r="K134" s="23" t="n">
        <f aca="false">SUMPRODUCT(($D$10:$D$26=$A134)*$C$10:$C$26*datos_base!K$2:K$18*K$71:K$87)/(12*$B$6)</f>
        <v>5989.10432612915</v>
      </c>
    </row>
    <row r="135" customFormat="false" ht="15" hidden="false" customHeight="false" outlineLevel="0" collapsed="false">
      <c r="A135" s="4" t="s">
        <v>14</v>
      </c>
      <c r="B135" s="23" t="n">
        <f aca="false">SUMPRODUCT(($D$10:$D$26=$A135)*$C$10:$C$26*datos_base!B$2:B$18*B$71:B$87)/(12*$B$6)</f>
        <v>0.0539953069434079</v>
      </c>
      <c r="C135" s="23" t="n">
        <f aca="false">SUMPRODUCT(($D$10:$D$26=$A135)*$C$10:$C$26*datos_base!C$2:C$18*C$71:C$87)/(12*$B$6)</f>
        <v>0.332379085291776</v>
      </c>
      <c r="D135" s="23" t="n">
        <f aca="false">SUMPRODUCT(($D$10:$D$26=$A135)*$C$10:$C$26*datos_base!D$2:D$18*D$71:D$87)/(12*$B$6)</f>
        <v>0.684639495493837</v>
      </c>
      <c r="E135" s="23" t="n">
        <f aca="false">SUMPRODUCT(($D$10:$D$26=$A135)*$C$10:$C$26*datos_base!E$2:E$18*E$71:E$87)/(12*$B$6)</f>
        <v>5.01774019331262</v>
      </c>
      <c r="F135" s="23" t="n">
        <f aca="false">SUMPRODUCT(($D$10:$D$26=$A135)*$C$10:$C$26*datos_base!F$2:F$18*F$71:F$87)/(12*$B$6)</f>
        <v>26.3430191653822</v>
      </c>
      <c r="G135" s="23" t="n">
        <f aca="false">SUMPRODUCT(($D$10:$D$26=$A135)*$C$10:$C$26*datos_base!G$2:G$18*G$71:G$87)/(12*$B$6)</f>
        <v>64.455314821497</v>
      </c>
      <c r="H135" s="23" t="n">
        <f aca="false">SUMPRODUCT(($D$10:$D$26=$A135)*$C$10:$C$26*datos_base!H$2:H$18*H$71:H$87)/(12*$B$6)</f>
        <v>117.49707503538</v>
      </c>
      <c r="I135" s="23" t="n">
        <f aca="false">SUMPRODUCT(($D$10:$D$26=$A135)*$C$10:$C$26*datos_base!I$2:I$18*I$71:I$87)/(12*$B$6)</f>
        <v>166.225991004372</v>
      </c>
      <c r="J135" s="23" t="n">
        <f aca="false">SUMPRODUCT(($D$10:$D$26=$A135)*$C$10:$C$26*datos_base!J$2:J$18*J$71:J$87)/(12*$B$6)</f>
        <v>206.398117302412</v>
      </c>
      <c r="K135" s="23" t="n">
        <f aca="false">SUMPRODUCT(($D$10:$D$26=$A135)*$C$10:$C$26*datos_base!K$2:K$18*K$71:K$87)/(12*$B$6)</f>
        <v>249.730141969157</v>
      </c>
    </row>
    <row r="136" customFormat="false" ht="15" hidden="false" customHeight="false" outlineLevel="0" collapsed="false">
      <c r="A136" s="4" t="s">
        <v>15</v>
      </c>
      <c r="B136" s="23" t="n">
        <f aca="false">SUMPRODUCT(($D$10:$D$26=$A136)*$C$10:$C$26*datos_base!B$2:B$18*B$71:B$87)/(12*$B$6)</f>
        <v>0.0202482389916475</v>
      </c>
      <c r="C136" s="23" t="n">
        <f aca="false">SUMPRODUCT(($D$10:$D$26=$A136)*$C$10:$C$26*datos_base!C$2:C$18*C$71:C$87)/(12*$B$6)</f>
        <v>0.139603844539177</v>
      </c>
      <c r="D136" s="23" t="n">
        <f aca="false">SUMPRODUCT(($D$10:$D$26=$A136)*$C$10:$C$26*datos_base!D$2:D$18*D$71:D$87)/(12*$B$6)</f>
        <v>0.263618443357683</v>
      </c>
      <c r="E136" s="23" t="n">
        <f aca="false">SUMPRODUCT(($D$10:$D$26=$A136)*$C$10:$C$26*datos_base!E$2:E$18*E$71:E$87)/(12*$B$6)</f>
        <v>3.41060187129041</v>
      </c>
      <c r="F136" s="23" t="n">
        <f aca="false">SUMPRODUCT(($D$10:$D$26=$A136)*$C$10:$C$26*datos_base!F$2:F$18*F$71:F$87)/(12*$B$6)</f>
        <v>12.6762227678324</v>
      </c>
      <c r="G136" s="23" t="n">
        <f aca="false">SUMPRODUCT(($D$10:$D$26=$A136)*$C$10:$C$26*datos_base!G$2:G$18*G$71:G$87)/(12*$B$6)</f>
        <v>27.5601889159783</v>
      </c>
      <c r="H136" s="23" t="n">
        <f aca="false">SUMPRODUCT(($D$10:$D$26=$A136)*$C$10:$C$26*datos_base!H$2:H$18*H$71:H$87)/(12*$B$6)</f>
        <v>50.0902376711521</v>
      </c>
      <c r="I136" s="23" t="n">
        <f aca="false">SUMPRODUCT(($D$10:$D$26=$A136)*$C$10:$C$26*datos_base!I$2:I$18*I$71:I$87)/(12*$B$6)</f>
        <v>68.9163393918244</v>
      </c>
      <c r="J136" s="23" t="n">
        <f aca="false">SUMPRODUCT(($D$10:$D$26=$A136)*$C$10:$C$26*datos_base!J$2:J$18*J$71:J$87)/(12*$B$6)</f>
        <v>84.8931696303147</v>
      </c>
      <c r="K136" s="23" t="n">
        <f aca="false">SUMPRODUCT(($D$10:$D$26=$A136)*$C$10:$C$26*datos_base!K$2:K$18*K$71:K$87)/(12*$B$6)</f>
        <v>102.150939857449</v>
      </c>
    </row>
    <row r="137" customFormat="false" ht="15" hidden="false" customHeight="false" outlineLevel="0" collapsed="false">
      <c r="A137" s="4" t="s">
        <v>17</v>
      </c>
      <c r="B137" s="23" t="n">
        <f aca="false">SUMPRODUCT(($D$10:$D$26=$A137)*$C$10:$C$26*datos_base!B$2:B$18*B$71:B$87)/(12*$B$6)</f>
        <v>0.167385447669179</v>
      </c>
      <c r="C137" s="23" t="n">
        <f aca="false">SUMPRODUCT(($D$10:$D$26=$A137)*$C$10:$C$26*datos_base!C$2:C$18*C$71:C$87)/(12*$B$6)</f>
        <v>0.816039877255814</v>
      </c>
      <c r="D137" s="23" t="n">
        <f aca="false">SUMPRODUCT(($D$10:$D$26=$A137)*$C$10:$C$26*datos_base!D$2:D$18*D$71:D$87)/(12*$B$6)</f>
        <v>1.77342581517854</v>
      </c>
      <c r="E137" s="23" t="n">
        <f aca="false">SUMPRODUCT(($D$10:$D$26=$A137)*$C$10:$C$26*datos_base!E$2:E$18*E$71:E$87)/(12*$B$6)</f>
        <v>24.7738669594795</v>
      </c>
      <c r="F137" s="23" t="n">
        <f aca="false">SUMPRODUCT(($D$10:$D$26=$A137)*$C$10:$C$26*datos_base!F$2:F$18*F$71:F$87)/(12*$B$6)</f>
        <v>95.6911280115595</v>
      </c>
      <c r="G137" s="23" t="n">
        <f aca="false">SUMPRODUCT(($D$10:$D$26=$A137)*$C$10:$C$26*datos_base!G$2:G$18*G$71:G$87)/(12*$B$6)</f>
        <v>221.794416390188</v>
      </c>
      <c r="H137" s="23" t="n">
        <f aca="false">SUMPRODUCT(($D$10:$D$26=$A137)*$C$10:$C$26*datos_base!H$2:H$18*H$71:H$87)/(12*$B$6)</f>
        <v>386.756936818501</v>
      </c>
      <c r="I137" s="23" t="n">
        <f aca="false">SUMPRODUCT(($D$10:$D$26=$A137)*$C$10:$C$26*datos_base!I$2:I$18*I$71:I$87)/(12*$B$6)</f>
        <v>534.746095973125</v>
      </c>
      <c r="J137" s="23" t="n">
        <f aca="false">SUMPRODUCT(($D$10:$D$26=$A137)*$C$10:$C$26*datos_base!J$2:J$18*J$71:J$87)/(12*$B$6)</f>
        <v>652.841836529863</v>
      </c>
      <c r="K137" s="23" t="n">
        <f aca="false">SUMPRODUCT(($D$10:$D$26=$A137)*$C$10:$C$26*datos_base!K$2:K$18*K$71:K$87)/(12*$B$6)</f>
        <v>779.946628487782</v>
      </c>
    </row>
    <row r="138" customFormat="false" ht="15" hidden="false" customHeight="false" outlineLevel="0" collapsed="false">
      <c r="A138" s="4" t="s">
        <v>19</v>
      </c>
      <c r="B138" s="23" t="n">
        <f aca="false">SUMPRODUCT(($D$10:$D$26=$A138)*$C$10:$C$26*datos_base!B$2:B$18*B$71:B$87)/(12*$B$6)</f>
        <v>0.0418463611758744</v>
      </c>
      <c r="C138" s="23" t="n">
        <f aca="false">SUMPRODUCT(($D$10:$D$26=$A138)*$C$10:$C$26*datos_base!C$2:C$18*C$71:C$87)/(12*$B$6)</f>
        <v>0.204009967831113</v>
      </c>
      <c r="D138" s="23" t="n">
        <f aca="false">SUMPRODUCT(($D$10:$D$26=$A138)*$C$10:$C$26*datos_base!D$2:D$18*D$71:D$87)/(12*$B$6)</f>
        <v>0.443356454536056</v>
      </c>
      <c r="E138" s="23" t="n">
        <f aca="false">SUMPRODUCT(($D$10:$D$26=$A138)*$C$10:$C$26*datos_base!E$2:E$18*E$71:E$87)/(12*$B$6)</f>
        <v>6.19346674562017</v>
      </c>
      <c r="F138" s="23" t="n">
        <f aca="false">SUMPRODUCT(($D$10:$D$26=$A138)*$C$10:$C$26*datos_base!F$2:F$18*F$71:F$87)/(12*$B$6)</f>
        <v>23.9227819874481</v>
      </c>
      <c r="G138" s="23" t="n">
        <f aca="false">SUMPRODUCT(($D$10:$D$26=$A138)*$C$10:$C$26*datos_base!G$2:G$18*G$71:G$87)/(12*$B$6)</f>
        <v>55.448604070608</v>
      </c>
      <c r="H138" s="23" t="n">
        <f aca="false">SUMPRODUCT(($D$10:$D$26=$A138)*$C$10:$C$26*datos_base!H$2:H$18*H$71:H$87)/(12*$B$6)</f>
        <v>96.6892342427551</v>
      </c>
      <c r="I138" s="23" t="n">
        <f aca="false">SUMPRODUCT(($D$10:$D$26=$A138)*$C$10:$C$26*datos_base!I$2:I$18*I$71:I$87)/(12*$B$6)</f>
        <v>133.686523899366</v>
      </c>
      <c r="J138" s="23" t="n">
        <f aca="false">SUMPRODUCT(($D$10:$D$26=$A138)*$C$10:$C$26*datos_base!J$2:J$18*J$71:J$87)/(12*$B$6)</f>
        <v>163.210459185302</v>
      </c>
      <c r="K138" s="23" t="n">
        <f aca="false">SUMPRODUCT(($D$10:$D$26=$A138)*$C$10:$C$26*datos_base!K$2:K$18*K$71:K$87)/(12*$B$6)</f>
        <v>194.986657063465</v>
      </c>
    </row>
    <row r="139" customFormat="false" ht="15" hidden="false" customHeight="false" outlineLevel="0" collapsed="false">
      <c r="A139" s="6" t="s">
        <v>132</v>
      </c>
      <c r="B139" s="24" t="n">
        <f aca="false">SUM(B127:B138)</f>
        <v>9.94188571857477</v>
      </c>
      <c r="C139" s="24" t="n">
        <f aca="false">SUM(C127:C138)</f>
        <v>40.6063899078332</v>
      </c>
      <c r="D139" s="24" t="n">
        <f aca="false">SUM(D127:D138)</f>
        <v>91.7491866578055</v>
      </c>
      <c r="E139" s="24" t="n">
        <f aca="false">SUM(E127:E138)</f>
        <v>1173.20464599135</v>
      </c>
      <c r="F139" s="24" t="n">
        <f aca="false">SUM(F127:F138)</f>
        <v>4811.48413347576</v>
      </c>
      <c r="G139" s="24" t="n">
        <f aca="false">SUM(G127:G138)</f>
        <v>11313.7384010779</v>
      </c>
      <c r="H139" s="24" t="n">
        <f aca="false">SUM(H127:H138)</f>
        <v>19751.2989408887</v>
      </c>
      <c r="I139" s="24" t="n">
        <f aca="false">SUM(I127:I138)</f>
        <v>27082.4219404426</v>
      </c>
      <c r="J139" s="24" t="n">
        <f aca="false">SUM(J127:J138)</f>
        <v>32984.6335739712</v>
      </c>
      <c r="K139" s="24" t="n">
        <f aca="false">SUM(K127:K138)</f>
        <v>39322.3757485453</v>
      </c>
    </row>
    <row r="141" customFormat="false" ht="15" hidden="false" customHeight="false" outlineLevel="0" collapsed="false">
      <c r="A141" s="1" t="s">
        <v>326</v>
      </c>
    </row>
    <row r="142" customFormat="false" ht="15" hidden="false" customHeight="false" outlineLevel="0" collapsed="false">
      <c r="A142" s="3" t="s">
        <v>315</v>
      </c>
      <c r="B142" s="3" t="n">
        <v>2026</v>
      </c>
      <c r="C142" s="3" t="n">
        <v>2027</v>
      </c>
      <c r="D142" s="3" t="n">
        <v>2028</v>
      </c>
      <c r="E142" s="3" t="n">
        <v>2029</v>
      </c>
      <c r="F142" s="3" t="n">
        <v>2030</v>
      </c>
      <c r="G142" s="3" t="n">
        <v>2031</v>
      </c>
      <c r="H142" s="3" t="n">
        <v>2032</v>
      </c>
      <c r="I142" s="3" t="n">
        <v>2033</v>
      </c>
      <c r="J142" s="3" t="n">
        <v>2034</v>
      </c>
      <c r="K142" s="3" t="n">
        <v>2035</v>
      </c>
    </row>
    <row r="143" customFormat="false" ht="15" hidden="false" customHeight="false" outlineLevel="0" collapsed="false">
      <c r="A143" s="4" t="s">
        <v>5</v>
      </c>
      <c r="B143" s="13" t="n">
        <f aca="false">B111-B127</f>
        <v>0.237087918775462</v>
      </c>
      <c r="C143" s="13" t="n">
        <f aca="false">C111-C127</f>
        <v>0.893577073136829</v>
      </c>
      <c r="D143" s="13" t="n">
        <f aca="false">D111-D127</f>
        <v>0.54211016183082</v>
      </c>
      <c r="E143" s="13" t="n">
        <f aca="false">E111-E127</f>
        <v>0.225370873426073</v>
      </c>
      <c r="F143" s="13" t="n">
        <f aca="false">F111-F127</f>
        <v>0.0775662145451861</v>
      </c>
      <c r="G143" s="13" t="n">
        <f aca="false">G111-G127</f>
        <v>0.575436560510752</v>
      </c>
      <c r="H143" s="13" t="n">
        <f aca="false">H111-H127</f>
        <v>0.709403763565206</v>
      </c>
      <c r="I143" s="13" t="n">
        <f aca="false">I111-I127</f>
        <v>0.203265736265166</v>
      </c>
      <c r="J143" s="13" t="n">
        <f aca="false">J111-J127</f>
        <v>0.0688690529896121</v>
      </c>
      <c r="K143" s="13" t="n">
        <f aca="false">K111-K127</f>
        <v>0.573127921827108</v>
      </c>
    </row>
    <row r="144" customFormat="false" ht="15" hidden="false" customHeight="false" outlineLevel="0" collapsed="false">
      <c r="A144" s="4" t="s">
        <v>6</v>
      </c>
      <c r="B144" s="13" t="n">
        <f aca="false">B112-B128</f>
        <v>0.649030512282051</v>
      </c>
      <c r="C144" s="13" t="n">
        <f aca="false">C112-C128</f>
        <v>0.701872162024624</v>
      </c>
      <c r="D144" s="13" t="n">
        <f aca="false">D112-D128</f>
        <v>0.960251415554273</v>
      </c>
      <c r="E144" s="13" t="n">
        <f aca="false">E112-E128</f>
        <v>0.908184320619149</v>
      </c>
      <c r="F144" s="13" t="n">
        <f aca="false">F112-F128</f>
        <v>0.273966477242624</v>
      </c>
      <c r="G144" s="13" t="n">
        <f aca="false">G112-G128</f>
        <v>0.40814478066568</v>
      </c>
      <c r="H144" s="13" t="n">
        <f aca="false">H112-H128</f>
        <v>0.696683325015442</v>
      </c>
      <c r="I144" s="13" t="n">
        <f aca="false">I112-I128</f>
        <v>0.949276136335698</v>
      </c>
      <c r="J144" s="13" t="n">
        <f aca="false">J112-J128</f>
        <v>0.485441838352017</v>
      </c>
      <c r="K144" s="13" t="n">
        <f aca="false">K112-K128</f>
        <v>0.750368036666487</v>
      </c>
    </row>
    <row r="145" customFormat="false" ht="15" hidden="false" customHeight="false" outlineLevel="0" collapsed="false">
      <c r="A145" s="4" t="s">
        <v>7</v>
      </c>
      <c r="B145" s="13" t="n">
        <f aca="false">B113-B129</f>
        <v>0.527541072400804</v>
      </c>
      <c r="C145" s="13" t="n">
        <f aca="false">C113-C129</f>
        <v>0.0918108806952285</v>
      </c>
      <c r="D145" s="13" t="n">
        <f aca="false">D113-D129</f>
        <v>0.627510097719491</v>
      </c>
      <c r="E145" s="13" t="n">
        <f aca="false">E113-E129</f>
        <v>0.358616887451966</v>
      </c>
      <c r="F145" s="13" t="n">
        <f aca="false">F113-F129</f>
        <v>0.978556552242736</v>
      </c>
      <c r="G145" s="13" t="n">
        <f aca="false">G113-G129</f>
        <v>0.0845573640689281</v>
      </c>
      <c r="H145" s="13" t="n">
        <f aca="false">H113-H129</f>
        <v>0.845016395317202</v>
      </c>
      <c r="I145" s="13" t="n">
        <f aca="false">I113-I129</f>
        <v>0.977144294082791</v>
      </c>
      <c r="J145" s="13" t="n">
        <f aca="false">J113-J129</f>
        <v>0.237782441253103</v>
      </c>
      <c r="K145" s="13" t="n">
        <f aca="false">K113-K129</f>
        <v>0.785589944145841</v>
      </c>
    </row>
    <row r="146" customFormat="false" ht="15" hidden="false" customHeight="false" outlineLevel="0" collapsed="false">
      <c r="A146" s="4" t="s">
        <v>8</v>
      </c>
      <c r="B146" s="13" t="n">
        <f aca="false">B114-B130</f>
        <v>0.93250586706216</v>
      </c>
      <c r="C146" s="13" t="n">
        <f aca="false">C114-C130</f>
        <v>0.521588905693665</v>
      </c>
      <c r="D146" s="13" t="n">
        <f aca="false">D114-D130</f>
        <v>0.0610437453407281</v>
      </c>
      <c r="E146" s="13" t="n">
        <f aca="false">E114-E130</f>
        <v>0.395987230898334</v>
      </c>
      <c r="F146" s="13" t="n">
        <f aca="false">F114-F130</f>
        <v>0.894898494618253</v>
      </c>
      <c r="G146" s="13" t="n">
        <f aca="false">G114-G130</f>
        <v>0.726879425448004</v>
      </c>
      <c r="H146" s="13" t="n">
        <f aca="false">H114-H130</f>
        <v>0.402459086660343</v>
      </c>
      <c r="I146" s="13" t="n">
        <f aca="false">I114-I130</f>
        <v>0.462002601375474</v>
      </c>
      <c r="J146" s="13" t="n">
        <f aca="false">J114-J130</f>
        <v>0.724837146929758</v>
      </c>
      <c r="K146" s="13" t="n">
        <f aca="false">K114-K130</f>
        <v>0.987469614537645</v>
      </c>
    </row>
    <row r="147" customFormat="false" ht="15" hidden="false" customHeight="false" outlineLevel="0" collapsed="false">
      <c r="A147" s="4" t="s">
        <v>9</v>
      </c>
      <c r="B147" s="13" t="n">
        <f aca="false">B115-B131</f>
        <v>0.966252935013921</v>
      </c>
      <c r="C147" s="13" t="n">
        <f aca="false">C115-C131</f>
        <v>0.753185569118882</v>
      </c>
      <c r="D147" s="13" t="n">
        <f aca="false">D115-D131</f>
        <v>0.512252695040577</v>
      </c>
      <c r="E147" s="13" t="n">
        <f aca="false">E115-E131</f>
        <v>0.477058271747855</v>
      </c>
      <c r="F147" s="13" t="n">
        <f aca="false">F115-F131</f>
        <v>0.709044436112851</v>
      </c>
      <c r="G147" s="13" t="n">
        <f aca="false">G115-G131</f>
        <v>0.0360436074674695</v>
      </c>
      <c r="H147" s="13" t="n">
        <f aca="false">H115-H131</f>
        <v>0.772294451719731</v>
      </c>
      <c r="I147" s="13" t="n">
        <f aca="false">I115-I131</f>
        <v>0.747762297521092</v>
      </c>
      <c r="J147" s="13" t="n">
        <f aca="false">J115-J131</f>
        <v>0.761074695118595</v>
      </c>
      <c r="K147" s="13" t="n">
        <f aca="false">K115-K131</f>
        <v>0.792706570393932</v>
      </c>
    </row>
    <row r="148" customFormat="false" ht="15" hidden="false" customHeight="false" outlineLevel="0" collapsed="false">
      <c r="A148" s="4" t="s">
        <v>10</v>
      </c>
      <c r="B148" s="13" t="n">
        <f aca="false">B116-B132</f>
        <v>0.979751761008353</v>
      </c>
      <c r="C148" s="13" t="n">
        <f aca="false">C116-C132</f>
        <v>0.860396155460823</v>
      </c>
      <c r="D148" s="13" t="n">
        <f aca="false">D116-D132</f>
        <v>0.736381556642318</v>
      </c>
      <c r="E148" s="13" t="n">
        <f aca="false">E116-E132</f>
        <v>0.331248345569635</v>
      </c>
      <c r="F148" s="13" t="n">
        <f aca="false">F116-F132</f>
        <v>0.42382105319013</v>
      </c>
      <c r="G148" s="13" t="n">
        <f aca="false">G116-G132</f>
        <v>0.549317822180914</v>
      </c>
      <c r="H148" s="13" t="n">
        <f aca="false">H116-H132</f>
        <v>0.743955562968658</v>
      </c>
      <c r="I148" s="13" t="n">
        <f aca="false">I116-I132</f>
        <v>0.28855034751291</v>
      </c>
      <c r="J148" s="13" t="n">
        <f aca="false">J116-J132</f>
        <v>0.786493308933686</v>
      </c>
      <c r="K148" s="13" t="n">
        <f aca="false">K116-K132</f>
        <v>0.903251887343501</v>
      </c>
    </row>
    <row r="149" customFormat="false" ht="15" hidden="false" customHeight="false" outlineLevel="0" collapsed="false">
      <c r="A149" s="4" t="s">
        <v>11</v>
      </c>
      <c r="B149" s="13" t="n">
        <f aca="false">B117-B133</f>
        <v>0.757021123203186</v>
      </c>
      <c r="C149" s="13" t="n">
        <f aca="false">C117-C133</f>
        <v>0.00531391228100442</v>
      </c>
      <c r="D149" s="13" t="n">
        <f aca="false">D117-D133</f>
        <v>0.785827283613329</v>
      </c>
      <c r="E149" s="13" t="n">
        <f aca="false">E117-E133</f>
        <v>0.983914634020781</v>
      </c>
      <c r="F149" s="13" t="n">
        <f aca="false">F117-F133</f>
        <v>0.0761239430885894</v>
      </c>
      <c r="G149" s="13" t="n">
        <f aca="false">G117-G133</f>
        <v>0.966757305414518</v>
      </c>
      <c r="H149" s="13" t="n">
        <f aca="false">H117-H133</f>
        <v>0.402955096024925</v>
      </c>
      <c r="I149" s="13" t="n">
        <f aca="false">I117-I133</f>
        <v>0.227539413390787</v>
      </c>
      <c r="J149" s="13" t="n">
        <f aca="false">J117-J133</f>
        <v>0.154822113719774</v>
      </c>
      <c r="K149" s="13" t="n">
        <f aca="false">K117-K133</f>
        <v>0.750430986753031</v>
      </c>
    </row>
    <row r="150" customFormat="false" ht="15" hidden="false" customHeight="false" outlineLevel="0" collapsed="false">
      <c r="A150" s="4" t="s">
        <v>13</v>
      </c>
      <c r="B150" s="13" t="n">
        <f aca="false">B118-B134</f>
        <v>0.292398446459406</v>
      </c>
      <c r="C150" s="13" t="n">
        <f aca="false">C118-C134</f>
        <v>0.0578982086736373</v>
      </c>
      <c r="D150" s="13" t="n">
        <f aca="false">D118-D134</f>
        <v>0.190476595019053</v>
      </c>
      <c r="E150" s="13" t="n">
        <f aca="false">E118-E134</f>
        <v>0.510649214620784</v>
      </c>
      <c r="F150" s="13" t="n">
        <f aca="false">F118-F134</f>
        <v>0.715041285425059</v>
      </c>
      <c r="G150" s="13" t="n">
        <f aca="false">G118-G134</f>
        <v>0.172986254573516</v>
      </c>
      <c r="H150" s="13" t="n">
        <f aca="false">H118-H134</f>
        <v>0.161775197850147</v>
      </c>
      <c r="I150" s="13" t="n">
        <f aca="false">I118-I134</f>
        <v>0.297468999608554</v>
      </c>
      <c r="J150" s="13" t="n">
        <f aca="false">J118-J134</f>
        <v>0.490688079363281</v>
      </c>
      <c r="K150" s="13" t="n">
        <f aca="false">K118-K134</f>
        <v>0.895673870852079</v>
      </c>
    </row>
    <row r="151" customFormat="false" ht="15" hidden="false" customHeight="false" outlineLevel="0" collapsed="false">
      <c r="A151" s="4" t="s">
        <v>14</v>
      </c>
      <c r="B151" s="13" t="n">
        <f aca="false">B119-B135</f>
        <v>0.946004693056592</v>
      </c>
      <c r="C151" s="13" t="n">
        <f aca="false">C119-C135</f>
        <v>0.667620914708224</v>
      </c>
      <c r="D151" s="13" t="n">
        <f aca="false">D119-D135</f>
        <v>0.315360504506163</v>
      </c>
      <c r="E151" s="13" t="n">
        <f aca="false">E119-E135</f>
        <v>0.982259806687376</v>
      </c>
      <c r="F151" s="13" t="n">
        <f aca="false">F119-F135</f>
        <v>0.656980834617784</v>
      </c>
      <c r="G151" s="13" t="n">
        <f aca="false">G119-G135</f>
        <v>0.544685178503016</v>
      </c>
      <c r="H151" s="13" t="n">
        <f aca="false">H119-H135</f>
        <v>0.50292496462005</v>
      </c>
      <c r="I151" s="13" t="n">
        <f aca="false">I119-I135</f>
        <v>0.774008995627725</v>
      </c>
      <c r="J151" s="13" t="n">
        <f aca="false">J119-J135</f>
        <v>0.60188269758757</v>
      </c>
      <c r="K151" s="13" t="n">
        <f aca="false">K119-K135</f>
        <v>0.269858030843182</v>
      </c>
    </row>
    <row r="152" customFormat="false" ht="15" hidden="false" customHeight="false" outlineLevel="0" collapsed="false">
      <c r="A152" s="4" t="s">
        <v>15</v>
      </c>
      <c r="B152" s="13" t="n">
        <f aca="false">B120-B136</f>
        <v>0.979751761008353</v>
      </c>
      <c r="C152" s="13" t="n">
        <f aca="false">C120-C136</f>
        <v>0.860396155460823</v>
      </c>
      <c r="D152" s="13" t="n">
        <f aca="false">D120-D136</f>
        <v>0.736381556642318</v>
      </c>
      <c r="E152" s="13" t="n">
        <f aca="false">E120-E136</f>
        <v>0.589398128709594</v>
      </c>
      <c r="F152" s="13" t="n">
        <f aca="false">F120-F136</f>
        <v>0.323777232167611</v>
      </c>
      <c r="G152" s="13" t="n">
        <f aca="false">G120-G136</f>
        <v>0.439811084021699</v>
      </c>
      <c r="H152" s="13" t="n">
        <f aca="false">H120-H136</f>
        <v>0.909762328847869</v>
      </c>
      <c r="I152" s="13" t="n">
        <f aca="false">I120-I136</f>
        <v>0.0836606081756202</v>
      </c>
      <c r="J152" s="13" t="n">
        <f aca="false">J120-J136</f>
        <v>0.106830369685312</v>
      </c>
      <c r="K152" s="13" t="n">
        <f aca="false">K120-K136</f>
        <v>0.849060142550655</v>
      </c>
    </row>
    <row r="153" customFormat="false" ht="15" hidden="false" customHeight="false" outlineLevel="0" collapsed="false">
      <c r="A153" s="4" t="s">
        <v>17</v>
      </c>
      <c r="B153" s="13" t="n">
        <f aca="false">B121-B137</f>
        <v>0.832614552330821</v>
      </c>
      <c r="C153" s="13" t="n">
        <f aca="false">C121-C137</f>
        <v>0.183960122744186</v>
      </c>
      <c r="D153" s="13" t="n">
        <f aca="false">D121-D137</f>
        <v>0.226574184821459</v>
      </c>
      <c r="E153" s="13" t="n">
        <f aca="false">E121-E137</f>
        <v>0.226133040520534</v>
      </c>
      <c r="F153" s="13" t="n">
        <f aca="false">F121-F137</f>
        <v>0.308871988440529</v>
      </c>
      <c r="G153" s="13" t="n">
        <f aca="false">G121-G137</f>
        <v>0.205583609812322</v>
      </c>
      <c r="H153" s="13" t="n">
        <f aca="false">H121-H137</f>
        <v>0.243063181499508</v>
      </c>
      <c r="I153" s="13" t="n">
        <f aca="false">I121-I137</f>
        <v>0.25390402687492</v>
      </c>
      <c r="J153" s="13" t="n">
        <f aca="false">J121-J137</f>
        <v>0.158163470137083</v>
      </c>
      <c r="K153" s="13" t="n">
        <f aca="false">K121-K137</f>
        <v>0.0533715122184049</v>
      </c>
    </row>
    <row r="154" customFormat="false" ht="15" hidden="false" customHeight="false" outlineLevel="0" collapsed="false">
      <c r="A154" s="4" t="s">
        <v>19</v>
      </c>
      <c r="B154" s="13" t="n">
        <f aca="false">B122-B138</f>
        <v>0.958153638824126</v>
      </c>
      <c r="C154" s="13" t="n">
        <f aca="false">C122-C138</f>
        <v>0.795990032168887</v>
      </c>
      <c r="D154" s="13" t="n">
        <f aca="false">D122-D138</f>
        <v>0.556643545463945</v>
      </c>
      <c r="E154" s="13" t="n">
        <f aca="false">E122-E138</f>
        <v>0.806533254379828</v>
      </c>
      <c r="F154" s="13" t="n">
        <f aca="false">F122-F138</f>
        <v>0.07721801255191</v>
      </c>
      <c r="G154" s="13" t="n">
        <f aca="false">G122-G138</f>
        <v>0.551395929392037</v>
      </c>
      <c r="H154" s="13" t="n">
        <f aca="false">H122-H138</f>
        <v>0.310765757244937</v>
      </c>
      <c r="I154" s="13" t="n">
        <f aca="false">I122-I138</f>
        <v>0.313476100633721</v>
      </c>
      <c r="J154" s="13" t="n">
        <f aca="false">J122-J138</f>
        <v>0.789540814698142</v>
      </c>
      <c r="K154" s="13" t="n">
        <f aca="false">K122-K138</f>
        <v>0.0133429365352526</v>
      </c>
    </row>
    <row r="155" customFormat="false" ht="15" hidden="false" customHeight="false" outlineLevel="0" collapsed="false">
      <c r="A155" s="6" t="s">
        <v>132</v>
      </c>
      <c r="B155" s="7" t="n">
        <f aca="false">SUM(B143:B154)</f>
        <v>9.05811428142523</v>
      </c>
      <c r="C155" s="7" t="n">
        <f aca="false">SUM(C143:C154)</f>
        <v>6.39361009216681</v>
      </c>
      <c r="D155" s="7" t="n">
        <f aca="false">SUM(D143:D154)</f>
        <v>6.25081334219447</v>
      </c>
      <c r="E155" s="7" t="n">
        <f aca="false">SUM(E143:E154)</f>
        <v>6.79535400865191</v>
      </c>
      <c r="F155" s="7" t="n">
        <f aca="false">SUM(F143:F154)</f>
        <v>5.51586652424326</v>
      </c>
      <c r="G155" s="7" t="n">
        <f aca="false">SUM(G143:G154)</f>
        <v>5.26159892205886</v>
      </c>
      <c r="H155" s="7" t="n">
        <f aca="false">SUM(H143:H154)</f>
        <v>6.70105911133402</v>
      </c>
      <c r="I155" s="7" t="n">
        <f aca="false">SUM(I143:I154)</f>
        <v>5.57805955740446</v>
      </c>
      <c r="J155" s="7" t="n">
        <f aca="false">SUM(J143:J154)</f>
        <v>5.36642602876793</v>
      </c>
      <c r="K155" s="7" t="n">
        <f aca="false">SUM(K143:K154)</f>
        <v>7.62425145466712</v>
      </c>
    </row>
    <row r="157" customFormat="false" ht="15" hidden="false" customHeight="false" outlineLevel="0" collapsed="false">
      <c r="A157" s="1" t="s">
        <v>327</v>
      </c>
    </row>
    <row r="158" customFormat="false" ht="15" hidden="false" customHeight="false" outlineLevel="0" collapsed="false">
      <c r="A158" s="3" t="s">
        <v>315</v>
      </c>
      <c r="B158" s="3" t="n">
        <v>2026</v>
      </c>
      <c r="C158" s="3" t="n">
        <v>2027</v>
      </c>
      <c r="D158" s="3" t="n">
        <v>2028</v>
      </c>
      <c r="E158" s="3" t="n">
        <v>2029</v>
      </c>
      <c r="F158" s="3" t="n">
        <v>2030</v>
      </c>
      <c r="G158" s="3" t="n">
        <v>2031</v>
      </c>
      <c r="H158" s="3" t="n">
        <v>2032</v>
      </c>
      <c r="I158" s="3" t="n">
        <v>2033</v>
      </c>
      <c r="J158" s="3" t="n">
        <v>2034</v>
      </c>
      <c r="K158" s="3" t="n">
        <v>2035</v>
      </c>
    </row>
    <row r="159" customFormat="false" ht="15" hidden="false" customHeight="false" outlineLevel="0" collapsed="false">
      <c r="A159" s="4" t="s">
        <v>5</v>
      </c>
      <c r="B159" s="13" t="n">
        <f aca="false">B111</f>
        <v>7</v>
      </c>
      <c r="C159" s="13" t="n">
        <f aca="false">MAX(0,C111-B111)+B111*IF(INDEX($B$10:$B$26,MATCH($A159,$A$10:$A$26,0))="CO₂",parametros_recargas!$B$23,parametros_recargas!$B$24)</f>
        <v>21.56</v>
      </c>
      <c r="D159" s="13" t="n">
        <f aca="false">MAX(0,D111-C111)+C111*IF(INDEX($B$10:$B$26,MATCH($A159,$A$10:$A$26,0))="CO₂",parametros_recargas!$B$23,parametros_recargas!$B$24)</f>
        <v>36.24</v>
      </c>
      <c r="E159" s="13" t="n">
        <f aca="false">MAX(0,E111-D111)+D111*IF(INDEX($B$10:$B$26,MATCH($A159,$A$10:$A$26,0))="CO₂",parametros_recargas!$B$23,parametros_recargas!$B$24)</f>
        <v>840.96</v>
      </c>
      <c r="F159" s="13" t="n">
        <f aca="false">MAX(0,F111-E111)+E111*IF(INDEX($B$10:$B$26,MATCH($A159,$A$10:$A$26,0))="CO₂",parametros_recargas!$B$23,parametros_recargas!$B$24)</f>
        <v>2648.84</v>
      </c>
      <c r="G159" s="13" t="n">
        <f aca="false">MAX(0,G111-F111)+F111*IF(INDEX($B$10:$B$26,MATCH($A159,$A$10:$A$26,0))="CO₂",parametros_recargas!$B$23,parametros_recargas!$B$24)</f>
        <v>4858</v>
      </c>
      <c r="H159" s="13" t="n">
        <f aca="false">MAX(0,H111-G111)+G111*IF(INDEX($B$10:$B$26,MATCH($A159,$A$10:$A$26,0))="CO₂",parametros_recargas!$B$23,parametros_recargas!$B$24)</f>
        <v>6550.4</v>
      </c>
      <c r="I159" s="13" t="n">
        <f aca="false">MAX(0,I111-H111)+H111*IF(INDEX($B$10:$B$26,MATCH($A159,$A$10:$A$26,0))="CO₂",parametros_recargas!$B$23,parametros_recargas!$B$24)</f>
        <v>6220.88</v>
      </c>
      <c r="J159" s="13" t="n">
        <f aca="false">MAX(0,J111-I111)+I111*IF(INDEX($B$10:$B$26,MATCH($A159,$A$10:$A$26,0))="CO₂",parametros_recargas!$B$23,parametros_recargas!$B$24)</f>
        <v>5610.2</v>
      </c>
      <c r="K159" s="13" t="n">
        <f aca="false">MAX(0,K111-J111)+J111*IF(INDEX($B$10:$B$26,MATCH($A159,$A$10:$A$26,0))="CO₂",parametros_recargas!$B$23,parametros_recargas!$B$24)</f>
        <v>6239</v>
      </c>
    </row>
    <row r="160" customFormat="false" ht="15" hidden="false" customHeight="false" outlineLevel="0" collapsed="false">
      <c r="A160" s="4" t="s">
        <v>6</v>
      </c>
      <c r="B160" s="13" t="n">
        <f aca="false">B112</f>
        <v>1</v>
      </c>
      <c r="C160" s="13" t="n">
        <f aca="false">MAX(0,C112-B112)+B112*IF(INDEX($B$10:$B$26,MATCH($A160,$A$10:$A$26,0))="CO₂",parametros_recargas!$B$23,parametros_recargas!$B$24)</f>
        <v>1.08</v>
      </c>
      <c r="D160" s="13" t="n">
        <f aca="false">MAX(0,D112-C112)+C112*IF(INDEX($B$10:$B$26,MATCH($A160,$A$10:$A$26,0))="CO₂",parametros_recargas!$B$23,parametros_recargas!$B$24)</f>
        <v>2.16</v>
      </c>
      <c r="E160" s="13" t="n">
        <f aca="false">MAX(0,E112-D112)+D112*IF(INDEX($B$10:$B$26,MATCH($A160,$A$10:$A$26,0))="CO₂",parametros_recargas!$B$23,parametros_recargas!$B$24)</f>
        <v>42.32</v>
      </c>
      <c r="F160" s="13" t="n">
        <f aca="false">MAX(0,F112-E112)+E112*IF(INDEX($B$10:$B$26,MATCH($A160,$A$10:$A$26,0))="CO₂",parametros_recargas!$B$23,parametros_recargas!$B$24)</f>
        <v>133.68</v>
      </c>
      <c r="G160" s="13" t="n">
        <f aca="false">MAX(0,G112-F112)+F112*IF(INDEX($B$10:$B$26,MATCH($A160,$A$10:$A$26,0))="CO₂",parametros_recargas!$B$23,parametros_recargas!$B$24)</f>
        <v>249.08</v>
      </c>
      <c r="H160" s="13" t="n">
        <f aca="false">MAX(0,H112-G112)+G112*IF(INDEX($B$10:$B$26,MATCH($A160,$A$10:$A$26,0))="CO₂",parametros_recargas!$B$23,parametros_recargas!$B$24)</f>
        <v>333.88</v>
      </c>
      <c r="I160" s="13" t="n">
        <f aca="false">MAX(0,I112-H112)+H112*IF(INDEX($B$10:$B$26,MATCH($A160,$A$10:$A$26,0))="CO₂",parametros_recargas!$B$23,parametros_recargas!$B$24)</f>
        <v>315.96</v>
      </c>
      <c r="J160" s="13" t="n">
        <f aca="false">MAX(0,J112-I112)+I112*IF(INDEX($B$10:$B$26,MATCH($A160,$A$10:$A$26,0))="CO₂",parametros_recargas!$B$23,parametros_recargas!$B$24)</f>
        <v>284.68</v>
      </c>
      <c r="K160" s="13" t="n">
        <f aca="false">MAX(0,K112-J112)+J112*IF(INDEX($B$10:$B$26,MATCH($A160,$A$10:$A$26,0))="CO₂",parametros_recargas!$B$23,parametros_recargas!$B$24)</f>
        <v>317.24</v>
      </c>
    </row>
    <row r="161" customFormat="false" ht="15" hidden="false" customHeight="false" outlineLevel="0" collapsed="false">
      <c r="A161" s="4" t="s">
        <v>7</v>
      </c>
      <c r="B161" s="13" t="n">
        <f aca="false">B113</f>
        <v>1</v>
      </c>
      <c r="C161" s="13" t="n">
        <f aca="false">MAX(0,C113-B113)+B113*IF(INDEX($B$10:$B$26,MATCH($A161,$A$10:$A$26,0))="CO₂",parametros_recargas!$B$23,parametros_recargas!$B$24)</f>
        <v>1.08</v>
      </c>
      <c r="D161" s="13" t="n">
        <f aca="false">MAX(0,D113-C113)+C113*IF(INDEX($B$10:$B$26,MATCH($A161,$A$10:$A$26,0))="CO₂",parametros_recargas!$B$23,parametros_recargas!$B$24)</f>
        <v>3.16</v>
      </c>
      <c r="E161" s="13" t="n">
        <f aca="false">MAX(0,E113-D113)+D113*IF(INDEX($B$10:$B$26,MATCH($A161,$A$10:$A$26,0))="CO₂",parametros_recargas!$B$23,parametros_recargas!$B$24)</f>
        <v>30.4</v>
      </c>
      <c r="F161" s="13" t="n">
        <f aca="false">MAX(0,F113-E113)+E113*IF(INDEX($B$10:$B$26,MATCH($A161,$A$10:$A$26,0))="CO₂",parametros_recargas!$B$23,parametros_recargas!$B$24)</f>
        <v>151.8</v>
      </c>
      <c r="G161" s="13" t="n">
        <f aca="false">MAX(0,G113-F113)+F113*IF(INDEX($B$10:$B$26,MATCH($A161,$A$10:$A$26,0))="CO₂",parametros_recargas!$B$23,parametros_recargas!$B$24)</f>
        <v>286.72</v>
      </c>
      <c r="H161" s="13" t="n">
        <f aca="false">MAX(0,H113-G113)+G113*IF(INDEX($B$10:$B$26,MATCH($A161,$A$10:$A$26,0))="CO₂",parametros_recargas!$B$23,parametros_recargas!$B$24)</f>
        <v>394.48</v>
      </c>
      <c r="I161" s="13" t="n">
        <f aca="false">MAX(0,I113-H113)+H113*IF(INDEX($B$10:$B$26,MATCH($A161,$A$10:$A$26,0))="CO₂",parametros_recargas!$B$23,parametros_recargas!$B$24)</f>
        <v>379.12</v>
      </c>
      <c r="J161" s="13" t="n">
        <f aca="false">MAX(0,J113-I113)+I113*IF(INDEX($B$10:$B$26,MATCH($A161,$A$10:$A$26,0))="CO₂",parametros_recargas!$B$23,parametros_recargas!$B$24)</f>
        <v>346.24</v>
      </c>
      <c r="K161" s="13" t="n">
        <f aca="false">MAX(0,K113-J113)+J113*IF(INDEX($B$10:$B$26,MATCH($A161,$A$10:$A$26,0))="CO₂",parametros_recargas!$B$23,parametros_recargas!$B$24)</f>
        <v>386.72</v>
      </c>
    </row>
    <row r="162" customFormat="false" ht="15" hidden="false" customHeight="false" outlineLevel="0" collapsed="false">
      <c r="A162" s="4" t="s">
        <v>8</v>
      </c>
      <c r="B162" s="13" t="n">
        <f aca="false">B114</f>
        <v>1</v>
      </c>
      <c r="C162" s="13" t="n">
        <f aca="false">MAX(0,C114-B114)+B114*IF(INDEX($B$10:$B$26,MATCH($A162,$A$10:$A$26,0))="CO₂",parametros_recargas!$B$23,parametros_recargas!$B$24)</f>
        <v>0.08</v>
      </c>
      <c r="D162" s="13" t="n">
        <f aca="false">MAX(0,D114-C114)+C114*IF(INDEX($B$10:$B$26,MATCH($A162,$A$10:$A$26,0))="CO₂",parametros_recargas!$B$23,parametros_recargas!$B$24)</f>
        <v>0.08</v>
      </c>
      <c r="E162" s="13" t="n">
        <f aca="false">MAX(0,E114-D114)+D114*IF(INDEX($B$10:$B$26,MATCH($A162,$A$10:$A$26,0))="CO₂",parametros_recargas!$B$23,parametros_recargas!$B$24)</f>
        <v>6.08</v>
      </c>
      <c r="F162" s="13" t="n">
        <f aca="false">MAX(0,F114-E114)+E114*IF(INDEX($B$10:$B$26,MATCH($A162,$A$10:$A$26,0))="CO₂",parametros_recargas!$B$23,parametros_recargas!$B$24)</f>
        <v>28.56</v>
      </c>
      <c r="G162" s="13" t="n">
        <f aca="false">MAX(0,G114-F114)+F114*IF(INDEX($B$10:$B$26,MATCH($A162,$A$10:$A$26,0))="CO₂",parametros_recargas!$B$23,parametros_recargas!$B$24)</f>
        <v>50.8</v>
      </c>
      <c r="H162" s="13" t="n">
        <f aca="false">MAX(0,H114-G114)+G114*IF(INDEX($B$10:$B$26,MATCH($A162,$A$10:$A$26,0))="CO₂",parametros_recargas!$B$23,parametros_recargas!$B$24)</f>
        <v>72.64</v>
      </c>
      <c r="I162" s="13" t="n">
        <f aca="false">MAX(0,I114-H114)+H114*IF(INDEX($B$10:$B$26,MATCH($A162,$A$10:$A$26,0))="CO₂",parametros_recargas!$B$23,parametros_recargas!$B$24)</f>
        <v>72.92</v>
      </c>
      <c r="J162" s="13" t="n">
        <f aca="false">MAX(0,J114-I114)+I114*IF(INDEX($B$10:$B$26,MATCH($A162,$A$10:$A$26,0))="CO₂",parametros_recargas!$B$23,parametros_recargas!$B$24)</f>
        <v>67.8</v>
      </c>
      <c r="K162" s="13" t="n">
        <f aca="false">MAX(0,K114-J114)+J114*IF(INDEX($B$10:$B$26,MATCH($A162,$A$10:$A$26,0))="CO₂",parametros_recargas!$B$23,parametros_recargas!$B$24)</f>
        <v>75.88</v>
      </c>
    </row>
    <row r="163" customFormat="false" ht="15" hidden="false" customHeight="false" outlineLevel="0" collapsed="false">
      <c r="A163" s="4" t="s">
        <v>9</v>
      </c>
      <c r="B163" s="13" t="n">
        <f aca="false">B115</f>
        <v>1</v>
      </c>
      <c r="C163" s="13" t="n">
        <f aca="false">MAX(0,C115-B115)+B115*IF(INDEX($B$10:$B$26,MATCH($A163,$A$10:$A$26,0))="CO₂",parametros_recargas!$B$23,parametros_recargas!$B$24)</f>
        <v>0.08</v>
      </c>
      <c r="D163" s="13" t="n">
        <f aca="false">MAX(0,D115-C115)+C115*IF(INDEX($B$10:$B$26,MATCH($A163,$A$10:$A$26,0))="CO₂",parametros_recargas!$B$23,parametros_recargas!$B$24)</f>
        <v>0.08</v>
      </c>
      <c r="E163" s="13" t="n">
        <f aca="false">MAX(0,E115-D115)+D115*IF(INDEX($B$10:$B$26,MATCH($A163,$A$10:$A$26,0))="CO₂",parametros_recargas!$B$23,parametros_recargas!$B$24)</f>
        <v>3.08</v>
      </c>
      <c r="F163" s="13" t="n">
        <f aca="false">MAX(0,F115-E115)+E115*IF(INDEX($B$10:$B$26,MATCH($A163,$A$10:$A$26,0))="CO₂",parametros_recargas!$B$23,parametros_recargas!$B$24)</f>
        <v>15.32</v>
      </c>
      <c r="G163" s="13" t="n">
        <f aca="false">MAX(0,G115-F115)+F115*IF(INDEX($B$10:$B$26,MATCH($A163,$A$10:$A$26,0))="CO₂",parametros_recargas!$B$23,parametros_recargas!$B$24)</f>
        <v>26.52</v>
      </c>
      <c r="H163" s="13" t="n">
        <f aca="false">MAX(0,H115-G115)+G115*IF(INDEX($B$10:$B$26,MATCH($A163,$A$10:$A$26,0))="CO₂",parametros_recargas!$B$23,parametros_recargas!$B$24)</f>
        <v>38.52</v>
      </c>
      <c r="I163" s="13" t="n">
        <f aca="false">MAX(0,I115-H115)+H115*IF(INDEX($B$10:$B$26,MATCH($A163,$A$10:$A$26,0))="CO₂",parametros_recargas!$B$23,parametros_recargas!$B$24)</f>
        <v>38.32</v>
      </c>
      <c r="J163" s="13" t="n">
        <f aca="false">MAX(0,J115-I115)+I115*IF(INDEX($B$10:$B$26,MATCH($A163,$A$10:$A$26,0))="CO₂",parametros_recargas!$B$23,parametros_recargas!$B$24)</f>
        <v>34.88</v>
      </c>
      <c r="K163" s="13" t="n">
        <f aca="false">MAX(0,K115-J115)+J115*IF(INDEX($B$10:$B$26,MATCH($A163,$A$10:$A$26,0))="CO₂",parametros_recargas!$B$23,parametros_recargas!$B$24)</f>
        <v>38.96</v>
      </c>
    </row>
    <row r="164" customFormat="false" ht="15" hidden="false" customHeight="false" outlineLevel="0" collapsed="false">
      <c r="A164" s="4" t="s">
        <v>10</v>
      </c>
      <c r="B164" s="13" t="n">
        <f aca="false">B116</f>
        <v>1</v>
      </c>
      <c r="C164" s="13" t="n">
        <f aca="false">MAX(0,C116-B116)+B116*IF(INDEX($B$10:$B$26,MATCH($A164,$A$10:$A$26,0))="CO₂",parametros_recargas!$B$23,parametros_recargas!$B$24)</f>
        <v>0.08</v>
      </c>
      <c r="D164" s="13" t="n">
        <f aca="false">MAX(0,D116-C116)+C116*IF(INDEX($B$10:$B$26,MATCH($A164,$A$10:$A$26,0))="CO₂",parametros_recargas!$B$23,parametros_recargas!$B$24)</f>
        <v>0.08</v>
      </c>
      <c r="E164" s="13" t="n">
        <f aca="false">MAX(0,E116-D116)+D116*IF(INDEX($B$10:$B$26,MATCH($A164,$A$10:$A$26,0))="CO₂",parametros_recargas!$B$23,parametros_recargas!$B$24)</f>
        <v>3.08</v>
      </c>
      <c r="F164" s="13" t="n">
        <f aca="false">MAX(0,F116-E116)+E116*IF(INDEX($B$10:$B$26,MATCH($A164,$A$10:$A$26,0))="CO₂",parametros_recargas!$B$23,parametros_recargas!$B$24)</f>
        <v>10.32</v>
      </c>
      <c r="G164" s="13" t="n">
        <f aca="false">MAX(0,G116-F116)+F116*IF(INDEX($B$10:$B$26,MATCH($A164,$A$10:$A$26,0))="CO₂",parametros_recargas!$B$23,parametros_recargas!$B$24)</f>
        <v>19.12</v>
      </c>
      <c r="H164" s="13" t="n">
        <f aca="false">MAX(0,H116-G116)+G116*IF(INDEX($B$10:$B$26,MATCH($A164,$A$10:$A$26,0))="CO₂",parametros_recargas!$B$23,parametros_recargas!$B$24)</f>
        <v>27.56</v>
      </c>
      <c r="I164" s="13" t="n">
        <f aca="false">MAX(0,I116-H116)+H116*IF(INDEX($B$10:$B$26,MATCH($A164,$A$10:$A$26,0))="CO₂",parametros_recargas!$B$23,parametros_recargas!$B$24)</f>
        <v>24.56</v>
      </c>
      <c r="J164" s="13" t="n">
        <f aca="false">MAX(0,J116-I116)+I116*IF(INDEX($B$10:$B$26,MATCH($A164,$A$10:$A$26,0))="CO₂",parametros_recargas!$B$23,parametros_recargas!$B$24)</f>
        <v>24.16</v>
      </c>
      <c r="K164" s="13" t="n">
        <f aca="false">MAX(0,K116-J116)+J116*IF(INDEX($B$10:$B$26,MATCH($A164,$A$10:$A$26,0))="CO₂",parametros_recargas!$B$23,parametros_recargas!$B$24)</f>
        <v>26.6</v>
      </c>
    </row>
    <row r="165" customFormat="false" ht="15" hidden="false" customHeight="false" outlineLevel="0" collapsed="false">
      <c r="A165" s="4" t="s">
        <v>11</v>
      </c>
      <c r="B165" s="13" t="n">
        <f aca="false">B117</f>
        <v>1</v>
      </c>
      <c r="C165" s="13" t="n">
        <f aca="false">MAX(0,C117-B117)+B117*IF(INDEX($B$10:$B$26,MATCH($A165,$A$10:$A$26,0))="CO₂",parametros_recargas!$B$23,parametros_recargas!$B$24)</f>
        <v>0.08</v>
      </c>
      <c r="D165" s="13" t="n">
        <f aca="false">MAX(0,D117-C117)+C117*IF(INDEX($B$10:$B$26,MATCH($A165,$A$10:$A$26,0))="CO₂",parametros_recargas!$B$23,parametros_recargas!$B$24)</f>
        <v>2.08</v>
      </c>
      <c r="E165" s="13" t="n">
        <f aca="false">MAX(0,E117-D117)+D117*IF(INDEX($B$10:$B$26,MATCH($A165,$A$10:$A$26,0))="CO₂",parametros_recargas!$B$23,parametros_recargas!$B$24)</f>
        <v>15.24</v>
      </c>
      <c r="F165" s="13" t="n">
        <f aca="false">MAX(0,F117-E117)+E117*IF(INDEX($B$10:$B$26,MATCH($A165,$A$10:$A$26,0))="CO₂",parametros_recargas!$B$23,parametros_recargas!$B$24)</f>
        <v>73.44</v>
      </c>
      <c r="G165" s="13" t="n">
        <f aca="false">MAX(0,G117-F117)+F117*IF(INDEX($B$10:$B$26,MATCH($A165,$A$10:$A$26,0))="CO₂",parametros_recargas!$B$23,parametros_recargas!$B$24)</f>
        <v>140.2</v>
      </c>
      <c r="H165" s="13" t="n">
        <f aca="false">MAX(0,H117-G117)+G117*IF(INDEX($B$10:$B$26,MATCH($A165,$A$10:$A$26,0))="CO₂",parametros_recargas!$B$23,parametros_recargas!$B$24)</f>
        <v>192.84</v>
      </c>
      <c r="I165" s="13" t="n">
        <f aca="false">MAX(0,I117-H117)+H117*IF(INDEX($B$10:$B$26,MATCH($A165,$A$10:$A$26,0))="CO₂",parametros_recargas!$B$23,parametros_recargas!$B$24)</f>
        <v>188.84</v>
      </c>
      <c r="J165" s="13" t="n">
        <f aca="false">MAX(0,J117-I117)+I117*IF(INDEX($B$10:$B$26,MATCH($A165,$A$10:$A$26,0))="CO₂",parametros_recargas!$B$23,parametros_recargas!$B$24)</f>
        <v>171.4</v>
      </c>
      <c r="K165" s="13" t="n">
        <f aca="false">MAX(0,K117-J117)+J117*IF(INDEX($B$10:$B$26,MATCH($A165,$A$10:$A$26,0))="CO₂",parametros_recargas!$B$23,parametros_recargas!$B$24)</f>
        <v>191.56</v>
      </c>
    </row>
    <row r="166" customFormat="false" ht="15" hidden="false" customHeight="false" outlineLevel="0" collapsed="false">
      <c r="A166" s="4" t="s">
        <v>13</v>
      </c>
      <c r="B166" s="13" t="n">
        <f aca="false">B118</f>
        <v>2</v>
      </c>
      <c r="C166" s="13" t="n">
        <f aca="false">MAX(0,C118-B118)+B118*IF(INDEX($B$10:$B$26,MATCH($A166,$A$10:$A$26,0))="CO₂",parametros_recargas!$B$23,parametros_recargas!$B$24)</f>
        <v>5.12666666666667</v>
      </c>
      <c r="D166" s="13" t="n">
        <f aca="false">MAX(0,D118-C118)+C118*IF(INDEX($B$10:$B$26,MATCH($A166,$A$10:$A$26,0))="CO₂",parametros_recargas!$B$23,parametros_recargas!$B$24)</f>
        <v>9.44333333333333</v>
      </c>
      <c r="E166" s="13" t="n">
        <f aca="false">MAX(0,E118-D118)+D118*IF(INDEX($B$10:$B$26,MATCH($A166,$A$10:$A$26,0))="CO₂",parametros_recargas!$B$23,parametros_recargas!$B$24)</f>
        <v>111.013333333333</v>
      </c>
      <c r="F166" s="13" t="n">
        <f aca="false">MAX(0,F118-E118)+E118*IF(INDEX($B$10:$B$26,MATCH($A166,$A$10:$A$26,0))="CO₂",parametros_recargas!$B$23,parametros_recargas!$B$24)</f>
        <v>545.98</v>
      </c>
      <c r="G166" s="13" t="n">
        <f aca="false">MAX(0,G118-F118)+F118*IF(INDEX($B$10:$B$26,MATCH($A166,$A$10:$A$26,0))="CO₂",parametros_recargas!$B$23,parametros_recargas!$B$24)</f>
        <v>1022.05333333333</v>
      </c>
      <c r="H166" s="13" t="n">
        <f aca="false">MAX(0,H118-G118)+G118*IF(INDEX($B$10:$B$26,MATCH($A166,$A$10:$A$26,0))="CO₂",parametros_recargas!$B$23,parametros_recargas!$B$24)</f>
        <v>1395.12</v>
      </c>
      <c r="I166" s="13" t="n">
        <f aca="false">MAX(0,I118-H118)+H118*IF(INDEX($B$10:$B$26,MATCH($A166,$A$10:$A$26,0))="CO₂",parametros_recargas!$B$23,parametros_recargas!$B$24)</f>
        <v>1316.88333333333</v>
      </c>
      <c r="J166" s="13" t="n">
        <f aca="false">MAX(0,J118-I118)+I118*IF(INDEX($B$10:$B$26,MATCH($A166,$A$10:$A$26,0))="CO₂",parametros_recargas!$B$23,parametros_recargas!$B$24)</f>
        <v>1185.51333333333</v>
      </c>
      <c r="K166" s="13" t="n">
        <f aca="false">MAX(0,K118-J118)+J118*IF(INDEX($B$10:$B$26,MATCH($A166,$A$10:$A$26,0))="CO₂",parametros_recargas!$B$23,parametros_recargas!$B$24)</f>
        <v>1312.28666666667</v>
      </c>
    </row>
    <row r="167" customFormat="false" ht="15" hidden="false" customHeight="false" outlineLevel="0" collapsed="false">
      <c r="A167" s="4" t="s">
        <v>14</v>
      </c>
      <c r="B167" s="13" t="n">
        <f aca="false">B119</f>
        <v>1</v>
      </c>
      <c r="C167" s="13" t="n">
        <f aca="false">MAX(0,C119-B119)+B119*IF(INDEX($B$10:$B$26,MATCH($A167,$A$10:$A$26,0))="CO₂",parametros_recargas!$B$23,parametros_recargas!$B$24)</f>
        <v>0.08</v>
      </c>
      <c r="D167" s="13" t="n">
        <f aca="false">MAX(0,D119-C119)+C119*IF(INDEX($B$10:$B$26,MATCH($A167,$A$10:$A$26,0))="CO₂",parametros_recargas!$B$23,parametros_recargas!$B$24)</f>
        <v>0.08</v>
      </c>
      <c r="E167" s="13" t="n">
        <f aca="false">MAX(0,E119-D119)+D119*IF(INDEX($B$10:$B$26,MATCH($A167,$A$10:$A$26,0))="CO₂",parametros_recargas!$B$23,parametros_recargas!$B$24)</f>
        <v>5.08</v>
      </c>
      <c r="F167" s="13" t="n">
        <f aca="false">MAX(0,F119-E119)+E119*IF(INDEX($B$10:$B$26,MATCH($A167,$A$10:$A$26,0))="CO₂",parametros_recargas!$B$23,parametros_recargas!$B$24)</f>
        <v>21.48</v>
      </c>
      <c r="G167" s="13" t="n">
        <f aca="false">MAX(0,G119-F119)+F119*IF(INDEX($B$10:$B$26,MATCH($A167,$A$10:$A$26,0))="CO₂",parametros_recargas!$B$23,parametros_recargas!$B$24)</f>
        <v>40.16</v>
      </c>
      <c r="H167" s="13" t="n">
        <f aca="false">MAX(0,H119-G119)+G119*IF(INDEX($B$10:$B$26,MATCH($A167,$A$10:$A$26,0))="CO₂",parametros_recargas!$B$23,parametros_recargas!$B$24)</f>
        <v>58.2</v>
      </c>
      <c r="I167" s="13" t="n">
        <f aca="false">MAX(0,I119-H119)+H119*IF(INDEX($B$10:$B$26,MATCH($A167,$A$10:$A$26,0))="CO₂",parametros_recargas!$B$23,parametros_recargas!$B$24)</f>
        <v>58.44</v>
      </c>
      <c r="J167" s="13" t="n">
        <f aca="false">MAX(0,J119-I119)+I119*IF(INDEX($B$10:$B$26,MATCH($A167,$A$10:$A$26,0))="CO₂",parametros_recargas!$B$23,parametros_recargas!$B$24)</f>
        <v>53.36</v>
      </c>
      <c r="K167" s="13" t="n">
        <f aca="false">MAX(0,K119-J119)+J119*IF(INDEX($B$10:$B$26,MATCH($A167,$A$10:$A$26,0))="CO₂",parametros_recargas!$B$23,parametros_recargas!$B$24)</f>
        <v>59.56</v>
      </c>
    </row>
    <row r="168" customFormat="false" ht="15" hidden="false" customHeight="false" outlineLevel="0" collapsed="false">
      <c r="A168" s="4" t="s">
        <v>15</v>
      </c>
      <c r="B168" s="13" t="n">
        <f aca="false">B120</f>
        <v>1</v>
      </c>
      <c r="C168" s="13" t="n">
        <f aca="false">MAX(0,C120-B120)+B120*IF(INDEX($B$10:$B$26,MATCH($A168,$A$10:$A$26,0))="CO₂",parametros_recargas!$B$23,parametros_recargas!$B$24)</f>
        <v>0.08</v>
      </c>
      <c r="D168" s="13" t="n">
        <f aca="false">MAX(0,D120-C120)+C120*IF(INDEX($B$10:$B$26,MATCH($A168,$A$10:$A$26,0))="CO₂",parametros_recargas!$B$23,parametros_recargas!$B$24)</f>
        <v>0.08</v>
      </c>
      <c r="E168" s="13" t="n">
        <f aca="false">MAX(0,E120-D120)+D120*IF(INDEX($B$10:$B$26,MATCH($A168,$A$10:$A$26,0))="CO₂",parametros_recargas!$B$23,parametros_recargas!$B$24)</f>
        <v>3.08</v>
      </c>
      <c r="F168" s="13" t="n">
        <f aca="false">MAX(0,F120-E120)+E120*IF(INDEX($B$10:$B$26,MATCH($A168,$A$10:$A$26,0))="CO₂",parametros_recargas!$B$23,parametros_recargas!$B$24)</f>
        <v>9.32</v>
      </c>
      <c r="G168" s="13" t="n">
        <f aca="false">MAX(0,G120-F120)+F120*IF(INDEX($B$10:$B$26,MATCH($A168,$A$10:$A$26,0))="CO₂",parametros_recargas!$B$23,parametros_recargas!$B$24)</f>
        <v>16.04</v>
      </c>
      <c r="H168" s="13" t="n">
        <f aca="false">MAX(0,H120-G120)+G120*IF(INDEX($B$10:$B$26,MATCH($A168,$A$10:$A$26,0))="CO₂",parametros_recargas!$B$23,parametros_recargas!$B$24)</f>
        <v>25.24</v>
      </c>
      <c r="I168" s="13" t="n">
        <f aca="false">MAX(0,I120-H120)+H120*IF(INDEX($B$10:$B$26,MATCH($A168,$A$10:$A$26,0))="CO₂",parametros_recargas!$B$23,parametros_recargas!$B$24)</f>
        <v>22.08</v>
      </c>
      <c r="J168" s="13" t="n">
        <f aca="false">MAX(0,J120-I120)+I120*IF(INDEX($B$10:$B$26,MATCH($A168,$A$10:$A$26,0))="CO₂",parametros_recargas!$B$23,parametros_recargas!$B$24)</f>
        <v>21.52</v>
      </c>
      <c r="K168" s="13" t="n">
        <f aca="false">MAX(0,K120-J120)+J120*IF(INDEX($B$10:$B$26,MATCH($A168,$A$10:$A$26,0))="CO₂",parametros_recargas!$B$23,parametros_recargas!$B$24)</f>
        <v>24.8</v>
      </c>
    </row>
    <row r="169" customFormat="false" ht="15" hidden="false" customHeight="false" outlineLevel="0" collapsed="false">
      <c r="A169" s="4" t="s">
        <v>17</v>
      </c>
      <c r="B169" s="13" t="n">
        <f aca="false">B121</f>
        <v>1</v>
      </c>
      <c r="C169" s="13" t="n">
        <f aca="false">MAX(0,C121-B121)+B121*IF(INDEX($B$10:$B$26,MATCH($A169,$A$10:$A$26,0))="CO₂",parametros_recargas!$B$23,parametros_recargas!$B$24)</f>
        <v>0.08</v>
      </c>
      <c r="D169" s="13" t="n">
        <f aca="false">MAX(0,D121-C121)+C121*IF(INDEX($B$10:$B$26,MATCH($A169,$A$10:$A$26,0))="CO₂",parametros_recargas!$B$23,parametros_recargas!$B$24)</f>
        <v>1.08</v>
      </c>
      <c r="E169" s="13" t="n">
        <f aca="false">MAX(0,E121-D121)+D121*IF(INDEX($B$10:$B$26,MATCH($A169,$A$10:$A$26,0))="CO₂",parametros_recargas!$B$23,parametros_recargas!$B$24)</f>
        <v>23.16</v>
      </c>
      <c r="F169" s="13" t="n">
        <f aca="false">MAX(0,F121-E121)+E121*IF(INDEX($B$10:$B$26,MATCH($A169,$A$10:$A$26,0))="CO₂",parametros_recargas!$B$23,parametros_recargas!$B$24)</f>
        <v>73</v>
      </c>
      <c r="G169" s="13" t="n">
        <f aca="false">MAX(0,G121-F121)+F121*IF(INDEX($B$10:$B$26,MATCH($A169,$A$10:$A$26,0))="CO₂",parametros_recargas!$B$23,parametros_recargas!$B$24)</f>
        <v>133.68</v>
      </c>
      <c r="H169" s="13" t="n">
        <f aca="false">MAX(0,H121-G121)+G121*IF(INDEX($B$10:$B$26,MATCH($A169,$A$10:$A$26,0))="CO₂",parametros_recargas!$B$23,parametros_recargas!$B$24)</f>
        <v>182.76</v>
      </c>
      <c r="I169" s="13" t="n">
        <f aca="false">MAX(0,I121-H121)+H121*IF(INDEX($B$10:$B$26,MATCH($A169,$A$10:$A$26,0))="CO₂",parametros_recargas!$B$23,parametros_recargas!$B$24)</f>
        <v>178.96</v>
      </c>
      <c r="J169" s="13" t="n">
        <f aca="false">MAX(0,J121-I121)+I121*IF(INDEX($B$10:$B$26,MATCH($A169,$A$10:$A$26,0))="CO₂",parametros_recargas!$B$23,parametros_recargas!$B$24)</f>
        <v>160.8</v>
      </c>
      <c r="K169" s="13" t="n">
        <f aca="false">MAX(0,K121-J121)+J121*IF(INDEX($B$10:$B$26,MATCH($A169,$A$10:$A$26,0))="CO₂",parametros_recargas!$B$23,parametros_recargas!$B$24)</f>
        <v>179.24</v>
      </c>
    </row>
    <row r="170" customFormat="false" ht="15" hidden="false" customHeight="false" outlineLevel="0" collapsed="false">
      <c r="A170" s="4" t="s">
        <v>19</v>
      </c>
      <c r="B170" s="13" t="n">
        <f aca="false">B122</f>
        <v>1</v>
      </c>
      <c r="C170" s="13" t="n">
        <f aca="false">MAX(0,C122-B122)+B122*IF(INDEX($B$10:$B$26,MATCH($A170,$A$10:$A$26,0))="CO₂",parametros_recargas!$B$23,parametros_recargas!$B$24)</f>
        <v>0.08</v>
      </c>
      <c r="D170" s="13" t="n">
        <f aca="false">MAX(0,D122-C122)+C122*IF(INDEX($B$10:$B$26,MATCH($A170,$A$10:$A$26,0))="CO₂",parametros_recargas!$B$23,parametros_recargas!$B$24)</f>
        <v>0.08</v>
      </c>
      <c r="E170" s="13" t="n">
        <f aca="false">MAX(0,E122-D122)+D122*IF(INDEX($B$10:$B$26,MATCH($A170,$A$10:$A$26,0))="CO₂",parametros_recargas!$B$23,parametros_recargas!$B$24)</f>
        <v>6.08</v>
      </c>
      <c r="F170" s="13" t="n">
        <f aca="false">MAX(0,F122-E122)+E122*IF(INDEX($B$10:$B$26,MATCH($A170,$A$10:$A$26,0))="CO₂",parametros_recargas!$B$23,parametros_recargas!$B$24)</f>
        <v>17.56</v>
      </c>
      <c r="G170" s="13" t="n">
        <f aca="false">MAX(0,G122-F122)+F122*IF(INDEX($B$10:$B$26,MATCH($A170,$A$10:$A$26,0))="CO₂",parametros_recargas!$B$23,parametros_recargas!$B$24)</f>
        <v>33.92</v>
      </c>
      <c r="H170" s="13" t="n">
        <f aca="false">MAX(0,H122-G122)+G122*IF(INDEX($B$10:$B$26,MATCH($A170,$A$10:$A$26,0))="CO₂",parametros_recargas!$B$23,parametros_recargas!$B$24)</f>
        <v>45.48</v>
      </c>
      <c r="I170" s="13" t="n">
        <f aca="false">MAX(0,I122-H122)+H122*IF(INDEX($B$10:$B$26,MATCH($A170,$A$10:$A$26,0))="CO₂",parametros_recargas!$B$23,parametros_recargas!$B$24)</f>
        <v>44.76</v>
      </c>
      <c r="J170" s="13" t="n">
        <f aca="false">MAX(0,J122-I122)+I122*IF(INDEX($B$10:$B$26,MATCH($A170,$A$10:$A$26,0))="CO₂",parametros_recargas!$B$23,parametros_recargas!$B$24)</f>
        <v>40.72</v>
      </c>
      <c r="K170" s="13" t="n">
        <f aca="false">MAX(0,K122-J122)+J122*IF(INDEX($B$10:$B$26,MATCH($A170,$A$10:$A$26,0))="CO₂",parametros_recargas!$B$23,parametros_recargas!$B$24)</f>
        <v>44.12</v>
      </c>
    </row>
    <row r="171" customFormat="false" ht="15" hidden="false" customHeight="false" outlineLevel="0" collapsed="false">
      <c r="A171" s="6" t="s">
        <v>132</v>
      </c>
      <c r="B171" s="7" t="n">
        <f aca="false">SUM(B159:B170)</f>
        <v>19</v>
      </c>
      <c r="C171" s="7" t="n">
        <f aca="false">SUM(C159:C170)</f>
        <v>29.4866666666667</v>
      </c>
      <c r="D171" s="7" t="n">
        <f aca="false">SUM(D159:D170)</f>
        <v>54.6433333333333</v>
      </c>
      <c r="E171" s="7" t="n">
        <f aca="false">SUM(E159:E170)</f>
        <v>1089.57333333333</v>
      </c>
      <c r="F171" s="7" t="n">
        <f aca="false">SUM(F159:F170)</f>
        <v>3729.3</v>
      </c>
      <c r="G171" s="7" t="n">
        <f aca="false">SUM(G159:G170)</f>
        <v>6876.29333333333</v>
      </c>
      <c r="H171" s="7" t="n">
        <f aca="false">SUM(H159:H170)</f>
        <v>9317.12</v>
      </c>
      <c r="I171" s="7" t="n">
        <f aca="false">SUM(I159:I170)</f>
        <v>8861.72333333333</v>
      </c>
      <c r="J171" s="7" t="n">
        <f aca="false">SUM(J159:J170)</f>
        <v>8001.27333333333</v>
      </c>
      <c r="K171" s="7" t="n">
        <f aca="false">SUM(K159:K170)</f>
        <v>8895.96666666667</v>
      </c>
    </row>
    <row r="173" customFormat="false" ht="15" hidden="false" customHeight="false" outlineLevel="0" collapsed="false">
      <c r="A173" s="1" t="s">
        <v>328</v>
      </c>
    </row>
    <row r="174" customFormat="false" ht="15" hidden="false" customHeight="false" outlineLevel="0" collapsed="false">
      <c r="A174" s="3" t="s">
        <v>134</v>
      </c>
      <c r="B174" s="3" t="n">
        <v>2026</v>
      </c>
      <c r="C174" s="3" t="n">
        <v>2027</v>
      </c>
      <c r="D174" s="3" t="n">
        <v>2028</v>
      </c>
      <c r="E174" s="3" t="n">
        <v>2029</v>
      </c>
      <c r="F174" s="3" t="n">
        <v>2030</v>
      </c>
      <c r="G174" s="3" t="n">
        <v>2031</v>
      </c>
      <c r="H174" s="3" t="n">
        <v>2032</v>
      </c>
      <c r="I174" s="3" t="n">
        <v>2033</v>
      </c>
      <c r="J174" s="3" t="n">
        <v>2034</v>
      </c>
      <c r="K174" s="3" t="n">
        <v>2035</v>
      </c>
    </row>
    <row r="175" customFormat="false" ht="15" hidden="false" customHeight="false" outlineLevel="0" collapsed="false">
      <c r="A175" s="12" t="str">
        <f aca="false">datos_base!A2</f>
        <v>ABC 1 kg</v>
      </c>
      <c r="B175" s="13" t="n">
        <v>0</v>
      </c>
      <c r="C175" s="13" t="n">
        <f aca="false">SUMIF($A$111:$A$122,$A175,B$111:B$122)</f>
        <v>0</v>
      </c>
      <c r="D175" s="13" t="n">
        <f aca="false">SUMIF($A$111:$A$122,$A175,C$111:C$122)</f>
        <v>0</v>
      </c>
      <c r="E175" s="13" t="n">
        <f aca="false">SUMIF($A$111:$A$122,$A175,D$111:D$122)</f>
        <v>0</v>
      </c>
      <c r="F175" s="13" t="n">
        <f aca="false">SUMIF($A$111:$A$122,$A175,E$111:E$122)</f>
        <v>0</v>
      </c>
      <c r="G175" s="13" t="n">
        <f aca="false">SUMIF($A$111:$A$122,$A175,F$111:F$122)</f>
        <v>0</v>
      </c>
      <c r="H175" s="13" t="n">
        <f aca="false">SUMIF($A$111:$A$122,$A175,G$111:G$122)</f>
        <v>0</v>
      </c>
      <c r="I175" s="13" t="n">
        <f aca="false">SUMIF($A$111:$A$122,$A175,H$111:H$122)</f>
        <v>0</v>
      </c>
      <c r="J175" s="13" t="n">
        <f aca="false">SUMIF($A$111:$A$122,$A175,I$111:I$122)</f>
        <v>0</v>
      </c>
      <c r="K175" s="13" t="n">
        <f aca="false">SUMIF($A$111:$A$122,$A175,J$111:J$122)</f>
        <v>0</v>
      </c>
    </row>
    <row r="176" customFormat="false" ht="15" hidden="false" customHeight="false" outlineLevel="0" collapsed="false">
      <c r="A176" s="12" t="str">
        <f aca="false">datos_base!A3</f>
        <v>ABC 2,5 kg</v>
      </c>
      <c r="B176" s="13" t="n">
        <v>0</v>
      </c>
      <c r="C176" s="13" t="n">
        <f aca="false">SUMIF($A$111:$A$122,$A176,B$111:B$122)</f>
        <v>0</v>
      </c>
      <c r="D176" s="13" t="n">
        <f aca="false">SUMIF($A$111:$A$122,$A176,C$111:C$122)</f>
        <v>0</v>
      </c>
      <c r="E176" s="13" t="n">
        <f aca="false">SUMIF($A$111:$A$122,$A176,D$111:D$122)</f>
        <v>0</v>
      </c>
      <c r="F176" s="13" t="n">
        <f aca="false">SUMIF($A$111:$A$122,$A176,E$111:E$122)</f>
        <v>0</v>
      </c>
      <c r="G176" s="13" t="n">
        <f aca="false">SUMIF($A$111:$A$122,$A176,F$111:F$122)</f>
        <v>0</v>
      </c>
      <c r="H176" s="13" t="n">
        <f aca="false">SUMIF($A$111:$A$122,$A176,G$111:G$122)</f>
        <v>0</v>
      </c>
      <c r="I176" s="13" t="n">
        <f aca="false">SUMIF($A$111:$A$122,$A176,H$111:H$122)</f>
        <v>0</v>
      </c>
      <c r="J176" s="13" t="n">
        <f aca="false">SUMIF($A$111:$A$122,$A176,I$111:I$122)</f>
        <v>0</v>
      </c>
      <c r="K176" s="13" t="n">
        <f aca="false">SUMIF($A$111:$A$122,$A176,J$111:J$122)</f>
        <v>0</v>
      </c>
    </row>
    <row r="177" customFormat="false" ht="15" hidden="false" customHeight="false" outlineLevel="0" collapsed="false">
      <c r="A177" s="12" t="str">
        <f aca="false">datos_base!A4</f>
        <v>ABC 5 kg</v>
      </c>
      <c r="B177" s="13" t="n">
        <v>0</v>
      </c>
      <c r="C177" s="13" t="n">
        <f aca="false">SUMIF($A$111:$A$122,$A177,B$111:B$122)</f>
        <v>7</v>
      </c>
      <c r="D177" s="13" t="n">
        <f aca="false">SUMIF($A$111:$A$122,$A177,C$111:C$122)</f>
        <v>28</v>
      </c>
      <c r="E177" s="13" t="n">
        <f aca="false">SUMIF($A$111:$A$122,$A177,D$111:D$122)</f>
        <v>62</v>
      </c>
      <c r="F177" s="13" t="n">
        <f aca="false">SUMIF($A$111:$A$122,$A177,E$111:E$122)</f>
        <v>898</v>
      </c>
      <c r="G177" s="13" t="n">
        <f aca="false">SUMIF($A$111:$A$122,$A177,F$111:F$122)</f>
        <v>3475</v>
      </c>
      <c r="H177" s="13" t="n">
        <f aca="false">SUMIF($A$111:$A$122,$A177,G$111:G$122)</f>
        <v>8055</v>
      </c>
      <c r="I177" s="13" t="n">
        <f aca="false">SUMIF($A$111:$A$122,$A177,H$111:H$122)</f>
        <v>13961</v>
      </c>
      <c r="J177" s="13" t="n">
        <f aca="false">SUMIF($A$111:$A$122,$A177,I$111:I$122)</f>
        <v>19065</v>
      </c>
      <c r="K177" s="13" t="n">
        <f aca="false">SUMIF($A$111:$A$122,$A177,J$111:J$122)</f>
        <v>23150</v>
      </c>
    </row>
    <row r="178" customFormat="false" ht="15" hidden="false" customHeight="false" outlineLevel="0" collapsed="false">
      <c r="A178" s="12" t="str">
        <f aca="false">datos_base!A5</f>
        <v>ABC 10 kg</v>
      </c>
      <c r="B178" s="13" t="n">
        <v>0</v>
      </c>
      <c r="C178" s="13" t="n">
        <f aca="false">SUMIF($A$111:$A$122,$A178,B$111:B$122)</f>
        <v>1</v>
      </c>
      <c r="D178" s="13" t="n">
        <f aca="false">SUMIF($A$111:$A$122,$A178,C$111:C$122)</f>
        <v>2</v>
      </c>
      <c r="E178" s="13" t="n">
        <f aca="false">SUMIF($A$111:$A$122,$A178,D$111:D$122)</f>
        <v>4</v>
      </c>
      <c r="F178" s="13" t="n">
        <f aca="false">SUMIF($A$111:$A$122,$A178,E$111:E$122)</f>
        <v>46</v>
      </c>
      <c r="G178" s="13" t="n">
        <f aca="false">SUMIF($A$111:$A$122,$A178,F$111:F$122)</f>
        <v>176</v>
      </c>
      <c r="H178" s="13" t="n">
        <f aca="false">SUMIF($A$111:$A$122,$A178,G$111:G$122)</f>
        <v>411</v>
      </c>
      <c r="I178" s="13" t="n">
        <f aca="false">SUMIF($A$111:$A$122,$A178,H$111:H$122)</f>
        <v>712</v>
      </c>
      <c r="J178" s="13" t="n">
        <f aca="false">SUMIF($A$111:$A$122,$A178,I$111:I$122)</f>
        <v>971</v>
      </c>
      <c r="K178" s="13" t="n">
        <f aca="false">SUMIF($A$111:$A$122,$A178,J$111:J$122)</f>
        <v>1178</v>
      </c>
    </row>
    <row r="179" customFormat="false" ht="15" hidden="false" customHeight="false" outlineLevel="0" collapsed="false">
      <c r="A179" s="12" t="str">
        <f aca="false">datos_base!A6</f>
        <v>Agua 10 l</v>
      </c>
      <c r="B179" s="13" t="n">
        <v>0</v>
      </c>
      <c r="C179" s="13" t="n">
        <f aca="false">SUMIF($A$111:$A$122,$A179,B$111:B$122)</f>
        <v>1</v>
      </c>
      <c r="D179" s="13" t="n">
        <f aca="false">SUMIF($A$111:$A$122,$A179,C$111:C$122)</f>
        <v>2</v>
      </c>
      <c r="E179" s="13" t="n">
        <f aca="false">SUMIF($A$111:$A$122,$A179,D$111:D$122)</f>
        <v>5</v>
      </c>
      <c r="F179" s="13" t="n">
        <f aca="false">SUMIF($A$111:$A$122,$A179,E$111:E$122)</f>
        <v>35</v>
      </c>
      <c r="G179" s="13" t="n">
        <f aca="false">SUMIF($A$111:$A$122,$A179,F$111:F$122)</f>
        <v>184</v>
      </c>
      <c r="H179" s="13" t="n">
        <f aca="false">SUMIF($A$111:$A$122,$A179,G$111:G$122)</f>
        <v>456</v>
      </c>
      <c r="I179" s="13" t="n">
        <f aca="false">SUMIF($A$111:$A$122,$A179,H$111:H$122)</f>
        <v>814</v>
      </c>
      <c r="J179" s="13" t="n">
        <f aca="false">SUMIF($A$111:$A$122,$A179,I$111:I$122)</f>
        <v>1128</v>
      </c>
      <c r="K179" s="13" t="n">
        <f aca="false">SUMIF($A$111:$A$122,$A179,J$111:J$122)</f>
        <v>1384</v>
      </c>
    </row>
    <row r="180" customFormat="false" ht="15" hidden="false" customHeight="false" outlineLevel="0" collapsed="false">
      <c r="A180" s="12" t="str">
        <f aca="false">datos_base!A7</f>
        <v>AFFF 10 l</v>
      </c>
      <c r="B180" s="13" t="n">
        <v>0</v>
      </c>
      <c r="C180" s="13" t="n">
        <f aca="false">SUMIF($A$111:$A$122,$A180,B$111:B$122)</f>
        <v>1</v>
      </c>
      <c r="D180" s="13" t="n">
        <f aca="false">SUMIF($A$111:$A$122,$A180,C$111:C$122)</f>
        <v>1</v>
      </c>
      <c r="E180" s="13" t="n">
        <f aca="false">SUMIF($A$111:$A$122,$A180,D$111:D$122)</f>
        <v>1</v>
      </c>
      <c r="F180" s="13" t="n">
        <f aca="false">SUMIF($A$111:$A$122,$A180,E$111:E$122)</f>
        <v>7</v>
      </c>
      <c r="G180" s="13" t="n">
        <f aca="false">SUMIF($A$111:$A$122,$A180,F$111:F$122)</f>
        <v>35</v>
      </c>
      <c r="H180" s="13" t="n">
        <f aca="false">SUMIF($A$111:$A$122,$A180,G$111:G$122)</f>
        <v>83</v>
      </c>
      <c r="I180" s="13" t="n">
        <f aca="false">SUMIF($A$111:$A$122,$A180,H$111:H$122)</f>
        <v>149</v>
      </c>
      <c r="J180" s="13" t="n">
        <f aca="false">SUMIF($A$111:$A$122,$A180,I$111:I$122)</f>
        <v>210</v>
      </c>
      <c r="K180" s="13" t="n">
        <f aca="false">SUMIF($A$111:$A$122,$A180,J$111:J$122)</f>
        <v>261</v>
      </c>
    </row>
    <row r="181" customFormat="false" ht="15" hidden="false" customHeight="false" outlineLevel="0" collapsed="false">
      <c r="A181" s="12" t="str">
        <f aca="false">datos_base!A8</f>
        <v>AFFF 50 l s/ruedas</v>
      </c>
      <c r="B181" s="13" t="n">
        <v>0</v>
      </c>
      <c r="C181" s="13" t="n">
        <f aca="false">SUMIF($A$111:$A$122,$A181,B$111:B$122)</f>
        <v>1</v>
      </c>
      <c r="D181" s="13" t="n">
        <f aca="false">SUMIF($A$111:$A$122,$A181,C$111:C$122)</f>
        <v>1</v>
      </c>
      <c r="E181" s="13" t="n">
        <f aca="false">SUMIF($A$111:$A$122,$A181,D$111:D$122)</f>
        <v>1</v>
      </c>
      <c r="F181" s="13" t="n">
        <f aca="false">SUMIF($A$111:$A$122,$A181,E$111:E$122)</f>
        <v>4</v>
      </c>
      <c r="G181" s="13" t="n">
        <f aca="false">SUMIF($A$111:$A$122,$A181,F$111:F$122)</f>
        <v>19</v>
      </c>
      <c r="H181" s="13" t="n">
        <f aca="false">SUMIF($A$111:$A$122,$A181,G$111:G$122)</f>
        <v>44</v>
      </c>
      <c r="I181" s="13" t="n">
        <f aca="false">SUMIF($A$111:$A$122,$A181,H$111:H$122)</f>
        <v>79</v>
      </c>
      <c r="J181" s="13" t="n">
        <f aca="false">SUMIF($A$111:$A$122,$A181,I$111:I$122)</f>
        <v>111</v>
      </c>
      <c r="K181" s="13" t="n">
        <f aca="false">SUMIF($A$111:$A$122,$A181,J$111:J$122)</f>
        <v>137</v>
      </c>
    </row>
    <row r="182" customFormat="false" ht="15" hidden="false" customHeight="false" outlineLevel="0" collapsed="false">
      <c r="A182" s="12" t="str">
        <f aca="false">datos_base!A9</f>
        <v>BC 5 kg</v>
      </c>
      <c r="B182" s="13" t="n">
        <v>0</v>
      </c>
      <c r="C182" s="13" t="n">
        <f aca="false">SUMIF($A$111:$A$122,$A182,B$111:B$122)</f>
        <v>1</v>
      </c>
      <c r="D182" s="13" t="n">
        <f aca="false">SUMIF($A$111:$A$122,$A182,C$111:C$122)</f>
        <v>1</v>
      </c>
      <c r="E182" s="13" t="n">
        <f aca="false">SUMIF($A$111:$A$122,$A182,D$111:D$122)</f>
        <v>1</v>
      </c>
      <c r="F182" s="13" t="n">
        <f aca="false">SUMIF($A$111:$A$122,$A182,E$111:E$122)</f>
        <v>4</v>
      </c>
      <c r="G182" s="13" t="n">
        <f aca="false">SUMIF($A$111:$A$122,$A182,F$111:F$122)</f>
        <v>14</v>
      </c>
      <c r="H182" s="13" t="n">
        <f aca="false">SUMIF($A$111:$A$122,$A182,G$111:G$122)</f>
        <v>32</v>
      </c>
      <c r="I182" s="13" t="n">
        <f aca="false">SUMIF($A$111:$A$122,$A182,H$111:H$122)</f>
        <v>57</v>
      </c>
      <c r="J182" s="13" t="n">
        <f aca="false">SUMIF($A$111:$A$122,$A182,I$111:I$122)</f>
        <v>77</v>
      </c>
      <c r="K182" s="13" t="n">
        <f aca="false">SUMIF($A$111:$A$122,$A182,J$111:J$122)</f>
        <v>95</v>
      </c>
    </row>
    <row r="183" customFormat="false" ht="15" hidden="false" customHeight="false" outlineLevel="0" collapsed="false">
      <c r="A183" s="12" t="str">
        <f aca="false">datos_base!A10</f>
        <v>Sales K 6 l</v>
      </c>
      <c r="B183" s="13" t="n">
        <v>0</v>
      </c>
      <c r="C183" s="13" t="n">
        <f aca="false">SUMIF($A$111:$A$122,$A183,B$111:B$122)</f>
        <v>1</v>
      </c>
      <c r="D183" s="13" t="n">
        <f aca="false">SUMIF($A$111:$A$122,$A183,C$111:C$122)</f>
        <v>1</v>
      </c>
      <c r="E183" s="13" t="n">
        <f aca="false">SUMIF($A$111:$A$122,$A183,D$111:D$122)</f>
        <v>3</v>
      </c>
      <c r="F183" s="13" t="n">
        <f aca="false">SUMIF($A$111:$A$122,$A183,E$111:E$122)</f>
        <v>18</v>
      </c>
      <c r="G183" s="13" t="n">
        <f aca="false">SUMIF($A$111:$A$122,$A183,F$111:F$122)</f>
        <v>90</v>
      </c>
      <c r="H183" s="13" t="n">
        <f aca="false">SUMIF($A$111:$A$122,$A183,G$111:G$122)</f>
        <v>223</v>
      </c>
      <c r="I183" s="13" t="n">
        <f aca="false">SUMIF($A$111:$A$122,$A183,H$111:H$122)</f>
        <v>398</v>
      </c>
      <c r="J183" s="13" t="n">
        <f aca="false">SUMIF($A$111:$A$122,$A183,I$111:I$122)</f>
        <v>555</v>
      </c>
      <c r="K183" s="13" t="n">
        <f aca="false">SUMIF($A$111:$A$122,$A183,J$111:J$122)</f>
        <v>682</v>
      </c>
    </row>
    <row r="184" customFormat="false" ht="15" hidden="false" customHeight="false" outlineLevel="0" collapsed="false">
      <c r="A184" s="12" t="str">
        <f aca="false">datos_base!A11</f>
        <v>CO₂ 2 kg</v>
      </c>
      <c r="B184" s="13" t="n">
        <v>0</v>
      </c>
      <c r="C184" s="13" t="n">
        <f aca="false">SUMIF($A$111:$A$122,$A184,B$111:B$122)</f>
        <v>0</v>
      </c>
      <c r="D184" s="13" t="n">
        <f aca="false">SUMIF($A$111:$A$122,$A184,C$111:C$122)</f>
        <v>0</v>
      </c>
      <c r="E184" s="13" t="n">
        <f aca="false">SUMIF($A$111:$A$122,$A184,D$111:D$122)</f>
        <v>0</v>
      </c>
      <c r="F184" s="13" t="n">
        <f aca="false">SUMIF($A$111:$A$122,$A184,E$111:E$122)</f>
        <v>0</v>
      </c>
      <c r="G184" s="13" t="n">
        <f aca="false">SUMIF($A$111:$A$122,$A184,F$111:F$122)</f>
        <v>0</v>
      </c>
      <c r="H184" s="13" t="n">
        <f aca="false">SUMIF($A$111:$A$122,$A184,G$111:G$122)</f>
        <v>0</v>
      </c>
      <c r="I184" s="13" t="n">
        <f aca="false">SUMIF($A$111:$A$122,$A184,H$111:H$122)</f>
        <v>0</v>
      </c>
      <c r="J184" s="13" t="n">
        <f aca="false">SUMIF($A$111:$A$122,$A184,I$111:I$122)</f>
        <v>0</v>
      </c>
      <c r="K184" s="13" t="n">
        <f aca="false">SUMIF($A$111:$A$122,$A184,J$111:J$122)</f>
        <v>0</v>
      </c>
    </row>
    <row r="185" customFormat="false" ht="15" hidden="false" customHeight="false" outlineLevel="0" collapsed="false">
      <c r="A185" s="12" t="str">
        <f aca="false">datos_base!A12</f>
        <v>CO₂ 5 kg</v>
      </c>
      <c r="B185" s="13" t="n">
        <v>0</v>
      </c>
      <c r="C185" s="13" t="n">
        <f aca="false">SUMIF($A$111:$A$122,$A185,B$111:B$122)</f>
        <v>2</v>
      </c>
      <c r="D185" s="13" t="n">
        <f aca="false">SUMIF($A$111:$A$122,$A185,C$111:C$122)</f>
        <v>7</v>
      </c>
      <c r="E185" s="13" t="n">
        <f aca="false">SUMIF($A$111:$A$122,$A185,D$111:D$122)</f>
        <v>16</v>
      </c>
      <c r="F185" s="13" t="n">
        <f aca="false">SUMIF($A$111:$A$122,$A185,E$111:E$122)</f>
        <v>126</v>
      </c>
      <c r="G185" s="13" t="n">
        <f aca="false">SUMIF($A$111:$A$122,$A185,F$111:F$122)</f>
        <v>664</v>
      </c>
      <c r="H185" s="13" t="n">
        <f aca="false">SUMIF($A$111:$A$122,$A185,G$111:G$122)</f>
        <v>1644</v>
      </c>
      <c r="I185" s="13" t="n">
        <f aca="false">SUMIF($A$111:$A$122,$A185,H$111:H$122)</f>
        <v>2935</v>
      </c>
      <c r="J185" s="13" t="n">
        <f aca="false">SUMIF($A$111:$A$122,$A185,I$111:I$122)</f>
        <v>4066</v>
      </c>
      <c r="K185" s="13" t="n">
        <f aca="false">SUMIF($A$111:$A$122,$A185,J$111:J$122)</f>
        <v>4994</v>
      </c>
    </row>
    <row r="186" customFormat="false" ht="15" hidden="false" customHeight="false" outlineLevel="0" collapsed="false">
      <c r="A186" s="12" t="str">
        <f aca="false">datos_base!A13</f>
        <v>HCFC/HFC 5 kg</v>
      </c>
      <c r="B186" s="13" t="n">
        <v>0</v>
      </c>
      <c r="C186" s="13" t="n">
        <f aca="false">SUMIF($A$111:$A$122,$A186,B$111:B$122)</f>
        <v>1</v>
      </c>
      <c r="D186" s="13" t="n">
        <f aca="false">SUMIF($A$111:$A$122,$A186,C$111:C$122)</f>
        <v>1</v>
      </c>
      <c r="E186" s="13" t="n">
        <f aca="false">SUMIF($A$111:$A$122,$A186,D$111:D$122)</f>
        <v>1</v>
      </c>
      <c r="F186" s="13" t="n">
        <f aca="false">SUMIF($A$111:$A$122,$A186,E$111:E$122)</f>
        <v>6</v>
      </c>
      <c r="G186" s="13" t="n">
        <f aca="false">SUMIF($A$111:$A$122,$A186,F$111:F$122)</f>
        <v>27</v>
      </c>
      <c r="H186" s="13" t="n">
        <f aca="false">SUMIF($A$111:$A$122,$A186,G$111:G$122)</f>
        <v>65</v>
      </c>
      <c r="I186" s="13" t="n">
        <f aca="false">SUMIF($A$111:$A$122,$A186,H$111:H$122)</f>
        <v>118</v>
      </c>
      <c r="J186" s="13" t="n">
        <f aca="false">SUMIF($A$111:$A$122,$A186,I$111:I$122)</f>
        <v>167</v>
      </c>
      <c r="K186" s="13" t="n">
        <f aca="false">SUMIF($A$111:$A$122,$A186,J$111:J$122)</f>
        <v>207</v>
      </c>
    </row>
    <row r="187" customFormat="false" ht="15" hidden="false" customHeight="false" outlineLevel="0" collapsed="false">
      <c r="A187" s="12" t="str">
        <f aca="false">datos_base!A14</f>
        <v>Clase D 9 l</v>
      </c>
      <c r="B187" s="13" t="n">
        <v>0</v>
      </c>
      <c r="C187" s="13" t="n">
        <f aca="false">SUMIF($A$111:$A$122,$A187,B$111:B$122)</f>
        <v>1</v>
      </c>
      <c r="D187" s="13" t="n">
        <f aca="false">SUMIF($A$111:$A$122,$A187,C$111:C$122)</f>
        <v>1</v>
      </c>
      <c r="E187" s="13" t="n">
        <f aca="false">SUMIF($A$111:$A$122,$A187,D$111:D$122)</f>
        <v>1</v>
      </c>
      <c r="F187" s="13" t="n">
        <f aca="false">SUMIF($A$111:$A$122,$A187,E$111:E$122)</f>
        <v>4</v>
      </c>
      <c r="G187" s="13" t="n">
        <f aca="false">SUMIF($A$111:$A$122,$A187,F$111:F$122)</f>
        <v>13</v>
      </c>
      <c r="H187" s="13" t="n">
        <f aca="false">SUMIF($A$111:$A$122,$A187,G$111:G$122)</f>
        <v>28</v>
      </c>
      <c r="I187" s="13" t="n">
        <f aca="false">SUMIF($A$111:$A$122,$A187,H$111:H$122)</f>
        <v>51</v>
      </c>
      <c r="J187" s="13" t="n">
        <f aca="false">SUMIF($A$111:$A$122,$A187,I$111:I$122)</f>
        <v>69</v>
      </c>
      <c r="K187" s="13" t="n">
        <f aca="false">SUMIF($A$111:$A$122,$A187,J$111:J$122)</f>
        <v>85</v>
      </c>
    </row>
    <row r="188" customFormat="false" ht="15" hidden="false" customHeight="false" outlineLevel="0" collapsed="false">
      <c r="A188" s="12" t="str">
        <f aca="false">datos_base!A15</f>
        <v>ABC 25 kg s/ruedas</v>
      </c>
      <c r="B188" s="13" t="n">
        <v>0</v>
      </c>
      <c r="C188" s="13" t="n">
        <f aca="false">SUMIF($A$111:$A$122,$A188,B$111:B$122)</f>
        <v>0</v>
      </c>
      <c r="D188" s="13" t="n">
        <f aca="false">SUMIF($A$111:$A$122,$A188,C$111:C$122)</f>
        <v>0</v>
      </c>
      <c r="E188" s="13" t="n">
        <f aca="false">SUMIF($A$111:$A$122,$A188,D$111:D$122)</f>
        <v>0</v>
      </c>
      <c r="F188" s="13" t="n">
        <f aca="false">SUMIF($A$111:$A$122,$A188,E$111:E$122)</f>
        <v>0</v>
      </c>
      <c r="G188" s="13" t="n">
        <f aca="false">SUMIF($A$111:$A$122,$A188,F$111:F$122)</f>
        <v>0</v>
      </c>
      <c r="H188" s="13" t="n">
        <f aca="false">SUMIF($A$111:$A$122,$A188,G$111:G$122)</f>
        <v>0</v>
      </c>
      <c r="I188" s="13" t="n">
        <f aca="false">SUMIF($A$111:$A$122,$A188,H$111:H$122)</f>
        <v>0</v>
      </c>
      <c r="J188" s="13" t="n">
        <f aca="false">SUMIF($A$111:$A$122,$A188,I$111:I$122)</f>
        <v>0</v>
      </c>
      <c r="K188" s="13" t="n">
        <f aca="false">SUMIF($A$111:$A$122,$A188,J$111:J$122)</f>
        <v>0</v>
      </c>
    </row>
    <row r="189" customFormat="false" ht="15" hidden="false" customHeight="false" outlineLevel="0" collapsed="false">
      <c r="A189" s="12" t="str">
        <f aca="false">datos_base!A16</f>
        <v>ABC 50 kg s/ruedas</v>
      </c>
      <c r="B189" s="13" t="n">
        <v>0</v>
      </c>
      <c r="C189" s="13" t="n">
        <f aca="false">SUMIF($A$111:$A$122,$A189,B$111:B$122)</f>
        <v>1</v>
      </c>
      <c r="D189" s="13" t="n">
        <f aca="false">SUMIF($A$111:$A$122,$A189,C$111:C$122)</f>
        <v>1</v>
      </c>
      <c r="E189" s="13" t="n">
        <f aca="false">SUMIF($A$111:$A$122,$A189,D$111:D$122)</f>
        <v>2</v>
      </c>
      <c r="F189" s="13" t="n">
        <f aca="false">SUMIF($A$111:$A$122,$A189,E$111:E$122)</f>
        <v>25</v>
      </c>
      <c r="G189" s="13" t="n">
        <f aca="false">SUMIF($A$111:$A$122,$A189,F$111:F$122)</f>
        <v>96</v>
      </c>
      <c r="H189" s="13" t="n">
        <f aca="false">SUMIF($A$111:$A$122,$A189,G$111:G$122)</f>
        <v>222</v>
      </c>
      <c r="I189" s="13" t="n">
        <f aca="false">SUMIF($A$111:$A$122,$A189,H$111:H$122)</f>
        <v>387</v>
      </c>
      <c r="J189" s="13" t="n">
        <f aca="false">SUMIF($A$111:$A$122,$A189,I$111:I$122)</f>
        <v>535</v>
      </c>
      <c r="K189" s="13" t="n">
        <f aca="false">SUMIF($A$111:$A$122,$A189,J$111:J$122)</f>
        <v>653</v>
      </c>
    </row>
    <row r="190" customFormat="false" ht="15" hidden="false" customHeight="false" outlineLevel="0" collapsed="false">
      <c r="A190" s="12" t="str">
        <f aca="false">datos_base!A17</f>
        <v>ABC 70 kg s/ruedas</v>
      </c>
      <c r="B190" s="13" t="n">
        <v>0</v>
      </c>
      <c r="C190" s="13" t="n">
        <f aca="false">SUMIF($A$111:$A$122,$A190,B$111:B$122)</f>
        <v>0</v>
      </c>
      <c r="D190" s="13" t="n">
        <f aca="false">SUMIF($A$111:$A$122,$A190,C$111:C$122)</f>
        <v>0</v>
      </c>
      <c r="E190" s="13" t="n">
        <f aca="false">SUMIF($A$111:$A$122,$A190,D$111:D$122)</f>
        <v>0</v>
      </c>
      <c r="F190" s="13" t="n">
        <f aca="false">SUMIF($A$111:$A$122,$A190,E$111:E$122)</f>
        <v>0</v>
      </c>
      <c r="G190" s="13" t="n">
        <f aca="false">SUMIF($A$111:$A$122,$A190,F$111:F$122)</f>
        <v>0</v>
      </c>
      <c r="H190" s="13" t="n">
        <f aca="false">SUMIF($A$111:$A$122,$A190,G$111:G$122)</f>
        <v>0</v>
      </c>
      <c r="I190" s="13" t="n">
        <f aca="false">SUMIF($A$111:$A$122,$A190,H$111:H$122)</f>
        <v>0</v>
      </c>
      <c r="J190" s="13" t="n">
        <f aca="false">SUMIF($A$111:$A$122,$A190,I$111:I$122)</f>
        <v>0</v>
      </c>
      <c r="K190" s="13" t="n">
        <f aca="false">SUMIF($A$111:$A$122,$A190,J$111:J$122)</f>
        <v>0</v>
      </c>
    </row>
    <row r="191" customFormat="false" ht="15" hidden="false" customHeight="false" outlineLevel="0" collapsed="false">
      <c r="A191" s="12" t="str">
        <f aca="false">datos_base!A18</f>
        <v>ABC 100 kg s/ruedas</v>
      </c>
      <c r="B191" s="13" t="n">
        <v>0</v>
      </c>
      <c r="C191" s="13" t="n">
        <f aca="false">SUMIF($A$111:$A$122,$A191,B$111:B$122)</f>
        <v>1</v>
      </c>
      <c r="D191" s="13" t="n">
        <f aca="false">SUMIF($A$111:$A$122,$A191,C$111:C$122)</f>
        <v>1</v>
      </c>
      <c r="E191" s="13" t="n">
        <f aca="false">SUMIF($A$111:$A$122,$A191,D$111:D$122)</f>
        <v>1</v>
      </c>
      <c r="F191" s="13" t="n">
        <f aca="false">SUMIF($A$111:$A$122,$A191,E$111:E$122)</f>
        <v>7</v>
      </c>
      <c r="G191" s="13" t="n">
        <f aca="false">SUMIF($A$111:$A$122,$A191,F$111:F$122)</f>
        <v>24</v>
      </c>
      <c r="H191" s="13" t="n">
        <f aca="false">SUMIF($A$111:$A$122,$A191,G$111:G$122)</f>
        <v>56</v>
      </c>
      <c r="I191" s="13" t="n">
        <f aca="false">SUMIF($A$111:$A$122,$A191,H$111:H$122)</f>
        <v>97</v>
      </c>
      <c r="J191" s="13" t="n">
        <f aca="false">SUMIF($A$111:$A$122,$A191,I$111:I$122)</f>
        <v>134</v>
      </c>
      <c r="K191" s="13" t="n">
        <f aca="false">SUMIF($A$111:$A$122,$A191,J$111:J$122)</f>
        <v>164</v>
      </c>
    </row>
    <row r="192" customFormat="false" ht="15" hidden="false" customHeight="false" outlineLevel="0" collapsed="false">
      <c r="A192" s="6" t="s">
        <v>132</v>
      </c>
      <c r="B192" s="7" t="n">
        <f aca="false">SUM(B175:B191)</f>
        <v>0</v>
      </c>
      <c r="C192" s="7" t="n">
        <f aca="false">SUM(C175:C191)</f>
        <v>19</v>
      </c>
      <c r="D192" s="7" t="n">
        <f aca="false">SUM(D175:D191)</f>
        <v>47</v>
      </c>
      <c r="E192" s="7" t="n">
        <f aca="false">SUM(E175:E191)</f>
        <v>98</v>
      </c>
      <c r="F192" s="7" t="n">
        <f aca="false">SUM(F175:F191)</f>
        <v>1180</v>
      </c>
      <c r="G192" s="7" t="n">
        <f aca="false">SUM(G175:G191)</f>
        <v>4817</v>
      </c>
      <c r="H192" s="7" t="n">
        <f aca="false">SUM(H175:H191)</f>
        <v>11319</v>
      </c>
      <c r="I192" s="7" t="n">
        <f aca="false">SUM(I175:I191)</f>
        <v>19758</v>
      </c>
      <c r="J192" s="7" t="n">
        <f aca="false">SUM(J175:J191)</f>
        <v>27088</v>
      </c>
      <c r="K192" s="7" t="n">
        <f aca="false">SUM(K175:K191)</f>
        <v>32990</v>
      </c>
    </row>
    <row r="194" customFormat="false" ht="15" hidden="false" customHeight="false" outlineLevel="0" collapsed="false">
      <c r="A194" s="2" t="s">
        <v>329</v>
      </c>
    </row>
  </sheetData>
  <mergeCells count="17"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</mergeCells>
  <dataValidations count="1">
    <dataValidation allowBlank="false" errorStyle="stop" operator="between" showDropDown="false" showErrorMessage="false" showInputMessage="false" sqref="D10:D26" type="list">
      <formula1>$A$111:$A$122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2026-10-18T19:45:53Z</dcterms:created>
  <dc:creator>openpyxl</dc:creator>
  <dc:description/>
  <dc:language>en-US</dc:language>
  <cp:lastModifiedBy/>
  <dcterms:modified xsi:type="dcterms:W3CDTF">2026-10-18T19:45:53Z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