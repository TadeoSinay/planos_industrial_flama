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PROY_Indexado" sheetId="1" state="visible" r:id="rId3"/>
    <sheet name="datos_base" sheetId="2" state="visible" r:id="rId4"/>
    <sheet name="parametros_recargas" sheetId="3" state="visible" r:id="rId5"/>
    <sheet name="Plan mensual" sheetId="4" state="visible" r:id="rId6"/>
    <sheet name="Demanda por puesto" sheetId="5" state="visible" r:id="rId7"/>
    <sheet name="Resumen Capacidad" sheetId="6" state="visible" r:id="rId8"/>
    <sheet name="sobrestock_sustituto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<sst xmlns="http://schemas.openxmlformats.org/spreadsheetml/2006/main" count="945" uniqueCount="334">
  <si>
    <t xml:space="preserve">Proyecciones — Indexado Dim Técnico (valores copiados)</t>
  </si>
  <si>
    <t xml:space="preserve">Para actualizar: pegar valores de Proyecciones, Indexado Dim Técnico A27:K43 y U61:U74, o reemplazar por IMPORTRANGE. Celdas gris oscuro = datos.</t>
  </si>
  <si>
    <t xml:space="preserve">Recargas por tipo</t>
  </si>
  <si>
    <t xml:space="preserve">ABC 1 kg</t>
  </si>
  <si>
    <t xml:space="preserve">ABC 2,5 kg</t>
  </si>
  <si>
    <t xml:space="preserve">ABC 5 kg</t>
  </si>
  <si>
    <t xml:space="preserve">ABC 10 kg</t>
  </si>
  <si>
    <t xml:space="preserve">Agua 10 l</t>
  </si>
  <si>
    <t xml:space="preserve">AFFF 10 l</t>
  </si>
  <si>
    <t xml:space="preserve">AFFF 50 l s/ruedas</t>
  </si>
  <si>
    <t xml:space="preserve">BC 5 kg</t>
  </si>
  <si>
    <t xml:space="preserve">Sales K 6 l</t>
  </si>
  <si>
    <t xml:space="preserve">CO₂ 2 kg</t>
  </si>
  <si>
    <t xml:space="preserve">CO₂ 5 kg</t>
  </si>
  <si>
    <t xml:space="preserve">HCFC/HFC 5 kg</t>
  </si>
  <si>
    <t xml:space="preserve">Clase D 9 l</t>
  </si>
  <si>
    <t xml:space="preserve">ABC 25 kg s/ruedas</t>
  </si>
  <si>
    <t xml:space="preserve">ABC 50 kg s/ruedas</t>
  </si>
  <si>
    <t xml:space="preserve">ABC 70 kg s/ruedas</t>
  </si>
  <si>
    <t xml:space="preserve">ABC 100 kg s/ruedas</t>
  </si>
  <si>
    <t xml:space="preserve">Recargas total</t>
  </si>
  <si>
    <t xml:space="preserve">Recargas por zona y planta (% zonal 2035, columna U; planta según V61 y V63)</t>
  </si>
  <si>
    <t xml:space="preserve">Zona</t>
  </si>
  <si>
    <t xml:space="preserve">% zonal 2035</t>
  </si>
  <si>
    <t xml:space="preserve">Planta</t>
  </si>
  <si>
    <t xml:space="preserve">CABA Norte</t>
  </si>
  <si>
    <t xml:space="preserve">Comercial</t>
  </si>
  <si>
    <t xml:space="preserve">CABA Este</t>
  </si>
  <si>
    <t xml:space="preserve">CABA Sur</t>
  </si>
  <si>
    <t xml:space="preserve">Industrial</t>
  </si>
  <si>
    <t xml:space="preserve">CABA Oeste</t>
  </si>
  <si>
    <t xml:space="preserve">PBA Sur 1er (Avellaneda)</t>
  </si>
  <si>
    <t xml:space="preserve">PBA Sur 2do cordón</t>
  </si>
  <si>
    <t xml:space="preserve">PBA Sur 3er cordón</t>
  </si>
  <si>
    <t xml:space="preserve">PBA Norte 1er cordón</t>
  </si>
  <si>
    <t xml:space="preserve">PBA Norte 2do cordón</t>
  </si>
  <si>
    <t xml:space="preserve">PBA Norte 3er cordón</t>
  </si>
  <si>
    <t xml:space="preserve">PBA Oeste 1er cordón</t>
  </si>
  <si>
    <t xml:space="preserve">PBA Oeste 2do cordón</t>
  </si>
  <si>
    <t xml:space="preserve">PBA Oeste 3er cordón</t>
  </si>
  <si>
    <t xml:space="preserve">PBA Interior</t>
  </si>
  <si>
    <t xml:space="preserve">% planta comercial</t>
  </si>
  <si>
    <t xml:space="preserve">% planta industrial</t>
  </si>
  <si>
    <t xml:space="preserve">Control (tiene que dar 100 %)</t>
  </si>
  <si>
    <t xml:space="preserve">Tasas de Proyecciones (hojas PROYECCION por rubro; iguales para todos los tipos)</t>
  </si>
  <si>
    <t xml:space="preserve">Concepto</t>
  </si>
  <si>
    <t xml:space="preserve">Valor</t>
  </si>
  <si>
    <t xml:space="preserve">Uso en este archivo</t>
  </si>
  <si>
    <t xml:space="preserve">Mat Usados ÷ RECARGAS An</t>
  </si>
  <si>
    <t xml:space="preserve">Se usa: equipos que llegan descargados por uso</t>
  </si>
  <si>
    <t xml:space="preserve">Mat PH ÷ RECARGAS An</t>
  </si>
  <si>
    <t xml:space="preserve">Se usa: equipos que no pasan la PH y se inutilizan</t>
  </si>
  <si>
    <t xml:space="preserve">Mat Rot ÷ RECARGAS An</t>
  </si>
  <si>
    <t xml:space="preserve">Se usa: equipos rotos que se inutilizan</t>
  </si>
  <si>
    <t xml:space="preserve">Mat Fin VU ÷ RECARGAS An</t>
  </si>
  <si>
    <t xml:space="preserve">No se usa: Proyecciones aplica la misma vida útil a todos los tipos; acá va la del Anexo E (20 años, CO₂ 30)</t>
  </si>
  <si>
    <t xml:space="preserve">Planta de este archivo</t>
  </si>
  <si>
    <t xml:space="preserve">% de recargas de esta planta</t>
  </si>
  <si>
    <t xml:space="preserve">Tipo de matafuego</t>
  </si>
  <si>
    <t xml:space="preserve">Recargas Total</t>
  </si>
  <si>
    <t xml:space="preserve">Recargas de la planta = recargas del Indexado × % de esta planta (PROY_Indexado B53).</t>
  </si>
  <si>
    <t xml:space="preserve">Parámetro</t>
  </si>
  <si>
    <t xml:space="preserve">Fuente / criterio</t>
  </si>
  <si>
    <t xml:space="preserve">Días hábiles por mes</t>
  </si>
  <si>
    <t xml:space="preserve">240 días hábiles por año ÷ 12 (dato del usuario)</t>
  </si>
  <si>
    <t xml:space="preserve">Horas por día (1 turno)</t>
  </si>
  <si>
    <t xml:space="preserve">Criterio: jornada de 8 h</t>
  </si>
  <si>
    <t xml:space="preserve">Refrigerio (min/turno)</t>
  </si>
  <si>
    <t xml:space="preserve">Criterio</t>
  </si>
  <si>
    <t xml:space="preserve">Horas productivas por turno</t>
  </si>
  <si>
    <t xml:space="preserve">Horas productivas por mes (1 turno)</t>
  </si>
  <si>
    <t xml:space="preserve">Umbral de aprovechamiento</t>
  </si>
  <si>
    <t xml:space="preserve">Criterio (Dimensionamiento Técnico V2): 10 % de holgura para variabilidad, averías y mantenimiento</t>
  </si>
  <si>
    <t xml:space="preserve">Turnos máximos por día</t>
  </si>
  <si>
    <t xml:space="preserve">Criterio: hasta 2 turnos de 8 h; después se agrega máquina</t>
  </si>
  <si>
    <t xml:space="preserve">Equivalencia de un rodante (u. equivalentes)</t>
  </si>
  <si>
    <t xml:space="preserve">Criterio (Dimensionamiento Técnico V2): traslado en carro, morsa y manipuleo del porte</t>
  </si>
  <si>
    <t xml:space="preserve">CRITERIOS DE RUTA — PLANTA COMERCIAL (IRAM 3517-2:2020 y Proyecciones)</t>
  </si>
  <si>
    <t xml:space="preserve">Intervalo máximo de PH — polvos, CO₂ y halogenados (años)</t>
  </si>
  <si>
    <t xml:space="preserve">IRAM 3517-2:2020, Anexo E (IRAM 3523, 3550, 3509, 3565 y 3504)</t>
  </si>
  <si>
    <t xml:space="preserve">Intervalo máximo de PH — agua, AFFF y sales K (años)</t>
  </si>
  <si>
    <t xml:space="preserve">IRAM 3517-2:2020, Anexo E (IRAM 3525, 3527, 3537, 3541, 3693 y 3694)</t>
  </si>
  <si>
    <t xml:space="preserve">% con PH — polvos, CO₂ y halogenados</t>
  </si>
  <si>
    <t xml:space="preserve">En régimen vence la PH de 1 de cada 5 equipos por año</t>
  </si>
  <si>
    <t xml:space="preserve">% con PH — agua, AFFF y sales K</t>
  </si>
  <si>
    <t xml:space="preserve">En régimen vence la PH de 1 de cada 2 equipos por año</t>
  </si>
  <si>
    <t xml:space="preserve">Vida útil — CO₂ (años)</t>
  </si>
  <si>
    <t xml:space="preserve">IRAM 3517-2:2020, Anexo E (IRAM 3509; IRAM 3565 hasta 10 kg)</t>
  </si>
  <si>
    <t xml:space="preserve">Vida útil — resto de los tipos (años)</t>
  </si>
  <si>
    <t xml:space="preserve">IRAM 3517-2:2020, Anexo E</t>
  </si>
  <si>
    <t xml:space="preserve">% fin de vida útil — CO₂</t>
  </si>
  <si>
    <t xml:space="preserve">En régimen llega al fin de su vida 1 de cada 30</t>
  </si>
  <si>
    <t xml:space="preserve">% fin de vida útil — resto</t>
  </si>
  <si>
    <t xml:space="preserve">En régimen llega al fin de su vida 1 de cada 20</t>
  </si>
  <si>
    <t xml:space="preserve">% que no pasan la PH</t>
  </si>
  <si>
    <t xml:space="preserve">Proyecciones (Mat PH). La norma manda inutilizarlos (9.12) pero no fija el %</t>
  </si>
  <si>
    <t xml:space="preserve">% rotos</t>
  </si>
  <si>
    <t xml:space="preserve">Proyecciones (Mat Rot)</t>
  </si>
  <si>
    <t xml:space="preserve">% inutilizados — CO₂</t>
  </si>
  <si>
    <t xml:space="preserve">Fin de vida útil + no pasan la PH + rotos</t>
  </si>
  <si>
    <t xml:space="preserve">% inutilizados — resto</t>
  </si>
  <si>
    <t xml:space="preserve">% que llegan descargados por uso</t>
  </si>
  <si>
    <t xml:space="preserve">Proyecciones (Mat Usados). 9.2.2: se recarga después de usarlo; la norma no fija el %</t>
  </si>
  <si>
    <t xml:space="preserve">Dígitos posibles del año de fabricación</t>
  </si>
  <si>
    <t xml:space="preserve">9.9.4 a): se cambia el polvo ABC cuando el último dígito del año de fabricación coincide con el del año del mantenimiento</t>
  </si>
  <si>
    <t xml:space="preserve">% ABC con cambio de polvo (a descarte)</t>
  </si>
  <si>
    <t xml:space="preserve">1 de cada 10 equipos por año</t>
  </si>
  <si>
    <t xml:space="preserve">% agua, AFFF y sales K que se vacían y recargan</t>
  </si>
  <si>
    <t xml:space="preserve">Anexo E: el agente se cambia cada año; 9.9.1.9 (sales K) y 9.9.1.10 (AFFF)</t>
  </si>
  <si>
    <t xml:space="preserve">% CO₂ que se abren por daño o cambio de piezas</t>
  </si>
  <si>
    <t xml:space="preserve">Criterio sin fuente, a validar con una recargadora. 9.7.1.2: el dañado se examina y va a PH</t>
  </si>
  <si>
    <t xml:space="preserve">% que se pintan</t>
  </si>
  <si>
    <t xml:space="preserve">Criterio sin fuente. 9.10 pide pintar los deteriorados; no fija %</t>
  </si>
  <si>
    <t xml:space="preserve">% polvos con humedad en el desarme (secado extra)</t>
  </si>
  <si>
    <t xml:space="preserve">Criterio sin fuente</t>
  </si>
  <si>
    <t xml:space="preserve">Ensayos de laboratorio por recipiente de polvo</t>
  </si>
  <si>
    <t xml:space="preserve">Criterio. 9.9.3.1: el ensayo se hace cuando hay dudas sobre el polvo</t>
  </si>
  <si>
    <t xml:space="preserve">PERFIL MENSUAL POR AÑO (rampa del crecimiento anual)</t>
  </si>
  <si>
    <t xml:space="preserve">Cada equipo vuelve en su mes (IRAM 3517-2 9.2.1 y 9.4.14 a). Criterio: el crecimiento al año siguiente se reparte parejo mes a mes; 2035 usa el crecimiento 2034→2035.</t>
  </si>
  <si>
    <t xml:space="preserve">Año</t>
  </si>
  <si>
    <t xml:space="preserve">Recargas del año</t>
  </si>
  <si>
    <t xml:space="preserve">Recargas del año siguiente</t>
  </si>
  <si>
    <t xml:space="preserve">Crecimiento</t>
  </si>
  <si>
    <t xml:space="preserve">Factor mensual (q)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</si>
  <si>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</si>
  <si>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</si>
  <si>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</si>
  <si>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</si>
  <si>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</si>
  <si>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</si>
  <si>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</si>
  <si>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</si>
  <si>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</si>
  <si>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</si>
  <si>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</si>
  <si>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</si>
  <si>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Total</t>
  </si>
  <si>
    <t xml:space="preserve">TIPOS DE MATAFUEGO</t>
  </si>
  <si>
    <t xml:space="preserve">Tipo</t>
  </si>
  <si>
    <t xml:space="preserve">Agente (ruta)</t>
  </si>
  <si>
    <t xml:space="preserve">u. equivalentes por recipiente</t>
  </si>
  <si>
    <t xml:space="preserve">Manguera con PH anual (1 = sí)</t>
  </si>
  <si>
    <t xml:space="preserve">Fuente de la manguera</t>
  </si>
  <si>
    <t xml:space="preserve">ABC</t>
  </si>
  <si>
    <t xml:space="preserve">No: tobera sin manguera</t>
  </si>
  <si>
    <t xml:space="preserve">No: la manguera no tiene cierre en el extremo</t>
  </si>
  <si>
    <t xml:space="preserve">Agua</t>
  </si>
  <si>
    <t xml:space="preserve">AFFF</t>
  </si>
  <si>
    <t xml:space="preserve">Sí, 9.7.1.4 a): lanza con cierre (rodante, IRAM 3541)</t>
  </si>
  <si>
    <t xml:space="preserve">BC</t>
  </si>
  <si>
    <t xml:space="preserve">Sales K</t>
  </si>
  <si>
    <t xml:space="preserve">CO₂</t>
  </si>
  <si>
    <t xml:space="preserve">No: difusor de brazo, sin manguera (catálogo FLAMA)</t>
  </si>
  <si>
    <t xml:space="preserve">Sí, 9.7.1.4 b): manguera de CO₂ (difusor con manga)</t>
  </si>
  <si>
    <t xml:space="preserve">Halogenado</t>
  </si>
  <si>
    <t xml:space="preserve">Clase D</t>
  </si>
  <si>
    <t xml:space="preserve">Sí, 9.7.1.4 a): válvula de cierre en la manguera (rodante, IRAM 3550)</t>
  </si>
  <si>
    <t xml:space="preserve">CAPACIDAD POR PUESTO (fracción de cada agente que pasa por el puesto)</t>
  </si>
  <si>
    <t xml:space="preserve">N°</t>
  </si>
  <si>
    <t xml:space="preserve">Puesto / operación</t>
  </si>
  <si>
    <t xml:space="preserve">Máquina / equipo</t>
  </si>
  <si>
    <t xml:space="preserve">Recurso</t>
  </si>
  <si>
    <t xml:space="preserve">Tiempo tipo (s/u)</t>
  </si>
  <si>
    <t xml:space="preserve">Cap. real (u/h)</t>
  </si>
  <si>
    <t xml:space="preserve">Cap. real (u/mes, 1 turno)</t>
  </si>
  <si>
    <t xml:space="preserve">Desglose del tiempo (s)</t>
  </si>
  <si>
    <t xml:space="preserve">Nota</t>
  </si>
  <si>
    <t xml:space="preserve">Recepción y registro</t>
  </si>
  <si>
    <t xml:space="preserve">Autoelevador + tablet e impresora de etiquetas; jaulas A y B</t>
  </si>
  <si>
    <t xml:space="preserve">Manual</t>
  </si>
  <si>
    <t xml:space="preserve">Cargar jaulas 12,5 + descargar y controlar contra remito 12,5 + datos en el sistema 40 + separar por agente 10. Lo que se hace en el cliente no cuenta.</t>
  </si>
  <si>
    <t xml:space="preserve">Inspección visual</t>
  </si>
  <si>
    <t xml:space="preserve">Mesa con goma, lámpara con lupa, PC</t>
  </si>
  <si>
    <t xml:space="preserve">Escanear 5 + exterior 30 + válvula, manómetro y manguera 25 + fecha PH 10 + registro 15 + bandeja 5</t>
  </si>
  <si>
    <t xml:space="preserve">Antes 70 s; los pasos suman 90 s</t>
  </si>
  <si>
    <t xml:space="preserve">Descarga ABC — ruta recuperable</t>
  </si>
  <si>
    <t xml:space="preserve">Máquina neumática Yukon (tolva 240 kg)</t>
  </si>
  <si>
    <t xml:space="preserve">Máquina</t>
  </si>
  <si>
    <t xml:space="preserve">Escanear y agitado 15 + descargar mirando el visor 60 + tapar 10 (el retiro de válvula se cuenta en Desarme)</t>
  </si>
  <si>
    <t xml:space="preserve">Descarga ABC — ruta descarte</t>
  </si>
  <si>
    <t xml:space="preserve">Tambor Yukon M-000030</t>
  </si>
  <si>
    <t xml:space="preserve">Igual que la ruta recuperable, al tambor</t>
  </si>
  <si>
    <t xml:space="preserve">Descarga BC</t>
  </si>
  <si>
    <t xml:space="preserve">Tambor Yukon M-000030 dedicado BC</t>
  </si>
  <si>
    <t xml:space="preserve">Igual que ABC; todo a descarte</t>
  </si>
  <si>
    <t xml:space="preserve">Descarga de agua / AFFF / sales K</t>
  </si>
  <si>
    <t xml:space="preserve">IBC 1.000 l (AFFF) y tanque 600 l (agua)</t>
  </si>
  <si>
    <t xml:space="preserve">Escanear 10 + quitar lanza 10 + acoplar 15 + vaciar 60 + llevar a desarme 10</t>
  </si>
  <si>
    <t xml:space="preserve">Antes 180 s; los pasos suman 105 s. Sales K: misma ruta que agua y AFFF</t>
  </si>
  <si>
    <t xml:space="preserve">Recuperación de CO₂</t>
  </si>
  <si>
    <t xml:space="preserve">Trasvasadora CO₂ 103/D1 (misma máquina que la carga)</t>
  </si>
  <si>
    <t xml:space="preserve">Pesar 20 + conectar 20 + bombear 120 + verificar y pesar 20 + desconectar 15 + registrar 10</t>
  </si>
  <si>
    <t xml:space="preserve">Recuperación de halogenado</t>
  </si>
  <si>
    <t xml:space="preserve">Unidad THB/BP (misma máquina que la carga)</t>
  </si>
  <si>
    <t xml:space="preserve">Preparar y verificar cilindro de paso 60 + pesar 20 + conectar 30 + recuperar 300 + pesar ambos 40 + anotar 15</t>
  </si>
  <si>
    <t xml:space="preserve">Desarme y limpieza — recinto</t>
  </si>
  <si>
    <t xml:space="preserve">Lanza de soplado + aspiradora industrial + llaves</t>
  </si>
  <si>
    <t xml:space="preserve">Verificar 5 + retirar válvula 30 + marbete 5 + bandeja 10 + soplar 20 + limpieza profunda 120 × % con PH + tapar 5</t>
  </si>
  <si>
    <t xml:space="preserve">Antes 90 s con 25 % de PH; los pasos suman 99 s con 20 %</t>
  </si>
  <si>
    <t xml:space="preserve">Desarme e inspección interior — zona general</t>
  </si>
  <si>
    <t xml:space="preserve">Boroscopio Klein ET19 + llaves</t>
  </si>
  <si>
    <t xml:space="preserve">Confirmar vacío 10 + retirar válvula 40 + boroscopio 60 + enjuague 90 × 40 % + foto 15 + tapar 15</t>
  </si>
  <si>
    <t xml:space="preserve">Laboratorio — Puffer y mufla</t>
  </si>
  <si>
    <t xml:space="preserve">Puffer Yukon M-100150 + mufla ORL-0</t>
  </si>
  <si>
    <t xml:space="preserve">Tiempo por ENSAYO: registro 300 + mufla 600 + Puffer 1.800 + dictamen 60 + carga 120 + liberar tolva 300</t>
  </si>
  <si>
    <t xml:space="preserve">Prueba hidráulica</t>
  </si>
  <si>
    <t xml:space="preserve">Máquina PH Yukon 300 kg/cm²</t>
  </si>
  <si>
    <t xml:space="preserve">Verificar con patrón 12 + escanear 20 + llenar y conectar 90 + ensayo 90 + vaciar y retirar 75 + registrar 15. CO₂ lleva además ultrasonido y acuñado</t>
  </si>
  <si>
    <t xml:space="preserve">Secado</t>
  </si>
  <si>
    <t xml:space="preserve">Secadora Yukon de 6 recipientes</t>
  </si>
  <si>
    <t xml:space="preserve">Colocar 15 + 15 min ÷ 6 recipientes = 150 + retirar 15</t>
  </si>
  <si>
    <t xml:space="preserve">Agua, AFFF y sales K no se secan: se vuelven a llenar</t>
  </si>
  <si>
    <t xml:space="preserve">Inspección interior con videoscopio</t>
  </si>
  <si>
    <t xml:space="preserve">Videoscopio + mesa con soporte en V</t>
  </si>
  <si>
    <t xml:space="preserve">Recorrer con la sonda 60 + guardar foto 15 + tapar 10</t>
  </si>
  <si>
    <t xml:space="preserve">Pintura</t>
  </si>
  <si>
    <t xml:space="preserve">Cabina con extracción, HVLP, lámparas IR, amoladora</t>
  </si>
  <si>
    <t xml:space="preserve">Sin desglose de pasos en el original</t>
  </si>
  <si>
    <t xml:space="preserve">Carga de polvo ABC</t>
  </si>
  <si>
    <t xml:space="preserve">Máquina neumática Yukon con corte por peso</t>
  </si>
  <si>
    <t xml:space="preserve">Contraste por turno 6 + tara 15 + carga 45 + pesar 15 + rosca 15 + registrar 10</t>
  </si>
  <si>
    <t xml:space="preserve">Antes 90 s; los pasos suman 106 s</t>
  </si>
  <si>
    <t xml:space="preserve">Carga de polvo BC</t>
  </si>
  <si>
    <t xml:space="preserve">Cargadora portátil Yukon dedicada BC</t>
  </si>
  <si>
    <t xml:space="preserve">Contraste 10 + tara 15 + carga portátil 75 + pesar 15 + rosca 15 + registrar 10</t>
  </si>
  <si>
    <t xml:space="preserve">Descarga y carga Clase D</t>
  </si>
  <si>
    <t xml:space="preserve">Recipiente exclusivo + embudo + balanza</t>
  </si>
  <si>
    <t xml:space="preserve">Descarga manual 180 + tara 15 + carga con embudo 240 + ajuste 30 + rosca 15 + registro 10</t>
  </si>
  <si>
    <t xml:space="preserve">Supuesto del original (no está en el documento de procesos)</t>
  </si>
  <si>
    <t xml:space="preserve">Carga de agua / AFFF / sales K</t>
  </si>
  <si>
    <t xml:space="preserve">Red + tanque de premezcla con bomba 40 l/min + balanza</t>
  </si>
  <si>
    <t xml:space="preserve">Contraste y premezcla 20 + tara 10 + cargar 30 + corregir 15 + rosca 15 + registrar 10</t>
  </si>
  <si>
    <t xml:space="preserve">Carga de CO₂</t>
  </si>
  <si>
    <t xml:space="preserve">Trasvasadora CO₂ 103/D1 + manifold</t>
  </si>
  <si>
    <t xml:space="preserve">Tarar y programar 30 + elegir origen 10 + abrir manifold 15 + llenar 150 + pesar 25 + registrar 10</t>
  </si>
  <si>
    <t xml:space="preserve">Ensamblaje y marbete — recinto</t>
  </si>
  <si>
    <t xml:space="preserve">Morsa + llave dinamométrica</t>
  </si>
  <si>
    <t xml:space="preserve">Escanear 10 + revisar piezas 30 + o-ring 20 + marbete 10 + enroscar 30 + manguera y repuestos 20</t>
  </si>
  <si>
    <t xml:space="preserve">Presurización — recinto</t>
  </si>
  <si>
    <t xml:space="preserve">Pinza Yukon M-000150 + regulador</t>
  </si>
  <si>
    <t xml:space="preserve">Contraste por turno 3 + fijar presión 15 + colocar 10 + presurizar 20 + pasador 15 + registrar 10</t>
  </si>
  <si>
    <t xml:space="preserve">Ensamblaje y presurización — zona general</t>
  </si>
  <si>
    <t xml:space="preserve">Morsa + dinamométrica + pinza Yukon</t>
  </si>
  <si>
    <t xml:space="preserve">Ensamblaje 120 + presurización 50. CO₂ no se presuriza y halogenados se presurizan en la carga</t>
  </si>
  <si>
    <t xml:space="preserve">Carga y presurización de halogenado</t>
  </si>
  <si>
    <t xml:space="preserve">Unidad THB/BP + pinza</t>
  </si>
  <si>
    <t xml:space="preserve">Cargar 300 + presurizar 40 + agitar y repetir 60 + pesar y registrar 30</t>
  </si>
  <si>
    <t xml:space="preserve">Control de peso (CO₂ y halogenados sin recarga)</t>
  </si>
  <si>
    <t xml:space="preserve">Balanza</t>
  </si>
  <si>
    <t xml:space="preserve">Pesar y comparar 30 + registrar 10</t>
  </si>
  <si>
    <t xml:space="preserve">Anexo E: control anual de la masa</t>
  </si>
  <si>
    <t xml:space="preserve">Ensayo de pérdidas</t>
  </si>
  <si>
    <t xml:space="preserve">Tanque de inmersión inox (6 posiciones); spray en rodantes</t>
  </si>
  <si>
    <t xml:space="preserve">Preparar por turno 5 + bajar y observar en tandas de 6: 45 + sacar 10 + secar 10 + registrar 10</t>
  </si>
  <si>
    <t xml:space="preserve">Precinto, etiqueta y despacho</t>
  </si>
  <si>
    <t xml:space="preserve">Dispensador + impresora + jaulas</t>
  </si>
  <si>
    <t xml:space="preserve">Precinto 15 + etiqueta 25 + revisión final 15 + cerrar OT 10 + jaula 15 + remito 6</t>
  </si>
  <si>
    <t xml:space="preserve">Antes 80 s; los pasos suman 86 s</t>
  </si>
  <si>
    <t xml:space="preserve">Inutilización y disposición final</t>
  </si>
  <si>
    <t xml:space="preserve">Taladro de columna con prensa en V</t>
  </si>
  <si>
    <t xml:space="preserve">Confirmar 30 + perforar 120 + desarmar y cortar manguera 90 + residuos 60 + foto y acta 90</t>
  </si>
  <si>
    <t xml:space="preserve">9.12 y Anexo G: acta de inutilización</t>
  </si>
  <si>
    <t xml:space="preserve">PH de mangueras (CO₂ y rodantes)</t>
  </si>
  <si>
    <t xml:space="preserve">Máquina PH Yukon 300 kg/cm² (misma que la PH de recipientes)</t>
  </si>
  <si>
    <t xml:space="preserve">—</t>
  </si>
  <si>
    <t xml:space="preserve">Mismos pasos que la PH del recipiente: patrón 12 + escanear 20 + llenar y conectar 90 + ensayo 90 + vaciar y retirar 75 + registrar 15</t>
  </si>
  <si>
    <t xml:space="preserve">9.7.1.4: PH anual de mangueras de CO₂ y con cierre en el extremo (tabla 5). Demanda = fila Mangueras del Plan mensual. Criterio: tiempo igual al de la PH del recipiente; falta el rótulo plástico</t>
  </si>
  <si>
    <t xml:space="preserve">PH Firesafer (alternativa, no entra en el cálculo)</t>
  </si>
  <si>
    <t xml:space="preserve">Banco Firesafer FS-JD12A</t>
  </si>
  <si>
    <t xml:space="preserve">El original copia el desglose de la Yukon (302 s) con 60 s: revisar antes de usarla</t>
  </si>
  <si>
    <t xml:space="preserve">Agente</t>
  </si>
  <si>
    <t xml:space="preserve">u. equiv.</t>
  </si>
  <si>
    <t xml:space="preserve">Incluye mant. de sustitutos (u./año)</t>
  </si>
  <si>
    <t xml:space="preserve">Total recipientes</t>
  </si>
  <si>
    <t xml:space="preserve">Por agente (u. equivalentes)</t>
  </si>
  <si>
    <t xml:space="preserve">Mangueras con PH anual (u.)</t>
  </si>
  <si>
    <t xml:space="preserve">Año 2026</t>
  </si>
  <si>
    <t xml:space="preserve">Total anual</t>
  </si>
  <si>
    <t xml:space="preserve">Demanda mes pico (u/mes)</t>
  </si>
  <si>
    <t xml:space="preserve">Demanda (u/h, 1 turno)</t>
  </si>
  <si>
    <t xml:space="preserve">Año 2027</t>
  </si>
  <si>
    <t xml:space="preserve">Año 2028</t>
  </si>
  <si>
    <t xml:space="preserve">Año 2029</t>
  </si>
  <si>
    <t xml:space="preserve">Año 2030</t>
  </si>
  <si>
    <t xml:space="preserve">Año 2031</t>
  </si>
  <si>
    <t xml:space="preserve">Año 2032</t>
  </si>
  <si>
    <t xml:space="preserve">Año 2033</t>
  </si>
  <si>
    <t xml:space="preserve">Año 2034</t>
  </si>
  <si>
    <t xml:space="preserve">Año 2035</t>
  </si>
  <si>
    <t xml:space="preserve">Aprovechamiento por puesto</t>
  </si>
  <si>
    <t xml:space="preserve">Acciones (lista)</t>
  </si>
  <si>
    <t xml:space="preserve">Cuándo</t>
  </si>
  <si>
    <t xml:space="preserve">OK</t>
  </si>
  <si>
    <t xml:space="preserve">Aprovechamiento dentro del umbral</t>
  </si>
  <si>
    <t xml:space="preserve">Agrega turno</t>
  </si>
  <si>
    <t xml:space="preserve">Hay turnos disponibles (menos que el máximo por día)</t>
  </si>
  <si>
    <t xml:space="preserve">Agrega máquina</t>
  </si>
  <si>
    <t xml:space="preserve">Ya está en el máximo de turnos y el puesto es de máquina</t>
  </si>
  <si>
    <t xml:space="preserve">Agrega operario (puesto manual)</t>
  </si>
  <si>
    <t xml:space="preserve">Ya está en el máximo de turnos y el puesto es manual</t>
  </si>
  <si>
    <t xml:space="preserve">Tercerizado</t>
  </si>
  <si>
    <t xml:space="preserve">Recurso cargado como Tercerizado en parametros_recargas</t>
  </si>
  <si>
    <t xml:space="preserve">Revisar</t>
  </si>
  <si>
    <t xml:space="preserve">Hay demanda y el puesto no tiene tiempo tipo</t>
  </si>
  <si>
    <t xml:space="preserve">Máquinas y turnos: celdas gris oscuro, cargar a mano.</t>
  </si>
  <si>
    <t xml:space="preserve">Aprovechamiento máximo</t>
  </si>
  <si>
    <t xml:space="preserve">Máquinas en el puesto (cargar a mano)</t>
  </si>
  <si>
    <t xml:space="preserve">TOTAL máquinas / puestos</t>
  </si>
  <si>
    <t xml:space="preserve">Turnos del puesto (cargar a mano)</t>
  </si>
  <si>
    <t xml:space="preserve">Turnos de la planta (máximo)</t>
  </si>
  <si>
    <t xml:space="preserve">Máquina × turno necesarios al umbral</t>
  </si>
  <si>
    <t xml:space="preserve">TOTAL máquina × turno necesarios</t>
  </si>
  <si>
    <t xml:space="preserve">Acción sugerida</t>
  </si>
  <si>
    <t xml:space="preserve">SOBRESTOCK DE SUSTITUTOS (IRAM 3517-2 9.4.5)</t>
  </si>
  <si>
    <t xml:space="preserve">Equipos afuera = retiros por día del mes pico × días afuera (ley de Little); depende de las recargas, no de la cantidad de clientes. El mantenimiento anual del stock entra al Plan mensual del año siguiente y suma al aprovechamiento.</t>
  </si>
  <si>
    <t xml:space="preserve">Días de ruta (retiro y devolución)</t>
  </si>
  <si>
    <t xml:space="preserve">Criterio (a confirmar): se retira hoy, se recarga y vuelve en la ruta del día siguiente. El camión entrega los recargados y retira en la misma visita (Word de procesos, Recepción)</t>
  </si>
  <si>
    <t xml:space="preserve">1. Tipo y sustituto equivalente (igual clasificación y por lo menos igual capacidad)</t>
  </si>
  <si>
    <t xml:space="preserve">Lleva sustituto (1 = sí)</t>
  </si>
  <si>
    <t xml:space="preserve">Sustituto equivalente</t>
  </si>
  <si>
    <t xml:space="preserve">Fuente</t>
  </si>
  <si>
    <t xml:space="preserve">Automotor: sin canje, vuelve el mismo equipo (criterio del usuario)</t>
  </si>
  <si>
    <t xml:space="preserve">Proyecciones, Reservas y Sustitutos, filas 54 a 65; 9.4.5</t>
  </si>
  <si>
    <t xml:space="preserve">2. Retiros por día hábil en el mes pico (recargas de clientes × mes pico ÷ días del mes)</t>
  </si>
  <si>
    <t xml:space="preserve">3a. Aprovechamiento máximo de los puestos de la ruta (mes pico, Resumen Capacidad)</t>
  </si>
  <si>
    <t xml:space="preserve">3b. Días de cola = (aprovechamiento − 1) × días del mes, si pasa el 100 %</t>
  </si>
  <si>
    <t xml:space="preserve">4. Días afuera = días de ruta + días de cola del agente</t>
  </si>
  <si>
    <t xml:space="preserve">5. Equipos afuera en el mes pico = retiros por día × días afuera</t>
  </si>
  <si>
    <t xml:space="preserve">6. Stock de sustitutos por equivalente (redondeado hacia arriba)</t>
  </si>
  <si>
    <t xml:space="preserve">7. Equipos afuera en un mes promedio (recargas del año ÷ 240 × días afuera)</t>
  </si>
  <si>
    <t xml:space="preserve">8. Sobrestock = stock − equipos afuera en un mes promedio (lo que sobra fuera del pico)</t>
  </si>
  <si>
    <t xml:space="preserve">9. Alta anual de sustitutos = lo que crece el stock + reposición de inutilizados</t>
  </si>
  <si>
    <t xml:space="preserve">10. Mantenimiento anual de sustitutos = stock del año anterior (9.4.5 y 9.2.1); entra al Plan mensual parejo en los 12 meses</t>
  </si>
  <si>
    <t xml:space="preserve">Criterio: el mantenimiento del stock propio se programa parejo en el año (1/12 por mes).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</si>
</sst>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0.0%"/>
    <numFmt numFmtId="167" formatCode="0"/>
    <numFmt numFmtId="168" formatCode="0.00"/>
    <numFmt numFmtId="169" formatCode="0%"/>
    <numFmt numFmtId="170" formatCode="0.000"/>
    <numFmt numFmtId="171" formatCode="0.0000"/>
    <numFmt numFmtId="172" formatCode="0.0"/>
    <numFmt numFmtId="173" formatCode="#,##0.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D9D9D9"/>
        <bgColor rgb="FFC0C0C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b val="1"/>
        <sz val="10"/>
      </font>
      <fill>
        <patternFill>
          <bgColor rgb="FFA6A6A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1" min="2" style="0" width="13"/>
    <col collapsed="false" customWidth="true" hidden="false" outlineLevel="0" max="12" min="12" style="0" width="5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n">
        <v>2026</v>
      </c>
      <c r="C4" s="3" t="n">
        <v>2027</v>
      </c>
      <c r="D4" s="3" t="n">
        <v>2028</v>
      </c>
      <c r="E4" s="3" t="n">
        <v>2029</v>
      </c>
      <c r="F4" s="3" t="n">
        <v>2030</v>
      </c>
      <c r="G4" s="3" t="n">
        <v>2031</v>
      </c>
      <c r="H4" s="3" t="n">
        <v>2032</v>
      </c>
      <c r="I4" s="3" t="n">
        <v>2033</v>
      </c>
      <c r="J4" s="3" t="n">
        <v>2034</v>
      </c>
      <c r="K4" s="3" t="n">
        <v>2035</v>
      </c>
    </row>
    <row r="5" customFormat="false" ht="15" hidden="false" customHeight="false" outlineLevel="0" collapsed="false">
      <c r="A5" s="4" t="s">
        <v>3</v>
      </c>
      <c r="B5" s="5" t="n">
        <v>3477.482124</v>
      </c>
      <c r="C5" s="5" t="n">
        <v>16970.58564</v>
      </c>
      <c r="D5" s="5" t="n">
        <v>30546.08951</v>
      </c>
      <c r="E5" s="5" t="n">
        <v>56048.31106</v>
      </c>
      <c r="F5" s="5" t="n">
        <v>84270.22613</v>
      </c>
      <c r="G5" s="5" t="n">
        <v>117407.8231</v>
      </c>
      <c r="H5" s="5" t="n">
        <v>147610.6356</v>
      </c>
      <c r="I5" s="5" t="n">
        <v>171404.3607</v>
      </c>
      <c r="J5" s="5" t="n">
        <v>183690.566</v>
      </c>
      <c r="K5" s="5" t="n">
        <v>196282.6907</v>
      </c>
    </row>
    <row r="6" customFormat="false" ht="15" hidden="false" customHeight="false" outlineLevel="0" collapsed="false">
      <c r="A6" s="4" t="s">
        <v>4</v>
      </c>
      <c r="B6" s="5" t="n">
        <v>329.996668</v>
      </c>
      <c r="C6" s="5" t="n">
        <v>1287.414024</v>
      </c>
      <c r="D6" s="5" t="n">
        <v>2947.169216</v>
      </c>
      <c r="E6" s="5" t="n">
        <v>5426.043269</v>
      </c>
      <c r="F6" s="5" t="n">
        <v>7850.875806</v>
      </c>
      <c r="G6" s="5" t="n">
        <v>10423.94365</v>
      </c>
      <c r="H6" s="5" t="n">
        <v>12809.89571</v>
      </c>
      <c r="I6" s="5" t="n">
        <v>14263.06831</v>
      </c>
      <c r="J6" s="5" t="n">
        <v>15432.86983</v>
      </c>
      <c r="K6" s="5" t="n">
        <v>16620.76117</v>
      </c>
    </row>
    <row r="7" customFormat="false" ht="15" hidden="false" customHeight="false" outlineLevel="0" collapsed="false">
      <c r="A7" s="4" t="s">
        <v>5</v>
      </c>
      <c r="B7" s="5" t="n">
        <v>1950.394097</v>
      </c>
      <c r="C7" s="5" t="n">
        <v>7852.61852</v>
      </c>
      <c r="D7" s="5" t="n">
        <v>17775.85701</v>
      </c>
      <c r="E7" s="5" t="n">
        <v>33605.56835</v>
      </c>
      <c r="F7" s="5" t="n">
        <v>48407.57189</v>
      </c>
      <c r="G7" s="5" t="n">
        <v>64323.04276</v>
      </c>
      <c r="H7" s="5" t="n">
        <v>78721.10039</v>
      </c>
      <c r="I7" s="5" t="n">
        <v>87237.2124</v>
      </c>
      <c r="J7" s="5" t="n">
        <v>94103.66761</v>
      </c>
      <c r="K7" s="5" t="n">
        <v>101095.1762</v>
      </c>
    </row>
    <row r="8" customFormat="false" ht="15" hidden="false" customHeight="false" outlineLevel="0" collapsed="false">
      <c r="A8" s="4" t="s">
        <v>6</v>
      </c>
      <c r="B8" s="5" t="n">
        <v>118.343632</v>
      </c>
      <c r="C8" s="5" t="n">
        <v>437.716578</v>
      </c>
      <c r="D8" s="5" t="n">
        <v>1024.974821</v>
      </c>
      <c r="E8" s="5" t="n">
        <v>1960.409862</v>
      </c>
      <c r="F8" s="5" t="n">
        <v>2844.976846</v>
      </c>
      <c r="G8" s="5" t="n">
        <v>3810.390622</v>
      </c>
      <c r="H8" s="5" t="n">
        <v>4663.67807</v>
      </c>
      <c r="I8" s="5" t="n">
        <v>5164.514584</v>
      </c>
      <c r="J8" s="5" t="n">
        <v>5571.544328</v>
      </c>
      <c r="K8" s="5" t="n">
        <v>5985.950855</v>
      </c>
    </row>
    <row r="9" customFormat="false" ht="15" hidden="false" customHeight="false" outlineLevel="0" collapsed="false">
      <c r="A9" s="4" t="s">
        <v>7</v>
      </c>
      <c r="B9" s="5" t="n">
        <v>159.308736</v>
      </c>
      <c r="C9" s="5" t="n">
        <v>643.423542</v>
      </c>
      <c r="D9" s="5" t="n">
        <v>1474.362741</v>
      </c>
      <c r="E9" s="5" t="n">
        <v>2766.451205</v>
      </c>
      <c r="F9" s="5" t="n">
        <v>3991.465221</v>
      </c>
      <c r="G9" s="5" t="n">
        <v>5335.75578</v>
      </c>
      <c r="H9" s="5" t="n">
        <v>6538.958887</v>
      </c>
      <c r="I9" s="5" t="n">
        <v>7269.819681</v>
      </c>
      <c r="J9" s="5" t="n">
        <v>7855.44139</v>
      </c>
      <c r="K9" s="5" t="n">
        <v>8450.814081</v>
      </c>
    </row>
    <row r="10" customFormat="false" ht="15" hidden="false" customHeight="false" outlineLevel="0" collapsed="false">
      <c r="A10" s="4" t="s">
        <v>8</v>
      </c>
      <c r="B10" s="5" t="n">
        <v>22.758391</v>
      </c>
      <c r="C10" s="5" t="n">
        <v>161.315751</v>
      </c>
      <c r="D10" s="5" t="n">
        <v>316.607276</v>
      </c>
      <c r="E10" s="5" t="n">
        <v>527.39462</v>
      </c>
      <c r="F10" s="5" t="n">
        <v>743.788946</v>
      </c>
      <c r="G10" s="5" t="n">
        <v>962.874335</v>
      </c>
      <c r="H10" s="5" t="n">
        <v>1194.942207</v>
      </c>
      <c r="I10" s="5" t="n">
        <v>1351.617183</v>
      </c>
      <c r="J10" s="5" t="n">
        <v>1477.54886</v>
      </c>
      <c r="K10" s="5" t="n">
        <v>1604.441422</v>
      </c>
    </row>
    <row r="11" customFormat="false" ht="15" hidden="false" customHeight="false" outlineLevel="0" collapsed="false">
      <c r="A11" s="4" t="s">
        <v>9</v>
      </c>
      <c r="B11" s="5" t="n">
        <v>11.379195</v>
      </c>
      <c r="C11" s="5" t="n">
        <v>83.22352</v>
      </c>
      <c r="D11" s="5" t="n">
        <v>164.463834</v>
      </c>
      <c r="E11" s="5" t="n">
        <v>281.341145</v>
      </c>
      <c r="F11" s="5" t="n">
        <v>398.902509</v>
      </c>
      <c r="G11" s="5" t="n">
        <v>514.527284</v>
      </c>
      <c r="H11" s="5" t="n">
        <v>629.065505</v>
      </c>
      <c r="I11" s="5" t="n">
        <v>711.178024</v>
      </c>
      <c r="J11" s="5" t="n">
        <v>773.41098</v>
      </c>
      <c r="K11" s="5" t="n">
        <v>836.350805</v>
      </c>
    </row>
    <row r="12" customFormat="false" ht="15" hidden="false" customHeight="false" outlineLevel="0" collapsed="false">
      <c r="A12" s="4" t="s">
        <v>10</v>
      </c>
      <c r="B12" s="5" t="n">
        <v>6.827517</v>
      </c>
      <c r="C12" s="5" t="n">
        <v>47.073112</v>
      </c>
      <c r="D12" s="5" t="n">
        <v>88.889676</v>
      </c>
      <c r="E12" s="5" t="n">
        <v>159.502491</v>
      </c>
      <c r="F12" s="5" t="n">
        <v>219.796202</v>
      </c>
      <c r="G12" s="5" t="n">
        <v>291.869853</v>
      </c>
      <c r="H12" s="5" t="n">
        <v>368.844169</v>
      </c>
      <c r="I12" s="5" t="n">
        <v>408.408953</v>
      </c>
      <c r="J12" s="5" t="n">
        <v>445.781944</v>
      </c>
      <c r="K12" s="5" t="n">
        <v>483.479203</v>
      </c>
    </row>
    <row r="13" customFormat="false" ht="15" hidden="false" customHeight="false" outlineLevel="0" collapsed="false">
      <c r="A13" s="4" t="s">
        <v>11</v>
      </c>
      <c r="B13" s="5" t="n">
        <v>81.930207</v>
      </c>
      <c r="C13" s="5" t="n">
        <v>335.398855</v>
      </c>
      <c r="D13" s="5" t="n">
        <v>746.598352</v>
      </c>
      <c r="E13" s="5" t="n">
        <v>1358.899837</v>
      </c>
      <c r="F13" s="5" t="n">
        <v>1961.125522</v>
      </c>
      <c r="G13" s="5" t="n">
        <v>2598.541412</v>
      </c>
      <c r="H13" s="5" t="n">
        <v>3197.263477</v>
      </c>
      <c r="I13" s="5" t="n">
        <v>3578.539452</v>
      </c>
      <c r="J13" s="5" t="n">
        <v>3870.747997</v>
      </c>
      <c r="K13" s="5" t="n">
        <v>4167.559622</v>
      </c>
    </row>
    <row r="14" customFormat="false" ht="15" hidden="false" customHeight="false" outlineLevel="0" collapsed="false">
      <c r="A14" s="4" t="s">
        <v>12</v>
      </c>
      <c r="B14" s="5" t="n">
        <v>450.616139</v>
      </c>
      <c r="C14" s="5" t="n">
        <v>1697.18149</v>
      </c>
      <c r="D14" s="5" t="n">
        <v>3955.196858</v>
      </c>
      <c r="E14" s="5" t="n">
        <v>7561.26033</v>
      </c>
      <c r="F14" s="5" t="n">
        <v>10920.14481</v>
      </c>
      <c r="G14" s="5" t="n">
        <v>14514.88522</v>
      </c>
      <c r="H14" s="5" t="n">
        <v>17746.49927</v>
      </c>
      <c r="I14" s="5" t="n">
        <v>19617.20546</v>
      </c>
      <c r="J14" s="5" t="n">
        <v>21161.80625</v>
      </c>
      <c r="K14" s="5" t="n">
        <v>22734.50171</v>
      </c>
    </row>
    <row r="15" customFormat="false" ht="15" hidden="false" customHeight="false" outlineLevel="0" collapsed="false">
      <c r="A15" s="4" t="s">
        <v>13</v>
      </c>
      <c r="B15" s="5" t="n">
        <v>125.17115</v>
      </c>
      <c r="C15" s="5" t="n">
        <v>643.630371</v>
      </c>
      <c r="D15" s="5" t="n">
        <v>1375.626719</v>
      </c>
      <c r="E15" s="5" t="n">
        <v>2460.284265</v>
      </c>
      <c r="F15" s="5" t="n">
        <v>3545.257683</v>
      </c>
      <c r="G15" s="5" t="n">
        <v>4723.461784</v>
      </c>
      <c r="H15" s="5" t="n">
        <v>5853.905178</v>
      </c>
      <c r="I15" s="5" t="n">
        <v>6608.459909</v>
      </c>
      <c r="J15" s="5" t="n">
        <v>7185.708397</v>
      </c>
      <c r="K15" s="5" t="n">
        <v>7769.577127</v>
      </c>
    </row>
    <row r="16" customFormat="false" ht="15" hidden="false" customHeight="false" outlineLevel="0" collapsed="false">
      <c r="A16" s="4" t="s">
        <v>14</v>
      </c>
      <c r="B16" s="5" t="n">
        <v>18.206713</v>
      </c>
      <c r="C16" s="5" t="n">
        <v>112.075122</v>
      </c>
      <c r="D16" s="5" t="n">
        <v>230.854041</v>
      </c>
      <c r="E16" s="5" t="n">
        <v>400.715334</v>
      </c>
      <c r="F16" s="5" t="n">
        <v>574.507789</v>
      </c>
      <c r="G16" s="5" t="n">
        <v>754.345623</v>
      </c>
      <c r="H16" s="5" t="n">
        <v>944.84884</v>
      </c>
      <c r="I16" s="5" t="n">
        <v>1072.234671</v>
      </c>
      <c r="J16" s="5" t="n">
        <v>1171.695753</v>
      </c>
      <c r="K16" s="5" t="n">
        <v>1271.941099</v>
      </c>
    </row>
    <row r="17" customFormat="false" ht="15" hidden="false" customHeight="false" outlineLevel="0" collapsed="false">
      <c r="A17" s="4" t="s">
        <v>15</v>
      </c>
      <c r="B17" s="5" t="n">
        <v>6.827517</v>
      </c>
      <c r="C17" s="5" t="n">
        <v>47.073112</v>
      </c>
      <c r="D17" s="5" t="n">
        <v>88.889676</v>
      </c>
      <c r="E17" s="5" t="n">
        <v>148.279182</v>
      </c>
      <c r="F17" s="5" t="n">
        <v>205.226053</v>
      </c>
      <c r="G17" s="5" t="n">
        <v>255.765145</v>
      </c>
      <c r="H17" s="5" t="n">
        <v>328.417902</v>
      </c>
      <c r="I17" s="5" t="n">
        <v>366.908071</v>
      </c>
      <c r="J17" s="5" t="n">
        <v>401.681707</v>
      </c>
      <c r="K17" s="5" t="n">
        <v>436.686782</v>
      </c>
    </row>
    <row r="18" customFormat="false" ht="15" hidden="false" customHeight="false" outlineLevel="0" collapsed="false">
      <c r="A18" s="4" t="s">
        <v>16</v>
      </c>
      <c r="B18" s="5" t="n">
        <v>17.637753</v>
      </c>
      <c r="C18" s="5" t="n">
        <v>85.987819</v>
      </c>
      <c r="D18" s="5" t="n">
        <v>186.869567</v>
      </c>
      <c r="E18" s="5" t="n">
        <v>336.583621</v>
      </c>
      <c r="F18" s="5" t="n">
        <v>484.132598</v>
      </c>
      <c r="G18" s="5" t="n">
        <v>643.220385</v>
      </c>
      <c r="H18" s="5" t="n">
        <v>792.431742</v>
      </c>
      <c r="I18" s="5" t="n">
        <v>889.677707</v>
      </c>
      <c r="J18" s="5" t="n">
        <v>965.31111</v>
      </c>
      <c r="K18" s="5" t="n">
        <v>1041.939702</v>
      </c>
    </row>
    <row r="19" customFormat="false" ht="15" hidden="false" customHeight="false" outlineLevel="0" collapsed="false">
      <c r="A19" s="4" t="s">
        <v>17</v>
      </c>
      <c r="B19" s="5" t="n">
        <v>38.803056</v>
      </c>
      <c r="C19" s="5" t="n">
        <v>189.173203</v>
      </c>
      <c r="D19" s="5" t="n">
        <v>411.113048</v>
      </c>
      <c r="E19" s="5" t="n">
        <v>740.483966</v>
      </c>
      <c r="F19" s="5" t="n">
        <v>1065.091715</v>
      </c>
      <c r="G19" s="5" t="n">
        <v>1415.084848</v>
      </c>
      <c r="H19" s="5" t="n">
        <v>1743.349833</v>
      </c>
      <c r="I19" s="5" t="n">
        <v>1957.290955</v>
      </c>
      <c r="J19" s="5" t="n">
        <v>2123.684441</v>
      </c>
      <c r="K19" s="5" t="n">
        <v>2292.267343</v>
      </c>
    </row>
    <row r="20" customFormat="false" ht="15" hidden="false" customHeight="false" outlineLevel="0" collapsed="false">
      <c r="A20" s="4" t="s">
        <v>18</v>
      </c>
      <c r="B20" s="5" t="n">
        <v>8.466121</v>
      </c>
      <c r="C20" s="5" t="n">
        <v>41.274153</v>
      </c>
      <c r="D20" s="5" t="n">
        <v>89.697392</v>
      </c>
      <c r="E20" s="5" t="n">
        <v>161.560138</v>
      </c>
      <c r="F20" s="5" t="n">
        <v>232.383647</v>
      </c>
      <c r="G20" s="5" t="n">
        <v>308.745785</v>
      </c>
      <c r="H20" s="5" t="n">
        <v>380.367236</v>
      </c>
      <c r="I20" s="5" t="n">
        <v>427.045299</v>
      </c>
      <c r="J20" s="5" t="n">
        <v>463.349333</v>
      </c>
      <c r="K20" s="5" t="n">
        <v>500.131057</v>
      </c>
    </row>
    <row r="21" customFormat="false" ht="15" hidden="false" customHeight="false" outlineLevel="0" collapsed="false">
      <c r="A21" s="4" t="s">
        <v>19</v>
      </c>
      <c r="B21" s="5" t="n">
        <v>5.644081</v>
      </c>
      <c r="C21" s="5" t="n">
        <v>27.516102</v>
      </c>
      <c r="D21" s="5" t="n">
        <v>59.798262</v>
      </c>
      <c r="E21" s="5" t="n">
        <v>107.706759</v>
      </c>
      <c r="F21" s="5" t="n">
        <v>154.922431</v>
      </c>
      <c r="G21" s="5" t="n">
        <v>205.830523</v>
      </c>
      <c r="H21" s="5" t="n">
        <v>253.578158</v>
      </c>
      <c r="I21" s="5" t="n">
        <v>284.696866</v>
      </c>
      <c r="J21" s="5" t="n">
        <v>308.899555</v>
      </c>
      <c r="K21" s="5" t="n">
        <v>333.420704</v>
      </c>
    </row>
    <row r="22" customFormat="false" ht="15" hidden="false" customHeight="false" outlineLevel="0" collapsed="false">
      <c r="A22" s="6" t="s">
        <v>20</v>
      </c>
      <c r="B22" s="7" t="n">
        <f aca="false">SUM(B5:B21)</f>
        <v>6829.793097</v>
      </c>
      <c r="C22" s="7" t="n">
        <f aca="false">SUM(C5:C21)</f>
        <v>30662.680914</v>
      </c>
      <c r="D22" s="7" t="n">
        <f aca="false">SUM(D5:D21)</f>
        <v>61483.057999</v>
      </c>
      <c r="E22" s="7" t="n">
        <f aca="false">SUM(E5:E21)</f>
        <v>114050.795434</v>
      </c>
      <c r="F22" s="7" t="n">
        <f aca="false">SUM(F5:F21)</f>
        <v>167870.395798</v>
      </c>
      <c r="G22" s="7" t="n">
        <f aca="false">SUM(G5:G21)</f>
        <v>228490.108109</v>
      </c>
      <c r="H22" s="7" t="n">
        <f aca="false">SUM(H5:H21)</f>
        <v>283777.782174</v>
      </c>
      <c r="I22" s="7" t="n">
        <f aca="false">SUM(I5:I21)</f>
        <v>322612.238225</v>
      </c>
      <c r="J22" s="7" t="n">
        <f aca="false">SUM(J5:J21)</f>
        <v>347003.715485</v>
      </c>
      <c r="K22" s="7" t="n">
        <f aca="false">SUM(K5:K21)</f>
        <v>371907.689582</v>
      </c>
    </row>
    <row r="24" customFormat="false" ht="15" hidden="false" customHeight="false" outlineLevel="0" collapsed="false">
      <c r="A24" s="1" t="s">
        <v>21</v>
      </c>
    </row>
    <row r="25" customFormat="false" ht="15" hidden="false" customHeight="false" outlineLevel="0" collapsed="false">
      <c r="A25" s="3" t="s">
        <v>22</v>
      </c>
      <c r="B25" s="3" t="s">
        <v>23</v>
      </c>
      <c r="C25" s="3" t="s">
        <v>24</v>
      </c>
    </row>
    <row r="26" customFormat="false" ht="15" hidden="false" customHeight="false" outlineLevel="0" collapsed="false">
      <c r="A26" s="4" t="s">
        <v>25</v>
      </c>
      <c r="B26" s="8" t="n">
        <v>0.0521797399</v>
      </c>
      <c r="C26" s="9" t="s">
        <v>26</v>
      </c>
    </row>
    <row r="27" customFormat="false" ht="15" hidden="false" customHeight="false" outlineLevel="0" collapsed="false">
      <c r="A27" s="4" t="s">
        <v>27</v>
      </c>
      <c r="B27" s="8" t="n">
        <v>0.0798836162</v>
      </c>
      <c r="C27" s="9" t="s">
        <v>26</v>
      </c>
    </row>
    <row r="28" customFormat="false" ht="15" hidden="false" customHeight="false" outlineLevel="0" collapsed="false">
      <c r="A28" s="4" t="s">
        <v>28</v>
      </c>
      <c r="B28" s="8" t="n">
        <v>0.059817286</v>
      </c>
      <c r="C28" s="9" t="s">
        <v>29</v>
      </c>
    </row>
    <row r="29" customFormat="false" ht="15" hidden="false" customHeight="false" outlineLevel="0" collapsed="false">
      <c r="A29" s="4" t="s">
        <v>30</v>
      </c>
      <c r="B29" s="8" t="n">
        <v>0.0637650712</v>
      </c>
      <c r="C29" s="9" t="s">
        <v>26</v>
      </c>
    </row>
    <row r="30" customFormat="false" ht="15" hidden="false" customHeight="false" outlineLevel="0" collapsed="false">
      <c r="A30" s="4" t="s">
        <v>31</v>
      </c>
      <c r="B30" s="8" t="n">
        <v>0.0676801452</v>
      </c>
      <c r="C30" s="9" t="s">
        <v>29</v>
      </c>
    </row>
    <row r="31" customFormat="false" ht="15" hidden="false" customHeight="false" outlineLevel="0" collapsed="false">
      <c r="A31" s="4" t="s">
        <v>32</v>
      </c>
      <c r="B31" s="8" t="n">
        <v>0.0932172985</v>
      </c>
      <c r="C31" s="9" t="s">
        <v>29</v>
      </c>
    </row>
    <row r="32" customFormat="false" ht="15" hidden="false" customHeight="false" outlineLevel="0" collapsed="false">
      <c r="A32" s="4" t="s">
        <v>33</v>
      </c>
      <c r="B32" s="8" t="n">
        <v>0.0675217758</v>
      </c>
      <c r="C32" s="9" t="s">
        <v>29</v>
      </c>
    </row>
    <row r="33" customFormat="false" ht="15" hidden="false" customHeight="false" outlineLevel="0" collapsed="false">
      <c r="A33" s="4" t="s">
        <v>34</v>
      </c>
      <c r="B33" s="8" t="n">
        <v>0.0533558834</v>
      </c>
      <c r="C33" s="9" t="s">
        <v>26</v>
      </c>
    </row>
    <row r="34" customFormat="false" ht="15" hidden="false" customHeight="false" outlineLevel="0" collapsed="false">
      <c r="A34" s="4" t="s">
        <v>35</v>
      </c>
      <c r="B34" s="8" t="n">
        <v>0.0885682049</v>
      </c>
      <c r="C34" s="9" t="s">
        <v>26</v>
      </c>
    </row>
    <row r="35" customFormat="false" ht="15" hidden="false" customHeight="false" outlineLevel="0" collapsed="false">
      <c r="A35" s="4" t="s">
        <v>36</v>
      </c>
      <c r="B35" s="8" t="n">
        <v>0.0471361107</v>
      </c>
      <c r="C35" s="9" t="s">
        <v>26</v>
      </c>
    </row>
    <row r="36" customFormat="false" ht="15" hidden="false" customHeight="false" outlineLevel="0" collapsed="false">
      <c r="A36" s="4" t="s">
        <v>37</v>
      </c>
      <c r="B36" s="8" t="n">
        <v>0.0848900664</v>
      </c>
      <c r="C36" s="9" t="s">
        <v>26</v>
      </c>
    </row>
    <row r="37" customFormat="false" ht="15" hidden="false" customHeight="false" outlineLevel="0" collapsed="false">
      <c r="A37" s="4" t="s">
        <v>38</v>
      </c>
      <c r="B37" s="8" t="n">
        <v>0.0672643024</v>
      </c>
      <c r="C37" s="9" t="s">
        <v>26</v>
      </c>
    </row>
    <row r="38" customFormat="false" ht="15" hidden="false" customHeight="false" outlineLevel="0" collapsed="false">
      <c r="A38" s="4" t="s">
        <v>39</v>
      </c>
      <c r="B38" s="8" t="n">
        <v>0.0174767438</v>
      </c>
      <c r="C38" s="9" t="s">
        <v>26</v>
      </c>
    </row>
    <row r="39" customFormat="false" ht="15" hidden="false" customHeight="false" outlineLevel="0" collapsed="false">
      <c r="A39" s="4" t="s">
        <v>40</v>
      </c>
      <c r="B39" s="8" t="n">
        <v>0.1572437555</v>
      </c>
      <c r="C39" s="9" t="s">
        <v>26</v>
      </c>
    </row>
    <row r="41" customFormat="false" ht="15" hidden="false" customHeight="false" outlineLevel="0" collapsed="false">
      <c r="A41" s="6" t="s">
        <v>41</v>
      </c>
      <c r="B41" s="10" t="n">
        <f aca="false">SUMIF($C$26:$C$39,"Comercial",$B$26:$B$39)</f>
        <v>0.7117634944</v>
      </c>
    </row>
    <row r="42" customFormat="false" ht="15" hidden="false" customHeight="false" outlineLevel="0" collapsed="false">
      <c r="A42" s="6" t="s">
        <v>42</v>
      </c>
      <c r="B42" s="10" t="n">
        <f aca="false">SUMIF($C$26:$C$39,"Industrial",$B$26:$B$39)</f>
        <v>0.2882365055</v>
      </c>
    </row>
    <row r="43" customFormat="false" ht="15" hidden="false" customHeight="false" outlineLevel="0" collapsed="false">
      <c r="A43" s="4" t="s">
        <v>43</v>
      </c>
      <c r="B43" s="11" t="n">
        <f aca="false">B41+B42</f>
        <v>0.9999999999</v>
      </c>
    </row>
    <row r="45" customFormat="false" ht="15" hidden="false" customHeight="false" outlineLevel="0" collapsed="false">
      <c r="A45" s="1" t="s">
        <v>44</v>
      </c>
    </row>
    <row r="46" customFormat="false" ht="15" hidden="false" customHeight="true" outlineLevel="0" collapsed="false">
      <c r="A46" s="3" t="s">
        <v>45</v>
      </c>
      <c r="B46" s="3" t="s">
        <v>46</v>
      </c>
      <c r="C46" s="3" t="s">
        <v>47</v>
      </c>
      <c r="D46" s="3"/>
      <c r="E46" s="3"/>
      <c r="F46" s="3"/>
      <c r="G46" s="3"/>
      <c r="H46" s="3"/>
      <c r="I46" s="3"/>
      <c r="J46" s="3"/>
      <c r="K46" s="3"/>
      <c r="L46" s="3"/>
    </row>
    <row r="47" customFormat="false" ht="15" hidden="false" customHeight="true" outlineLevel="0" collapsed="false">
      <c r="A47" s="4" t="s">
        <v>48</v>
      </c>
      <c r="B47" s="8" t="n">
        <v>0.05</v>
      </c>
      <c r="C47" s="4" t="s">
        <v>49</v>
      </c>
      <c r="D47" s="4"/>
      <c r="E47" s="4"/>
      <c r="F47" s="4"/>
      <c r="G47" s="4"/>
      <c r="H47" s="4"/>
      <c r="I47" s="4"/>
      <c r="J47" s="4"/>
      <c r="K47" s="4"/>
      <c r="L47" s="4"/>
    </row>
    <row r="48" customFormat="false" ht="15" hidden="false" customHeight="true" outlineLevel="0" collapsed="false">
      <c r="A48" s="4" t="s">
        <v>50</v>
      </c>
      <c r="B48" s="8" t="n">
        <v>0.02</v>
      </c>
      <c r="C48" s="4" t="s">
        <v>51</v>
      </c>
      <c r="D48" s="4"/>
      <c r="E48" s="4"/>
      <c r="F48" s="4"/>
      <c r="G48" s="4"/>
      <c r="H48" s="4"/>
      <c r="I48" s="4"/>
      <c r="J48" s="4"/>
      <c r="K48" s="4"/>
      <c r="L48" s="4"/>
    </row>
    <row r="49" customFormat="false" ht="15" hidden="false" customHeight="true" outlineLevel="0" collapsed="false">
      <c r="A49" s="4" t="s">
        <v>52</v>
      </c>
      <c r="B49" s="8" t="n">
        <v>0.01</v>
      </c>
      <c r="C49" s="4" t="s">
        <v>53</v>
      </c>
      <c r="D49" s="4"/>
      <c r="E49" s="4"/>
      <c r="F49" s="4"/>
      <c r="G49" s="4"/>
      <c r="H49" s="4"/>
      <c r="I49" s="4"/>
      <c r="J49" s="4"/>
      <c r="K49" s="4"/>
      <c r="L49" s="4"/>
    </row>
    <row r="50" customFormat="false" ht="15" hidden="false" customHeight="true" outlineLevel="0" collapsed="false">
      <c r="A50" s="4" t="s">
        <v>54</v>
      </c>
      <c r="B50" s="8" t="n">
        <v>0.0330204131377009</v>
      </c>
      <c r="C50" s="4" t="s">
        <v>55</v>
      </c>
      <c r="D50" s="4"/>
      <c r="E50" s="4"/>
      <c r="F50" s="4"/>
      <c r="G50" s="4"/>
      <c r="H50" s="4"/>
      <c r="I50" s="4"/>
      <c r="J50" s="4"/>
      <c r="K50" s="4"/>
      <c r="L50" s="4"/>
    </row>
    <row r="52" customFormat="false" ht="15" hidden="false" customHeight="false" outlineLevel="0" collapsed="false">
      <c r="A52" s="6" t="s">
        <v>56</v>
      </c>
      <c r="B52" s="9" t="s">
        <v>26</v>
      </c>
    </row>
    <row r="53" customFormat="false" ht="15" hidden="false" customHeight="false" outlineLevel="0" collapsed="false">
      <c r="A53" s="6" t="s">
        <v>57</v>
      </c>
      <c r="B53" s="10" t="n">
        <f aca="false">IF(B52="Comercial",B41,B42)</f>
        <v>0.7117634944</v>
      </c>
    </row>
  </sheetData>
  <mergeCells count="5">
    <mergeCell ref="C46:L46"/>
    <mergeCell ref="C47:L47"/>
    <mergeCell ref="C48:L48"/>
    <mergeCell ref="C49:L49"/>
    <mergeCell ref="C50:L50"/>
  </mergeCells>
  <dataValidations count="2">
    <dataValidation allowBlank="false" errorStyle="stop" operator="between" showDropDown="false" showErrorMessage="false" showInputMessage="false" sqref="C26:C39" type="list">
      <formula1>"Comercial,Industrial"</formula1>
      <formula2>0</formula2>
    </dataValidation>
    <dataValidation allowBlank="false" errorStyle="stop" operator="between" showDropDown="false" showErrorMessage="false" showInputMessage="false" sqref="B52" type="list">
      <formula1>"Comercial,Industrial"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11" min="2" style="0" width="11"/>
  </cols>
  <sheetData>
    <row r="1" customFormat="false" ht="15" hidden="false" customHeight="false" outlineLevel="0" collapsed="false">
      <c r="A1" s="3" t="s">
        <v>58</v>
      </c>
      <c r="B1" s="3" t="n">
        <f aca="false">PROY_Indexado!B4</f>
        <v>2026</v>
      </c>
      <c r="C1" s="3" t="n">
        <f aca="false">PROY_Indexado!C4</f>
        <v>2027</v>
      </c>
      <c r="D1" s="3" t="n">
        <f aca="false">PROY_Indexado!D4</f>
        <v>2028</v>
      </c>
      <c r="E1" s="3" t="n">
        <f aca="false">PROY_Indexado!E4</f>
        <v>2029</v>
      </c>
      <c r="F1" s="3" t="n">
        <f aca="false">PROY_Indexado!F4</f>
        <v>2030</v>
      </c>
      <c r="G1" s="3" t="n">
        <f aca="false">PROY_Indexado!G4</f>
        <v>2031</v>
      </c>
      <c r="H1" s="3" t="n">
        <f aca="false">PROY_Indexado!H4</f>
        <v>2032</v>
      </c>
      <c r="I1" s="3" t="n">
        <f aca="false">PROY_Indexado!I4</f>
        <v>2033</v>
      </c>
      <c r="J1" s="3" t="n">
        <f aca="false">PROY_Indexado!J4</f>
        <v>2034</v>
      </c>
      <c r="K1" s="3" t="n">
        <f aca="false">PROY_Indexado!K4</f>
        <v>2035</v>
      </c>
    </row>
    <row r="2" customFormat="false" ht="15" hidden="false" customHeight="false" outlineLevel="0" collapsed="false">
      <c r="A2" s="12" t="str">
        <f aca="false">PROY_Indexado!A5</f>
        <v>ABC 1 kg</v>
      </c>
      <c r="B2" s="13" t="n">
        <f aca="false">PROY_Indexado!B5*PROY_Indexado!$B$53</f>
        <v>2475.14482829177</v>
      </c>
      <c r="C2" s="13" t="n">
        <f aca="false">PROY_Indexado!C5*PROY_Indexado!$B$53</f>
        <v>12079.0433371409</v>
      </c>
      <c r="D2" s="13" t="n">
        <f aca="false">PROY_Indexado!D5*PROY_Indexado!$B$53</f>
        <v>21741.5914098928</v>
      </c>
      <c r="E2" s="13" t="n">
        <f aca="false">PROY_Indexado!E5*PROY_Indexado!$B$53</f>
        <v>39893.1417352838</v>
      </c>
      <c r="F2" s="13" t="n">
        <f aca="false">PROY_Indexado!F5*PROY_Indexado!$B$53</f>
        <v>59980.470624167</v>
      </c>
      <c r="G2" s="13" t="n">
        <f aca="false">PROY_Indexado!G5*PROY_Indexado!$B$53</f>
        <v>83566.602439553</v>
      </c>
      <c r="H2" s="13" t="n">
        <f aca="false">PROY_Indexado!H5*PROY_Indexado!$B$53</f>
        <v>105063.861805261</v>
      </c>
      <c r="I2" s="13" t="n">
        <f aca="false">PROY_Indexado!I5*PROY_Indexado!$B$53</f>
        <v>121999.36672723</v>
      </c>
      <c r="J2" s="13" t="n">
        <f aca="false">PROY_Indexado!J5*PROY_Indexado!$B$53</f>
        <v>130744.239144474</v>
      </c>
      <c r="K2" s="13" t="n">
        <f aca="false">PROY_Indexado!K5*PROY_Indexado!$B$53</f>
        <v>139706.853822866</v>
      </c>
    </row>
    <row r="3" customFormat="false" ht="15" hidden="false" customHeight="false" outlineLevel="0" collapsed="false">
      <c r="A3" s="12" t="str">
        <f aca="false">PROY_Indexado!A6</f>
        <v>ABC 2,5 kg</v>
      </c>
      <c r="B3" s="13" t="n">
        <f aca="false">PROY_Indexado!B6*PROY_Indexado!$B$53</f>
        <v>234.879581556037</v>
      </c>
      <c r="C3" s="13" t="n">
        <f aca="false">PROY_Indexado!C6*PROY_Indexado!$B$53</f>
        <v>916.334304461805</v>
      </c>
      <c r="D3" s="13" t="n">
        <f aca="false">PROY_Indexado!D6*PROY_Indexado!$B$53</f>
        <v>2097.68745976827</v>
      </c>
      <c r="E3" s="13" t="n">
        <f aca="false">PROY_Indexado!E6*PROY_Indexado!$B$53</f>
        <v>3862.05951790904</v>
      </c>
      <c r="F3" s="13" t="n">
        <f aca="false">PROY_Indexado!F6*PROY_Indexado!$B$53</f>
        <v>5587.96679777898</v>
      </c>
      <c r="G3" s="13" t="n">
        <f aca="false">PROY_Indexado!G6*PROY_Indexado!$B$53</f>
        <v>7419.38255775269</v>
      </c>
      <c r="H3" s="13" t="n">
        <f aca="false">PROY_Indexado!H6*PROY_Indexado!$B$53</f>
        <v>9117.61613344917</v>
      </c>
      <c r="I3" s="13" t="n">
        <f aca="false">PROY_Indexado!I6*PROY_Indexado!$B$53</f>
        <v>10151.9313411915</v>
      </c>
      <c r="J3" s="13" t="n">
        <f aca="false">PROY_Indexado!J6*PROY_Indexado!$B$53</f>
        <v>10984.5533588211</v>
      </c>
      <c r="K3" s="13" t="n">
        <f aca="false">PROY_Indexado!K6*PROY_Indexado!$B$53</f>
        <v>11830.051049947</v>
      </c>
    </row>
    <row r="4" customFormat="false" ht="15" hidden="false" customHeight="false" outlineLevel="0" collapsed="false">
      <c r="A4" s="12" t="str">
        <f aca="false">PROY_Indexado!A7</f>
        <v>ABC 5 kg</v>
      </c>
      <c r="B4" s="13" t="n">
        <f aca="false">PROY_Indexado!B7*PROY_Indexado!$B$53</f>
        <v>1388.21931793785</v>
      </c>
      <c r="C4" s="13" t="n">
        <f aca="false">PROY_Indexado!C7*PROY_Indexado!$B$53</f>
        <v>5589.20719798536</v>
      </c>
      <c r="D4" s="13" t="n">
        <f aca="false">PROY_Indexado!D7*PROY_Indexado!$B$53</f>
        <v>12652.2061013923</v>
      </c>
      <c r="E4" s="13" t="n">
        <f aca="false">PROY_Indexado!E7*PROY_Indexado!$B$53</f>
        <v>23919.216760094</v>
      </c>
      <c r="F4" s="13" t="n">
        <f aca="false">PROY_Indexado!F7*PROY_Indexado!$B$53</f>
        <v>34454.7425238456</v>
      </c>
      <c r="G4" s="13" t="n">
        <f aca="false">PROY_Indexado!G7*PROY_Indexado!$B$53</f>
        <v>45782.7936852982</v>
      </c>
      <c r="H4" s="13" t="n">
        <f aca="false">PROY_Indexado!H7*PROY_Indexado!$B$53</f>
        <v>56030.8054965996</v>
      </c>
      <c r="I4" s="13" t="n">
        <f aca="false">PROY_Indexado!I7*PROY_Indexado!$B$53</f>
        <v>62092.263139539</v>
      </c>
      <c r="J4" s="13" t="n">
        <f aca="false">PROY_Indexado!J7*PROY_Indexado!$B$53</f>
        <v>66979.5552939497</v>
      </c>
      <c r="K4" s="13" t="n">
        <f aca="false">PROY_Indexado!K7*PROY_Indexado!$B$53</f>
        <v>71955.8558790957</v>
      </c>
    </row>
    <row r="5" customFormat="false" ht="15" hidden="false" customHeight="false" outlineLevel="0" collapsed="false">
      <c r="A5" s="12" t="str">
        <f aca="false">PROY_Indexado!A8</f>
        <v>ABC 10 kg</v>
      </c>
      <c r="B5" s="13" t="n">
        <f aca="false">PROY_Indexado!B8*PROY_Indexado!$B$53</f>
        <v>84.2326770523077</v>
      </c>
      <c r="C5" s="13" t="n">
        <f aca="false">PROY_Indexado!C8*PROY_Indexado!$B$53</f>
        <v>311.55068111409</v>
      </c>
      <c r="D5" s="13" t="n">
        <f aca="false">PROY_Indexado!D8*PROY_Indexado!$B$53</f>
        <v>729.539660266975</v>
      </c>
      <c r="E5" s="13" t="n">
        <f aca="false">PROY_Indexado!E8*PROY_Indexado!$B$53</f>
        <v>1395.34817383334</v>
      </c>
      <c r="F5" s="13" t="n">
        <f aca="false">PROY_Indexado!F8*PROY_Indexado!$B$53</f>
        <v>2024.95066139605</v>
      </c>
      <c r="G5" s="13" t="n">
        <f aca="false">PROY_Indexado!G8*PROY_Indexado!$B$53</f>
        <v>2712.09694414371</v>
      </c>
      <c r="H5" s="13" t="n">
        <f aca="false">PROY_Indexado!H8*PROY_Indexado!$B$53</f>
        <v>3319.43579985985</v>
      </c>
      <c r="I5" s="13" t="n">
        <f aca="false">PROY_Indexado!I8*PROY_Indexado!$B$53</f>
        <v>3675.9129471876</v>
      </c>
      <c r="J5" s="13" t="n">
        <f aca="false">PROY_Indexado!J8*PROY_Indexado!$B$53</f>
        <v>3965.62186010178</v>
      </c>
      <c r="K5" s="13" t="n">
        <f aca="false">PROY_Indexado!K8*PROY_Indexado!$B$53</f>
        <v>4260.58129786147</v>
      </c>
    </row>
    <row r="6" customFormat="false" ht="15" hidden="false" customHeight="false" outlineLevel="0" collapsed="false">
      <c r="A6" s="12" t="str">
        <f aca="false">PROY_Indexado!A9</f>
        <v>Agua 10 l</v>
      </c>
      <c r="B6" s="13" t="n">
        <f aca="false">PROY_Indexado!B9*PROY_Indexado!$B$53</f>
        <v>113.390142623807</v>
      </c>
      <c r="C6" s="13" t="n">
        <f aca="false">PROY_Indexado!C9*PROY_Indexado!$B$53</f>
        <v>457.965388633145</v>
      </c>
      <c r="D6" s="13" t="n">
        <f aca="false">PROY_Indexado!D9*PROY_Indexado!$B$53</f>
        <v>1049.39757654732</v>
      </c>
      <c r="E6" s="13" t="n">
        <f aca="false">PROY_Indexado!E9*PROY_Indexado!$B$53</f>
        <v>1969.05897675789</v>
      </c>
      <c r="F6" s="13" t="n">
        <f aca="false">PROY_Indexado!F9*PROY_Indexado!$B$53</f>
        <v>2840.97923347503</v>
      </c>
      <c r="G6" s="13" t="n">
        <f aca="false">PROY_Indexado!G9*PROY_Indexado!$B$53</f>
        <v>3797.7961792378</v>
      </c>
      <c r="H6" s="13" t="n">
        <f aca="false">PROY_Indexado!H9*PROY_Indexado!$B$53</f>
        <v>4654.19222714906</v>
      </c>
      <c r="I6" s="13" t="n">
        <f aca="false">PROY_Indexado!I9*PROY_Indexado!$B$53</f>
        <v>5174.39225980645</v>
      </c>
      <c r="J6" s="13" t="n">
        <f aca="false">PROY_Indexado!J9*PROY_Indexado!$B$53</f>
        <v>5591.21641380079</v>
      </c>
      <c r="K6" s="13" t="n">
        <f aca="false">PROY_Indexado!K9*PROY_Indexado!$B$53</f>
        <v>6014.98096081728</v>
      </c>
    </row>
    <row r="7" customFormat="false" ht="15" hidden="false" customHeight="false" outlineLevel="0" collapsed="false">
      <c r="A7" s="12" t="str">
        <f aca="false">PROY_Indexado!A10</f>
        <v>AFFF 10 l</v>
      </c>
      <c r="B7" s="13" t="n">
        <f aca="false">PROY_Indexado!B10*PROY_Indexado!$B$53</f>
        <v>16.1985919050815</v>
      </c>
      <c r="C7" s="13" t="n">
        <f aca="false">PROY_Indexado!C10*PROY_Indexado!$B$53</f>
        <v>114.81866263352</v>
      </c>
      <c r="D7" s="13" t="n">
        <f aca="false">PROY_Indexado!D10*PROY_Indexado!$B$53</f>
        <v>225.349501118225</v>
      </c>
      <c r="E7" s="13" t="n">
        <f aca="false">PROY_Indexado!E10*PROY_Indexado!$B$53</f>
        <v>375.38023765896</v>
      </c>
      <c r="F7" s="13" t="n">
        <f aca="false">PROY_Indexado!F10*PROY_Indexado!$B$53</f>
        <v>529.401819301053</v>
      </c>
      <c r="G7" s="13" t="n">
        <f aca="false">PROY_Indexado!G10*PROY_Indexado!$B$53</f>
        <v>685.338801347676</v>
      </c>
      <c r="H7" s="13" t="n">
        <f aca="false">PROY_Indexado!H10*PROY_Indexado!$B$53</f>
        <v>850.516240860368</v>
      </c>
      <c r="I7" s="13" t="n">
        <f aca="false">PROY_Indexado!I10*PROY_Indexado!$B$53</f>
        <v>962.031769263164</v>
      </c>
      <c r="J7" s="13" t="n">
        <f aca="false">PROY_Indexado!J10*PROY_Indexado!$B$53</f>
        <v>1051.66533974034</v>
      </c>
      <c r="K7" s="13" t="n">
        <f aca="false">PROY_Indexado!K10*PROY_Indexado!$B$53</f>
        <v>1141.98283308283</v>
      </c>
    </row>
    <row r="8" customFormat="false" ht="15" hidden="false" customHeight="false" outlineLevel="0" collapsed="false">
      <c r="A8" s="12" t="str">
        <f aca="false">PROY_Indexado!A11</f>
        <v>AFFF 50 l s/ruedas</v>
      </c>
      <c r="B8" s="13" t="n">
        <f aca="false">PROY_Indexado!B11*PROY_Indexado!$B$53</f>
        <v>8.09929559665901</v>
      </c>
      <c r="C8" s="13" t="n">
        <f aca="false">PROY_Indexado!C11*PROY_Indexado!$B$53</f>
        <v>59.2354634114683</v>
      </c>
      <c r="D8" s="13" t="n">
        <f aca="false">PROY_Indexado!D11*PROY_Indexado!$B$53</f>
        <v>117.059353190262</v>
      </c>
      <c r="E8" s="13" t="n">
        <f aca="false">PROY_Indexado!E11*PROY_Indexado!$B$53</f>
        <v>200.248356483697</v>
      </c>
      <c r="F8" s="13" t="n">
        <f aca="false">PROY_Indexado!F11*PROY_Indexado!$B$53</f>
        <v>283.924243730767</v>
      </c>
      <c r="G8" s="13" t="n">
        <f aca="false">PROY_Indexado!G11*PROY_Indexado!$B$53</f>
        <v>366.221737623981</v>
      </c>
      <c r="H8" s="13" t="n">
        <f aca="false">PROY_Indexado!H11*PROY_Indexado!$B$53</f>
        <v>447.745862045301</v>
      </c>
      <c r="I8" s="13" t="n">
        <f aca="false">PROY_Indexado!I11*PROY_Indexado!$B$53</f>
        <v>506.190555502727</v>
      </c>
      <c r="J8" s="13" t="n">
        <f aca="false">PROY_Indexado!J11*PROY_Indexado!$B$53</f>
        <v>550.485701732129</v>
      </c>
      <c r="K8" s="13" t="n">
        <f aca="false">PROY_Indexado!K11*PROY_Indexado!$B$53</f>
        <v>595.283971511053</v>
      </c>
    </row>
    <row r="9" customFormat="false" ht="15" hidden="false" customHeight="false" outlineLevel="0" collapsed="false">
      <c r="A9" s="12" t="str">
        <f aca="false">PROY_Indexado!A12</f>
        <v>BC 5 kg</v>
      </c>
      <c r="B9" s="13" t="n">
        <f aca="false">PROY_Indexado!B12*PROY_Indexado!$B$53</f>
        <v>4.85957735799541</v>
      </c>
      <c r="C9" s="13" t="n">
        <f aca="false">PROY_Indexado!C12*PROY_Indexado!$B$53</f>
        <v>33.5049226894026</v>
      </c>
      <c r="D9" s="13" t="n">
        <f aca="false">PROY_Indexado!D12*PROY_Indexado!$B$53</f>
        <v>63.2684264058438</v>
      </c>
      <c r="E9" s="13" t="n">
        <f aca="false">PROY_Indexado!E12*PROY_Indexado!$B$53</f>
        <v>113.528050359665</v>
      </c>
      <c r="F9" s="13" t="n">
        <f aca="false">PROY_Indexado!F12*PROY_Indexado!$B$53</f>
        <v>156.442912791368</v>
      </c>
      <c r="G9" s="13" t="n">
        <f aca="false">PROY_Indexado!G12*PROY_Indexado!$B$53</f>
        <v>207.742306481294</v>
      </c>
      <c r="H9" s="13" t="n">
        <f aca="false">PROY_Indexado!H12*PROY_Indexado!$B$53</f>
        <v>262.529814616504</v>
      </c>
      <c r="I9" s="13" t="n">
        <f aca="false">PROY_Indexado!I12*PROY_Indexado!$B$53</f>
        <v>290.690583531525</v>
      </c>
      <c r="J9" s="13" t="n">
        <f aca="false">PROY_Indexado!J12*PROY_Indexado!$B$53</f>
        <v>317.291314201865</v>
      </c>
      <c r="K9" s="13" t="n">
        <f aca="false">PROY_Indexado!K12*PROY_Indexado!$B$53</f>
        <v>344.122846997007</v>
      </c>
    </row>
    <row r="10" customFormat="false" ht="15" hidden="false" customHeight="false" outlineLevel="0" collapsed="false">
      <c r="A10" s="12" t="str">
        <f aca="false">PROY_Indexado!A13</f>
        <v>Sales K 6 l</v>
      </c>
      <c r="B10" s="13" t="n">
        <f aca="false">PROY_Indexado!B13*PROY_Indexado!$B$53</f>
        <v>58.3149304312353</v>
      </c>
      <c r="C10" s="13" t="n">
        <f aca="false">PROY_Indexado!C13*PROY_Indexado!$B$53</f>
        <v>238.724661052559</v>
      </c>
      <c r="D10" s="13" t="n">
        <f aca="false">PROY_Indexado!D13*PROY_Indexado!$B$53</f>
        <v>531.401451932801</v>
      </c>
      <c r="E10" s="13" t="n">
        <f aca="false">PROY_Indexado!E13*PROY_Indexado!$B$53</f>
        <v>967.21529652271</v>
      </c>
      <c r="F10" s="13" t="n">
        <f aca="false">PROY_Indexado!F13*PROY_Indexado!$B$53</f>
        <v>1395.85755449574</v>
      </c>
      <c r="G10" s="13" t="n">
        <f aca="false">PROY_Indexado!G13*PROY_Indexado!$B$53</f>
        <v>1849.54691574823</v>
      </c>
      <c r="H10" s="13" t="n">
        <f aca="false">PROY_Indexado!H13*PROY_Indexado!$B$53</f>
        <v>2275.69542490701</v>
      </c>
      <c r="I10" s="13" t="n">
        <f aca="false">PROY_Indexado!I13*PROY_Indexado!$B$53</f>
        <v>2547.07374520378</v>
      </c>
      <c r="J10" s="13" t="n">
        <f aca="false">PROY_Indexado!J13*PROY_Indexado!$B$53</f>
        <v>2755.05712028652</v>
      </c>
      <c r="K10" s="13" t="n">
        <f aca="false">PROY_Indexado!K13*PROY_Indexado!$B$53</f>
        <v>2966.31679967506</v>
      </c>
    </row>
    <row r="11" customFormat="false" ht="15" hidden="false" customHeight="false" outlineLevel="0" collapsed="false">
      <c r="A11" s="12" t="str">
        <f aca="false">PROY_Indexado!A14</f>
        <v>CO₂ 2 kg</v>
      </c>
      <c r="B11" s="13" t="n">
        <f aca="false">PROY_Indexado!B14*PROY_Indexado!$B$53</f>
        <v>320.732117727676</v>
      </c>
      <c r="C11" s="13" t="n">
        <f aca="false">PROY_Indexado!C14*PROY_Indexado!$B$53</f>
        <v>1207.9918279534</v>
      </c>
      <c r="D11" s="13" t="n">
        <f aca="false">PROY_Indexado!D14*PROY_Indexado!$B$53</f>
        <v>2815.16473668998</v>
      </c>
      <c r="E11" s="13" t="n">
        <f aca="false">PROY_Indexado!E14*PROY_Indexado!$B$53</f>
        <v>5381.8290745489</v>
      </c>
      <c r="F11" s="13" t="n">
        <f aca="false">PROY_Indexado!F14*PROY_Indexado!$B$53</f>
        <v>7772.56042931962</v>
      </c>
      <c r="G11" s="13" t="n">
        <f aca="false">PROY_Indexado!G14*PROY_Indexado!$B$53</f>
        <v>10331.1654250021</v>
      </c>
      <c r="H11" s="13" t="n">
        <f aca="false">PROY_Indexado!H14*PROY_Indexado!$B$53</f>
        <v>12631.3103337822</v>
      </c>
      <c r="I11" s="13" t="n">
        <f aca="false">PROY_Indexado!I14*PROY_Indexado!$B$53</f>
        <v>13962.8107085724</v>
      </c>
      <c r="J11" s="13" t="n">
        <f aca="false">PROY_Indexado!J14*PROY_Indexado!$B$53</f>
        <v>15062.2011643158</v>
      </c>
      <c r="K11" s="13" t="n">
        <f aca="false">PROY_Indexado!K14*PROY_Indexado!$B$53</f>
        <v>16181.5883805524</v>
      </c>
    </row>
    <row r="12" customFormat="false" ht="15" hidden="false" customHeight="false" outlineLevel="0" collapsed="false">
      <c r="A12" s="12" t="str">
        <f aca="false">PROY_Indexado!A15</f>
        <v>CO₂ 5 kg</v>
      </c>
      <c r="B12" s="13" t="n">
        <f aca="false">PROY_Indexado!B15*PROY_Indexado!$B$53</f>
        <v>89.0922551220666</v>
      </c>
      <c r="C12" s="13" t="n">
        <f aca="false">PROY_Indexado!C15*PROY_Indexado!$B$53</f>
        <v>458.112601964928</v>
      </c>
      <c r="D12" s="13" t="n">
        <f aca="false">PROY_Indexado!D15*PROY_Indexado!$B$53</f>
        <v>979.120880505447</v>
      </c>
      <c r="E12" s="13" t="n">
        <f aca="false">PROY_Indexado!E15*PROY_Indexado!$B$53</f>
        <v>1751.14052567374</v>
      </c>
      <c r="F12" s="13" t="n">
        <f aca="false">PROY_Indexado!F15*PROY_Indexado!$B$53</f>
        <v>2523.38499700053</v>
      </c>
      <c r="G12" s="13" t="n">
        <f aca="false">PROY_Indexado!G15*PROY_Indexado!$B$53</f>
        <v>3361.9876650447</v>
      </c>
      <c r="H12" s="13" t="n">
        <f aca="false">PROY_Indexado!H15*PROY_Indexado!$B$53</f>
        <v>4166.59600537953</v>
      </c>
      <c r="I12" s="13" t="n">
        <f aca="false">PROY_Indexado!I15*PROY_Indexado!$B$53</f>
        <v>4703.66051743215</v>
      </c>
      <c r="J12" s="13" t="n">
        <f aca="false">PROY_Indexado!J15*PROY_Indexado!$B$53</f>
        <v>5114.52491838814</v>
      </c>
      <c r="K12" s="13" t="n">
        <f aca="false">PROY_Indexado!K15*PROY_Indexado!$B$53</f>
        <v>5530.10136592383</v>
      </c>
    </row>
    <row r="13" customFormat="false" ht="15" hidden="false" customHeight="false" outlineLevel="0" collapsed="false">
      <c r="A13" s="12" t="str">
        <f aca="false">PROY_Indexado!A16</f>
        <v>HCFC/HFC 5 kg</v>
      </c>
      <c r="B13" s="13" t="n">
        <f aca="false">PROY_Indexado!B16*PROY_Indexado!$B$53</f>
        <v>12.9588736664179</v>
      </c>
      <c r="C13" s="13" t="n">
        <f aca="false">PROY_Indexado!C16*PROY_Indexado!$B$53</f>
        <v>79.7709804700263</v>
      </c>
      <c r="D13" s="13" t="n">
        <f aca="false">PROY_Indexado!D16*PROY_Indexado!$B$53</f>
        <v>164.313478918521</v>
      </c>
      <c r="E13" s="13" t="n">
        <f aca="false">PROY_Indexado!E16*PROY_Indexado!$B$53</f>
        <v>285.214546387503</v>
      </c>
      <c r="F13" s="13" t="n">
        <f aca="false">PROY_Indexado!F16*PROY_Indexado!$B$53</f>
        <v>408.913671458658</v>
      </c>
      <c r="G13" s="13" t="n">
        <f aca="false">PROY_Indexado!G16*PROY_Indexado!$B$53</f>
        <v>536.915676611825</v>
      </c>
      <c r="H13" s="13" t="n">
        <f aca="false">PROY_Indexado!H16*PROY_Indexado!$B$53</f>
        <v>672.508912038187</v>
      </c>
      <c r="I13" s="13" t="n">
        <f aca="false">PROY_Indexado!I16*PROY_Indexado!$B$53</f>
        <v>763.177496247794</v>
      </c>
      <c r="J13" s="13" t="n">
        <f aca="false">PROY_Indexado!J16*PROY_Indexado!$B$53</f>
        <v>833.970263528919</v>
      </c>
      <c r="K13" s="13" t="n">
        <f aca="false">PROY_Indexado!K16*PROY_Indexado!$B$53</f>
        <v>905.321241295216</v>
      </c>
    </row>
    <row r="14" customFormat="false" ht="15" hidden="false" customHeight="false" outlineLevel="0" collapsed="false">
      <c r="A14" s="12" t="str">
        <f aca="false">PROY_Indexado!A17</f>
        <v>Clase D 9 l</v>
      </c>
      <c r="B14" s="13" t="n">
        <f aca="false">PROY_Indexado!B17*PROY_Indexado!$B$53</f>
        <v>4.85957735799541</v>
      </c>
      <c r="C14" s="13" t="n">
        <f aca="false">PROY_Indexado!C17*PROY_Indexado!$B$53</f>
        <v>33.5049226894026</v>
      </c>
      <c r="D14" s="13" t="n">
        <f aca="false">PROY_Indexado!D17*PROY_Indexado!$B$53</f>
        <v>63.2684264058438</v>
      </c>
      <c r="E14" s="13" t="n">
        <f aca="false">PROY_Indexado!E17*PROY_Indexado!$B$53</f>
        <v>105.539708727094</v>
      </c>
      <c r="F14" s="13" t="n">
        <f aca="false">PROY_Indexado!F17*PROY_Indexado!$B$53</f>
        <v>146.0724126252</v>
      </c>
      <c r="G14" s="13" t="n">
        <f aca="false">PROY_Indexado!G17*PROY_Indexado!$B$53</f>
        <v>182.044293350923</v>
      </c>
      <c r="H14" s="13" t="n">
        <f aca="false">PROY_Indexado!H17*PROY_Indexado!$B$53</f>
        <v>233.755873551037</v>
      </c>
      <c r="I14" s="13" t="n">
        <f aca="false">PROY_Indexado!I17*PROY_Indexado!$B$53</f>
        <v>261.151770738523</v>
      </c>
      <c r="J14" s="13" t="n">
        <f aca="false">PROY_Indexado!J17*PROY_Indexado!$B$53</f>
        <v>285.902375410877</v>
      </c>
      <c r="K14" s="13" t="n">
        <f aca="false">PROY_Indexado!K17*PROY_Indexado!$B$53</f>
        <v>310.817709914611</v>
      </c>
    </row>
    <row r="15" customFormat="false" ht="15" hidden="false" customHeight="false" outlineLevel="0" collapsed="false">
      <c r="A15" s="12" t="str">
        <f aca="false">PROY_Indexado!A18</f>
        <v>ABC 25 kg s/ruedas</v>
      </c>
      <c r="B15" s="13" t="n">
        <f aca="false">PROY_Indexado!B18*PROY_Indexado!$B$53</f>
        <v>12.5539087086441</v>
      </c>
      <c r="C15" s="13" t="n">
        <f aca="false">PROY_Indexado!C18*PROY_Indexado!$B$53</f>
        <v>61.2029905272747</v>
      </c>
      <c r="D15" s="13" t="n">
        <f aca="false">PROY_Indexado!D18*PROY_Indexado!$B$53</f>
        <v>133.006936004935</v>
      </c>
      <c r="E15" s="13" t="n">
        <f aca="false">PROY_Indexado!E18*PROY_Indexado!$B$53</f>
        <v>239.567934240765</v>
      </c>
      <c r="F15" s="13" t="n">
        <f aca="false">PROY_Indexado!F18*PROY_Indexado!$B$53</f>
        <v>344.58790970543</v>
      </c>
      <c r="G15" s="13" t="n">
        <f aca="false">PROY_Indexado!G18*PROY_Indexado!$B$53</f>
        <v>457.820788896913</v>
      </c>
      <c r="H15" s="13" t="n">
        <f aca="false">PROY_Indexado!H18*PROY_Indexado!$B$53</f>
        <v>564.023985759399</v>
      </c>
      <c r="I15" s="13" t="n">
        <f aca="false">PROY_Indexado!I18*PROY_Indexado!$B$53</f>
        <v>633.240113624099</v>
      </c>
      <c r="J15" s="13" t="n">
        <f aca="false">PROY_Indexado!J18*PROY_Indexado!$B$53</f>
        <v>687.073208836743</v>
      </c>
      <c r="K15" s="13" t="n">
        <f aca="false">PROY_Indexado!K18*PROY_Indexado!$B$53</f>
        <v>741.614643249615</v>
      </c>
    </row>
    <row r="16" customFormat="false" ht="15" hidden="false" customHeight="false" outlineLevel="0" collapsed="false">
      <c r="A16" s="12" t="str">
        <f aca="false">PROY_Indexado!A19</f>
        <v>ABC 50 kg s/ruedas</v>
      </c>
      <c r="B16" s="13" t="n">
        <f aca="false">PROY_Indexado!B19*PROY_Indexado!$B$53</f>
        <v>27.6185987319589</v>
      </c>
      <c r="C16" s="13" t="n">
        <f aca="false">PROY_Indexado!C19*PROY_Indexado!$B$53</f>
        <v>134.646580014121</v>
      </c>
      <c r="D16" s="13" t="n">
        <f aca="false">PROY_Indexado!D19*PROY_Indexado!$B$53</f>
        <v>292.615259637915</v>
      </c>
      <c r="E16" s="13" t="n">
        <f aca="false">PROY_Indexado!E19*PROY_Indexado!$B$53</f>
        <v>527.049455187331</v>
      </c>
      <c r="F16" s="13" t="n">
        <f aca="false">PROY_Indexado!F19*PROY_Indexado!$B$53</f>
        <v>758.093400924889</v>
      </c>
      <c r="G16" s="13" t="n">
        <f aca="false">PROY_Indexado!G19*PROY_Indexado!$B$53</f>
        <v>1007.20573628497</v>
      </c>
      <c r="H16" s="13" t="n">
        <f aca="false">PROY_Indexado!H19*PROY_Indexado!$B$53</f>
        <v>1240.85276909774</v>
      </c>
      <c r="I16" s="13" t="n">
        <f aca="false">PROY_Indexado!I19*PROY_Indexado!$B$53</f>
        <v>1393.12824968831</v>
      </c>
      <c r="J16" s="13" t="n">
        <f aca="false">PROY_Indexado!J19*PROY_Indexado!$B$53</f>
        <v>1511.56105872907</v>
      </c>
      <c r="K16" s="13" t="n">
        <f aca="false">PROY_Indexado!K19*PROY_Indexado!$B$53</f>
        <v>1631.55221415268</v>
      </c>
    </row>
    <row r="17" customFormat="false" ht="15" hidden="false" customHeight="false" outlineLevel="0" collapsed="false">
      <c r="A17" s="12" t="str">
        <f aca="false">PROY_Indexado!A20</f>
        <v>ABC 70 kg s/ruedas</v>
      </c>
      <c r="B17" s="13" t="n">
        <f aca="false">PROY_Indexado!B20*PROY_Indexado!$B$53</f>
        <v>6.02587586697322</v>
      </c>
      <c r="C17" s="13" t="n">
        <f aca="false">PROY_Indexado!C20*PROY_Indexado!$B$53</f>
        <v>29.3774353676802</v>
      </c>
      <c r="D17" s="13" t="n">
        <f aca="false">PROY_Indexado!D20*PROY_Indexado!$B$53</f>
        <v>63.8433291684866</v>
      </c>
      <c r="E17" s="13" t="n">
        <f aca="false">PROY_Indexado!E20*PROY_Indexado!$B$53</f>
        <v>114.992608378626</v>
      </c>
      <c r="F17" s="13" t="n">
        <f aca="false">PROY_Indexado!F20*PROY_Indexado!$B$53</f>
        <v>165.402196630136</v>
      </c>
      <c r="G17" s="13" t="n">
        <f aca="false">PROY_Indexado!G20*PROY_Indexado!$B$53</f>
        <v>219.753978812871</v>
      </c>
      <c r="H17" s="13" t="n">
        <f aca="false">PROY_Indexado!H20*PROY_Indexado!$B$53</f>
        <v>270.73151305063</v>
      </c>
      <c r="I17" s="13" t="n">
        <f aca="false">PROY_Indexado!I20*PROY_Indexado!$B$53</f>
        <v>303.955254283333</v>
      </c>
      <c r="J17" s="13" t="n">
        <f aca="false">PROY_Indexado!J20*PROY_Indexado!$B$53</f>
        <v>329.795140383989</v>
      </c>
      <c r="K17" s="13" t="n">
        <f aca="false">PROY_Indexado!K20*PROY_Indexado!$B$53</f>
        <v>355.975028788286</v>
      </c>
    </row>
    <row r="18" customFormat="false" ht="15" hidden="false" customHeight="false" outlineLevel="0" collapsed="false">
      <c r="A18" s="12" t="str">
        <f aca="false">PROY_Indexado!A21</f>
        <v>ABC 100 kg s/ruedas</v>
      </c>
      <c r="B18" s="13" t="n">
        <f aca="false">PROY_Indexado!B21*PROY_Indexado!$B$53</f>
        <v>4.01725081523665</v>
      </c>
      <c r="C18" s="13" t="n">
        <f aca="false">PROY_Indexado!C21*PROY_Indexado!$B$53</f>
        <v>19.5849569117868</v>
      </c>
      <c r="D18" s="13" t="n">
        <f aca="false">PROY_Indexado!D21*PROY_Indexado!$B$53</f>
        <v>42.5622199201667</v>
      </c>
      <c r="E18" s="13" t="n">
        <f aca="false">PROY_Indexado!E21*PROY_Indexado!$B$53</f>
        <v>76.6617391563387</v>
      </c>
      <c r="F18" s="13" t="n">
        <f aca="false">PROY_Indexado!F21*PROY_Indexado!$B$53</f>
        <v>110.268130849503</v>
      </c>
      <c r="G18" s="13" t="n">
        <f aca="false">PROY_Indexado!G21*PROY_Indexado!$B$53</f>
        <v>146.50265230466</v>
      </c>
      <c r="H18" s="13" t="n">
        <f aca="false">PROY_Indexado!H21*PROY_Indexado!$B$53</f>
        <v>180.487675841595</v>
      </c>
      <c r="I18" s="13" t="n">
        <f aca="false">PROY_Indexado!I21*PROY_Indexado!$B$53</f>
        <v>202.636836188889</v>
      </c>
      <c r="J18" s="13" t="n">
        <f aca="false">PROY_Indexado!J21*PROY_Indexado!$B$53</f>
        <v>219.863426685405</v>
      </c>
      <c r="K18" s="13" t="n">
        <f aca="false">PROY_Indexado!K21*PROY_Indexado!$B$53</f>
        <v>237.316685384348</v>
      </c>
    </row>
    <row r="19" customFormat="false" ht="15" hidden="false" customHeight="false" outlineLevel="0" collapsed="false">
      <c r="A19" s="6" t="s">
        <v>59</v>
      </c>
      <c r="B19" s="7" t="n">
        <f aca="false">SUM(B2:B18)</f>
        <v>4861.19740074972</v>
      </c>
      <c r="C19" s="7" t="n">
        <f aca="false">SUM(C2:C18)</f>
        <v>21824.5769150208</v>
      </c>
      <c r="D19" s="7" t="n">
        <f aca="false">SUM(D2:D18)</f>
        <v>43761.3962077661</v>
      </c>
      <c r="E19" s="7" t="n">
        <f aca="false">SUM(E2:E18)</f>
        <v>81177.1926972034</v>
      </c>
      <c r="F19" s="7" t="n">
        <f aca="false">SUM(F2:F18)</f>
        <v>119484.019519496</v>
      </c>
      <c r="G19" s="7" t="n">
        <f aca="false">SUM(G2:G18)</f>
        <v>162630.917783496</v>
      </c>
      <c r="H19" s="7" t="n">
        <f aca="false">SUM(H2:H18)</f>
        <v>201982.665873248</v>
      </c>
      <c r="I19" s="7" t="n">
        <f aca="false">SUM(I2:I18)</f>
        <v>229623.614015231</v>
      </c>
      <c r="J19" s="7" t="n">
        <f aca="false">SUM(J2:J18)</f>
        <v>246984.577103387</v>
      </c>
      <c r="K19" s="7" t="n">
        <f aca="false">SUM(K2:K18)</f>
        <v>264710.316731115</v>
      </c>
    </row>
    <row r="21" customFormat="false" ht="15" hidden="false" customHeight="false" outlineLevel="0" collapsed="false">
      <c r="A21" s="2" t="s"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30"/>
    <col collapsed="false" customWidth="true" hidden="false" outlineLevel="0" max="3" min="3" style="0" width="34"/>
    <col collapsed="false" customWidth="true" hidden="false" outlineLevel="0" max="12" min="4" style="0" width="10"/>
    <col collapsed="false" customWidth="true" hidden="false" outlineLevel="0" max="13" min="13" style="0" width="11"/>
    <col collapsed="false" customWidth="true" hidden="false" outlineLevel="0" max="14" min="14" style="0" width="10"/>
    <col collapsed="false" customWidth="true" hidden="false" outlineLevel="0" max="15" min="15" style="0" width="11"/>
    <col collapsed="false" customWidth="true" hidden="false" outlineLevel="0" max="16" min="16" style="0" width="70"/>
    <col collapsed="false" customWidth="true" hidden="false" outlineLevel="0" max="17" min="17" style="0" width="60"/>
    <col collapsed="false" customWidth="true" hidden="false" outlineLevel="0" max="18" min="18" style="0" width="8"/>
  </cols>
  <sheetData>
    <row r="1" customFormat="false" ht="15" hidden="false" customHeight="true" outlineLevel="0" collapsed="false">
      <c r="A1" s="3" t="s">
        <v>61</v>
      </c>
      <c r="B1" s="3" t="s">
        <v>46</v>
      </c>
      <c r="C1" s="3" t="s">
        <v>62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customFormat="false" ht="15" hidden="false" customHeight="true" outlineLevel="0" collapsed="false">
      <c r="A2" s="4" t="s">
        <v>63</v>
      </c>
      <c r="B2" s="14" t="n">
        <v>20</v>
      </c>
      <c r="C2" s="4" t="s">
        <v>64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customFormat="false" ht="15" hidden="false" customHeight="true" outlineLevel="0" collapsed="false">
      <c r="A3" s="4" t="s">
        <v>65</v>
      </c>
      <c r="B3" s="14" t="n">
        <v>8</v>
      </c>
      <c r="C3" s="4" t="s">
        <v>66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</row>
    <row r="4" customFormat="false" ht="15" hidden="false" customHeight="true" outlineLevel="0" collapsed="false">
      <c r="A4" s="4" t="s">
        <v>67</v>
      </c>
      <c r="B4" s="14" t="n">
        <v>30</v>
      </c>
      <c r="C4" s="4" t="s">
        <v>68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</row>
    <row r="5" customFormat="false" ht="15" hidden="false" customHeight="false" outlineLevel="0" collapsed="false">
      <c r="A5" s="4" t="s">
        <v>69</v>
      </c>
      <c r="B5" s="15" t="n">
        <f aca="false">B3-B4/60</f>
        <v>7.5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</row>
    <row r="6" customFormat="false" ht="15" hidden="false" customHeight="false" outlineLevel="0" collapsed="false">
      <c r="A6" s="4" t="s">
        <v>70</v>
      </c>
      <c r="B6" s="16" t="n">
        <f aca="false">B2*B5</f>
        <v>150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</row>
    <row r="7" customFormat="false" ht="15" hidden="false" customHeight="true" outlineLevel="0" collapsed="false">
      <c r="A7" s="4" t="s">
        <v>71</v>
      </c>
      <c r="B7" s="17" t="n">
        <v>0.9</v>
      </c>
      <c r="C7" s="4" t="s">
        <v>72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</row>
    <row r="8" customFormat="false" ht="15" hidden="false" customHeight="true" outlineLevel="0" collapsed="false">
      <c r="A8" s="4" t="s">
        <v>73</v>
      </c>
      <c r="B8" s="14" t="n">
        <v>2</v>
      </c>
      <c r="C8" s="4" t="s">
        <v>74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</row>
    <row r="9" customFormat="false" ht="15" hidden="false" customHeight="true" outlineLevel="0" collapsed="false">
      <c r="A9" s="4" t="s">
        <v>75</v>
      </c>
      <c r="B9" s="14" t="n">
        <v>3</v>
      </c>
      <c r="C9" s="4" t="s">
        <v>76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</row>
    <row r="11" customFormat="false" ht="15" hidden="false" customHeight="false" outlineLevel="0" collapsed="false">
      <c r="A11" s="1" t="s">
        <v>77</v>
      </c>
    </row>
    <row r="12" customFormat="false" ht="15" hidden="false" customHeight="true" outlineLevel="0" collapsed="false">
      <c r="A12" s="3" t="s">
        <v>61</v>
      </c>
      <c r="B12" s="3" t="s">
        <v>46</v>
      </c>
      <c r="C12" s="3" t="s">
        <v>62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customFormat="false" ht="15" hidden="false" customHeight="true" outlineLevel="0" collapsed="false">
      <c r="A13" s="4" t="s">
        <v>78</v>
      </c>
      <c r="B13" s="14" t="n">
        <v>5</v>
      </c>
      <c r="C13" s="4" t="s">
        <v>79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customFormat="false" ht="15" hidden="false" customHeight="true" outlineLevel="0" collapsed="false">
      <c r="A14" s="4" t="s">
        <v>80</v>
      </c>
      <c r="B14" s="14" t="n">
        <v>2</v>
      </c>
      <c r="C14" s="4" t="s">
        <v>81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</row>
    <row r="15" customFormat="false" ht="15" hidden="false" customHeight="true" outlineLevel="0" collapsed="false">
      <c r="A15" s="4" t="s">
        <v>82</v>
      </c>
      <c r="B15" s="10" t="n">
        <f aca="false">1/B13</f>
        <v>0.2</v>
      </c>
      <c r="C15" s="4" t="s">
        <v>83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</row>
    <row r="16" customFormat="false" ht="15" hidden="false" customHeight="true" outlineLevel="0" collapsed="false">
      <c r="A16" s="4" t="s">
        <v>84</v>
      </c>
      <c r="B16" s="10" t="n">
        <f aca="false">1/B14</f>
        <v>0.5</v>
      </c>
      <c r="C16" s="4" t="s">
        <v>85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</row>
    <row r="17" customFormat="false" ht="15" hidden="false" customHeight="true" outlineLevel="0" collapsed="false">
      <c r="A17" s="4" t="s">
        <v>86</v>
      </c>
      <c r="B17" s="14" t="n">
        <v>30</v>
      </c>
      <c r="C17" s="4" t="s">
        <v>87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</row>
    <row r="18" customFormat="false" ht="15" hidden="false" customHeight="true" outlineLevel="0" collapsed="false">
      <c r="A18" s="4" t="s">
        <v>88</v>
      </c>
      <c r="B18" s="14" t="n">
        <v>20</v>
      </c>
      <c r="C18" s="4" t="s">
        <v>89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</row>
    <row r="19" customFormat="false" ht="15" hidden="false" customHeight="true" outlineLevel="0" collapsed="false">
      <c r="A19" s="4" t="s">
        <v>90</v>
      </c>
      <c r="B19" s="10" t="n">
        <f aca="false">1/B17</f>
        <v>0.0333333333333333</v>
      </c>
      <c r="C19" s="4" t="s">
        <v>91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</row>
    <row r="20" customFormat="false" ht="15" hidden="false" customHeight="true" outlineLevel="0" collapsed="false">
      <c r="A20" s="4" t="s">
        <v>92</v>
      </c>
      <c r="B20" s="10" t="n">
        <f aca="false">1/B18</f>
        <v>0.05</v>
      </c>
      <c r="C20" s="4" t="s">
        <v>93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</row>
    <row r="21" customFormat="false" ht="15" hidden="false" customHeight="true" outlineLevel="0" collapsed="false">
      <c r="A21" s="4" t="s">
        <v>94</v>
      </c>
      <c r="B21" s="10" t="n">
        <f aca="false">PROY_Indexado!B48</f>
        <v>0.02</v>
      </c>
      <c r="C21" s="4" t="s">
        <v>95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customFormat="false" ht="15" hidden="false" customHeight="true" outlineLevel="0" collapsed="false">
      <c r="A22" s="4" t="s">
        <v>96</v>
      </c>
      <c r="B22" s="10" t="n">
        <f aca="false">PROY_Indexado!B49</f>
        <v>0.01</v>
      </c>
      <c r="C22" s="4" t="s">
        <v>97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customFormat="false" ht="15" hidden="false" customHeight="true" outlineLevel="0" collapsed="false">
      <c r="A23" s="4" t="s">
        <v>98</v>
      </c>
      <c r="B23" s="10" t="n">
        <f aca="false">B19+B21+B22</f>
        <v>0.0633333333333333</v>
      </c>
      <c r="C23" s="4" t="s">
        <v>99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</row>
    <row r="24" customFormat="false" ht="15" hidden="false" customHeight="true" outlineLevel="0" collapsed="false">
      <c r="A24" s="4" t="s">
        <v>100</v>
      </c>
      <c r="B24" s="10" t="n">
        <f aca="false">B20+B21+B22</f>
        <v>0.08</v>
      </c>
      <c r="C24" s="4" t="s">
        <v>99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</row>
    <row r="25" customFormat="false" ht="15" hidden="false" customHeight="true" outlineLevel="0" collapsed="false">
      <c r="A25" s="4" t="s">
        <v>101</v>
      </c>
      <c r="B25" s="10" t="n">
        <f aca="false">PROY_Indexado!B47</f>
        <v>0.05</v>
      </c>
      <c r="C25" s="4" t="s">
        <v>102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 customFormat="false" ht="15" hidden="false" customHeight="true" outlineLevel="0" collapsed="false">
      <c r="A26" s="4" t="s">
        <v>103</v>
      </c>
      <c r="B26" s="14" t="n">
        <v>10</v>
      </c>
      <c r="C26" s="4" t="s">
        <v>104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 customFormat="false" ht="15" hidden="false" customHeight="true" outlineLevel="0" collapsed="false">
      <c r="A27" s="4" t="s">
        <v>105</v>
      </c>
      <c r="B27" s="10" t="n">
        <f aca="false">1/B26</f>
        <v>0.1</v>
      </c>
      <c r="C27" s="4" t="s">
        <v>106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 customFormat="false" ht="15" hidden="false" customHeight="true" outlineLevel="0" collapsed="false">
      <c r="A28" s="4" t="s">
        <v>107</v>
      </c>
      <c r="B28" s="17" t="n">
        <v>1</v>
      </c>
      <c r="C28" s="4" t="s">
        <v>108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 customFormat="false" ht="15" hidden="false" customHeight="true" outlineLevel="0" collapsed="false">
      <c r="A29" s="4" t="s">
        <v>109</v>
      </c>
      <c r="B29" s="8" t="n">
        <v>0.05</v>
      </c>
      <c r="C29" s="4" t="s">
        <v>110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</row>
    <row r="30" customFormat="false" ht="15" hidden="false" customHeight="true" outlineLevel="0" collapsed="false">
      <c r="A30" s="4" t="s">
        <v>111</v>
      </c>
      <c r="B30" s="8" t="n">
        <v>0.1</v>
      </c>
      <c r="C30" s="4" t="s">
        <v>112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 customFormat="false" ht="15" hidden="false" customHeight="true" outlineLevel="0" collapsed="false">
      <c r="A31" s="4" t="s">
        <v>113</v>
      </c>
      <c r="B31" s="8" t="n">
        <v>0.01</v>
      </c>
      <c r="C31" s="4" t="s">
        <v>114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</row>
    <row r="32" customFormat="false" ht="15" hidden="false" customHeight="true" outlineLevel="0" collapsed="false">
      <c r="A32" s="4" t="s">
        <v>115</v>
      </c>
      <c r="B32" s="18" t="n">
        <v>0.001</v>
      </c>
      <c r="C32" s="4" t="s">
        <v>116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</row>
    <row r="34" customFormat="false" ht="15" hidden="false" customHeight="false" outlineLevel="0" collapsed="false">
      <c r="A34" s="1" t="s">
        <v>117</v>
      </c>
    </row>
    <row r="35" customFormat="false" ht="15" hidden="false" customHeight="false" outlineLevel="0" collapsed="false">
      <c r="A35" s="2" t="s">
        <v>118</v>
      </c>
    </row>
    <row r="36" customFormat="false" ht="23.85" hidden="false" customHeight="false" outlineLevel="0" collapsed="false">
      <c r="A36" s="3" t="s">
        <v>119</v>
      </c>
      <c r="B36" s="3" t="s">
        <v>120</v>
      </c>
      <c r="C36" s="3" t="s">
        <v>121</v>
      </c>
      <c r="D36" s="3" t="s">
        <v>122</v>
      </c>
      <c r="E36" s="3" t="s">
        <v>123</v>
      </c>
      <c r="F36" s="3" t="s">
        <v>124</v>
      </c>
      <c r="G36" s="3" t="s">
        <v>125</v>
      </c>
      <c r="H36" s="3" t="s">
        <v>126</v>
      </c>
      <c r="I36" s="3" t="s">
        <v>127</v>
      </c>
      <c r="J36" s="3" t="s">
        <v>128</v>
      </c>
      <c r="K36" s="3" t="s">
        <v>129</v>
      </c>
      <c r="L36" s="3" t="s">
        <v>130</v>
      </c>
      <c r="M36" s="3" t="s">
        <v>131</v>
      </c>
      <c r="N36" s="3" t="s">
        <v>132</v>
      </c>
      <c r="O36" s="3" t="s">
        <v>133</v>
      </c>
      <c r="P36" s="3" t="s">
        <v>134</v>
      </c>
      <c r="Q36" s="3" t="s">
        <v>135</v>
      </c>
      <c r="R36" s="3" t="s">
        <v>136</v>
      </c>
    </row>
    <row r="37" customFormat="false" ht="15" hidden="false" customHeight="false" outlineLevel="0" collapsed="false">
      <c r="A37" s="19" t="n">
        <v>2026</v>
      </c>
      <c r="B37" s="13" t="n">
        <f aca="false">datos_base!B19</f>
        <v>4861.19740074972</v>
      </c>
      <c r="C37" s="13" t="n">
        <f aca="false">datos_base!C19</f>
        <v>21824.5769150208</v>
      </c>
      <c r="D37" s="20" t="n">
        <f aca="false">IF(B37&gt;0,C37/B37,1)</f>
        <v>4.48954755708026</v>
      </c>
      <c r="E37" s="21" t="n">
        <f aca="false">D37^(1/12)</f>
        <v>1.13331389819629</v>
      </c>
      <c r="F37" s="11" t="n">
        <f aca="false">IF(ABS($E37-1)&lt;0.000000001,1/12,$E37^0*($E37-1)/($E37^12-1))</f>
        <v>0.0382037774283359</v>
      </c>
      <c r="G37" s="11" t="n">
        <f aca="false">IF(ABS($E37-1)&lt;0.000000001,1/12,$E37^1*($E37-1)/($E37^12-1))</f>
        <v>0.0432968719231306</v>
      </c>
      <c r="H37" s="11" t="n">
        <f aca="false">IF(ABS($E37-1)&lt;0.000000001,1/12,$E37^2*($E37-1)/($E37^12-1))</f>
        <v>0.0490689466989086</v>
      </c>
      <c r="I37" s="11" t="n">
        <f aca="false">IF(ABS($E37-1)&lt;0.000000001,1/12,$E37^3*($E37-1)/($E37^12-1))</f>
        <v>0.0556105192637259</v>
      </c>
      <c r="J37" s="11" t="n">
        <f aca="false">IF(ABS($E37-1)&lt;0.000000001,1/12,$E37^4*($E37-1)/($E37^12-1))</f>
        <v>0.063024174367493</v>
      </c>
      <c r="K37" s="11" t="n">
        <f aca="false">IF(ABS($E37-1)&lt;0.000000001,1/12,$E37^5*($E37-1)/($E37^12-1))</f>
        <v>0.071426172733026</v>
      </c>
      <c r="L37" s="11" t="n">
        <f aca="false">IF(ABS($E37-1)&lt;0.000000001,1/12,$E37^6*($E37-1)/($E37^12-1))</f>
        <v>0.080948274253307</v>
      </c>
      <c r="M37" s="11" t="n">
        <f aca="false">IF(ABS($E37-1)&lt;0.000000001,1/12,$E37^7*($E37-1)/($E37^12-1))</f>
        <v>0.0917398042462776</v>
      </c>
      <c r="N37" s="11" t="n">
        <f aca="false">IF(ABS($E37-1)&lt;0.000000001,1/12,$E37^8*($E37-1)/($E37^12-1))</f>
        <v>0.103969995170113</v>
      </c>
      <c r="O37" s="11" t="n">
        <f aca="false">IF(ABS($E37-1)&lt;0.000000001,1/12,$E37^9*($E37-1)/($E37^12-1))</f>
        <v>0.11783064052169</v>
      </c>
      <c r="P37" s="11" t="n">
        <f aca="false">IF(ABS($E37-1)&lt;0.000000001,1/12,$E37^10*($E37-1)/($E37^12-1))</f>
        <v>0.133539102536602</v>
      </c>
      <c r="Q37" s="11" t="n">
        <f aca="false">IF(ABS($E37-1)&lt;0.000000001,1/12,$E37^11*($E37-1)/($E37^12-1))</f>
        <v>0.15134172085739</v>
      </c>
      <c r="R37" s="10" t="n">
        <f aca="false">SUM(F37:Q37)</f>
        <v>1</v>
      </c>
    </row>
    <row r="38" customFormat="false" ht="15" hidden="false" customHeight="false" outlineLevel="0" collapsed="false">
      <c r="A38" s="19" t="n">
        <v>2027</v>
      </c>
      <c r="B38" s="13" t="n">
        <f aca="false">datos_base!C19</f>
        <v>21824.5769150208</v>
      </c>
      <c r="C38" s="13" t="n">
        <f aca="false">datos_base!D19</f>
        <v>43761.3962077661</v>
      </c>
      <c r="D38" s="20" t="n">
        <f aca="false">IF(B38&gt;0,C38/B38,1)</f>
        <v>2.0051429348739</v>
      </c>
      <c r="E38" s="21" t="n">
        <f aca="false">D38^(1/12)</f>
        <v>1.05968985845881</v>
      </c>
      <c r="F38" s="11" t="n">
        <f aca="false">IF(ABS($E38-1)&lt;0.000000001,1/12,$E38^0*($E38-1)/($E38^12-1))</f>
        <v>0.0593844481096613</v>
      </c>
      <c r="G38" s="11" t="n">
        <f aca="false">IF(ABS($E38-1)&lt;0.000000001,1/12,$E38^1*($E38-1)/($E38^12-1))</f>
        <v>0.0629290974119816</v>
      </c>
      <c r="H38" s="11" t="n">
        <f aca="false">IF(ABS($E38-1)&lt;0.000000001,1/12,$E38^2*($E38-1)/($E38^12-1))</f>
        <v>0.0666853263294436</v>
      </c>
      <c r="I38" s="11" t="n">
        <f aca="false">IF(ABS($E38-1)&lt;0.000000001,1/12,$E38^3*($E38-1)/($E38^12-1))</f>
        <v>0.0706657640193278</v>
      </c>
      <c r="J38" s="11" t="n">
        <f aca="false">IF(ABS($E38-1)&lt;0.000000001,1/12,$E38^4*($E38-1)/($E38^12-1))</f>
        <v>0.0748837934715252</v>
      </c>
      <c r="K38" s="11" t="n">
        <f aca="false">IF(ABS($E38-1)&lt;0.000000001,1/12,$E38^5*($E38-1)/($E38^12-1))</f>
        <v>0.0793535965046995</v>
      </c>
      <c r="L38" s="11" t="n">
        <f aca="false">IF(ABS($E38-1)&lt;0.000000001,1/12,$E38^6*($E38-1)/($E38^12-1))</f>
        <v>0.0840902014482627</v>
      </c>
      <c r="M38" s="11" t="n">
        <f aca="false">IF(ABS($E38-1)&lt;0.000000001,1/12,$E38^7*($E38-1)/($E38^12-1))</f>
        <v>0.0891095336704824</v>
      </c>
      <c r="N38" s="11" t="n">
        <f aca="false">IF(ABS($E38-1)&lt;0.000000001,1/12,$E38^8*($E38-1)/($E38^12-1))</f>
        <v>0.0944284691226043</v>
      </c>
      <c r="O38" s="11" t="n">
        <f aca="false">IF(ABS($E38-1)&lt;0.000000001,1/12,$E38^9*($E38-1)/($E38^12-1))</f>
        <v>0.100064891079015</v>
      </c>
      <c r="P38" s="11" t="n">
        <f aca="false">IF(ABS($E38-1)&lt;0.000000001,1/12,$E38^10*($E38-1)/($E38^12-1))</f>
        <v>0.106037750264218</v>
      </c>
      <c r="Q38" s="11" t="n">
        <f aca="false">IF(ABS($E38-1)&lt;0.000000001,1/12,$E38^11*($E38-1)/($E38^12-1))</f>
        <v>0.11236712856878</v>
      </c>
      <c r="R38" s="10" t="n">
        <f aca="false">SUM(F38:Q38)</f>
        <v>1</v>
      </c>
    </row>
    <row r="39" customFormat="false" ht="15" hidden="false" customHeight="false" outlineLevel="0" collapsed="false">
      <c r="A39" s="19" t="n">
        <v>2028</v>
      </c>
      <c r="B39" s="13" t="n">
        <f aca="false">datos_base!D19</f>
        <v>43761.3962077661</v>
      </c>
      <c r="C39" s="13" t="n">
        <f aca="false">datos_base!E19</f>
        <v>81177.1926972034</v>
      </c>
      <c r="D39" s="20" t="n">
        <f aca="false">IF(B39&gt;0,C39/B39,1)</f>
        <v>1.85499549218673</v>
      </c>
      <c r="E39" s="21" t="n">
        <f aca="false">D39^(1/12)</f>
        <v>1.05283885666119</v>
      </c>
      <c r="F39" s="11" t="n">
        <f aca="false">IF(ABS($E39-1)&lt;0.000000001,1/12,$E39^0*($E39-1)/($E39^12-1))</f>
        <v>0.0618001581810152</v>
      </c>
      <c r="G39" s="11" t="n">
        <f aca="false">IF(ABS($E39-1)&lt;0.000000001,1/12,$E39^1*($E39-1)/($E39^12-1))</f>
        <v>0.065065607880781</v>
      </c>
      <c r="H39" s="11" t="n">
        <f aca="false">IF(ABS($E39-1)&lt;0.000000001,1/12,$E39^2*($E39-1)/($E39^12-1))</f>
        <v>0.0685036002091671</v>
      </c>
      <c r="I39" s="11" t="n">
        <f aca="false">IF(ABS($E39-1)&lt;0.000000001,1/12,$E39^3*($E39-1)/($E39^12-1))</f>
        <v>0.0721232521213951</v>
      </c>
      <c r="J39" s="11" t="n">
        <f aca="false">IF(ABS($E39-1)&lt;0.000000001,1/12,$E39^4*($E39-1)/($E39^12-1))</f>
        <v>0.0759341623021766</v>
      </c>
      <c r="K39" s="11" t="n">
        <f aca="false">IF(ABS($E39-1)&lt;0.000000001,1/12,$E39^5*($E39-1)/($E39^12-1))</f>
        <v>0.0799464366197492</v>
      </c>
      <c r="L39" s="11" t="n">
        <f aca="false">IF(ABS($E39-1)&lt;0.000000001,1/12,$E39^6*($E39-1)/($E39^12-1))</f>
        <v>0.0841707149248734</v>
      </c>
      <c r="M39" s="11" t="n">
        <f aca="false">IF(ABS($E39-1)&lt;0.000000001,1/12,$E39^7*($E39-1)/($E39^12-1))</f>
        <v>0.0886181992658591</v>
      </c>
      <c r="N39" s="11" t="n">
        <f aca="false">IF(ABS($E39-1)&lt;0.000000001,1/12,$E39^8*($E39-1)/($E39^12-1))</f>
        <v>0.093300683594441</v>
      </c>
      <c r="O39" s="11" t="n">
        <f aca="false">IF(ABS($E39-1)&lt;0.000000001,1/12,$E39^9*($E39-1)/($E39^12-1))</f>
        <v>0.0982305850412791</v>
      </c>
      <c r="P39" s="11" t="n">
        <f aca="false">IF(ABS($E39-1)&lt;0.000000001,1/12,$E39^10*($E39-1)/($E39^12-1))</f>
        <v>0.103420976844021</v>
      </c>
      <c r="Q39" s="11" t="n">
        <f aca="false">IF(ABS($E39-1)&lt;0.000000001,1/12,$E39^11*($E39-1)/($E39^12-1))</f>
        <v>0.108885623015243</v>
      </c>
      <c r="R39" s="10" t="n">
        <f aca="false">SUM(F39:Q39)</f>
        <v>1</v>
      </c>
    </row>
    <row r="40" customFormat="false" ht="15" hidden="false" customHeight="false" outlineLevel="0" collapsed="false">
      <c r="A40" s="19" t="n">
        <v>2029</v>
      </c>
      <c r="B40" s="13" t="n">
        <f aca="false">datos_base!E19</f>
        <v>81177.1926972034</v>
      </c>
      <c r="C40" s="13" t="n">
        <f aca="false">datos_base!F19</f>
        <v>119484.019519496</v>
      </c>
      <c r="D40" s="20" t="n">
        <f aca="false">IF(B40&gt;0,C40/B40,1)</f>
        <v>1.47189149500623</v>
      </c>
      <c r="E40" s="21" t="n">
        <f aca="false">D40^(1/12)</f>
        <v>1.03273679271127</v>
      </c>
      <c r="F40" s="11" t="n">
        <f aca="false">IF(ABS($E40-1)&lt;0.000000001,1/12,$E40^0*($E40-1)/($E40^12-1))</f>
        <v>0.0693735595104109</v>
      </c>
      <c r="G40" s="11" t="n">
        <f aca="false">IF(ABS($E40-1)&lt;0.000000001,1/12,$E40^1*($E40-1)/($E40^12-1))</f>
        <v>0.0716446273477462</v>
      </c>
      <c r="H40" s="11" t="n">
        <f aca="false">IF(ABS($E40-1)&lt;0.000000001,1/12,$E40^2*($E40-1)/($E40^12-1))</f>
        <v>0.0739900426621057</v>
      </c>
      <c r="I40" s="11" t="n">
        <f aca="false">IF(ABS($E40-1)&lt;0.000000001,1/12,$E40^3*($E40-1)/($E40^12-1))</f>
        <v>0.0764122393514332</v>
      </c>
      <c r="J40" s="11" t="n">
        <f aca="false">IF(ABS($E40-1)&lt;0.000000001,1/12,$E40^4*($E40-1)/($E40^12-1))</f>
        <v>0.0789137309916851</v>
      </c>
      <c r="K40" s="11" t="n">
        <f aca="false">IF(ABS($E40-1)&lt;0.000000001,1/12,$E40^5*($E40-1)/($E40^12-1))</f>
        <v>0.0814971134452329</v>
      </c>
      <c r="L40" s="11" t="n">
        <f aca="false">IF(ABS($E40-1)&lt;0.000000001,1/12,$E40^6*($E40-1)/($E40^12-1))</f>
        <v>0.0841650675546565</v>
      </c>
      <c r="M40" s="11" t="n">
        <f aca="false">IF(ABS($E40-1)&lt;0.000000001,1/12,$E40^7*($E40-1)/($E40^12-1))</f>
        <v>0.0869203619247234</v>
      </c>
      <c r="N40" s="11" t="n">
        <f aca="false">IF(ABS($E40-1)&lt;0.000000001,1/12,$E40^8*($E40-1)/($E40^12-1))</f>
        <v>0.0897658557954418</v>
      </c>
      <c r="O40" s="11" t="n">
        <f aca="false">IF(ABS($E40-1)&lt;0.000000001,1/12,$E40^9*($E40-1)/($E40^12-1))</f>
        <v>0.092704502009167</v>
      </c>
      <c r="P40" s="11" t="n">
        <f aca="false">IF(ABS($E40-1)&lt;0.000000001,1/12,$E40^10*($E40-1)/($E40^12-1))</f>
        <v>0.0957393500748428</v>
      </c>
      <c r="Q40" s="11" t="n">
        <f aca="false">IF(ABS($E40-1)&lt;0.000000001,1/12,$E40^11*($E40-1)/($E40^12-1))</f>
        <v>0.0988735493325547</v>
      </c>
      <c r="R40" s="10" t="n">
        <f aca="false">SUM(F40:Q40)</f>
        <v>1</v>
      </c>
    </row>
    <row r="41" customFormat="false" ht="15" hidden="false" customHeight="false" outlineLevel="0" collapsed="false">
      <c r="A41" s="19" t="n">
        <v>2030</v>
      </c>
      <c r="B41" s="13" t="n">
        <f aca="false">datos_base!F19</f>
        <v>119484.019519496</v>
      </c>
      <c r="C41" s="13" t="n">
        <f aca="false">datos_base!G19</f>
        <v>162630.917783496</v>
      </c>
      <c r="D41" s="20" t="n">
        <f aca="false">IF(B41&gt;0,C41/B41,1)</f>
        <v>1.36111020065708</v>
      </c>
      <c r="E41" s="21" t="n">
        <f aca="false">D41^(1/12)</f>
        <v>1.02602460118996</v>
      </c>
      <c r="F41" s="11" t="n">
        <f aca="false">IF(ABS($E41-1)&lt;0.000000001,1/12,$E41^0*($E41-1)/($E41^12-1))</f>
        <v>0.0720683080749448</v>
      </c>
      <c r="G41" s="11" t="n">
        <f aca="false">IF(ABS($E41-1)&lt;0.000000001,1/12,$E41^1*($E41-1)/($E41^12-1))</f>
        <v>0.0739438570510304</v>
      </c>
      <c r="H41" s="11" t="n">
        <f aca="false">IF(ABS($E41-1)&lt;0.000000001,1/12,$E41^2*($E41-1)/($E41^12-1))</f>
        <v>0.0758682164412309</v>
      </c>
      <c r="I41" s="11" t="n">
        <f aca="false">IF(ABS($E41-1)&lt;0.000000001,1/12,$E41^3*($E41-1)/($E41^12-1))</f>
        <v>0.0778426565171075</v>
      </c>
      <c r="J41" s="11" t="n">
        <f aca="false">IF(ABS($E41-1)&lt;0.000000001,1/12,$E41^4*($E41-1)/($E41^12-1))</f>
        <v>0.0798684806085322</v>
      </c>
      <c r="K41" s="11" t="n">
        <f aca="false">IF(ABS($E41-1)&lt;0.000000001,1/12,$E41^5*($E41-1)/($E41^12-1))</f>
        <v>0.0819470259640173</v>
      </c>
      <c r="L41" s="11" t="n">
        <f aca="false">IF(ABS($E41-1)&lt;0.000000001,1/12,$E41^6*($E41-1)/($E41^12-1))</f>
        <v>0.0840796646334342</v>
      </c>
      <c r="M41" s="11" t="n">
        <f aca="false">IF(ABS($E41-1)&lt;0.000000001,1/12,$E41^7*($E41-1)/($E41^12-1))</f>
        <v>0.0862678043737049</v>
      </c>
      <c r="N41" s="11" t="n">
        <f aca="false">IF(ABS($E41-1)&lt;0.000000001,1/12,$E41^8*($E41-1)/($E41^12-1))</f>
        <v>0.088512889578064</v>
      </c>
      <c r="O41" s="11" t="n">
        <f aca="false">IF(ABS($E41-1)&lt;0.000000001,1/12,$E41^9*($E41-1)/($E41^12-1))</f>
        <v>0.0908164022295041</v>
      </c>
      <c r="P41" s="11" t="n">
        <f aca="false">IF(ABS($E41-1)&lt;0.000000001,1/12,$E41^10*($E41-1)/($E41^12-1))</f>
        <v>0.0931798628790339</v>
      </c>
      <c r="Q41" s="11" t="n">
        <f aca="false">IF(ABS($E41-1)&lt;0.000000001,1/12,$E41^11*($E41-1)/($E41^12-1))</f>
        <v>0.0956048316493959</v>
      </c>
      <c r="R41" s="10" t="n">
        <f aca="false">SUM(F41:Q41)</f>
        <v>1</v>
      </c>
    </row>
    <row r="42" customFormat="false" ht="15" hidden="false" customHeight="false" outlineLevel="0" collapsed="false">
      <c r="A42" s="19" t="n">
        <v>2031</v>
      </c>
      <c r="B42" s="13" t="n">
        <f aca="false">datos_base!G19</f>
        <v>162630.917783496</v>
      </c>
      <c r="C42" s="13" t="n">
        <f aca="false">datos_base!H19</f>
        <v>201982.665873248</v>
      </c>
      <c r="D42" s="20" t="n">
        <f aca="false">IF(B42&gt;0,C42/B42,1)</f>
        <v>1.24196966128015</v>
      </c>
      <c r="E42" s="21" t="n">
        <f aca="false">D42^(1/12)</f>
        <v>1.01822224842803</v>
      </c>
      <c r="F42" s="11" t="n">
        <f aca="false">IF(ABS($E42-1)&lt;0.000000001,1/12,$E42^0*($E42-1)/($E42^12-1))</f>
        <v>0.0753079883305414</v>
      </c>
      <c r="G42" s="11" t="n">
        <f aca="false">IF(ABS($E42-1)&lt;0.000000001,1/12,$E42^1*($E42-1)/($E42^12-1))</f>
        <v>0.0766802692025157</v>
      </c>
      <c r="H42" s="11" t="n">
        <f aca="false">IF(ABS($E42-1)&lt;0.000000001,1/12,$E42^2*($E42-1)/($E42^12-1))</f>
        <v>0.0780775561174523</v>
      </c>
      <c r="I42" s="11" t="n">
        <f aca="false">IF(ABS($E42-1)&lt;0.000000001,1/12,$E42^3*($E42-1)/($E42^12-1))</f>
        <v>0.079500304741678</v>
      </c>
      <c r="J42" s="11" t="n">
        <f aca="false">IF(ABS($E42-1)&lt;0.000000001,1/12,$E42^4*($E42-1)/($E42^12-1))</f>
        <v>0.080948979044785</v>
      </c>
      <c r="K42" s="11" t="n">
        <f aca="false">IF(ABS($E42-1)&lt;0.000000001,1/12,$E42^5*($E42-1)/($E42^12-1))</f>
        <v>0.0824240514509345</v>
      </c>
      <c r="L42" s="11" t="n">
        <f aca="false">IF(ABS($E42-1)&lt;0.000000001,1/12,$E42^6*($E42-1)/($E42^12-1))</f>
        <v>0.0839260029929182</v>
      </c>
      <c r="M42" s="11" t="n">
        <f aca="false">IF(ABS($E42-1)&lt;0.000000001,1/12,$E42^7*($E42-1)/($E42^12-1))</f>
        <v>0.0854553234690268</v>
      </c>
      <c r="N42" s="11" t="n">
        <f aca="false">IF(ABS($E42-1)&lt;0.000000001,1/12,$E42^8*($E42-1)/($E42^12-1))</f>
        <v>0.0870125116027772</v>
      </c>
      <c r="O42" s="11" t="n">
        <f aca="false">IF(ABS($E42-1)&lt;0.000000001,1/12,$E42^9*($E42-1)/($E42^12-1))</f>
        <v>0.0885980752055499</v>
      </c>
      <c r="P42" s="11" t="n">
        <f aca="false">IF(ABS($E42-1)&lt;0.000000001,1/12,$E42^10*($E42-1)/($E42^12-1))</f>
        <v>0.0902125313421908</v>
      </c>
      <c r="Q42" s="11" t="n">
        <f aca="false">IF(ABS($E42-1)&lt;0.000000001,1/12,$E42^11*($E42-1)/($E42^12-1))</f>
        <v>0.0918564064996297</v>
      </c>
      <c r="R42" s="10" t="n">
        <f aca="false">SUM(F42:Q42)</f>
        <v>1</v>
      </c>
    </row>
    <row r="43" customFormat="false" ht="15" hidden="false" customHeight="false" outlineLevel="0" collapsed="false">
      <c r="A43" s="19" t="n">
        <v>2032</v>
      </c>
      <c r="B43" s="13" t="n">
        <f aca="false">datos_base!H19</f>
        <v>201982.665873248</v>
      </c>
      <c r="C43" s="13" t="n">
        <f aca="false">datos_base!I19</f>
        <v>229623.614015231</v>
      </c>
      <c r="D43" s="20" t="n">
        <f aca="false">IF(B43&gt;0,C43/B43,1)</f>
        <v>1.13684812022101</v>
      </c>
      <c r="E43" s="21" t="n">
        <f aca="false">D43^(1/12)</f>
        <v>1.01074562615561</v>
      </c>
      <c r="F43" s="11" t="n">
        <f aca="false">IF(ABS($E43-1)&lt;0.000000001,1/12,$E43^0*($E43-1)/($E43^12-1))</f>
        <v>0.0785222781156994</v>
      </c>
      <c r="G43" s="11" t="n">
        <f aca="false">IF(ABS($E43-1)&lt;0.000000001,1/12,$E43^1*($E43-1)/($E43^12-1))</f>
        <v>0.0793660491612171</v>
      </c>
      <c r="H43" s="11" t="n">
        <f aca="false">IF(ABS($E43-1)&lt;0.000000001,1/12,$E43^2*($E43-1)/($E43^12-1))</f>
        <v>0.0802188870549509</v>
      </c>
      <c r="I43" s="11" t="n">
        <f aca="false">IF(ABS($E43-1)&lt;0.000000001,1/12,$E43^3*($E43-1)/($E43^12-1))</f>
        <v>0.0810808892258621</v>
      </c>
      <c r="J43" s="11" t="n">
        <f aca="false">IF(ABS($E43-1)&lt;0.000000001,1/12,$E43^4*($E43-1)/($E43^12-1))</f>
        <v>0.0819521541498473</v>
      </c>
      <c r="K43" s="11" t="n">
        <f aca="false">IF(ABS($E43-1)&lt;0.000000001,1/12,$E43^5*($E43-1)/($E43^12-1))</f>
        <v>0.082832781360988</v>
      </c>
      <c r="L43" s="11" t="n">
        <f aca="false">IF(ABS($E43-1)&lt;0.000000001,1/12,$E43^6*($E43-1)/($E43^12-1))</f>
        <v>0.0837228714629222</v>
      </c>
      <c r="M43" s="11" t="n">
        <f aca="false">IF(ABS($E43-1)&lt;0.000000001,1/12,$E43^7*($E43-1)/($E43^12-1))</f>
        <v>0.0846225261403365</v>
      </c>
      <c r="N43" s="11" t="n">
        <f aca="false">IF(ABS($E43-1)&lt;0.000000001,1/12,$E43^8*($E43-1)/($E43^12-1))</f>
        <v>0.0855318481705834</v>
      </c>
      <c r="O43" s="11" t="n">
        <f aca="false">IF(ABS($E43-1)&lt;0.000000001,1/12,$E43^9*($E43-1)/($E43^12-1))</f>
        <v>0.0864509414354225</v>
      </c>
      <c r="P43" s="11" t="n">
        <f aca="false">IF(ABS($E43-1)&lt;0.000000001,1/12,$E43^10*($E43-1)/($E43^12-1))</f>
        <v>0.0873799109328877</v>
      </c>
      <c r="Q43" s="11" t="n">
        <f aca="false">IF(ABS($E43-1)&lt;0.000000001,1/12,$E43^11*($E43-1)/($E43^12-1))</f>
        <v>0.0883188627892825</v>
      </c>
      <c r="R43" s="10" t="n">
        <f aca="false">SUM(F43:Q43)</f>
        <v>1</v>
      </c>
    </row>
    <row r="44" customFormat="false" ht="15" hidden="false" customHeight="false" outlineLevel="0" collapsed="false">
      <c r="A44" s="19" t="n">
        <v>2033</v>
      </c>
      <c r="B44" s="13" t="n">
        <f aca="false">datos_base!I19</f>
        <v>229623.614015231</v>
      </c>
      <c r="C44" s="13" t="n">
        <f aca="false">datos_base!J19</f>
        <v>246984.577103387</v>
      </c>
      <c r="D44" s="20" t="n">
        <f aca="false">IF(B44&gt;0,C44/B44,1)</f>
        <v>1.07560617475084</v>
      </c>
      <c r="E44" s="21" t="n">
        <f aca="false">D44^(1/12)</f>
        <v>1.00609218115406</v>
      </c>
      <c r="F44" s="11" t="n">
        <f aca="false">IF(ABS($E44-1)&lt;0.000000001,1/12,$E44^0*($E44-1)/($E44^12-1))</f>
        <v>0.080577825477091</v>
      </c>
      <c r="G44" s="11" t="n">
        <f aca="false">IF(ABS($E44-1)&lt;0.000000001,1/12,$E44^1*($E44-1)/($E44^12-1))</f>
        <v>0.081068720186898</v>
      </c>
      <c r="H44" s="11" t="n">
        <f aca="false">IF(ABS($E44-1)&lt;0.000000001,1/12,$E44^2*($E44-1)/($E44^12-1))</f>
        <v>0.0815626055162047</v>
      </c>
      <c r="I44" s="11" t="n">
        <f aca="false">IF(ABS($E44-1)&lt;0.000000001,1/12,$E44^3*($E44-1)/($E44^12-1))</f>
        <v>0.0820594996844069</v>
      </c>
      <c r="J44" s="11" t="n">
        <f aca="false">IF(ABS($E44-1)&lt;0.000000001,1/12,$E44^4*($E44-1)/($E44^12-1))</f>
        <v>0.0825594210218961</v>
      </c>
      <c r="K44" s="11" t="n">
        <f aca="false">IF(ABS($E44-1)&lt;0.000000001,1/12,$E44^5*($E44-1)/($E44^12-1))</f>
        <v>0.0830623879707362</v>
      </c>
      <c r="L44" s="11" t="n">
        <f aca="false">IF(ABS($E44-1)&lt;0.000000001,1/12,$E44^6*($E44-1)/($E44^12-1))</f>
        <v>0.083568419085343</v>
      </c>
      <c r="M44" s="11" t="n">
        <f aca="false">IF(ABS($E44-1)&lt;0.000000001,1/12,$E44^7*($E44-1)/($E44^12-1))</f>
        <v>0.0840775330331697</v>
      </c>
      <c r="N44" s="11" t="n">
        <f aca="false">IF(ABS($E44-1)&lt;0.000000001,1/12,$E44^8*($E44-1)/($E44^12-1))</f>
        <v>0.0845897485953945</v>
      </c>
      <c r="O44" s="11" t="n">
        <f aca="false">IF(ABS($E44-1)&lt;0.000000001,1/12,$E44^9*($E44-1)/($E44^12-1))</f>
        <v>0.0851050846676144</v>
      </c>
      <c r="P44" s="11" t="n">
        <f aca="false">IF(ABS($E44-1)&lt;0.000000001,1/12,$E44^10*($E44-1)/($E44^12-1))</f>
        <v>0.0856235602605415</v>
      </c>
      <c r="Q44" s="11" t="n">
        <f aca="false">IF(ABS($E44-1)&lt;0.000000001,1/12,$E44^11*($E44-1)/($E44^12-1))</f>
        <v>0.0861451945007046</v>
      </c>
      <c r="R44" s="10" t="n">
        <f aca="false">SUM(F44:Q44)</f>
        <v>1</v>
      </c>
    </row>
    <row r="45" customFormat="false" ht="15" hidden="false" customHeight="false" outlineLevel="0" collapsed="false">
      <c r="A45" s="19" t="n">
        <v>2034</v>
      </c>
      <c r="B45" s="13" t="n">
        <f aca="false">datos_base!J19</f>
        <v>246984.577103387</v>
      </c>
      <c r="C45" s="13" t="n">
        <f aca="false">datos_base!K19</f>
        <v>264710.316731115</v>
      </c>
      <c r="D45" s="20" t="n">
        <f aca="false">IF(B45&gt;0,C45/B45,1)</f>
        <v>1.07176860934239</v>
      </c>
      <c r="E45" s="21" t="n">
        <f aca="false">D45^(1/12)</f>
        <v>1.00579256153194</v>
      </c>
      <c r="F45" s="11" t="n">
        <f aca="false">IF(ABS($E45-1)&lt;0.000000001,1/12,$E45^0*($E45-1)/($E45^12-1))</f>
        <v>0.0807116312411818</v>
      </c>
      <c r="G45" s="11" t="n">
        <f aca="false">IF(ABS($E45-1)&lt;0.000000001,1/12,$E45^1*($E45-1)/($E45^12-1))</f>
        <v>0.0811791583314891</v>
      </c>
      <c r="H45" s="11" t="n">
        <f aca="false">IF(ABS($E45-1)&lt;0.000000001,1/12,$E45^2*($E45-1)/($E45^12-1))</f>
        <v>0.081649393601235</v>
      </c>
      <c r="I45" s="11" t="n">
        <f aca="false">IF(ABS($E45-1)&lt;0.000000001,1/12,$E45^3*($E45-1)/($E45^12-1))</f>
        <v>0.0821223527377154</v>
      </c>
      <c r="J45" s="11" t="n">
        <f aca="false">IF(ABS($E45-1)&lt;0.000000001,1/12,$E45^4*($E45-1)/($E45^12-1))</f>
        <v>0.0825980515190958</v>
      </c>
      <c r="K45" s="11" t="n">
        <f aca="false">IF(ABS($E45-1)&lt;0.000000001,1/12,$E45^5*($E45-1)/($E45^12-1))</f>
        <v>0.0830765058149382</v>
      </c>
      <c r="L45" s="11" t="n">
        <f aca="false">IF(ABS($E45-1)&lt;0.000000001,1/12,$E45^6*($E45-1)/($E45^12-1))</f>
        <v>0.0835577315867294</v>
      </c>
      <c r="M45" s="11" t="n">
        <f aca="false">IF(ABS($E45-1)&lt;0.000000001,1/12,$E45^7*($E45-1)/($E45^12-1))</f>
        <v>0.0840417448884144</v>
      </c>
      <c r="N45" s="11" t="n">
        <f aca="false">IF(ABS($E45-1)&lt;0.000000001,1/12,$E45^8*($E45-1)/($E45^12-1))</f>
        <v>0.0845285618669318</v>
      </c>
      <c r="O45" s="11" t="n">
        <f aca="false">IF(ABS($E45-1)&lt;0.000000001,1/12,$E45^9*($E45-1)/($E45^12-1))</f>
        <v>0.085018198762752</v>
      </c>
      <c r="P45" s="11" t="n">
        <f aca="false">IF(ABS($E45-1)&lt;0.000000001,1/12,$E45^10*($E45-1)/($E45^12-1))</f>
        <v>0.0855106719104195</v>
      </c>
      <c r="Q45" s="11" t="n">
        <f aca="false">IF(ABS($E45-1)&lt;0.000000001,1/12,$E45^11*($E45-1)/($E45^12-1))</f>
        <v>0.0860059977390977</v>
      </c>
      <c r="R45" s="10" t="n">
        <f aca="false">SUM(F45:Q45)</f>
        <v>1</v>
      </c>
    </row>
    <row r="46" customFormat="false" ht="15" hidden="false" customHeight="false" outlineLevel="0" collapsed="false">
      <c r="A46" s="19" t="n">
        <v>2035</v>
      </c>
      <c r="B46" s="13" t="n">
        <f aca="false">datos_base!K19</f>
        <v>264710.316731115</v>
      </c>
      <c r="C46" s="13" t="n">
        <f aca="false">IF(datos_base!J19&gt;0,datos_base!K19^2/datos_base!J19,0)</f>
        <v>283708.20804149</v>
      </c>
      <c r="D46" s="20" t="n">
        <f aca="false">IF(B46&gt;0,C46/B46,1)</f>
        <v>1.07176860934239</v>
      </c>
      <c r="E46" s="21" t="n">
        <f aca="false">D46^(1/12)</f>
        <v>1.00579256153194</v>
      </c>
      <c r="F46" s="11" t="n">
        <f aca="false">IF(ABS($E46-1)&lt;0.000000001,1/12,$E46^0*($E46-1)/($E46^12-1))</f>
        <v>0.0807116312411818</v>
      </c>
      <c r="G46" s="11" t="n">
        <f aca="false">IF(ABS($E46-1)&lt;0.000000001,1/12,$E46^1*($E46-1)/($E46^12-1))</f>
        <v>0.0811791583314891</v>
      </c>
      <c r="H46" s="11" t="n">
        <f aca="false">IF(ABS($E46-1)&lt;0.000000001,1/12,$E46^2*($E46-1)/($E46^12-1))</f>
        <v>0.081649393601235</v>
      </c>
      <c r="I46" s="11" t="n">
        <f aca="false">IF(ABS($E46-1)&lt;0.000000001,1/12,$E46^3*($E46-1)/($E46^12-1))</f>
        <v>0.0821223527377154</v>
      </c>
      <c r="J46" s="11" t="n">
        <f aca="false">IF(ABS($E46-1)&lt;0.000000001,1/12,$E46^4*($E46-1)/($E46^12-1))</f>
        <v>0.0825980515190958</v>
      </c>
      <c r="K46" s="11" t="n">
        <f aca="false">IF(ABS($E46-1)&lt;0.000000001,1/12,$E46^5*($E46-1)/($E46^12-1))</f>
        <v>0.0830765058149382</v>
      </c>
      <c r="L46" s="11" t="n">
        <f aca="false">IF(ABS($E46-1)&lt;0.000000001,1/12,$E46^6*($E46-1)/($E46^12-1))</f>
        <v>0.0835577315867294</v>
      </c>
      <c r="M46" s="11" t="n">
        <f aca="false">IF(ABS($E46-1)&lt;0.000000001,1/12,$E46^7*($E46-1)/($E46^12-1))</f>
        <v>0.0840417448884144</v>
      </c>
      <c r="N46" s="11" t="n">
        <f aca="false">IF(ABS($E46-1)&lt;0.000000001,1/12,$E46^8*($E46-1)/($E46^12-1))</f>
        <v>0.0845285618669318</v>
      </c>
      <c r="O46" s="11" t="n">
        <f aca="false">IF(ABS($E46-1)&lt;0.000000001,1/12,$E46^9*($E46-1)/($E46^12-1))</f>
        <v>0.085018198762752</v>
      </c>
      <c r="P46" s="11" t="n">
        <f aca="false">IF(ABS($E46-1)&lt;0.000000001,1/12,$E46^10*($E46-1)/($E46^12-1))</f>
        <v>0.0855106719104195</v>
      </c>
      <c r="Q46" s="11" t="n">
        <f aca="false">IF(ABS($E46-1)&lt;0.000000001,1/12,$E46^11*($E46-1)/($E46^12-1))</f>
        <v>0.0860059977390977</v>
      </c>
      <c r="R46" s="10" t="n">
        <f aca="false">SUM(F46:Q46)</f>
        <v>1</v>
      </c>
    </row>
    <row r="49" customFormat="false" ht="15" hidden="false" customHeight="false" outlineLevel="0" collapsed="false">
      <c r="A49" s="1" t="s">
        <v>137</v>
      </c>
    </row>
    <row r="50" customFormat="false" ht="35.05" hidden="false" customHeight="true" outlineLevel="0" collapsed="false">
      <c r="A50" s="3" t="s">
        <v>138</v>
      </c>
      <c r="B50" s="3" t="s">
        <v>139</v>
      </c>
      <c r="C50" s="3" t="s">
        <v>140</v>
      </c>
      <c r="D50" s="3" t="s">
        <v>141</v>
      </c>
      <c r="E50" s="3" t="s">
        <v>142</v>
      </c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</row>
    <row r="51" customFormat="false" ht="15" hidden="false" customHeight="true" outlineLevel="0" collapsed="false">
      <c r="A51" s="12" t="str">
        <f aca="false">datos_base!A2</f>
        <v>ABC 1 kg</v>
      </c>
      <c r="B51" s="12" t="s">
        <v>143</v>
      </c>
      <c r="C51" s="14" t="n">
        <v>1</v>
      </c>
      <c r="D51" s="14" t="n">
        <v>0</v>
      </c>
      <c r="E51" s="4" t="s">
        <v>144</v>
      </c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</row>
    <row r="52" customFormat="false" ht="15" hidden="false" customHeight="true" outlineLevel="0" collapsed="false">
      <c r="A52" s="12" t="str">
        <f aca="false">datos_base!A3</f>
        <v>ABC 2,5 kg</v>
      </c>
      <c r="B52" s="12" t="s">
        <v>143</v>
      </c>
      <c r="C52" s="14" t="n">
        <v>1</v>
      </c>
      <c r="D52" s="14" t="n">
        <v>0</v>
      </c>
      <c r="E52" s="4" t="s">
        <v>145</v>
      </c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</row>
    <row r="53" customFormat="false" ht="15" hidden="false" customHeight="true" outlineLevel="0" collapsed="false">
      <c r="A53" s="12" t="str">
        <f aca="false">datos_base!A4</f>
        <v>ABC 5 kg</v>
      </c>
      <c r="B53" s="12" t="s">
        <v>143</v>
      </c>
      <c r="C53" s="14" t="n">
        <v>1</v>
      </c>
      <c r="D53" s="14" t="n">
        <v>0</v>
      </c>
      <c r="E53" s="4" t="s">
        <v>145</v>
      </c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</row>
    <row r="54" customFormat="false" ht="15" hidden="false" customHeight="true" outlineLevel="0" collapsed="false">
      <c r="A54" s="12" t="str">
        <f aca="false">datos_base!A5</f>
        <v>ABC 10 kg</v>
      </c>
      <c r="B54" s="12" t="s">
        <v>143</v>
      </c>
      <c r="C54" s="14" t="n">
        <v>1</v>
      </c>
      <c r="D54" s="14" t="n">
        <v>0</v>
      </c>
      <c r="E54" s="4" t="s">
        <v>145</v>
      </c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</row>
    <row r="55" customFormat="false" ht="15" hidden="false" customHeight="true" outlineLevel="0" collapsed="false">
      <c r="A55" s="12" t="str">
        <f aca="false">datos_base!A6</f>
        <v>Agua 10 l</v>
      </c>
      <c r="B55" s="12" t="s">
        <v>146</v>
      </c>
      <c r="C55" s="14" t="n">
        <v>1</v>
      </c>
      <c r="D55" s="14" t="n">
        <v>0</v>
      </c>
      <c r="E55" s="4" t="s">
        <v>145</v>
      </c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</row>
    <row r="56" customFormat="false" ht="15" hidden="false" customHeight="true" outlineLevel="0" collapsed="false">
      <c r="A56" s="12" t="str">
        <f aca="false">datos_base!A7</f>
        <v>AFFF 10 l</v>
      </c>
      <c r="B56" s="12" t="s">
        <v>147</v>
      </c>
      <c r="C56" s="14" t="n">
        <v>1</v>
      </c>
      <c r="D56" s="14" t="n">
        <v>0</v>
      </c>
      <c r="E56" s="4" t="s">
        <v>145</v>
      </c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</row>
    <row r="57" customFormat="false" ht="15" hidden="false" customHeight="true" outlineLevel="0" collapsed="false">
      <c r="A57" s="12" t="str">
        <f aca="false">datos_base!A8</f>
        <v>AFFF 50 l s/ruedas</v>
      </c>
      <c r="B57" s="12" t="s">
        <v>147</v>
      </c>
      <c r="C57" s="16" t="n">
        <f aca="false">$B$9</f>
        <v>3</v>
      </c>
      <c r="D57" s="14" t="n">
        <v>1</v>
      </c>
      <c r="E57" s="4" t="s">
        <v>148</v>
      </c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</row>
    <row r="58" customFormat="false" ht="15" hidden="false" customHeight="true" outlineLevel="0" collapsed="false">
      <c r="A58" s="12" t="str">
        <f aca="false">datos_base!A9</f>
        <v>BC 5 kg</v>
      </c>
      <c r="B58" s="12" t="s">
        <v>149</v>
      </c>
      <c r="C58" s="14" t="n">
        <v>1</v>
      </c>
      <c r="D58" s="14" t="n">
        <v>0</v>
      </c>
      <c r="E58" s="4" t="s">
        <v>145</v>
      </c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</row>
    <row r="59" customFormat="false" ht="15" hidden="false" customHeight="true" outlineLevel="0" collapsed="false">
      <c r="A59" s="12" t="str">
        <f aca="false">datos_base!A10</f>
        <v>Sales K 6 l</v>
      </c>
      <c r="B59" s="12" t="s">
        <v>150</v>
      </c>
      <c r="C59" s="14" t="n">
        <v>1</v>
      </c>
      <c r="D59" s="14" t="n">
        <v>0</v>
      </c>
      <c r="E59" s="4" t="s">
        <v>145</v>
      </c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</row>
    <row r="60" customFormat="false" ht="15" hidden="false" customHeight="true" outlineLevel="0" collapsed="false">
      <c r="A60" s="12" t="str">
        <f aca="false">datos_base!A11</f>
        <v>CO₂ 2 kg</v>
      </c>
      <c r="B60" s="12" t="s">
        <v>151</v>
      </c>
      <c r="C60" s="14" t="n">
        <v>1</v>
      </c>
      <c r="D60" s="14" t="n">
        <v>0</v>
      </c>
      <c r="E60" s="4" t="s">
        <v>152</v>
      </c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</row>
    <row r="61" customFormat="false" ht="15" hidden="false" customHeight="true" outlineLevel="0" collapsed="false">
      <c r="A61" s="12" t="str">
        <f aca="false">datos_base!A12</f>
        <v>CO₂ 5 kg</v>
      </c>
      <c r="B61" s="12" t="s">
        <v>151</v>
      </c>
      <c r="C61" s="14" t="n">
        <v>1</v>
      </c>
      <c r="D61" s="14" t="n">
        <v>1</v>
      </c>
      <c r="E61" s="4" t="s">
        <v>153</v>
      </c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</row>
    <row r="62" customFormat="false" ht="15" hidden="false" customHeight="true" outlineLevel="0" collapsed="false">
      <c r="A62" s="12" t="str">
        <f aca="false">datos_base!A13</f>
        <v>HCFC/HFC 5 kg</v>
      </c>
      <c r="B62" s="12" t="s">
        <v>154</v>
      </c>
      <c r="C62" s="14" t="n">
        <v>1</v>
      </c>
      <c r="D62" s="14" t="n">
        <v>0</v>
      </c>
      <c r="E62" s="4" t="s">
        <v>145</v>
      </c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</row>
    <row r="63" customFormat="false" ht="15" hidden="false" customHeight="true" outlineLevel="0" collapsed="false">
      <c r="A63" s="12" t="str">
        <f aca="false">datos_base!A14</f>
        <v>Clase D 9 l</v>
      </c>
      <c r="B63" s="12" t="s">
        <v>155</v>
      </c>
      <c r="C63" s="14" t="n">
        <v>1</v>
      </c>
      <c r="D63" s="14" t="n">
        <v>0</v>
      </c>
      <c r="E63" s="4" t="s">
        <v>145</v>
      </c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</row>
    <row r="64" customFormat="false" ht="15" hidden="false" customHeight="true" outlineLevel="0" collapsed="false">
      <c r="A64" s="12" t="str">
        <f aca="false">datos_base!A15</f>
        <v>ABC 25 kg s/ruedas</v>
      </c>
      <c r="B64" s="12" t="s">
        <v>143</v>
      </c>
      <c r="C64" s="16" t="n">
        <f aca="false">$B$9</f>
        <v>3</v>
      </c>
      <c r="D64" s="14" t="n">
        <v>1</v>
      </c>
      <c r="E64" s="4" t="s">
        <v>156</v>
      </c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</row>
    <row r="65" customFormat="false" ht="15" hidden="false" customHeight="true" outlineLevel="0" collapsed="false">
      <c r="A65" s="12" t="str">
        <f aca="false">datos_base!A16</f>
        <v>ABC 50 kg s/ruedas</v>
      </c>
      <c r="B65" s="12" t="s">
        <v>143</v>
      </c>
      <c r="C65" s="16" t="n">
        <f aca="false">$B$9</f>
        <v>3</v>
      </c>
      <c r="D65" s="14" t="n">
        <v>1</v>
      </c>
      <c r="E65" s="4" t="s">
        <v>156</v>
      </c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</row>
    <row r="66" customFormat="false" ht="15" hidden="false" customHeight="true" outlineLevel="0" collapsed="false">
      <c r="A66" s="12" t="str">
        <f aca="false">datos_base!A17</f>
        <v>ABC 70 kg s/ruedas</v>
      </c>
      <c r="B66" s="12" t="s">
        <v>143</v>
      </c>
      <c r="C66" s="16" t="n">
        <f aca="false">$B$9</f>
        <v>3</v>
      </c>
      <c r="D66" s="14" t="n">
        <v>1</v>
      </c>
      <c r="E66" s="4" t="s">
        <v>156</v>
      </c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</row>
    <row r="67" customFormat="false" ht="15" hidden="false" customHeight="true" outlineLevel="0" collapsed="false">
      <c r="A67" s="12" t="str">
        <f aca="false">datos_base!A18</f>
        <v>ABC 100 kg s/ruedas</v>
      </c>
      <c r="B67" s="12" t="s">
        <v>143</v>
      </c>
      <c r="C67" s="16" t="n">
        <f aca="false">$B$9</f>
        <v>3</v>
      </c>
      <c r="D67" s="14" t="n">
        <v>1</v>
      </c>
      <c r="E67" s="4" t="s">
        <v>156</v>
      </c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</row>
    <row r="70" customFormat="false" ht="15" hidden="false" customHeight="false" outlineLevel="0" collapsed="false">
      <c r="A70" s="1" t="s">
        <v>157</v>
      </c>
    </row>
    <row r="71" customFormat="false" ht="35.05" hidden="false" customHeight="false" outlineLevel="0" collapsed="false">
      <c r="A71" s="3" t="s">
        <v>158</v>
      </c>
      <c r="B71" s="3" t="s">
        <v>159</v>
      </c>
      <c r="C71" s="3" t="s">
        <v>160</v>
      </c>
      <c r="D71" s="3" t="s">
        <v>161</v>
      </c>
      <c r="E71" s="3" t="s">
        <v>143</v>
      </c>
      <c r="F71" s="3" t="s">
        <v>149</v>
      </c>
      <c r="G71" s="3" t="s">
        <v>155</v>
      </c>
      <c r="H71" s="3" t="s">
        <v>146</v>
      </c>
      <c r="I71" s="3" t="s">
        <v>147</v>
      </c>
      <c r="J71" s="3" t="s">
        <v>150</v>
      </c>
      <c r="K71" s="3" t="s">
        <v>151</v>
      </c>
      <c r="L71" s="3" t="s">
        <v>154</v>
      </c>
      <c r="M71" s="3" t="s">
        <v>162</v>
      </c>
      <c r="N71" s="3" t="s">
        <v>163</v>
      </c>
      <c r="O71" s="3" t="s">
        <v>164</v>
      </c>
      <c r="P71" s="3" t="s">
        <v>165</v>
      </c>
      <c r="Q71" s="3" t="s">
        <v>166</v>
      </c>
    </row>
    <row r="72" customFormat="false" ht="23.85" hidden="false" customHeight="false" outlineLevel="0" collapsed="false">
      <c r="A72" s="19" t="n">
        <v>1</v>
      </c>
      <c r="B72" s="4" t="s">
        <v>167</v>
      </c>
      <c r="C72" s="4" t="s">
        <v>168</v>
      </c>
      <c r="D72" s="9" t="s">
        <v>169</v>
      </c>
      <c r="E72" s="11" t="n">
        <v>1</v>
      </c>
      <c r="F72" s="11" t="n">
        <v>1</v>
      </c>
      <c r="G72" s="11" t="n">
        <v>1</v>
      </c>
      <c r="H72" s="11" t="n">
        <v>1</v>
      </c>
      <c r="I72" s="11" t="n">
        <v>1</v>
      </c>
      <c r="J72" s="11" t="n">
        <v>1</v>
      </c>
      <c r="K72" s="11" t="n">
        <v>1</v>
      </c>
      <c r="L72" s="11" t="n">
        <v>1</v>
      </c>
      <c r="M72" s="14" t="n">
        <f aca="false">12.5+12.5+40+10</f>
        <v>75</v>
      </c>
      <c r="N72" s="22" t="n">
        <f aca="false">IF(M72&gt;0,3600/M72,0)</f>
        <v>48</v>
      </c>
      <c r="O72" s="7" t="n">
        <f aca="false">N72*$B$6</f>
        <v>7200</v>
      </c>
      <c r="P72" s="4" t="s">
        <v>170</v>
      </c>
      <c r="Q72" s="4"/>
    </row>
    <row r="73" customFormat="false" ht="15" hidden="false" customHeight="false" outlineLevel="0" collapsed="false">
      <c r="A73" s="19" t="n">
        <v>2</v>
      </c>
      <c r="B73" s="4" t="s">
        <v>171</v>
      </c>
      <c r="C73" s="4" t="s">
        <v>172</v>
      </c>
      <c r="D73" s="9" t="s">
        <v>169</v>
      </c>
      <c r="E73" s="11" t="n">
        <v>1</v>
      </c>
      <c r="F73" s="11" t="n">
        <v>1</v>
      </c>
      <c r="G73" s="11" t="n">
        <v>1</v>
      </c>
      <c r="H73" s="11" t="n">
        <v>1</v>
      </c>
      <c r="I73" s="11" t="n">
        <v>1</v>
      </c>
      <c r="J73" s="11" t="n">
        <v>1</v>
      </c>
      <c r="K73" s="11" t="n">
        <v>1</v>
      </c>
      <c r="L73" s="11" t="n">
        <v>1</v>
      </c>
      <c r="M73" s="14" t="n">
        <f aca="false">5+30+25+10+15+5</f>
        <v>90</v>
      </c>
      <c r="N73" s="22" t="n">
        <f aca="false">IF(M73&gt;0,3600/M73,0)</f>
        <v>40</v>
      </c>
      <c r="O73" s="7" t="n">
        <f aca="false">N73*$B$6</f>
        <v>6000</v>
      </c>
      <c r="P73" s="4" t="s">
        <v>173</v>
      </c>
      <c r="Q73" s="4" t="s">
        <v>174</v>
      </c>
    </row>
    <row r="74" customFormat="false" ht="15" hidden="false" customHeight="false" outlineLevel="0" collapsed="false">
      <c r="A74" s="19" t="n">
        <v>3</v>
      </c>
      <c r="B74" s="4" t="s">
        <v>175</v>
      </c>
      <c r="C74" s="4" t="s">
        <v>176</v>
      </c>
      <c r="D74" s="9" t="s">
        <v>177</v>
      </c>
      <c r="E74" s="11" t="n">
        <f aca="false">1-$B$25-$B$27</f>
        <v>0.85</v>
      </c>
      <c r="F74" s="11" t="n">
        <v>0</v>
      </c>
      <c r="G74" s="11" t="n">
        <v>0</v>
      </c>
      <c r="H74" s="11" t="n">
        <v>0</v>
      </c>
      <c r="I74" s="11" t="n">
        <v>0</v>
      </c>
      <c r="J74" s="11" t="n">
        <v>0</v>
      </c>
      <c r="K74" s="11" t="n">
        <v>0</v>
      </c>
      <c r="L74" s="11" t="n">
        <v>0</v>
      </c>
      <c r="M74" s="14" t="n">
        <f aca="false">15+60+10</f>
        <v>85</v>
      </c>
      <c r="N74" s="22" t="n">
        <f aca="false">IF(M74&gt;0,3600/M74,0)</f>
        <v>42.3529411764706</v>
      </c>
      <c r="O74" s="7" t="n">
        <f aca="false">N74*$B$6</f>
        <v>6352.94117647059</v>
      </c>
      <c r="P74" s="4" t="s">
        <v>178</v>
      </c>
      <c r="Q74" s="4"/>
    </row>
    <row r="75" customFormat="false" ht="15" hidden="false" customHeight="false" outlineLevel="0" collapsed="false">
      <c r="A75" s="19" t="n">
        <v>4</v>
      </c>
      <c r="B75" s="4" t="s">
        <v>179</v>
      </c>
      <c r="C75" s="4" t="s">
        <v>180</v>
      </c>
      <c r="D75" s="9" t="s">
        <v>177</v>
      </c>
      <c r="E75" s="11" t="n">
        <f aca="false">$B$27</f>
        <v>0.1</v>
      </c>
      <c r="F75" s="11" t="n">
        <v>0</v>
      </c>
      <c r="G75" s="11" t="n">
        <v>0</v>
      </c>
      <c r="H75" s="11" t="n">
        <v>0</v>
      </c>
      <c r="I75" s="11" t="n">
        <v>0</v>
      </c>
      <c r="J75" s="11" t="n">
        <v>0</v>
      </c>
      <c r="K75" s="11" t="n">
        <v>0</v>
      </c>
      <c r="L75" s="11" t="n">
        <v>0</v>
      </c>
      <c r="M75" s="14" t="n">
        <f aca="false">15+60+10</f>
        <v>85</v>
      </c>
      <c r="N75" s="22" t="n">
        <f aca="false">IF(M75&gt;0,3600/M75,0)</f>
        <v>42.3529411764706</v>
      </c>
      <c r="O75" s="7" t="n">
        <f aca="false">N75*$B$6</f>
        <v>6352.94117647059</v>
      </c>
      <c r="P75" s="4" t="s">
        <v>181</v>
      </c>
      <c r="Q75" s="4"/>
    </row>
    <row r="76" customFormat="false" ht="15" hidden="false" customHeight="false" outlineLevel="0" collapsed="false">
      <c r="A76" s="19" t="n">
        <v>5</v>
      </c>
      <c r="B76" s="4" t="s">
        <v>182</v>
      </c>
      <c r="C76" s="4" t="s">
        <v>183</v>
      </c>
      <c r="D76" s="9" t="s">
        <v>177</v>
      </c>
      <c r="E76" s="11" t="n">
        <v>0</v>
      </c>
      <c r="F76" s="11" t="n">
        <v>1</v>
      </c>
      <c r="G76" s="11" t="n">
        <v>0</v>
      </c>
      <c r="H76" s="11" t="n">
        <v>0</v>
      </c>
      <c r="I76" s="11" t="n">
        <v>0</v>
      </c>
      <c r="J76" s="11" t="n">
        <v>0</v>
      </c>
      <c r="K76" s="11" t="n">
        <v>0</v>
      </c>
      <c r="L76" s="11" t="n">
        <v>0</v>
      </c>
      <c r="M76" s="14" t="n">
        <f aca="false">15+60+10</f>
        <v>85</v>
      </c>
      <c r="N76" s="22" t="n">
        <f aca="false">IF(M76&gt;0,3600/M76,0)</f>
        <v>42.3529411764706</v>
      </c>
      <c r="O76" s="7" t="n">
        <f aca="false">N76*$B$6</f>
        <v>6352.94117647059</v>
      </c>
      <c r="P76" s="4" t="s">
        <v>184</v>
      </c>
      <c r="Q76" s="4"/>
    </row>
    <row r="77" customFormat="false" ht="15" hidden="false" customHeight="false" outlineLevel="0" collapsed="false">
      <c r="A77" s="19" t="n">
        <v>6</v>
      </c>
      <c r="B77" s="4" t="s">
        <v>185</v>
      </c>
      <c r="C77" s="4" t="s">
        <v>186</v>
      </c>
      <c r="D77" s="9" t="s">
        <v>177</v>
      </c>
      <c r="E77" s="11" t="n">
        <v>0</v>
      </c>
      <c r="F77" s="11" t="n">
        <v>0</v>
      </c>
      <c r="G77" s="11" t="n">
        <v>0</v>
      </c>
      <c r="H77" s="11" t="n">
        <f aca="false">$B$28</f>
        <v>1</v>
      </c>
      <c r="I77" s="11" t="n">
        <f aca="false">$B$28</f>
        <v>1</v>
      </c>
      <c r="J77" s="11" t="n">
        <f aca="false">$B$28</f>
        <v>1</v>
      </c>
      <c r="K77" s="11" t="n">
        <v>0</v>
      </c>
      <c r="L77" s="11" t="n">
        <v>0</v>
      </c>
      <c r="M77" s="14" t="n">
        <f aca="false">10+10+15+60+10</f>
        <v>105</v>
      </c>
      <c r="N77" s="22" t="n">
        <f aca="false">IF(M77&gt;0,3600/M77,0)</f>
        <v>34.2857142857143</v>
      </c>
      <c r="O77" s="7" t="n">
        <f aca="false">N77*$B$6</f>
        <v>5142.85714285714</v>
      </c>
      <c r="P77" s="4" t="s">
        <v>187</v>
      </c>
      <c r="Q77" s="4" t="s">
        <v>188</v>
      </c>
    </row>
    <row r="78" customFormat="false" ht="23.85" hidden="false" customHeight="false" outlineLevel="0" collapsed="false">
      <c r="A78" s="19" t="n">
        <v>7</v>
      </c>
      <c r="B78" s="4" t="s">
        <v>189</v>
      </c>
      <c r="C78" s="4" t="s">
        <v>190</v>
      </c>
      <c r="D78" s="9" t="s">
        <v>177</v>
      </c>
      <c r="E78" s="11" t="n">
        <v>0</v>
      </c>
      <c r="F78" s="11" t="n">
        <v>0</v>
      </c>
      <c r="G78" s="11" t="n">
        <v>0</v>
      </c>
      <c r="H78" s="11" t="n">
        <v>0</v>
      </c>
      <c r="I78" s="11" t="n">
        <v>0</v>
      </c>
      <c r="J78" s="11" t="n">
        <v>0</v>
      </c>
      <c r="K78" s="11" t="n">
        <f aca="false">$B$15+$B$29</f>
        <v>0.25</v>
      </c>
      <c r="L78" s="11" t="n">
        <v>0</v>
      </c>
      <c r="M78" s="14" t="n">
        <f aca="false">20+20+120+20+15+10</f>
        <v>205</v>
      </c>
      <c r="N78" s="22" t="n">
        <f aca="false">IF(M78&gt;0,3600/M78,0)</f>
        <v>17.5609756097561</v>
      </c>
      <c r="O78" s="7" t="n">
        <f aca="false">N78*$B$6</f>
        <v>2634.14634146342</v>
      </c>
      <c r="P78" s="4" t="s">
        <v>191</v>
      </c>
      <c r="Q78" s="4"/>
    </row>
    <row r="79" customFormat="false" ht="23.85" hidden="false" customHeight="false" outlineLevel="0" collapsed="false">
      <c r="A79" s="19" t="n">
        <v>8</v>
      </c>
      <c r="B79" s="4" t="s">
        <v>192</v>
      </c>
      <c r="C79" s="4" t="s">
        <v>193</v>
      </c>
      <c r="D79" s="9" t="s">
        <v>177</v>
      </c>
      <c r="E79" s="11" t="n">
        <v>0</v>
      </c>
      <c r="F79" s="11" t="n">
        <v>0</v>
      </c>
      <c r="G79" s="11" t="n">
        <v>0</v>
      </c>
      <c r="H79" s="11" t="n">
        <v>0</v>
      </c>
      <c r="I79" s="11" t="n">
        <v>0</v>
      </c>
      <c r="J79" s="11" t="n">
        <v>0</v>
      </c>
      <c r="K79" s="11" t="n">
        <v>0</v>
      </c>
      <c r="L79" s="11" t="n">
        <f aca="false">$B$15+$B$25</f>
        <v>0.25</v>
      </c>
      <c r="M79" s="14" t="n">
        <f aca="false">60+20+30+300+40+15</f>
        <v>465</v>
      </c>
      <c r="N79" s="22" t="n">
        <f aca="false">IF(M79&gt;0,3600/M79,0)</f>
        <v>7.74193548387097</v>
      </c>
      <c r="O79" s="7" t="n">
        <f aca="false">N79*$B$6</f>
        <v>1161.29032258065</v>
      </c>
      <c r="P79" s="4" t="s">
        <v>194</v>
      </c>
      <c r="Q79" s="4"/>
    </row>
    <row r="80" customFormat="false" ht="23.85" hidden="false" customHeight="false" outlineLevel="0" collapsed="false">
      <c r="A80" s="19" t="n">
        <v>9</v>
      </c>
      <c r="B80" s="4" t="s">
        <v>195</v>
      </c>
      <c r="C80" s="4" t="s">
        <v>196</v>
      </c>
      <c r="D80" s="9" t="s">
        <v>169</v>
      </c>
      <c r="E80" s="11" t="n">
        <v>1</v>
      </c>
      <c r="F80" s="11" t="n">
        <v>1</v>
      </c>
      <c r="G80" s="11" t="n">
        <v>1</v>
      </c>
      <c r="H80" s="11" t="n">
        <v>0</v>
      </c>
      <c r="I80" s="11" t="n">
        <v>0</v>
      </c>
      <c r="J80" s="11" t="n">
        <v>0</v>
      </c>
      <c r="K80" s="11" t="n">
        <v>0</v>
      </c>
      <c r="L80" s="11" t="n">
        <v>0</v>
      </c>
      <c r="M80" s="14" t="n">
        <f aca="false">5+30+5+10+20+120*$B$15+5</f>
        <v>99</v>
      </c>
      <c r="N80" s="22" t="n">
        <f aca="false">IF(M80&gt;0,3600/M80,0)</f>
        <v>36.3636363636364</v>
      </c>
      <c r="O80" s="7" t="n">
        <f aca="false">N80*$B$6</f>
        <v>5454.54545454546</v>
      </c>
      <c r="P80" s="4" t="s">
        <v>197</v>
      </c>
      <c r="Q80" s="4" t="s">
        <v>198</v>
      </c>
    </row>
    <row r="81" customFormat="false" ht="15" hidden="false" customHeight="false" outlineLevel="0" collapsed="false">
      <c r="A81" s="19" t="n">
        <v>10</v>
      </c>
      <c r="B81" s="4" t="s">
        <v>199</v>
      </c>
      <c r="C81" s="4" t="s">
        <v>200</v>
      </c>
      <c r="D81" s="9" t="s">
        <v>169</v>
      </c>
      <c r="E81" s="11" t="n">
        <v>0</v>
      </c>
      <c r="F81" s="11" t="n">
        <v>0</v>
      </c>
      <c r="G81" s="11" t="n">
        <v>0</v>
      </c>
      <c r="H81" s="11" t="n">
        <f aca="false">$B$28</f>
        <v>1</v>
      </c>
      <c r="I81" s="11" t="n">
        <f aca="false">$B$28</f>
        <v>1</v>
      </c>
      <c r="J81" s="11" t="n">
        <f aca="false">$B$28</f>
        <v>1</v>
      </c>
      <c r="K81" s="11" t="n">
        <f aca="false">$B$15+$B$29</f>
        <v>0.25</v>
      </c>
      <c r="L81" s="11" t="n">
        <f aca="false">$B$15+$B$25</f>
        <v>0.25</v>
      </c>
      <c r="M81" s="14" t="n">
        <f aca="false">10+40+60+90*0.4+15+15</f>
        <v>176</v>
      </c>
      <c r="N81" s="22" t="n">
        <f aca="false">IF(M81&gt;0,3600/M81,0)</f>
        <v>20.4545454545455</v>
      </c>
      <c r="O81" s="7" t="n">
        <f aca="false">N81*$B$6</f>
        <v>3068.18181818182</v>
      </c>
      <c r="P81" s="4" t="s">
        <v>201</v>
      </c>
      <c r="Q81" s="4"/>
    </row>
    <row r="82" customFormat="false" ht="15" hidden="false" customHeight="false" outlineLevel="0" collapsed="false">
      <c r="A82" s="19" t="n">
        <v>11</v>
      </c>
      <c r="B82" s="4" t="s">
        <v>202</v>
      </c>
      <c r="C82" s="4" t="s">
        <v>203</v>
      </c>
      <c r="D82" s="9" t="s">
        <v>177</v>
      </c>
      <c r="E82" s="11" t="n">
        <f aca="false">$B$32</f>
        <v>0.001</v>
      </c>
      <c r="F82" s="11" t="n">
        <f aca="false">$B$32</f>
        <v>0.001</v>
      </c>
      <c r="G82" s="11" t="n">
        <v>0</v>
      </c>
      <c r="H82" s="11" t="n">
        <v>0</v>
      </c>
      <c r="I82" s="11" t="n">
        <v>0</v>
      </c>
      <c r="J82" s="11" t="n">
        <v>0</v>
      </c>
      <c r="K82" s="11" t="n">
        <v>0</v>
      </c>
      <c r="L82" s="11" t="n">
        <v>0</v>
      </c>
      <c r="M82" s="14" t="n">
        <f aca="false">300+600+1800+60+120+300</f>
        <v>3180</v>
      </c>
      <c r="N82" s="22" t="n">
        <f aca="false">IF(M82&gt;0,3600/M82,0)</f>
        <v>1.13207547169811</v>
      </c>
      <c r="O82" s="7" t="n">
        <f aca="false">N82*$B$6</f>
        <v>169.811320754717</v>
      </c>
      <c r="P82" s="4" t="s">
        <v>204</v>
      </c>
      <c r="Q82" s="4"/>
    </row>
    <row r="83" customFormat="false" ht="23.85" hidden="false" customHeight="false" outlineLevel="0" collapsed="false">
      <c r="A83" s="19" t="n">
        <v>12</v>
      </c>
      <c r="B83" s="4" t="s">
        <v>205</v>
      </c>
      <c r="C83" s="4" t="s">
        <v>206</v>
      </c>
      <c r="D83" s="9" t="s">
        <v>177</v>
      </c>
      <c r="E83" s="11" t="n">
        <f aca="false">$B$15</f>
        <v>0.2</v>
      </c>
      <c r="F83" s="11" t="n">
        <f aca="false">$B$15</f>
        <v>0.2</v>
      </c>
      <c r="G83" s="11" t="n">
        <f aca="false">$B$15</f>
        <v>0.2</v>
      </c>
      <c r="H83" s="11" t="n">
        <f aca="false">$B$16</f>
        <v>0.5</v>
      </c>
      <c r="I83" s="11" t="n">
        <f aca="false">$B$16</f>
        <v>0.5</v>
      </c>
      <c r="J83" s="11" t="n">
        <f aca="false">$B$16</f>
        <v>0.5</v>
      </c>
      <c r="K83" s="11" t="n">
        <f aca="false">$B$15</f>
        <v>0.2</v>
      </c>
      <c r="L83" s="11" t="n">
        <f aca="false">$B$15</f>
        <v>0.2</v>
      </c>
      <c r="M83" s="14" t="n">
        <f aca="false">12+20+90+90+75+15</f>
        <v>302</v>
      </c>
      <c r="N83" s="22" t="n">
        <f aca="false">IF(M83&gt;0,3600/M83,0)</f>
        <v>11.9205298013245</v>
      </c>
      <c r="O83" s="7" t="n">
        <f aca="false">N83*$B$6</f>
        <v>1788.07947019868</v>
      </c>
      <c r="P83" s="4" t="s">
        <v>207</v>
      </c>
      <c r="Q83" s="4"/>
    </row>
    <row r="84" customFormat="false" ht="15" hidden="false" customHeight="false" outlineLevel="0" collapsed="false">
      <c r="A84" s="19" t="n">
        <v>13</v>
      </c>
      <c r="B84" s="4" t="s">
        <v>208</v>
      </c>
      <c r="C84" s="4" t="s">
        <v>209</v>
      </c>
      <c r="D84" s="9" t="s">
        <v>177</v>
      </c>
      <c r="E84" s="11" t="n">
        <f aca="false">$B$15+$B$31</f>
        <v>0.21</v>
      </c>
      <c r="F84" s="11" t="n">
        <f aca="false">$B$15+$B$31</f>
        <v>0.21</v>
      </c>
      <c r="G84" s="11" t="n">
        <f aca="false">$B$15+$B$31</f>
        <v>0.21</v>
      </c>
      <c r="H84" s="11" t="n">
        <v>0</v>
      </c>
      <c r="I84" s="11" t="n">
        <v>0</v>
      </c>
      <c r="J84" s="11" t="n">
        <v>0</v>
      </c>
      <c r="K84" s="11" t="n">
        <f aca="false">$B$15</f>
        <v>0.2</v>
      </c>
      <c r="L84" s="11" t="n">
        <f aca="false">$B$15</f>
        <v>0.2</v>
      </c>
      <c r="M84" s="14" t="n">
        <f aca="false">15+15*60/6+15</f>
        <v>180</v>
      </c>
      <c r="N84" s="22" t="n">
        <f aca="false">IF(M84&gt;0,3600/M84,0)</f>
        <v>20</v>
      </c>
      <c r="O84" s="7" t="n">
        <f aca="false">N84*$B$6</f>
        <v>3000</v>
      </c>
      <c r="P84" s="4" t="s">
        <v>210</v>
      </c>
      <c r="Q84" s="4" t="s">
        <v>211</v>
      </c>
    </row>
    <row r="85" customFormat="false" ht="15" hidden="false" customHeight="false" outlineLevel="0" collapsed="false">
      <c r="A85" s="19" t="n">
        <v>14</v>
      </c>
      <c r="B85" s="4" t="s">
        <v>212</v>
      </c>
      <c r="C85" s="4" t="s">
        <v>213</v>
      </c>
      <c r="D85" s="9" t="s">
        <v>169</v>
      </c>
      <c r="E85" s="11" t="n">
        <f aca="false">$B$15+$B$31</f>
        <v>0.21</v>
      </c>
      <c r="F85" s="11" t="n">
        <f aca="false">$B$15+$B$31</f>
        <v>0.21</v>
      </c>
      <c r="G85" s="11" t="n">
        <f aca="false">$B$15+$B$31</f>
        <v>0.21</v>
      </c>
      <c r="H85" s="11" t="n">
        <v>0</v>
      </c>
      <c r="I85" s="11" t="n">
        <v>0</v>
      </c>
      <c r="J85" s="11" t="n">
        <v>0</v>
      </c>
      <c r="K85" s="11" t="n">
        <f aca="false">$B$15</f>
        <v>0.2</v>
      </c>
      <c r="L85" s="11" t="n">
        <f aca="false">$B$15</f>
        <v>0.2</v>
      </c>
      <c r="M85" s="14" t="n">
        <f aca="false">60+15+10</f>
        <v>85</v>
      </c>
      <c r="N85" s="22" t="n">
        <f aca="false">IF(M85&gt;0,3600/M85,0)</f>
        <v>42.3529411764706</v>
      </c>
      <c r="O85" s="7" t="n">
        <f aca="false">N85*$B$6</f>
        <v>6352.94117647059</v>
      </c>
      <c r="P85" s="4" t="s">
        <v>214</v>
      </c>
      <c r="Q85" s="4"/>
    </row>
    <row r="86" customFormat="false" ht="23.85" hidden="false" customHeight="false" outlineLevel="0" collapsed="false">
      <c r="A86" s="19" t="n">
        <v>15</v>
      </c>
      <c r="B86" s="4" t="s">
        <v>215</v>
      </c>
      <c r="C86" s="4" t="s">
        <v>216</v>
      </c>
      <c r="D86" s="9" t="s">
        <v>177</v>
      </c>
      <c r="E86" s="11" t="n">
        <f aca="false">$B$30</f>
        <v>0.1</v>
      </c>
      <c r="F86" s="11" t="n">
        <f aca="false">$B$30</f>
        <v>0.1</v>
      </c>
      <c r="G86" s="11" t="n">
        <f aca="false">$B$30</f>
        <v>0.1</v>
      </c>
      <c r="H86" s="11" t="n">
        <f aca="false">$B$30</f>
        <v>0.1</v>
      </c>
      <c r="I86" s="11" t="n">
        <f aca="false">$B$30</f>
        <v>0.1</v>
      </c>
      <c r="J86" s="11" t="n">
        <f aca="false">$B$30</f>
        <v>0.1</v>
      </c>
      <c r="K86" s="11" t="n">
        <f aca="false">$B$30</f>
        <v>0.1</v>
      </c>
      <c r="L86" s="11" t="n">
        <f aca="false">$B$30</f>
        <v>0.1</v>
      </c>
      <c r="M86" s="14" t="n">
        <v>750</v>
      </c>
      <c r="N86" s="22" t="n">
        <f aca="false">IF(M86&gt;0,3600/M86,0)</f>
        <v>4.8</v>
      </c>
      <c r="O86" s="7" t="n">
        <f aca="false">N86*$B$6</f>
        <v>720</v>
      </c>
      <c r="P86" s="4"/>
      <c r="Q86" s="4" t="s">
        <v>217</v>
      </c>
    </row>
    <row r="87" customFormat="false" ht="15" hidden="false" customHeight="false" outlineLevel="0" collapsed="false">
      <c r="A87" s="19" t="n">
        <v>16</v>
      </c>
      <c r="B87" s="4" t="s">
        <v>218</v>
      </c>
      <c r="C87" s="4" t="s">
        <v>219</v>
      </c>
      <c r="D87" s="9" t="s">
        <v>177</v>
      </c>
      <c r="E87" s="11" t="n">
        <v>1</v>
      </c>
      <c r="F87" s="11" t="n">
        <v>0</v>
      </c>
      <c r="G87" s="11" t="n">
        <v>0</v>
      </c>
      <c r="H87" s="11" t="n">
        <v>0</v>
      </c>
      <c r="I87" s="11" t="n">
        <v>0</v>
      </c>
      <c r="J87" s="11" t="n">
        <v>0</v>
      </c>
      <c r="K87" s="11" t="n">
        <v>0</v>
      </c>
      <c r="L87" s="11" t="n">
        <v>0</v>
      </c>
      <c r="M87" s="14" t="n">
        <f aca="false">6+15+45+15+15+10</f>
        <v>106</v>
      </c>
      <c r="N87" s="22" t="n">
        <f aca="false">IF(M87&gt;0,3600/M87,0)</f>
        <v>33.9622641509434</v>
      </c>
      <c r="O87" s="7" t="n">
        <f aca="false">N87*$B$6</f>
        <v>5094.33962264151</v>
      </c>
      <c r="P87" s="4" t="s">
        <v>220</v>
      </c>
      <c r="Q87" s="4" t="s">
        <v>221</v>
      </c>
    </row>
    <row r="88" customFormat="false" ht="15" hidden="false" customHeight="false" outlineLevel="0" collapsed="false">
      <c r="A88" s="19" t="n">
        <v>17</v>
      </c>
      <c r="B88" s="4" t="s">
        <v>222</v>
      </c>
      <c r="C88" s="4" t="s">
        <v>223</v>
      </c>
      <c r="D88" s="9" t="s">
        <v>177</v>
      </c>
      <c r="E88" s="11" t="n">
        <v>0</v>
      </c>
      <c r="F88" s="11" t="n">
        <v>1</v>
      </c>
      <c r="G88" s="11" t="n">
        <v>0</v>
      </c>
      <c r="H88" s="11" t="n">
        <v>0</v>
      </c>
      <c r="I88" s="11" t="n">
        <v>0</v>
      </c>
      <c r="J88" s="11" t="n">
        <v>0</v>
      </c>
      <c r="K88" s="11" t="n">
        <v>0</v>
      </c>
      <c r="L88" s="11" t="n">
        <v>0</v>
      </c>
      <c r="M88" s="14" t="n">
        <f aca="false">10+15+75+15+15+10</f>
        <v>140</v>
      </c>
      <c r="N88" s="22" t="n">
        <f aca="false">IF(M88&gt;0,3600/M88,0)</f>
        <v>25.7142857142857</v>
      </c>
      <c r="O88" s="7" t="n">
        <f aca="false">N88*$B$6</f>
        <v>3857.14285714286</v>
      </c>
      <c r="P88" s="4" t="s">
        <v>224</v>
      </c>
      <c r="Q88" s="4"/>
    </row>
    <row r="89" customFormat="false" ht="15" hidden="false" customHeight="false" outlineLevel="0" collapsed="false">
      <c r="A89" s="19" t="n">
        <v>18</v>
      </c>
      <c r="B89" s="4" t="s">
        <v>225</v>
      </c>
      <c r="C89" s="4" t="s">
        <v>226</v>
      </c>
      <c r="D89" s="9" t="s">
        <v>169</v>
      </c>
      <c r="E89" s="11" t="n">
        <v>0</v>
      </c>
      <c r="F89" s="11" t="n">
        <v>0</v>
      </c>
      <c r="G89" s="11" t="n">
        <v>1</v>
      </c>
      <c r="H89" s="11" t="n">
        <v>0</v>
      </c>
      <c r="I89" s="11" t="n">
        <v>0</v>
      </c>
      <c r="J89" s="11" t="n">
        <v>0</v>
      </c>
      <c r="K89" s="11" t="n">
        <v>0</v>
      </c>
      <c r="L89" s="11" t="n">
        <v>0</v>
      </c>
      <c r="M89" s="14" t="n">
        <f aca="false">180+15+240+30+15+10</f>
        <v>490</v>
      </c>
      <c r="N89" s="22" t="n">
        <f aca="false">IF(M89&gt;0,3600/M89,0)</f>
        <v>7.3469387755102</v>
      </c>
      <c r="O89" s="7" t="n">
        <f aca="false">N89*$B$6</f>
        <v>1102.04081632653</v>
      </c>
      <c r="P89" s="4" t="s">
        <v>227</v>
      </c>
      <c r="Q89" s="4" t="s">
        <v>228</v>
      </c>
    </row>
    <row r="90" customFormat="false" ht="23.85" hidden="false" customHeight="false" outlineLevel="0" collapsed="false">
      <c r="A90" s="19" t="n">
        <v>19</v>
      </c>
      <c r="B90" s="4" t="s">
        <v>229</v>
      </c>
      <c r="C90" s="4" t="s">
        <v>230</v>
      </c>
      <c r="D90" s="9" t="s">
        <v>177</v>
      </c>
      <c r="E90" s="11" t="n">
        <v>0</v>
      </c>
      <c r="F90" s="11" t="n">
        <v>0</v>
      </c>
      <c r="G90" s="11" t="n">
        <v>0</v>
      </c>
      <c r="H90" s="11" t="n">
        <f aca="false">$B$28</f>
        <v>1</v>
      </c>
      <c r="I90" s="11" t="n">
        <f aca="false">$B$28</f>
        <v>1</v>
      </c>
      <c r="J90" s="11" t="n">
        <f aca="false">$B$28</f>
        <v>1</v>
      </c>
      <c r="K90" s="11" t="n">
        <v>0</v>
      </c>
      <c r="L90" s="11" t="n">
        <v>0</v>
      </c>
      <c r="M90" s="14" t="n">
        <f aca="false">20+10+30+15+15+10</f>
        <v>100</v>
      </c>
      <c r="N90" s="22" t="n">
        <f aca="false">IF(M90&gt;0,3600/M90,0)</f>
        <v>36</v>
      </c>
      <c r="O90" s="7" t="n">
        <f aca="false">N90*$B$6</f>
        <v>5400</v>
      </c>
      <c r="P90" s="4" t="s">
        <v>231</v>
      </c>
      <c r="Q90" s="4"/>
    </row>
    <row r="91" customFormat="false" ht="15" hidden="false" customHeight="false" outlineLevel="0" collapsed="false">
      <c r="A91" s="19" t="n">
        <v>20</v>
      </c>
      <c r="B91" s="4" t="s">
        <v>232</v>
      </c>
      <c r="C91" s="4" t="s">
        <v>233</v>
      </c>
      <c r="D91" s="9" t="s">
        <v>177</v>
      </c>
      <c r="E91" s="11" t="n">
        <v>0</v>
      </c>
      <c r="F91" s="11" t="n">
        <v>0</v>
      </c>
      <c r="G91" s="11" t="n">
        <v>0</v>
      </c>
      <c r="H91" s="11" t="n">
        <v>0</v>
      </c>
      <c r="I91" s="11" t="n">
        <v>0</v>
      </c>
      <c r="J91" s="11" t="n">
        <v>0</v>
      </c>
      <c r="K91" s="11" t="n">
        <f aca="false">$B$15+$B$29+$B$25</f>
        <v>0.3</v>
      </c>
      <c r="L91" s="11" t="n">
        <v>0</v>
      </c>
      <c r="M91" s="14" t="n">
        <f aca="false">30+10+15+150+25+10</f>
        <v>240</v>
      </c>
      <c r="N91" s="22" t="n">
        <f aca="false">IF(M91&gt;0,3600/M91,0)</f>
        <v>15</v>
      </c>
      <c r="O91" s="7" t="n">
        <f aca="false">N91*$B$6</f>
        <v>2250</v>
      </c>
      <c r="P91" s="4" t="s">
        <v>234</v>
      </c>
      <c r="Q91" s="4"/>
    </row>
    <row r="92" customFormat="false" ht="15" hidden="false" customHeight="false" outlineLevel="0" collapsed="false">
      <c r="A92" s="19" t="n">
        <v>21</v>
      </c>
      <c r="B92" s="4" t="s">
        <v>235</v>
      </c>
      <c r="C92" s="4" t="s">
        <v>236</v>
      </c>
      <c r="D92" s="9" t="s">
        <v>169</v>
      </c>
      <c r="E92" s="11" t="n">
        <v>1</v>
      </c>
      <c r="F92" s="11" t="n">
        <v>1</v>
      </c>
      <c r="G92" s="11" t="n">
        <v>1</v>
      </c>
      <c r="H92" s="11" t="n">
        <v>0</v>
      </c>
      <c r="I92" s="11" t="n">
        <v>0</v>
      </c>
      <c r="J92" s="11" t="n">
        <v>0</v>
      </c>
      <c r="K92" s="11" t="n">
        <v>0</v>
      </c>
      <c r="L92" s="11" t="n">
        <v>0</v>
      </c>
      <c r="M92" s="14" t="n">
        <f aca="false">10+30+20+10+30+20</f>
        <v>120</v>
      </c>
      <c r="N92" s="22" t="n">
        <f aca="false">IF(M92&gt;0,3600/M92,0)</f>
        <v>30</v>
      </c>
      <c r="O92" s="7" t="n">
        <f aca="false">N92*$B$6</f>
        <v>4500</v>
      </c>
      <c r="P92" s="4" t="s">
        <v>237</v>
      </c>
      <c r="Q92" s="4"/>
    </row>
    <row r="93" customFormat="false" ht="15" hidden="false" customHeight="false" outlineLevel="0" collapsed="false">
      <c r="A93" s="19" t="n">
        <v>22</v>
      </c>
      <c r="B93" s="4" t="s">
        <v>238</v>
      </c>
      <c r="C93" s="4" t="s">
        <v>239</v>
      </c>
      <c r="D93" s="9" t="s">
        <v>177</v>
      </c>
      <c r="E93" s="11" t="n">
        <v>1</v>
      </c>
      <c r="F93" s="11" t="n">
        <v>1</v>
      </c>
      <c r="G93" s="11" t="n">
        <v>1</v>
      </c>
      <c r="H93" s="11" t="n">
        <v>0</v>
      </c>
      <c r="I93" s="11" t="n">
        <v>0</v>
      </c>
      <c r="J93" s="11" t="n">
        <v>0</v>
      </c>
      <c r="K93" s="11" t="n">
        <v>0</v>
      </c>
      <c r="L93" s="11" t="n">
        <v>0</v>
      </c>
      <c r="M93" s="14" t="n">
        <f aca="false">3+15+10+20+15+10</f>
        <v>73</v>
      </c>
      <c r="N93" s="22" t="n">
        <f aca="false">IF(M93&gt;0,3600/M93,0)</f>
        <v>49.3150684931507</v>
      </c>
      <c r="O93" s="7" t="n">
        <f aca="false">N93*$B$6</f>
        <v>7397.2602739726</v>
      </c>
      <c r="P93" s="4" t="s">
        <v>240</v>
      </c>
      <c r="Q93" s="4"/>
    </row>
    <row r="94" customFormat="false" ht="15" hidden="false" customHeight="false" outlineLevel="0" collapsed="false">
      <c r="A94" s="19" t="n">
        <v>23</v>
      </c>
      <c r="B94" s="4" t="s">
        <v>241</v>
      </c>
      <c r="C94" s="4" t="s">
        <v>242</v>
      </c>
      <c r="D94" s="9" t="s">
        <v>169</v>
      </c>
      <c r="E94" s="11" t="n">
        <v>0</v>
      </c>
      <c r="F94" s="11" t="n">
        <v>0</v>
      </c>
      <c r="G94" s="11" t="n">
        <v>0</v>
      </c>
      <c r="H94" s="11" t="n">
        <f aca="false">$B$28</f>
        <v>1</v>
      </c>
      <c r="I94" s="11" t="n">
        <f aca="false">$B$28</f>
        <v>1</v>
      </c>
      <c r="J94" s="11" t="n">
        <f aca="false">$B$28</f>
        <v>1</v>
      </c>
      <c r="K94" s="11" t="n">
        <f aca="false">$B$15+$B$29</f>
        <v>0.25</v>
      </c>
      <c r="L94" s="11" t="n">
        <f aca="false">$B$15+$B$25</f>
        <v>0.25</v>
      </c>
      <c r="M94" s="14" t="n">
        <f aca="false">120+50</f>
        <v>170</v>
      </c>
      <c r="N94" s="22" t="n">
        <f aca="false">IF(M94&gt;0,3600/M94,0)</f>
        <v>21.1764705882353</v>
      </c>
      <c r="O94" s="7" t="n">
        <f aca="false">N94*$B$6</f>
        <v>3176.47058823529</v>
      </c>
      <c r="P94" s="4" t="s">
        <v>243</v>
      </c>
      <c r="Q94" s="4"/>
    </row>
    <row r="95" customFormat="false" ht="15" hidden="false" customHeight="false" outlineLevel="0" collapsed="false">
      <c r="A95" s="19" t="n">
        <v>24</v>
      </c>
      <c r="B95" s="4" t="s">
        <v>244</v>
      </c>
      <c r="C95" s="4" t="s">
        <v>245</v>
      </c>
      <c r="D95" s="9" t="s">
        <v>177</v>
      </c>
      <c r="E95" s="11" t="n">
        <v>0</v>
      </c>
      <c r="F95" s="11" t="n">
        <v>0</v>
      </c>
      <c r="G95" s="11" t="n">
        <v>0</v>
      </c>
      <c r="H95" s="11" t="n">
        <v>0</v>
      </c>
      <c r="I95" s="11" t="n">
        <v>0</v>
      </c>
      <c r="J95" s="11" t="n">
        <v>0</v>
      </c>
      <c r="K95" s="11" t="n">
        <v>0</v>
      </c>
      <c r="L95" s="11" t="n">
        <f aca="false">$B$15+$B$25</f>
        <v>0.25</v>
      </c>
      <c r="M95" s="14" t="n">
        <f aca="false">300+40+60+30</f>
        <v>430</v>
      </c>
      <c r="N95" s="22" t="n">
        <f aca="false">IF(M95&gt;0,3600/M95,0)</f>
        <v>8.37209302325582</v>
      </c>
      <c r="O95" s="7" t="n">
        <f aca="false">N95*$B$6</f>
        <v>1255.81395348837</v>
      </c>
      <c r="P95" s="4" t="s">
        <v>246</v>
      </c>
      <c r="Q95" s="4"/>
    </row>
    <row r="96" customFormat="false" ht="23.85" hidden="false" customHeight="false" outlineLevel="0" collapsed="false">
      <c r="A96" s="19" t="n">
        <v>25</v>
      </c>
      <c r="B96" s="4" t="s">
        <v>247</v>
      </c>
      <c r="C96" s="4" t="s">
        <v>248</v>
      </c>
      <c r="D96" s="9" t="s">
        <v>169</v>
      </c>
      <c r="E96" s="11" t="n">
        <v>0</v>
      </c>
      <c r="F96" s="11" t="n">
        <v>0</v>
      </c>
      <c r="G96" s="11" t="n">
        <v>0</v>
      </c>
      <c r="H96" s="11" t="n">
        <v>0</v>
      </c>
      <c r="I96" s="11" t="n">
        <v>0</v>
      </c>
      <c r="J96" s="11" t="n">
        <v>0</v>
      </c>
      <c r="K96" s="11" t="n">
        <f aca="false">1-($B$15+$B$29+$B$25)</f>
        <v>0.7</v>
      </c>
      <c r="L96" s="11" t="n">
        <f aca="false">1-($B$15+$B$25)</f>
        <v>0.75</v>
      </c>
      <c r="M96" s="14" t="n">
        <f aca="false">30+10</f>
        <v>40</v>
      </c>
      <c r="N96" s="22" t="n">
        <f aca="false">IF(M96&gt;0,3600/M96,0)</f>
        <v>90</v>
      </c>
      <c r="O96" s="7" t="n">
        <f aca="false">N96*$B$6</f>
        <v>13500</v>
      </c>
      <c r="P96" s="4" t="s">
        <v>249</v>
      </c>
      <c r="Q96" s="4" t="s">
        <v>250</v>
      </c>
    </row>
    <row r="97" customFormat="false" ht="23.85" hidden="false" customHeight="false" outlineLevel="0" collapsed="false">
      <c r="A97" s="19" t="n">
        <v>26</v>
      </c>
      <c r="B97" s="4" t="s">
        <v>251</v>
      </c>
      <c r="C97" s="4" t="s">
        <v>252</v>
      </c>
      <c r="D97" s="9" t="s">
        <v>177</v>
      </c>
      <c r="E97" s="11" t="n">
        <v>1</v>
      </c>
      <c r="F97" s="11" t="n">
        <v>1</v>
      </c>
      <c r="G97" s="11" t="n">
        <v>1</v>
      </c>
      <c r="H97" s="11" t="n">
        <v>1</v>
      </c>
      <c r="I97" s="11" t="n">
        <v>1</v>
      </c>
      <c r="J97" s="11" t="n">
        <v>1</v>
      </c>
      <c r="K97" s="11" t="n">
        <v>1</v>
      </c>
      <c r="L97" s="11" t="n">
        <v>1</v>
      </c>
      <c r="M97" s="14" t="n">
        <f aca="false">5+45+10+10+10</f>
        <v>80</v>
      </c>
      <c r="N97" s="22" t="n">
        <f aca="false">IF(M97&gt;0,3600/M97,0)</f>
        <v>45</v>
      </c>
      <c r="O97" s="7" t="n">
        <f aca="false">N97*$B$6</f>
        <v>6750</v>
      </c>
      <c r="P97" s="4" t="s">
        <v>253</v>
      </c>
      <c r="Q97" s="4"/>
    </row>
    <row r="98" customFormat="false" ht="15" hidden="false" customHeight="false" outlineLevel="0" collapsed="false">
      <c r="A98" s="19" t="n">
        <v>27</v>
      </c>
      <c r="B98" s="4" t="s">
        <v>254</v>
      </c>
      <c r="C98" s="4" t="s">
        <v>255</v>
      </c>
      <c r="D98" s="9" t="s">
        <v>169</v>
      </c>
      <c r="E98" s="11" t="n">
        <v>1</v>
      </c>
      <c r="F98" s="11" t="n">
        <v>1</v>
      </c>
      <c r="G98" s="11" t="n">
        <v>1</v>
      </c>
      <c r="H98" s="11" t="n">
        <v>1</v>
      </c>
      <c r="I98" s="11" t="n">
        <v>1</v>
      </c>
      <c r="J98" s="11" t="n">
        <v>1</v>
      </c>
      <c r="K98" s="11" t="n">
        <v>1</v>
      </c>
      <c r="L98" s="11" t="n">
        <v>1</v>
      </c>
      <c r="M98" s="14" t="n">
        <f aca="false">15+25+15+10+15+6</f>
        <v>86</v>
      </c>
      <c r="N98" s="22" t="n">
        <f aca="false">IF(M98&gt;0,3600/M98,0)</f>
        <v>41.8604651162791</v>
      </c>
      <c r="O98" s="7" t="n">
        <f aca="false">N98*$B$6</f>
        <v>6279.06976744186</v>
      </c>
      <c r="P98" s="4" t="s">
        <v>256</v>
      </c>
      <c r="Q98" s="4" t="s">
        <v>257</v>
      </c>
    </row>
    <row r="99" customFormat="false" ht="15" hidden="false" customHeight="false" outlineLevel="0" collapsed="false">
      <c r="A99" s="19" t="n">
        <v>28</v>
      </c>
      <c r="B99" s="4" t="s">
        <v>258</v>
      </c>
      <c r="C99" s="4" t="s">
        <v>259</v>
      </c>
      <c r="D99" s="9" t="s">
        <v>177</v>
      </c>
      <c r="E99" s="11" t="n">
        <f aca="false">$B$24</f>
        <v>0.08</v>
      </c>
      <c r="F99" s="11" t="n">
        <f aca="false">$B$24</f>
        <v>0.08</v>
      </c>
      <c r="G99" s="11" t="n">
        <f aca="false">$B$24</f>
        <v>0.08</v>
      </c>
      <c r="H99" s="11" t="n">
        <f aca="false">$B$24</f>
        <v>0.08</v>
      </c>
      <c r="I99" s="11" t="n">
        <f aca="false">$B$24</f>
        <v>0.08</v>
      </c>
      <c r="J99" s="11" t="n">
        <f aca="false">$B$24</f>
        <v>0.08</v>
      </c>
      <c r="K99" s="11" t="n">
        <f aca="false">$B$23</f>
        <v>0.0633333333333333</v>
      </c>
      <c r="L99" s="11" t="n">
        <f aca="false">$B$24</f>
        <v>0.08</v>
      </c>
      <c r="M99" s="14" t="n">
        <f aca="false">30+120+90+60+90</f>
        <v>390</v>
      </c>
      <c r="N99" s="22" t="n">
        <f aca="false">IF(M99&gt;0,3600/M99,0)</f>
        <v>9.23076923076923</v>
      </c>
      <c r="O99" s="7" t="n">
        <f aca="false">N99*$B$6</f>
        <v>1384.61538461538</v>
      </c>
      <c r="P99" s="4" t="s">
        <v>260</v>
      </c>
      <c r="Q99" s="4" t="s">
        <v>261</v>
      </c>
    </row>
    <row r="100" customFormat="false" ht="35.05" hidden="false" customHeight="false" outlineLevel="0" collapsed="false">
      <c r="A100" s="19" t="n">
        <v>29</v>
      </c>
      <c r="B100" s="4" t="s">
        <v>262</v>
      </c>
      <c r="C100" s="4" t="s">
        <v>263</v>
      </c>
      <c r="D100" s="9" t="s">
        <v>177</v>
      </c>
      <c r="E100" s="12" t="s">
        <v>264</v>
      </c>
      <c r="F100" s="12" t="s">
        <v>264</v>
      </c>
      <c r="G100" s="12" t="s">
        <v>264</v>
      </c>
      <c r="H100" s="12" t="s">
        <v>264</v>
      </c>
      <c r="I100" s="12" t="s">
        <v>264</v>
      </c>
      <c r="J100" s="12" t="s">
        <v>264</v>
      </c>
      <c r="K100" s="12" t="s">
        <v>264</v>
      </c>
      <c r="L100" s="12" t="s">
        <v>264</v>
      </c>
      <c r="M100" s="14" t="n">
        <f aca="false">12+20+90+90+75+15</f>
        <v>302</v>
      </c>
      <c r="N100" s="22" t="n">
        <f aca="false">IF(M100&gt;0,3600/M100,0)</f>
        <v>11.9205298013245</v>
      </c>
      <c r="O100" s="7" t="n">
        <f aca="false">N100*$B$6</f>
        <v>1788.07947019868</v>
      </c>
      <c r="P100" s="4" t="s">
        <v>265</v>
      </c>
      <c r="Q100" s="4" t="s">
        <v>266</v>
      </c>
    </row>
    <row r="102" customFormat="false" ht="23.85" hidden="false" customHeight="false" outlineLevel="0" collapsed="false">
      <c r="A102" s="12" t="s">
        <v>264</v>
      </c>
      <c r="B102" s="4" t="s">
        <v>267</v>
      </c>
      <c r="C102" s="4" t="s">
        <v>268</v>
      </c>
      <c r="M102" s="14" t="n">
        <v>60</v>
      </c>
      <c r="N102" s="22" t="n">
        <f aca="false">IF(M102&gt;0,3600/M102,0)</f>
        <v>60</v>
      </c>
      <c r="Q102" s="4" t="s">
        <v>269</v>
      </c>
    </row>
  </sheetData>
  <mergeCells count="48">
    <mergeCell ref="C1:P1"/>
    <mergeCell ref="C2:P2"/>
    <mergeCell ref="C3:P3"/>
    <mergeCell ref="C4:P4"/>
    <mergeCell ref="C5:P5"/>
    <mergeCell ref="C6:P6"/>
    <mergeCell ref="C7:P7"/>
    <mergeCell ref="C8:P8"/>
    <mergeCell ref="C9:P9"/>
    <mergeCell ref="C12:P12"/>
    <mergeCell ref="C13:P13"/>
    <mergeCell ref="C14:P14"/>
    <mergeCell ref="C15:P15"/>
    <mergeCell ref="C16:P16"/>
    <mergeCell ref="C17:P17"/>
    <mergeCell ref="C18:P18"/>
    <mergeCell ref="C19:P19"/>
    <mergeCell ref="C20:P20"/>
    <mergeCell ref="C21:P21"/>
    <mergeCell ref="C22:P22"/>
    <mergeCell ref="C23:P23"/>
    <mergeCell ref="C24:P24"/>
    <mergeCell ref="C25:P25"/>
    <mergeCell ref="C26:P26"/>
    <mergeCell ref="C27:P27"/>
    <mergeCell ref="C28:P28"/>
    <mergeCell ref="C29:P29"/>
    <mergeCell ref="C30:P30"/>
    <mergeCell ref="C31:P31"/>
    <mergeCell ref="C32:P32"/>
    <mergeCell ref="E50:P50"/>
    <mergeCell ref="E51:P51"/>
    <mergeCell ref="E52:P52"/>
    <mergeCell ref="E53:P53"/>
    <mergeCell ref="E54:P54"/>
    <mergeCell ref="E55:P55"/>
    <mergeCell ref="E56:P56"/>
    <mergeCell ref="E57:P57"/>
    <mergeCell ref="E58:P58"/>
    <mergeCell ref="E59:P59"/>
    <mergeCell ref="E60:P60"/>
    <mergeCell ref="E61:P61"/>
    <mergeCell ref="E62:P62"/>
    <mergeCell ref="E63:P63"/>
    <mergeCell ref="E64:P64"/>
    <mergeCell ref="E65:P65"/>
    <mergeCell ref="E66:P66"/>
    <mergeCell ref="E67:P67"/>
  </mergeCells>
  <dataValidations count="2">
    <dataValidation allowBlank="false" errorStyle="stop" operator="between" showDropDown="false" showErrorMessage="false" showInputMessage="false" sqref="B51:B67" type="list">
      <formula1>$E$71:$L$71</formula1>
      <formula2>0</formula2>
    </dataValidation>
    <dataValidation allowBlank="false" errorStyle="stop" operator="between" showDropDown="false" showErrorMessage="false" showInputMessage="false" sqref="D72:D100" type="list">
      <formula1>"Máquina,Manual,Tercerizado"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15" min="3" style="0" width="9"/>
    <col collapsed="false" customWidth="true" hidden="false" outlineLevel="0" max="16" min="16" style="0" width="10"/>
    <col collapsed="false" customWidth="true" hidden="false" outlineLevel="0" max="17" min="17" style="0" width="14"/>
  </cols>
  <sheetData>
    <row r="1" customFormat="false" ht="23.85" hidden="false" customHeight="false" outlineLevel="0" collapsed="false">
      <c r="A1" s="23" t="n">
        <v>2026</v>
      </c>
      <c r="B1" s="3" t="s">
        <v>270</v>
      </c>
      <c r="C1" s="3" t="s">
        <v>271</v>
      </c>
      <c r="D1" s="3" t="s">
        <v>124</v>
      </c>
      <c r="E1" s="3" t="s">
        <v>125</v>
      </c>
      <c r="F1" s="3" t="s">
        <v>126</v>
      </c>
      <c r="G1" s="3" t="s">
        <v>127</v>
      </c>
      <c r="H1" s="3" t="s">
        <v>128</v>
      </c>
      <c r="I1" s="3" t="s">
        <v>129</v>
      </c>
      <c r="J1" s="3" t="s">
        <v>130</v>
      </c>
      <c r="K1" s="3" t="s">
        <v>131</v>
      </c>
      <c r="L1" s="3" t="s">
        <v>132</v>
      </c>
      <c r="M1" s="3" t="s">
        <v>133</v>
      </c>
      <c r="N1" s="3" t="s">
        <v>134</v>
      </c>
      <c r="O1" s="3" t="s">
        <v>135</v>
      </c>
      <c r="P1" s="3" t="s">
        <v>136</v>
      </c>
      <c r="Q1" s="3" t="s">
        <v>272</v>
      </c>
    </row>
    <row r="2" customFormat="false" ht="15" hidden="false" customHeight="false" outlineLevel="0" collapsed="false">
      <c r="A2" s="12" t="str">
        <f aca="false">parametros_recargas!A51</f>
        <v>ABC 1 kg</v>
      </c>
      <c r="B2" s="12" t="str">
        <f aca="false">parametros_recargas!B51</f>
        <v>ABC</v>
      </c>
      <c r="C2" s="24" t="n">
        <f aca="false">parametros_recargas!C51</f>
        <v>1</v>
      </c>
      <c r="D2" s="25" t="n">
        <f aca="false">datos_base!$B$2*parametros_recargas!$F$37+sobrestock_sustitutos!$B$175/12</f>
        <v>94.5598821229555</v>
      </c>
      <c r="E2" s="25" t="n">
        <f aca="false">datos_base!$B$2*parametros_recargas!$G$37+sobrestock_sustitutos!$B$175/12</f>
        <v>107.166028621748</v>
      </c>
      <c r="F2" s="25" t="n">
        <f aca="false">datos_base!$B$2*parametros_recargas!$H$37+sobrestock_sustitutos!$B$175/12</f>
        <v>121.452749651528</v>
      </c>
      <c r="G2" s="25" t="n">
        <f aca="false">datos_base!$B$2*parametros_recargas!$I$37+sobrestock_sustitutos!$B$175/12</f>
        <v>137.644089154231</v>
      </c>
      <c r="H2" s="25" t="n">
        <f aca="false">datos_base!$B$2*parametros_recargas!$J$37+sobrestock_sustitutos!$B$175/12</f>
        <v>155.993959243059</v>
      </c>
      <c r="I2" s="25" t="n">
        <f aca="false">datos_base!$B$2*parametros_recargas!$K$37+sobrestock_sustitutos!$B$175/12</f>
        <v>176.790122044824</v>
      </c>
      <c r="J2" s="25" t="n">
        <f aca="false">datos_base!$B$2*parametros_recargas!$L$37+sobrestock_sustitutos!$B$175/12</f>
        <v>200.358702377217</v>
      </c>
      <c r="K2" s="25" t="n">
        <f aca="false">datos_base!$B$2*parametros_recargas!$M$37+sobrestock_sustitutos!$B$175/12</f>
        <v>227.069302028674</v>
      </c>
      <c r="L2" s="25" t="n">
        <f aca="false">datos_base!$B$2*parametros_recargas!$N$37+sobrestock_sustitutos!$B$175/12</f>
        <v>257.340795842826</v>
      </c>
      <c r="M2" s="25" t="n">
        <f aca="false">datos_base!$B$2*parametros_recargas!$O$37+sobrestock_sustitutos!$B$175/12</f>
        <v>291.647900501568</v>
      </c>
      <c r="N2" s="25" t="n">
        <f aca="false">datos_base!$B$2*parametros_recargas!$P$37+sobrestock_sustitutos!$B$175/12</f>
        <v>330.528619018195</v>
      </c>
      <c r="O2" s="25" t="n">
        <f aca="false">datos_base!$B$2*parametros_recargas!$Q$37+sobrestock_sustitutos!$B$175/12</f>
        <v>374.592677684947</v>
      </c>
      <c r="P2" s="7" t="n">
        <f aca="false">SUM(D2:O2)</f>
        <v>2475.14482829177</v>
      </c>
      <c r="Q2" s="13" t="n">
        <f aca="false">sobrestock_sustitutos!$B$175</f>
        <v>0</v>
      </c>
    </row>
    <row r="3" customFormat="false" ht="15" hidden="false" customHeight="false" outlineLevel="0" collapsed="false">
      <c r="A3" s="12" t="str">
        <f aca="false">parametros_recargas!A52</f>
        <v>ABC 2,5 kg</v>
      </c>
      <c r="B3" s="12" t="str">
        <f aca="false">parametros_recargas!B52</f>
        <v>ABC</v>
      </c>
      <c r="C3" s="24" t="n">
        <f aca="false">parametros_recargas!C52</f>
        <v>1</v>
      </c>
      <c r="D3" s="25" t="n">
        <f aca="false">datos_base!$B$3*parametros_recargas!$F$37+sobrestock_sustitutos!$B$176/12</f>
        <v>8.97328725622748</v>
      </c>
      <c r="E3" s="25" t="n">
        <f aca="false">datos_base!$B$3*parametros_recargas!$G$37+sobrestock_sustitutos!$B$176/12</f>
        <v>10.1695511599902</v>
      </c>
      <c r="F3" s="25" t="n">
        <f aca="false">datos_base!$B$3*parametros_recargas!$H$37+sobrestock_sustitutos!$B$176/12</f>
        <v>11.5252936680351</v>
      </c>
      <c r="G3" s="25" t="n">
        <f aca="false">datos_base!$B$3*parametros_recargas!$I$37+sobrestock_sustitutos!$B$176/12</f>
        <v>13.0617754947779</v>
      </c>
      <c r="H3" s="25" t="n">
        <f aca="false">datos_base!$B$3*parametros_recargas!$J$37+sobrestock_sustitutos!$B$176/12</f>
        <v>14.8030917033514</v>
      </c>
      <c r="I3" s="25" t="n">
        <f aca="false">datos_base!$B$3*parametros_recargas!$K$37+sobrestock_sustitutos!$B$176/12</f>
        <v>16.7765495636823</v>
      </c>
      <c r="J3" s="25" t="n">
        <f aca="false">datos_base!$B$3*parametros_recargas!$L$37+sobrestock_sustitutos!$B$176/12</f>
        <v>19.0130967843001</v>
      </c>
      <c r="K3" s="25" t="n">
        <f aca="false">datos_base!$B$3*parametros_recargas!$M$37+sobrestock_sustitutos!$B$176/12</f>
        <v>21.5478068333984</v>
      </c>
      <c r="L3" s="25" t="n">
        <f aca="false">datos_base!$B$3*parametros_recargas!$N$37+sobrestock_sustitutos!$B$176/12</f>
        <v>24.4204289599393</v>
      </c>
      <c r="M3" s="25" t="n">
        <f aca="false">datos_base!$B$3*parametros_recargas!$O$37+sobrestock_sustitutos!$B$176/12</f>
        <v>27.6760115402143</v>
      </c>
      <c r="N3" s="25" t="n">
        <f aca="false">datos_base!$B$3*parametros_recargas!$P$37+sobrestock_sustitutos!$B$176/12</f>
        <v>31.3656085251658</v>
      </c>
      <c r="O3" s="25" t="n">
        <f aca="false">datos_base!$B$3*parametros_recargas!$Q$37+sobrestock_sustitutos!$B$176/12</f>
        <v>35.5470800669543</v>
      </c>
      <c r="P3" s="7" t="n">
        <f aca="false">SUM(D3:O3)</f>
        <v>234.879581556037</v>
      </c>
      <c r="Q3" s="13" t="n">
        <f aca="false">sobrestock_sustitutos!$B$176</f>
        <v>0</v>
      </c>
    </row>
    <row r="4" customFormat="false" ht="15" hidden="false" customHeight="false" outlineLevel="0" collapsed="false">
      <c r="A4" s="12" t="str">
        <f aca="false">parametros_recargas!A53</f>
        <v>ABC 5 kg</v>
      </c>
      <c r="B4" s="12" t="str">
        <f aca="false">parametros_recargas!B53</f>
        <v>ABC</v>
      </c>
      <c r="C4" s="24" t="n">
        <f aca="false">parametros_recargas!C53</f>
        <v>1</v>
      </c>
      <c r="D4" s="25" t="n">
        <f aca="false">datos_base!$B$4*parametros_recargas!$F$37+sobrestock_sustitutos!$B$177/12</f>
        <v>53.0352218442139</v>
      </c>
      <c r="E4" s="25" t="n">
        <f aca="false">datos_base!$B$4*parametros_recargas!$G$37+sobrestock_sustitutos!$B$177/12</f>
        <v>60.105554009971</v>
      </c>
      <c r="F4" s="25" t="n">
        <f aca="false">datos_base!$B$4*parametros_recargas!$H$37+sobrestock_sustitutos!$B$177/12</f>
        <v>68.1184597182877</v>
      </c>
      <c r="G4" s="25" t="n">
        <f aca="false">datos_base!$B$4*parametros_recargas!$I$37+sobrestock_sustitutos!$B$177/12</f>
        <v>77.1995971224594</v>
      </c>
      <c r="H4" s="25" t="n">
        <f aca="false">datos_base!$B$4*parametros_recargas!$J$37+sobrestock_sustitutos!$B$177/12</f>
        <v>87.4913763540374</v>
      </c>
      <c r="I4" s="25" t="n">
        <f aca="false">datos_base!$B$4*parametros_recargas!$K$37+sobrestock_sustitutos!$B$177/12</f>
        <v>99.1551927943526</v>
      </c>
      <c r="J4" s="25" t="n">
        <f aca="false">datos_base!$B$4*parametros_recargas!$L$37+sobrestock_sustitutos!$B$177/12</f>
        <v>112.373958072172</v>
      </c>
      <c r="K4" s="25" t="n">
        <f aca="false">datos_base!$B$4*parametros_recargas!$M$37+sobrestock_sustitutos!$B$177/12</f>
        <v>127.35496847852</v>
      </c>
      <c r="L4" s="25" t="n">
        <f aca="false">datos_base!$B$4*parametros_recargas!$N$37+sobrestock_sustitutos!$B$177/12</f>
        <v>144.333155781056</v>
      </c>
      <c r="M4" s="25" t="n">
        <f aca="false">datos_base!$B$4*parametros_recargas!$O$37+sobrestock_sustitutos!$B$177/12</f>
        <v>163.574771417201</v>
      </c>
      <c r="N4" s="25" t="n">
        <f aca="false">datos_base!$B$4*parametros_recargas!$P$37+sobrestock_sustitutos!$B$177/12</f>
        <v>185.381561841395</v>
      </c>
      <c r="O4" s="25" t="n">
        <f aca="false">datos_base!$B$4*parametros_recargas!$Q$37+sobrestock_sustitutos!$B$177/12</f>
        <v>210.095500504187</v>
      </c>
      <c r="P4" s="7" t="n">
        <f aca="false">SUM(D4:O4)</f>
        <v>1388.21931793785</v>
      </c>
      <c r="Q4" s="13" t="n">
        <f aca="false">sobrestock_sustitutos!$B$177</f>
        <v>0</v>
      </c>
    </row>
    <row r="5" customFormat="false" ht="15" hidden="false" customHeight="false" outlineLevel="0" collapsed="false">
      <c r="A5" s="12" t="str">
        <f aca="false">parametros_recargas!A54</f>
        <v>ABC 10 kg</v>
      </c>
      <c r="B5" s="12" t="str">
        <f aca="false">parametros_recargas!B54</f>
        <v>ABC</v>
      </c>
      <c r="C5" s="24" t="n">
        <f aca="false">parametros_recargas!C54</f>
        <v>1</v>
      </c>
      <c r="D5" s="25" t="n">
        <f aca="false">datos_base!$B$5*parametros_recargas!$F$37+sobrestock_sustitutos!$B$178/12</f>
        <v>3.21800644629925</v>
      </c>
      <c r="E5" s="25" t="n">
        <f aca="false">datos_base!$B$5*parametros_recargas!$G$37+sobrestock_sustitutos!$B$178/12</f>
        <v>3.64701143007619</v>
      </c>
      <c r="F5" s="25" t="n">
        <f aca="false">datos_base!$B$5*parametros_recargas!$H$37+sobrestock_sustitutos!$B$178/12</f>
        <v>4.13320874058606</v>
      </c>
      <c r="G5" s="25" t="n">
        <f aca="false">datos_base!$B$5*parametros_recargas!$I$37+sobrestock_sustitutos!$B$178/12</f>
        <v>4.68422290985256</v>
      </c>
      <c r="H5" s="25" t="n">
        <f aca="false">datos_base!$B$5*parametros_recargas!$J$37+sobrestock_sustitutos!$B$178/12</f>
        <v>5.30869492598536</v>
      </c>
      <c r="I5" s="25" t="n">
        <f aca="false">datos_base!$B$5*parametros_recargas!$K$37+sobrestock_sustitutos!$B$178/12</f>
        <v>6.01641774090332</v>
      </c>
      <c r="J5" s="25" t="n">
        <f aca="false">datos_base!$B$5*parametros_recargas!$L$37+sobrestock_sustitutos!$B$178/12</f>
        <v>6.81848984312044</v>
      </c>
      <c r="K5" s="25" t="n">
        <f aca="false">datos_base!$B$5*parametros_recargas!$M$37+sobrestock_sustitutos!$B$178/12</f>
        <v>7.72748930391862</v>
      </c>
      <c r="L5" s="25" t="n">
        <f aca="false">datos_base!$B$5*parametros_recargas!$N$37+sobrestock_sustitutos!$B$178/12</f>
        <v>8.75767102629413</v>
      </c>
      <c r="M5" s="25" t="n">
        <f aca="false">datos_base!$B$5*parametros_recargas!$O$37+sobrestock_sustitutos!$B$178/12</f>
        <v>9.92519028993008</v>
      </c>
      <c r="N5" s="25" t="n">
        <f aca="false">datos_base!$B$5*parametros_recargas!$P$37+sobrestock_sustitutos!$B$178/12</f>
        <v>11.2483560978206</v>
      </c>
      <c r="O5" s="25" t="n">
        <f aca="false">datos_base!$B$5*parametros_recargas!$Q$37+sobrestock_sustitutos!$B$178/12</f>
        <v>12.747918297521</v>
      </c>
      <c r="P5" s="7" t="n">
        <f aca="false">SUM(D5:O5)</f>
        <v>84.2326770523076</v>
      </c>
      <c r="Q5" s="13" t="n">
        <f aca="false">sobrestock_sustitutos!$B$178</f>
        <v>0</v>
      </c>
    </row>
    <row r="6" customFormat="false" ht="15" hidden="false" customHeight="false" outlineLevel="0" collapsed="false">
      <c r="A6" s="12" t="str">
        <f aca="false">parametros_recargas!A55</f>
        <v>Agua 10 l</v>
      </c>
      <c r="B6" s="12" t="str">
        <f aca="false">parametros_recargas!B55</f>
        <v>Agua</v>
      </c>
      <c r="C6" s="24" t="n">
        <f aca="false">parametros_recargas!C55</f>
        <v>1</v>
      </c>
      <c r="D6" s="25" t="n">
        <f aca="false">datos_base!$B$6*parametros_recargas!$F$37+sobrestock_sustitutos!$B$179/12</f>
        <v>4.33193177136718</v>
      </c>
      <c r="E6" s="25" t="n">
        <f aca="false">datos_base!$B$6*parametros_recargas!$G$37+sobrestock_sustitutos!$B$179/12</f>
        <v>4.90943848252849</v>
      </c>
      <c r="F6" s="25" t="n">
        <f aca="false">datos_base!$B$6*parametros_recargas!$H$37+sobrestock_sustitutos!$B$179/12</f>
        <v>5.56393486458923</v>
      </c>
      <c r="G6" s="25" t="n">
        <f aca="false">datos_base!$B$6*parametros_recargas!$I$37+sobrestock_sustitutos!$B$179/12</f>
        <v>6.30568471069785</v>
      </c>
      <c r="H6" s="25" t="n">
        <f aca="false">datos_base!$B$6*parametros_recargas!$J$37+sobrestock_sustitutos!$B$179/12</f>
        <v>7.14632012027771</v>
      </c>
      <c r="I6" s="25" t="n">
        <f aca="false">datos_base!$B$6*parametros_recargas!$K$37+sobrestock_sustitutos!$B$179/12</f>
        <v>8.0990239132705</v>
      </c>
      <c r="J6" s="25" t="n">
        <f aca="false">datos_base!$B$6*parametros_recargas!$L$37+sobrestock_sustitutos!$B$179/12</f>
        <v>9.17873636273354</v>
      </c>
      <c r="K6" s="25" t="n">
        <f aca="false">datos_base!$B$6*parametros_recargas!$M$37+sobrestock_sustitutos!$B$179/12</f>
        <v>10.4023894877656</v>
      </c>
      <c r="L6" s="25" t="n">
        <f aca="false">datos_base!$B$6*parametros_recargas!$N$37+sobrestock_sustitutos!$B$179/12</f>
        <v>11.7891725809357</v>
      </c>
      <c r="M6" s="25" t="n">
        <f aca="false">datos_base!$B$6*parametros_recargas!$O$37+sobrestock_sustitutos!$B$179/12</f>
        <v>13.360833134209</v>
      </c>
      <c r="N6" s="25" t="n">
        <f aca="false">datos_base!$B$6*parametros_recargas!$P$37+sobrestock_sustitutos!$B$179/12</f>
        <v>15.1420178824805</v>
      </c>
      <c r="O6" s="25" t="n">
        <f aca="false">datos_base!$B$6*parametros_recargas!$Q$37+sobrestock_sustitutos!$B$179/12</f>
        <v>17.1606593129519</v>
      </c>
      <c r="P6" s="7" t="n">
        <f aca="false">SUM(D6:O6)</f>
        <v>113.390142623807</v>
      </c>
      <c r="Q6" s="13" t="n">
        <f aca="false">sobrestock_sustitutos!$B$179</f>
        <v>0</v>
      </c>
    </row>
    <row r="7" customFormat="false" ht="15" hidden="false" customHeight="false" outlineLevel="0" collapsed="false">
      <c r="A7" s="12" t="str">
        <f aca="false">parametros_recargas!A56</f>
        <v>AFFF 10 l</v>
      </c>
      <c r="B7" s="12" t="str">
        <f aca="false">parametros_recargas!B56</f>
        <v>AFFF</v>
      </c>
      <c r="C7" s="24" t="n">
        <f aca="false">parametros_recargas!C56</f>
        <v>1</v>
      </c>
      <c r="D7" s="25" t="n">
        <f aca="false">datos_base!$B$7*parametros_recargas!$F$37+sobrestock_sustitutos!$B$180/12</f>
        <v>0.618847399794177</v>
      </c>
      <c r="E7" s="25" t="n">
        <f aca="false">datos_base!$B$7*parametros_recargas!$G$37+sobrestock_sustitutos!$B$180/12</f>
        <v>0.701348359049375</v>
      </c>
      <c r="F7" s="25" t="n">
        <f aca="false">datos_base!$B$7*parametros_recargas!$H$37+sobrestock_sustitutos!$B$180/12</f>
        <v>0.794847842787817</v>
      </c>
      <c r="G7" s="25" t="n">
        <f aca="false">datos_base!$B$7*parametros_recargas!$I$37+sobrestock_sustitutos!$B$180/12</f>
        <v>0.90081210718277</v>
      </c>
      <c r="H7" s="25" t="n">
        <f aca="false">datos_base!$B$7*parametros_recargas!$J$37+sobrestock_sustitutos!$B$180/12</f>
        <v>1.02090288073372</v>
      </c>
      <c r="I7" s="25" t="n">
        <f aca="false">datos_base!$B$7*parametros_recargas!$K$37+sobrestock_sustitutos!$B$180/12</f>
        <v>1.15700342344415</v>
      </c>
      <c r="J7" s="25" t="n">
        <f aca="false">datos_base!$B$7*parametros_recargas!$L$37+sobrestock_sustitutos!$B$180/12</f>
        <v>1.31124806004994</v>
      </c>
      <c r="K7" s="25" t="n">
        <f aca="false">datos_base!$B$7*parametros_recargas!$M$37+sobrestock_sustitutos!$B$180/12</f>
        <v>1.48605565043751</v>
      </c>
      <c r="L7" s="25" t="n">
        <f aca="false">datos_base!$B$7*parametros_recargas!$N$37+sobrestock_sustitutos!$B$180/12</f>
        <v>1.68416752213396</v>
      </c>
      <c r="M7" s="25" t="n">
        <f aca="false">datos_base!$B$7*parametros_recargas!$O$37+sobrestock_sustitutos!$B$180/12</f>
        <v>1.90869045972522</v>
      </c>
      <c r="N7" s="25" t="n">
        <f aca="false">datos_base!$B$7*parametros_recargas!$P$37+sobrestock_sustitutos!$B$180/12</f>
        <v>2.16314542536125</v>
      </c>
      <c r="O7" s="25" t="n">
        <f aca="false">datos_base!$B$7*parametros_recargas!$Q$37+sobrestock_sustitutos!$B$180/12</f>
        <v>2.45152277438163</v>
      </c>
      <c r="P7" s="7" t="n">
        <f aca="false">SUM(D7:O7)</f>
        <v>16.1985919050815</v>
      </c>
      <c r="Q7" s="13" t="n">
        <f aca="false">sobrestock_sustitutos!$B$180</f>
        <v>0</v>
      </c>
    </row>
    <row r="8" customFormat="false" ht="15" hidden="false" customHeight="false" outlineLevel="0" collapsed="false">
      <c r="A8" s="12" t="str">
        <f aca="false">parametros_recargas!A57</f>
        <v>AFFF 50 l s/ruedas</v>
      </c>
      <c r="B8" s="12" t="str">
        <f aca="false">parametros_recargas!B57</f>
        <v>AFFF</v>
      </c>
      <c r="C8" s="24" t="n">
        <f aca="false">parametros_recargas!C57</f>
        <v>3</v>
      </c>
      <c r="D8" s="25" t="n">
        <f aca="false">datos_base!$B$8*parametros_recargas!$F$37+sobrestock_sustitutos!$B$181/12</f>
        <v>0.309423686301061</v>
      </c>
      <c r="E8" s="25" t="n">
        <f aca="false">datos_base!$B$8*parametros_recargas!$G$37+sobrestock_sustitutos!$B$181/12</f>
        <v>0.350674164116121</v>
      </c>
      <c r="F8" s="25" t="n">
        <f aca="false">datos_base!$B$8*parametros_recargas!$H$37+sobrestock_sustitutos!$B$181/12</f>
        <v>0.397423903931166</v>
      </c>
      <c r="G8" s="25" t="n">
        <f aca="false">datos_base!$B$8*parametros_recargas!$I$37+sobrestock_sustitutos!$B$181/12</f>
        <v>0.450406033800616</v>
      </c>
      <c r="H8" s="25" t="n">
        <f aca="false">datos_base!$B$8*parametros_recargas!$J$37+sobrestock_sustitutos!$B$181/12</f>
        <v>0.510451417937705</v>
      </c>
      <c r="I8" s="25" t="n">
        <f aca="false">datos_base!$B$8*parametros_recargas!$K$37+sobrestock_sustitutos!$B$181/12</f>
        <v>0.578501686302803</v>
      </c>
      <c r="J8" s="25" t="n">
        <f aca="false">datos_base!$B$8*parametros_recargas!$L$37+sobrestock_sustitutos!$B$181/12</f>
        <v>0.655624001216955</v>
      </c>
      <c r="K8" s="25" t="n">
        <f aca="false">datos_base!$B$8*parametros_recargas!$M$37+sobrestock_sustitutos!$B$181/12</f>
        <v>0.743027792570235</v>
      </c>
      <c r="L8" s="25" t="n">
        <f aca="false">datos_base!$B$8*parametros_recargas!$N$37+sobrestock_sustitutos!$B$181/12</f>
        <v>0.842083724065956</v>
      </c>
      <c r="M8" s="25" t="n">
        <f aca="false">datos_base!$B$8*parametros_recargas!$O$37+sobrestock_sustitutos!$B$181/12</f>
        <v>0.954345187928835</v>
      </c>
      <c r="N8" s="25" t="n">
        <f aca="false">datos_base!$B$8*parametros_recargas!$P$37+sobrestock_sustitutos!$B$181/12</f>
        <v>1.0815726651565</v>
      </c>
      <c r="O8" s="25" t="n">
        <f aca="false">datos_base!$B$8*parametros_recargas!$Q$37+sobrestock_sustitutos!$B$181/12</f>
        <v>1.22576133333106</v>
      </c>
      <c r="P8" s="7" t="n">
        <f aca="false">SUM(D8:O8)</f>
        <v>8.09929559665901</v>
      </c>
      <c r="Q8" s="13" t="n">
        <f aca="false">sobrestock_sustitutos!$B$181</f>
        <v>0</v>
      </c>
    </row>
    <row r="9" customFormat="false" ht="15" hidden="false" customHeight="false" outlineLevel="0" collapsed="false">
      <c r="A9" s="12" t="str">
        <f aca="false">parametros_recargas!A58</f>
        <v>BC 5 kg</v>
      </c>
      <c r="B9" s="12" t="str">
        <f aca="false">parametros_recargas!B58</f>
        <v>BC</v>
      </c>
      <c r="C9" s="24" t="n">
        <f aca="false">parametros_recargas!C58</f>
        <v>1</v>
      </c>
      <c r="D9" s="25" t="n">
        <f aca="false">datos_base!$B$9*parametros_recargas!$F$37+sobrestock_sustitutos!$B$182/12</f>
        <v>0.185654211780637</v>
      </c>
      <c r="E9" s="25" t="n">
        <f aca="false">datos_base!$B$9*parametros_recargas!$G$37+sobrestock_sustitutos!$B$182/12</f>
        <v>0.210404498469673</v>
      </c>
      <c r="F9" s="25" t="n">
        <f aca="false">datos_base!$B$9*parametros_recargas!$H$37+sobrestock_sustitutos!$B$182/12</f>
        <v>0.238454342358699</v>
      </c>
      <c r="G9" s="25" t="n">
        <f aca="false">datos_base!$B$9*parametros_recargas!$I$37+sobrestock_sustitutos!$B$182/12</f>
        <v>0.27024362028037</v>
      </c>
      <c r="H9" s="25" t="n">
        <f aca="false">datos_base!$B$9*parametros_recargas!$J$37+sobrestock_sustitutos!$B$182/12</f>
        <v>0.306270850762623</v>
      </c>
      <c r="I9" s="25" t="n">
        <f aca="false">datos_base!$B$9*parametros_recargas!$K$37+sobrestock_sustitutos!$B$182/12</f>
        <v>0.347101011781682</v>
      </c>
      <c r="J9" s="25" t="n">
        <f aca="false">datos_base!$B$9*parametros_recargas!$L$37+sobrestock_sustitutos!$B$182/12</f>
        <v>0.393374400730173</v>
      </c>
      <c r="K9" s="25" t="n">
        <f aca="false">datos_base!$B$9*parametros_recargas!$M$37+sobrestock_sustitutos!$B$182/12</f>
        <v>0.445816675542141</v>
      </c>
      <c r="L9" s="25" t="n">
        <f aca="false">datos_base!$B$9*parametros_recargas!$N$37+sobrestock_sustitutos!$B$182/12</f>
        <v>0.505250234439573</v>
      </c>
      <c r="M9" s="25" t="n">
        <f aca="false">datos_base!$B$9*parametros_recargas!$O$37+sobrestock_sustitutos!$B$182/12</f>
        <v>0.572607112757301</v>
      </c>
      <c r="N9" s="25" t="n">
        <f aca="false">datos_base!$B$9*parametros_recargas!$P$37+sobrestock_sustitutos!$B$182/12</f>
        <v>0.648943599093898</v>
      </c>
      <c r="O9" s="25" t="n">
        <f aca="false">datos_base!$B$9*parametros_recargas!$Q$37+sobrestock_sustitutos!$B$182/12</f>
        <v>0.735456799998634</v>
      </c>
      <c r="P9" s="7" t="n">
        <f aca="false">SUM(D9:O9)</f>
        <v>4.8595773579954</v>
      </c>
      <c r="Q9" s="13" t="n">
        <f aca="false">sobrestock_sustitutos!$B$182</f>
        <v>0</v>
      </c>
    </row>
    <row r="10" customFormat="false" ht="15" hidden="false" customHeight="false" outlineLevel="0" collapsed="false">
      <c r="A10" s="12" t="str">
        <f aca="false">parametros_recargas!A59</f>
        <v>Sales K 6 l</v>
      </c>
      <c r="B10" s="12" t="str">
        <f aca="false">parametros_recargas!B59</f>
        <v>Sales K</v>
      </c>
      <c r="C10" s="24" t="n">
        <f aca="false">parametros_recargas!C59</f>
        <v>1</v>
      </c>
      <c r="D10" s="25" t="n">
        <f aca="false">datos_base!$B$10*parametros_recargas!$F$37+sobrestock_sustitutos!$B$183/12</f>
        <v>2.2278506229438</v>
      </c>
      <c r="E10" s="25" t="n">
        <f aca="false">datos_base!$B$10*parametros_recargas!$G$37+sobrestock_sustitutos!$B$183/12</f>
        <v>2.52485407408747</v>
      </c>
      <c r="F10" s="25" t="n">
        <f aca="false">datos_base!$B$10*parametros_recargas!$H$37+sobrestock_sustitutos!$B$183/12</f>
        <v>2.86145221308085</v>
      </c>
      <c r="G10" s="25" t="n">
        <f aca="false">datos_base!$B$10*parametros_recargas!$I$37+sobrestock_sustitutos!$B$183/12</f>
        <v>3.24292356210905</v>
      </c>
      <c r="H10" s="25" t="n">
        <f aca="false">datos_base!$B$10*parametros_recargas!$J$37+sobrestock_sustitutos!$B$183/12</f>
        <v>3.6752503437264</v>
      </c>
      <c r="I10" s="25" t="n">
        <f aca="false">datos_base!$B$10*parametros_recargas!$K$37+sobrestock_sustitutos!$B$183/12</f>
        <v>4.16521229389581</v>
      </c>
      <c r="J10" s="25" t="n">
        <f aca="false">datos_base!$B$10*parametros_recargas!$L$37+sobrestock_sustitutos!$B$183/12</f>
        <v>4.72049298161016</v>
      </c>
      <c r="K10" s="25" t="n">
        <f aca="false">datos_base!$B$10*parametros_recargas!$M$37+sobrestock_sustitutos!$B$183/12</f>
        <v>5.34980030239682</v>
      </c>
      <c r="L10" s="25" t="n">
        <f aca="false">datos_base!$B$10*parametros_recargas!$N$37+sobrestock_sustitutos!$B$183/12</f>
        <v>6.06300303528102</v>
      </c>
      <c r="M10" s="25" t="n">
        <f aca="false">datos_base!$B$10*parametros_recargas!$O$37+sobrestock_sustitutos!$B$183/12</f>
        <v>6.87128560469026</v>
      </c>
      <c r="N10" s="25" t="n">
        <f aca="false">datos_base!$B$10*parametros_recargas!$P$37+sobrestock_sustitutos!$B$183/12</f>
        <v>7.78732347427155</v>
      </c>
      <c r="O10" s="25" t="n">
        <f aca="false">datos_base!$B$10*parametros_recargas!$Q$37+sobrestock_sustitutos!$B$183/12</f>
        <v>8.82548192314215</v>
      </c>
      <c r="P10" s="7" t="n">
        <f aca="false">SUM(D10:O10)</f>
        <v>58.3149304312353</v>
      </c>
      <c r="Q10" s="13" t="n">
        <f aca="false">sobrestock_sustitutos!$B$183</f>
        <v>0</v>
      </c>
    </row>
    <row r="11" customFormat="false" ht="15" hidden="false" customHeight="false" outlineLevel="0" collapsed="false">
      <c r="A11" s="12" t="str">
        <f aca="false">parametros_recargas!A60</f>
        <v>CO₂ 2 kg</v>
      </c>
      <c r="B11" s="12" t="str">
        <f aca="false">parametros_recargas!B60</f>
        <v>CO₂</v>
      </c>
      <c r="C11" s="24" t="n">
        <f aca="false">parametros_recargas!C60</f>
        <v>1</v>
      </c>
      <c r="D11" s="25" t="n">
        <f aca="false">datos_base!$B$11*parametros_recargas!$F$37+sobrestock_sustitutos!$B$184/12</f>
        <v>12.253178439787</v>
      </c>
      <c r="E11" s="25" t="n">
        <f aca="false">datos_base!$B$11*parametros_recargas!$G$37+sobrestock_sustitutos!$B$184/12</f>
        <v>13.8866974228897</v>
      </c>
      <c r="F11" s="25" t="n">
        <f aca="false">datos_base!$B$11*parametros_recargas!$H$37+sobrestock_sustitutos!$B$184/12</f>
        <v>15.7379871894074</v>
      </c>
      <c r="G11" s="25" t="n">
        <f aca="false">datos_base!$B$11*parametros_recargas!$I$37+sobrestock_sustitutos!$B$184/12</f>
        <v>17.8360796113905</v>
      </c>
      <c r="H11" s="25" t="n">
        <f aca="false">datos_base!$B$11*parametros_recargas!$J$37+sobrestock_sustitutos!$B$184/12</f>
        <v>20.2138769129243</v>
      </c>
      <c r="I11" s="25" t="n">
        <f aca="false">datos_base!$B$11*parametros_recargas!$K$37+sobrestock_sustitutos!$B$184/12</f>
        <v>22.9086676418462</v>
      </c>
      <c r="J11" s="25" t="n">
        <f aca="false">datos_base!$B$11*parametros_recargas!$L$37+sobrestock_sustitutos!$B$184/12</f>
        <v>25.9627114276639</v>
      </c>
      <c r="K11" s="25" t="n">
        <f aca="false">datos_base!$B$11*parametros_recargas!$M$37+sobrestock_sustitutos!$B$184/12</f>
        <v>29.4239016958311</v>
      </c>
      <c r="L11" s="25" t="n">
        <f aca="false">datos_base!$B$11*parametros_recargas!$N$37+sobrestock_sustitutos!$B$184/12</f>
        <v>33.3465167310466</v>
      </c>
      <c r="M11" s="25" t="n">
        <f aca="false">datos_base!$B$11*parametros_recargas!$O$37+sobrestock_sustitutos!$B$184/12</f>
        <v>37.7920708677302</v>
      </c>
      <c r="N11" s="25" t="n">
        <f aca="false">datos_base!$B$11*parametros_recargas!$P$37+sobrestock_sustitutos!$B$184/12</f>
        <v>42.8302791560176</v>
      </c>
      <c r="O11" s="25" t="n">
        <f aca="false">datos_base!$B$11*parametros_recargas!$Q$37+sobrestock_sustitutos!$B$184/12</f>
        <v>48.5401506311416</v>
      </c>
      <c r="P11" s="7" t="n">
        <f aca="false">SUM(D11:O11)</f>
        <v>320.732117727676</v>
      </c>
      <c r="Q11" s="13" t="n">
        <f aca="false">sobrestock_sustitutos!$B$184</f>
        <v>0</v>
      </c>
    </row>
    <row r="12" customFormat="false" ht="15" hidden="false" customHeight="false" outlineLevel="0" collapsed="false">
      <c r="A12" s="12" t="str">
        <f aca="false">parametros_recargas!A61</f>
        <v>CO₂ 5 kg</v>
      </c>
      <c r="B12" s="12" t="str">
        <f aca="false">parametros_recargas!B61</f>
        <v>CO₂</v>
      </c>
      <c r="C12" s="24" t="n">
        <f aca="false">parametros_recargas!C61</f>
        <v>1</v>
      </c>
      <c r="D12" s="25" t="n">
        <f aca="false">datos_base!$B$12*parametros_recargas!$F$37+sobrestock_sustitutos!$B$185/12</f>
        <v>3.40366068527195</v>
      </c>
      <c r="E12" s="25" t="n">
        <f aca="false">datos_base!$B$12*parametros_recargas!$G$37+sobrestock_sustitutos!$B$185/12</f>
        <v>3.857415959363</v>
      </c>
      <c r="F12" s="25" t="n">
        <f aca="false">datos_base!$B$12*parametros_recargas!$H$37+sobrestock_sustitutos!$B$185/12</f>
        <v>4.37166311787025</v>
      </c>
      <c r="G12" s="25" t="n">
        <f aca="false">datos_base!$B$12*parametros_recargas!$I$37+sobrestock_sustitutos!$B$185/12</f>
        <v>4.95446656971447</v>
      </c>
      <c r="H12" s="25" t="n">
        <f aca="false">datos_base!$B$12*parametros_recargas!$J$37+sobrestock_sustitutos!$B$185/12</f>
        <v>5.61496582160629</v>
      </c>
      <c r="I12" s="25" t="n">
        <f aca="false">datos_base!$B$12*parametros_recargas!$K$37+sobrestock_sustitutos!$B$185/12</f>
        <v>6.36351880352355</v>
      </c>
      <c r="J12" s="25" t="n">
        <f aca="false">datos_base!$B$12*parametros_recargas!$L$37+sobrestock_sustitutos!$B$185/12</f>
        <v>7.21186430146664</v>
      </c>
      <c r="K12" s="25" t="n">
        <f aca="false">datos_base!$B$12*parametros_recargas!$M$37+sobrestock_sustitutos!$B$185/12</f>
        <v>8.17330604475781</v>
      </c>
      <c r="L12" s="25" t="n">
        <f aca="false">datos_base!$B$12*parametros_recargas!$N$37+sobrestock_sustitutos!$B$185/12</f>
        <v>9.26292133473575</v>
      </c>
      <c r="M12" s="25" t="n">
        <f aca="false">datos_base!$B$12*parametros_recargas!$O$37+sobrestock_sustitutos!$B$185/12</f>
        <v>10.4977974865549</v>
      </c>
      <c r="N12" s="25" t="n">
        <f aca="false">datos_base!$B$12*parametros_recargas!$P$37+sobrestock_sustitutos!$B$185/12</f>
        <v>11.8972997919628</v>
      </c>
      <c r="O12" s="25" t="n">
        <f aca="false">datos_base!$B$12*parametros_recargas!$Q$37+sobrestock_sustitutos!$B$185/12</f>
        <v>13.4833752052392</v>
      </c>
      <c r="P12" s="7" t="n">
        <f aca="false">SUM(D12:O12)</f>
        <v>89.0922551220666</v>
      </c>
      <c r="Q12" s="13" t="n">
        <f aca="false">sobrestock_sustitutos!$B$185</f>
        <v>0</v>
      </c>
    </row>
    <row r="13" customFormat="false" ht="15" hidden="false" customHeight="false" outlineLevel="0" collapsed="false">
      <c r="A13" s="12" t="str">
        <f aca="false">parametros_recargas!A62</f>
        <v>HCFC/HFC 5 kg</v>
      </c>
      <c r="B13" s="12" t="str">
        <f aca="false">parametros_recargas!B62</f>
        <v>Halogenado</v>
      </c>
      <c r="C13" s="24" t="n">
        <f aca="false">parametros_recargas!C62</f>
        <v>1</v>
      </c>
      <c r="D13" s="25" t="n">
        <f aca="false">datos_base!$B$13*parametros_recargas!$F$37+sobrestock_sustitutos!$B$186/12</f>
        <v>0.495077925273752</v>
      </c>
      <c r="E13" s="25" t="n">
        <f aca="false">datos_base!$B$13*parametros_recargas!$G$37+sobrestock_sustitutos!$B$186/12</f>
        <v>0.561078693402927</v>
      </c>
      <c r="F13" s="25" t="n">
        <f aca="false">datos_base!$B$13*parametros_recargas!$H$37+sobrestock_sustitutos!$B$186/12</f>
        <v>0.63587828121535</v>
      </c>
      <c r="G13" s="25" t="n">
        <f aca="false">datos_base!$B$13*parametros_recargas!$I$37+sobrestock_sustitutos!$B$186/12</f>
        <v>0.720649693662523</v>
      </c>
      <c r="H13" s="25" t="n">
        <f aca="false">datos_base!$B$13*parametros_recargas!$J$37+sobrestock_sustitutos!$B$186/12</f>
        <v>0.816722313558635</v>
      </c>
      <c r="I13" s="25" t="n">
        <f aca="false">datos_base!$B$13*parametros_recargas!$K$37+sobrestock_sustitutos!$B$186/12</f>
        <v>0.925602748923027</v>
      </c>
      <c r="J13" s="25" t="n">
        <f aca="false">datos_base!$B$13*parametros_recargas!$L$37+sobrestock_sustitutos!$B$186/12</f>
        <v>1.04899845956316</v>
      </c>
      <c r="K13" s="25" t="n">
        <f aca="false">datos_base!$B$13*parametros_recargas!$M$37+sobrestock_sustitutos!$B$186/12</f>
        <v>1.18884453340942</v>
      </c>
      <c r="L13" s="25" t="n">
        <f aca="false">datos_base!$B$13*parametros_recargas!$N$37+sobrestock_sustitutos!$B$186/12</f>
        <v>1.34733403250758</v>
      </c>
      <c r="M13" s="25" t="n">
        <f aca="false">datos_base!$B$13*parametros_recargas!$O$37+sobrestock_sustitutos!$B$186/12</f>
        <v>1.52695238455368</v>
      </c>
      <c r="N13" s="25" t="n">
        <f aca="false">datos_base!$B$13*parametros_recargas!$P$37+sobrestock_sustitutos!$B$186/12</f>
        <v>1.73051635929865</v>
      </c>
      <c r="O13" s="25" t="n">
        <f aca="false">datos_base!$B$13*parametros_recargas!$Q$37+sobrestock_sustitutos!$B$186/12</f>
        <v>1.9612182410492</v>
      </c>
      <c r="P13" s="7" t="n">
        <f aca="false">SUM(D13:O13)</f>
        <v>12.9588736664179</v>
      </c>
      <c r="Q13" s="13" t="n">
        <f aca="false">sobrestock_sustitutos!$B$186</f>
        <v>0</v>
      </c>
    </row>
    <row r="14" customFormat="false" ht="15" hidden="false" customHeight="false" outlineLevel="0" collapsed="false">
      <c r="A14" s="12" t="str">
        <f aca="false">parametros_recargas!A63</f>
        <v>Clase D 9 l</v>
      </c>
      <c r="B14" s="12" t="str">
        <f aca="false">parametros_recargas!B63</f>
        <v>Clase D</v>
      </c>
      <c r="C14" s="24" t="n">
        <f aca="false">parametros_recargas!C63</f>
        <v>1</v>
      </c>
      <c r="D14" s="25" t="n">
        <f aca="false">datos_base!$B$14*parametros_recargas!$F$37+sobrestock_sustitutos!$B$187/12</f>
        <v>0.185654211780637</v>
      </c>
      <c r="E14" s="25" t="n">
        <f aca="false">datos_base!$B$14*parametros_recargas!$G$37+sobrestock_sustitutos!$B$187/12</f>
        <v>0.210404498469673</v>
      </c>
      <c r="F14" s="25" t="n">
        <f aca="false">datos_base!$B$14*parametros_recargas!$H$37+sobrestock_sustitutos!$B$187/12</f>
        <v>0.238454342358699</v>
      </c>
      <c r="G14" s="25" t="n">
        <f aca="false">datos_base!$B$14*parametros_recargas!$I$37+sobrestock_sustitutos!$B$187/12</f>
        <v>0.27024362028037</v>
      </c>
      <c r="H14" s="25" t="n">
        <f aca="false">datos_base!$B$14*parametros_recargas!$J$37+sobrestock_sustitutos!$B$187/12</f>
        <v>0.306270850762623</v>
      </c>
      <c r="I14" s="25" t="n">
        <f aca="false">datos_base!$B$14*parametros_recargas!$K$37+sobrestock_sustitutos!$B$187/12</f>
        <v>0.347101011781682</v>
      </c>
      <c r="J14" s="25" t="n">
        <f aca="false">datos_base!$B$14*parametros_recargas!$L$37+sobrestock_sustitutos!$B$187/12</f>
        <v>0.393374400730173</v>
      </c>
      <c r="K14" s="25" t="n">
        <f aca="false">datos_base!$B$14*parametros_recargas!$M$37+sobrestock_sustitutos!$B$187/12</f>
        <v>0.445816675542141</v>
      </c>
      <c r="L14" s="25" t="n">
        <f aca="false">datos_base!$B$14*parametros_recargas!$N$37+sobrestock_sustitutos!$B$187/12</f>
        <v>0.505250234439573</v>
      </c>
      <c r="M14" s="25" t="n">
        <f aca="false">datos_base!$B$14*parametros_recargas!$O$37+sobrestock_sustitutos!$B$187/12</f>
        <v>0.572607112757301</v>
      </c>
      <c r="N14" s="25" t="n">
        <f aca="false">datos_base!$B$14*parametros_recargas!$P$37+sobrestock_sustitutos!$B$187/12</f>
        <v>0.648943599093898</v>
      </c>
      <c r="O14" s="25" t="n">
        <f aca="false">datos_base!$B$14*parametros_recargas!$Q$37+sobrestock_sustitutos!$B$187/12</f>
        <v>0.735456799998634</v>
      </c>
      <c r="P14" s="7" t="n">
        <f aca="false">SUM(D14:O14)</f>
        <v>4.8595773579954</v>
      </c>
      <c r="Q14" s="13" t="n">
        <f aca="false">sobrestock_sustitutos!$B$187</f>
        <v>0</v>
      </c>
    </row>
    <row r="15" customFormat="false" ht="15" hidden="false" customHeight="false" outlineLevel="0" collapsed="false">
      <c r="A15" s="12" t="str">
        <f aca="false">parametros_recargas!A64</f>
        <v>ABC 25 kg s/ruedas</v>
      </c>
      <c r="B15" s="12" t="str">
        <f aca="false">parametros_recargas!B64</f>
        <v>ABC</v>
      </c>
      <c r="C15" s="24" t="n">
        <f aca="false">parametros_recargas!C64</f>
        <v>3</v>
      </c>
      <c r="D15" s="25" t="n">
        <f aca="false">datos_base!$B$15*parametros_recargas!$F$37+sobrestock_sustitutos!$B$188/12</f>
        <v>0.479606734160686</v>
      </c>
      <c r="E15" s="25" t="n">
        <f aca="false">datos_base!$B$15*parametros_recargas!$G$37+sobrestock_sustitutos!$B$188/12</f>
        <v>0.543544977492837</v>
      </c>
      <c r="F15" s="25" t="n">
        <f aca="false">datos_base!$B$15*parametros_recargas!$H$37+sobrestock_sustitutos!$B$188/12</f>
        <v>0.616007077287421</v>
      </c>
      <c r="G15" s="25" t="n">
        <f aca="false">datos_base!$B$15*parametros_recargas!$I$37+sobrestock_sustitutos!$B$188/12</f>
        <v>0.698129382077108</v>
      </c>
      <c r="H15" s="25" t="n">
        <f aca="false">datos_base!$B$15*parametros_recargas!$J$37+sobrestock_sustitutos!$B$188/12</f>
        <v>0.791199731447173</v>
      </c>
      <c r="I15" s="25" t="n">
        <f aca="false">datos_base!$B$15*parametros_recargas!$K$37+sobrestock_sustitutos!$B$188/12</f>
        <v>0.896677651898251</v>
      </c>
      <c r="J15" s="25" t="n">
        <f aca="false">datos_base!$B$15*parametros_recargas!$L$37+sobrestock_sustitutos!$B$188/12</f>
        <v>1.0162172450983</v>
      </c>
      <c r="K15" s="25" t="n">
        <f aca="false">datos_base!$B$15*parametros_recargas!$M$37+sobrestock_sustitutos!$B$188/12</f>
        <v>1.15169312745665</v>
      </c>
      <c r="L15" s="25" t="n">
        <f aca="false">datos_base!$B$15*parametros_recargas!$N$37+sobrestock_sustitutos!$B$188/12</f>
        <v>1.30522982780377</v>
      </c>
      <c r="M15" s="25" t="n">
        <f aca="false">datos_base!$B$15*parametros_recargas!$O$37+sobrestock_sustitutos!$B$188/12</f>
        <v>1.47923510419036</v>
      </c>
      <c r="N15" s="25" t="n">
        <f aca="false">datos_base!$B$15*parametros_recargas!$P$37+sobrestock_sustitutos!$B$188/12</f>
        <v>1.67643770227876</v>
      </c>
      <c r="O15" s="25" t="n">
        <f aca="false">datos_base!$B$15*parametros_recargas!$Q$37+sobrestock_sustitutos!$B$188/12</f>
        <v>1.89993014745277</v>
      </c>
      <c r="P15" s="7" t="n">
        <f aca="false">SUM(D15:O15)</f>
        <v>12.5539087086441</v>
      </c>
      <c r="Q15" s="13" t="n">
        <f aca="false">sobrestock_sustitutos!$B$188</f>
        <v>0</v>
      </c>
    </row>
    <row r="16" customFormat="false" ht="15" hidden="false" customHeight="false" outlineLevel="0" collapsed="false">
      <c r="A16" s="12" t="str">
        <f aca="false">parametros_recargas!A65</f>
        <v>ABC 50 kg s/ruedas</v>
      </c>
      <c r="B16" s="12" t="str">
        <f aca="false">parametros_recargas!B65</f>
        <v>ABC</v>
      </c>
      <c r="C16" s="24" t="n">
        <f aca="false">parametros_recargas!C65</f>
        <v>3</v>
      </c>
      <c r="D16" s="25" t="n">
        <f aca="false">datos_base!$B$16*parametros_recargas!$F$37+sobrestock_sustitutos!$B$189/12</f>
        <v>1.05513479883828</v>
      </c>
      <c r="E16" s="25" t="n">
        <f aca="false">datos_base!$B$16*parametros_recargas!$G$37+sobrestock_sustitutos!$B$189/12</f>
        <v>1.19579893199396</v>
      </c>
      <c r="F16" s="25" t="n">
        <f aca="false">datos_base!$B$16*parametros_recargas!$H$37+sobrestock_sustitutos!$B$189/12</f>
        <v>1.35521554907703</v>
      </c>
      <c r="G16" s="25" t="n">
        <f aca="false">datos_base!$B$16*parametros_recargas!$I$37+sobrestock_sustitutos!$B$189/12</f>
        <v>1.53588461682072</v>
      </c>
      <c r="H16" s="25" t="n">
        <f aca="false">datos_base!$B$16*parametros_recargas!$J$37+sobrestock_sustitutos!$B$189/12</f>
        <v>1.7406393822688</v>
      </c>
      <c r="I16" s="25" t="n">
        <f aca="false">datos_base!$B$16*parametros_recargas!$K$37+sobrestock_sustitutos!$B$189/12</f>
        <v>1.97269080367303</v>
      </c>
      <c r="J16" s="25" t="n">
        <f aca="false">datos_base!$B$16*parametros_recargas!$L$37+sobrestock_sustitutos!$B$189/12</f>
        <v>2.23567790464665</v>
      </c>
      <c r="K16" s="25" t="n">
        <f aca="false">datos_base!$B$16*parametros_recargas!$M$37+sobrestock_sustitutos!$B$189/12</f>
        <v>2.5337248412264</v>
      </c>
      <c r="L16" s="25" t="n">
        <f aca="false">datos_base!$B$16*parametros_recargas!$N$37+sobrestock_sustitutos!$B$189/12</f>
        <v>2.87150557676706</v>
      </c>
      <c r="M16" s="25" t="n">
        <f aca="false">datos_base!$B$16*parametros_recargas!$O$37+sobrestock_sustitutos!$B$189/12</f>
        <v>3.25431717889825</v>
      </c>
      <c r="N16" s="25" t="n">
        <f aca="false">datos_base!$B$16*parametros_recargas!$P$37+sobrestock_sustitutos!$B$189/12</f>
        <v>3.68816288798432</v>
      </c>
      <c r="O16" s="25" t="n">
        <f aca="false">datos_base!$B$16*parametros_recargas!$Q$37+sobrestock_sustitutos!$B$189/12</f>
        <v>4.17984625976439</v>
      </c>
      <c r="P16" s="7" t="n">
        <f aca="false">SUM(D16:O16)</f>
        <v>27.6185987319589</v>
      </c>
      <c r="Q16" s="13" t="n">
        <f aca="false">sobrestock_sustitutos!$B$189</f>
        <v>0</v>
      </c>
    </row>
    <row r="17" customFormat="false" ht="15" hidden="false" customHeight="false" outlineLevel="0" collapsed="false">
      <c r="A17" s="12" t="str">
        <f aca="false">parametros_recargas!A66</f>
        <v>ABC 70 kg s/ruedas</v>
      </c>
      <c r="B17" s="12" t="str">
        <f aca="false">parametros_recargas!B66</f>
        <v>ABC</v>
      </c>
      <c r="C17" s="24" t="n">
        <f aca="false">parametros_recargas!C66</f>
        <v>3</v>
      </c>
      <c r="D17" s="25" t="n">
        <f aca="false">datos_base!$B$17*parametros_recargas!$F$37+sobrestock_sustitutos!$B$190/12</f>
        <v>0.230211220432625</v>
      </c>
      <c r="E17" s="25" t="n">
        <f aca="false">datos_base!$B$17*parametros_recargas!$G$37+sobrestock_sustitutos!$B$190/12</f>
        <v>0.260901575637023</v>
      </c>
      <c r="F17" s="25" t="n">
        <f aca="false">datos_base!$B$17*parametros_recargas!$H$37+sobrestock_sustitutos!$B$190/12</f>
        <v>0.295683381730749</v>
      </c>
      <c r="G17" s="25" t="n">
        <f aca="false">datos_base!$B$17*parametros_recargas!$I$37+sobrestock_sustitutos!$B$190/12</f>
        <v>0.335102085981135</v>
      </c>
      <c r="H17" s="25" t="n">
        <f aca="false">datos_base!$B$17*parametros_recargas!$J$37+sobrestock_sustitutos!$B$190/12</f>
        <v>0.379775851356988</v>
      </c>
      <c r="I17" s="25" t="n">
        <f aca="false">datos_base!$B$17*parametros_recargas!$K$37+sobrestock_sustitutos!$B$190/12</f>
        <v>0.430405250542202</v>
      </c>
      <c r="J17" s="25" t="n">
        <f aca="false">datos_base!$B$17*parametros_recargas!$L$37+sobrestock_sustitutos!$B$190/12</f>
        <v>0.487784252296133</v>
      </c>
      <c r="K17" s="25" t="n">
        <f aca="false">datos_base!$B$17*parametros_recargas!$M$37+sobrestock_sustitutos!$B$190/12</f>
        <v>0.552812672448491</v>
      </c>
      <c r="L17" s="25" t="n">
        <f aca="false">datos_base!$B$17*parametros_recargas!$N$37+sobrestock_sustitutos!$B$190/12</f>
        <v>0.626510284784907</v>
      </c>
      <c r="M17" s="25" t="n">
        <f aca="false">datos_base!$B$17*parametros_recargas!$O$37+sobrestock_sustitutos!$B$190/12</f>
        <v>0.710032813109649</v>
      </c>
      <c r="N17" s="25" t="n">
        <f aca="false">datos_base!$B$17*parametros_recargas!$P$37+sobrestock_sustitutos!$B$190/12</f>
        <v>0.804690055272573</v>
      </c>
      <c r="O17" s="25" t="n">
        <f aca="false">datos_base!$B$17*parametros_recargas!$Q$37+sobrestock_sustitutos!$B$190/12</f>
        <v>0.911966423380745</v>
      </c>
      <c r="P17" s="7" t="n">
        <f aca="false">SUM(D17:O17)</f>
        <v>6.02587586697322</v>
      </c>
      <c r="Q17" s="13" t="n">
        <f aca="false">sobrestock_sustitutos!$B$190</f>
        <v>0</v>
      </c>
    </row>
    <row r="18" customFormat="false" ht="15" hidden="false" customHeight="false" outlineLevel="0" collapsed="false">
      <c r="A18" s="12" t="str">
        <f aca="false">parametros_recargas!A67</f>
        <v>ABC 100 kg s/ruedas</v>
      </c>
      <c r="B18" s="12" t="str">
        <f aca="false">parametros_recargas!B67</f>
        <v>ABC</v>
      </c>
      <c r="C18" s="24" t="n">
        <f aca="false">parametros_recargas!C67</f>
        <v>3</v>
      </c>
      <c r="D18" s="25" t="n">
        <f aca="false">datos_base!$B$18*parametros_recargas!$F$37+sobrestock_sustitutos!$B$191/12</f>
        <v>0.153474156019102</v>
      </c>
      <c r="E18" s="25" t="n">
        <f aca="false">datos_base!$B$18*parametros_recargas!$G$37+sobrestock_sustitutos!$B$191/12</f>
        <v>0.173934394030393</v>
      </c>
      <c r="F18" s="25" t="n">
        <f aca="false">datos_base!$B$18*parametros_recargas!$H$37+sobrestock_sustitutos!$B$191/12</f>
        <v>0.197122266128994</v>
      </c>
      <c r="G18" s="25" t="n">
        <f aca="false">datos_base!$B$18*parametros_recargas!$I$37+sobrestock_sustitutos!$B$191/12</f>
        <v>0.223401403847936</v>
      </c>
      <c r="H18" s="25" t="n">
        <f aca="false">datos_base!$B$18*parametros_recargas!$J$37+sobrestock_sustitutos!$B$191/12</f>
        <v>0.253183915857428</v>
      </c>
      <c r="I18" s="25" t="n">
        <f aca="false">datos_base!$B$18*parametros_recargas!$K$37+sobrestock_sustitutos!$B$191/12</f>
        <v>0.286936850640982</v>
      </c>
      <c r="J18" s="25" t="n">
        <f aca="false">datos_base!$B$18*parametros_recargas!$L$37+sobrestock_sustitutos!$B$191/12</f>
        <v>0.325189520736097</v>
      </c>
      <c r="K18" s="25" t="n">
        <f aca="false">datos_base!$B$18*parametros_recargas!$M$37+sobrestock_sustitutos!$B$191/12</f>
        <v>0.368541803398009</v>
      </c>
      <c r="L18" s="25" t="n">
        <f aca="false">datos_base!$B$18*parametros_recargas!$N$37+sobrestock_sustitutos!$B$191/12</f>
        <v>0.417673547857287</v>
      </c>
      <c r="M18" s="25" t="n">
        <f aca="false">datos_base!$B$18*parametros_recargas!$O$37+sobrestock_sustitutos!$B$191/12</f>
        <v>0.473355236695616</v>
      </c>
      <c r="N18" s="25" t="n">
        <f aca="false">datos_base!$B$18*parametros_recargas!$P$37+sobrestock_sustitutos!$B$191/12</f>
        <v>0.536460068531135</v>
      </c>
      <c r="O18" s="25" t="n">
        <f aca="false">datos_base!$B$18*parametros_recargas!$Q$37+sobrestock_sustitutos!$B$191/12</f>
        <v>0.607977651493668</v>
      </c>
      <c r="P18" s="7" t="n">
        <f aca="false">SUM(D18:O18)</f>
        <v>4.01725081523665</v>
      </c>
      <c r="Q18" s="13" t="n">
        <f aca="false">sobrestock_sustitutos!$B$191</f>
        <v>0</v>
      </c>
    </row>
    <row r="19" customFormat="false" ht="15" hidden="false" customHeight="false" outlineLevel="0" collapsed="false">
      <c r="A19" s="6" t="s">
        <v>273</v>
      </c>
      <c r="D19" s="7" t="n">
        <f aca="false">SUM(D2:D18)</f>
        <v>185.716103533447</v>
      </c>
      <c r="E19" s="7" t="n">
        <f aca="false">SUM(E2:E18)</f>
        <v>210.474641253316</v>
      </c>
      <c r="F19" s="7" t="n">
        <f aca="false">SUM(F2:F18)</f>
        <v>238.533836150261</v>
      </c>
      <c r="G19" s="7" t="n">
        <f aca="false">SUM(G2:G18)</f>
        <v>270.333711699167</v>
      </c>
      <c r="H19" s="7" t="n">
        <f aca="false">SUM(H2:H18)</f>
        <v>306.372952619654</v>
      </c>
      <c r="I19" s="7" t="n">
        <f aca="false">SUM(I2:I18)</f>
        <v>347.216725235286</v>
      </c>
      <c r="J19" s="7" t="n">
        <f aca="false">SUM(J2:J18)</f>
        <v>393.505540395352</v>
      </c>
      <c r="K19" s="7" t="n">
        <f aca="false">SUM(K2:K18)</f>
        <v>445.965297947292</v>
      </c>
      <c r="L19" s="7" t="n">
        <f aca="false">SUM(L2:L18)</f>
        <v>505.418670276915</v>
      </c>
      <c r="M19" s="7" t="n">
        <f aca="false">SUM(M2:M18)</f>
        <v>572.798003432714</v>
      </c>
      <c r="N19" s="7" t="n">
        <f aca="false">SUM(N2:N18)</f>
        <v>649.15993814938</v>
      </c>
      <c r="O19" s="7" t="n">
        <f aca="false">SUM(O2:O18)</f>
        <v>735.701980056935</v>
      </c>
      <c r="P19" s="7" t="n">
        <f aca="false">SUM(P2:P18)</f>
        <v>4861.19740074972</v>
      </c>
    </row>
    <row r="20" customFormat="false" ht="15" hidden="false" customHeight="false" outlineLevel="0" collapsed="false">
      <c r="A20" s="6" t="s">
        <v>274</v>
      </c>
    </row>
    <row r="21" customFormat="false" ht="15" hidden="false" customHeight="false" outlineLevel="0" collapsed="false">
      <c r="A21" s="4" t="s">
        <v>143</v>
      </c>
      <c r="D21" s="25" t="n">
        <f aca="false">SUMPRODUCT(($B$2:$B$18=$A21)*D$2:D$18*$C$2:$C$18)</f>
        <v>165.541678398048</v>
      </c>
      <c r="E21" s="25" t="n">
        <f aca="false">SUMPRODUCT(($B$2:$B$18=$A21)*E$2:E$18*$C$2:$C$18)</f>
        <v>187.610684859248</v>
      </c>
      <c r="F21" s="25" t="n">
        <f aca="false">SUMPRODUCT(($B$2:$B$18=$A21)*F$2:F$18*$C$2:$C$18)</f>
        <v>212.62179660111</v>
      </c>
      <c r="G21" s="25" t="n">
        <f aca="false">SUMPRODUCT(($B$2:$B$18=$A21)*G$2:G$18*$C$2:$C$18)</f>
        <v>240.967237147502</v>
      </c>
      <c r="H21" s="25" t="n">
        <f aca="false">SUMPRODUCT(($B$2:$B$18=$A21)*H$2:H$18*$C$2:$C$18)</f>
        <v>273.091518869225</v>
      </c>
      <c r="I21" s="25" t="n">
        <f aca="false">SUMPRODUCT(($B$2:$B$18=$A21)*I$2:I$18*$C$2:$C$18)</f>
        <v>309.498413814026</v>
      </c>
      <c r="J21" s="25" t="n">
        <f aca="false">SUMPRODUCT(($B$2:$B$18=$A21)*J$2:J$18*$C$2:$C$18)</f>
        <v>350.758853845141</v>
      </c>
      <c r="K21" s="25" t="n">
        <f aca="false">SUMPRODUCT(($B$2:$B$18=$A21)*K$2:K$18*$C$2:$C$18)</f>
        <v>397.519883978099</v>
      </c>
      <c r="L21" s="25" t="n">
        <f aca="false">SUMPRODUCT(($B$2:$B$18=$A21)*L$2:L$18*$C$2:$C$18)</f>
        <v>450.514809321755</v>
      </c>
      <c r="M21" s="25" t="n">
        <f aca="false">SUMPRODUCT(($B$2:$B$18=$A21)*M$2:M$18*$C$2:$C$18)</f>
        <v>510.574694747595</v>
      </c>
      <c r="N21" s="25" t="n">
        <f aca="false">SUMPRODUCT(($B$2:$B$18=$A21)*N$2:N$18*$C$2:$C$18)</f>
        <v>578.641397624777</v>
      </c>
      <c r="O21" s="25" t="n">
        <f aca="false">SUMPRODUCT(($B$2:$B$18=$A21)*O$2:O$18*$C$2:$C$18)</f>
        <v>655.782337999884</v>
      </c>
      <c r="P21" s="25" t="n">
        <f aca="false">SUMPRODUCT(($B$2:$B$18=$A21)*P$2:P$18*$C$2:$C$18)</f>
        <v>4333.12330720641</v>
      </c>
    </row>
    <row r="22" customFormat="false" ht="15" hidden="false" customHeight="false" outlineLevel="0" collapsed="false">
      <c r="A22" s="4" t="s">
        <v>149</v>
      </c>
      <c r="D22" s="25" t="n">
        <f aca="false">SUMPRODUCT(($B$2:$B$18=$A22)*D$2:D$18*$C$2:$C$18)</f>
        <v>0.185654211780637</v>
      </c>
      <c r="E22" s="25" t="n">
        <f aca="false">SUMPRODUCT(($B$2:$B$18=$A22)*E$2:E$18*$C$2:$C$18)</f>
        <v>0.210404498469673</v>
      </c>
      <c r="F22" s="25" t="n">
        <f aca="false">SUMPRODUCT(($B$2:$B$18=$A22)*F$2:F$18*$C$2:$C$18)</f>
        <v>0.238454342358699</v>
      </c>
      <c r="G22" s="25" t="n">
        <f aca="false">SUMPRODUCT(($B$2:$B$18=$A22)*G$2:G$18*$C$2:$C$18)</f>
        <v>0.27024362028037</v>
      </c>
      <c r="H22" s="25" t="n">
        <f aca="false">SUMPRODUCT(($B$2:$B$18=$A22)*H$2:H$18*$C$2:$C$18)</f>
        <v>0.306270850762623</v>
      </c>
      <c r="I22" s="25" t="n">
        <f aca="false">SUMPRODUCT(($B$2:$B$18=$A22)*I$2:I$18*$C$2:$C$18)</f>
        <v>0.347101011781682</v>
      </c>
      <c r="J22" s="25" t="n">
        <f aca="false">SUMPRODUCT(($B$2:$B$18=$A22)*J$2:J$18*$C$2:$C$18)</f>
        <v>0.393374400730173</v>
      </c>
      <c r="K22" s="25" t="n">
        <f aca="false">SUMPRODUCT(($B$2:$B$18=$A22)*K$2:K$18*$C$2:$C$18)</f>
        <v>0.445816675542141</v>
      </c>
      <c r="L22" s="25" t="n">
        <f aca="false">SUMPRODUCT(($B$2:$B$18=$A22)*L$2:L$18*$C$2:$C$18)</f>
        <v>0.505250234439573</v>
      </c>
      <c r="M22" s="25" t="n">
        <f aca="false">SUMPRODUCT(($B$2:$B$18=$A22)*M$2:M$18*$C$2:$C$18)</f>
        <v>0.572607112757301</v>
      </c>
      <c r="N22" s="25" t="n">
        <f aca="false">SUMPRODUCT(($B$2:$B$18=$A22)*N$2:N$18*$C$2:$C$18)</f>
        <v>0.648943599093898</v>
      </c>
      <c r="O22" s="25" t="n">
        <f aca="false">SUMPRODUCT(($B$2:$B$18=$A22)*O$2:O$18*$C$2:$C$18)</f>
        <v>0.735456799998634</v>
      </c>
      <c r="P22" s="25" t="n">
        <f aca="false">SUMPRODUCT(($B$2:$B$18=$A22)*P$2:P$18*$C$2:$C$18)</f>
        <v>4.8595773579954</v>
      </c>
    </row>
    <row r="23" customFormat="false" ht="15" hidden="false" customHeight="false" outlineLevel="0" collapsed="false">
      <c r="A23" s="4" t="s">
        <v>155</v>
      </c>
      <c r="D23" s="25" t="n">
        <f aca="false">SUMPRODUCT(($B$2:$B$18=$A23)*D$2:D$18*$C$2:$C$18)</f>
        <v>0.185654211780637</v>
      </c>
      <c r="E23" s="25" t="n">
        <f aca="false">SUMPRODUCT(($B$2:$B$18=$A23)*E$2:E$18*$C$2:$C$18)</f>
        <v>0.210404498469673</v>
      </c>
      <c r="F23" s="25" t="n">
        <f aca="false">SUMPRODUCT(($B$2:$B$18=$A23)*F$2:F$18*$C$2:$C$18)</f>
        <v>0.238454342358699</v>
      </c>
      <c r="G23" s="25" t="n">
        <f aca="false">SUMPRODUCT(($B$2:$B$18=$A23)*G$2:G$18*$C$2:$C$18)</f>
        <v>0.27024362028037</v>
      </c>
      <c r="H23" s="25" t="n">
        <f aca="false">SUMPRODUCT(($B$2:$B$18=$A23)*H$2:H$18*$C$2:$C$18)</f>
        <v>0.306270850762623</v>
      </c>
      <c r="I23" s="25" t="n">
        <f aca="false">SUMPRODUCT(($B$2:$B$18=$A23)*I$2:I$18*$C$2:$C$18)</f>
        <v>0.347101011781682</v>
      </c>
      <c r="J23" s="25" t="n">
        <f aca="false">SUMPRODUCT(($B$2:$B$18=$A23)*J$2:J$18*$C$2:$C$18)</f>
        <v>0.393374400730173</v>
      </c>
      <c r="K23" s="25" t="n">
        <f aca="false">SUMPRODUCT(($B$2:$B$18=$A23)*K$2:K$18*$C$2:$C$18)</f>
        <v>0.445816675542141</v>
      </c>
      <c r="L23" s="25" t="n">
        <f aca="false">SUMPRODUCT(($B$2:$B$18=$A23)*L$2:L$18*$C$2:$C$18)</f>
        <v>0.505250234439573</v>
      </c>
      <c r="M23" s="25" t="n">
        <f aca="false">SUMPRODUCT(($B$2:$B$18=$A23)*M$2:M$18*$C$2:$C$18)</f>
        <v>0.572607112757301</v>
      </c>
      <c r="N23" s="25" t="n">
        <f aca="false">SUMPRODUCT(($B$2:$B$18=$A23)*N$2:N$18*$C$2:$C$18)</f>
        <v>0.648943599093898</v>
      </c>
      <c r="O23" s="25" t="n">
        <f aca="false">SUMPRODUCT(($B$2:$B$18=$A23)*O$2:O$18*$C$2:$C$18)</f>
        <v>0.735456799998634</v>
      </c>
      <c r="P23" s="25" t="n">
        <f aca="false">SUMPRODUCT(($B$2:$B$18=$A23)*P$2:P$18*$C$2:$C$18)</f>
        <v>4.8595773579954</v>
      </c>
    </row>
    <row r="24" customFormat="false" ht="15" hidden="false" customHeight="false" outlineLevel="0" collapsed="false">
      <c r="A24" s="4" t="s">
        <v>146</v>
      </c>
      <c r="D24" s="25" t="n">
        <f aca="false">SUMPRODUCT(($B$2:$B$18=$A24)*D$2:D$18*$C$2:$C$18)</f>
        <v>4.33193177136718</v>
      </c>
      <c r="E24" s="25" t="n">
        <f aca="false">SUMPRODUCT(($B$2:$B$18=$A24)*E$2:E$18*$C$2:$C$18)</f>
        <v>4.90943848252849</v>
      </c>
      <c r="F24" s="25" t="n">
        <f aca="false">SUMPRODUCT(($B$2:$B$18=$A24)*F$2:F$18*$C$2:$C$18)</f>
        <v>5.56393486458923</v>
      </c>
      <c r="G24" s="25" t="n">
        <f aca="false">SUMPRODUCT(($B$2:$B$18=$A24)*G$2:G$18*$C$2:$C$18)</f>
        <v>6.30568471069785</v>
      </c>
      <c r="H24" s="25" t="n">
        <f aca="false">SUMPRODUCT(($B$2:$B$18=$A24)*H$2:H$18*$C$2:$C$18)</f>
        <v>7.14632012027771</v>
      </c>
      <c r="I24" s="25" t="n">
        <f aca="false">SUMPRODUCT(($B$2:$B$18=$A24)*I$2:I$18*$C$2:$C$18)</f>
        <v>8.0990239132705</v>
      </c>
      <c r="J24" s="25" t="n">
        <f aca="false">SUMPRODUCT(($B$2:$B$18=$A24)*J$2:J$18*$C$2:$C$18)</f>
        <v>9.17873636273354</v>
      </c>
      <c r="K24" s="25" t="n">
        <f aca="false">SUMPRODUCT(($B$2:$B$18=$A24)*K$2:K$18*$C$2:$C$18)</f>
        <v>10.4023894877656</v>
      </c>
      <c r="L24" s="25" t="n">
        <f aca="false">SUMPRODUCT(($B$2:$B$18=$A24)*L$2:L$18*$C$2:$C$18)</f>
        <v>11.7891725809357</v>
      </c>
      <c r="M24" s="25" t="n">
        <f aca="false">SUMPRODUCT(($B$2:$B$18=$A24)*M$2:M$18*$C$2:$C$18)</f>
        <v>13.360833134209</v>
      </c>
      <c r="N24" s="25" t="n">
        <f aca="false">SUMPRODUCT(($B$2:$B$18=$A24)*N$2:N$18*$C$2:$C$18)</f>
        <v>15.1420178824805</v>
      </c>
      <c r="O24" s="25" t="n">
        <f aca="false">SUMPRODUCT(($B$2:$B$18=$A24)*O$2:O$18*$C$2:$C$18)</f>
        <v>17.1606593129519</v>
      </c>
      <c r="P24" s="25" t="n">
        <f aca="false">SUMPRODUCT(($B$2:$B$18=$A24)*P$2:P$18*$C$2:$C$18)</f>
        <v>113.390142623807</v>
      </c>
    </row>
    <row r="25" customFormat="false" ht="15" hidden="false" customHeight="false" outlineLevel="0" collapsed="false">
      <c r="A25" s="4" t="s">
        <v>147</v>
      </c>
      <c r="D25" s="25" t="n">
        <f aca="false">SUMPRODUCT(($B$2:$B$18=$A25)*D$2:D$18*$C$2:$C$18)</f>
        <v>1.54711845869736</v>
      </c>
      <c r="E25" s="25" t="n">
        <f aca="false">SUMPRODUCT(($B$2:$B$18=$A25)*E$2:E$18*$C$2:$C$18)</f>
        <v>1.75337085139774</v>
      </c>
      <c r="F25" s="25" t="n">
        <f aca="false">SUMPRODUCT(($B$2:$B$18=$A25)*F$2:F$18*$C$2:$C$18)</f>
        <v>1.98711955458131</v>
      </c>
      <c r="G25" s="25" t="n">
        <f aca="false">SUMPRODUCT(($B$2:$B$18=$A25)*G$2:G$18*$C$2:$C$18)</f>
        <v>2.25203020858462</v>
      </c>
      <c r="H25" s="25" t="n">
        <f aca="false">SUMPRODUCT(($B$2:$B$18=$A25)*H$2:H$18*$C$2:$C$18)</f>
        <v>2.55225713454683</v>
      </c>
      <c r="I25" s="25" t="n">
        <f aca="false">SUMPRODUCT(($B$2:$B$18=$A25)*I$2:I$18*$C$2:$C$18)</f>
        <v>2.89250848235256</v>
      </c>
      <c r="J25" s="25" t="n">
        <f aca="false">SUMPRODUCT(($B$2:$B$18=$A25)*J$2:J$18*$C$2:$C$18)</f>
        <v>3.2781200637008</v>
      </c>
      <c r="K25" s="25" t="n">
        <f aca="false">SUMPRODUCT(($B$2:$B$18=$A25)*K$2:K$18*$C$2:$C$18)</f>
        <v>3.71513902814822</v>
      </c>
      <c r="L25" s="25" t="n">
        <f aca="false">SUMPRODUCT(($B$2:$B$18=$A25)*L$2:L$18*$C$2:$C$18)</f>
        <v>4.21041869433183</v>
      </c>
      <c r="M25" s="25" t="n">
        <f aca="false">SUMPRODUCT(($B$2:$B$18=$A25)*M$2:M$18*$C$2:$C$18)</f>
        <v>4.77172602351172</v>
      </c>
      <c r="N25" s="25" t="n">
        <f aca="false">SUMPRODUCT(($B$2:$B$18=$A25)*N$2:N$18*$C$2:$C$18)</f>
        <v>5.40786342083074</v>
      </c>
      <c r="O25" s="25" t="n">
        <f aca="false">SUMPRODUCT(($B$2:$B$18=$A25)*O$2:O$18*$C$2:$C$18)</f>
        <v>6.1288067743748</v>
      </c>
      <c r="P25" s="25" t="n">
        <f aca="false">SUMPRODUCT(($B$2:$B$18=$A25)*P$2:P$18*$C$2:$C$18)</f>
        <v>40.4964786950585</v>
      </c>
    </row>
    <row r="26" customFormat="false" ht="15" hidden="false" customHeight="false" outlineLevel="0" collapsed="false">
      <c r="A26" s="4" t="s">
        <v>150</v>
      </c>
      <c r="D26" s="25" t="n">
        <f aca="false">SUMPRODUCT(($B$2:$B$18=$A26)*D$2:D$18*$C$2:$C$18)</f>
        <v>2.2278506229438</v>
      </c>
      <c r="E26" s="25" t="n">
        <f aca="false">SUMPRODUCT(($B$2:$B$18=$A26)*E$2:E$18*$C$2:$C$18)</f>
        <v>2.52485407408747</v>
      </c>
      <c r="F26" s="25" t="n">
        <f aca="false">SUMPRODUCT(($B$2:$B$18=$A26)*F$2:F$18*$C$2:$C$18)</f>
        <v>2.86145221308085</v>
      </c>
      <c r="G26" s="25" t="n">
        <f aca="false">SUMPRODUCT(($B$2:$B$18=$A26)*G$2:G$18*$C$2:$C$18)</f>
        <v>3.24292356210905</v>
      </c>
      <c r="H26" s="25" t="n">
        <f aca="false">SUMPRODUCT(($B$2:$B$18=$A26)*H$2:H$18*$C$2:$C$18)</f>
        <v>3.6752503437264</v>
      </c>
      <c r="I26" s="25" t="n">
        <f aca="false">SUMPRODUCT(($B$2:$B$18=$A26)*I$2:I$18*$C$2:$C$18)</f>
        <v>4.16521229389581</v>
      </c>
      <c r="J26" s="25" t="n">
        <f aca="false">SUMPRODUCT(($B$2:$B$18=$A26)*J$2:J$18*$C$2:$C$18)</f>
        <v>4.72049298161016</v>
      </c>
      <c r="K26" s="25" t="n">
        <f aca="false">SUMPRODUCT(($B$2:$B$18=$A26)*K$2:K$18*$C$2:$C$18)</f>
        <v>5.34980030239682</v>
      </c>
      <c r="L26" s="25" t="n">
        <f aca="false">SUMPRODUCT(($B$2:$B$18=$A26)*L$2:L$18*$C$2:$C$18)</f>
        <v>6.06300303528102</v>
      </c>
      <c r="M26" s="25" t="n">
        <f aca="false">SUMPRODUCT(($B$2:$B$18=$A26)*M$2:M$18*$C$2:$C$18)</f>
        <v>6.87128560469026</v>
      </c>
      <c r="N26" s="25" t="n">
        <f aca="false">SUMPRODUCT(($B$2:$B$18=$A26)*N$2:N$18*$C$2:$C$18)</f>
        <v>7.78732347427155</v>
      </c>
      <c r="O26" s="25" t="n">
        <f aca="false">SUMPRODUCT(($B$2:$B$18=$A26)*O$2:O$18*$C$2:$C$18)</f>
        <v>8.82548192314215</v>
      </c>
      <c r="P26" s="25" t="n">
        <f aca="false">SUMPRODUCT(($B$2:$B$18=$A26)*P$2:P$18*$C$2:$C$18)</f>
        <v>58.3149304312353</v>
      </c>
    </row>
    <row r="27" customFormat="false" ht="15" hidden="false" customHeight="false" outlineLevel="0" collapsed="false">
      <c r="A27" s="4" t="s">
        <v>151</v>
      </c>
      <c r="D27" s="25" t="n">
        <f aca="false">SUMPRODUCT(($B$2:$B$18=$A27)*D$2:D$18*$C$2:$C$18)</f>
        <v>15.6568391250589</v>
      </c>
      <c r="E27" s="25" t="n">
        <f aca="false">SUMPRODUCT(($B$2:$B$18=$A27)*E$2:E$18*$C$2:$C$18)</f>
        <v>17.7441133822526</v>
      </c>
      <c r="F27" s="25" t="n">
        <f aca="false">SUMPRODUCT(($B$2:$B$18=$A27)*F$2:F$18*$C$2:$C$18)</f>
        <v>20.1096503072777</v>
      </c>
      <c r="G27" s="25" t="n">
        <f aca="false">SUMPRODUCT(($B$2:$B$18=$A27)*G$2:G$18*$C$2:$C$18)</f>
        <v>22.790546181105</v>
      </c>
      <c r="H27" s="25" t="n">
        <f aca="false">SUMPRODUCT(($B$2:$B$18=$A27)*H$2:H$18*$C$2:$C$18)</f>
        <v>25.8288427345306</v>
      </c>
      <c r="I27" s="25" t="n">
        <f aca="false">SUMPRODUCT(($B$2:$B$18=$A27)*I$2:I$18*$C$2:$C$18)</f>
        <v>29.2721864453698</v>
      </c>
      <c r="J27" s="25" t="n">
        <f aca="false">SUMPRODUCT(($B$2:$B$18=$A27)*J$2:J$18*$C$2:$C$18)</f>
        <v>33.1745757291305</v>
      </c>
      <c r="K27" s="25" t="n">
        <f aca="false">SUMPRODUCT(($B$2:$B$18=$A27)*K$2:K$18*$C$2:$C$18)</f>
        <v>37.5972077405889</v>
      </c>
      <c r="L27" s="25" t="n">
        <f aca="false">SUMPRODUCT(($B$2:$B$18=$A27)*L$2:L$18*$C$2:$C$18)</f>
        <v>42.6094380657824</v>
      </c>
      <c r="M27" s="25" t="n">
        <f aca="false">SUMPRODUCT(($B$2:$B$18=$A27)*M$2:M$18*$C$2:$C$18)</f>
        <v>48.2898683542851</v>
      </c>
      <c r="N27" s="25" t="n">
        <f aca="false">SUMPRODUCT(($B$2:$B$18=$A27)*N$2:N$18*$C$2:$C$18)</f>
        <v>54.7275789479804</v>
      </c>
      <c r="O27" s="25" t="n">
        <f aca="false">SUMPRODUCT(($B$2:$B$18=$A27)*O$2:O$18*$C$2:$C$18)</f>
        <v>62.0235258363807</v>
      </c>
      <c r="P27" s="25" t="n">
        <f aca="false">SUMPRODUCT(($B$2:$B$18=$A27)*P$2:P$18*$C$2:$C$18)</f>
        <v>409.824372849743</v>
      </c>
    </row>
    <row r="28" customFormat="false" ht="15" hidden="false" customHeight="false" outlineLevel="0" collapsed="false">
      <c r="A28" s="4" t="s">
        <v>154</v>
      </c>
      <c r="D28" s="25" t="n">
        <f aca="false">SUMPRODUCT(($B$2:$B$18=$A28)*D$2:D$18*$C$2:$C$18)</f>
        <v>0.495077925273752</v>
      </c>
      <c r="E28" s="25" t="n">
        <f aca="false">SUMPRODUCT(($B$2:$B$18=$A28)*E$2:E$18*$C$2:$C$18)</f>
        <v>0.561078693402927</v>
      </c>
      <c r="F28" s="25" t="n">
        <f aca="false">SUMPRODUCT(($B$2:$B$18=$A28)*F$2:F$18*$C$2:$C$18)</f>
        <v>0.63587828121535</v>
      </c>
      <c r="G28" s="25" t="n">
        <f aca="false">SUMPRODUCT(($B$2:$B$18=$A28)*G$2:G$18*$C$2:$C$18)</f>
        <v>0.720649693662523</v>
      </c>
      <c r="H28" s="25" t="n">
        <f aca="false">SUMPRODUCT(($B$2:$B$18=$A28)*H$2:H$18*$C$2:$C$18)</f>
        <v>0.816722313558635</v>
      </c>
      <c r="I28" s="25" t="n">
        <f aca="false">SUMPRODUCT(($B$2:$B$18=$A28)*I$2:I$18*$C$2:$C$18)</f>
        <v>0.925602748923027</v>
      </c>
      <c r="J28" s="25" t="n">
        <f aca="false">SUMPRODUCT(($B$2:$B$18=$A28)*J$2:J$18*$C$2:$C$18)</f>
        <v>1.04899845956316</v>
      </c>
      <c r="K28" s="25" t="n">
        <f aca="false">SUMPRODUCT(($B$2:$B$18=$A28)*K$2:K$18*$C$2:$C$18)</f>
        <v>1.18884453340942</v>
      </c>
      <c r="L28" s="25" t="n">
        <f aca="false">SUMPRODUCT(($B$2:$B$18=$A28)*L$2:L$18*$C$2:$C$18)</f>
        <v>1.34733403250758</v>
      </c>
      <c r="M28" s="25" t="n">
        <f aca="false">SUMPRODUCT(($B$2:$B$18=$A28)*M$2:M$18*$C$2:$C$18)</f>
        <v>1.52695238455368</v>
      </c>
      <c r="N28" s="25" t="n">
        <f aca="false">SUMPRODUCT(($B$2:$B$18=$A28)*N$2:N$18*$C$2:$C$18)</f>
        <v>1.73051635929865</v>
      </c>
      <c r="O28" s="25" t="n">
        <f aca="false">SUMPRODUCT(($B$2:$B$18=$A28)*O$2:O$18*$C$2:$C$18)</f>
        <v>1.9612182410492</v>
      </c>
      <c r="P28" s="25" t="n">
        <f aca="false">SUMPRODUCT(($B$2:$B$18=$A28)*P$2:P$18*$C$2:$C$18)</f>
        <v>12.9588736664179</v>
      </c>
    </row>
    <row r="29" customFormat="false" ht="15" hidden="false" customHeight="false" outlineLevel="0" collapsed="false">
      <c r="A29" s="6" t="s">
        <v>275</v>
      </c>
      <c r="D29" s="26" t="n">
        <f aca="false">SUMPRODUCT(D$2:D$18*parametros_recargas!$D$51:$D$67)</f>
        <v>5.6315112810237</v>
      </c>
      <c r="E29" s="26" t="n">
        <f aca="false">SUMPRODUCT(E$2:E$18*parametros_recargas!$D$51:$D$67)</f>
        <v>6.38227000263333</v>
      </c>
      <c r="F29" s="26" t="n">
        <f aca="false">SUMPRODUCT(F$2:F$18*parametros_recargas!$D$51:$D$67)</f>
        <v>7.23311529602561</v>
      </c>
      <c r="G29" s="26" t="n">
        <f aca="false">SUMPRODUCT(G$2:G$18*parametros_recargas!$D$51:$D$67)</f>
        <v>8.19739009224198</v>
      </c>
      <c r="H29" s="26" t="n">
        <f aca="false">SUMPRODUCT(H$2:H$18*parametros_recargas!$D$51:$D$67)</f>
        <v>9.29021612047438</v>
      </c>
      <c r="I29" s="26" t="n">
        <f aca="false">SUMPRODUCT(I$2:I$18*parametros_recargas!$D$51:$D$67)</f>
        <v>10.5287310465808</v>
      </c>
      <c r="J29" s="26" t="n">
        <f aca="false">SUMPRODUCT(J$2:J$18*parametros_recargas!$D$51:$D$67)</f>
        <v>11.9323572254608</v>
      </c>
      <c r="K29" s="26" t="n">
        <f aca="false">SUMPRODUCT(K$2:K$18*parametros_recargas!$D$51:$D$67)</f>
        <v>13.5231062818576</v>
      </c>
      <c r="L29" s="26" t="n">
        <f aca="false">SUMPRODUCT(L$2:L$18*parametros_recargas!$D$51:$D$67)</f>
        <v>15.3259242960147</v>
      </c>
      <c r="M29" s="26" t="n">
        <f aca="false">SUMPRODUCT(M$2:M$18*parametros_recargas!$D$51:$D$67)</f>
        <v>17.3690830073776</v>
      </c>
      <c r="N29" s="26" t="n">
        <f aca="false">SUMPRODUCT(N$2:N$18*parametros_recargas!$D$51:$D$67)</f>
        <v>19.684623171186</v>
      </c>
      <c r="O29" s="26" t="n">
        <f aca="false">SUMPRODUCT(O$2:O$18*parametros_recargas!$D$51:$D$67)</f>
        <v>22.3088570206618</v>
      </c>
      <c r="P29" s="26" t="n">
        <f aca="false">SUMPRODUCT(P$2:P$18*parametros_recargas!$D$51:$D$67)</f>
        <v>147.407184841538</v>
      </c>
    </row>
    <row r="33" customFormat="false" ht="23.85" hidden="false" customHeight="false" outlineLevel="0" collapsed="false">
      <c r="A33" s="23" t="n">
        <v>2027</v>
      </c>
      <c r="B33" s="3" t="s">
        <v>270</v>
      </c>
      <c r="C33" s="3" t="s">
        <v>271</v>
      </c>
      <c r="D33" s="3" t="s">
        <v>124</v>
      </c>
      <c r="E33" s="3" t="s">
        <v>125</v>
      </c>
      <c r="F33" s="3" t="s">
        <v>126</v>
      </c>
      <c r="G33" s="3" t="s">
        <v>127</v>
      </c>
      <c r="H33" s="3" t="s">
        <v>128</v>
      </c>
      <c r="I33" s="3" t="s">
        <v>129</v>
      </c>
      <c r="J33" s="3" t="s">
        <v>130</v>
      </c>
      <c r="K33" s="3" t="s">
        <v>131</v>
      </c>
      <c r="L33" s="3" t="s">
        <v>132</v>
      </c>
      <c r="M33" s="3" t="s">
        <v>133</v>
      </c>
      <c r="N33" s="3" t="s">
        <v>134</v>
      </c>
      <c r="O33" s="3" t="s">
        <v>135</v>
      </c>
      <c r="P33" s="3" t="s">
        <v>136</v>
      </c>
      <c r="Q33" s="3" t="s">
        <v>272</v>
      </c>
    </row>
    <row r="34" customFormat="false" ht="15" hidden="false" customHeight="false" outlineLevel="0" collapsed="false">
      <c r="A34" s="12" t="str">
        <f aca="false">parametros_recargas!A51</f>
        <v>ABC 1 kg</v>
      </c>
      <c r="B34" s="12" t="str">
        <f aca="false">parametros_recargas!B51</f>
        <v>ABC</v>
      </c>
      <c r="C34" s="24" t="n">
        <f aca="false">parametros_recargas!C51</f>
        <v>1</v>
      </c>
      <c r="D34" s="25" t="n">
        <f aca="false">datos_base!$C$2*parametros_recargas!$F$38+sobrestock_sustitutos!$C$175/12</f>
        <v>717.307322268791</v>
      </c>
      <c r="E34" s="25" t="n">
        <f aca="false">datos_base!$C$2*parametros_recargas!$G$38+sobrestock_sustitutos!$C$175/12</f>
        <v>760.123294806485</v>
      </c>
      <c r="F34" s="25" t="n">
        <f aca="false">datos_base!$C$2*parametros_recargas!$H$38+sobrestock_sustitutos!$C$175/12</f>
        <v>805.49494668473</v>
      </c>
      <c r="G34" s="25" t="n">
        <f aca="false">datos_base!$C$2*parametros_recargas!$I$38+sobrestock_sustitutos!$C$175/12</f>
        <v>853.574826041629</v>
      </c>
      <c r="H34" s="25" t="n">
        <f aca="false">datos_base!$C$2*parametros_recargas!$J$38+sobrestock_sustitutos!$C$175/12</f>
        <v>904.524586592059</v>
      </c>
      <c r="I34" s="25" t="n">
        <f aca="false">datos_base!$C$2*parametros_recargas!$K$38+sobrestock_sustitutos!$C$175/12</f>
        <v>958.515531138255</v>
      </c>
      <c r="J34" s="25" t="n">
        <f aca="false">datos_base!$C$2*parametros_recargas!$L$38+sobrestock_sustitutos!$C$175/12</f>
        <v>1015.72918752247</v>
      </c>
      <c r="K34" s="25" t="n">
        <f aca="false">datos_base!$C$2*parametros_recargas!$M$38+sobrestock_sustitutos!$C$175/12</f>
        <v>1076.35791895817</v>
      </c>
      <c r="L34" s="25" t="n">
        <f aca="false">datos_base!$C$2*parametros_recargas!$N$38+sobrestock_sustitutos!$C$175/12</f>
        <v>1140.6055707918</v>
      </c>
      <c r="M34" s="25" t="n">
        <f aca="false">datos_base!$C$2*parametros_recargas!$O$38+sobrestock_sustitutos!$C$175/12</f>
        <v>1208.6881558697</v>
      </c>
      <c r="N34" s="25" t="n">
        <f aca="false">datos_base!$C$2*parametros_recargas!$P$38+sobrestock_sustitutos!$C$175/12</f>
        <v>1280.8345808144</v>
      </c>
      <c r="O34" s="25" t="n">
        <f aca="false">datos_base!$C$2*parametros_recargas!$Q$38+sobrestock_sustitutos!$C$175/12</f>
        <v>1357.28741565237</v>
      </c>
      <c r="P34" s="7" t="n">
        <f aca="false">SUM(D34:O34)</f>
        <v>12079.0433371409</v>
      </c>
      <c r="Q34" s="13" t="n">
        <f aca="false">sobrestock_sustitutos!$C$175</f>
        <v>0</v>
      </c>
    </row>
    <row r="35" customFormat="false" ht="15" hidden="false" customHeight="false" outlineLevel="0" collapsed="false">
      <c r="A35" s="12" t="str">
        <f aca="false">parametros_recargas!A52</f>
        <v>ABC 2,5 kg</v>
      </c>
      <c r="B35" s="12" t="str">
        <f aca="false">parametros_recargas!B52</f>
        <v>ABC</v>
      </c>
      <c r="C35" s="24" t="n">
        <f aca="false">parametros_recargas!C52</f>
        <v>1</v>
      </c>
      <c r="D35" s="25" t="n">
        <f aca="false">datos_base!$C$3*parametros_recargas!$F$38+sobrestock_sustitutos!$C$176/12</f>
        <v>54.4160069544146</v>
      </c>
      <c r="E35" s="25" t="n">
        <f aca="false">datos_base!$C$3*parametros_recargas!$G$38+sobrestock_sustitutos!$C$176/12</f>
        <v>57.6640907074174</v>
      </c>
      <c r="F35" s="25" t="n">
        <f aca="false">datos_base!$C$3*parametros_recargas!$H$38+sobrestock_sustitutos!$C$176/12</f>
        <v>61.1060521198992</v>
      </c>
      <c r="G35" s="25" t="n">
        <f aca="false">datos_base!$C$3*parametros_recargas!$I$38+sobrestock_sustitutos!$C$176/12</f>
        <v>64.7534637219128</v>
      </c>
      <c r="H35" s="25" t="n">
        <f aca="false">datos_base!$C$3*parametros_recargas!$J$38+sobrestock_sustitutos!$C$176/12</f>
        <v>68.6185888061916</v>
      </c>
      <c r="I35" s="25" t="n">
        <f aca="false">datos_base!$C$3*parametros_recargas!$K$38+sobrestock_sustitutos!$C$176/12</f>
        <v>72.7144226596765</v>
      </c>
      <c r="J35" s="25" t="n">
        <f aca="false">datos_base!$C$3*parametros_recargas!$L$38+sobrestock_sustitutos!$C$176/12</f>
        <v>77.0547362561469</v>
      </c>
      <c r="K35" s="25" t="n">
        <f aca="false">datos_base!$C$3*parametros_recargas!$M$38+sobrestock_sustitutos!$C$176/12</f>
        <v>81.6541225568573</v>
      </c>
      <c r="L35" s="25" t="n">
        <f aca="false">datos_base!$C$3*parametros_recargas!$N$38+sobrestock_sustitutos!$C$176/12</f>
        <v>86.5280455748546</v>
      </c>
      <c r="M35" s="25" t="n">
        <f aca="false">datos_base!$C$3*parametros_recargas!$O$38+sobrestock_sustitutos!$C$176/12</f>
        <v>91.6928923679353</v>
      </c>
      <c r="N35" s="25" t="n">
        <f aca="false">datos_base!$C$3*parametros_recargas!$P$38+sobrestock_sustitutos!$C$176/12</f>
        <v>97.1660281350565</v>
      </c>
      <c r="O35" s="25" t="n">
        <f aca="false">datos_base!$C$3*parametros_recargas!$Q$38+sobrestock_sustitutos!$C$176/12</f>
        <v>102.965854601443</v>
      </c>
      <c r="P35" s="7" t="n">
        <f aca="false">SUM(D35:O35)</f>
        <v>916.334304461806</v>
      </c>
      <c r="Q35" s="13" t="n">
        <f aca="false">sobrestock_sustitutos!$C$176</f>
        <v>0</v>
      </c>
    </row>
    <row r="36" customFormat="false" ht="15" hidden="false" customHeight="false" outlineLevel="0" collapsed="false">
      <c r="A36" s="12" t="str">
        <f aca="false">parametros_recargas!A53</f>
        <v>ABC 5 kg</v>
      </c>
      <c r="B36" s="12" t="str">
        <f aca="false">parametros_recargas!B53</f>
        <v>ABC</v>
      </c>
      <c r="C36" s="24" t="n">
        <f aca="false">parametros_recargas!C53</f>
        <v>1</v>
      </c>
      <c r="D36" s="25" t="n">
        <f aca="false">datos_base!$C$4*parametros_recargas!$F$38+sobrestock_sustitutos!$C$177/12</f>
        <v>332.99531815624</v>
      </c>
      <c r="E36" s="25" t="n">
        <f aca="false">datos_base!$C$4*parametros_recargas!$G$38+sobrestock_sustitutos!$C$177/12</f>
        <v>352.807097551103</v>
      </c>
      <c r="F36" s="25" t="n">
        <f aca="false">datos_base!$C$4*parametros_recargas!$H$38+sobrestock_sustitutos!$C$177/12</f>
        <v>373.801439253862</v>
      </c>
      <c r="G36" s="25" t="n">
        <f aca="false">datos_base!$C$4*parametros_recargas!$I$38+sobrestock_sustitutos!$C$177/12</f>
        <v>396.048930241295</v>
      </c>
      <c r="H36" s="25" t="n">
        <f aca="false">datos_base!$C$4*parametros_recargas!$J$38+sobrestock_sustitutos!$C$177/12</f>
        <v>419.624370816831</v>
      </c>
      <c r="I36" s="25" t="n">
        <f aca="false">datos_base!$C$4*parametros_recargas!$K$38+sobrestock_sustitutos!$C$177/12</f>
        <v>444.607026103425</v>
      </c>
      <c r="J36" s="25" t="n">
        <f aca="false">datos_base!$C$4*parametros_recargas!$L$38+sobrestock_sustitutos!$C$177/12</f>
        <v>471.080892548002</v>
      </c>
      <c r="K36" s="25" t="n">
        <f aca="false">datos_base!$C$4*parametros_recargas!$M$38+sobrestock_sustitutos!$C$177/12</f>
        <v>499.134980333512</v>
      </c>
      <c r="L36" s="25" t="n">
        <f aca="false">datos_base!$C$4*parametros_recargas!$N$38+sobrestock_sustitutos!$C$177/12</f>
        <v>528.863612648131</v>
      </c>
      <c r="M36" s="25" t="n">
        <f aca="false">datos_base!$C$4*parametros_recargas!$O$38+sobrestock_sustitutos!$C$177/12</f>
        <v>560.366742817784</v>
      </c>
      <c r="N36" s="25" t="n">
        <f aca="false">datos_base!$C$4*parametros_recargas!$P$38+sobrestock_sustitutos!$C$177/12</f>
        <v>593.750290368272</v>
      </c>
      <c r="O36" s="25" t="n">
        <f aca="false">datos_base!$C$4*parametros_recargas!$Q$38+sobrestock_sustitutos!$C$177/12</f>
        <v>629.126497146903</v>
      </c>
      <c r="P36" s="7" t="n">
        <f aca="false">SUM(D36:O36)</f>
        <v>5602.20719798536</v>
      </c>
      <c r="Q36" s="13" t="n">
        <f aca="false">sobrestock_sustitutos!$C$177</f>
        <v>13</v>
      </c>
    </row>
    <row r="37" customFormat="false" ht="15" hidden="false" customHeight="false" outlineLevel="0" collapsed="false">
      <c r="A37" s="12" t="str">
        <f aca="false">parametros_recargas!A54</f>
        <v>ABC 10 kg</v>
      </c>
      <c r="B37" s="12" t="str">
        <f aca="false">parametros_recargas!B54</f>
        <v>ABC</v>
      </c>
      <c r="C37" s="24" t="n">
        <f aca="false">parametros_recargas!C54</f>
        <v>1</v>
      </c>
      <c r="D37" s="25" t="n">
        <f aca="false">datos_base!$C$5*parametros_recargas!$F$38+sobrestock_sustitutos!$C$178/12</f>
        <v>18.5845985894826</v>
      </c>
      <c r="E37" s="25" t="n">
        <f aca="false">datos_base!$C$5*parametros_recargas!$G$38+sobrestock_sustitutos!$C$178/12</f>
        <v>19.6889364939311</v>
      </c>
      <c r="F37" s="25" t="n">
        <f aca="false">datos_base!$C$5*parametros_recargas!$H$38+sobrestock_sustitutos!$C$178/12</f>
        <v>20.8591921715868</v>
      </c>
      <c r="G37" s="25" t="n">
        <f aca="false">datos_base!$C$5*parametros_recargas!$I$38+sobrestock_sustitutos!$C$178/12</f>
        <v>22.0993002450025</v>
      </c>
      <c r="H37" s="25" t="n">
        <f aca="false">datos_base!$C$5*parametros_recargas!$J$38+sobrestock_sustitutos!$C$178/12</f>
        <v>23.4134301937939</v>
      </c>
      <c r="I37" s="25" t="n">
        <f aca="false">datos_base!$C$5*parametros_recargas!$K$38+sobrestock_sustitutos!$C$178/12</f>
        <v>24.8060003732251</v>
      </c>
      <c r="J37" s="25" t="n">
        <f aca="false">datos_base!$C$5*parametros_recargas!$L$38+sobrestock_sustitutos!$C$178/12</f>
        <v>26.2816928695606</v>
      </c>
      <c r="K37" s="25" t="n">
        <f aca="false">datos_base!$C$5*parametros_recargas!$M$38+sobrestock_sustitutos!$C$178/12</f>
        <v>27.8454692421311</v>
      </c>
      <c r="L37" s="25" t="n">
        <f aca="false">datos_base!$C$5*parametros_recargas!$N$38+sobrestock_sustitutos!$C$178/12</f>
        <v>29.5025872050415</v>
      </c>
      <c r="M37" s="25" t="n">
        <f aca="false">datos_base!$C$5*parametros_recargas!$O$38+sobrestock_sustitutos!$C$178/12</f>
        <v>31.2586183046076</v>
      </c>
      <c r="N37" s="25" t="n">
        <f aca="false">datos_base!$C$5*parametros_recargas!$P$38+sobrestock_sustitutos!$C$178/12</f>
        <v>33.1194666519561</v>
      </c>
      <c r="O37" s="25" t="n">
        <f aca="false">datos_base!$C$5*parametros_recargas!$Q$38+sobrestock_sustitutos!$C$178/12</f>
        <v>35.0913887737712</v>
      </c>
      <c r="P37" s="7" t="n">
        <f aca="false">SUM(D37:O37)</f>
        <v>312.55068111409</v>
      </c>
      <c r="Q37" s="13" t="n">
        <f aca="false">sobrestock_sustitutos!$C$178</f>
        <v>1</v>
      </c>
    </row>
    <row r="38" customFormat="false" ht="15" hidden="false" customHeight="false" outlineLevel="0" collapsed="false">
      <c r="A38" s="12" t="str">
        <f aca="false">parametros_recargas!A55</f>
        <v>Agua 10 l</v>
      </c>
      <c r="B38" s="12" t="str">
        <f aca="false">parametros_recargas!B55</f>
        <v>Agua</v>
      </c>
      <c r="C38" s="24" t="n">
        <f aca="false">parametros_recargas!C55</f>
        <v>1</v>
      </c>
      <c r="D38" s="25" t="n">
        <f aca="false">datos_base!$C$6*parametros_recargas!$F$38+sobrestock_sustitutos!$C$179/12</f>
        <v>27.2793551906392</v>
      </c>
      <c r="E38" s="25" t="n">
        <f aca="false">datos_base!$C$6*parametros_recargas!$G$38+sobrestock_sustitutos!$C$179/12</f>
        <v>28.9026818859445</v>
      </c>
      <c r="F38" s="25" t="n">
        <f aca="false">datos_base!$C$6*parametros_recargas!$H$38+sobrestock_sustitutos!$C$179/12</f>
        <v>30.6229047219251</v>
      </c>
      <c r="G38" s="25" t="n">
        <f aca="false">datos_base!$C$6*parametros_recargas!$I$38+sobrestock_sustitutos!$C$179/12</f>
        <v>32.4458074155029</v>
      </c>
      <c r="H38" s="25" t="n">
        <f aca="false">datos_base!$C$6*parametros_recargas!$J$38+sobrestock_sustitutos!$C$179/12</f>
        <v>34.3775189128446</v>
      </c>
      <c r="I38" s="25" t="n">
        <f aca="false">datos_base!$C$6*parametros_recargas!$K$38+sobrestock_sustitutos!$C$179/12</f>
        <v>36.4245339960458</v>
      </c>
      <c r="J38" s="25" t="n">
        <f aca="false">datos_base!$C$6*parametros_recargas!$L$38+sobrestock_sustitutos!$C$179/12</f>
        <v>38.5937351198264</v>
      </c>
      <c r="K38" s="25" t="n">
        <f aca="false">datos_base!$C$6*parametros_recargas!$M$38+sobrestock_sustitutos!$C$179/12</f>
        <v>40.8924155516542</v>
      </c>
      <c r="L38" s="25" t="n">
        <f aca="false">datos_base!$C$6*parametros_recargas!$N$38+sobrestock_sustitutos!$C$179/12</f>
        <v>43.3283038930997</v>
      </c>
      <c r="M38" s="25" t="n">
        <f aca="false">datos_base!$C$6*parametros_recargas!$O$38+sobrestock_sustitutos!$C$179/12</f>
        <v>45.9095900648677</v>
      </c>
      <c r="N38" s="25" t="n">
        <f aca="false">datos_base!$C$6*parametros_recargas!$P$38+sobrestock_sustitutos!$C$179/12</f>
        <v>48.6449528428702</v>
      </c>
      <c r="O38" s="25" t="n">
        <f aca="false">datos_base!$C$6*parametros_recargas!$Q$38+sobrestock_sustitutos!$C$179/12</f>
        <v>51.5435890379251</v>
      </c>
      <c r="P38" s="7" t="n">
        <f aca="false">SUM(D38:O38)</f>
        <v>458.965388633145</v>
      </c>
      <c r="Q38" s="13" t="n">
        <f aca="false">sobrestock_sustitutos!$C$179</f>
        <v>1</v>
      </c>
    </row>
    <row r="39" customFormat="false" ht="15" hidden="false" customHeight="false" outlineLevel="0" collapsed="false">
      <c r="A39" s="12" t="str">
        <f aca="false">parametros_recargas!A56</f>
        <v>AFFF 10 l</v>
      </c>
      <c r="B39" s="12" t="str">
        <f aca="false">parametros_recargas!B56</f>
        <v>AFFF</v>
      </c>
      <c r="C39" s="24" t="n">
        <f aca="false">parametros_recargas!C56</f>
        <v>1</v>
      </c>
      <c r="D39" s="25" t="n">
        <f aca="false">datos_base!$C$7*parametros_recargas!$F$38+sobrestock_sustitutos!$C$180/12</f>
        <v>6.90177624651432</v>
      </c>
      <c r="E39" s="25" t="n">
        <f aca="false">datos_base!$C$7*parametros_recargas!$G$38+sobrestock_sustitutos!$C$180/12</f>
        <v>7.30876813891158</v>
      </c>
      <c r="F39" s="25" t="n">
        <f aca="false">datos_base!$C$7*parametros_recargas!$H$38+sobrestock_sustitutos!$C$180/12</f>
        <v>7.74005331975992</v>
      </c>
      <c r="G39" s="25" t="n">
        <f aca="false">datos_base!$C$7*parametros_recargas!$I$38+sobrestock_sustitutos!$C$180/12</f>
        <v>8.19708185200848</v>
      </c>
      <c r="H39" s="25" t="n">
        <f aca="false">datos_base!$C$7*parametros_recargas!$J$38+sobrestock_sustitutos!$C$180/12</f>
        <v>8.6813903526586</v>
      </c>
      <c r="I39" s="25" t="n">
        <f aca="false">datos_base!$C$7*parametros_recargas!$K$38+sobrestock_sustitutos!$C$180/12</f>
        <v>9.19460715916292</v>
      </c>
      <c r="J39" s="25" t="n">
        <f aca="false">datos_base!$C$7*parametros_recargas!$L$38+sobrestock_sustitutos!$C$180/12</f>
        <v>9.73845780420616</v>
      </c>
      <c r="K39" s="25" t="n">
        <f aca="false">datos_base!$C$7*parametros_recargas!$M$38+sobrestock_sustitutos!$C$180/12</f>
        <v>10.3147708172748</v>
      </c>
      <c r="L39" s="25" t="n">
        <f aca="false">datos_base!$C$7*parametros_recargas!$N$38+sobrestock_sustitutos!$C$180/12</f>
        <v>10.9254838725214</v>
      </c>
      <c r="M39" s="25" t="n">
        <f aca="false">datos_base!$C$7*parametros_recargas!$O$38+sobrestock_sustitutos!$C$180/12</f>
        <v>11.5726503035947</v>
      </c>
      <c r="N39" s="25" t="n">
        <f aca="false">datos_base!$C$7*parametros_recargas!$P$38+sobrestock_sustitutos!$C$180/12</f>
        <v>12.258446007338</v>
      </c>
      <c r="O39" s="25" t="n">
        <f aca="false">datos_base!$C$7*parametros_recargas!$Q$38+sobrestock_sustitutos!$C$180/12</f>
        <v>12.9851767595694</v>
      </c>
      <c r="P39" s="7" t="n">
        <f aca="false">SUM(D39:O39)</f>
        <v>115.81866263352</v>
      </c>
      <c r="Q39" s="13" t="n">
        <f aca="false">sobrestock_sustitutos!$C$180</f>
        <v>1</v>
      </c>
    </row>
    <row r="40" customFormat="false" ht="15" hidden="false" customHeight="false" outlineLevel="0" collapsed="false">
      <c r="A40" s="12" t="str">
        <f aca="false">parametros_recargas!A57</f>
        <v>AFFF 50 l s/ruedas</v>
      </c>
      <c r="B40" s="12" t="str">
        <f aca="false">parametros_recargas!B57</f>
        <v>AFFF</v>
      </c>
      <c r="C40" s="24" t="n">
        <f aca="false">parametros_recargas!C57</f>
        <v>3</v>
      </c>
      <c r="D40" s="25" t="n">
        <f aca="false">datos_base!$C$8*parametros_recargas!$F$38+sobrestock_sustitutos!$C$181/12</f>
        <v>3.60099863654341</v>
      </c>
      <c r="E40" s="25" t="n">
        <f aca="false">datos_base!$C$8*parametros_recargas!$G$38+sobrestock_sustitutos!$C$181/12</f>
        <v>3.81096758059749</v>
      </c>
      <c r="F40" s="25" t="n">
        <f aca="false">datos_base!$C$8*parametros_recargas!$H$38+sobrestock_sustitutos!$C$181/12</f>
        <v>4.03346954120291</v>
      </c>
      <c r="G40" s="25" t="n">
        <f aca="false">datos_base!$C$8*parametros_recargas!$I$38+sobrestock_sustitutos!$C$181/12</f>
        <v>4.26925261234367</v>
      </c>
      <c r="H40" s="25" t="n">
        <f aca="false">datos_base!$C$8*parametros_recargas!$J$38+sobrestock_sustitutos!$C$181/12</f>
        <v>4.51910954162781</v>
      </c>
      <c r="I40" s="25" t="n">
        <f aca="false">datos_base!$C$8*parametros_recargas!$K$38+sobrestock_sustitutos!$C$181/12</f>
        <v>4.78388039565588</v>
      </c>
      <c r="J40" s="25" t="n">
        <f aca="false">datos_base!$C$8*parametros_recargas!$L$38+sobrestock_sustitutos!$C$181/12</f>
        <v>5.06445538448489</v>
      </c>
      <c r="K40" s="25" t="n">
        <f aca="false">datos_base!$C$8*parametros_recargas!$M$38+sobrestock_sustitutos!$C$181/12</f>
        <v>5.3617778546842</v>
      </c>
      <c r="L40" s="25" t="n">
        <f aca="false">datos_base!$C$8*parametros_recargas!$N$38+sobrestock_sustitutos!$C$181/12</f>
        <v>5.67684746104632</v>
      </c>
      <c r="M40" s="25" t="n">
        <f aca="false">datos_base!$C$8*parametros_recargas!$O$38+sobrestock_sustitutos!$C$181/12</f>
        <v>6.01072352761687</v>
      </c>
      <c r="N40" s="25" t="n">
        <f aca="false">datos_base!$C$8*parametros_recargas!$P$38+sobrestock_sustitutos!$C$181/12</f>
        <v>6.36452860934381</v>
      </c>
      <c r="O40" s="25" t="n">
        <f aca="false">datos_base!$C$8*parametros_recargas!$Q$38+sobrestock_sustitutos!$C$181/12</f>
        <v>6.73945226632103</v>
      </c>
      <c r="P40" s="7" t="n">
        <f aca="false">SUM(D40:O40)</f>
        <v>60.2354634114683</v>
      </c>
      <c r="Q40" s="13" t="n">
        <f aca="false">sobrestock_sustitutos!$C$181</f>
        <v>1</v>
      </c>
    </row>
    <row r="41" customFormat="false" ht="15" hidden="false" customHeight="false" outlineLevel="0" collapsed="false">
      <c r="A41" s="12" t="str">
        <f aca="false">parametros_recargas!A58</f>
        <v>BC 5 kg</v>
      </c>
      <c r="B41" s="12" t="str">
        <f aca="false">parametros_recargas!B58</f>
        <v>BC</v>
      </c>
      <c r="C41" s="24" t="n">
        <f aca="false">parametros_recargas!C58</f>
        <v>1</v>
      </c>
      <c r="D41" s="25" t="n">
        <f aca="false">datos_base!$C$9*parametros_recargas!$F$38+sobrestock_sustitutos!$C$182/12</f>
        <v>2.07300467620037</v>
      </c>
      <c r="E41" s="25" t="n">
        <f aca="false">datos_base!$C$9*parametros_recargas!$G$38+sobrestock_sustitutos!$C$182/12</f>
        <v>2.19176787703566</v>
      </c>
      <c r="F41" s="25" t="n">
        <f aca="false">datos_base!$C$9*parametros_recargas!$H$38+sobrestock_sustitutos!$C$182/12</f>
        <v>2.31762003651892</v>
      </c>
      <c r="G41" s="25" t="n">
        <f aca="false">datos_base!$C$9*parametros_recargas!$I$38+sobrestock_sustitutos!$C$182/12</f>
        <v>2.45098429358848</v>
      </c>
      <c r="H41" s="25" t="n">
        <f aca="false">datos_base!$C$9*parametros_recargas!$J$38+sobrestock_sustitutos!$C$182/12</f>
        <v>2.59230904428598</v>
      </c>
      <c r="I41" s="25" t="n">
        <f aca="false">datos_base!$C$9*parametros_recargas!$K$38+sobrestock_sustitutos!$C$182/12</f>
        <v>2.74206944934934</v>
      </c>
      <c r="J41" s="25" t="n">
        <f aca="false">datos_base!$C$9*parametros_recargas!$L$38+sobrestock_sustitutos!$C$182/12</f>
        <v>2.90076903179366</v>
      </c>
      <c r="K41" s="25" t="n">
        <f aca="false">datos_base!$C$9*parametros_recargas!$M$38+sobrestock_sustitutos!$C$182/12</f>
        <v>3.06894136985156</v>
      </c>
      <c r="L41" s="25" t="n">
        <f aca="false">datos_base!$C$9*parametros_recargas!$N$38+sobrestock_sustitutos!$C$182/12</f>
        <v>3.24715189096483</v>
      </c>
      <c r="M41" s="25" t="n">
        <f aca="false">datos_base!$C$9*parametros_recargas!$O$38+sobrestock_sustitutos!$C$182/12</f>
        <v>3.43599977285921</v>
      </c>
      <c r="N41" s="25" t="n">
        <f aca="false">datos_base!$C$9*parametros_recargas!$P$38+sobrestock_sustitutos!$C$182/12</f>
        <v>3.63611995809412</v>
      </c>
      <c r="O41" s="25" t="n">
        <f aca="false">datos_base!$C$9*parametros_recargas!$Q$38+sobrestock_sustitutos!$C$182/12</f>
        <v>3.84818528886045</v>
      </c>
      <c r="P41" s="7" t="n">
        <f aca="false">SUM(D41:O41)</f>
        <v>34.5049226894026</v>
      </c>
      <c r="Q41" s="13" t="n">
        <f aca="false">sobrestock_sustitutos!$C$182</f>
        <v>1</v>
      </c>
    </row>
    <row r="42" customFormat="false" ht="15" hidden="false" customHeight="false" outlineLevel="0" collapsed="false">
      <c r="A42" s="12" t="str">
        <f aca="false">parametros_recargas!A59</f>
        <v>Sales K 6 l</v>
      </c>
      <c r="B42" s="12" t="str">
        <f aca="false">parametros_recargas!B59</f>
        <v>Sales K</v>
      </c>
      <c r="C42" s="24" t="n">
        <f aca="false">parametros_recargas!C59</f>
        <v>1</v>
      </c>
      <c r="D42" s="25" t="n">
        <f aca="false">datos_base!$C$10*parametros_recargas!$F$38+sobrestock_sustitutos!$C$183/12</f>
        <v>14.2598655801055</v>
      </c>
      <c r="E42" s="25" t="n">
        <f aca="false">datos_base!$C$10*parametros_recargas!$G$38+sobrestock_sustitutos!$C$183/12</f>
        <v>15.1060607833521</v>
      </c>
      <c r="F42" s="25" t="n">
        <f aca="false">datos_base!$C$10*parametros_recargas!$H$38+sobrestock_sustitutos!$C$183/12</f>
        <v>16.002765258509</v>
      </c>
      <c r="G42" s="25" t="n">
        <f aca="false">datos_base!$C$10*parametros_recargas!$I$38+sobrestock_sustitutos!$C$183/12</f>
        <v>16.9529938968675</v>
      </c>
      <c r="H42" s="25" t="n">
        <f aca="false">datos_base!$C$10*parametros_recargas!$J$38+sobrestock_sustitutos!$C$183/12</f>
        <v>17.959941548153</v>
      </c>
      <c r="I42" s="25" t="n">
        <f aca="false">datos_base!$C$10*parametros_recargas!$K$38+sobrestock_sustitutos!$C$183/12</f>
        <v>19.0269937622192</v>
      </c>
      <c r="J42" s="25" t="n">
        <f aca="false">datos_base!$C$10*parametros_recargas!$L$38+sobrestock_sustitutos!$C$183/12</f>
        <v>20.1577381719112</v>
      </c>
      <c r="K42" s="25" t="n">
        <f aca="false">datos_base!$C$10*parametros_recargas!$M$38+sobrestock_sustitutos!$C$183/12</f>
        <v>21.3559765553708</v>
      </c>
      <c r="L42" s="25" t="n">
        <f aca="false">datos_base!$C$10*parametros_recargas!$N$38+sobrestock_sustitutos!$C$183/12</f>
        <v>22.6257376183391</v>
      </c>
      <c r="M42" s="25" t="n">
        <f aca="false">datos_base!$C$10*parametros_recargas!$O$38+sobrestock_sustitutos!$C$183/12</f>
        <v>23.9712905394324</v>
      </c>
      <c r="N42" s="25" t="n">
        <f aca="false">datos_base!$C$10*parametros_recargas!$P$38+sobrestock_sustitutos!$C$183/12</f>
        <v>25.3971593239346</v>
      </c>
      <c r="O42" s="25" t="n">
        <f aca="false">datos_base!$C$10*parametros_recargas!$Q$38+sobrestock_sustitutos!$C$183/12</f>
        <v>26.9081380143646</v>
      </c>
      <c r="P42" s="7" t="n">
        <f aca="false">SUM(D42:O42)</f>
        <v>239.724661052559</v>
      </c>
      <c r="Q42" s="13" t="n">
        <f aca="false">sobrestock_sustitutos!$C$183</f>
        <v>1</v>
      </c>
    </row>
    <row r="43" customFormat="false" ht="15" hidden="false" customHeight="false" outlineLevel="0" collapsed="false">
      <c r="A43" s="12" t="str">
        <f aca="false">parametros_recargas!A60</f>
        <v>CO₂ 2 kg</v>
      </c>
      <c r="B43" s="12" t="str">
        <f aca="false">parametros_recargas!B60</f>
        <v>CO₂</v>
      </c>
      <c r="C43" s="24" t="n">
        <f aca="false">parametros_recargas!C60</f>
        <v>1</v>
      </c>
      <c r="D43" s="25" t="n">
        <f aca="false">datos_base!$C$11*parametros_recargas!$F$38+sobrestock_sustitutos!$C$184/12</f>
        <v>71.7359280239935</v>
      </c>
      <c r="E43" s="25" t="n">
        <f aca="false">datos_base!$C$11*parametros_recargas!$G$38+sobrestock_sustitutos!$C$184/12</f>
        <v>76.0178354141572</v>
      </c>
      <c r="F43" s="25" t="n">
        <f aca="false">datos_base!$C$11*parametros_recargas!$H$38+sobrestock_sustitutos!$C$184/12</f>
        <v>80.5553292503735</v>
      </c>
      <c r="G43" s="25" t="n">
        <f aca="false">datos_base!$C$11*parametros_recargas!$I$38+sobrestock_sustitutos!$C$184/12</f>
        <v>85.3636654514312</v>
      </c>
      <c r="H43" s="25" t="n">
        <f aca="false">datos_base!$C$11*parametros_recargas!$J$38+sobrestock_sustitutos!$C$184/12</f>
        <v>90.4590105597525</v>
      </c>
      <c r="I43" s="25" t="n">
        <f aca="false">datos_base!$C$11*parametros_recargas!$K$38+sobrestock_sustitutos!$C$184/12</f>
        <v>95.8584960963883</v>
      </c>
      <c r="J43" s="25" t="n">
        <f aca="false">datos_base!$C$11*parametros_recargas!$L$38+sobrestock_sustitutos!$C$184/12</f>
        <v>101.580276160456</v>
      </c>
      <c r="K43" s="25" t="n">
        <f aca="false">datos_base!$C$11*parametros_recargas!$M$38+sobrestock_sustitutos!$C$184/12</f>
        <v>107.643588466681</v>
      </c>
      <c r="L43" s="25" t="n">
        <f aca="false">datos_base!$C$11*parametros_recargas!$N$38+sobrestock_sustitutos!$C$184/12</f>
        <v>114.068819026256</v>
      </c>
      <c r="M43" s="25" t="n">
        <f aca="false">datos_base!$C$11*parametros_recargas!$O$38+sobrestock_sustitutos!$C$184/12</f>
        <v>120.877570688497</v>
      </c>
      <c r="N43" s="25" t="n">
        <f aca="false">datos_base!$C$11*parametros_recargas!$P$38+sobrestock_sustitutos!$C$184/12</f>
        <v>128.092735773738</v>
      </c>
      <c r="O43" s="25" t="n">
        <f aca="false">datos_base!$C$11*parametros_recargas!$Q$38+sobrestock_sustitutos!$C$184/12</f>
        <v>135.738573041675</v>
      </c>
      <c r="P43" s="7" t="n">
        <f aca="false">SUM(D43:O43)</f>
        <v>1207.9918279534</v>
      </c>
      <c r="Q43" s="13" t="n">
        <f aca="false">sobrestock_sustitutos!$C$184</f>
        <v>0</v>
      </c>
    </row>
    <row r="44" customFormat="false" ht="15" hidden="false" customHeight="false" outlineLevel="0" collapsed="false">
      <c r="A44" s="12" t="str">
        <f aca="false">parametros_recargas!A61</f>
        <v>CO₂ 5 kg</v>
      </c>
      <c r="B44" s="12" t="str">
        <f aca="false">parametros_recargas!B61</f>
        <v>CO₂</v>
      </c>
      <c r="C44" s="24" t="n">
        <f aca="false">parametros_recargas!C61</f>
        <v>1</v>
      </c>
      <c r="D44" s="25" t="n">
        <f aca="false">datos_base!$C$12*parametros_recargas!$F$38+sobrestock_sustitutos!$C$185/12</f>
        <v>27.5380973731015</v>
      </c>
      <c r="E44" s="25" t="n">
        <f aca="false">datos_base!$C$12*parametros_recargas!$G$38+sobrestock_sustitutos!$C$185/12</f>
        <v>29.1619458880407</v>
      </c>
      <c r="F44" s="25" t="n">
        <f aca="false">datos_base!$C$12*parametros_recargas!$H$38+sobrestock_sustitutos!$C$185/12</f>
        <v>30.8827216909951</v>
      </c>
      <c r="G44" s="25" t="n">
        <f aca="false">datos_base!$C$12*parametros_recargas!$I$38+sobrestock_sustitutos!$C$185/12</f>
        <v>32.7062103580672</v>
      </c>
      <c r="H44" s="25" t="n">
        <f aca="false">datos_base!$C$12*parametros_recargas!$J$38+sobrestock_sustitutos!$C$185/12</f>
        <v>34.6385428055781</v>
      </c>
      <c r="I44" s="25" t="n">
        <f aca="false">datos_base!$C$12*parametros_recargas!$K$38+sobrestock_sustitutos!$C$185/12</f>
        <v>36.6862159033763</v>
      </c>
      <c r="J44" s="25" t="n">
        <f aca="false">datos_base!$C$12*parametros_recargas!$L$38+sobrestock_sustitutos!$C$185/12</f>
        <v>38.8561143185519</v>
      </c>
      <c r="K44" s="25" t="n">
        <f aca="false">datos_base!$C$12*parametros_recargas!$M$38+sobrestock_sustitutos!$C$185/12</f>
        <v>41.1555336629994</v>
      </c>
      <c r="L44" s="25" t="n">
        <f aca="false">datos_base!$C$12*parametros_recargas!$N$38+sobrestock_sustitutos!$C$185/12</f>
        <v>43.5922050226545</v>
      </c>
      <c r="M44" s="25" t="n">
        <f aca="false">datos_base!$C$12*parametros_recargas!$O$38+sobrestock_sustitutos!$C$185/12</f>
        <v>46.174320950878</v>
      </c>
      <c r="N44" s="25" t="n">
        <f aca="false">datos_base!$C$12*parametros_recargas!$P$38+sobrestock_sustitutos!$C$185/12</f>
        <v>48.9105630133813</v>
      </c>
      <c r="O44" s="25" t="n">
        <f aca="false">datos_base!$C$12*parametros_recargas!$Q$38+sobrestock_sustitutos!$C$185/12</f>
        <v>51.8101309773046</v>
      </c>
      <c r="P44" s="7" t="n">
        <f aca="false">SUM(D44:O44)</f>
        <v>462.112601964929</v>
      </c>
      <c r="Q44" s="13" t="n">
        <f aca="false">sobrestock_sustitutos!$C$185</f>
        <v>4</v>
      </c>
    </row>
    <row r="45" customFormat="false" ht="15" hidden="false" customHeight="false" outlineLevel="0" collapsed="false">
      <c r="A45" s="12" t="str">
        <f aca="false">parametros_recargas!A62</f>
        <v>HCFC/HFC 5 kg</v>
      </c>
      <c r="B45" s="12" t="str">
        <f aca="false">parametros_recargas!B62</f>
        <v>Halogenado</v>
      </c>
      <c r="C45" s="24" t="n">
        <f aca="false">parametros_recargas!C62</f>
        <v>1</v>
      </c>
      <c r="D45" s="25" t="n">
        <f aca="false">datos_base!$C$13*parametros_recargas!$F$38+sobrestock_sustitutos!$C$186/12</f>
        <v>4.82048898371241</v>
      </c>
      <c r="E45" s="25" t="n">
        <f aca="false">datos_base!$C$13*parametros_recargas!$G$38+sobrestock_sustitutos!$C$186/12</f>
        <v>5.1032491339809</v>
      </c>
      <c r="F45" s="25" t="n">
        <f aca="false">datos_base!$C$13*parametros_recargas!$H$38+sobrestock_sustitutos!$C$186/12</f>
        <v>5.40288719759671</v>
      </c>
      <c r="G45" s="25" t="n">
        <f aca="false">datos_base!$C$13*parametros_recargas!$I$38+sobrestock_sustitutos!$C$186/12</f>
        <v>5.72041061481862</v>
      </c>
      <c r="H45" s="25" t="n">
        <f aca="false">datos_base!$C$13*parametros_recargas!$J$38+sobrestock_sustitutos!$C$186/12</f>
        <v>6.05688695987186</v>
      </c>
      <c r="I45" s="25" t="n">
        <f aca="false">datos_base!$C$13*parametros_recargas!$K$38+sobrestock_sustitutos!$C$186/12</f>
        <v>6.41344753033606</v>
      </c>
      <c r="J45" s="25" t="n">
        <f aca="false">datos_base!$C$13*parametros_recargas!$L$38+sobrestock_sustitutos!$C$186/12</f>
        <v>6.79129115078327</v>
      </c>
      <c r="K45" s="25" t="n">
        <f aca="false">datos_base!$C$13*parametros_recargas!$M$38+sobrestock_sustitutos!$C$186/12</f>
        <v>7.19168820345454</v>
      </c>
      <c r="L45" s="25" t="n">
        <f aca="false">datos_base!$C$13*parametros_recargas!$N$38+sobrestock_sustitutos!$C$186/12</f>
        <v>7.61598489952708</v>
      </c>
      <c r="M45" s="25" t="n">
        <f aca="false">datos_base!$C$13*parametros_recargas!$O$38+sobrestock_sustitutos!$C$186/12</f>
        <v>8.06560780533273</v>
      </c>
      <c r="N45" s="25" t="n">
        <f aca="false">datos_base!$C$13*parametros_recargas!$P$38+sobrestock_sustitutos!$C$186/12</f>
        <v>8.54206863874576</v>
      </c>
      <c r="O45" s="25" t="n">
        <f aca="false">datos_base!$C$13*parametros_recargas!$Q$38+sobrestock_sustitutos!$C$186/12</f>
        <v>9.04696935186639</v>
      </c>
      <c r="P45" s="7" t="n">
        <f aca="false">SUM(D45:O45)</f>
        <v>80.7709804700263</v>
      </c>
      <c r="Q45" s="13" t="n">
        <f aca="false">sobrestock_sustitutos!$C$186</f>
        <v>1</v>
      </c>
    </row>
    <row r="46" customFormat="false" ht="15" hidden="false" customHeight="false" outlineLevel="0" collapsed="false">
      <c r="A46" s="12" t="str">
        <f aca="false">parametros_recargas!A63</f>
        <v>Clase D 9 l</v>
      </c>
      <c r="B46" s="12" t="str">
        <f aca="false">parametros_recargas!B63</f>
        <v>Clase D</v>
      </c>
      <c r="C46" s="24" t="n">
        <f aca="false">parametros_recargas!C63</f>
        <v>1</v>
      </c>
      <c r="D46" s="25" t="n">
        <f aca="false">datos_base!$C$14*parametros_recargas!$F$38+sobrestock_sustitutos!$C$187/12</f>
        <v>2.07300467620037</v>
      </c>
      <c r="E46" s="25" t="n">
        <f aca="false">datos_base!$C$14*parametros_recargas!$G$38+sobrestock_sustitutos!$C$187/12</f>
        <v>2.19176787703566</v>
      </c>
      <c r="F46" s="25" t="n">
        <f aca="false">datos_base!$C$14*parametros_recargas!$H$38+sobrestock_sustitutos!$C$187/12</f>
        <v>2.31762003651892</v>
      </c>
      <c r="G46" s="25" t="n">
        <f aca="false">datos_base!$C$14*parametros_recargas!$I$38+sobrestock_sustitutos!$C$187/12</f>
        <v>2.45098429358848</v>
      </c>
      <c r="H46" s="25" t="n">
        <f aca="false">datos_base!$C$14*parametros_recargas!$J$38+sobrestock_sustitutos!$C$187/12</f>
        <v>2.59230904428598</v>
      </c>
      <c r="I46" s="25" t="n">
        <f aca="false">datos_base!$C$14*parametros_recargas!$K$38+sobrestock_sustitutos!$C$187/12</f>
        <v>2.74206944934934</v>
      </c>
      <c r="J46" s="25" t="n">
        <f aca="false">datos_base!$C$14*parametros_recargas!$L$38+sobrestock_sustitutos!$C$187/12</f>
        <v>2.90076903179366</v>
      </c>
      <c r="K46" s="25" t="n">
        <f aca="false">datos_base!$C$14*parametros_recargas!$M$38+sobrestock_sustitutos!$C$187/12</f>
        <v>3.06894136985156</v>
      </c>
      <c r="L46" s="25" t="n">
        <f aca="false">datos_base!$C$14*parametros_recargas!$N$38+sobrestock_sustitutos!$C$187/12</f>
        <v>3.24715189096483</v>
      </c>
      <c r="M46" s="25" t="n">
        <f aca="false">datos_base!$C$14*parametros_recargas!$O$38+sobrestock_sustitutos!$C$187/12</f>
        <v>3.43599977285921</v>
      </c>
      <c r="N46" s="25" t="n">
        <f aca="false">datos_base!$C$14*parametros_recargas!$P$38+sobrestock_sustitutos!$C$187/12</f>
        <v>3.63611995809412</v>
      </c>
      <c r="O46" s="25" t="n">
        <f aca="false">datos_base!$C$14*parametros_recargas!$Q$38+sobrestock_sustitutos!$C$187/12</f>
        <v>3.84818528886045</v>
      </c>
      <c r="P46" s="7" t="n">
        <f aca="false">SUM(D46:O46)</f>
        <v>34.5049226894026</v>
      </c>
      <c r="Q46" s="13" t="n">
        <f aca="false">sobrestock_sustitutos!$C$187</f>
        <v>1</v>
      </c>
    </row>
    <row r="47" customFormat="false" ht="15" hidden="false" customHeight="false" outlineLevel="0" collapsed="false">
      <c r="A47" s="12" t="str">
        <f aca="false">parametros_recargas!A64</f>
        <v>ABC 25 kg s/ruedas</v>
      </c>
      <c r="B47" s="12" t="str">
        <f aca="false">parametros_recargas!B64</f>
        <v>ABC</v>
      </c>
      <c r="C47" s="24" t="n">
        <f aca="false">parametros_recargas!C64</f>
        <v>3</v>
      </c>
      <c r="D47" s="25" t="n">
        <f aca="false">datos_base!$C$15*parametros_recargas!$F$38+sobrestock_sustitutos!$C$188/12</f>
        <v>3.63450581512303</v>
      </c>
      <c r="E47" s="25" t="n">
        <f aca="false">datos_base!$C$15*parametros_recargas!$G$38+sobrestock_sustitutos!$C$188/12</f>
        <v>3.85144895279546</v>
      </c>
      <c r="F47" s="25" t="n">
        <f aca="false">datos_base!$C$15*parametros_recargas!$H$38+sobrestock_sustitutos!$C$188/12</f>
        <v>4.08134139564916</v>
      </c>
      <c r="G47" s="25" t="n">
        <f aca="false">datos_base!$C$15*parametros_recargas!$I$38+sobrestock_sustitutos!$C$188/12</f>
        <v>4.32495608587755</v>
      </c>
      <c r="H47" s="25" t="n">
        <f aca="false">datos_base!$C$15*parametros_recargas!$J$38+sobrestock_sustitutos!$C$188/12</f>
        <v>4.58311210248415</v>
      </c>
      <c r="I47" s="25" t="n">
        <f aca="false">datos_base!$C$15*parametros_recargas!$K$38+sobrestock_sustitutos!$C$188/12</f>
        <v>4.8566774151823</v>
      </c>
      <c r="J47" s="25" t="n">
        <f aca="false">datos_base!$C$15*parametros_recargas!$L$38+sobrestock_sustitutos!$C$188/12</f>
        <v>5.14657180267464</v>
      </c>
      <c r="K47" s="25" t="n">
        <f aca="false">datos_base!$C$15*parametros_recargas!$M$38+sobrestock_sustitutos!$C$188/12</f>
        <v>5.4537699451244</v>
      </c>
      <c r="L47" s="25" t="n">
        <f aca="false">datos_base!$C$15*parametros_recargas!$N$38+sobrestock_sustitutos!$C$188/12</f>
        <v>5.7793047012158</v>
      </c>
      <c r="M47" s="25" t="n">
        <f aca="false">datos_base!$C$15*parametros_recargas!$O$38+sobrestock_sustitutos!$C$188/12</f>
        <v>6.12427058082172</v>
      </c>
      <c r="N47" s="25" t="n">
        <f aca="false">datos_base!$C$15*parametros_recargas!$P$38+sobrestock_sustitutos!$C$188/12</f>
        <v>6.48982742495443</v>
      </c>
      <c r="O47" s="25" t="n">
        <f aca="false">datos_base!$C$15*parametros_recargas!$Q$38+sobrestock_sustitutos!$C$188/12</f>
        <v>6.87720430537208</v>
      </c>
      <c r="P47" s="7" t="n">
        <f aca="false">SUM(D47:O47)</f>
        <v>61.2029905272747</v>
      </c>
      <c r="Q47" s="13" t="n">
        <f aca="false">sobrestock_sustitutos!$C$188</f>
        <v>0</v>
      </c>
    </row>
    <row r="48" customFormat="false" ht="15" hidden="false" customHeight="false" outlineLevel="0" collapsed="false">
      <c r="A48" s="12" t="str">
        <f aca="false">parametros_recargas!A65</f>
        <v>ABC 50 kg s/ruedas</v>
      </c>
      <c r="B48" s="12" t="str">
        <f aca="false">parametros_recargas!B65</f>
        <v>ABC</v>
      </c>
      <c r="C48" s="24" t="n">
        <f aca="false">parametros_recargas!C65</f>
        <v>3</v>
      </c>
      <c r="D48" s="25" t="n">
        <f aca="false">datos_base!$C$16*parametros_recargas!$F$38+sobrestock_sustitutos!$C$189/12</f>
        <v>8.07924617732523</v>
      </c>
      <c r="E48" s="25" t="n">
        <f aca="false">datos_base!$C$16*parametros_recargas!$G$38+sobrestock_sustitutos!$C$189/12</f>
        <v>8.5565210832321</v>
      </c>
      <c r="F48" s="25" t="n">
        <f aca="false">datos_base!$C$16*parametros_recargas!$H$38+sobrestock_sustitutos!$C$189/12</f>
        <v>9.0622844607185</v>
      </c>
      <c r="G48" s="25" t="n">
        <f aca="false">datos_base!$C$16*parametros_recargas!$I$38+sobrestock_sustitutos!$C$189/12</f>
        <v>9.59823678262071</v>
      </c>
      <c r="H48" s="25" t="n">
        <f aca="false">datos_base!$C$16*parametros_recargas!$J$38+sobrestock_sustitutos!$C$189/12</f>
        <v>10.1661800227579</v>
      </c>
      <c r="I48" s="25" t="n">
        <f aca="false">datos_base!$C$16*parametros_recargas!$K$38+sobrestock_sustitutos!$C$189/12</f>
        <v>10.7680237145116</v>
      </c>
      <c r="J48" s="25" t="n">
        <f aca="false">datos_base!$C$16*parametros_recargas!$L$38+sobrestock_sustitutos!$C$189/12</f>
        <v>11.4057913710403</v>
      </c>
      <c r="K48" s="25" t="n">
        <f aca="false">datos_base!$C$16*parametros_recargas!$M$38+sobrestock_sustitutos!$C$189/12</f>
        <v>12.0816272887169</v>
      </c>
      <c r="L48" s="25" t="n">
        <f aca="false">datos_base!$C$16*parametros_recargas!$N$38+sobrestock_sustitutos!$C$189/12</f>
        <v>12.797803756661</v>
      </c>
      <c r="M48" s="25" t="n">
        <f aca="false">datos_base!$C$16*parametros_recargas!$O$38+sobrestock_sustitutos!$C$189/12</f>
        <v>13.5567286966082</v>
      </c>
      <c r="N48" s="25" t="n">
        <f aca="false">datos_base!$C$16*parametros_recargas!$P$38+sobrestock_sustitutos!$C$189/12</f>
        <v>14.3609537588016</v>
      </c>
      <c r="O48" s="25" t="n">
        <f aca="false">datos_base!$C$16*parametros_recargas!$Q$38+sobrestock_sustitutos!$C$189/12</f>
        <v>15.2131829011265</v>
      </c>
      <c r="P48" s="7" t="n">
        <f aca="false">SUM(D48:O48)</f>
        <v>135.646580014121</v>
      </c>
      <c r="Q48" s="13" t="n">
        <f aca="false">sobrestock_sustitutos!$C$189</f>
        <v>1</v>
      </c>
    </row>
    <row r="49" customFormat="false" ht="15" hidden="false" customHeight="false" outlineLevel="0" collapsed="false">
      <c r="A49" s="12" t="str">
        <f aca="false">parametros_recargas!A66</f>
        <v>ABC 70 kg s/ruedas</v>
      </c>
      <c r="B49" s="12" t="str">
        <f aca="false">parametros_recargas!B66</f>
        <v>ABC</v>
      </c>
      <c r="C49" s="24" t="n">
        <f aca="false">parametros_recargas!C66</f>
        <v>3</v>
      </c>
      <c r="D49" s="25" t="n">
        <f aca="false">datos_base!$C$17*parametros_recargas!$F$38+sobrestock_sustitutos!$C$190/12</f>
        <v>1.74456278618693</v>
      </c>
      <c r="E49" s="25" t="n">
        <f aca="false">datos_base!$C$17*parametros_recargas!$G$38+sobrestock_sustitutos!$C$190/12</f>
        <v>1.84869549196694</v>
      </c>
      <c r="F49" s="25" t="n">
        <f aca="false">datos_base!$C$17*parametros_recargas!$H$38+sobrestock_sustitutos!$C$190/12</f>
        <v>1.95904386421589</v>
      </c>
      <c r="G49" s="25" t="n">
        <f aca="false">datos_base!$C$17*parametros_recargas!$I$38+sobrestock_sustitutos!$C$190/12</f>
        <v>2.07597891518555</v>
      </c>
      <c r="H49" s="25" t="n">
        <f aca="false">datos_base!$C$17*parametros_recargas!$J$38+sobrestock_sustitutos!$C$190/12</f>
        <v>2.19989380279645</v>
      </c>
      <c r="I49" s="25" t="n">
        <f aca="false">datos_base!$C$17*parametros_recargas!$K$38+sobrestock_sustitutos!$C$190/12</f>
        <v>2.33120515250979</v>
      </c>
      <c r="J49" s="25" t="n">
        <f aca="false">datos_base!$C$17*parametros_recargas!$L$38+sobrestock_sustitutos!$C$190/12</f>
        <v>2.47035445810155</v>
      </c>
      <c r="K49" s="25" t="n">
        <f aca="false">datos_base!$C$17*parametros_recargas!$M$38+sobrestock_sustitutos!$C$190/12</f>
        <v>2.61780956604872</v>
      </c>
      <c r="L49" s="25" t="n">
        <f aca="false">datos_base!$C$17*parametros_recargas!$N$38+sobrestock_sustitutos!$C$190/12</f>
        <v>2.7740662485183</v>
      </c>
      <c r="M49" s="25" t="n">
        <f aca="false">datos_base!$C$17*parametros_recargas!$O$38+sobrestock_sustitutos!$C$190/12</f>
        <v>2.93964987024772</v>
      </c>
      <c r="N49" s="25" t="n">
        <f aca="false">datos_base!$C$17*parametros_recargas!$P$38+sobrestock_sustitutos!$C$190/12</f>
        <v>3.11511715492127</v>
      </c>
      <c r="O49" s="25" t="n">
        <f aca="false">datos_base!$C$17*parametros_recargas!$Q$38+sobrestock_sustitutos!$C$190/12</f>
        <v>3.30105805698114</v>
      </c>
      <c r="P49" s="7" t="n">
        <f aca="false">SUM(D49:O49)</f>
        <v>29.3774353676803</v>
      </c>
      <c r="Q49" s="13" t="n">
        <f aca="false">sobrestock_sustitutos!$C$190</f>
        <v>0</v>
      </c>
    </row>
    <row r="50" customFormat="false" ht="15" hidden="false" customHeight="false" outlineLevel="0" collapsed="false">
      <c r="A50" s="12" t="str">
        <f aca="false">parametros_recargas!A67</f>
        <v>ABC 100 kg s/ruedas</v>
      </c>
      <c r="B50" s="12" t="str">
        <f aca="false">parametros_recargas!B67</f>
        <v>ABC</v>
      </c>
      <c r="C50" s="24" t="n">
        <f aca="false">parametros_recargas!C67</f>
        <v>3</v>
      </c>
      <c r="D50" s="25" t="n">
        <f aca="false">datos_base!$C$18*parametros_recargas!$F$38+sobrestock_sustitutos!$C$191/12</f>
        <v>1.24637519079129</v>
      </c>
      <c r="E50" s="25" t="n">
        <f aca="false">datos_base!$C$18*parametros_recargas!$G$38+sobrestock_sustitutos!$C$191/12</f>
        <v>1.31579699464463</v>
      </c>
      <c r="F50" s="25" t="n">
        <f aca="false">datos_base!$C$18*parametros_recargas!$H$38+sobrestock_sustitutos!$C$191/12</f>
        <v>1.38936257614393</v>
      </c>
      <c r="G50" s="25" t="n">
        <f aca="false">datos_base!$C$18*parametros_recargas!$I$38+sobrestock_sustitutos!$C$191/12</f>
        <v>1.46731927679036</v>
      </c>
      <c r="H50" s="25" t="n">
        <f aca="false">datos_base!$C$18*parametros_recargas!$J$38+sobrestock_sustitutos!$C$191/12</f>
        <v>1.5499292018643</v>
      </c>
      <c r="I50" s="25" t="n">
        <f aca="false">datos_base!$C$18*parametros_recargas!$K$38+sobrestock_sustitutos!$C$191/12</f>
        <v>1.63747010167319</v>
      </c>
      <c r="J50" s="25" t="n">
        <f aca="false">datos_base!$C$18*parametros_recargas!$L$38+sobrestock_sustitutos!$C$191/12</f>
        <v>1.73023630540103</v>
      </c>
      <c r="K50" s="25" t="n">
        <f aca="false">datos_base!$C$18*parametros_recargas!$M$38+sobrestock_sustitutos!$C$191/12</f>
        <v>1.82853971069915</v>
      </c>
      <c r="L50" s="25" t="n">
        <f aca="false">datos_base!$C$18*parametros_recargas!$N$38+sobrestock_sustitutos!$C$191/12</f>
        <v>1.93271083234553</v>
      </c>
      <c r="M50" s="25" t="n">
        <f aca="false">datos_base!$C$18*parametros_recargas!$O$38+sobrestock_sustitutos!$C$191/12</f>
        <v>2.04309991349848</v>
      </c>
      <c r="N50" s="25" t="n">
        <f aca="false">datos_base!$C$18*parametros_recargas!$P$38+sobrestock_sustitutos!$C$191/12</f>
        <v>2.16007810328085</v>
      </c>
      <c r="O50" s="25" t="n">
        <f aca="false">datos_base!$C$18*parametros_recargas!$Q$38+sobrestock_sustitutos!$C$191/12</f>
        <v>2.28403870465409</v>
      </c>
      <c r="P50" s="7" t="n">
        <f aca="false">SUM(D50:O50)</f>
        <v>20.5849569117868</v>
      </c>
      <c r="Q50" s="13" t="n">
        <f aca="false">sobrestock_sustitutos!$C$191</f>
        <v>1</v>
      </c>
    </row>
    <row r="51" customFormat="false" ht="15" hidden="false" customHeight="false" outlineLevel="0" collapsed="false">
      <c r="A51" s="6" t="s">
        <v>273</v>
      </c>
      <c r="D51" s="7" t="n">
        <f aca="false">SUM(D34:D50)</f>
        <v>1298.29045532537</v>
      </c>
      <c r="E51" s="7" t="n">
        <f aca="false">SUM(E34:E50)</f>
        <v>1375.65092666063</v>
      </c>
      <c r="F51" s="7" t="n">
        <f aca="false">SUM(F34:F50)</f>
        <v>1457.6290335802</v>
      </c>
      <c r="G51" s="7" t="n">
        <f aca="false">SUM(G34:G50)</f>
        <v>1544.50040209853</v>
      </c>
      <c r="H51" s="7" t="n">
        <f aca="false">SUM(H34:H50)</f>
        <v>1636.55711030784</v>
      </c>
      <c r="I51" s="7" t="n">
        <f aca="false">SUM(I34:I50)</f>
        <v>1734.10867040034</v>
      </c>
      <c r="J51" s="7" t="n">
        <f aca="false">SUM(J34:J50)</f>
        <v>1837.4830693072</v>
      </c>
      <c r="K51" s="7" t="n">
        <f aca="false">SUM(K34:K50)</f>
        <v>1947.02787145308</v>
      </c>
      <c r="L51" s="7" t="n">
        <f aca="false">SUM(L34:L50)</f>
        <v>2063.11138733395</v>
      </c>
      <c r="M51" s="7" t="n">
        <f aca="false">SUM(M34:M50)</f>
        <v>2186.12391184714</v>
      </c>
      <c r="N51" s="7" t="n">
        <f aca="false">SUM(N34:N50)</f>
        <v>2316.47903653719</v>
      </c>
      <c r="O51" s="7" t="n">
        <f aca="false">SUM(O34:O50)</f>
        <v>2454.61504016937</v>
      </c>
      <c r="P51" s="7" t="n">
        <f aca="false">SUM(P34:P50)</f>
        <v>21851.5769150208</v>
      </c>
    </row>
    <row r="52" customFormat="false" ht="15" hidden="false" customHeight="false" outlineLevel="0" collapsed="false">
      <c r="A52" s="6" t="s">
        <v>274</v>
      </c>
    </row>
    <row r="53" customFormat="false" ht="15" hidden="false" customHeight="false" outlineLevel="0" collapsed="false">
      <c r="A53" s="4" t="s">
        <v>143</v>
      </c>
      <c r="D53" s="25" t="n">
        <f aca="false">SUMPRODUCT(($B$34:$B$50=$A53)*D$34:D$50*$C$34:$C$50)</f>
        <v>1167.41731587721</v>
      </c>
      <c r="E53" s="25" t="n">
        <f aca="false">SUMPRODUCT(($B$34:$B$50=$A53)*E$34:E$50*$C$34:$C$50)</f>
        <v>1237.00080712685</v>
      </c>
      <c r="F53" s="25" t="n">
        <f aca="false">SUMPRODUCT(($B$34:$B$50=$A53)*F$34:F$50*$C$34:$C$50)</f>
        <v>1310.73772712026</v>
      </c>
      <c r="G53" s="25" t="n">
        <f aca="false">SUMPRODUCT(($B$34:$B$50=$A53)*G$34:G$50*$C$34:$C$50)</f>
        <v>1388.87599343126</v>
      </c>
      <c r="H53" s="25" t="n">
        <f aca="false">SUMPRODUCT(($B$34:$B$50=$A53)*H$34:H$50*$C$34:$C$50)</f>
        <v>1471.67832179858</v>
      </c>
      <c r="I53" s="25" t="n">
        <f aca="false">SUMPRODUCT(($B$34:$B$50=$A53)*I$34:I$50*$C$34:$C$50)</f>
        <v>1559.42310942621</v>
      </c>
      <c r="J53" s="25" t="n">
        <f aca="false">SUMPRODUCT(($B$34:$B$50=$A53)*J$34:J$50*$C$34:$C$50)</f>
        <v>1652.40537100783</v>
      </c>
      <c r="K53" s="25" t="n">
        <f aca="false">SUMPRODUCT(($B$34:$B$50=$A53)*K$34:K$50*$C$34:$C$50)</f>
        <v>1750.93773062244</v>
      </c>
      <c r="L53" s="25" t="n">
        <f aca="false">SUMPRODUCT(($B$34:$B$50=$A53)*L$34:L$50*$C$34:$C$50)</f>
        <v>1855.35147283605</v>
      </c>
      <c r="M53" s="25" t="n">
        <f aca="false">SUMPRODUCT(($B$34:$B$50=$A53)*M$34:M$50*$C$34:$C$50)</f>
        <v>1965.99765654355</v>
      </c>
      <c r="N53" s="25" t="n">
        <f aca="false">SUMPRODUCT(($B$34:$B$50=$A53)*N$34:N$50*$C$34:$C$50)</f>
        <v>2083.24829529556</v>
      </c>
      <c r="O53" s="25" t="n">
        <f aca="false">SUMPRODUCT(($B$34:$B$50=$A53)*O$34:O$50*$C$34:$C$50)</f>
        <v>2207.49760807889</v>
      </c>
      <c r="P53" s="25" t="n">
        <f aca="false">SUMPRODUCT(($B$34:$B$50=$A53)*P$34:P$50*$C$34:$C$50)</f>
        <v>19650.5714091647</v>
      </c>
    </row>
    <row r="54" customFormat="false" ht="15" hidden="false" customHeight="false" outlineLevel="0" collapsed="false">
      <c r="A54" s="4" t="s">
        <v>149</v>
      </c>
      <c r="D54" s="25" t="n">
        <f aca="false">SUMPRODUCT(($B$34:$B$50=$A54)*D$34:D$50*$C$34:$C$50)</f>
        <v>2.07300467620037</v>
      </c>
      <c r="E54" s="25" t="n">
        <f aca="false">SUMPRODUCT(($B$34:$B$50=$A54)*E$34:E$50*$C$34:$C$50)</f>
        <v>2.19176787703566</v>
      </c>
      <c r="F54" s="25" t="n">
        <f aca="false">SUMPRODUCT(($B$34:$B$50=$A54)*F$34:F$50*$C$34:$C$50)</f>
        <v>2.31762003651892</v>
      </c>
      <c r="G54" s="25" t="n">
        <f aca="false">SUMPRODUCT(($B$34:$B$50=$A54)*G$34:G$50*$C$34:$C$50)</f>
        <v>2.45098429358848</v>
      </c>
      <c r="H54" s="25" t="n">
        <f aca="false">SUMPRODUCT(($B$34:$B$50=$A54)*H$34:H$50*$C$34:$C$50)</f>
        <v>2.59230904428598</v>
      </c>
      <c r="I54" s="25" t="n">
        <f aca="false">SUMPRODUCT(($B$34:$B$50=$A54)*I$34:I$50*$C$34:$C$50)</f>
        <v>2.74206944934934</v>
      </c>
      <c r="J54" s="25" t="n">
        <f aca="false">SUMPRODUCT(($B$34:$B$50=$A54)*J$34:J$50*$C$34:$C$50)</f>
        <v>2.90076903179366</v>
      </c>
      <c r="K54" s="25" t="n">
        <f aca="false">SUMPRODUCT(($B$34:$B$50=$A54)*K$34:K$50*$C$34:$C$50)</f>
        <v>3.06894136985156</v>
      </c>
      <c r="L54" s="25" t="n">
        <f aca="false">SUMPRODUCT(($B$34:$B$50=$A54)*L$34:L$50*$C$34:$C$50)</f>
        <v>3.24715189096483</v>
      </c>
      <c r="M54" s="25" t="n">
        <f aca="false">SUMPRODUCT(($B$34:$B$50=$A54)*M$34:M$50*$C$34:$C$50)</f>
        <v>3.43599977285921</v>
      </c>
      <c r="N54" s="25" t="n">
        <f aca="false">SUMPRODUCT(($B$34:$B$50=$A54)*N$34:N$50*$C$34:$C$50)</f>
        <v>3.63611995809412</v>
      </c>
      <c r="O54" s="25" t="n">
        <f aca="false">SUMPRODUCT(($B$34:$B$50=$A54)*O$34:O$50*$C$34:$C$50)</f>
        <v>3.84818528886045</v>
      </c>
      <c r="P54" s="25" t="n">
        <f aca="false">SUMPRODUCT(($B$34:$B$50=$A54)*P$34:P$50*$C$34:$C$50)</f>
        <v>34.5049226894026</v>
      </c>
    </row>
    <row r="55" customFormat="false" ht="15" hidden="false" customHeight="false" outlineLevel="0" collapsed="false">
      <c r="A55" s="4" t="s">
        <v>155</v>
      </c>
      <c r="D55" s="25" t="n">
        <f aca="false">SUMPRODUCT(($B$34:$B$50=$A55)*D$34:D$50*$C$34:$C$50)</f>
        <v>2.07300467620037</v>
      </c>
      <c r="E55" s="25" t="n">
        <f aca="false">SUMPRODUCT(($B$34:$B$50=$A55)*E$34:E$50*$C$34:$C$50)</f>
        <v>2.19176787703566</v>
      </c>
      <c r="F55" s="25" t="n">
        <f aca="false">SUMPRODUCT(($B$34:$B$50=$A55)*F$34:F$50*$C$34:$C$50)</f>
        <v>2.31762003651892</v>
      </c>
      <c r="G55" s="25" t="n">
        <f aca="false">SUMPRODUCT(($B$34:$B$50=$A55)*G$34:G$50*$C$34:$C$50)</f>
        <v>2.45098429358848</v>
      </c>
      <c r="H55" s="25" t="n">
        <f aca="false">SUMPRODUCT(($B$34:$B$50=$A55)*H$34:H$50*$C$34:$C$50)</f>
        <v>2.59230904428598</v>
      </c>
      <c r="I55" s="25" t="n">
        <f aca="false">SUMPRODUCT(($B$34:$B$50=$A55)*I$34:I$50*$C$34:$C$50)</f>
        <v>2.74206944934934</v>
      </c>
      <c r="J55" s="25" t="n">
        <f aca="false">SUMPRODUCT(($B$34:$B$50=$A55)*J$34:J$50*$C$34:$C$50)</f>
        <v>2.90076903179366</v>
      </c>
      <c r="K55" s="25" t="n">
        <f aca="false">SUMPRODUCT(($B$34:$B$50=$A55)*K$34:K$50*$C$34:$C$50)</f>
        <v>3.06894136985156</v>
      </c>
      <c r="L55" s="25" t="n">
        <f aca="false">SUMPRODUCT(($B$34:$B$50=$A55)*L$34:L$50*$C$34:$C$50)</f>
        <v>3.24715189096483</v>
      </c>
      <c r="M55" s="25" t="n">
        <f aca="false">SUMPRODUCT(($B$34:$B$50=$A55)*M$34:M$50*$C$34:$C$50)</f>
        <v>3.43599977285921</v>
      </c>
      <c r="N55" s="25" t="n">
        <f aca="false">SUMPRODUCT(($B$34:$B$50=$A55)*N$34:N$50*$C$34:$C$50)</f>
        <v>3.63611995809412</v>
      </c>
      <c r="O55" s="25" t="n">
        <f aca="false">SUMPRODUCT(($B$34:$B$50=$A55)*O$34:O$50*$C$34:$C$50)</f>
        <v>3.84818528886045</v>
      </c>
      <c r="P55" s="25" t="n">
        <f aca="false">SUMPRODUCT(($B$34:$B$50=$A55)*P$34:P$50*$C$34:$C$50)</f>
        <v>34.5049226894026</v>
      </c>
    </row>
    <row r="56" customFormat="false" ht="15" hidden="false" customHeight="false" outlineLevel="0" collapsed="false">
      <c r="A56" s="4" t="s">
        <v>146</v>
      </c>
      <c r="D56" s="25" t="n">
        <f aca="false">SUMPRODUCT(($B$34:$B$50=$A56)*D$34:D$50*$C$34:$C$50)</f>
        <v>27.2793551906392</v>
      </c>
      <c r="E56" s="25" t="n">
        <f aca="false">SUMPRODUCT(($B$34:$B$50=$A56)*E$34:E$50*$C$34:$C$50)</f>
        <v>28.9026818859445</v>
      </c>
      <c r="F56" s="25" t="n">
        <f aca="false">SUMPRODUCT(($B$34:$B$50=$A56)*F$34:F$50*$C$34:$C$50)</f>
        <v>30.6229047219251</v>
      </c>
      <c r="G56" s="25" t="n">
        <f aca="false">SUMPRODUCT(($B$34:$B$50=$A56)*G$34:G$50*$C$34:$C$50)</f>
        <v>32.4458074155029</v>
      </c>
      <c r="H56" s="25" t="n">
        <f aca="false">SUMPRODUCT(($B$34:$B$50=$A56)*H$34:H$50*$C$34:$C$50)</f>
        <v>34.3775189128446</v>
      </c>
      <c r="I56" s="25" t="n">
        <f aca="false">SUMPRODUCT(($B$34:$B$50=$A56)*I$34:I$50*$C$34:$C$50)</f>
        <v>36.4245339960458</v>
      </c>
      <c r="J56" s="25" t="n">
        <f aca="false">SUMPRODUCT(($B$34:$B$50=$A56)*J$34:J$50*$C$34:$C$50)</f>
        <v>38.5937351198264</v>
      </c>
      <c r="K56" s="25" t="n">
        <f aca="false">SUMPRODUCT(($B$34:$B$50=$A56)*K$34:K$50*$C$34:$C$50)</f>
        <v>40.8924155516542</v>
      </c>
      <c r="L56" s="25" t="n">
        <f aca="false">SUMPRODUCT(($B$34:$B$50=$A56)*L$34:L$50*$C$34:$C$50)</f>
        <v>43.3283038930997</v>
      </c>
      <c r="M56" s="25" t="n">
        <f aca="false">SUMPRODUCT(($B$34:$B$50=$A56)*M$34:M$50*$C$34:$C$50)</f>
        <v>45.9095900648677</v>
      </c>
      <c r="N56" s="25" t="n">
        <f aca="false">SUMPRODUCT(($B$34:$B$50=$A56)*N$34:N$50*$C$34:$C$50)</f>
        <v>48.6449528428702</v>
      </c>
      <c r="O56" s="25" t="n">
        <f aca="false">SUMPRODUCT(($B$34:$B$50=$A56)*O$34:O$50*$C$34:$C$50)</f>
        <v>51.5435890379251</v>
      </c>
      <c r="P56" s="25" t="n">
        <f aca="false">SUMPRODUCT(($B$34:$B$50=$A56)*P$34:P$50*$C$34:$C$50)</f>
        <v>458.965388633145</v>
      </c>
    </row>
    <row r="57" customFormat="false" ht="15" hidden="false" customHeight="false" outlineLevel="0" collapsed="false">
      <c r="A57" s="4" t="s">
        <v>147</v>
      </c>
      <c r="D57" s="25" t="n">
        <f aca="false">SUMPRODUCT(($B$34:$B$50=$A57)*D$34:D$50*$C$34:$C$50)</f>
        <v>17.7047721561446</v>
      </c>
      <c r="E57" s="25" t="n">
        <f aca="false">SUMPRODUCT(($B$34:$B$50=$A57)*E$34:E$50*$C$34:$C$50)</f>
        <v>18.7416708807041</v>
      </c>
      <c r="F57" s="25" t="n">
        <f aca="false">SUMPRODUCT(($B$34:$B$50=$A57)*F$34:F$50*$C$34:$C$50)</f>
        <v>19.8404619433687</v>
      </c>
      <c r="G57" s="25" t="n">
        <f aca="false">SUMPRODUCT(($B$34:$B$50=$A57)*G$34:G$50*$C$34:$C$50)</f>
        <v>21.0048396890395</v>
      </c>
      <c r="H57" s="25" t="n">
        <f aca="false">SUMPRODUCT(($B$34:$B$50=$A57)*H$34:H$50*$C$34:$C$50)</f>
        <v>22.238718977542</v>
      </c>
      <c r="I57" s="25" t="n">
        <f aca="false">SUMPRODUCT(($B$34:$B$50=$A57)*I$34:I$50*$C$34:$C$50)</f>
        <v>23.5462483461305</v>
      </c>
      <c r="J57" s="25" t="n">
        <f aca="false">SUMPRODUCT(($B$34:$B$50=$A57)*J$34:J$50*$C$34:$C$50)</f>
        <v>24.9318239576608</v>
      </c>
      <c r="K57" s="25" t="n">
        <f aca="false">SUMPRODUCT(($B$34:$B$50=$A57)*K$34:K$50*$C$34:$C$50)</f>
        <v>26.4001043813274</v>
      </c>
      <c r="L57" s="25" t="n">
        <f aca="false">SUMPRODUCT(($B$34:$B$50=$A57)*L$34:L$50*$C$34:$C$50)</f>
        <v>27.9560262556604</v>
      </c>
      <c r="M57" s="25" t="n">
        <f aca="false">SUMPRODUCT(($B$34:$B$50=$A57)*M$34:M$50*$C$34:$C$50)</f>
        <v>29.6048208864453</v>
      </c>
      <c r="N57" s="25" t="n">
        <f aca="false">SUMPRODUCT(($B$34:$B$50=$A57)*N$34:N$50*$C$34:$C$50)</f>
        <v>31.3520318353694</v>
      </c>
      <c r="O57" s="25" t="n">
        <f aca="false">SUMPRODUCT(($B$34:$B$50=$A57)*O$34:O$50*$C$34:$C$50)</f>
        <v>33.2035335585325</v>
      </c>
      <c r="P57" s="25" t="n">
        <f aca="false">SUMPRODUCT(($B$34:$B$50=$A57)*P$34:P$50*$C$34:$C$50)</f>
        <v>296.525052867925</v>
      </c>
    </row>
    <row r="58" customFormat="false" ht="15" hidden="false" customHeight="false" outlineLevel="0" collapsed="false">
      <c r="A58" s="4" t="s">
        <v>150</v>
      </c>
      <c r="D58" s="25" t="n">
        <f aca="false">SUMPRODUCT(($B$34:$B$50=$A58)*D$34:D$50*$C$34:$C$50)</f>
        <v>14.2598655801055</v>
      </c>
      <c r="E58" s="25" t="n">
        <f aca="false">SUMPRODUCT(($B$34:$B$50=$A58)*E$34:E$50*$C$34:$C$50)</f>
        <v>15.1060607833521</v>
      </c>
      <c r="F58" s="25" t="n">
        <f aca="false">SUMPRODUCT(($B$34:$B$50=$A58)*F$34:F$50*$C$34:$C$50)</f>
        <v>16.002765258509</v>
      </c>
      <c r="G58" s="25" t="n">
        <f aca="false">SUMPRODUCT(($B$34:$B$50=$A58)*G$34:G$50*$C$34:$C$50)</f>
        <v>16.9529938968675</v>
      </c>
      <c r="H58" s="25" t="n">
        <f aca="false">SUMPRODUCT(($B$34:$B$50=$A58)*H$34:H$50*$C$34:$C$50)</f>
        <v>17.959941548153</v>
      </c>
      <c r="I58" s="25" t="n">
        <f aca="false">SUMPRODUCT(($B$34:$B$50=$A58)*I$34:I$50*$C$34:$C$50)</f>
        <v>19.0269937622192</v>
      </c>
      <c r="J58" s="25" t="n">
        <f aca="false">SUMPRODUCT(($B$34:$B$50=$A58)*J$34:J$50*$C$34:$C$50)</f>
        <v>20.1577381719112</v>
      </c>
      <c r="K58" s="25" t="n">
        <f aca="false">SUMPRODUCT(($B$34:$B$50=$A58)*K$34:K$50*$C$34:$C$50)</f>
        <v>21.3559765553708</v>
      </c>
      <c r="L58" s="25" t="n">
        <f aca="false">SUMPRODUCT(($B$34:$B$50=$A58)*L$34:L$50*$C$34:$C$50)</f>
        <v>22.6257376183391</v>
      </c>
      <c r="M58" s="25" t="n">
        <f aca="false">SUMPRODUCT(($B$34:$B$50=$A58)*M$34:M$50*$C$34:$C$50)</f>
        <v>23.9712905394324</v>
      </c>
      <c r="N58" s="25" t="n">
        <f aca="false">SUMPRODUCT(($B$34:$B$50=$A58)*N$34:N$50*$C$34:$C$50)</f>
        <v>25.3971593239346</v>
      </c>
      <c r="O58" s="25" t="n">
        <f aca="false">SUMPRODUCT(($B$34:$B$50=$A58)*O$34:O$50*$C$34:$C$50)</f>
        <v>26.9081380143646</v>
      </c>
      <c r="P58" s="25" t="n">
        <f aca="false">SUMPRODUCT(($B$34:$B$50=$A58)*P$34:P$50*$C$34:$C$50)</f>
        <v>239.724661052559</v>
      </c>
    </row>
    <row r="59" customFormat="false" ht="15" hidden="false" customHeight="false" outlineLevel="0" collapsed="false">
      <c r="A59" s="4" t="s">
        <v>151</v>
      </c>
      <c r="D59" s="25" t="n">
        <f aca="false">SUMPRODUCT(($B$34:$B$50=$A59)*D$34:D$50*$C$34:$C$50)</f>
        <v>99.274025397095</v>
      </c>
      <c r="E59" s="25" t="n">
        <f aca="false">SUMPRODUCT(($B$34:$B$50=$A59)*E$34:E$50*$C$34:$C$50)</f>
        <v>105.179781302198</v>
      </c>
      <c r="F59" s="25" t="n">
        <f aca="false">SUMPRODUCT(($B$34:$B$50=$A59)*F$34:F$50*$C$34:$C$50)</f>
        <v>111.438050941369</v>
      </c>
      <c r="G59" s="25" t="n">
        <f aca="false">SUMPRODUCT(($B$34:$B$50=$A59)*G$34:G$50*$C$34:$C$50)</f>
        <v>118.069875809498</v>
      </c>
      <c r="H59" s="25" t="n">
        <f aca="false">SUMPRODUCT(($B$34:$B$50=$A59)*H$34:H$50*$C$34:$C$50)</f>
        <v>125.097553365331</v>
      </c>
      <c r="I59" s="25" t="n">
        <f aca="false">SUMPRODUCT(($B$34:$B$50=$A59)*I$34:I$50*$C$34:$C$50)</f>
        <v>132.544711999765</v>
      </c>
      <c r="J59" s="25" t="n">
        <f aca="false">SUMPRODUCT(($B$34:$B$50=$A59)*J$34:J$50*$C$34:$C$50)</f>
        <v>140.436390479008</v>
      </c>
      <c r="K59" s="25" t="n">
        <f aca="false">SUMPRODUCT(($B$34:$B$50=$A59)*K$34:K$50*$C$34:$C$50)</f>
        <v>148.79912212968</v>
      </c>
      <c r="L59" s="25" t="n">
        <f aca="false">SUMPRODUCT(($B$34:$B$50=$A59)*L$34:L$50*$C$34:$C$50)</f>
        <v>157.66102404891</v>
      </c>
      <c r="M59" s="25" t="n">
        <f aca="false">SUMPRODUCT(($B$34:$B$50=$A59)*M$34:M$50*$C$34:$C$50)</f>
        <v>167.051891639375</v>
      </c>
      <c r="N59" s="25" t="n">
        <f aca="false">SUMPRODUCT(($B$34:$B$50=$A59)*N$34:N$50*$C$34:$C$50)</f>
        <v>177.00329878712</v>
      </c>
      <c r="O59" s="25" t="n">
        <f aca="false">SUMPRODUCT(($B$34:$B$50=$A59)*O$34:O$50*$C$34:$C$50)</f>
        <v>187.548704018979</v>
      </c>
      <c r="P59" s="25" t="n">
        <f aca="false">SUMPRODUCT(($B$34:$B$50=$A59)*P$34:P$50*$C$34:$C$50)</f>
        <v>1670.10442991833</v>
      </c>
    </row>
    <row r="60" customFormat="false" ht="15" hidden="false" customHeight="false" outlineLevel="0" collapsed="false">
      <c r="A60" s="4" t="s">
        <v>154</v>
      </c>
      <c r="D60" s="25" t="n">
        <f aca="false">SUMPRODUCT(($B$34:$B$50=$A60)*D$34:D$50*$C$34:$C$50)</f>
        <v>4.82048898371241</v>
      </c>
      <c r="E60" s="25" t="n">
        <f aca="false">SUMPRODUCT(($B$34:$B$50=$A60)*E$34:E$50*$C$34:$C$50)</f>
        <v>5.1032491339809</v>
      </c>
      <c r="F60" s="25" t="n">
        <f aca="false">SUMPRODUCT(($B$34:$B$50=$A60)*F$34:F$50*$C$34:$C$50)</f>
        <v>5.40288719759671</v>
      </c>
      <c r="G60" s="25" t="n">
        <f aca="false">SUMPRODUCT(($B$34:$B$50=$A60)*G$34:G$50*$C$34:$C$50)</f>
        <v>5.72041061481862</v>
      </c>
      <c r="H60" s="25" t="n">
        <f aca="false">SUMPRODUCT(($B$34:$B$50=$A60)*H$34:H$50*$C$34:$C$50)</f>
        <v>6.05688695987186</v>
      </c>
      <c r="I60" s="25" t="n">
        <f aca="false">SUMPRODUCT(($B$34:$B$50=$A60)*I$34:I$50*$C$34:$C$50)</f>
        <v>6.41344753033606</v>
      </c>
      <c r="J60" s="25" t="n">
        <f aca="false">SUMPRODUCT(($B$34:$B$50=$A60)*J$34:J$50*$C$34:$C$50)</f>
        <v>6.79129115078327</v>
      </c>
      <c r="K60" s="25" t="n">
        <f aca="false">SUMPRODUCT(($B$34:$B$50=$A60)*K$34:K$50*$C$34:$C$50)</f>
        <v>7.19168820345454</v>
      </c>
      <c r="L60" s="25" t="n">
        <f aca="false">SUMPRODUCT(($B$34:$B$50=$A60)*L$34:L$50*$C$34:$C$50)</f>
        <v>7.61598489952708</v>
      </c>
      <c r="M60" s="25" t="n">
        <f aca="false">SUMPRODUCT(($B$34:$B$50=$A60)*M$34:M$50*$C$34:$C$50)</f>
        <v>8.06560780533273</v>
      </c>
      <c r="N60" s="25" t="n">
        <f aca="false">SUMPRODUCT(($B$34:$B$50=$A60)*N$34:N$50*$C$34:$C$50)</f>
        <v>8.54206863874576</v>
      </c>
      <c r="O60" s="25" t="n">
        <f aca="false">SUMPRODUCT(($B$34:$B$50=$A60)*O$34:O$50*$C$34:$C$50)</f>
        <v>9.04696935186639</v>
      </c>
      <c r="P60" s="25" t="n">
        <f aca="false">SUMPRODUCT(($B$34:$B$50=$A60)*P$34:P$50*$C$34:$C$50)</f>
        <v>80.7709804700263</v>
      </c>
    </row>
    <row r="61" customFormat="false" ht="15" hidden="false" customHeight="false" outlineLevel="0" collapsed="false">
      <c r="A61" s="6" t="s">
        <v>275</v>
      </c>
      <c r="D61" s="26" t="n">
        <f aca="false">SUMPRODUCT(D$34:D$50*parametros_recargas!$D$51:$D$67)</f>
        <v>45.8437859790714</v>
      </c>
      <c r="E61" s="26" t="n">
        <f aca="false">SUMPRODUCT(E$34:E$50*parametros_recargas!$D$51:$D$67)</f>
        <v>48.5453759912773</v>
      </c>
      <c r="F61" s="26" t="n">
        <f aca="false">SUMPRODUCT(F$34:F$50*parametros_recargas!$D$51:$D$67)</f>
        <v>51.4082235289255</v>
      </c>
      <c r="G61" s="26" t="n">
        <f aca="false">SUMPRODUCT(G$34:G$50*parametros_recargas!$D$51:$D$67)</f>
        <v>54.441954030885</v>
      </c>
      <c r="H61" s="26" t="n">
        <f aca="false">SUMPRODUCT(H$34:H$50*parametros_recargas!$D$51:$D$67)</f>
        <v>57.6567674771087</v>
      </c>
      <c r="I61" s="26" t="n">
        <f aca="false">SUMPRODUCT(I$34:I$50*parametros_recargas!$D$51:$D$67)</f>
        <v>61.063472682909</v>
      </c>
      <c r="J61" s="26" t="n">
        <f aca="false">SUMPRODUCT(J$34:J$50*parametros_recargas!$D$51:$D$67)</f>
        <v>64.6735236402544</v>
      </c>
      <c r="K61" s="26" t="n">
        <f aca="false">SUMPRODUCT(K$34:K$50*parametros_recargas!$D$51:$D$67)</f>
        <v>68.4990580282728</v>
      </c>
      <c r="L61" s="26" t="n">
        <f aca="false">SUMPRODUCT(L$34:L$50*parametros_recargas!$D$51:$D$67)</f>
        <v>72.5529380224414</v>
      </c>
      <c r="M61" s="26" t="n">
        <f aca="false">SUMPRODUCT(M$34:M$50*parametros_recargas!$D$51:$D$67)</f>
        <v>76.8487935396709</v>
      </c>
      <c r="N61" s="26" t="n">
        <f aca="false">SUMPRODUCT(N$34:N$50*parametros_recargas!$D$51:$D$67)</f>
        <v>81.4010680646833</v>
      </c>
      <c r="O61" s="26" t="n">
        <f aca="false">SUMPRODUCT(O$34:O$50*parametros_recargas!$D$51:$D$67)</f>
        <v>86.2250672117595</v>
      </c>
      <c r="P61" s="26" t="n">
        <f aca="false">SUMPRODUCT(P$34:P$50*parametros_recargas!$D$51:$D$67)</f>
        <v>769.160028197259</v>
      </c>
    </row>
    <row r="65" customFormat="false" ht="23.85" hidden="false" customHeight="false" outlineLevel="0" collapsed="false">
      <c r="A65" s="23" t="n">
        <v>2028</v>
      </c>
      <c r="B65" s="3" t="s">
        <v>270</v>
      </c>
      <c r="C65" s="3" t="s">
        <v>271</v>
      </c>
      <c r="D65" s="3" t="s">
        <v>124</v>
      </c>
      <c r="E65" s="3" t="s">
        <v>125</v>
      </c>
      <c r="F65" s="3" t="s">
        <v>126</v>
      </c>
      <c r="G65" s="3" t="s">
        <v>127</v>
      </c>
      <c r="H65" s="3" t="s">
        <v>128</v>
      </c>
      <c r="I65" s="3" t="s">
        <v>129</v>
      </c>
      <c r="J65" s="3" t="s">
        <v>130</v>
      </c>
      <c r="K65" s="3" t="s">
        <v>131</v>
      </c>
      <c r="L65" s="3" t="s">
        <v>132</v>
      </c>
      <c r="M65" s="3" t="s">
        <v>133</v>
      </c>
      <c r="N65" s="3" t="s">
        <v>134</v>
      </c>
      <c r="O65" s="3" t="s">
        <v>135</v>
      </c>
      <c r="P65" s="3" t="s">
        <v>136</v>
      </c>
      <c r="Q65" s="3" t="s">
        <v>272</v>
      </c>
    </row>
    <row r="66" customFormat="false" ht="15" hidden="false" customHeight="false" outlineLevel="0" collapsed="false">
      <c r="A66" s="12" t="str">
        <f aca="false">parametros_recargas!A51</f>
        <v>ABC 1 kg</v>
      </c>
      <c r="B66" s="12" t="str">
        <f aca="false">parametros_recargas!B51</f>
        <v>ABC</v>
      </c>
      <c r="C66" s="24" t="n">
        <f aca="false">parametros_recargas!C51</f>
        <v>1</v>
      </c>
      <c r="D66" s="25" t="n">
        <f aca="false">datos_base!$D$2*parametros_recargas!$F$39+sobrestock_sustitutos!$D$175/12</f>
        <v>1343.63378823838</v>
      </c>
      <c r="E66" s="25" t="n">
        <f aca="false">datos_base!$D$2*parametros_recargas!$G$39+sobrestock_sustitutos!$D$175/12</f>
        <v>1414.62986138024</v>
      </c>
      <c r="F66" s="25" t="n">
        <f aca="false">datos_base!$D$2*parametros_recargas!$H$39+sobrestock_sustitutos!$D$175/12</f>
        <v>1489.37728585436</v>
      </c>
      <c r="G66" s="25" t="n">
        <f aca="false">datos_base!$D$2*parametros_recargas!$I$39+sobrestock_sustitutos!$D$175/12</f>
        <v>1568.07427877605</v>
      </c>
      <c r="H66" s="25" t="n">
        <f aca="false">datos_base!$D$2*parametros_recargas!$J$39+sobrestock_sustitutos!$D$175/12</f>
        <v>1650.92953082641</v>
      </c>
      <c r="I66" s="25" t="n">
        <f aca="false">datos_base!$D$2*parametros_recargas!$K$39+sobrestock_sustitutos!$D$175/12</f>
        <v>1738.16275966348</v>
      </c>
      <c r="J66" s="25" t="n">
        <f aca="false">datos_base!$D$2*parametros_recargas!$L$39+sobrestock_sustitutos!$D$175/12</f>
        <v>1830.00529257516</v>
      </c>
      <c r="K66" s="25" t="n">
        <f aca="false">datos_base!$D$2*parametros_recargas!$M$39+sobrestock_sustitutos!$D$175/12</f>
        <v>1926.70067991877</v>
      </c>
      <c r="L66" s="25" t="n">
        <f aca="false">datos_base!$D$2*parametros_recargas!$N$39+sobrestock_sustitutos!$D$175/12</f>
        <v>2028.50534097402</v>
      </c>
      <c r="M66" s="25" t="n">
        <f aca="false">datos_base!$D$2*parametros_recargas!$O$39+sobrestock_sustitutos!$D$175/12</f>
        <v>2135.68924392222</v>
      </c>
      <c r="N66" s="25" t="n">
        <f aca="false">datos_base!$D$2*parametros_recargas!$P$39+sobrestock_sustitutos!$D$175/12</f>
        <v>2248.53662175468</v>
      </c>
      <c r="O66" s="25" t="n">
        <f aca="false">datos_base!$D$2*parametros_recargas!$Q$39+sobrestock_sustitutos!$D$175/12</f>
        <v>2367.34672600902</v>
      </c>
      <c r="P66" s="7" t="n">
        <f aca="false">SUM(D66:O66)</f>
        <v>21741.5914098928</v>
      </c>
      <c r="Q66" s="13" t="n">
        <f aca="false">sobrestock_sustitutos!$D$175</f>
        <v>0</v>
      </c>
    </row>
    <row r="67" customFormat="false" ht="15" hidden="false" customHeight="false" outlineLevel="0" collapsed="false">
      <c r="A67" s="12" t="str">
        <f aca="false">parametros_recargas!A52</f>
        <v>ABC 2,5 kg</v>
      </c>
      <c r="B67" s="12" t="str">
        <f aca="false">parametros_recargas!B52</f>
        <v>ABC</v>
      </c>
      <c r="C67" s="24" t="n">
        <f aca="false">parametros_recargas!C52</f>
        <v>1</v>
      </c>
      <c r="D67" s="25" t="n">
        <f aca="false">datos_base!$D$3*parametros_recargas!$F$39+sobrestock_sustitutos!$D$176/12</f>
        <v>129.637416828011</v>
      </c>
      <c r="E67" s="25" t="n">
        <f aca="false">datos_base!$D$3*parametros_recargas!$G$39+sobrestock_sustitutos!$D$176/12</f>
        <v>136.487309713714</v>
      </c>
      <c r="F67" s="25" t="n">
        <f aca="false">datos_base!$D$3*parametros_recargas!$H$39+sobrestock_sustitutos!$D$176/12</f>
        <v>143.699143107749</v>
      </c>
      <c r="G67" s="25" t="n">
        <f aca="false">datos_base!$D$3*parametros_recargas!$I$39+sobrestock_sustitutos!$D$176/12</f>
        <v>151.292041532756</v>
      </c>
      <c r="H67" s="25" t="n">
        <f aca="false">datos_base!$D$3*parametros_recargas!$J$39+sobrestock_sustitutos!$D$176/12</f>
        <v>159.286140029284</v>
      </c>
      <c r="I67" s="25" t="n">
        <f aca="false">datos_base!$D$3*parametros_recargas!$K$39+sobrestock_sustitutos!$D$176/12</f>
        <v>167.702637550407</v>
      </c>
      <c r="J67" s="25" t="n">
        <f aca="false">datos_base!$D$3*parametros_recargas!$L$39+sobrestock_sustitutos!$D$176/12</f>
        <v>176.563853177637</v>
      </c>
      <c r="K67" s="25" t="n">
        <f aca="false">datos_base!$D$3*parametros_recargas!$M$39+sobrestock_sustitutos!$D$176/12</f>
        <v>185.893285307238</v>
      </c>
      <c r="L67" s="25" t="n">
        <f aca="false">datos_base!$D$3*parametros_recargas!$N$39+sobrestock_sustitutos!$D$176/12</f>
        <v>195.715673963866</v>
      </c>
      <c r="M67" s="25" t="n">
        <f aca="false">datos_base!$D$3*parametros_recargas!$O$39+sobrestock_sustitutos!$D$176/12</f>
        <v>206.057066406792</v>
      </c>
      <c r="N67" s="25" t="n">
        <f aca="false">datos_base!$D$3*parametros_recargas!$P$39+sobrestock_sustitutos!$D$176/12</f>
        <v>216.944886202686</v>
      </c>
      <c r="O67" s="25" t="n">
        <f aca="false">datos_base!$D$3*parametros_recargas!$Q$39+sobrestock_sustitutos!$D$176/12</f>
        <v>228.408005948129</v>
      </c>
      <c r="P67" s="7" t="n">
        <f aca="false">SUM(D67:O67)</f>
        <v>2097.68745976827</v>
      </c>
      <c r="Q67" s="13" t="n">
        <f aca="false">sobrestock_sustitutos!$D$176</f>
        <v>0</v>
      </c>
    </row>
    <row r="68" customFormat="false" ht="15" hidden="false" customHeight="false" outlineLevel="0" collapsed="false">
      <c r="A68" s="12" t="str">
        <f aca="false">parametros_recargas!A53</f>
        <v>ABC 5 kg</v>
      </c>
      <c r="B68" s="12" t="str">
        <f aca="false">parametros_recargas!B53</f>
        <v>ABC</v>
      </c>
      <c r="C68" s="24" t="n">
        <f aca="false">parametros_recargas!C53</f>
        <v>1</v>
      </c>
      <c r="D68" s="25" t="n">
        <f aca="false">datos_base!$D$4*parametros_recargas!$F$39+sobrestock_sustitutos!$D$177/12</f>
        <v>784.991671738185</v>
      </c>
      <c r="E68" s="25" t="n">
        <f aca="false">datos_base!$D$4*parametros_recargas!$G$39+sobrestock_sustitutos!$D$177/12</f>
        <v>826.306814353352</v>
      </c>
      <c r="F68" s="25" t="n">
        <f aca="false">datos_base!$D$4*parametros_recargas!$H$39+sobrestock_sustitutos!$D$177/12</f>
        <v>869.805001867098</v>
      </c>
      <c r="G68" s="25" t="n">
        <f aca="false">datos_base!$D$4*parametros_recargas!$I$39+sobrestock_sustitutos!$D$177/12</f>
        <v>915.601583875906</v>
      </c>
      <c r="H68" s="25" t="n">
        <f aca="false">datos_base!$D$4*parametros_recargas!$J$39+sobrestock_sustitutos!$D$177/12</f>
        <v>963.818004917049</v>
      </c>
      <c r="I68" s="25" t="n">
        <f aca="false">datos_base!$D$4*parametros_recargas!$K$39+sobrestock_sustitutos!$D$177/12</f>
        <v>1014.5821265183</v>
      </c>
      <c r="J68" s="25" t="n">
        <f aca="false">datos_base!$D$4*parametros_recargas!$L$39+sobrestock_sustitutos!$D$177/12</f>
        <v>1068.02856626437</v>
      </c>
      <c r="K68" s="25" t="n">
        <f aca="false">datos_base!$D$4*parametros_recargas!$M$39+sobrestock_sustitutos!$D$177/12</f>
        <v>1124.29905477924</v>
      </c>
      <c r="L68" s="25" t="n">
        <f aca="false">datos_base!$D$4*parametros_recargas!$N$39+sobrestock_sustitutos!$D$177/12</f>
        <v>1183.542811571</v>
      </c>
      <c r="M68" s="25" t="n">
        <f aca="false">datos_base!$D$4*parametros_recargas!$O$39+sobrestock_sustitutos!$D$177/12</f>
        <v>1245.91694073594</v>
      </c>
      <c r="N68" s="25" t="n">
        <f aca="false">datos_base!$D$4*parametros_recargas!$P$39+sobrestock_sustitutos!$D$177/12</f>
        <v>1311.58684757121</v>
      </c>
      <c r="O68" s="25" t="n">
        <f aca="false">datos_base!$D$4*parametros_recargas!$Q$39+sobrestock_sustitutos!$D$177/12</f>
        <v>1380.72667720069</v>
      </c>
      <c r="P68" s="7" t="n">
        <f aca="false">SUM(D68:O68)</f>
        <v>12689.2061013923</v>
      </c>
      <c r="Q68" s="13" t="n">
        <f aca="false">sobrestock_sustitutos!$D$177</f>
        <v>37</v>
      </c>
    </row>
    <row r="69" customFormat="false" ht="15" hidden="false" customHeight="false" outlineLevel="0" collapsed="false">
      <c r="A69" s="12" t="str">
        <f aca="false">parametros_recargas!A54</f>
        <v>ABC 10 kg</v>
      </c>
      <c r="B69" s="12" t="str">
        <f aca="false">parametros_recargas!B54</f>
        <v>ABC</v>
      </c>
      <c r="C69" s="24" t="n">
        <f aca="false">parametros_recargas!C54</f>
        <v>1</v>
      </c>
      <c r="D69" s="25" t="n">
        <f aca="false">datos_base!$D$5*parametros_recargas!$F$39+sobrestock_sustitutos!$D$178/12</f>
        <v>45.2523330704898</v>
      </c>
      <c r="E69" s="25" t="n">
        <f aca="false">datos_base!$D$5*parametros_recargas!$G$39+sobrestock_sustitutos!$D$178/12</f>
        <v>47.6346081350758</v>
      </c>
      <c r="F69" s="25" t="n">
        <f aca="false">datos_base!$D$5*parametros_recargas!$H$39+sobrestock_sustitutos!$D$178/12</f>
        <v>50.1427598903271</v>
      </c>
      <c r="G69" s="25" t="n">
        <f aca="false">datos_base!$D$5*parametros_recargas!$I$39+sobrestock_sustitutos!$D$178/12</f>
        <v>52.7834395166586</v>
      </c>
      <c r="H69" s="25" t="n">
        <f aca="false">datos_base!$D$5*parametros_recargas!$J$39+sobrestock_sustitutos!$D$178/12</f>
        <v>55.5636496352539</v>
      </c>
      <c r="I69" s="25" t="n">
        <f aca="false">datos_base!$D$5*parametros_recargas!$K$39+sobrestock_sustitutos!$D$178/12</f>
        <v>58.4907628777937</v>
      </c>
      <c r="J69" s="25" t="n">
        <f aca="false">datos_base!$D$5*parametros_recargas!$L$39+sobrestock_sustitutos!$D$178/12</f>
        <v>61.5725414373872</v>
      </c>
      <c r="K69" s="25" t="n">
        <f aca="false">datos_base!$D$5*parametros_recargas!$M$39+sobrestock_sustitutos!$D$178/12</f>
        <v>64.8171576525526</v>
      </c>
      <c r="L69" s="25" t="n">
        <f aca="false">datos_base!$D$5*parametros_recargas!$N$39+sobrestock_sustitutos!$D$178/12</f>
        <v>68.2332156788316</v>
      </c>
      <c r="M69" s="25" t="n">
        <f aca="false">datos_base!$D$5*parametros_recargas!$O$39+sobrestock_sustitutos!$D$178/12</f>
        <v>71.8297743055076</v>
      </c>
      <c r="N69" s="25" t="n">
        <f aca="false">datos_base!$D$5*parametros_recargas!$P$39+sobrestock_sustitutos!$D$178/12</f>
        <v>75.6163709779321</v>
      </c>
      <c r="O69" s="25" t="n">
        <f aca="false">datos_base!$D$5*parametros_recargas!$Q$39+sobrestock_sustitutos!$D$178/12</f>
        <v>79.6030470891646</v>
      </c>
      <c r="P69" s="7" t="n">
        <f aca="false">SUM(D69:O69)</f>
        <v>731.539660266975</v>
      </c>
      <c r="Q69" s="13" t="n">
        <f aca="false">sobrestock_sustitutos!$D$178</f>
        <v>2</v>
      </c>
    </row>
    <row r="70" customFormat="false" ht="15" hidden="false" customHeight="false" outlineLevel="0" collapsed="false">
      <c r="A70" s="12" t="str">
        <f aca="false">parametros_recargas!A55</f>
        <v>Agua 10 l</v>
      </c>
      <c r="B70" s="12" t="str">
        <f aca="false">parametros_recargas!B55</f>
        <v>Agua</v>
      </c>
      <c r="C70" s="24" t="n">
        <f aca="false">parametros_recargas!C55</f>
        <v>1</v>
      </c>
      <c r="D70" s="25" t="n">
        <f aca="false">datos_base!$D$6*parametros_recargas!$F$39+sobrestock_sustitutos!$D$179/12</f>
        <v>65.1029362253985</v>
      </c>
      <c r="E70" s="25" t="n">
        <f aca="false">datos_base!$D$6*parametros_recargas!$G$39+sobrestock_sustitutos!$D$179/12</f>
        <v>68.5296912266699</v>
      </c>
      <c r="F70" s="25" t="n">
        <f aca="false">datos_base!$D$6*parametros_recargas!$H$39+sobrestock_sustitutos!$D$179/12</f>
        <v>72.1375120442666</v>
      </c>
      <c r="G70" s="25" t="n">
        <f aca="false">datos_base!$D$6*parametros_recargas!$I$39+sobrestock_sustitutos!$D$179/12</f>
        <v>75.9359659889035</v>
      </c>
      <c r="H70" s="25" t="n">
        <f aca="false">datos_base!$D$6*parametros_recargas!$J$39+sobrestock_sustitutos!$D$179/12</f>
        <v>79.9351258970552</v>
      </c>
      <c r="I70" s="25" t="n">
        <f aca="false">datos_base!$D$6*parametros_recargas!$K$39+sobrestock_sustitutos!$D$179/12</f>
        <v>84.1455968423589</v>
      </c>
      <c r="J70" s="25" t="n">
        <f aca="false">datos_base!$D$6*parametros_recargas!$L$39+sobrestock_sustitutos!$D$179/12</f>
        <v>88.5785442584177</v>
      </c>
      <c r="K70" s="25" t="n">
        <f aca="false">datos_base!$D$6*parametros_recargas!$M$39+sobrestock_sustitutos!$D$179/12</f>
        <v>93.2457235475802</v>
      </c>
      <c r="L70" s="25" t="n">
        <f aca="false">datos_base!$D$6*parametros_recargas!$N$39+sobrestock_sustitutos!$D$179/12</f>
        <v>98.1595112542149</v>
      </c>
      <c r="M70" s="25" t="n">
        <f aca="false">datos_base!$D$6*parametros_recargas!$O$39+sobrestock_sustitutos!$D$179/12</f>
        <v>103.332937885144</v>
      </c>
      <c r="N70" s="25" t="n">
        <f aca="false">datos_base!$D$6*parametros_recargas!$P$39+sobrestock_sustitutos!$D$179/12</f>
        <v>108.779722464272</v>
      </c>
      <c r="O70" s="25" t="n">
        <f aca="false">datos_base!$D$6*parametros_recargas!$Q$39+sobrestock_sustitutos!$D$179/12</f>
        <v>114.514308913041</v>
      </c>
      <c r="P70" s="7" t="n">
        <f aca="false">SUM(D70:O70)</f>
        <v>1052.39757654732</v>
      </c>
      <c r="Q70" s="13" t="n">
        <f aca="false">sobrestock_sustitutos!$D$179</f>
        <v>3</v>
      </c>
    </row>
    <row r="71" customFormat="false" ht="15" hidden="false" customHeight="false" outlineLevel="0" collapsed="false">
      <c r="A71" s="12" t="str">
        <f aca="false">parametros_recargas!A56</f>
        <v>AFFF 10 l</v>
      </c>
      <c r="B71" s="12" t="str">
        <f aca="false">parametros_recargas!B56</f>
        <v>AFFF</v>
      </c>
      <c r="C71" s="24" t="n">
        <f aca="false">parametros_recargas!C56</f>
        <v>1</v>
      </c>
      <c r="D71" s="25" t="n">
        <f aca="false">datos_base!$D$7*parametros_recargas!$F$39+sobrestock_sustitutos!$D$180/12</f>
        <v>14.0099681484525</v>
      </c>
      <c r="E71" s="25" t="n">
        <f aca="false">datos_base!$D$7*parametros_recargas!$G$39+sobrestock_sustitutos!$D$180/12</f>
        <v>14.7458356092214</v>
      </c>
      <c r="F71" s="25" t="n">
        <f aca="false">datos_base!$D$7*parametros_recargas!$H$39+sobrestock_sustitutos!$D$180/12</f>
        <v>15.5205854652715</v>
      </c>
      <c r="G71" s="25" t="n">
        <f aca="false">datos_base!$D$7*parametros_recargas!$I$39+sobrestock_sustitutos!$D$180/12</f>
        <v>16.3362722179137</v>
      </c>
      <c r="H71" s="25" t="n">
        <f aca="false">datos_base!$D$7*parametros_recargas!$J$39+sobrestock_sustitutos!$D$180/12</f>
        <v>17.1950589259592</v>
      </c>
      <c r="I71" s="25" t="n">
        <f aca="false">datos_base!$D$7*parametros_recargas!$K$39+sobrestock_sustitutos!$D$180/12</f>
        <v>18.0992229417736</v>
      </c>
      <c r="J71" s="25" t="n">
        <f aca="false">datos_base!$D$7*parametros_recargas!$L$39+sobrestock_sustitutos!$D$180/12</f>
        <v>19.0511619504179</v>
      </c>
      <c r="K71" s="25" t="n">
        <f aca="false">datos_base!$D$7*parametros_recargas!$M$39+sobrestock_sustitutos!$D$180/12</f>
        <v>20.0534003278902</v>
      </c>
      <c r="L71" s="25" t="n">
        <f aca="false">datos_base!$D$7*parametros_recargas!$N$39+sobrestock_sustitutos!$D$180/12</f>
        <v>21.10859583533</v>
      </c>
      <c r="M71" s="25" t="n">
        <f aca="false">datos_base!$D$7*parametros_recargas!$O$39+sobrestock_sustitutos!$D$180/12</f>
        <v>22.219546666937</v>
      </c>
      <c r="N71" s="25" t="n">
        <f aca="false">datos_base!$D$7*parametros_recargas!$P$39+sobrestock_sustitutos!$D$180/12</f>
        <v>23.3891988702929</v>
      </c>
      <c r="O71" s="25" t="n">
        <f aca="false">datos_base!$D$7*parametros_recargas!$Q$39+sobrestock_sustitutos!$D$180/12</f>
        <v>24.6206541587654</v>
      </c>
      <c r="P71" s="7" t="n">
        <f aca="false">SUM(D71:O71)</f>
        <v>226.349501118225</v>
      </c>
      <c r="Q71" s="13" t="n">
        <f aca="false">sobrestock_sustitutos!$D$180</f>
        <v>1</v>
      </c>
    </row>
    <row r="72" customFormat="false" ht="15" hidden="false" customHeight="false" outlineLevel="0" collapsed="false">
      <c r="A72" s="12" t="str">
        <f aca="false">parametros_recargas!A57</f>
        <v>AFFF 50 l s/ruedas</v>
      </c>
      <c r="B72" s="12" t="str">
        <f aca="false">parametros_recargas!B57</f>
        <v>AFFF</v>
      </c>
      <c r="C72" s="24" t="n">
        <f aca="false">parametros_recargas!C57</f>
        <v>3</v>
      </c>
      <c r="D72" s="25" t="n">
        <f aca="false">datos_base!$D$8*parametros_recargas!$F$39+sobrestock_sustitutos!$D$181/12</f>
        <v>7.31761987705882</v>
      </c>
      <c r="E72" s="25" t="n">
        <f aca="false">datos_base!$D$8*parametros_recargas!$G$39+sobrestock_sustitutos!$D$181/12</f>
        <v>7.69987130678874</v>
      </c>
      <c r="F72" s="25" t="n">
        <f aca="false">datos_base!$D$8*parametros_recargas!$H$39+sobrestock_sustitutos!$D$181/12</f>
        <v>8.1023204650227</v>
      </c>
      <c r="G72" s="25" t="n">
        <f aca="false">datos_base!$D$8*parametros_recargas!$I$39+sobrestock_sustitutos!$D$181/12</f>
        <v>8.526034576642</v>
      </c>
      <c r="H72" s="25" t="n">
        <f aca="false">datos_base!$D$8*parametros_recargas!$J$39+sobrestock_sustitutos!$D$181/12</f>
        <v>8.97213725747047</v>
      </c>
      <c r="I72" s="25" t="n">
        <f aca="false">datos_base!$D$8*parametros_recargas!$K$39+sobrestock_sustitutos!$D$181/12</f>
        <v>9.44181149390742</v>
      </c>
      <c r="J72" s="25" t="n">
        <f aca="false">datos_base!$D$8*parametros_recargas!$L$39+sobrestock_sustitutos!$D$181/12</f>
        <v>9.93630278000091</v>
      </c>
      <c r="K72" s="25" t="n">
        <f aca="false">datos_base!$D$8*parametros_recargas!$M$39+sobrestock_sustitutos!$D$181/12</f>
        <v>10.4569224202805</v>
      </c>
      <c r="L72" s="25" t="n">
        <f aca="false">datos_base!$D$8*parametros_recargas!$N$39+sobrestock_sustitutos!$D$181/12</f>
        <v>11.0050510071078</v>
      </c>
      <c r="M72" s="25" t="n">
        <f aca="false">datos_base!$D$8*parametros_recargas!$O$39+sobrestock_sustitutos!$D$181/12</f>
        <v>11.5821420817664</v>
      </c>
      <c r="N72" s="25" t="n">
        <f aca="false">datos_base!$D$8*parametros_recargas!$P$39+sobrestock_sustitutos!$D$181/12</f>
        <v>12.1897259889994</v>
      </c>
      <c r="O72" s="25" t="n">
        <f aca="false">datos_base!$D$8*parametros_recargas!$Q$39+sobrestock_sustitutos!$D$181/12</f>
        <v>12.8294139352163</v>
      </c>
      <c r="P72" s="7" t="n">
        <f aca="false">SUM(D72:O72)</f>
        <v>118.059353190262</v>
      </c>
      <c r="Q72" s="13" t="n">
        <f aca="false">sobrestock_sustitutos!$D$181</f>
        <v>1</v>
      </c>
    </row>
    <row r="73" customFormat="false" ht="15" hidden="false" customHeight="false" outlineLevel="0" collapsed="false">
      <c r="A73" s="12" t="str">
        <f aca="false">parametros_recargas!A58</f>
        <v>BC 5 kg</v>
      </c>
      <c r="B73" s="12" t="str">
        <f aca="false">parametros_recargas!B58</f>
        <v>BC</v>
      </c>
      <c r="C73" s="24" t="n">
        <f aca="false">parametros_recargas!C58</f>
        <v>1</v>
      </c>
      <c r="D73" s="25" t="n">
        <f aca="false">datos_base!$D$9*parametros_recargas!$F$39+sobrestock_sustitutos!$D$182/12</f>
        <v>3.9933320930784</v>
      </c>
      <c r="E73" s="25" t="n">
        <f aca="false">datos_base!$D$9*parametros_recargas!$G$39+sobrestock_sustitutos!$D$182/12</f>
        <v>4.19993195709002</v>
      </c>
      <c r="F73" s="25" t="n">
        <f aca="false">datos_base!$D$9*parametros_recargas!$H$39+sobrestock_sustitutos!$D$182/12</f>
        <v>4.41744832170237</v>
      </c>
      <c r="G73" s="25" t="n">
        <f aca="false">datos_base!$D$9*parametros_recargas!$I$39+sobrestock_sustitutos!$D$182/12</f>
        <v>4.64645800232593</v>
      </c>
      <c r="H73" s="25" t="n">
        <f aca="false">datos_base!$D$9*parametros_recargas!$J$39+sobrestock_sustitutos!$D$182/12</f>
        <v>4.88756829263799</v>
      </c>
      <c r="I73" s="25" t="n">
        <f aca="false">datos_base!$D$9*parametros_recargas!$K$39+sobrestock_sustitutos!$D$182/12</f>
        <v>5.14141857501939</v>
      </c>
      <c r="J73" s="25" t="n">
        <f aca="false">datos_base!$D$9*parametros_recargas!$L$39+sobrestock_sustitutos!$D$182/12</f>
        <v>5.40868201608495</v>
      </c>
      <c r="K73" s="25" t="n">
        <f aca="false">datos_base!$D$9*parametros_recargas!$M$39+sobrestock_sustitutos!$D$182/12</f>
        <v>5.69006735180374</v>
      </c>
      <c r="L73" s="25" t="n">
        <f aca="false">datos_base!$D$9*parametros_recargas!$N$39+sobrestock_sustitutos!$D$182/12</f>
        <v>5.98632076694314</v>
      </c>
      <c r="M73" s="25" t="n">
        <f aca="false">datos_base!$D$9*parametros_recargas!$O$39+sobrestock_sustitutos!$D$182/12</f>
        <v>6.29822787382048</v>
      </c>
      <c r="N73" s="25" t="n">
        <f aca="false">datos_base!$D$9*parametros_recargas!$P$39+sobrestock_sustitutos!$D$182/12</f>
        <v>6.62661579560973</v>
      </c>
      <c r="O73" s="25" t="n">
        <f aca="false">datos_base!$D$9*parametros_recargas!$Q$39+sobrestock_sustitutos!$D$182/12</f>
        <v>6.97235535972766</v>
      </c>
      <c r="P73" s="7" t="n">
        <f aca="false">SUM(D73:O73)</f>
        <v>64.2684264058438</v>
      </c>
      <c r="Q73" s="13" t="n">
        <f aca="false">sobrestock_sustitutos!$D$182</f>
        <v>1</v>
      </c>
    </row>
    <row r="74" customFormat="false" ht="15" hidden="false" customHeight="false" outlineLevel="0" collapsed="false">
      <c r="A74" s="12" t="str">
        <f aca="false">parametros_recargas!A59</f>
        <v>Sales K 6 l</v>
      </c>
      <c r="B74" s="12" t="str">
        <f aca="false">parametros_recargas!B59</f>
        <v>Sales K</v>
      </c>
      <c r="C74" s="24" t="n">
        <f aca="false">parametros_recargas!C59</f>
        <v>1</v>
      </c>
      <c r="D74" s="25" t="n">
        <f aca="false">datos_base!$D$10*parametros_recargas!$F$39+sobrestock_sustitutos!$D$183/12</f>
        <v>33.0073604537349</v>
      </c>
      <c r="E74" s="25" t="n">
        <f aca="false">datos_base!$D$10*parametros_recargas!$G$39+sobrestock_sustitutos!$D$183/12</f>
        <v>34.742625165404</v>
      </c>
      <c r="F74" s="25" t="n">
        <f aca="false">datos_base!$D$10*parametros_recargas!$H$39+sobrestock_sustitutos!$D$183/12</f>
        <v>36.5695792804422</v>
      </c>
      <c r="G74" s="25" t="n">
        <f aca="false">datos_base!$D$10*parametros_recargas!$I$39+sobrestock_sustitutos!$D$183/12</f>
        <v>38.4930675620915</v>
      </c>
      <c r="H74" s="25" t="n">
        <f aca="false">datos_base!$D$10*parametros_recargas!$J$39+sobrestock_sustitutos!$D$183/12</f>
        <v>40.5181907653443</v>
      </c>
      <c r="I74" s="25" t="n">
        <f aca="false">datos_base!$D$10*parametros_recargas!$K$39+sobrestock_sustitutos!$D$183/12</f>
        <v>42.6503191632551</v>
      </c>
      <c r="J74" s="25" t="n">
        <f aca="false">datos_base!$D$10*parametros_recargas!$L$39+sobrestock_sustitutos!$D$183/12</f>
        <v>44.8951067879663</v>
      </c>
      <c r="K74" s="25" t="n">
        <f aca="false">datos_base!$D$10*parametros_recargas!$M$39+sobrestock_sustitutos!$D$183/12</f>
        <v>47.2585064242145</v>
      </c>
      <c r="L74" s="25" t="n">
        <f aca="false">datos_base!$D$10*parametros_recargas!$N$39+sobrestock_sustitutos!$D$183/12</f>
        <v>49.7467853950755</v>
      </c>
      <c r="M74" s="25" t="n">
        <f aca="false">datos_base!$D$10*parametros_recargas!$O$39+sobrestock_sustitutos!$D$183/12</f>
        <v>52.3665421818109</v>
      </c>
      <c r="N74" s="25" t="n">
        <f aca="false">datos_base!$D$10*parametros_recargas!$P$39+sobrestock_sustitutos!$D$183/12</f>
        <v>55.1247239218878</v>
      </c>
      <c r="O74" s="25" t="n">
        <f aca="false">datos_base!$D$10*parametros_recargas!$Q$39+sobrestock_sustitutos!$D$183/12</f>
        <v>58.0286448315742</v>
      </c>
      <c r="P74" s="7" t="n">
        <f aca="false">SUM(D74:O74)</f>
        <v>533.401451932801</v>
      </c>
      <c r="Q74" s="13" t="n">
        <f aca="false">sobrestock_sustitutos!$D$183</f>
        <v>2</v>
      </c>
    </row>
    <row r="75" customFormat="false" ht="15" hidden="false" customHeight="false" outlineLevel="0" collapsed="false">
      <c r="A75" s="12" t="str">
        <f aca="false">parametros_recargas!A60</f>
        <v>CO₂ 2 kg</v>
      </c>
      <c r="B75" s="12" t="str">
        <f aca="false">parametros_recargas!B60</f>
        <v>CO₂</v>
      </c>
      <c r="C75" s="24" t="n">
        <f aca="false">parametros_recargas!C60</f>
        <v>1</v>
      </c>
      <c r="D75" s="25" t="n">
        <f aca="false">datos_base!$D$11*parametros_recargas!$F$39+sobrestock_sustitutos!$D$184/12</f>
        <v>173.977626033057</v>
      </c>
      <c r="E75" s="25" t="n">
        <f aca="false">datos_base!$D$11*parametros_recargas!$G$39+sobrestock_sustitutos!$D$184/12</f>
        <v>183.170404877272</v>
      </c>
      <c r="F75" s="25" t="n">
        <f aca="false">datos_base!$D$11*parametros_recargas!$H$39+sobrestock_sustitutos!$D$184/12</f>
        <v>192.848919645156</v>
      </c>
      <c r="G75" s="25" t="n">
        <f aca="false">datos_base!$D$11*parametros_recargas!$I$39+sobrestock_sustitutos!$D$184/12</f>
        <v>203.038836067552</v>
      </c>
      <c r="H75" s="25" t="n">
        <f aca="false">datos_base!$D$11*parametros_recargas!$J$39+sobrestock_sustitutos!$D$184/12</f>
        <v>213.767176023181</v>
      </c>
      <c r="I75" s="25" t="n">
        <f aca="false">datos_base!$D$11*parametros_recargas!$K$39+sobrestock_sustitutos!$D$184/12</f>
        <v>225.062389195939</v>
      </c>
      <c r="J75" s="25" t="n">
        <f aca="false">datos_base!$D$11*parametros_recargas!$L$39+sobrestock_sustitutos!$D$184/12</f>
        <v>236.954428518489</v>
      </c>
      <c r="K75" s="25" t="n">
        <f aca="false">datos_base!$D$11*parametros_recargas!$M$39+sobrestock_sustitutos!$D$184/12</f>
        <v>249.474829602212</v>
      </c>
      <c r="L75" s="25" t="n">
        <f aca="false">datos_base!$D$11*parametros_recargas!$N$39+sobrestock_sustitutos!$D$184/12</f>
        <v>262.65679436414</v>
      </c>
      <c r="M75" s="25" t="n">
        <f aca="false">datos_base!$D$11*parametros_recargas!$O$39+sobrestock_sustitutos!$D$184/12</f>
        <v>276.535279072635</v>
      </c>
      <c r="N75" s="25" t="n">
        <f aca="false">datos_base!$D$11*parametros_recargas!$P$39+sobrestock_sustitutos!$D$184/12</f>
        <v>291.147087045318</v>
      </c>
      <c r="O75" s="25" t="n">
        <f aca="false">datos_base!$D$11*parametros_recargas!$Q$39+sobrestock_sustitutos!$D$184/12</f>
        <v>306.53096624503</v>
      </c>
      <c r="P75" s="7" t="n">
        <f aca="false">SUM(D75:O75)</f>
        <v>2815.16473668998</v>
      </c>
      <c r="Q75" s="13" t="n">
        <f aca="false">sobrestock_sustitutos!$D$184</f>
        <v>0</v>
      </c>
    </row>
    <row r="76" customFormat="false" ht="15" hidden="false" customHeight="false" outlineLevel="0" collapsed="false">
      <c r="A76" s="12" t="str">
        <f aca="false">parametros_recargas!A61</f>
        <v>CO₂ 5 kg</v>
      </c>
      <c r="B76" s="12" t="str">
        <f aca="false">parametros_recargas!B61</f>
        <v>CO₂</v>
      </c>
      <c r="C76" s="24" t="n">
        <f aca="false">parametros_recargas!C61</f>
        <v>1</v>
      </c>
      <c r="D76" s="25" t="n">
        <f aca="false">datos_base!$D$12*parametros_recargas!$F$39+sobrestock_sustitutos!$D$185/12</f>
        <v>61.3431586269048</v>
      </c>
      <c r="E76" s="25" t="n">
        <f aca="false">datos_base!$D$12*parametros_recargas!$G$39+sobrestock_sustitutos!$D$185/12</f>
        <v>64.5404286121858</v>
      </c>
      <c r="F76" s="25" t="n">
        <f aca="false">datos_base!$D$12*parametros_recargas!$H$39+sobrestock_sustitutos!$D$185/12</f>
        <v>67.9066386879261</v>
      </c>
      <c r="G76" s="25" t="n">
        <f aca="false">datos_base!$D$12*parametros_recargas!$I$39+sobrestock_sustitutos!$D$185/12</f>
        <v>71.45071545535</v>
      </c>
      <c r="H76" s="25" t="n">
        <f aca="false">datos_base!$D$12*parametros_recargas!$J$39+sobrestock_sustitutos!$D$185/12</f>
        <v>75.182057187084</v>
      </c>
      <c r="I76" s="25" t="n">
        <f aca="false">datos_base!$D$12*parametros_recargas!$K$39+sobrestock_sustitutos!$D$185/12</f>
        <v>79.1105587497351</v>
      </c>
      <c r="J76" s="25" t="n">
        <f aca="false">datos_base!$D$12*parametros_recargas!$L$39+sobrestock_sustitutos!$D$185/12</f>
        <v>83.2466378433484</v>
      </c>
      <c r="K76" s="25" t="n">
        <f aca="false">datos_base!$D$12*parametros_recargas!$M$39+sobrestock_sustitutos!$D$185/12</f>
        <v>87.6012626273284</v>
      </c>
      <c r="L76" s="25" t="n">
        <f aca="false">datos_base!$D$12*parametros_recargas!$N$39+sobrestock_sustitutos!$D$185/12</f>
        <v>92.1859808060825</v>
      </c>
      <c r="M76" s="25" t="n">
        <f aca="false">datos_base!$D$12*parametros_recargas!$O$39+sobrestock_sustitutos!$D$185/12</f>
        <v>97.0129502515157</v>
      </c>
      <c r="N76" s="25" t="n">
        <f aca="false">datos_base!$D$12*parametros_recargas!$P$39+sobrestock_sustitutos!$D$185/12</f>
        <v>102.094971243584</v>
      </c>
      <c r="O76" s="25" t="n">
        <f aca="false">datos_base!$D$12*parametros_recargas!$Q$39+sobrestock_sustitutos!$D$185/12</f>
        <v>107.445520414402</v>
      </c>
      <c r="P76" s="7" t="n">
        <f aca="false">SUM(D76:O76)</f>
        <v>989.120880505447</v>
      </c>
      <c r="Q76" s="13" t="n">
        <f aca="false">sobrestock_sustitutos!$D$185</f>
        <v>10</v>
      </c>
    </row>
    <row r="77" customFormat="false" ht="15" hidden="false" customHeight="false" outlineLevel="0" collapsed="false">
      <c r="A77" s="12" t="str">
        <f aca="false">parametros_recargas!A62</f>
        <v>HCFC/HFC 5 kg</v>
      </c>
      <c r="B77" s="12" t="str">
        <f aca="false">parametros_recargas!B62</f>
        <v>Halogenado</v>
      </c>
      <c r="C77" s="24" t="n">
        <f aca="false">parametros_recargas!C62</f>
        <v>1</v>
      </c>
      <c r="D77" s="25" t="n">
        <f aca="false">datos_base!$D$13*parametros_recargas!$F$39+sobrestock_sustitutos!$D$186/12</f>
        <v>10.2379323217708</v>
      </c>
      <c r="E77" s="25" t="n">
        <f aca="false">datos_base!$D$13*parametros_recargas!$G$39+sobrestock_sustitutos!$D$186/12</f>
        <v>10.7744897221728</v>
      </c>
      <c r="F77" s="25" t="n">
        <f aca="false">datos_base!$D$13*parametros_recargas!$H$39+sobrestock_sustitutos!$D$186/12</f>
        <v>11.3393982021451</v>
      </c>
      <c r="G77" s="25" t="n">
        <f aca="false">datos_base!$D$13*parametros_recargas!$I$39+sobrestock_sustitutos!$D$186/12</f>
        <v>11.9341558003173</v>
      </c>
      <c r="H77" s="25" t="n">
        <f aca="false">datos_base!$D$13*parametros_recargas!$J$39+sobrestock_sustitutos!$D$186/12</f>
        <v>12.5603397099676</v>
      </c>
      <c r="I77" s="25" t="n">
        <f aca="false">datos_base!$D$13*parametros_recargas!$K$39+sobrestock_sustitutos!$D$186/12</f>
        <v>13.2196104614634</v>
      </c>
      <c r="J77" s="25" t="n">
        <f aca="false">datos_base!$D$13*parametros_recargas!$L$39+sobrestock_sustitutos!$D$186/12</f>
        <v>13.9137163256984</v>
      </c>
      <c r="K77" s="25" t="n">
        <f aca="false">datos_base!$D$13*parametros_recargas!$M$39+sobrestock_sustitutos!$D$186/12</f>
        <v>14.6444979502014</v>
      </c>
      <c r="L77" s="25" t="n">
        <f aca="false">datos_base!$D$13*parametros_recargas!$N$39+sobrestock_sustitutos!$D$186/12</f>
        <v>15.4138932402121</v>
      </c>
      <c r="M77" s="25" t="n">
        <f aca="false">datos_base!$D$13*parametros_recargas!$O$39+sobrestock_sustitutos!$D$186/12</f>
        <v>16.2239424976675</v>
      </c>
      <c r="N77" s="25" t="n">
        <f aca="false">datos_base!$D$13*parametros_recargas!$P$39+sobrestock_sustitutos!$D$186/12</f>
        <v>17.0767938317261</v>
      </c>
      <c r="O77" s="25" t="n">
        <f aca="false">datos_base!$D$13*parametros_recargas!$Q$39+sobrestock_sustitutos!$D$186/12</f>
        <v>17.9747088551784</v>
      </c>
      <c r="P77" s="7" t="n">
        <f aca="false">SUM(D77:O77)</f>
        <v>165.313478918521</v>
      </c>
      <c r="Q77" s="13" t="n">
        <f aca="false">sobrestock_sustitutos!$D$186</f>
        <v>1</v>
      </c>
    </row>
    <row r="78" customFormat="false" ht="15" hidden="false" customHeight="false" outlineLevel="0" collapsed="false">
      <c r="A78" s="12" t="str">
        <f aca="false">parametros_recargas!A63</f>
        <v>Clase D 9 l</v>
      </c>
      <c r="B78" s="12" t="str">
        <f aca="false">parametros_recargas!B63</f>
        <v>Clase D</v>
      </c>
      <c r="C78" s="24" t="n">
        <f aca="false">parametros_recargas!C63</f>
        <v>1</v>
      </c>
      <c r="D78" s="25" t="n">
        <f aca="false">datos_base!$D$14*parametros_recargas!$F$39+sobrestock_sustitutos!$D$187/12</f>
        <v>3.9933320930784</v>
      </c>
      <c r="E78" s="25" t="n">
        <f aca="false">datos_base!$D$14*parametros_recargas!$G$39+sobrestock_sustitutos!$D$187/12</f>
        <v>4.19993195709002</v>
      </c>
      <c r="F78" s="25" t="n">
        <f aca="false">datos_base!$D$14*parametros_recargas!$H$39+sobrestock_sustitutos!$D$187/12</f>
        <v>4.41744832170237</v>
      </c>
      <c r="G78" s="25" t="n">
        <f aca="false">datos_base!$D$14*parametros_recargas!$I$39+sobrestock_sustitutos!$D$187/12</f>
        <v>4.64645800232593</v>
      </c>
      <c r="H78" s="25" t="n">
        <f aca="false">datos_base!$D$14*parametros_recargas!$J$39+sobrestock_sustitutos!$D$187/12</f>
        <v>4.88756829263799</v>
      </c>
      <c r="I78" s="25" t="n">
        <f aca="false">datos_base!$D$14*parametros_recargas!$K$39+sobrestock_sustitutos!$D$187/12</f>
        <v>5.14141857501939</v>
      </c>
      <c r="J78" s="25" t="n">
        <f aca="false">datos_base!$D$14*parametros_recargas!$L$39+sobrestock_sustitutos!$D$187/12</f>
        <v>5.40868201608495</v>
      </c>
      <c r="K78" s="25" t="n">
        <f aca="false">datos_base!$D$14*parametros_recargas!$M$39+sobrestock_sustitutos!$D$187/12</f>
        <v>5.69006735180374</v>
      </c>
      <c r="L78" s="25" t="n">
        <f aca="false">datos_base!$D$14*parametros_recargas!$N$39+sobrestock_sustitutos!$D$187/12</f>
        <v>5.98632076694314</v>
      </c>
      <c r="M78" s="25" t="n">
        <f aca="false">datos_base!$D$14*parametros_recargas!$O$39+sobrestock_sustitutos!$D$187/12</f>
        <v>6.29822787382048</v>
      </c>
      <c r="N78" s="25" t="n">
        <f aca="false">datos_base!$D$14*parametros_recargas!$P$39+sobrestock_sustitutos!$D$187/12</f>
        <v>6.62661579560973</v>
      </c>
      <c r="O78" s="25" t="n">
        <f aca="false">datos_base!$D$14*parametros_recargas!$Q$39+sobrestock_sustitutos!$D$187/12</f>
        <v>6.97235535972766</v>
      </c>
      <c r="P78" s="7" t="n">
        <f aca="false">SUM(D78:O78)</f>
        <v>64.2684264058438</v>
      </c>
      <c r="Q78" s="13" t="n">
        <f aca="false">sobrestock_sustitutos!$D$187</f>
        <v>1</v>
      </c>
    </row>
    <row r="79" customFormat="false" ht="15" hidden="false" customHeight="false" outlineLevel="0" collapsed="false">
      <c r="A79" s="12" t="str">
        <f aca="false">parametros_recargas!A64</f>
        <v>ABC 25 kg s/ruedas</v>
      </c>
      <c r="B79" s="12" t="str">
        <f aca="false">parametros_recargas!B64</f>
        <v>ABC</v>
      </c>
      <c r="C79" s="24" t="n">
        <f aca="false">parametros_recargas!C64</f>
        <v>3</v>
      </c>
      <c r="D79" s="25" t="n">
        <f aca="false">datos_base!$D$15*parametros_recargas!$F$39+sobrestock_sustitutos!$D$188/12</f>
        <v>8.21984968427714</v>
      </c>
      <c r="E79" s="25" t="n">
        <f aca="false">datos_base!$D$15*parametros_recargas!$G$39+sobrestock_sustitutos!$D$188/12</f>
        <v>8.65417714352123</v>
      </c>
      <c r="F79" s="25" t="n">
        <f aca="false">datos_base!$D$15*parametros_recargas!$H$39+sobrestock_sustitutos!$D$188/12</f>
        <v>9.11145396912833</v>
      </c>
      <c r="G79" s="25" t="n">
        <f aca="false">datos_base!$D$15*parametros_recargas!$I$39+sobrestock_sustitutos!$D$188/12</f>
        <v>9.59289277937818</v>
      </c>
      <c r="H79" s="25" t="n">
        <f aca="false">datos_base!$D$15*parametros_recargas!$J$39+sobrestock_sustitutos!$D$188/12</f>
        <v>10.0997702659139</v>
      </c>
      <c r="I79" s="25" t="n">
        <f aca="false">datos_base!$D$15*parametros_recargas!$K$39+sobrestock_sustitutos!$D$188/12</f>
        <v>10.6334305793056</v>
      </c>
      <c r="J79" s="25" t="n">
        <f aca="false">datos_base!$D$15*parametros_recargas!$L$39+sobrestock_sustitutos!$D$188/12</f>
        <v>11.1952888935023</v>
      </c>
      <c r="K79" s="25" t="n">
        <f aca="false">datos_base!$D$15*parametros_recargas!$M$39+sobrestock_sustitutos!$D$188/12</f>
        <v>11.7868351586267</v>
      </c>
      <c r="L79" s="25" t="n">
        <f aca="false">datos_base!$D$15*parametros_recargas!$N$39+sobrestock_sustitutos!$D$188/12</f>
        <v>12.4096380520625</v>
      </c>
      <c r="M79" s="25" t="n">
        <f aca="false">datos_base!$D$15*parametros_recargas!$O$39+sobrestock_sustitutos!$D$188/12</f>
        <v>13.0653491383127</v>
      </c>
      <c r="N79" s="25" t="n">
        <f aca="false">datos_base!$D$15*parametros_recargas!$P$39+sobrestock_sustitutos!$D$188/12</f>
        <v>13.7557072486605</v>
      </c>
      <c r="O79" s="25" t="n">
        <f aca="false">datos_base!$D$15*parametros_recargas!$Q$39+sobrestock_sustitutos!$D$188/12</f>
        <v>14.4825430922458</v>
      </c>
      <c r="P79" s="7" t="n">
        <f aca="false">SUM(D79:O79)</f>
        <v>133.006936004935</v>
      </c>
      <c r="Q79" s="13" t="n">
        <f aca="false">sobrestock_sustitutos!$D$188</f>
        <v>0</v>
      </c>
    </row>
    <row r="80" customFormat="false" ht="15" hidden="false" customHeight="false" outlineLevel="0" collapsed="false">
      <c r="A80" s="12" t="str">
        <f aca="false">parametros_recargas!A65</f>
        <v>ABC 50 kg s/ruedas</v>
      </c>
      <c r="B80" s="12" t="str">
        <f aca="false">parametros_recargas!B65</f>
        <v>ABC</v>
      </c>
      <c r="C80" s="24" t="n">
        <f aca="false">parametros_recargas!C65</f>
        <v>3</v>
      </c>
      <c r="D80" s="25" t="n">
        <f aca="false">datos_base!$D$16*parametros_recargas!$F$39+sobrestock_sustitutos!$D$189/12</f>
        <v>18.2503359984686</v>
      </c>
      <c r="E80" s="25" t="n">
        <f aca="false">datos_base!$D$16*parametros_recargas!$G$39+sobrestock_sustitutos!$D$189/12</f>
        <v>19.2058564102002</v>
      </c>
      <c r="F80" s="25" t="n">
        <f aca="false">datos_base!$D$16*parametros_recargas!$H$39+sobrestock_sustitutos!$D$189/12</f>
        <v>20.211865428004</v>
      </c>
      <c r="G80" s="25" t="n">
        <f aca="false">datos_base!$D$16*parametros_recargas!$I$39+sobrestock_sustitutos!$D$189/12</f>
        <v>21.2710308120995</v>
      </c>
      <c r="H80" s="25" t="n">
        <f aca="false">datos_base!$D$16*parametros_recargas!$J$39+sobrestock_sustitutos!$D$189/12</f>
        <v>22.3861612841057</v>
      </c>
      <c r="I80" s="25" t="n">
        <f aca="false">datos_base!$D$16*parametros_recargas!$K$39+sobrestock_sustitutos!$D$189/12</f>
        <v>23.5602139752807</v>
      </c>
      <c r="J80" s="25" t="n">
        <f aca="false">datos_base!$D$16*parametros_recargas!$L$39+sobrestock_sustitutos!$D$189/12</f>
        <v>24.7963022683174</v>
      </c>
      <c r="K80" s="25" t="n">
        <f aca="false">datos_base!$D$16*parametros_recargas!$M$39+sobrestock_sustitutos!$D$189/12</f>
        <v>26.0977040534905</v>
      </c>
      <c r="L80" s="25" t="n">
        <f aca="false">datos_base!$D$16*parametros_recargas!$N$39+sobrestock_sustitutos!$D$189/12</f>
        <v>27.467870421049</v>
      </c>
      <c r="M80" s="25" t="n">
        <f aca="false">datos_base!$D$16*parametros_recargas!$O$39+sobrestock_sustitutos!$D$189/12</f>
        <v>28.9104348129048</v>
      </c>
      <c r="N80" s="25" t="n">
        <f aca="false">datos_base!$D$16*parametros_recargas!$P$39+sobrestock_sustitutos!$D$189/12</f>
        <v>30.4292226578865</v>
      </c>
      <c r="O80" s="25" t="n">
        <f aca="false">datos_base!$D$16*parametros_recargas!$Q$39+sobrestock_sustitutos!$D$189/12</f>
        <v>32.028261516108</v>
      </c>
      <c r="P80" s="7" t="n">
        <f aca="false">SUM(D80:O80)</f>
        <v>294.615259637915</v>
      </c>
      <c r="Q80" s="13" t="n">
        <f aca="false">sobrestock_sustitutos!$D$189</f>
        <v>2</v>
      </c>
    </row>
    <row r="81" customFormat="false" ht="15" hidden="false" customHeight="false" outlineLevel="0" collapsed="false">
      <c r="A81" s="12" t="str">
        <f aca="false">parametros_recargas!A66</f>
        <v>ABC 70 kg s/ruedas</v>
      </c>
      <c r="B81" s="12" t="str">
        <f aca="false">parametros_recargas!B66</f>
        <v>ABC</v>
      </c>
      <c r="C81" s="24" t="n">
        <f aca="false">parametros_recargas!C66</f>
        <v>3</v>
      </c>
      <c r="D81" s="25" t="n">
        <f aca="false">datos_base!$D$17*parametros_recargas!$F$39+sobrestock_sustitutos!$D$190/12</f>
        <v>3.94552784141509</v>
      </c>
      <c r="E81" s="25" t="n">
        <f aca="false">datos_base!$D$17*parametros_recargas!$G$39+sobrestock_sustitutos!$D$190/12</f>
        <v>4.15400502148038</v>
      </c>
      <c r="F81" s="25" t="n">
        <f aca="false">datos_base!$D$17*parametros_recargas!$H$39+sobrestock_sustitutos!$D$190/12</f>
        <v>4.37349789738026</v>
      </c>
      <c r="G81" s="25" t="n">
        <f aca="false">datos_base!$D$17*parametros_recargas!$I$39+sobrestock_sustitutos!$D$190/12</f>
        <v>4.60458852588797</v>
      </c>
      <c r="H81" s="25" t="n">
        <f aca="false">datos_base!$D$17*parametros_recargas!$J$39+sobrestock_sustitutos!$D$190/12</f>
        <v>4.84788971899115</v>
      </c>
      <c r="I81" s="25" t="n">
        <f aca="false">datos_base!$D$17*parametros_recargas!$K$39+sobrestock_sustitutos!$D$190/12</f>
        <v>5.1040466689622</v>
      </c>
      <c r="J81" s="25" t="n">
        <f aca="false">datos_base!$D$17*parametros_recargas!$L$39+sobrestock_sustitutos!$D$190/12</f>
        <v>5.37373865929554</v>
      </c>
      <c r="K81" s="25" t="n">
        <f aca="false">datos_base!$D$17*parametros_recargas!$M$39+sobrestock_sustitutos!$D$190/12</f>
        <v>5.65768086604878</v>
      </c>
      <c r="L81" s="25" t="n">
        <f aca="false">datos_base!$D$17*parametros_recargas!$N$39+sobrestock_sustitutos!$D$190/12</f>
        <v>5.95662625436471</v>
      </c>
      <c r="M81" s="25" t="n">
        <f aca="false">datos_base!$D$17*parametros_recargas!$O$39+sobrestock_sustitutos!$D$190/12</f>
        <v>6.2713675752034</v>
      </c>
      <c r="N81" s="25" t="n">
        <f aca="false">datos_base!$D$17*parametros_recargas!$P$39+sobrestock_sustitutos!$D$190/12</f>
        <v>6.60273946757924</v>
      </c>
      <c r="O81" s="25" t="n">
        <f aca="false">datos_base!$D$17*parametros_recargas!$Q$39+sobrestock_sustitutos!$D$190/12</f>
        <v>6.95162067187787</v>
      </c>
      <c r="P81" s="7" t="n">
        <f aca="false">SUM(D81:O81)</f>
        <v>63.8433291684866</v>
      </c>
      <c r="Q81" s="13" t="n">
        <f aca="false">sobrestock_sustitutos!$D$190</f>
        <v>0</v>
      </c>
    </row>
    <row r="82" customFormat="false" ht="15" hidden="false" customHeight="false" outlineLevel="0" collapsed="false">
      <c r="A82" s="12" t="str">
        <f aca="false">parametros_recargas!A67</f>
        <v>ABC 100 kg s/ruedas</v>
      </c>
      <c r="B82" s="12" t="str">
        <f aca="false">parametros_recargas!B67</f>
        <v>ABC</v>
      </c>
      <c r="C82" s="24" t="n">
        <f aca="false">parametros_recargas!C67</f>
        <v>3</v>
      </c>
      <c r="D82" s="25" t="n">
        <f aca="false">datos_base!$D$18*parametros_recargas!$F$39+sobrestock_sustitutos!$D$191/12</f>
        <v>2.71368525693479</v>
      </c>
      <c r="E82" s="25" t="n">
        <f aca="false">datos_base!$D$18*parametros_recargas!$G$39+sobrestock_sustitutos!$D$191/12</f>
        <v>2.85267004519447</v>
      </c>
      <c r="F82" s="25" t="n">
        <f aca="false">datos_base!$D$18*parametros_recargas!$H$39+sobrestock_sustitutos!$D$191/12</f>
        <v>2.99899863075908</v>
      </c>
      <c r="G82" s="25" t="n">
        <f aca="false">datos_base!$D$18*parametros_recargas!$I$39+sobrestock_sustitutos!$D$191/12</f>
        <v>3.15305905148178</v>
      </c>
      <c r="H82" s="25" t="n">
        <f aca="false">datos_base!$D$18*parametros_recargas!$J$39+sobrestock_sustitutos!$D$191/12</f>
        <v>3.31525984869221</v>
      </c>
      <c r="I82" s="25" t="n">
        <f aca="false">datos_base!$D$18*parametros_recargas!$K$39+sobrestock_sustitutos!$D$191/12</f>
        <v>3.48603115057677</v>
      </c>
      <c r="J82" s="25" t="n">
        <f aca="false">datos_base!$D$18*parametros_recargas!$L$39+sobrestock_sustitutos!$D$191/12</f>
        <v>3.66582581280346</v>
      </c>
      <c r="K82" s="25" t="n">
        <f aca="false">datos_base!$D$18*parametros_recargas!$M$39+sobrestock_sustitutos!$D$191/12</f>
        <v>3.85512061941599</v>
      </c>
      <c r="L82" s="25" t="n">
        <f aca="false">datos_base!$D$18*parametros_recargas!$N$39+sobrestock_sustitutos!$D$191/12</f>
        <v>4.05441754718182</v>
      </c>
      <c r="M82" s="25" t="n">
        <f aca="false">datos_base!$D$18*parametros_recargas!$O$39+sobrestock_sustitutos!$D$191/12</f>
        <v>4.2642450967469</v>
      </c>
      <c r="N82" s="25" t="n">
        <f aca="false">datos_base!$D$18*parametros_recargas!$P$39+sobrestock_sustitutos!$D$191/12</f>
        <v>4.48515969412701</v>
      </c>
      <c r="O82" s="25" t="n">
        <f aca="false">datos_base!$D$18*parametros_recargas!$Q$39+sobrestock_sustitutos!$D$191/12</f>
        <v>4.71774716625245</v>
      </c>
      <c r="P82" s="7" t="n">
        <f aca="false">SUM(D82:O82)</f>
        <v>43.5622199201667</v>
      </c>
      <c r="Q82" s="13" t="n">
        <f aca="false">sobrestock_sustitutos!$D$191</f>
        <v>1</v>
      </c>
    </row>
    <row r="83" customFormat="false" ht="15" hidden="false" customHeight="false" outlineLevel="0" collapsed="false">
      <c r="A83" s="6" t="s">
        <v>273</v>
      </c>
      <c r="D83" s="7" t="n">
        <f aca="false">SUM(D66:D82)</f>
        <v>2709.62787452869</v>
      </c>
      <c r="E83" s="7" t="n">
        <f aca="false">SUM(E66:E82)</f>
        <v>2852.52851263667</v>
      </c>
      <c r="F83" s="7" t="n">
        <f aca="false">SUM(F66:F82)</f>
        <v>3002.97985707844</v>
      </c>
      <c r="G83" s="7" t="n">
        <f aca="false">SUM(G66:G82)</f>
        <v>3161.38087854364</v>
      </c>
      <c r="H83" s="7" t="n">
        <f aca="false">SUM(H66:H82)</f>
        <v>3328.15162887704</v>
      </c>
      <c r="I83" s="7" t="n">
        <f aca="false">SUM(I66:I82)</f>
        <v>3503.73435498257</v>
      </c>
      <c r="J83" s="7" t="n">
        <f aca="false">SUM(J66:J82)</f>
        <v>3688.59467158499</v>
      </c>
      <c r="K83" s="7" t="n">
        <f aca="false">SUM(K66:K82)</f>
        <v>3883.22279595869</v>
      </c>
      <c r="L83" s="7" t="n">
        <f aca="false">SUM(L66:L82)</f>
        <v>4088.13484789842</v>
      </c>
      <c r="M83" s="7" t="n">
        <f aca="false">SUM(M66:M82)</f>
        <v>4303.87421837875</v>
      </c>
      <c r="N83" s="7" t="n">
        <f aca="false">SUM(N66:N82)</f>
        <v>4531.01301053206</v>
      </c>
      <c r="O83" s="7" t="n">
        <f aca="false">SUM(O66:O82)</f>
        <v>4770.15355676615</v>
      </c>
      <c r="P83" s="7" t="n">
        <f aca="false">SUM(P66:P82)</f>
        <v>43823.3962077661</v>
      </c>
    </row>
    <row r="84" customFormat="false" ht="15" hidden="false" customHeight="false" outlineLevel="0" collapsed="false">
      <c r="A84" s="6" t="s">
        <v>274</v>
      </c>
    </row>
    <row r="85" customFormat="false" ht="15" hidden="false" customHeight="false" outlineLevel="0" collapsed="false">
      <c r="A85" s="4" t="s">
        <v>143</v>
      </c>
      <c r="D85" s="25" t="n">
        <f aca="false">SUMPRODUCT(($B$66:$B$82=$A85)*D$66:D$82*$C$66:$C$82)</f>
        <v>2402.90340621835</v>
      </c>
      <c r="E85" s="25" t="n">
        <f aca="false">SUMPRODUCT(($B$66:$B$82=$A85)*E$66:E$82*$C$66:$C$82)</f>
        <v>2529.65871944357</v>
      </c>
      <c r="F85" s="25" t="n">
        <f aca="false">SUMPRODUCT(($B$66:$B$82=$A85)*F$66:F$82*$C$66:$C$82)</f>
        <v>2663.11163849535</v>
      </c>
      <c r="G85" s="25" t="n">
        <f aca="false">SUMPRODUCT(($B$66:$B$82=$A85)*G$66:G$82*$C$66:$C$82)</f>
        <v>2803.61605720792</v>
      </c>
      <c r="H85" s="25" t="n">
        <f aca="false">SUMPRODUCT(($B$66:$B$82=$A85)*H$66:H$82*$C$66:$C$82)</f>
        <v>2951.5445687611</v>
      </c>
      <c r="I85" s="25" t="n">
        <f aca="false">SUMPRODUCT(($B$66:$B$82=$A85)*I$66:I$82*$C$66:$C$82)</f>
        <v>3107.28945373235</v>
      </c>
      <c r="J85" s="25" t="n">
        <f aca="false">SUMPRODUCT(($B$66:$B$82=$A85)*J$66:J$82*$C$66:$C$82)</f>
        <v>3271.26372035631</v>
      </c>
      <c r="K85" s="25" t="n">
        <f aca="false">SUMPRODUCT(($B$66:$B$82=$A85)*K$66:K$82*$C$66:$C$82)</f>
        <v>3443.90219975054</v>
      </c>
      <c r="L85" s="25" t="n">
        <f aca="false">SUMPRODUCT(($B$66:$B$82=$A85)*L$66:L$82*$C$66:$C$82)</f>
        <v>3625.66269901169</v>
      </c>
      <c r="M85" s="25" t="n">
        <f aca="false">SUMPRODUCT(($B$66:$B$82=$A85)*M$66:M$82*$C$66:$C$82)</f>
        <v>3817.02721523996</v>
      </c>
      <c r="N85" s="25" t="n">
        <f aca="false">SUMPRODUCT(($B$66:$B$82=$A85)*N$66:N$82*$C$66:$C$82)</f>
        <v>4018.50321371126</v>
      </c>
      <c r="O85" s="25" t="n">
        <f aca="false">SUMPRODUCT(($B$66:$B$82=$A85)*O$66:O$82*$C$66:$C$82)</f>
        <v>4230.62497358646</v>
      </c>
      <c r="P85" s="25" t="n">
        <f aca="false">SUMPRODUCT(($B$66:$B$82=$A85)*P$66:P$82*$C$66:$C$82)</f>
        <v>38865.1078655149</v>
      </c>
    </row>
    <row r="86" customFormat="false" ht="15" hidden="false" customHeight="false" outlineLevel="0" collapsed="false">
      <c r="A86" s="4" t="s">
        <v>149</v>
      </c>
      <c r="D86" s="25" t="n">
        <f aca="false">SUMPRODUCT(($B$66:$B$82=$A86)*D$66:D$82*$C$66:$C$82)</f>
        <v>3.9933320930784</v>
      </c>
      <c r="E86" s="25" t="n">
        <f aca="false">SUMPRODUCT(($B$66:$B$82=$A86)*E$66:E$82*$C$66:$C$82)</f>
        <v>4.19993195709002</v>
      </c>
      <c r="F86" s="25" t="n">
        <f aca="false">SUMPRODUCT(($B$66:$B$82=$A86)*F$66:F$82*$C$66:$C$82)</f>
        <v>4.41744832170237</v>
      </c>
      <c r="G86" s="25" t="n">
        <f aca="false">SUMPRODUCT(($B$66:$B$82=$A86)*G$66:G$82*$C$66:$C$82)</f>
        <v>4.64645800232593</v>
      </c>
      <c r="H86" s="25" t="n">
        <f aca="false">SUMPRODUCT(($B$66:$B$82=$A86)*H$66:H$82*$C$66:$C$82)</f>
        <v>4.88756829263799</v>
      </c>
      <c r="I86" s="25" t="n">
        <f aca="false">SUMPRODUCT(($B$66:$B$82=$A86)*I$66:I$82*$C$66:$C$82)</f>
        <v>5.14141857501939</v>
      </c>
      <c r="J86" s="25" t="n">
        <f aca="false">SUMPRODUCT(($B$66:$B$82=$A86)*J$66:J$82*$C$66:$C$82)</f>
        <v>5.40868201608495</v>
      </c>
      <c r="K86" s="25" t="n">
        <f aca="false">SUMPRODUCT(($B$66:$B$82=$A86)*K$66:K$82*$C$66:$C$82)</f>
        <v>5.69006735180374</v>
      </c>
      <c r="L86" s="25" t="n">
        <f aca="false">SUMPRODUCT(($B$66:$B$82=$A86)*L$66:L$82*$C$66:$C$82)</f>
        <v>5.98632076694314</v>
      </c>
      <c r="M86" s="25" t="n">
        <f aca="false">SUMPRODUCT(($B$66:$B$82=$A86)*M$66:M$82*$C$66:$C$82)</f>
        <v>6.29822787382048</v>
      </c>
      <c r="N86" s="25" t="n">
        <f aca="false">SUMPRODUCT(($B$66:$B$82=$A86)*N$66:N$82*$C$66:$C$82)</f>
        <v>6.62661579560973</v>
      </c>
      <c r="O86" s="25" t="n">
        <f aca="false">SUMPRODUCT(($B$66:$B$82=$A86)*O$66:O$82*$C$66:$C$82)</f>
        <v>6.97235535972766</v>
      </c>
      <c r="P86" s="25" t="n">
        <f aca="false">SUMPRODUCT(($B$66:$B$82=$A86)*P$66:P$82*$C$66:$C$82)</f>
        <v>64.2684264058438</v>
      </c>
    </row>
    <row r="87" customFormat="false" ht="15" hidden="false" customHeight="false" outlineLevel="0" collapsed="false">
      <c r="A87" s="4" t="s">
        <v>155</v>
      </c>
      <c r="D87" s="25" t="n">
        <f aca="false">SUMPRODUCT(($B$66:$B$82=$A87)*D$66:D$82*$C$66:$C$82)</f>
        <v>3.9933320930784</v>
      </c>
      <c r="E87" s="25" t="n">
        <f aca="false">SUMPRODUCT(($B$66:$B$82=$A87)*E$66:E$82*$C$66:$C$82)</f>
        <v>4.19993195709002</v>
      </c>
      <c r="F87" s="25" t="n">
        <f aca="false">SUMPRODUCT(($B$66:$B$82=$A87)*F$66:F$82*$C$66:$C$82)</f>
        <v>4.41744832170237</v>
      </c>
      <c r="G87" s="25" t="n">
        <f aca="false">SUMPRODUCT(($B$66:$B$82=$A87)*G$66:G$82*$C$66:$C$82)</f>
        <v>4.64645800232593</v>
      </c>
      <c r="H87" s="25" t="n">
        <f aca="false">SUMPRODUCT(($B$66:$B$82=$A87)*H$66:H$82*$C$66:$C$82)</f>
        <v>4.88756829263799</v>
      </c>
      <c r="I87" s="25" t="n">
        <f aca="false">SUMPRODUCT(($B$66:$B$82=$A87)*I$66:I$82*$C$66:$C$82)</f>
        <v>5.14141857501939</v>
      </c>
      <c r="J87" s="25" t="n">
        <f aca="false">SUMPRODUCT(($B$66:$B$82=$A87)*J$66:J$82*$C$66:$C$82)</f>
        <v>5.40868201608495</v>
      </c>
      <c r="K87" s="25" t="n">
        <f aca="false">SUMPRODUCT(($B$66:$B$82=$A87)*K$66:K$82*$C$66:$C$82)</f>
        <v>5.69006735180374</v>
      </c>
      <c r="L87" s="25" t="n">
        <f aca="false">SUMPRODUCT(($B$66:$B$82=$A87)*L$66:L$82*$C$66:$C$82)</f>
        <v>5.98632076694314</v>
      </c>
      <c r="M87" s="25" t="n">
        <f aca="false">SUMPRODUCT(($B$66:$B$82=$A87)*M$66:M$82*$C$66:$C$82)</f>
        <v>6.29822787382048</v>
      </c>
      <c r="N87" s="25" t="n">
        <f aca="false">SUMPRODUCT(($B$66:$B$82=$A87)*N$66:N$82*$C$66:$C$82)</f>
        <v>6.62661579560973</v>
      </c>
      <c r="O87" s="25" t="n">
        <f aca="false">SUMPRODUCT(($B$66:$B$82=$A87)*O$66:O$82*$C$66:$C$82)</f>
        <v>6.97235535972766</v>
      </c>
      <c r="P87" s="25" t="n">
        <f aca="false">SUMPRODUCT(($B$66:$B$82=$A87)*P$66:P$82*$C$66:$C$82)</f>
        <v>64.2684264058438</v>
      </c>
    </row>
    <row r="88" customFormat="false" ht="15" hidden="false" customHeight="false" outlineLevel="0" collapsed="false">
      <c r="A88" s="4" t="s">
        <v>146</v>
      </c>
      <c r="D88" s="25" t="n">
        <f aca="false">SUMPRODUCT(($B$66:$B$82=$A88)*D$66:D$82*$C$66:$C$82)</f>
        <v>65.1029362253985</v>
      </c>
      <c r="E88" s="25" t="n">
        <f aca="false">SUMPRODUCT(($B$66:$B$82=$A88)*E$66:E$82*$C$66:$C$82)</f>
        <v>68.5296912266699</v>
      </c>
      <c r="F88" s="25" t="n">
        <f aca="false">SUMPRODUCT(($B$66:$B$82=$A88)*F$66:F$82*$C$66:$C$82)</f>
        <v>72.1375120442666</v>
      </c>
      <c r="G88" s="25" t="n">
        <f aca="false">SUMPRODUCT(($B$66:$B$82=$A88)*G$66:G$82*$C$66:$C$82)</f>
        <v>75.9359659889035</v>
      </c>
      <c r="H88" s="25" t="n">
        <f aca="false">SUMPRODUCT(($B$66:$B$82=$A88)*H$66:H$82*$C$66:$C$82)</f>
        <v>79.9351258970552</v>
      </c>
      <c r="I88" s="25" t="n">
        <f aca="false">SUMPRODUCT(($B$66:$B$82=$A88)*I$66:I$82*$C$66:$C$82)</f>
        <v>84.1455968423589</v>
      </c>
      <c r="J88" s="25" t="n">
        <f aca="false">SUMPRODUCT(($B$66:$B$82=$A88)*J$66:J$82*$C$66:$C$82)</f>
        <v>88.5785442584177</v>
      </c>
      <c r="K88" s="25" t="n">
        <f aca="false">SUMPRODUCT(($B$66:$B$82=$A88)*K$66:K$82*$C$66:$C$82)</f>
        <v>93.2457235475802</v>
      </c>
      <c r="L88" s="25" t="n">
        <f aca="false">SUMPRODUCT(($B$66:$B$82=$A88)*L$66:L$82*$C$66:$C$82)</f>
        <v>98.1595112542149</v>
      </c>
      <c r="M88" s="25" t="n">
        <f aca="false">SUMPRODUCT(($B$66:$B$82=$A88)*M$66:M$82*$C$66:$C$82)</f>
        <v>103.332937885144</v>
      </c>
      <c r="N88" s="25" t="n">
        <f aca="false">SUMPRODUCT(($B$66:$B$82=$A88)*N$66:N$82*$C$66:$C$82)</f>
        <v>108.779722464272</v>
      </c>
      <c r="O88" s="25" t="n">
        <f aca="false">SUMPRODUCT(($B$66:$B$82=$A88)*O$66:O$82*$C$66:$C$82)</f>
        <v>114.514308913041</v>
      </c>
      <c r="P88" s="25" t="n">
        <f aca="false">SUMPRODUCT(($B$66:$B$82=$A88)*P$66:P$82*$C$66:$C$82)</f>
        <v>1052.39757654732</v>
      </c>
    </row>
    <row r="89" customFormat="false" ht="15" hidden="false" customHeight="false" outlineLevel="0" collapsed="false">
      <c r="A89" s="4" t="s">
        <v>147</v>
      </c>
      <c r="D89" s="25" t="n">
        <f aca="false">SUMPRODUCT(($B$66:$B$82=$A89)*D$66:D$82*$C$66:$C$82)</f>
        <v>35.962827779629</v>
      </c>
      <c r="E89" s="25" t="n">
        <f aca="false">SUMPRODUCT(($B$66:$B$82=$A89)*E$66:E$82*$C$66:$C$82)</f>
        <v>37.8454495295876</v>
      </c>
      <c r="F89" s="25" t="n">
        <f aca="false">SUMPRODUCT(($B$66:$B$82=$A89)*F$66:F$82*$C$66:$C$82)</f>
        <v>39.8275468603396</v>
      </c>
      <c r="G89" s="25" t="n">
        <f aca="false">SUMPRODUCT(($B$66:$B$82=$A89)*G$66:G$82*$C$66:$C$82)</f>
        <v>41.9143759478397</v>
      </c>
      <c r="H89" s="25" t="n">
        <f aca="false">SUMPRODUCT(($B$66:$B$82=$A89)*H$66:H$82*$C$66:$C$82)</f>
        <v>44.1114706983706</v>
      </c>
      <c r="I89" s="25" t="n">
        <f aca="false">SUMPRODUCT(($B$66:$B$82=$A89)*I$66:I$82*$C$66:$C$82)</f>
        <v>46.4246574234959</v>
      </c>
      <c r="J89" s="25" t="n">
        <f aca="false">SUMPRODUCT(($B$66:$B$82=$A89)*J$66:J$82*$C$66:$C$82)</f>
        <v>48.8600702904207</v>
      </c>
      <c r="K89" s="25" t="n">
        <f aca="false">SUMPRODUCT(($B$66:$B$82=$A89)*K$66:K$82*$C$66:$C$82)</f>
        <v>51.4241675887317</v>
      </c>
      <c r="L89" s="25" t="n">
        <f aca="false">SUMPRODUCT(($B$66:$B$82=$A89)*L$66:L$82*$C$66:$C$82)</f>
        <v>54.1237488566535</v>
      </c>
      <c r="M89" s="25" t="n">
        <f aca="false">SUMPRODUCT(($B$66:$B$82=$A89)*M$66:M$82*$C$66:$C$82)</f>
        <v>56.9659729122363</v>
      </c>
      <c r="N89" s="25" t="n">
        <f aca="false">SUMPRODUCT(($B$66:$B$82=$A89)*N$66:N$82*$C$66:$C$82)</f>
        <v>59.9583768372911</v>
      </c>
      <c r="O89" s="25" t="n">
        <f aca="false">SUMPRODUCT(($B$66:$B$82=$A89)*O$66:O$82*$C$66:$C$82)</f>
        <v>63.1088959644142</v>
      </c>
      <c r="P89" s="25" t="n">
        <f aca="false">SUMPRODUCT(($B$66:$B$82=$A89)*P$66:P$82*$C$66:$C$82)</f>
        <v>580.52756068901</v>
      </c>
    </row>
    <row r="90" customFormat="false" ht="15" hidden="false" customHeight="false" outlineLevel="0" collapsed="false">
      <c r="A90" s="4" t="s">
        <v>150</v>
      </c>
      <c r="D90" s="25" t="n">
        <f aca="false">SUMPRODUCT(($B$66:$B$82=$A90)*D$66:D$82*$C$66:$C$82)</f>
        <v>33.0073604537349</v>
      </c>
      <c r="E90" s="25" t="n">
        <f aca="false">SUMPRODUCT(($B$66:$B$82=$A90)*E$66:E$82*$C$66:$C$82)</f>
        <v>34.742625165404</v>
      </c>
      <c r="F90" s="25" t="n">
        <f aca="false">SUMPRODUCT(($B$66:$B$82=$A90)*F$66:F$82*$C$66:$C$82)</f>
        <v>36.5695792804422</v>
      </c>
      <c r="G90" s="25" t="n">
        <f aca="false">SUMPRODUCT(($B$66:$B$82=$A90)*G$66:G$82*$C$66:$C$82)</f>
        <v>38.4930675620915</v>
      </c>
      <c r="H90" s="25" t="n">
        <f aca="false">SUMPRODUCT(($B$66:$B$82=$A90)*H$66:H$82*$C$66:$C$82)</f>
        <v>40.5181907653443</v>
      </c>
      <c r="I90" s="25" t="n">
        <f aca="false">SUMPRODUCT(($B$66:$B$82=$A90)*I$66:I$82*$C$66:$C$82)</f>
        <v>42.6503191632551</v>
      </c>
      <c r="J90" s="25" t="n">
        <f aca="false">SUMPRODUCT(($B$66:$B$82=$A90)*J$66:J$82*$C$66:$C$82)</f>
        <v>44.8951067879663</v>
      </c>
      <c r="K90" s="25" t="n">
        <f aca="false">SUMPRODUCT(($B$66:$B$82=$A90)*K$66:K$82*$C$66:$C$82)</f>
        <v>47.2585064242145</v>
      </c>
      <c r="L90" s="25" t="n">
        <f aca="false">SUMPRODUCT(($B$66:$B$82=$A90)*L$66:L$82*$C$66:$C$82)</f>
        <v>49.7467853950755</v>
      </c>
      <c r="M90" s="25" t="n">
        <f aca="false">SUMPRODUCT(($B$66:$B$82=$A90)*M$66:M$82*$C$66:$C$82)</f>
        <v>52.3665421818109</v>
      </c>
      <c r="N90" s="25" t="n">
        <f aca="false">SUMPRODUCT(($B$66:$B$82=$A90)*N$66:N$82*$C$66:$C$82)</f>
        <v>55.1247239218878</v>
      </c>
      <c r="O90" s="25" t="n">
        <f aca="false">SUMPRODUCT(($B$66:$B$82=$A90)*O$66:O$82*$C$66:$C$82)</f>
        <v>58.0286448315742</v>
      </c>
      <c r="P90" s="25" t="n">
        <f aca="false">SUMPRODUCT(($B$66:$B$82=$A90)*P$66:P$82*$C$66:$C$82)</f>
        <v>533.401451932801</v>
      </c>
    </row>
    <row r="91" customFormat="false" ht="15" hidden="false" customHeight="false" outlineLevel="0" collapsed="false">
      <c r="A91" s="4" t="s">
        <v>151</v>
      </c>
      <c r="D91" s="25" t="n">
        <f aca="false">SUMPRODUCT(($B$66:$B$82=$A91)*D$66:D$82*$C$66:$C$82)</f>
        <v>235.320784659962</v>
      </c>
      <c r="E91" s="25" t="n">
        <f aca="false">SUMPRODUCT(($B$66:$B$82=$A91)*E$66:E$82*$C$66:$C$82)</f>
        <v>247.710833489458</v>
      </c>
      <c r="F91" s="25" t="n">
        <f aca="false">SUMPRODUCT(($B$66:$B$82=$A91)*F$66:F$82*$C$66:$C$82)</f>
        <v>260.755558333082</v>
      </c>
      <c r="G91" s="25" t="n">
        <f aca="false">SUMPRODUCT(($B$66:$B$82=$A91)*G$66:G$82*$C$66:$C$82)</f>
        <v>274.489551522902</v>
      </c>
      <c r="H91" s="25" t="n">
        <f aca="false">SUMPRODUCT(($B$66:$B$82=$A91)*H$66:H$82*$C$66:$C$82)</f>
        <v>288.949233210265</v>
      </c>
      <c r="I91" s="25" t="n">
        <f aca="false">SUMPRODUCT(($B$66:$B$82=$A91)*I$66:I$82*$C$66:$C$82)</f>
        <v>304.172947945674</v>
      </c>
      <c r="J91" s="25" t="n">
        <f aca="false">SUMPRODUCT(($B$66:$B$82=$A91)*J$66:J$82*$C$66:$C$82)</f>
        <v>320.201066361837</v>
      </c>
      <c r="K91" s="25" t="n">
        <f aca="false">SUMPRODUCT(($B$66:$B$82=$A91)*K$66:K$82*$C$66:$C$82)</f>
        <v>337.076092229541</v>
      </c>
      <c r="L91" s="25" t="n">
        <f aca="false">SUMPRODUCT(($B$66:$B$82=$A91)*L$66:L$82*$C$66:$C$82)</f>
        <v>354.842775170222</v>
      </c>
      <c r="M91" s="25" t="n">
        <f aca="false">SUMPRODUCT(($B$66:$B$82=$A91)*M$66:M$82*$C$66:$C$82)</f>
        <v>373.548229324151</v>
      </c>
      <c r="N91" s="25" t="n">
        <f aca="false">SUMPRODUCT(($B$66:$B$82=$A91)*N$66:N$82*$C$66:$C$82)</f>
        <v>393.242058288902</v>
      </c>
      <c r="O91" s="25" t="n">
        <f aca="false">SUMPRODUCT(($B$66:$B$82=$A91)*O$66:O$82*$C$66:$C$82)</f>
        <v>413.976486659431</v>
      </c>
      <c r="P91" s="25" t="n">
        <f aca="false">SUMPRODUCT(($B$66:$B$82=$A91)*P$66:P$82*$C$66:$C$82)</f>
        <v>3804.28561719543</v>
      </c>
    </row>
    <row r="92" customFormat="false" ht="15" hidden="false" customHeight="false" outlineLevel="0" collapsed="false">
      <c r="A92" s="4" t="s">
        <v>154</v>
      </c>
      <c r="D92" s="25" t="n">
        <f aca="false">SUMPRODUCT(($B$66:$B$82=$A92)*D$66:D$82*$C$66:$C$82)</f>
        <v>10.2379323217708</v>
      </c>
      <c r="E92" s="25" t="n">
        <f aca="false">SUMPRODUCT(($B$66:$B$82=$A92)*E$66:E$82*$C$66:$C$82)</f>
        <v>10.7744897221728</v>
      </c>
      <c r="F92" s="25" t="n">
        <f aca="false">SUMPRODUCT(($B$66:$B$82=$A92)*F$66:F$82*$C$66:$C$82)</f>
        <v>11.3393982021451</v>
      </c>
      <c r="G92" s="25" t="n">
        <f aca="false">SUMPRODUCT(($B$66:$B$82=$A92)*G$66:G$82*$C$66:$C$82)</f>
        <v>11.9341558003173</v>
      </c>
      <c r="H92" s="25" t="n">
        <f aca="false">SUMPRODUCT(($B$66:$B$82=$A92)*H$66:H$82*$C$66:$C$82)</f>
        <v>12.5603397099676</v>
      </c>
      <c r="I92" s="25" t="n">
        <f aca="false">SUMPRODUCT(($B$66:$B$82=$A92)*I$66:I$82*$C$66:$C$82)</f>
        <v>13.2196104614634</v>
      </c>
      <c r="J92" s="25" t="n">
        <f aca="false">SUMPRODUCT(($B$66:$B$82=$A92)*J$66:J$82*$C$66:$C$82)</f>
        <v>13.9137163256984</v>
      </c>
      <c r="K92" s="25" t="n">
        <f aca="false">SUMPRODUCT(($B$66:$B$82=$A92)*K$66:K$82*$C$66:$C$82)</f>
        <v>14.6444979502014</v>
      </c>
      <c r="L92" s="25" t="n">
        <f aca="false">SUMPRODUCT(($B$66:$B$82=$A92)*L$66:L$82*$C$66:$C$82)</f>
        <v>15.4138932402121</v>
      </c>
      <c r="M92" s="25" t="n">
        <f aca="false">SUMPRODUCT(($B$66:$B$82=$A92)*M$66:M$82*$C$66:$C$82)</f>
        <v>16.2239424976675</v>
      </c>
      <c r="N92" s="25" t="n">
        <f aca="false">SUMPRODUCT(($B$66:$B$82=$A92)*N$66:N$82*$C$66:$C$82)</f>
        <v>17.0767938317261</v>
      </c>
      <c r="O92" s="25" t="n">
        <f aca="false">SUMPRODUCT(($B$66:$B$82=$A92)*O$66:O$82*$C$66:$C$82)</f>
        <v>17.9747088551784</v>
      </c>
      <c r="P92" s="25" t="n">
        <f aca="false">SUMPRODUCT(($B$66:$B$82=$A92)*P$66:P$82*$C$66:$C$82)</f>
        <v>165.313478918521</v>
      </c>
    </row>
    <row r="93" customFormat="false" ht="15" hidden="false" customHeight="false" outlineLevel="0" collapsed="false">
      <c r="A93" s="6" t="s">
        <v>275</v>
      </c>
      <c r="D93" s="26" t="n">
        <f aca="false">SUMPRODUCT(D$66:D$82*parametros_recargas!$D$51:$D$67)</f>
        <v>101.790177285059</v>
      </c>
      <c r="E93" s="26" t="n">
        <f aca="false">SUMPRODUCT(E$66:E$82*parametros_recargas!$D$51:$D$67)</f>
        <v>107.107008539371</v>
      </c>
      <c r="F93" s="26" t="n">
        <f aca="false">SUMPRODUCT(F$66:F$82*parametros_recargas!$D$51:$D$67)</f>
        <v>112.704775078221</v>
      </c>
      <c r="G93" s="26" t="n">
        <f aca="false">SUMPRODUCT(G$66:G$82*parametros_recargas!$D$51:$D$67)</f>
        <v>118.598321200839</v>
      </c>
      <c r="H93" s="26" t="n">
        <f aca="false">SUMPRODUCT(H$66:H$82*parametros_recargas!$D$51:$D$67)</f>
        <v>124.803275562257</v>
      </c>
      <c r="I93" s="26" t="n">
        <f aca="false">SUMPRODUCT(I$66:I$82*parametros_recargas!$D$51:$D$67)</f>
        <v>131.336092617768</v>
      </c>
      <c r="J93" s="26" t="n">
        <f aca="false">SUMPRODUCT(J$66:J$82*parametros_recargas!$D$51:$D$67)</f>
        <v>138.214096257268</v>
      </c>
      <c r="K93" s="26" t="n">
        <f aca="false">SUMPRODUCT(K$66:K$82*parametros_recargas!$D$51:$D$67)</f>
        <v>145.455525745191</v>
      </c>
      <c r="L93" s="26" t="n">
        <f aca="false">SUMPRODUCT(L$66:L$82*parametros_recargas!$D$51:$D$67)</f>
        <v>153.079584087848</v>
      </c>
      <c r="M93" s="26" t="n">
        <f aca="false">SUMPRODUCT(M$66:M$82*parametros_recargas!$D$51:$D$67)</f>
        <v>161.10648895645</v>
      </c>
      <c r="N93" s="26" t="n">
        <f aca="false">SUMPRODUCT(N$66:N$82*parametros_recargas!$D$51:$D$67)</f>
        <v>169.557526300837</v>
      </c>
      <c r="O93" s="26" t="n">
        <f aca="false">SUMPRODUCT(O$66:O$82*parametros_recargas!$D$51:$D$67)</f>
        <v>178.455106796102</v>
      </c>
      <c r="P93" s="26" t="n">
        <f aca="false">SUMPRODUCT(P$66:P$82*parametros_recargas!$D$51:$D$67)</f>
        <v>1642.20797842721</v>
      </c>
    </row>
    <row r="97" customFormat="false" ht="23.85" hidden="false" customHeight="false" outlineLevel="0" collapsed="false">
      <c r="A97" s="23" t="n">
        <v>2029</v>
      </c>
      <c r="B97" s="3" t="s">
        <v>270</v>
      </c>
      <c r="C97" s="3" t="s">
        <v>271</v>
      </c>
      <c r="D97" s="3" t="s">
        <v>124</v>
      </c>
      <c r="E97" s="3" t="s">
        <v>125</v>
      </c>
      <c r="F97" s="3" t="s">
        <v>126</v>
      </c>
      <c r="G97" s="3" t="s">
        <v>127</v>
      </c>
      <c r="H97" s="3" t="s">
        <v>128</v>
      </c>
      <c r="I97" s="3" t="s">
        <v>129</v>
      </c>
      <c r="J97" s="3" t="s">
        <v>130</v>
      </c>
      <c r="K97" s="3" t="s">
        <v>131</v>
      </c>
      <c r="L97" s="3" t="s">
        <v>132</v>
      </c>
      <c r="M97" s="3" t="s">
        <v>133</v>
      </c>
      <c r="N97" s="3" t="s">
        <v>134</v>
      </c>
      <c r="O97" s="3" t="s">
        <v>135</v>
      </c>
      <c r="P97" s="3" t="s">
        <v>136</v>
      </c>
      <c r="Q97" s="3" t="s">
        <v>272</v>
      </c>
    </row>
    <row r="98" customFormat="false" ht="15" hidden="false" customHeight="false" outlineLevel="0" collapsed="false">
      <c r="A98" s="12" t="str">
        <f aca="false">parametros_recargas!A51</f>
        <v>ABC 1 kg</v>
      </c>
      <c r="B98" s="12" t="str">
        <f aca="false">parametros_recargas!B51</f>
        <v>ABC</v>
      </c>
      <c r="C98" s="24" t="n">
        <f aca="false">parametros_recargas!C51</f>
        <v>1</v>
      </c>
      <c r="D98" s="25" t="n">
        <f aca="false">datos_base!$E$2*parametros_recargas!$F$40+sobrestock_sustitutos!$E$175/12</f>
        <v>2767.52924222996</v>
      </c>
      <c r="E98" s="25" t="n">
        <f aca="false">datos_base!$E$2*parametros_recargas!$G$40+sobrestock_sustitutos!$E$175/12</f>
        <v>2858.12927335523</v>
      </c>
      <c r="F98" s="25" t="n">
        <f aca="false">datos_base!$E$2*parametros_recargas!$H$40+sobrestock_sustitutos!$E$175/12</f>
        <v>2951.69525891908</v>
      </c>
      <c r="G98" s="25" t="n">
        <f aca="false">datos_base!$E$2*parametros_recargas!$I$40+sobrestock_sustitutos!$E$175/12</f>
        <v>3048.32429475715</v>
      </c>
      <c r="H98" s="25" t="n">
        <f aca="false">datos_base!$E$2*parametros_recargas!$J$40+sobrestock_sustitutos!$E$175/12</f>
        <v>3148.11665531135</v>
      </c>
      <c r="I98" s="25" t="n">
        <f aca="false">datos_base!$E$2*parametros_recargas!$K$40+sobrestock_sustitutos!$E$175/12</f>
        <v>3251.17589768718</v>
      </c>
      <c r="J98" s="25" t="n">
        <f aca="false">datos_base!$E$2*parametros_recargas!$L$40+sobrestock_sustitutos!$E$175/12</f>
        <v>3357.60896911764</v>
      </c>
      <c r="K98" s="25" t="n">
        <f aca="false">datos_base!$E$2*parametros_recargas!$M$40+sobrestock_sustitutos!$E$175/12</f>
        <v>3467.52631794515</v>
      </c>
      <c r="L98" s="25" t="n">
        <f aca="false">datos_base!$E$2*parametros_recargas!$N$40+sobrestock_sustitutos!$E$175/12</f>
        <v>3581.0420082366</v>
      </c>
      <c r="M98" s="25" t="n">
        <f aca="false">datos_base!$E$2*parametros_recargas!$O$40+sobrestock_sustitutos!$E$175/12</f>
        <v>3698.2738381506</v>
      </c>
      <c r="N98" s="25" t="n">
        <f aca="false">datos_base!$E$2*parametros_recargas!$P$40+sobrestock_sustitutos!$E$175/12</f>
        <v>3819.34346217965</v>
      </c>
      <c r="O98" s="25" t="n">
        <f aca="false">datos_base!$E$2*parametros_recargas!$Q$40+sobrestock_sustitutos!$E$175/12</f>
        <v>3944.37651739418</v>
      </c>
      <c r="P98" s="7" t="n">
        <f aca="false">SUM(D98:O98)</f>
        <v>39893.1417352838</v>
      </c>
      <c r="Q98" s="13" t="n">
        <f aca="false">sobrestock_sustitutos!$E$175</f>
        <v>0</v>
      </c>
    </row>
    <row r="99" customFormat="false" ht="15" hidden="false" customHeight="false" outlineLevel="0" collapsed="false">
      <c r="A99" s="12" t="str">
        <f aca="false">parametros_recargas!A52</f>
        <v>ABC 2,5 kg</v>
      </c>
      <c r="B99" s="12" t="str">
        <f aca="false">parametros_recargas!B52</f>
        <v>ABC</v>
      </c>
      <c r="C99" s="24" t="n">
        <f aca="false">parametros_recargas!C52</f>
        <v>1</v>
      </c>
      <c r="D99" s="25" t="n">
        <f aca="false">datos_base!$E$3*parametros_recargas!$F$40+sobrestock_sustitutos!$E$176/12</f>
        <v>267.924815798411</v>
      </c>
      <c r="E99" s="25" t="n">
        <f aca="false">datos_base!$E$3*parametros_recargas!$G$40+sobrestock_sustitutos!$E$176/12</f>
        <v>276.69581495541</v>
      </c>
      <c r="F99" s="25" t="n">
        <f aca="false">datos_base!$E$3*parametros_recargas!$H$40+sobrestock_sustitutos!$E$176/12</f>
        <v>285.753948493681</v>
      </c>
      <c r="G99" s="25" t="n">
        <f aca="false">datos_base!$E$3*parametros_recargas!$I$40+sobrestock_sustitutos!$E$176/12</f>
        <v>295.108616271946</v>
      </c>
      <c r="H99" s="25" t="n">
        <f aca="false">datos_base!$E$3*parametros_recargas!$J$40+sobrestock_sustitutos!$E$176/12</f>
        <v>304.769525870151</v>
      </c>
      <c r="I99" s="25" t="n">
        <f aca="false">datos_base!$E$3*parametros_recargas!$K$40+sobrestock_sustitutos!$E$176/12</f>
        <v>314.746702663275</v>
      </c>
      <c r="J99" s="25" t="n">
        <f aca="false">datos_base!$E$3*parametros_recargas!$L$40+sobrestock_sustitutos!$E$176/12</f>
        <v>325.050500224918</v>
      </c>
      <c r="K99" s="25" t="n">
        <f aca="false">datos_base!$E$3*parametros_recargas!$M$40+sobrestock_sustitutos!$E$176/12</f>
        <v>335.691611071477</v>
      </c>
      <c r="L99" s="25" t="n">
        <f aca="false">datos_base!$E$3*parametros_recargas!$N$40+sobrestock_sustitutos!$E$176/12</f>
        <v>346.681077758036</v>
      </c>
      <c r="M99" s="25" t="n">
        <f aca="false">datos_base!$E$3*parametros_recargas!$O$40+sobrestock_sustitutos!$E$176/12</f>
        <v>358.030304337521</v>
      </c>
      <c r="N99" s="25" t="n">
        <f aca="false">datos_base!$E$3*parametros_recargas!$P$40+sobrestock_sustitutos!$E$176/12</f>
        <v>369.751068194972</v>
      </c>
      <c r="O99" s="25" t="n">
        <f aca="false">datos_base!$E$3*parametros_recargas!$Q$40+sobrestock_sustitutos!$E$176/12</f>
        <v>381.855532269242</v>
      </c>
      <c r="P99" s="7" t="n">
        <f aca="false">SUM(D99:O99)</f>
        <v>3862.05951790904</v>
      </c>
      <c r="Q99" s="13" t="n">
        <f aca="false">sobrestock_sustitutos!$E$176</f>
        <v>0</v>
      </c>
    </row>
    <row r="100" customFormat="false" ht="15" hidden="false" customHeight="false" outlineLevel="0" collapsed="false">
      <c r="A100" s="12" t="str">
        <f aca="false">parametros_recargas!A53</f>
        <v>ABC 5 kg</v>
      </c>
      <c r="B100" s="12" t="str">
        <f aca="false">parametros_recargas!B53</f>
        <v>ABC</v>
      </c>
      <c r="C100" s="24" t="n">
        <f aca="false">parametros_recargas!C53</f>
        <v>1</v>
      </c>
      <c r="D100" s="25" t="n">
        <f aca="false">datos_base!$E$4*parametros_recargas!$F$40+sobrestock_sustitutos!$E$177/12</f>
        <v>1666.1112073488</v>
      </c>
      <c r="E100" s="25" t="n">
        <f aca="false">datos_base!$E$4*parametros_recargas!$G$40+sobrestock_sustitutos!$E$177/12</f>
        <v>1720.4333712269</v>
      </c>
      <c r="F100" s="25" t="n">
        <f aca="false">datos_base!$E$4*parametros_recargas!$H$40+sobrestock_sustitutos!$E$177/12</f>
        <v>1776.53386852351</v>
      </c>
      <c r="G100" s="25" t="n">
        <f aca="false">datos_base!$E$4*parametros_recargas!$I$40+sobrestock_sustitutos!$E$177/12</f>
        <v>1834.47091617112</v>
      </c>
      <c r="H100" s="25" t="n">
        <f aca="false">datos_base!$E$4*parametros_recargas!$J$40+sobrestock_sustitutos!$E$177/12</f>
        <v>1894.30463693787</v>
      </c>
      <c r="I100" s="25" t="n">
        <f aca="false">datos_base!$E$4*parametros_recargas!$K$40+sobrestock_sustitutos!$E$177/12</f>
        <v>1956.0971218185</v>
      </c>
      <c r="J100" s="25" t="n">
        <f aca="false">datos_base!$E$4*parametros_recargas!$L$40+sobrestock_sustitutos!$E$177/12</f>
        <v>2019.91249446779</v>
      </c>
      <c r="K100" s="25" t="n">
        <f aca="false">datos_base!$E$4*parametros_recargas!$M$40+sobrestock_sustitutos!$E$177/12</f>
        <v>2085.81697774328</v>
      </c>
      <c r="L100" s="25" t="n">
        <f aca="false">datos_base!$E$4*parametros_recargas!$N$40+sobrestock_sustitutos!$E$177/12</f>
        <v>2153.87896242652</v>
      </c>
      <c r="M100" s="25" t="n">
        <f aca="false">datos_base!$E$4*parametros_recargas!$O$40+sobrestock_sustitutos!$E$177/12</f>
        <v>2224.16907819384</v>
      </c>
      <c r="N100" s="25" t="n">
        <f aca="false">datos_base!$E$4*parametros_recargas!$P$40+sobrestock_sustitutos!$E$177/12</f>
        <v>2296.76026691069</v>
      </c>
      <c r="O100" s="25" t="n">
        <f aca="false">datos_base!$E$4*parametros_recargas!$Q$40+sobrestock_sustitutos!$E$177/12</f>
        <v>2371.72785832523</v>
      </c>
      <c r="P100" s="7" t="n">
        <f aca="false">SUM(D100:O100)</f>
        <v>24000.216760094</v>
      </c>
      <c r="Q100" s="13" t="n">
        <f aca="false">sobrestock_sustitutos!$E$177</f>
        <v>81</v>
      </c>
    </row>
    <row r="101" customFormat="false" ht="15" hidden="false" customHeight="false" outlineLevel="0" collapsed="false">
      <c r="A101" s="12" t="str">
        <f aca="false">parametros_recargas!A54</f>
        <v>ABC 10 kg</v>
      </c>
      <c r="B101" s="12" t="str">
        <f aca="false">parametros_recargas!B54</f>
        <v>ABC</v>
      </c>
      <c r="C101" s="24" t="n">
        <f aca="false">parametros_recargas!C54</f>
        <v>1</v>
      </c>
      <c r="D101" s="25" t="n">
        <f aca="false">datos_base!$E$5*parametros_recargas!$F$40+sobrestock_sustitutos!$E$178/12</f>
        <v>97.1336029085038</v>
      </c>
      <c r="E101" s="25" t="n">
        <f aca="false">datos_base!$E$5*parametros_recargas!$G$40+sobrestock_sustitutos!$E$178/12</f>
        <v>100.302533267981</v>
      </c>
      <c r="F101" s="25" t="n">
        <f aca="false">datos_base!$E$5*parametros_recargas!$H$40+sobrestock_sustitutos!$E$178/12</f>
        <v>103.575204243754</v>
      </c>
      <c r="G101" s="25" t="n">
        <f aca="false">datos_base!$E$5*parametros_recargas!$I$40+sobrestock_sustitutos!$E$178/12</f>
        <v>106.955011970872</v>
      </c>
      <c r="H101" s="25" t="n">
        <f aca="false">datos_base!$E$5*parametros_recargas!$J$40+sobrestock_sustitutos!$E$178/12</f>
        <v>110.445463762957</v>
      </c>
      <c r="I101" s="25" t="n">
        <f aca="false">datos_base!$E$5*parametros_recargas!$K$40+sobrestock_sustitutos!$E$178/12</f>
        <v>114.050181751828</v>
      </c>
      <c r="J101" s="25" t="n">
        <f aca="false">datos_base!$E$5*parametros_recargas!$L$40+sobrestock_sustitutos!$E$178/12</f>
        <v>117.772906646283</v>
      </c>
      <c r="K101" s="25" t="n">
        <f aca="false">datos_base!$E$5*parametros_recargas!$M$40+sobrestock_sustitutos!$E$178/12</f>
        <v>121.617501613929</v>
      </c>
      <c r="L101" s="25" t="n">
        <f aca="false">datos_base!$E$5*parametros_recargas!$N$40+sobrestock_sustitutos!$E$178/12</f>
        <v>125.58795629009</v>
      </c>
      <c r="M101" s="25" t="n">
        <f aca="false">datos_base!$E$5*parametros_recargas!$O$40+sobrestock_sustitutos!$E$178/12</f>
        <v>129.688390917954</v>
      </c>
      <c r="N101" s="25" t="n">
        <f aca="false">datos_base!$E$5*parametros_recargas!$P$40+sobrestock_sustitutos!$E$178/12</f>
        <v>133.923060624256</v>
      </c>
      <c r="O101" s="25" t="n">
        <f aca="false">datos_base!$E$5*parametros_recargas!$Q$40+sobrestock_sustitutos!$E$178/12</f>
        <v>138.296359834934</v>
      </c>
      <c r="P101" s="7" t="n">
        <f aca="false">SUM(D101:O101)</f>
        <v>1399.34817383334</v>
      </c>
      <c r="Q101" s="13" t="n">
        <f aca="false">sobrestock_sustitutos!$E$178</f>
        <v>4</v>
      </c>
    </row>
    <row r="102" customFormat="false" ht="15" hidden="false" customHeight="false" outlineLevel="0" collapsed="false">
      <c r="A102" s="12" t="str">
        <f aca="false">parametros_recargas!A55</f>
        <v>Agua 10 l</v>
      </c>
      <c r="B102" s="12" t="str">
        <f aca="false">parametros_recargas!B55</f>
        <v>Agua</v>
      </c>
      <c r="C102" s="24" t="n">
        <f aca="false">parametros_recargas!C55</f>
        <v>1</v>
      </c>
      <c r="D102" s="25" t="n">
        <f aca="false">datos_base!$E$6*parametros_recargas!$F$40+sobrestock_sustitutos!$E$179/12</f>
        <v>137.100630103622</v>
      </c>
      <c r="E102" s="25" t="n">
        <f aca="false">datos_base!$E$6*parametros_recargas!$G$40+sobrestock_sustitutos!$E$179/12</f>
        <v>141.572496615554</v>
      </c>
      <c r="F102" s="25" t="n">
        <f aca="false">datos_base!$E$6*parametros_recargas!$H$40+sobrestock_sustitutos!$E$179/12</f>
        <v>146.190757694519</v>
      </c>
      <c r="G102" s="25" t="n">
        <f aca="false">datos_base!$E$6*parametros_recargas!$I$40+sobrestock_sustitutos!$E$179/12</f>
        <v>150.960205829112</v>
      </c>
      <c r="H102" s="25" t="n">
        <f aca="false">datos_base!$E$6*parametros_recargas!$J$40+sobrestock_sustitutos!$E$179/12</f>
        <v>155.885790398635</v>
      </c>
      <c r="I102" s="25" t="n">
        <f aca="false">datos_base!$E$6*parametros_recargas!$K$40+sobrestock_sustitutos!$E$179/12</f>
        <v>160.972622809192</v>
      </c>
      <c r="J102" s="25" t="n">
        <f aca="false">datos_base!$E$6*parametros_recargas!$L$40+sobrestock_sustitutos!$E$179/12</f>
        <v>166.225981797931</v>
      </c>
      <c r="K102" s="25" t="n">
        <f aca="false">datos_base!$E$6*parametros_recargas!$M$40+sobrestock_sustitutos!$E$179/12</f>
        <v>171.651318910921</v>
      </c>
      <c r="L102" s="25" t="n">
        <f aca="false">datos_base!$E$6*parametros_recargas!$N$40+sobrestock_sustitutos!$E$179/12</f>
        <v>177.254264160369</v>
      </c>
      <c r="M102" s="25" t="n">
        <f aca="false">datos_base!$E$6*parametros_recargas!$O$40+sobrestock_sustitutos!$E$179/12</f>
        <v>183.04063186702</v>
      </c>
      <c r="N102" s="25" t="n">
        <f aca="false">datos_base!$E$6*parametros_recargas!$P$40+sobrestock_sustitutos!$E$179/12</f>
        <v>189.016426693835</v>
      </c>
      <c r="O102" s="25" t="n">
        <f aca="false">datos_base!$E$6*parametros_recargas!$Q$40+sobrestock_sustitutos!$E$179/12</f>
        <v>195.187849877181</v>
      </c>
      <c r="P102" s="7" t="n">
        <f aca="false">SUM(D102:O102)</f>
        <v>1975.05897675789</v>
      </c>
      <c r="Q102" s="13" t="n">
        <f aca="false">sobrestock_sustitutos!$E$179</f>
        <v>6</v>
      </c>
    </row>
    <row r="103" customFormat="false" ht="15" hidden="false" customHeight="false" outlineLevel="0" collapsed="false">
      <c r="A103" s="12" t="str">
        <f aca="false">parametros_recargas!A56</f>
        <v>AFFF 10 l</v>
      </c>
      <c r="B103" s="12" t="str">
        <f aca="false">parametros_recargas!B56</f>
        <v>AFFF</v>
      </c>
      <c r="C103" s="24" t="n">
        <f aca="false">parametros_recargas!C56</f>
        <v>1</v>
      </c>
      <c r="D103" s="25" t="n">
        <f aca="false">datos_base!$E$7*parametros_recargas!$F$40+sobrestock_sustitutos!$E$180/12</f>
        <v>26.2081299229327</v>
      </c>
      <c r="E103" s="25" t="n">
        <f aca="false">datos_base!$E$7*parametros_recargas!$G$40+sobrestock_sustitutos!$E$180/12</f>
        <v>27.0606439074513</v>
      </c>
      <c r="F103" s="25" t="n">
        <f aca="false">datos_base!$E$7*parametros_recargas!$H$40+sobrestock_sustitutos!$E$180/12</f>
        <v>27.9410664655645</v>
      </c>
      <c r="G103" s="25" t="n">
        <f aca="false">datos_base!$E$7*parametros_recargas!$I$40+sobrestock_sustitutos!$E$180/12</f>
        <v>28.850311234461</v>
      </c>
      <c r="H103" s="25" t="n">
        <f aca="false">datos_base!$E$7*parametros_recargas!$J$40+sobrestock_sustitutos!$E$180/12</f>
        <v>29.7893217608807</v>
      </c>
      <c r="I103" s="25" t="n">
        <f aca="false">datos_base!$E$7*parametros_recargas!$K$40+sobrestock_sustitutos!$E$180/12</f>
        <v>30.7590724802574</v>
      </c>
      <c r="J103" s="25" t="n">
        <f aca="false">datos_base!$E$7*parametros_recargas!$L$40+sobrestock_sustitutos!$E$180/12</f>
        <v>31.7605697279161</v>
      </c>
      <c r="K103" s="25" t="n">
        <f aca="false">datos_base!$E$7*parametros_recargas!$M$40+sobrestock_sustitutos!$E$180/12</f>
        <v>32.7948527833722</v>
      </c>
      <c r="L103" s="25" t="n">
        <f aca="false">datos_base!$E$7*parametros_recargas!$N$40+sobrestock_sustitutos!$E$180/12</f>
        <v>33.8629949488195</v>
      </c>
      <c r="M103" s="25" t="n">
        <f aca="false">datos_base!$E$7*parametros_recargas!$O$40+sobrestock_sustitutos!$E$180/12</f>
        <v>34.9661046629233</v>
      </c>
      <c r="N103" s="25" t="n">
        <f aca="false">datos_base!$E$7*parametros_recargas!$P$40+sobrestock_sustitutos!$E$180/12</f>
        <v>36.1053266510755</v>
      </c>
      <c r="O103" s="25" t="n">
        <f aca="false">datos_base!$E$7*parametros_recargas!$Q$40+sobrestock_sustitutos!$E$180/12</f>
        <v>37.281843113306</v>
      </c>
      <c r="P103" s="7" t="n">
        <f aca="false">SUM(D103:O103)</f>
        <v>377.38023765896</v>
      </c>
      <c r="Q103" s="13" t="n">
        <f aca="false">sobrestock_sustitutos!$E$180</f>
        <v>2</v>
      </c>
    </row>
    <row r="104" customFormat="false" ht="15" hidden="false" customHeight="false" outlineLevel="0" collapsed="false">
      <c r="A104" s="12" t="str">
        <f aca="false">parametros_recargas!A57</f>
        <v>AFFF 50 l s/ruedas</v>
      </c>
      <c r="B104" s="12" t="str">
        <f aca="false">parametros_recargas!B57</f>
        <v>AFFF</v>
      </c>
      <c r="C104" s="24" t="n">
        <f aca="false">parametros_recargas!C57</f>
        <v>3</v>
      </c>
      <c r="D104" s="25" t="n">
        <f aca="false">datos_base!$E$8*parametros_recargas!$F$40+sobrestock_sustitutos!$E$181/12</f>
        <v>13.9752746087171</v>
      </c>
      <c r="E104" s="25" t="n">
        <f aca="false">datos_base!$E$8*parametros_recargas!$G$40+sobrestock_sustitutos!$E$181/12</f>
        <v>14.4300522106065</v>
      </c>
      <c r="F104" s="25" t="n">
        <f aca="false">datos_base!$E$8*parametros_recargas!$H$40+sobrestock_sustitutos!$E$181/12</f>
        <v>14.8997177725786</v>
      </c>
      <c r="G104" s="25" t="n">
        <f aca="false">datos_base!$E$8*parametros_recargas!$I$40+sobrestock_sustitutos!$E$181/12</f>
        <v>15.3847586786967</v>
      </c>
      <c r="H104" s="25" t="n">
        <f aca="false">datos_base!$E$8*parametros_recargas!$J$40+sobrestock_sustitutos!$E$181/12</f>
        <v>15.8856782684149</v>
      </c>
      <c r="I104" s="25" t="n">
        <f aca="false">datos_base!$E$8*parametros_recargas!$K$40+sobrestock_sustitutos!$E$181/12</f>
        <v>16.4029963589066</v>
      </c>
      <c r="J104" s="25" t="n">
        <f aca="false">datos_base!$E$8*parametros_recargas!$L$40+sobrestock_sustitutos!$E$181/12</f>
        <v>16.9372497844926</v>
      </c>
      <c r="K104" s="25" t="n">
        <f aca="false">datos_base!$E$8*parametros_recargas!$M$40+sobrestock_sustitutos!$E$181/12</f>
        <v>17.4889929537273</v>
      </c>
      <c r="L104" s="25" t="n">
        <f aca="false">datos_base!$E$8*parametros_recargas!$N$40+sobrestock_sustitutos!$E$181/12</f>
        <v>18.0587984247231</v>
      </c>
      <c r="M104" s="25" t="n">
        <f aca="false">datos_base!$E$8*parametros_recargas!$O$40+sobrestock_sustitutos!$E$181/12</f>
        <v>18.6472574993086</v>
      </c>
      <c r="N104" s="25" t="n">
        <f aca="false">datos_base!$E$8*parametros_recargas!$P$40+sobrestock_sustitutos!$E$181/12</f>
        <v>19.2549808366379</v>
      </c>
      <c r="O104" s="25" t="n">
        <f aca="false">datos_base!$E$8*parametros_recargas!$Q$40+sobrestock_sustitutos!$E$181/12</f>
        <v>19.8825990868872</v>
      </c>
      <c r="P104" s="7" t="n">
        <f aca="false">SUM(D104:O104)</f>
        <v>201.248356483697</v>
      </c>
      <c r="Q104" s="13" t="n">
        <f aca="false">sobrestock_sustitutos!$E$181</f>
        <v>1</v>
      </c>
    </row>
    <row r="105" customFormat="false" ht="15" hidden="false" customHeight="false" outlineLevel="0" collapsed="false">
      <c r="A105" s="12" t="str">
        <f aca="false">parametros_recargas!A58</f>
        <v>BC 5 kg</v>
      </c>
      <c r="B105" s="12" t="str">
        <f aca="false">parametros_recargas!B58</f>
        <v>BC</v>
      </c>
      <c r="C105" s="24" t="n">
        <f aca="false">parametros_recargas!C58</f>
        <v>1</v>
      </c>
      <c r="D105" s="25" t="n">
        <f aca="false">datos_base!$E$9*parametros_recargas!$F$40+sobrestock_sustitutos!$E$182/12</f>
        <v>7.95917829106044</v>
      </c>
      <c r="E105" s="25" t="n">
        <f aca="false">datos_base!$E$9*parametros_recargas!$G$40+sobrestock_sustitutos!$E$182/12</f>
        <v>8.21700819486767</v>
      </c>
      <c r="F105" s="25" t="n">
        <f aca="false">datos_base!$E$9*parametros_recargas!$H$40+sobrestock_sustitutos!$E$182/12</f>
        <v>8.4832786227906</v>
      </c>
      <c r="G105" s="25" t="n">
        <f aca="false">datos_base!$E$9*parametros_recargas!$I$40+sobrestock_sustitutos!$E$182/12</f>
        <v>8.75826589051758</v>
      </c>
      <c r="H105" s="25" t="n">
        <f aca="false">datos_base!$E$9*parametros_recargas!$J$40+sobrestock_sustitutos!$E$182/12</f>
        <v>9.04225535942638</v>
      </c>
      <c r="I105" s="25" t="n">
        <f aca="false">datos_base!$E$9*parametros_recargas!$K$40+sobrestock_sustitutos!$E$182/12</f>
        <v>9.33554173271103</v>
      </c>
      <c r="J105" s="25" t="n">
        <f aca="false">datos_base!$E$9*parametros_recargas!$L$40+sobrestock_sustitutos!$E$182/12</f>
        <v>9.63842936120294</v>
      </c>
      <c r="K105" s="25" t="n">
        <f aca="false">datos_base!$E$9*parametros_recargas!$M$40+sobrestock_sustitutos!$E$182/12</f>
        <v>9.9512325592036</v>
      </c>
      <c r="L105" s="25" t="n">
        <f aca="false">datos_base!$E$9*parametros_recargas!$N$40+sobrestock_sustitutos!$E$182/12</f>
        <v>10.2742759306566</v>
      </c>
      <c r="M105" s="25" t="n">
        <f aca="false">datos_base!$E$9*parametros_recargas!$O$40+sobrestock_sustitutos!$E$182/12</f>
        <v>10.6078947059977</v>
      </c>
      <c r="N105" s="25" t="n">
        <f aca="false">datos_base!$E$9*parametros_recargas!$P$40+sobrestock_sustitutos!$E$182/12</f>
        <v>10.9524350900316</v>
      </c>
      <c r="O105" s="25" t="n">
        <f aca="false">datos_base!$E$9*parametros_recargas!$Q$40+sobrestock_sustitutos!$E$182/12</f>
        <v>11.3082546211984</v>
      </c>
      <c r="P105" s="7" t="n">
        <f aca="false">SUM(D105:O105)</f>
        <v>114.528050359665</v>
      </c>
      <c r="Q105" s="13" t="n">
        <f aca="false">sobrestock_sustitutos!$E$182</f>
        <v>1</v>
      </c>
    </row>
    <row r="106" customFormat="false" ht="15" hidden="false" customHeight="false" outlineLevel="0" collapsed="false">
      <c r="A106" s="12" t="str">
        <f aca="false">parametros_recargas!A59</f>
        <v>Sales K 6 l</v>
      </c>
      <c r="B106" s="12" t="str">
        <f aca="false">parametros_recargas!B59</f>
        <v>Sales K</v>
      </c>
      <c r="C106" s="24" t="n">
        <f aca="false">parametros_recargas!C59</f>
        <v>1</v>
      </c>
      <c r="D106" s="25" t="n">
        <f aca="false">datos_base!$E$10*parametros_recargas!$F$40+sobrestock_sustitutos!$E$183/12</f>
        <v>67.3491679326979</v>
      </c>
      <c r="E106" s="25" t="n">
        <f aca="false">datos_base!$E$10*parametros_recargas!$G$40+sobrestock_sustitutos!$E$183/12</f>
        <v>69.5457794844095</v>
      </c>
      <c r="F106" s="25" t="n">
        <f aca="false">datos_base!$E$10*parametros_recargas!$H$40+sobrestock_sustitutos!$E$183/12</f>
        <v>71.8143010531566</v>
      </c>
      <c r="G106" s="25" t="n">
        <f aca="false">datos_base!$E$10*parametros_recargas!$I$40+sobrestock_sustitutos!$E$183/12</f>
        <v>74.1570867422607</v>
      </c>
      <c r="H106" s="25" t="n">
        <f aca="false">datos_base!$E$10*parametros_recargas!$J$40+sobrestock_sustitutos!$E$183/12</f>
        <v>76.5765677208361</v>
      </c>
      <c r="I106" s="25" t="n">
        <f aca="false">datos_base!$E$10*parametros_recargas!$K$40+sobrestock_sustitutos!$E$183/12</f>
        <v>79.0752547466759</v>
      </c>
      <c r="J106" s="25" t="n">
        <f aca="false">datos_base!$E$10*parametros_recargas!$L$40+sobrestock_sustitutos!$E$183/12</f>
        <v>81.655740771731</v>
      </c>
      <c r="K106" s="25" t="n">
        <f aca="false">datos_base!$E$10*parametros_recargas!$M$40+sobrestock_sustitutos!$E$183/12</f>
        <v>84.3207036328827</v>
      </c>
      <c r="L106" s="25" t="n">
        <f aca="false">datos_base!$E$10*parametros_recargas!$N$40+sobrestock_sustitutos!$E$183/12</f>
        <v>87.0729088308031</v>
      </c>
      <c r="M106" s="25" t="n">
        <f aca="false">datos_base!$E$10*parametros_recargas!$O$40+sobrestock_sustitutos!$E$183/12</f>
        <v>89.9152123997867</v>
      </c>
      <c r="N106" s="25" t="n">
        <f aca="false">datos_base!$E$10*parametros_recargas!$P$40+sobrestock_sustitutos!$E$183/12</f>
        <v>92.8505638715306</v>
      </c>
      <c r="O106" s="25" t="n">
        <f aca="false">datos_base!$E$10*parametros_recargas!$Q$40+sobrestock_sustitutos!$E$183/12</f>
        <v>95.8820093359398</v>
      </c>
      <c r="P106" s="7" t="n">
        <f aca="false">SUM(D106:O106)</f>
        <v>970.215296522711</v>
      </c>
      <c r="Q106" s="13" t="n">
        <f aca="false">sobrestock_sustitutos!$E$183</f>
        <v>3</v>
      </c>
    </row>
    <row r="107" customFormat="false" ht="15" hidden="false" customHeight="false" outlineLevel="0" collapsed="false">
      <c r="A107" s="12" t="str">
        <f aca="false">parametros_recargas!A60</f>
        <v>CO₂ 2 kg</v>
      </c>
      <c r="B107" s="12" t="str">
        <f aca="false">parametros_recargas!B60</f>
        <v>CO₂</v>
      </c>
      <c r="C107" s="24" t="n">
        <f aca="false">parametros_recargas!C60</f>
        <v>1</v>
      </c>
      <c r="D107" s="25" t="n">
        <f aca="false">datos_base!$E$11*parametros_recargas!$F$40+sobrestock_sustitutos!$E$184/12</f>
        <v>373.356639578077</v>
      </c>
      <c r="E107" s="25" t="n">
        <f aca="false">datos_base!$E$11*parametros_recargas!$G$40+sobrestock_sustitutos!$E$184/12</f>
        <v>385.579138495322</v>
      </c>
      <c r="F107" s="25" t="n">
        <f aca="false">datos_base!$E$11*parametros_recargas!$H$40+sobrestock_sustitutos!$E$184/12</f>
        <v>398.201762826034</v>
      </c>
      <c r="G107" s="25" t="n">
        <f aca="false">datos_base!$E$11*parametros_recargas!$I$40+sobrestock_sustitutos!$E$184/12</f>
        <v>411.237611392932</v>
      </c>
      <c r="H107" s="25" t="n">
        <f aca="false">datos_base!$E$11*parametros_recargas!$J$40+sobrestock_sustitutos!$E$184/12</f>
        <v>424.700211832181</v>
      </c>
      <c r="I107" s="25" t="n">
        <f aca="false">datos_base!$E$11*parametros_recargas!$K$40+sobrestock_sustitutos!$E$184/12</f>
        <v>438.603534631364</v>
      </c>
      <c r="J107" s="25" t="n">
        <f aca="false">datos_base!$E$11*parametros_recargas!$L$40+sobrestock_sustitutos!$E$184/12</f>
        <v>452.962007627022</v>
      </c>
      <c r="K107" s="25" t="n">
        <f aca="false">datos_base!$E$11*parametros_recargas!$M$40+sobrestock_sustitutos!$E$184/12</f>
        <v>467.790530976789</v>
      </c>
      <c r="L107" s="25" t="n">
        <f aca="false">datos_base!$E$11*parametros_recargas!$N$40+sobrestock_sustitutos!$E$184/12</f>
        <v>483.104492621672</v>
      </c>
      <c r="M107" s="25" t="n">
        <f aca="false">datos_base!$E$11*parametros_recargas!$O$40+sobrestock_sustitutos!$E$184/12</f>
        <v>498.919784254512</v>
      </c>
      <c r="N107" s="25" t="n">
        <f aca="false">datos_base!$E$11*parametros_recargas!$P$40+sobrestock_sustitutos!$E$184/12</f>
        <v>515.252817811204</v>
      </c>
      <c r="O107" s="25" t="n">
        <f aca="false">datos_base!$E$11*parametros_recargas!$Q$40+sobrestock_sustitutos!$E$184/12</f>
        <v>532.120542501788</v>
      </c>
      <c r="P107" s="7" t="n">
        <f aca="false">SUM(D107:O107)</f>
        <v>5381.8290745489</v>
      </c>
      <c r="Q107" s="13" t="n">
        <f aca="false">sobrestock_sustitutos!$E$184</f>
        <v>0</v>
      </c>
    </row>
    <row r="108" customFormat="false" ht="15" hidden="false" customHeight="false" outlineLevel="0" collapsed="false">
      <c r="A108" s="12" t="str">
        <f aca="false">parametros_recargas!A61</f>
        <v>CO₂ 5 kg</v>
      </c>
      <c r="B108" s="12" t="str">
        <f aca="false">parametros_recargas!B61</f>
        <v>CO₂</v>
      </c>
      <c r="C108" s="24" t="n">
        <f aca="false">parametros_recargas!C61</f>
        <v>1</v>
      </c>
      <c r="D108" s="25" t="n">
        <f aca="false">datos_base!$E$12*parametros_recargas!$F$40+sobrestock_sustitutos!$E$185/12</f>
        <v>123.232851468919</v>
      </c>
      <c r="E108" s="25" t="n">
        <f aca="false">datos_base!$E$12*parametros_recargas!$G$40+sobrestock_sustitutos!$E$185/12</f>
        <v>127.209810395431</v>
      </c>
      <c r="F108" s="25" t="n">
        <f aca="false">datos_base!$E$12*parametros_recargas!$H$40+sobrestock_sustitutos!$E$185/12</f>
        <v>131.316962201942</v>
      </c>
      <c r="G108" s="25" t="n">
        <f aca="false">datos_base!$E$12*parametros_recargas!$I$40+sobrestock_sustitutos!$E$185/12</f>
        <v>135.558568985776</v>
      </c>
      <c r="H108" s="25" t="n">
        <f aca="false">datos_base!$E$12*parametros_recargas!$J$40+sobrestock_sustitutos!$E$185/12</f>
        <v>139.939032371655</v>
      </c>
      <c r="I108" s="25" t="n">
        <f aca="false">datos_base!$E$12*parametros_recargas!$K$40+sobrestock_sustitutos!$E$185/12</f>
        <v>144.462898079377</v>
      </c>
      <c r="J108" s="25" t="n">
        <f aca="false">datos_base!$E$12*parametros_recargas!$L$40+sobrestock_sustitutos!$E$185/12</f>
        <v>149.134860641027</v>
      </c>
      <c r="K108" s="25" t="n">
        <f aca="false">datos_base!$E$12*parametros_recargas!$M$40+sobrestock_sustitutos!$E$185/12</f>
        <v>153.959768272612</v>
      </c>
      <c r="L108" s="25" t="n">
        <f aca="false">datos_base!$E$12*parametros_recargas!$N$40+sobrestock_sustitutos!$E$185/12</f>
        <v>158.942627905183</v>
      </c>
      <c r="M108" s="25" t="n">
        <f aca="false">datos_base!$E$12*parametros_recargas!$O$40+sobrestock_sustitutos!$E$185/12</f>
        <v>164.088610380655</v>
      </c>
      <c r="N108" s="25" t="n">
        <f aca="false">datos_base!$E$12*parametros_recargas!$P$40+sobrestock_sustitutos!$E$185/12</f>
        <v>169.403055817722</v>
      </c>
      <c r="O108" s="25" t="n">
        <f aca="false">datos_base!$E$12*parametros_recargas!$Q$40+sobrestock_sustitutos!$E$185/12</f>
        <v>174.891479153438</v>
      </c>
      <c r="P108" s="7" t="n">
        <f aca="false">SUM(D108:O108)</f>
        <v>1772.14052567374</v>
      </c>
      <c r="Q108" s="13" t="n">
        <f aca="false">sobrestock_sustitutos!$E$185</f>
        <v>21</v>
      </c>
    </row>
    <row r="109" customFormat="false" ht="15" hidden="false" customHeight="false" outlineLevel="0" collapsed="false">
      <c r="A109" s="12" t="str">
        <f aca="false">parametros_recargas!A62</f>
        <v>HCFC/HFC 5 kg</v>
      </c>
      <c r="B109" s="12" t="str">
        <f aca="false">parametros_recargas!B62</f>
        <v>Halogenado</v>
      </c>
      <c r="C109" s="24" t="n">
        <f aca="false">parametros_recargas!C62</f>
        <v>1</v>
      </c>
      <c r="D109" s="25" t="n">
        <f aca="false">datos_base!$E$13*parametros_recargas!$F$40+sobrestock_sustitutos!$E$186/12</f>
        <v>19.8696816403816</v>
      </c>
      <c r="E109" s="25" t="n">
        <f aca="false">datos_base!$E$13*parametros_recargas!$G$40+sobrestock_sustitutos!$E$186/12</f>
        <v>20.5174232234225</v>
      </c>
      <c r="F109" s="25" t="n">
        <f aca="false">datos_base!$E$13*parametros_recargas!$H$40+sobrestock_sustitutos!$E$186/12</f>
        <v>21.1863697883978</v>
      </c>
      <c r="G109" s="25" t="n">
        <f aca="false">datos_base!$E$13*parametros_recargas!$I$40+sobrestock_sustitutos!$E$186/12</f>
        <v>21.8772155184057</v>
      </c>
      <c r="H109" s="25" t="n">
        <f aca="false">datos_base!$E$13*parametros_recargas!$J$40+sobrestock_sustitutos!$E$186/12</f>
        <v>22.5906773218722</v>
      </c>
      <c r="I109" s="25" t="n">
        <f aca="false">datos_base!$E$13*parametros_recargas!$K$40+sobrestock_sustitutos!$E$186/12</f>
        <v>23.3274955765063</v>
      </c>
      <c r="J109" s="25" t="n">
        <f aca="false">datos_base!$E$13*parametros_recargas!$L$40+sobrestock_sustitutos!$E$186/12</f>
        <v>24.0884348976082</v>
      </c>
      <c r="K109" s="25" t="n">
        <f aca="false">datos_base!$E$13*parametros_recargas!$M$40+sobrestock_sustitutos!$E$186/12</f>
        <v>24.8742849315309</v>
      </c>
      <c r="L109" s="25" t="n">
        <f aca="false">datos_base!$E$13*parametros_recargas!$N$40+sobrestock_sustitutos!$E$186/12</f>
        <v>25.6858611751163</v>
      </c>
      <c r="M109" s="25" t="n">
        <f aca="false">datos_base!$E$13*parametros_recargas!$O$40+sobrestock_sustitutos!$E$186/12</f>
        <v>26.5240058219573</v>
      </c>
      <c r="N109" s="25" t="n">
        <f aca="false">datos_base!$E$13*parametros_recargas!$P$40+sobrestock_sustitutos!$E$186/12</f>
        <v>27.389588636364</v>
      </c>
      <c r="O109" s="25" t="n">
        <f aca="false">datos_base!$E$13*parametros_recargas!$Q$40+sobrestock_sustitutos!$E$186/12</f>
        <v>28.2835078559403</v>
      </c>
      <c r="P109" s="7" t="n">
        <f aca="false">SUM(D109:O109)</f>
        <v>286.214546387503</v>
      </c>
      <c r="Q109" s="13" t="n">
        <f aca="false">sobrestock_sustitutos!$E$186</f>
        <v>1</v>
      </c>
    </row>
    <row r="110" customFormat="false" ht="15" hidden="false" customHeight="false" outlineLevel="0" collapsed="false">
      <c r="A110" s="12" t="str">
        <f aca="false">parametros_recargas!A63</f>
        <v>Clase D 9 l</v>
      </c>
      <c r="B110" s="12" t="str">
        <f aca="false">parametros_recargas!B63</f>
        <v>Clase D</v>
      </c>
      <c r="C110" s="24" t="n">
        <f aca="false">parametros_recargas!C63</f>
        <v>1</v>
      </c>
      <c r="D110" s="25" t="n">
        <f aca="false">datos_base!$E$14*parametros_recargas!$F$40+sobrestock_sustitutos!$E$187/12</f>
        <v>7.40499859742379</v>
      </c>
      <c r="E110" s="25" t="n">
        <f aca="false">datos_base!$E$14*parametros_recargas!$G$40+sobrestock_sustitutos!$E$187/12</f>
        <v>7.64468643547563</v>
      </c>
      <c r="F110" s="25" t="n">
        <f aca="false">datos_base!$E$14*parametros_recargas!$H$40+sobrestock_sustitutos!$E$187/12</f>
        <v>7.8922208845972</v>
      </c>
      <c r="G110" s="25" t="n">
        <f aca="false">datos_base!$E$14*parametros_recargas!$I$40+sobrestock_sustitutos!$E$187/12</f>
        <v>8.14785881766855</v>
      </c>
      <c r="H110" s="25" t="n">
        <f aca="false">datos_base!$E$14*parametros_recargas!$J$40+sobrestock_sustitutos!$E$187/12</f>
        <v>8.41186551676399</v>
      </c>
      <c r="I110" s="25" t="n">
        <f aca="false">datos_base!$E$14*parametros_recargas!$K$40+sobrestock_sustitutos!$E$187/12</f>
        <v>8.68451494844212</v>
      </c>
      <c r="J110" s="25" t="n">
        <f aca="false">datos_base!$E$14*parametros_recargas!$L$40+sobrestock_sustitutos!$E$187/12</f>
        <v>8.96609004804793</v>
      </c>
      <c r="K110" s="25" t="n">
        <f aca="false">datos_base!$E$14*parametros_recargas!$M$40+sobrestock_sustitutos!$E$187/12</f>
        <v>9.2568830133222</v>
      </c>
      <c r="L110" s="25" t="n">
        <f aca="false">datos_base!$E$14*parametros_recargas!$N$40+sobrestock_sustitutos!$E$187/12</f>
        <v>9.55719560762254</v>
      </c>
      <c r="M110" s="25" t="n">
        <f aca="false">datos_base!$E$14*parametros_recargas!$O$40+sobrestock_sustitutos!$E$187/12</f>
        <v>9.86733947307108</v>
      </c>
      <c r="N110" s="25" t="n">
        <f aca="false">datos_base!$E$14*parametros_recargas!$P$40+sobrestock_sustitutos!$E$187/12</f>
        <v>10.1876364539535</v>
      </c>
      <c r="O110" s="25" t="n">
        <f aca="false">datos_base!$E$14*parametros_recargas!$Q$40+sobrestock_sustitutos!$E$187/12</f>
        <v>10.5184189307051</v>
      </c>
      <c r="P110" s="7" t="n">
        <f aca="false">SUM(D110:O110)</f>
        <v>106.539708727094</v>
      </c>
      <c r="Q110" s="13" t="n">
        <f aca="false">sobrestock_sustitutos!$E$187</f>
        <v>1</v>
      </c>
    </row>
    <row r="111" customFormat="false" ht="15" hidden="false" customHeight="false" outlineLevel="0" collapsed="false">
      <c r="A111" s="12" t="str">
        <f aca="false">parametros_recargas!A64</f>
        <v>ABC 25 kg s/ruedas</v>
      </c>
      <c r="B111" s="12" t="str">
        <f aca="false">parametros_recargas!B64</f>
        <v>ABC</v>
      </c>
      <c r="C111" s="24" t="n">
        <f aca="false">parametros_recargas!C64</f>
        <v>3</v>
      </c>
      <c r="D111" s="25" t="n">
        <f aca="false">datos_base!$E$15*parametros_recargas!$F$40+sobrestock_sustitutos!$E$188/12</f>
        <v>16.6196803428379</v>
      </c>
      <c r="E111" s="25" t="n">
        <f aca="false">datos_base!$E$15*parametros_recargas!$G$40+sobrestock_sustitutos!$E$188/12</f>
        <v>17.163755373149</v>
      </c>
      <c r="F111" s="25" t="n">
        <f aca="false">datos_base!$E$15*parametros_recargas!$H$40+sobrestock_sustitutos!$E$188/12</f>
        <v>17.7256416749468</v>
      </c>
      <c r="G111" s="25" t="n">
        <f aca="false">datos_base!$E$15*parametros_recargas!$I$40+sobrestock_sustitutos!$E$188/12</f>
        <v>18.3059223321337</v>
      </c>
      <c r="H111" s="25" t="n">
        <f aca="false">datos_base!$E$15*parametros_recargas!$J$40+sobrestock_sustitutos!$E$188/12</f>
        <v>18.9051995169094</v>
      </c>
      <c r="I111" s="25" t="n">
        <f aca="false">datos_base!$E$15*parametros_recargas!$K$40+sobrestock_sustitutos!$E$188/12</f>
        <v>19.5240951146597</v>
      </c>
      <c r="J111" s="25" t="n">
        <f aca="false">datos_base!$E$15*parametros_recargas!$L$40+sobrestock_sustitutos!$E$188/12</f>
        <v>20.1632513693035</v>
      </c>
      <c r="K111" s="25" t="n">
        <f aca="false">datos_base!$E$15*parametros_recargas!$M$40+sobrestock_sustitutos!$E$188/12</f>
        <v>20.8233315497657</v>
      </c>
      <c r="L111" s="25" t="n">
        <f aca="false">datos_base!$E$15*parametros_recargas!$N$40+sobrestock_sustitutos!$E$188/12</f>
        <v>21.5050206382684</v>
      </c>
      <c r="M111" s="25" t="n">
        <f aca="false">datos_base!$E$15*parametros_recargas!$O$40+sobrestock_sustitutos!$E$188/12</f>
        <v>22.209026041155</v>
      </c>
      <c r="N111" s="25" t="n">
        <f aca="false">datos_base!$E$15*parametros_recargas!$P$40+sobrestock_sustitutos!$E$188/12</f>
        <v>22.9360783229835</v>
      </c>
      <c r="O111" s="25" t="n">
        <f aca="false">datos_base!$E$15*parametros_recargas!$Q$40+sobrestock_sustitutos!$E$188/12</f>
        <v>23.6869319646525</v>
      </c>
      <c r="P111" s="7" t="n">
        <f aca="false">SUM(D111:O111)</f>
        <v>239.567934240765</v>
      </c>
      <c r="Q111" s="13" t="n">
        <f aca="false">sobrestock_sustitutos!$E$188</f>
        <v>0</v>
      </c>
    </row>
    <row r="112" customFormat="false" ht="15" hidden="false" customHeight="false" outlineLevel="0" collapsed="false">
      <c r="A112" s="12" t="str">
        <f aca="false">parametros_recargas!A65</f>
        <v>ABC 50 kg s/ruedas</v>
      </c>
      <c r="B112" s="12" t="str">
        <f aca="false">parametros_recargas!B65</f>
        <v>ABC</v>
      </c>
      <c r="C112" s="24" t="n">
        <f aca="false">parametros_recargas!C65</f>
        <v>3</v>
      </c>
      <c r="D112" s="25" t="n">
        <f aca="false">datos_base!$E$16*parametros_recargas!$F$40+sobrestock_sustitutos!$E$189/12</f>
        <v>36.8132967443679</v>
      </c>
      <c r="E112" s="25" t="n">
        <f aca="false">datos_base!$E$16*parametros_recargas!$G$40+sobrestock_sustitutos!$E$189/12</f>
        <v>38.010261810729</v>
      </c>
      <c r="F112" s="25" t="n">
        <f aca="false">datos_base!$E$16*parametros_recargas!$H$40+sobrestock_sustitutos!$E$189/12</f>
        <v>39.2464116743502</v>
      </c>
      <c r="G112" s="25" t="n">
        <f aca="false">datos_base!$E$16*parametros_recargas!$I$40+sobrestock_sustitutos!$E$189/12</f>
        <v>40.5230291198168</v>
      </c>
      <c r="H112" s="25" t="n">
        <f aca="false">datos_base!$E$16*parametros_recargas!$J$40+sobrestock_sustitutos!$E$189/12</f>
        <v>41.8414389259672</v>
      </c>
      <c r="I112" s="25" t="n">
        <f aca="false">datos_base!$E$16*parametros_recargas!$K$40+sobrestock_sustitutos!$E$189/12</f>
        <v>43.2030092406501</v>
      </c>
      <c r="J112" s="25" t="n">
        <f aca="false">datos_base!$E$16*parametros_recargas!$L$40+sobrestock_sustitutos!$E$189/12</f>
        <v>44.6091530004866</v>
      </c>
      <c r="K112" s="25" t="n">
        <f aca="false">datos_base!$E$16*parametros_recargas!$M$40+sobrestock_sustitutos!$E$189/12</f>
        <v>46.0613293971111</v>
      </c>
      <c r="L112" s="25" t="n">
        <f aca="false">datos_base!$E$16*parametros_recargas!$N$40+sobrestock_sustitutos!$E$189/12</f>
        <v>47.5610453914121</v>
      </c>
      <c r="M112" s="25" t="n">
        <f aca="false">datos_base!$E$16*parametros_recargas!$O$40+sobrestock_sustitutos!$E$189/12</f>
        <v>49.1098572773443</v>
      </c>
      <c r="N112" s="25" t="n">
        <f aca="false">datos_base!$E$16*parametros_recargas!$P$40+sobrestock_sustitutos!$E$189/12</f>
        <v>50.709372296935</v>
      </c>
      <c r="O112" s="25" t="n">
        <f aca="false">datos_base!$E$16*parametros_recargas!$Q$40+sobrestock_sustitutos!$E$189/12</f>
        <v>52.3612503081606</v>
      </c>
      <c r="P112" s="7" t="n">
        <f aca="false">SUM(D112:O112)</f>
        <v>530.049455187331</v>
      </c>
      <c r="Q112" s="13" t="n">
        <f aca="false">sobrestock_sustitutos!$E$189</f>
        <v>3</v>
      </c>
    </row>
    <row r="113" customFormat="false" ht="15" hidden="false" customHeight="false" outlineLevel="0" collapsed="false">
      <c r="A113" s="12" t="str">
        <f aca="false">parametros_recargas!A66</f>
        <v>ABC 70 kg s/ruedas</v>
      </c>
      <c r="B113" s="12" t="str">
        <f aca="false">parametros_recargas!B66</f>
        <v>ABC</v>
      </c>
      <c r="C113" s="24" t="n">
        <f aca="false">parametros_recargas!C66</f>
        <v>3</v>
      </c>
      <c r="D113" s="25" t="n">
        <f aca="false">datos_base!$E$17*parametros_recargas!$F$40+sobrestock_sustitutos!$E$190/12</f>
        <v>7.977446560612</v>
      </c>
      <c r="E113" s="25" t="n">
        <f aca="false">datos_base!$E$17*parametros_recargas!$G$40+sobrestock_sustitutos!$E$190/12</f>
        <v>8.238602575032</v>
      </c>
      <c r="F113" s="25" t="n">
        <f aca="false">datos_base!$E$17*parametros_recargas!$H$40+sobrestock_sustitutos!$E$190/12</f>
        <v>8.50830799976137</v>
      </c>
      <c r="G113" s="25" t="n">
        <f aca="false">datos_base!$E$17*parametros_recargas!$I$40+sobrestock_sustitutos!$E$190/12</f>
        <v>8.7868427150732</v>
      </c>
      <c r="H113" s="25" t="n">
        <f aca="false">datos_base!$E$17*parametros_recargas!$J$40+sobrestock_sustitutos!$E$190/12</f>
        <v>9.0744957636231</v>
      </c>
      <c r="I113" s="25" t="n">
        <f aca="false">datos_base!$E$17*parametros_recargas!$K$40+sobrestock_sustitutos!$E$190/12</f>
        <v>9.37156565039614</v>
      </c>
      <c r="J113" s="25" t="n">
        <f aca="false">datos_base!$E$17*parametros_recargas!$L$40+sobrestock_sustitutos!$E$190/12</f>
        <v>9.67836065247323</v>
      </c>
      <c r="K113" s="25" t="n">
        <f aca="false">datos_base!$E$17*parametros_recargas!$M$40+sobrestock_sustitutos!$E$190/12</f>
        <v>9.99519913893817</v>
      </c>
      <c r="L113" s="25" t="n">
        <f aca="false">datos_base!$E$17*parametros_recargas!$N$40+sobrestock_sustitutos!$E$190/12</f>
        <v>10.3224099012575</v>
      </c>
      <c r="M113" s="25" t="n">
        <f aca="false">datos_base!$E$17*parametros_recargas!$O$40+sobrestock_sustitutos!$E$190/12</f>
        <v>10.6603324944757</v>
      </c>
      <c r="N113" s="25" t="n">
        <f aca="false">datos_base!$E$17*parametros_recargas!$P$40+sobrestock_sustitutos!$E$190/12</f>
        <v>11.0093175895806</v>
      </c>
      <c r="O113" s="25" t="n">
        <f aca="false">datos_base!$E$17*parametros_recargas!$Q$40+sobrestock_sustitutos!$E$190/12</f>
        <v>11.3697273374032</v>
      </c>
      <c r="P113" s="7" t="n">
        <f aca="false">SUM(D113:O113)</f>
        <v>114.992608378626</v>
      </c>
      <c r="Q113" s="13" t="n">
        <f aca="false">sobrestock_sustitutos!$E$190</f>
        <v>0</v>
      </c>
    </row>
    <row r="114" customFormat="false" ht="15" hidden="false" customHeight="false" outlineLevel="0" collapsed="false">
      <c r="A114" s="12" t="str">
        <f aca="false">parametros_recargas!A67</f>
        <v>ABC 100 kg s/ruedas</v>
      </c>
      <c r="B114" s="12" t="str">
        <f aca="false">parametros_recargas!B67</f>
        <v>ABC</v>
      </c>
      <c r="C114" s="24" t="n">
        <f aca="false">parametros_recargas!C67</f>
        <v>3</v>
      </c>
      <c r="D114" s="25" t="n">
        <f aca="false">datos_base!$E$18*parametros_recargas!$F$40+sobrestock_sustitutos!$E$191/12</f>
        <v>5.40163105686719</v>
      </c>
      <c r="E114" s="25" t="n">
        <f aca="false">datos_base!$E$18*parametros_recargas!$G$40+sobrestock_sustitutos!$E$191/12</f>
        <v>5.57573506701934</v>
      </c>
      <c r="F114" s="25" t="n">
        <f aca="false">datos_base!$E$18*parametros_recargas!$H$40+sobrestock_sustitutos!$E$191/12</f>
        <v>5.75553868406205</v>
      </c>
      <c r="G114" s="25" t="n">
        <f aca="false">datos_base!$E$18*parametros_recargas!$I$40+sobrestock_sustitutos!$E$191/12</f>
        <v>5.94122849484462</v>
      </c>
      <c r="H114" s="25" t="n">
        <f aca="false">datos_base!$E$18*parametros_recargas!$J$40+sobrestock_sustitutos!$E$191/12</f>
        <v>6.13299719447137</v>
      </c>
      <c r="I114" s="25" t="n">
        <f aca="false">datos_base!$E$18*parametros_recargas!$K$40+sobrestock_sustitutos!$E$191/12</f>
        <v>6.33104378626632</v>
      </c>
      <c r="J114" s="25" t="n">
        <f aca="false">datos_base!$E$18*parametros_recargas!$L$40+sobrestock_sustitutos!$E$191/12</f>
        <v>6.53557378828403</v>
      </c>
      <c r="K114" s="25" t="n">
        <f aca="false">datos_base!$E$18*parametros_recargas!$M$40+sobrestock_sustitutos!$E$191/12</f>
        <v>6.74679944658103</v>
      </c>
      <c r="L114" s="25" t="n">
        <f aca="false">datos_base!$E$18*parametros_recargas!$N$40+sobrestock_sustitutos!$E$191/12</f>
        <v>6.964939955469</v>
      </c>
      <c r="M114" s="25" t="n">
        <f aca="false">datos_base!$E$18*parametros_recargas!$O$40+sobrestock_sustitutos!$E$191/12</f>
        <v>7.19022168497837</v>
      </c>
      <c r="N114" s="25" t="n">
        <f aca="false">datos_base!$E$18*parametros_recargas!$P$40+sobrestock_sustitutos!$E$191/12</f>
        <v>7.42287841576832</v>
      </c>
      <c r="O114" s="25" t="n">
        <f aca="false">datos_base!$E$18*parametros_recargas!$Q$40+sobrestock_sustitutos!$E$191/12</f>
        <v>7.66315158172703</v>
      </c>
      <c r="P114" s="7" t="n">
        <f aca="false">SUM(D114:O114)</f>
        <v>77.6617391563387</v>
      </c>
      <c r="Q114" s="13" t="n">
        <f aca="false">sobrestock_sustitutos!$E$191</f>
        <v>1</v>
      </c>
    </row>
    <row r="115" customFormat="false" ht="15" hidden="false" customHeight="false" outlineLevel="0" collapsed="false">
      <c r="A115" s="6" t="s">
        <v>273</v>
      </c>
      <c r="D115" s="7" t="n">
        <f aca="false">SUM(D98:D114)</f>
        <v>5641.9674751342</v>
      </c>
      <c r="E115" s="7" t="n">
        <f aca="false">SUM(E98:E114)</f>
        <v>5826.32638659399</v>
      </c>
      <c r="F115" s="7" t="n">
        <f aca="false">SUM(F98:F114)</f>
        <v>6016.72061752272</v>
      </c>
      <c r="G115" s="7" t="n">
        <f aca="false">SUM(G98:G114)</f>
        <v>6213.34774492279</v>
      </c>
      <c r="H115" s="7" t="n">
        <f aca="false">SUM(H98:H114)</f>
        <v>6416.41181383396</v>
      </c>
      <c r="I115" s="7" t="n">
        <f aca="false">SUM(I98:I114)</f>
        <v>6626.12354907619</v>
      </c>
      <c r="J115" s="7" t="n">
        <f aca="false">SUM(J98:J114)</f>
        <v>6842.70057392416</v>
      </c>
      <c r="K115" s="7" t="n">
        <f aca="false">SUM(K98:K114)</f>
        <v>7066.3676359406</v>
      </c>
      <c r="L115" s="7" t="n">
        <f aca="false">SUM(L98:L114)</f>
        <v>7297.35684020262</v>
      </c>
      <c r="M115" s="7" t="n">
        <f aca="false">SUM(M98:M114)</f>
        <v>7535.9078901631</v>
      </c>
      <c r="N115" s="7" t="n">
        <f aca="false">SUM(N98:N114)</f>
        <v>7782.26833639719</v>
      </c>
      <c r="O115" s="7" t="n">
        <f aca="false">SUM(O98:O114)</f>
        <v>8036.69383349191</v>
      </c>
      <c r="P115" s="7" t="n">
        <f aca="false">SUM(P98:P114)</f>
        <v>81302.1926972034</v>
      </c>
    </row>
    <row r="116" customFormat="false" ht="15" hidden="false" customHeight="false" outlineLevel="0" collapsed="false">
      <c r="A116" s="6" t="s">
        <v>274</v>
      </c>
    </row>
    <row r="117" customFormat="false" ht="15" hidden="false" customHeight="false" outlineLevel="0" collapsed="false">
      <c r="A117" s="4" t="s">
        <v>143</v>
      </c>
      <c r="D117" s="25" t="n">
        <f aca="false">SUMPRODUCT(($B$98:$B$114=$A117)*D$98:D$114*$C$98:$C$114)</f>
        <v>4999.13503239974</v>
      </c>
      <c r="E117" s="25" t="n">
        <f aca="false">SUMPRODUCT(($B$98:$B$114=$A117)*E$98:E$114*$C$98:$C$114)</f>
        <v>5162.52605728331</v>
      </c>
      <c r="F117" s="25" t="n">
        <f aca="false">SUMPRODUCT(($B$98:$B$114=$A117)*F$98:F$114*$C$98:$C$114)</f>
        <v>5331.26598027938</v>
      </c>
      <c r="G117" s="25" t="n">
        <f aca="false">SUMPRODUCT(($B$98:$B$114=$A117)*G$98:G$114*$C$98:$C$114)</f>
        <v>5505.52990715669</v>
      </c>
      <c r="H117" s="25" t="n">
        <f aca="false">SUMPRODUCT(($B$98:$B$114=$A117)*H$98:H$114*$C$98:$C$114)</f>
        <v>5685.49867608524</v>
      </c>
      <c r="I117" s="25" t="n">
        <f aca="false">SUMPRODUCT(($B$98:$B$114=$A117)*I$98:I$114*$C$98:$C$114)</f>
        <v>5871.3590452967</v>
      </c>
      <c r="J117" s="25" t="n">
        <f aca="false">SUMPRODUCT(($B$98:$B$114=$A117)*J$98:J$114*$C$98:$C$114)</f>
        <v>6063.30388688827</v>
      </c>
      <c r="K117" s="25" t="n">
        <f aca="false">SUMPRODUCT(($B$98:$B$114=$A117)*K$98:K$114*$C$98:$C$114)</f>
        <v>6261.53238697103</v>
      </c>
      <c r="L117" s="25" t="n">
        <f aca="false">SUMPRODUCT(($B$98:$B$114=$A117)*L$98:L$114*$C$98:$C$114)</f>
        <v>6466.25025237047</v>
      </c>
      <c r="M117" s="25" t="n">
        <f aca="false">SUMPRODUCT(($B$98:$B$114=$A117)*M$98:M$114*$C$98:$C$114)</f>
        <v>6677.66992409377</v>
      </c>
      <c r="N117" s="25" t="n">
        <f aca="false">SUMPRODUCT(($B$98:$B$114=$A117)*N$98:N$114*$C$98:$C$114)</f>
        <v>6896.01079778537</v>
      </c>
      <c r="O117" s="25" t="n">
        <f aca="false">SUMPRODUCT(($B$98:$B$114=$A117)*O$98:O$114*$C$98:$C$114)</f>
        <v>7121.49945139941</v>
      </c>
      <c r="P117" s="25" t="n">
        <f aca="false">SUMPRODUCT(($B$98:$B$114=$A117)*P$98:P$114*$C$98:$C$114)</f>
        <v>72041.5813980094</v>
      </c>
    </row>
    <row r="118" customFormat="false" ht="15" hidden="false" customHeight="false" outlineLevel="0" collapsed="false">
      <c r="A118" s="4" t="s">
        <v>149</v>
      </c>
      <c r="D118" s="25" t="n">
        <f aca="false">SUMPRODUCT(($B$98:$B$114=$A118)*D$98:D$114*$C$98:$C$114)</f>
        <v>7.95917829106044</v>
      </c>
      <c r="E118" s="25" t="n">
        <f aca="false">SUMPRODUCT(($B$98:$B$114=$A118)*E$98:E$114*$C$98:$C$114)</f>
        <v>8.21700819486767</v>
      </c>
      <c r="F118" s="25" t="n">
        <f aca="false">SUMPRODUCT(($B$98:$B$114=$A118)*F$98:F$114*$C$98:$C$114)</f>
        <v>8.4832786227906</v>
      </c>
      <c r="G118" s="25" t="n">
        <f aca="false">SUMPRODUCT(($B$98:$B$114=$A118)*G$98:G$114*$C$98:$C$114)</f>
        <v>8.75826589051758</v>
      </c>
      <c r="H118" s="25" t="n">
        <f aca="false">SUMPRODUCT(($B$98:$B$114=$A118)*H$98:H$114*$C$98:$C$114)</f>
        <v>9.04225535942638</v>
      </c>
      <c r="I118" s="25" t="n">
        <f aca="false">SUMPRODUCT(($B$98:$B$114=$A118)*I$98:I$114*$C$98:$C$114)</f>
        <v>9.33554173271103</v>
      </c>
      <c r="J118" s="25" t="n">
        <f aca="false">SUMPRODUCT(($B$98:$B$114=$A118)*J$98:J$114*$C$98:$C$114)</f>
        <v>9.63842936120294</v>
      </c>
      <c r="K118" s="25" t="n">
        <f aca="false">SUMPRODUCT(($B$98:$B$114=$A118)*K$98:K$114*$C$98:$C$114)</f>
        <v>9.9512325592036</v>
      </c>
      <c r="L118" s="25" t="n">
        <f aca="false">SUMPRODUCT(($B$98:$B$114=$A118)*L$98:L$114*$C$98:$C$114)</f>
        <v>10.2742759306566</v>
      </c>
      <c r="M118" s="25" t="n">
        <f aca="false">SUMPRODUCT(($B$98:$B$114=$A118)*M$98:M$114*$C$98:$C$114)</f>
        <v>10.6078947059977</v>
      </c>
      <c r="N118" s="25" t="n">
        <f aca="false">SUMPRODUCT(($B$98:$B$114=$A118)*N$98:N$114*$C$98:$C$114)</f>
        <v>10.9524350900316</v>
      </c>
      <c r="O118" s="25" t="n">
        <f aca="false">SUMPRODUCT(($B$98:$B$114=$A118)*O$98:O$114*$C$98:$C$114)</f>
        <v>11.3082546211984</v>
      </c>
      <c r="P118" s="25" t="n">
        <f aca="false">SUMPRODUCT(($B$98:$B$114=$A118)*P$98:P$114*$C$98:$C$114)</f>
        <v>114.528050359665</v>
      </c>
    </row>
    <row r="119" customFormat="false" ht="15" hidden="false" customHeight="false" outlineLevel="0" collapsed="false">
      <c r="A119" s="4" t="s">
        <v>155</v>
      </c>
      <c r="D119" s="25" t="n">
        <f aca="false">SUMPRODUCT(($B$98:$B$114=$A119)*D$98:D$114*$C$98:$C$114)</f>
        <v>7.40499859742379</v>
      </c>
      <c r="E119" s="25" t="n">
        <f aca="false">SUMPRODUCT(($B$98:$B$114=$A119)*E$98:E$114*$C$98:$C$114)</f>
        <v>7.64468643547563</v>
      </c>
      <c r="F119" s="25" t="n">
        <f aca="false">SUMPRODUCT(($B$98:$B$114=$A119)*F$98:F$114*$C$98:$C$114)</f>
        <v>7.8922208845972</v>
      </c>
      <c r="G119" s="25" t="n">
        <f aca="false">SUMPRODUCT(($B$98:$B$114=$A119)*G$98:G$114*$C$98:$C$114)</f>
        <v>8.14785881766855</v>
      </c>
      <c r="H119" s="25" t="n">
        <f aca="false">SUMPRODUCT(($B$98:$B$114=$A119)*H$98:H$114*$C$98:$C$114)</f>
        <v>8.41186551676399</v>
      </c>
      <c r="I119" s="25" t="n">
        <f aca="false">SUMPRODUCT(($B$98:$B$114=$A119)*I$98:I$114*$C$98:$C$114)</f>
        <v>8.68451494844212</v>
      </c>
      <c r="J119" s="25" t="n">
        <f aca="false">SUMPRODUCT(($B$98:$B$114=$A119)*J$98:J$114*$C$98:$C$114)</f>
        <v>8.96609004804793</v>
      </c>
      <c r="K119" s="25" t="n">
        <f aca="false">SUMPRODUCT(($B$98:$B$114=$A119)*K$98:K$114*$C$98:$C$114)</f>
        <v>9.2568830133222</v>
      </c>
      <c r="L119" s="25" t="n">
        <f aca="false">SUMPRODUCT(($B$98:$B$114=$A119)*L$98:L$114*$C$98:$C$114)</f>
        <v>9.55719560762254</v>
      </c>
      <c r="M119" s="25" t="n">
        <f aca="false">SUMPRODUCT(($B$98:$B$114=$A119)*M$98:M$114*$C$98:$C$114)</f>
        <v>9.86733947307108</v>
      </c>
      <c r="N119" s="25" t="n">
        <f aca="false">SUMPRODUCT(($B$98:$B$114=$A119)*N$98:N$114*$C$98:$C$114)</f>
        <v>10.1876364539535</v>
      </c>
      <c r="O119" s="25" t="n">
        <f aca="false">SUMPRODUCT(($B$98:$B$114=$A119)*O$98:O$114*$C$98:$C$114)</f>
        <v>10.5184189307051</v>
      </c>
      <c r="P119" s="25" t="n">
        <f aca="false">SUMPRODUCT(($B$98:$B$114=$A119)*P$98:P$114*$C$98:$C$114)</f>
        <v>106.539708727094</v>
      </c>
    </row>
    <row r="120" customFormat="false" ht="15" hidden="false" customHeight="false" outlineLevel="0" collapsed="false">
      <c r="A120" s="4" t="s">
        <v>146</v>
      </c>
      <c r="D120" s="25" t="n">
        <f aca="false">SUMPRODUCT(($B$98:$B$114=$A120)*D$98:D$114*$C$98:$C$114)</f>
        <v>137.100630103622</v>
      </c>
      <c r="E120" s="25" t="n">
        <f aca="false">SUMPRODUCT(($B$98:$B$114=$A120)*E$98:E$114*$C$98:$C$114)</f>
        <v>141.572496615554</v>
      </c>
      <c r="F120" s="25" t="n">
        <f aca="false">SUMPRODUCT(($B$98:$B$114=$A120)*F$98:F$114*$C$98:$C$114)</f>
        <v>146.190757694519</v>
      </c>
      <c r="G120" s="25" t="n">
        <f aca="false">SUMPRODUCT(($B$98:$B$114=$A120)*G$98:G$114*$C$98:$C$114)</f>
        <v>150.960205829112</v>
      </c>
      <c r="H120" s="25" t="n">
        <f aca="false">SUMPRODUCT(($B$98:$B$114=$A120)*H$98:H$114*$C$98:$C$114)</f>
        <v>155.885790398635</v>
      </c>
      <c r="I120" s="25" t="n">
        <f aca="false">SUMPRODUCT(($B$98:$B$114=$A120)*I$98:I$114*$C$98:$C$114)</f>
        <v>160.972622809192</v>
      </c>
      <c r="J120" s="25" t="n">
        <f aca="false">SUMPRODUCT(($B$98:$B$114=$A120)*J$98:J$114*$C$98:$C$114)</f>
        <v>166.225981797931</v>
      </c>
      <c r="K120" s="25" t="n">
        <f aca="false">SUMPRODUCT(($B$98:$B$114=$A120)*K$98:K$114*$C$98:$C$114)</f>
        <v>171.651318910921</v>
      </c>
      <c r="L120" s="25" t="n">
        <f aca="false">SUMPRODUCT(($B$98:$B$114=$A120)*L$98:L$114*$C$98:$C$114)</f>
        <v>177.254264160369</v>
      </c>
      <c r="M120" s="25" t="n">
        <f aca="false">SUMPRODUCT(($B$98:$B$114=$A120)*M$98:M$114*$C$98:$C$114)</f>
        <v>183.04063186702</v>
      </c>
      <c r="N120" s="25" t="n">
        <f aca="false">SUMPRODUCT(($B$98:$B$114=$A120)*N$98:N$114*$C$98:$C$114)</f>
        <v>189.016426693835</v>
      </c>
      <c r="O120" s="25" t="n">
        <f aca="false">SUMPRODUCT(($B$98:$B$114=$A120)*O$98:O$114*$C$98:$C$114)</f>
        <v>195.187849877181</v>
      </c>
      <c r="P120" s="25" t="n">
        <f aca="false">SUMPRODUCT(($B$98:$B$114=$A120)*P$98:P$114*$C$98:$C$114)</f>
        <v>1975.05897675789</v>
      </c>
    </row>
    <row r="121" customFormat="false" ht="15" hidden="false" customHeight="false" outlineLevel="0" collapsed="false">
      <c r="A121" s="4" t="s">
        <v>147</v>
      </c>
      <c r="D121" s="25" t="n">
        <f aca="false">SUMPRODUCT(($B$98:$B$114=$A121)*D$98:D$114*$C$98:$C$114)</f>
        <v>68.1339537490839</v>
      </c>
      <c r="E121" s="25" t="n">
        <f aca="false">SUMPRODUCT(($B$98:$B$114=$A121)*E$98:E$114*$C$98:$C$114)</f>
        <v>70.3508005392706</v>
      </c>
      <c r="F121" s="25" t="n">
        <f aca="false">SUMPRODUCT(($B$98:$B$114=$A121)*F$98:F$114*$C$98:$C$114)</f>
        <v>72.6402197833004</v>
      </c>
      <c r="G121" s="25" t="n">
        <f aca="false">SUMPRODUCT(($B$98:$B$114=$A121)*G$98:G$114*$C$98:$C$114)</f>
        <v>75.0045872705511</v>
      </c>
      <c r="H121" s="25" t="n">
        <f aca="false">SUMPRODUCT(($B$98:$B$114=$A121)*H$98:H$114*$C$98:$C$114)</f>
        <v>77.4463565661253</v>
      </c>
      <c r="I121" s="25" t="n">
        <f aca="false">SUMPRODUCT(($B$98:$B$114=$A121)*I$98:I$114*$C$98:$C$114)</f>
        <v>79.9680615569774</v>
      </c>
      <c r="J121" s="25" t="n">
        <f aca="false">SUMPRODUCT(($B$98:$B$114=$A121)*J$98:J$114*$C$98:$C$114)</f>
        <v>82.5723190813939</v>
      </c>
      <c r="K121" s="25" t="n">
        <f aca="false">SUMPRODUCT(($B$98:$B$114=$A121)*K$98:K$114*$C$98:$C$114)</f>
        <v>85.2618316445541</v>
      </c>
      <c r="L121" s="25" t="n">
        <f aca="false">SUMPRODUCT(($B$98:$B$114=$A121)*L$98:L$114*$C$98:$C$114)</f>
        <v>88.0393902229888</v>
      </c>
      <c r="M121" s="25" t="n">
        <f aca="false">SUMPRODUCT(($B$98:$B$114=$A121)*M$98:M$114*$C$98:$C$114)</f>
        <v>90.9078771608492</v>
      </c>
      <c r="N121" s="25" t="n">
        <f aca="false">SUMPRODUCT(($B$98:$B$114=$A121)*N$98:N$114*$C$98:$C$114)</f>
        <v>93.8702691609893</v>
      </c>
      <c r="O121" s="25" t="n">
        <f aca="false">SUMPRODUCT(($B$98:$B$114=$A121)*O$98:O$114*$C$98:$C$114)</f>
        <v>96.9296403739675</v>
      </c>
      <c r="P121" s="25" t="n">
        <f aca="false">SUMPRODUCT(($B$98:$B$114=$A121)*P$98:P$114*$C$98:$C$114)</f>
        <v>981.125307110052</v>
      </c>
    </row>
    <row r="122" customFormat="false" ht="15" hidden="false" customHeight="false" outlineLevel="0" collapsed="false">
      <c r="A122" s="4" t="s">
        <v>150</v>
      </c>
      <c r="D122" s="25" t="n">
        <f aca="false">SUMPRODUCT(($B$98:$B$114=$A122)*D$98:D$114*$C$98:$C$114)</f>
        <v>67.3491679326979</v>
      </c>
      <c r="E122" s="25" t="n">
        <f aca="false">SUMPRODUCT(($B$98:$B$114=$A122)*E$98:E$114*$C$98:$C$114)</f>
        <v>69.5457794844095</v>
      </c>
      <c r="F122" s="25" t="n">
        <f aca="false">SUMPRODUCT(($B$98:$B$114=$A122)*F$98:F$114*$C$98:$C$114)</f>
        <v>71.8143010531566</v>
      </c>
      <c r="G122" s="25" t="n">
        <f aca="false">SUMPRODUCT(($B$98:$B$114=$A122)*G$98:G$114*$C$98:$C$114)</f>
        <v>74.1570867422607</v>
      </c>
      <c r="H122" s="25" t="n">
        <f aca="false">SUMPRODUCT(($B$98:$B$114=$A122)*H$98:H$114*$C$98:$C$114)</f>
        <v>76.5765677208361</v>
      </c>
      <c r="I122" s="25" t="n">
        <f aca="false">SUMPRODUCT(($B$98:$B$114=$A122)*I$98:I$114*$C$98:$C$114)</f>
        <v>79.0752547466759</v>
      </c>
      <c r="J122" s="25" t="n">
        <f aca="false">SUMPRODUCT(($B$98:$B$114=$A122)*J$98:J$114*$C$98:$C$114)</f>
        <v>81.655740771731</v>
      </c>
      <c r="K122" s="25" t="n">
        <f aca="false">SUMPRODUCT(($B$98:$B$114=$A122)*K$98:K$114*$C$98:$C$114)</f>
        <v>84.3207036328827</v>
      </c>
      <c r="L122" s="25" t="n">
        <f aca="false">SUMPRODUCT(($B$98:$B$114=$A122)*L$98:L$114*$C$98:$C$114)</f>
        <v>87.0729088308031</v>
      </c>
      <c r="M122" s="25" t="n">
        <f aca="false">SUMPRODUCT(($B$98:$B$114=$A122)*M$98:M$114*$C$98:$C$114)</f>
        <v>89.9152123997867</v>
      </c>
      <c r="N122" s="25" t="n">
        <f aca="false">SUMPRODUCT(($B$98:$B$114=$A122)*N$98:N$114*$C$98:$C$114)</f>
        <v>92.8505638715306</v>
      </c>
      <c r="O122" s="25" t="n">
        <f aca="false">SUMPRODUCT(($B$98:$B$114=$A122)*O$98:O$114*$C$98:$C$114)</f>
        <v>95.8820093359398</v>
      </c>
      <c r="P122" s="25" t="n">
        <f aca="false">SUMPRODUCT(($B$98:$B$114=$A122)*P$98:P$114*$C$98:$C$114)</f>
        <v>970.215296522711</v>
      </c>
    </row>
    <row r="123" customFormat="false" ht="15" hidden="false" customHeight="false" outlineLevel="0" collapsed="false">
      <c r="A123" s="4" t="s">
        <v>151</v>
      </c>
      <c r="D123" s="25" t="n">
        <f aca="false">SUMPRODUCT(($B$98:$B$114=$A123)*D$98:D$114*$C$98:$C$114)</f>
        <v>496.589491046996</v>
      </c>
      <c r="E123" s="25" t="n">
        <f aca="false">SUMPRODUCT(($B$98:$B$114=$A123)*E$98:E$114*$C$98:$C$114)</f>
        <v>512.788948890753</v>
      </c>
      <c r="F123" s="25" t="n">
        <f aca="false">SUMPRODUCT(($B$98:$B$114=$A123)*F$98:F$114*$C$98:$C$114)</f>
        <v>529.518725027976</v>
      </c>
      <c r="G123" s="25" t="n">
        <f aca="false">SUMPRODUCT(($B$98:$B$114=$A123)*G$98:G$114*$C$98:$C$114)</f>
        <v>546.796180378708</v>
      </c>
      <c r="H123" s="25" t="n">
        <f aca="false">SUMPRODUCT(($B$98:$B$114=$A123)*H$98:H$114*$C$98:$C$114)</f>
        <v>564.639244203836</v>
      </c>
      <c r="I123" s="25" t="n">
        <f aca="false">SUMPRODUCT(($B$98:$B$114=$A123)*I$98:I$114*$C$98:$C$114)</f>
        <v>583.066432710742</v>
      </c>
      <c r="J123" s="25" t="n">
        <f aca="false">SUMPRODUCT(($B$98:$B$114=$A123)*J$98:J$114*$C$98:$C$114)</f>
        <v>602.096868268049</v>
      </c>
      <c r="K123" s="25" t="n">
        <f aca="false">SUMPRODUCT(($B$98:$B$114=$A123)*K$98:K$114*$C$98:$C$114)</f>
        <v>621.750299249401</v>
      </c>
      <c r="L123" s="25" t="n">
        <f aca="false">SUMPRODUCT(($B$98:$B$114=$A123)*L$98:L$114*$C$98:$C$114)</f>
        <v>642.047120526855</v>
      </c>
      <c r="M123" s="25" t="n">
        <f aca="false">SUMPRODUCT(($B$98:$B$114=$A123)*M$98:M$114*$C$98:$C$114)</f>
        <v>663.008394635166</v>
      </c>
      <c r="N123" s="25" t="n">
        <f aca="false">SUMPRODUCT(($B$98:$B$114=$A123)*N$98:N$114*$C$98:$C$114)</f>
        <v>684.655873628926</v>
      </c>
      <c r="O123" s="25" t="n">
        <f aca="false">SUMPRODUCT(($B$98:$B$114=$A123)*O$98:O$114*$C$98:$C$114)</f>
        <v>707.012021655226</v>
      </c>
      <c r="P123" s="25" t="n">
        <f aca="false">SUMPRODUCT(($B$98:$B$114=$A123)*P$98:P$114*$C$98:$C$114)</f>
        <v>7153.96960022263</v>
      </c>
    </row>
    <row r="124" customFormat="false" ht="15" hidden="false" customHeight="false" outlineLevel="0" collapsed="false">
      <c r="A124" s="4" t="s">
        <v>154</v>
      </c>
      <c r="D124" s="25" t="n">
        <f aca="false">SUMPRODUCT(($B$98:$B$114=$A124)*D$98:D$114*$C$98:$C$114)</f>
        <v>19.8696816403816</v>
      </c>
      <c r="E124" s="25" t="n">
        <f aca="false">SUMPRODUCT(($B$98:$B$114=$A124)*E$98:E$114*$C$98:$C$114)</f>
        <v>20.5174232234225</v>
      </c>
      <c r="F124" s="25" t="n">
        <f aca="false">SUMPRODUCT(($B$98:$B$114=$A124)*F$98:F$114*$C$98:$C$114)</f>
        <v>21.1863697883978</v>
      </c>
      <c r="G124" s="25" t="n">
        <f aca="false">SUMPRODUCT(($B$98:$B$114=$A124)*G$98:G$114*$C$98:$C$114)</f>
        <v>21.8772155184057</v>
      </c>
      <c r="H124" s="25" t="n">
        <f aca="false">SUMPRODUCT(($B$98:$B$114=$A124)*H$98:H$114*$C$98:$C$114)</f>
        <v>22.5906773218722</v>
      </c>
      <c r="I124" s="25" t="n">
        <f aca="false">SUMPRODUCT(($B$98:$B$114=$A124)*I$98:I$114*$C$98:$C$114)</f>
        <v>23.3274955765063</v>
      </c>
      <c r="J124" s="25" t="n">
        <f aca="false">SUMPRODUCT(($B$98:$B$114=$A124)*J$98:J$114*$C$98:$C$114)</f>
        <v>24.0884348976082</v>
      </c>
      <c r="K124" s="25" t="n">
        <f aca="false">SUMPRODUCT(($B$98:$B$114=$A124)*K$98:K$114*$C$98:$C$114)</f>
        <v>24.8742849315309</v>
      </c>
      <c r="L124" s="25" t="n">
        <f aca="false">SUMPRODUCT(($B$98:$B$114=$A124)*L$98:L$114*$C$98:$C$114)</f>
        <v>25.6858611751163</v>
      </c>
      <c r="M124" s="25" t="n">
        <f aca="false">SUMPRODUCT(($B$98:$B$114=$A124)*M$98:M$114*$C$98:$C$114)</f>
        <v>26.5240058219573</v>
      </c>
      <c r="N124" s="25" t="n">
        <f aca="false">SUMPRODUCT(($B$98:$B$114=$A124)*N$98:N$114*$C$98:$C$114)</f>
        <v>27.389588636364</v>
      </c>
      <c r="O124" s="25" t="n">
        <f aca="false">SUMPRODUCT(($B$98:$B$114=$A124)*O$98:O$114*$C$98:$C$114)</f>
        <v>28.2835078559403</v>
      </c>
      <c r="P124" s="25" t="n">
        <f aca="false">SUMPRODUCT(($B$98:$B$114=$A124)*P$98:P$114*$C$98:$C$114)</f>
        <v>286.214546387503</v>
      </c>
    </row>
    <row r="125" customFormat="false" ht="15" hidden="false" customHeight="false" outlineLevel="0" collapsed="false">
      <c r="A125" s="6" t="s">
        <v>275</v>
      </c>
      <c r="D125" s="26" t="n">
        <f aca="false">SUMPRODUCT(D$98:D$114*parametros_recargas!$D$51:$D$67)</f>
        <v>204.020180782321</v>
      </c>
      <c r="E125" s="26" t="n">
        <f aca="false">SUMPRODUCT(E$98:E$114*parametros_recargas!$D$51:$D$67)</f>
        <v>210.628217431967</v>
      </c>
      <c r="F125" s="26" t="n">
        <f aca="false">SUMPRODUCT(F$98:F$114*parametros_recargas!$D$51:$D$67)</f>
        <v>217.452580007641</v>
      </c>
      <c r="G125" s="26" t="n">
        <f aca="false">SUMPRODUCT(G$98:G$114*parametros_recargas!$D$51:$D$67)</f>
        <v>224.500350326341</v>
      </c>
      <c r="H125" s="26" t="n">
        <f aca="false">SUMPRODUCT(H$98:H$114*parametros_recargas!$D$51:$D$67)</f>
        <v>231.778842041041</v>
      </c>
      <c r="I125" s="26" t="n">
        <f aca="false">SUMPRODUCT(I$98:I$114*parametros_recargas!$D$51:$D$67)</f>
        <v>239.295608230256</v>
      </c>
      <c r="J125" s="26" t="n">
        <f aca="false">SUMPRODUCT(J$98:J$114*parametros_recargas!$D$51:$D$67)</f>
        <v>247.058449236067</v>
      </c>
      <c r="K125" s="26" t="n">
        <f aca="false">SUMPRODUCT(K$98:K$114*parametros_recargas!$D$51:$D$67)</f>
        <v>255.075420758735</v>
      </c>
      <c r="L125" s="26" t="n">
        <f aca="false">SUMPRODUCT(L$98:L$114*parametros_recargas!$D$51:$D$67)</f>
        <v>263.354842216313</v>
      </c>
      <c r="M125" s="26" t="n">
        <f aca="false">SUMPRODUCT(M$98:M$114*parametros_recargas!$D$51:$D$67)</f>
        <v>271.905305377917</v>
      </c>
      <c r="N125" s="26" t="n">
        <f aca="false">SUMPRODUCT(N$98:N$114*parametros_recargas!$D$51:$D$67)</f>
        <v>280.735683279627</v>
      </c>
      <c r="O125" s="26" t="n">
        <f aca="false">SUMPRODUCT(O$98:O$114*parametros_recargas!$D$51:$D$67)</f>
        <v>289.855139432269</v>
      </c>
      <c r="P125" s="26" t="n">
        <f aca="false">SUMPRODUCT(P$98:P$114*parametros_recargas!$D$51:$D$67)</f>
        <v>2935.66061912049</v>
      </c>
    </row>
    <row r="129" customFormat="false" ht="23.85" hidden="false" customHeight="false" outlineLevel="0" collapsed="false">
      <c r="A129" s="23" t="n">
        <v>2030</v>
      </c>
      <c r="B129" s="3" t="s">
        <v>270</v>
      </c>
      <c r="C129" s="3" t="s">
        <v>271</v>
      </c>
      <c r="D129" s="3" t="s">
        <v>124</v>
      </c>
      <c r="E129" s="3" t="s">
        <v>125</v>
      </c>
      <c r="F129" s="3" t="s">
        <v>126</v>
      </c>
      <c r="G129" s="3" t="s">
        <v>127</v>
      </c>
      <c r="H129" s="3" t="s">
        <v>128</v>
      </c>
      <c r="I129" s="3" t="s">
        <v>129</v>
      </c>
      <c r="J129" s="3" t="s">
        <v>130</v>
      </c>
      <c r="K129" s="3" t="s">
        <v>131</v>
      </c>
      <c r="L129" s="3" t="s">
        <v>132</v>
      </c>
      <c r="M129" s="3" t="s">
        <v>133</v>
      </c>
      <c r="N129" s="3" t="s">
        <v>134</v>
      </c>
      <c r="O129" s="3" t="s">
        <v>135</v>
      </c>
      <c r="P129" s="3" t="s">
        <v>136</v>
      </c>
      <c r="Q129" s="3" t="s">
        <v>272</v>
      </c>
    </row>
    <row r="130" customFormat="false" ht="15" hidden="false" customHeight="false" outlineLevel="0" collapsed="false">
      <c r="A130" s="12" t="str">
        <f aca="false">parametros_recargas!A51</f>
        <v>ABC 1 kg</v>
      </c>
      <c r="B130" s="12" t="str">
        <f aca="false">parametros_recargas!B51</f>
        <v>ABC</v>
      </c>
      <c r="C130" s="24" t="n">
        <f aca="false">parametros_recargas!C51</f>
        <v>1</v>
      </c>
      <c r="D130" s="25" t="n">
        <f aca="false">datos_base!$F$2*parametros_recargas!$F$41+sobrestock_sustitutos!$F$175/12</f>
        <v>4322.69103542264</v>
      </c>
      <c r="E130" s="25" t="n">
        <f aca="false">datos_base!$F$2*parametros_recargas!$G$41+sobrestock_sustitutos!$F$175/12</f>
        <v>4435.18734568693</v>
      </c>
      <c r="F130" s="25" t="n">
        <f aca="false">datos_base!$F$2*parametros_recargas!$H$41+sobrestock_sustitutos!$F$175/12</f>
        <v>4550.61132756119</v>
      </c>
      <c r="G130" s="25" t="n">
        <f aca="false">datos_base!$F$2*parametros_recargas!$I$41+sobrestock_sustitutos!$F$175/12</f>
        <v>4669.03917253149</v>
      </c>
      <c r="H130" s="25" t="n">
        <f aca="false">datos_base!$F$2*parametros_recargas!$J$41+sobrestock_sustitutos!$F$175/12</f>
        <v>4790.54905493692</v>
      </c>
      <c r="I130" s="25" t="n">
        <f aca="false">datos_base!$F$2*parametros_recargas!$K$41+sobrestock_sustitutos!$F$175/12</f>
        <v>4915.22118357259</v>
      </c>
      <c r="J130" s="25" t="n">
        <f aca="false">datos_base!$F$2*parametros_recargas!$L$41+sobrestock_sustitutos!$F$175/12</f>
        <v>5043.13785463551</v>
      </c>
      <c r="K130" s="25" t="n">
        <f aca="false">datos_base!$F$2*parametros_recargas!$M$41+sobrestock_sustitutos!$F$175/12</f>
        <v>5174.38350604839</v>
      </c>
      <c r="L130" s="25" t="n">
        <f aca="false">datos_base!$F$2*parametros_recargas!$N$41+sobrestock_sustitutos!$F$175/12</f>
        <v>5309.0447731972</v>
      </c>
      <c r="M130" s="25" t="n">
        <f aca="false">datos_base!$F$2*parametros_recargas!$O$41+sobrestock_sustitutos!$F$175/12</f>
        <v>5447.2105461193</v>
      </c>
      <c r="N130" s="25" t="n">
        <f aca="false">datos_base!$F$2*parametros_recargas!$P$41+sobrestock_sustitutos!$F$175/12</f>
        <v>5588.9720281798</v>
      </c>
      <c r="O130" s="25" t="n">
        <f aca="false">datos_base!$F$2*parametros_recargas!$Q$41+sobrestock_sustitutos!$F$175/12</f>
        <v>5734.42279627502</v>
      </c>
      <c r="P130" s="7" t="n">
        <f aca="false">SUM(D130:O130)</f>
        <v>59980.470624167</v>
      </c>
      <c r="Q130" s="13" t="n">
        <f aca="false">sobrestock_sustitutos!$F$175</f>
        <v>0</v>
      </c>
    </row>
    <row r="131" customFormat="false" ht="15" hidden="false" customHeight="false" outlineLevel="0" collapsed="false">
      <c r="A131" s="12" t="str">
        <f aca="false">parametros_recargas!A52</f>
        <v>ABC 2,5 kg</v>
      </c>
      <c r="B131" s="12" t="str">
        <f aca="false">parametros_recargas!B52</f>
        <v>ABC</v>
      </c>
      <c r="C131" s="24" t="n">
        <f aca="false">parametros_recargas!C52</f>
        <v>1</v>
      </c>
      <c r="D131" s="25" t="n">
        <f aca="false">datos_base!$F$3*parametros_recargas!$F$41+sobrestock_sustitutos!$F$176/12</f>
        <v>402.715312694898</v>
      </c>
      <c r="E131" s="25" t="n">
        <f aca="false">datos_base!$F$3*parametros_recargas!$G$41+sobrestock_sustitutos!$F$176/12</f>
        <v>413.195818100873</v>
      </c>
      <c r="F131" s="25" t="n">
        <f aca="false">datos_base!$F$3*parametros_recargas!$H$41+sobrestock_sustitutos!$F$176/12</f>
        <v>423.949074480307</v>
      </c>
      <c r="G131" s="25" t="n">
        <f aca="false">datos_base!$F$3*parametros_recargas!$I$41+sobrestock_sustitutos!$F$176/12</f>
        <v>434.98218006851</v>
      </c>
      <c r="H131" s="25" t="n">
        <f aca="false">datos_base!$F$3*parametros_recargas!$J$41+sobrestock_sustitutos!$F$176/12</f>
        <v>446.302417829532</v>
      </c>
      <c r="I131" s="25" t="n">
        <f aca="false">datos_base!$F$3*parametros_recargas!$K$41+sobrestock_sustitutos!$F$176/12</f>
        <v>457.917260263661</v>
      </c>
      <c r="J131" s="25" t="n">
        <f aca="false">datos_base!$F$3*parametros_recargas!$L$41+sobrestock_sustitutos!$F$176/12</f>
        <v>469.834374340021</v>
      </c>
      <c r="K131" s="25" t="n">
        <f aca="false">datos_base!$F$3*parametros_recargas!$M$41+sobrestock_sustitutos!$F$176/12</f>
        <v>482.061626557555</v>
      </c>
      <c r="L131" s="25" t="n">
        <f aca="false">datos_base!$F$3*parametros_recargas!$N$41+sobrestock_sustitutos!$F$176/12</f>
        <v>494.607088137698</v>
      </c>
      <c r="M131" s="25" t="n">
        <f aca="false">datos_base!$F$3*parametros_recargas!$O$41+sobrestock_sustitutos!$F$176/12</f>
        <v>507.479040352209</v>
      </c>
      <c r="N131" s="25" t="n">
        <f aca="false">datos_base!$F$3*parametros_recargas!$P$41+sobrestock_sustitutos!$F$176/12</f>
        <v>520.685979989639</v>
      </c>
      <c r="O131" s="25" t="n">
        <f aca="false">datos_base!$F$3*parametros_recargas!$Q$41+sobrestock_sustitutos!$F$176/12</f>
        <v>534.236624964073</v>
      </c>
      <c r="P131" s="7" t="n">
        <f aca="false">SUM(D131:O131)</f>
        <v>5587.96679777898</v>
      </c>
      <c r="Q131" s="13" t="n">
        <f aca="false">sobrestock_sustitutos!$F$176</f>
        <v>0</v>
      </c>
    </row>
    <row r="132" customFormat="false" ht="15" hidden="false" customHeight="false" outlineLevel="0" collapsed="false">
      <c r="A132" s="12" t="str">
        <f aca="false">parametros_recargas!A53</f>
        <v>ABC 5 kg</v>
      </c>
      <c r="B132" s="12" t="str">
        <f aca="false">parametros_recargas!B53</f>
        <v>ABC</v>
      </c>
      <c r="C132" s="24" t="n">
        <f aca="false">parametros_recargas!C53</f>
        <v>1</v>
      </c>
      <c r="D132" s="25" t="n">
        <f aca="false">datos_base!$F$4*parametros_recargas!$F$41+sobrestock_sustitutos!$F$177/12</f>
        <v>2629.01166551807</v>
      </c>
      <c r="E132" s="25" t="n">
        <f aca="false">datos_base!$F$4*parametros_recargas!$G$41+sobrestock_sustitutos!$F$177/12</f>
        <v>2693.63322257997</v>
      </c>
      <c r="F132" s="25" t="n">
        <f aca="false">datos_base!$F$4*parametros_recargas!$H$41+sobrestock_sustitutos!$F$177/12</f>
        <v>2759.93652989267</v>
      </c>
      <c r="G132" s="25" t="n">
        <f aca="false">datos_base!$F$4*parametros_recargas!$I$41+sobrestock_sustitutos!$F$177/12</f>
        <v>2827.96535433576</v>
      </c>
      <c r="H132" s="25" t="n">
        <f aca="false">datos_base!$F$4*parametros_recargas!$J$41+sobrestock_sustitutos!$F$177/12</f>
        <v>2897.7646018044</v>
      </c>
      <c r="I132" s="25" t="n">
        <f aca="false">datos_base!$F$4*parametros_recargas!$K$41+sobrestock_sustitutos!$F$177/12</f>
        <v>2969.38034685178</v>
      </c>
      <c r="J132" s="25" t="n">
        <f aca="false">datos_base!$F$4*parametros_recargas!$L$41+sobrestock_sustitutos!$F$177/12</f>
        <v>3042.85986310293</v>
      </c>
      <c r="K132" s="25" t="n">
        <f aca="false">datos_base!$F$4*parametros_recargas!$M$41+sobrestock_sustitutos!$F$177/12</f>
        <v>3118.25165446015</v>
      </c>
      <c r="L132" s="25" t="n">
        <f aca="false">datos_base!$F$4*parametros_recargas!$N$41+sobrestock_sustitutos!$F$177/12</f>
        <v>3195.60548712044</v>
      </c>
      <c r="M132" s="25" t="n">
        <f aca="false">datos_base!$F$4*parametros_recargas!$O$41+sobrestock_sustitutos!$F$177/12</f>
        <v>3274.97242242623</v>
      </c>
      <c r="N132" s="25" t="n">
        <f aca="false">datos_base!$F$4*parametros_recargas!$P$41+sobrestock_sustitutos!$F$177/12</f>
        <v>3356.40485057102</v>
      </c>
      <c r="O132" s="25" t="n">
        <f aca="false">datos_base!$F$4*parametros_recargas!$Q$41+sobrestock_sustitutos!$F$177/12</f>
        <v>3439.95652518221</v>
      </c>
      <c r="P132" s="7" t="n">
        <f aca="false">SUM(D132:O132)</f>
        <v>36205.7425238456</v>
      </c>
      <c r="Q132" s="13" t="n">
        <f aca="false">sobrestock_sustitutos!$F$177</f>
        <v>1751</v>
      </c>
    </row>
    <row r="133" customFormat="false" ht="15" hidden="false" customHeight="false" outlineLevel="0" collapsed="false">
      <c r="A133" s="12" t="str">
        <f aca="false">parametros_recargas!A54</f>
        <v>ABC 10 kg</v>
      </c>
      <c r="B133" s="12" t="str">
        <f aca="false">parametros_recargas!B54</f>
        <v>ABC</v>
      </c>
      <c r="C133" s="24" t="n">
        <f aca="false">parametros_recargas!C54</f>
        <v>1</v>
      </c>
      <c r="D133" s="25" t="n">
        <f aca="false">datos_base!$F$5*parametros_recargas!$F$41+sobrestock_sustitutos!$F$178/12</f>
        <v>153.268101435387</v>
      </c>
      <c r="E133" s="25" t="n">
        <f aca="false">datos_base!$F$5*parametros_recargas!$G$41+sobrestock_sustitutos!$F$178/12</f>
        <v>157.065995574992</v>
      </c>
      <c r="F133" s="25" t="n">
        <f aca="false">datos_base!$F$5*parametros_recargas!$H$41+sobrestock_sustitutos!$F$178/12</f>
        <v>160.962728394943</v>
      </c>
      <c r="G133" s="25" t="n">
        <f aca="false">datos_base!$F$5*parametros_recargas!$I$41+sobrestock_sustitutos!$F$178/12</f>
        <v>164.960872132476</v>
      </c>
      <c r="H133" s="25" t="n">
        <f aca="false">datos_base!$F$5*parametros_recargas!$J$41+sobrestock_sustitutos!$F$178/12</f>
        <v>169.063065966278</v>
      </c>
      <c r="I133" s="25" t="n">
        <f aca="false">datos_base!$F$5*parametros_recargas!$K$41+sobrestock_sustitutos!$F$178/12</f>
        <v>173.27201775861</v>
      </c>
      <c r="J133" s="25" t="n">
        <f aca="false">datos_base!$F$5*parametros_recargas!$L$41+sobrestock_sustitutos!$F$178/12</f>
        <v>177.590505842764</v>
      </c>
      <c r="K133" s="25" t="n">
        <f aca="false">datos_base!$F$5*parametros_recargas!$M$41+sobrestock_sustitutos!$F$178/12</f>
        <v>182.021380857052</v>
      </c>
      <c r="L133" s="25" t="n">
        <f aca="false">datos_base!$F$5*parametros_recargas!$N$41+sobrestock_sustitutos!$F$178/12</f>
        <v>186.56756762651</v>
      </c>
      <c r="M133" s="25" t="n">
        <f aca="false">datos_base!$F$5*parametros_recargas!$O$41+sobrestock_sustitutos!$F$178/12</f>
        <v>191.232067093577</v>
      </c>
      <c r="N133" s="25" t="n">
        <f aca="false">datos_base!$F$5*parametros_recargas!$P$41+sobrestock_sustitutos!$F$178/12</f>
        <v>196.017958299026</v>
      </c>
      <c r="O133" s="25" t="n">
        <f aca="false">datos_base!$F$5*parametros_recargas!$Q$41+sobrestock_sustitutos!$F$178/12</f>
        <v>200.928400414436</v>
      </c>
      <c r="P133" s="7" t="n">
        <f aca="false">SUM(D133:O133)</f>
        <v>2112.95066139605</v>
      </c>
      <c r="Q133" s="13" t="n">
        <f aca="false">sobrestock_sustitutos!$F$178</f>
        <v>88</v>
      </c>
    </row>
    <row r="134" customFormat="false" ht="15" hidden="false" customHeight="false" outlineLevel="0" collapsed="false">
      <c r="A134" s="12" t="str">
        <f aca="false">parametros_recargas!A55</f>
        <v>Agua 10 l</v>
      </c>
      <c r="B134" s="12" t="str">
        <f aca="false">parametros_recargas!B55</f>
        <v>Agua</v>
      </c>
      <c r="C134" s="24" t="n">
        <f aca="false">parametros_recargas!C55</f>
        <v>1</v>
      </c>
      <c r="D134" s="25" t="n">
        <f aca="false">datos_base!$F$6*parametros_recargas!$F$41+sobrestock_sustitutos!$F$179/12</f>
        <v>211.744566632599</v>
      </c>
      <c r="E134" s="25" t="n">
        <f aca="false">datos_base!$F$6*parametros_recargas!$G$41+sobrestock_sustitutos!$F$179/12</f>
        <v>217.072962325023</v>
      </c>
      <c r="F134" s="25" t="n">
        <f aca="false">datos_base!$F$6*parametros_recargas!$H$41+sobrestock_sustitutos!$F$179/12</f>
        <v>222.540027390326</v>
      </c>
      <c r="G134" s="25" t="n">
        <f aca="false">datos_base!$F$6*parametros_recargas!$I$41+sobrestock_sustitutos!$F$179/12</f>
        <v>228.149370643632</v>
      </c>
      <c r="H134" s="25" t="n">
        <f aca="false">datos_base!$F$6*parametros_recargas!$J$41+sobrestock_sustitutos!$F$179/12</f>
        <v>233.904694818043</v>
      </c>
      <c r="I134" s="25" t="n">
        <f aca="false">datos_base!$F$6*parametros_recargas!$K$41+sobrestock_sustitutos!$F$179/12</f>
        <v>239.809799008812</v>
      </c>
      <c r="J134" s="25" t="n">
        <f aca="false">datos_base!$F$6*parametros_recargas!$L$41+sobrestock_sustitutos!$F$179/12</f>
        <v>245.868581181131</v>
      </c>
      <c r="K134" s="25" t="n">
        <f aca="false">datos_base!$F$6*parametros_recargas!$M$41+sobrestock_sustitutos!$F$179/12</f>
        <v>252.085040743182</v>
      </c>
      <c r="L134" s="25" t="n">
        <f aca="false">datos_base!$F$6*parametros_recargas!$N$41+sobrestock_sustitutos!$F$179/12</f>
        <v>258.463281186148</v>
      </c>
      <c r="M134" s="25" t="n">
        <f aca="false">datos_base!$F$6*parametros_recargas!$O$41+sobrestock_sustitutos!$F$179/12</f>
        <v>265.007512792936</v>
      </c>
      <c r="N134" s="25" t="n">
        <f aca="false">datos_base!$F$6*parametros_recargas!$P$41+sobrestock_sustitutos!$F$179/12</f>
        <v>271.722055417386</v>
      </c>
      <c r="O134" s="25" t="n">
        <f aca="false">datos_base!$F$6*parametros_recargas!$Q$41+sobrestock_sustitutos!$F$179/12</f>
        <v>278.61134133581</v>
      </c>
      <c r="P134" s="7" t="n">
        <f aca="false">SUM(D134:O134)</f>
        <v>2924.97923347503</v>
      </c>
      <c r="Q134" s="13" t="n">
        <f aca="false">sobrestock_sustitutos!$F$179</f>
        <v>84</v>
      </c>
    </row>
    <row r="135" customFormat="false" ht="15" hidden="false" customHeight="false" outlineLevel="0" collapsed="false">
      <c r="A135" s="12" t="str">
        <f aca="false">parametros_recargas!A56</f>
        <v>AFFF 10 l</v>
      </c>
      <c r="B135" s="12" t="str">
        <f aca="false">parametros_recargas!B56</f>
        <v>AFFF</v>
      </c>
      <c r="C135" s="24" t="n">
        <f aca="false">parametros_recargas!C56</f>
        <v>1</v>
      </c>
      <c r="D135" s="25" t="n">
        <f aca="false">datos_base!$F$7*parametros_recargas!$F$41+sobrestock_sustitutos!$F$180/12</f>
        <v>39.4864267421579</v>
      </c>
      <c r="E135" s="25" t="n">
        <f aca="false">datos_base!$F$7*parametros_recargas!$G$41+sobrestock_sustitutos!$F$180/12</f>
        <v>40.4793457822858</v>
      </c>
      <c r="F135" s="25" t="n">
        <f aca="false">datos_base!$F$7*parametros_recargas!$H$41+sobrestock_sustitutos!$F$180/12</f>
        <v>41.498105144447</v>
      </c>
      <c r="G135" s="25" t="n">
        <f aca="false">datos_base!$F$7*parametros_recargas!$I$41+sobrestock_sustitutos!$F$180/12</f>
        <v>42.543377312717</v>
      </c>
      <c r="H135" s="25" t="n">
        <f aca="false">datos_base!$F$7*parametros_recargas!$J$41+sobrestock_sustitutos!$F$180/12</f>
        <v>43.6158522723012</v>
      </c>
      <c r="I135" s="25" t="n">
        <f aca="false">datos_base!$F$7*parametros_recargas!$K$41+sobrestock_sustitutos!$F$180/12</f>
        <v>44.7162379649947</v>
      </c>
      <c r="J135" s="25" t="n">
        <f aca="false">datos_base!$F$7*parametros_recargas!$L$41+sobrestock_sustitutos!$F$180/12</f>
        <v>45.8452607564958</v>
      </c>
      <c r="K135" s="25" t="n">
        <f aca="false">datos_base!$F$7*parametros_recargas!$M$41+sobrestock_sustitutos!$F$180/12</f>
        <v>47.00366591588</v>
      </c>
      <c r="L135" s="25" t="n">
        <f aca="false">datos_base!$F$7*parametros_recargas!$N$41+sobrestock_sustitutos!$F$180/12</f>
        <v>48.1922181075536</v>
      </c>
      <c r="M135" s="25" t="n">
        <f aca="false">datos_base!$F$7*parametros_recargas!$O$41+sobrestock_sustitutos!$F$180/12</f>
        <v>49.411701896009</v>
      </c>
      <c r="N135" s="25" t="n">
        <f aca="false">datos_base!$F$7*parametros_recargas!$P$41+sobrestock_sustitutos!$F$180/12</f>
        <v>50.6629222637165</v>
      </c>
      <c r="O135" s="25" t="n">
        <f aca="false">datos_base!$F$7*parametros_recargas!$Q$41+sobrestock_sustitutos!$F$180/12</f>
        <v>51.9467051424944</v>
      </c>
      <c r="P135" s="7" t="n">
        <f aca="false">SUM(D135:O135)</f>
        <v>545.401819301053</v>
      </c>
      <c r="Q135" s="13" t="n">
        <f aca="false">sobrestock_sustitutos!$F$180</f>
        <v>16</v>
      </c>
    </row>
    <row r="136" customFormat="false" ht="15" hidden="false" customHeight="false" outlineLevel="0" collapsed="false">
      <c r="A136" s="12" t="str">
        <f aca="false">parametros_recargas!A57</f>
        <v>AFFF 50 l s/ruedas</v>
      </c>
      <c r="B136" s="12" t="str">
        <f aca="false">parametros_recargas!B57</f>
        <v>AFFF</v>
      </c>
      <c r="C136" s="24" t="n">
        <f aca="false">parametros_recargas!C57</f>
        <v>3</v>
      </c>
      <c r="D136" s="25" t="n">
        <f aca="false">datos_base!$F$8*parametros_recargas!$F$41+sobrestock_sustitutos!$F$181/12</f>
        <v>21.2119398671347</v>
      </c>
      <c r="E136" s="25" t="n">
        <f aca="false">datos_base!$F$8*parametros_recargas!$G$41+sobrestock_sustitutos!$F$181/12</f>
        <v>21.7444536917498</v>
      </c>
      <c r="F136" s="25" t="n">
        <f aca="false">datos_base!$F$8*parametros_recargas!$H$41+sobrestock_sustitutos!$F$181/12</f>
        <v>22.2908259762787</v>
      </c>
      <c r="G136" s="25" t="n">
        <f aca="false">datos_base!$F$8*parametros_recargas!$I$41+sobrestock_sustitutos!$F$181/12</f>
        <v>22.8514173816136</v>
      </c>
      <c r="H136" s="25" t="n">
        <f aca="false">datos_base!$F$8*parametros_recargas!$J$41+sobrestock_sustitutos!$F$181/12</f>
        <v>23.426597954703</v>
      </c>
      <c r="I136" s="25" t="n">
        <f aca="false">datos_base!$F$8*parametros_recargas!$K$41+sobrestock_sustitutos!$F$181/12</f>
        <v>24.0167473728192</v>
      </c>
      <c r="J136" s="25" t="n">
        <f aca="false">datos_base!$F$8*parametros_recargas!$L$41+sobrestock_sustitutos!$F$181/12</f>
        <v>24.6222551941843</v>
      </c>
      <c r="K136" s="25" t="n">
        <f aca="false">datos_base!$F$8*parametros_recargas!$M$41+sobrestock_sustitutos!$F$181/12</f>
        <v>25.2435211151179</v>
      </c>
      <c r="L136" s="25" t="n">
        <f aca="false">datos_base!$F$8*parametros_recargas!$N$41+sobrestock_sustitutos!$F$181/12</f>
        <v>25.8809552338767</v>
      </c>
      <c r="M136" s="25" t="n">
        <f aca="false">datos_base!$F$8*parametros_recargas!$O$41+sobrestock_sustitutos!$F$181/12</f>
        <v>26.5349783213611</v>
      </c>
      <c r="N136" s="25" t="n">
        <f aca="false">datos_base!$F$8*parametros_recargas!$P$41+sobrestock_sustitutos!$F$181/12</f>
        <v>27.2060220988663</v>
      </c>
      <c r="O136" s="25" t="n">
        <f aca="false">datos_base!$F$8*parametros_recargas!$Q$41+sobrestock_sustitutos!$F$181/12</f>
        <v>27.8945295230621</v>
      </c>
      <c r="P136" s="7" t="n">
        <f aca="false">SUM(D136:O136)</f>
        <v>292.924243730767</v>
      </c>
      <c r="Q136" s="13" t="n">
        <f aca="false">sobrestock_sustitutos!$F$181</f>
        <v>9</v>
      </c>
    </row>
    <row r="137" customFormat="false" ht="15" hidden="false" customHeight="false" outlineLevel="0" collapsed="false">
      <c r="A137" s="12" t="str">
        <f aca="false">parametros_recargas!A58</f>
        <v>BC 5 kg</v>
      </c>
      <c r="B137" s="12" t="str">
        <f aca="false">parametros_recargas!B58</f>
        <v>BC</v>
      </c>
      <c r="C137" s="24" t="n">
        <f aca="false">parametros_recargas!C58</f>
        <v>1</v>
      </c>
      <c r="D137" s="25" t="n">
        <f aca="false">datos_base!$F$9*parametros_recargas!$F$41+sobrestock_sustitutos!$F$182/12</f>
        <v>11.9412427018567</v>
      </c>
      <c r="E137" s="25" t="n">
        <f aca="false">datos_base!$F$9*parametros_recargas!$G$41+sobrestock_sustitutos!$F$182/12</f>
        <v>12.2346590467584</v>
      </c>
      <c r="F137" s="25" t="n">
        <f aca="false">datos_base!$F$9*parametros_recargas!$H$41+sobrestock_sustitutos!$F$182/12</f>
        <v>12.5357114350188</v>
      </c>
      <c r="G137" s="25" t="n">
        <f aca="false">datos_base!$F$9*parametros_recargas!$I$41+sobrestock_sustitutos!$F$182/12</f>
        <v>12.8445985916209</v>
      </c>
      <c r="H137" s="25" t="n">
        <f aca="false">datos_base!$F$9*parametros_recargas!$J$41+sobrestock_sustitutos!$F$182/12</f>
        <v>13.1615244132864</v>
      </c>
      <c r="I137" s="25" t="n">
        <f aca="false">datos_base!$F$9*parametros_recargas!$K$41+sobrestock_sustitutos!$F$182/12</f>
        <v>13.4866981030674</v>
      </c>
      <c r="J137" s="25" t="n">
        <f aca="false">datos_base!$F$9*parametros_recargas!$L$41+sobrestock_sustitutos!$F$182/12</f>
        <v>13.8203343084425</v>
      </c>
      <c r="K137" s="25" t="n">
        <f aca="false">datos_base!$F$9*parametros_recargas!$M$41+sobrestock_sustitutos!$F$182/12</f>
        <v>14.162653263005</v>
      </c>
      <c r="L137" s="25" t="n">
        <f aca="false">datos_base!$F$9*parametros_recargas!$N$41+sobrestock_sustitutos!$F$182/12</f>
        <v>14.5138809318397</v>
      </c>
      <c r="M137" s="25" t="n">
        <f aca="false">datos_base!$F$9*parametros_recargas!$O$41+sobrestock_sustitutos!$F$182/12</f>
        <v>14.8742491606828</v>
      </c>
      <c r="N137" s="25" t="n">
        <f aca="false">datos_base!$F$9*parametros_recargas!$P$41+sobrestock_sustitutos!$F$182/12</f>
        <v>15.243995828963</v>
      </c>
      <c r="O137" s="25" t="n">
        <f aca="false">datos_base!$F$9*parametros_recargas!$Q$41+sobrestock_sustitutos!$F$182/12</f>
        <v>15.6233650068266</v>
      </c>
      <c r="P137" s="7" t="n">
        <f aca="false">SUM(D137:O137)</f>
        <v>164.442912791368</v>
      </c>
      <c r="Q137" s="13" t="n">
        <f aca="false">sobrestock_sustitutos!$F$182</f>
        <v>8</v>
      </c>
    </row>
    <row r="138" customFormat="false" ht="15" hidden="false" customHeight="false" outlineLevel="0" collapsed="false">
      <c r="A138" s="12" t="str">
        <f aca="false">parametros_recargas!A59</f>
        <v>Sales K 6 l</v>
      </c>
      <c r="B138" s="12" t="str">
        <f aca="false">parametros_recargas!B59</f>
        <v>Sales K</v>
      </c>
      <c r="C138" s="24" t="n">
        <f aca="false">parametros_recargas!C59</f>
        <v>1</v>
      </c>
      <c r="D138" s="25" t="n">
        <f aca="false">datos_base!$F$10*parametros_recargas!$F$41+sobrestock_sustitutos!$F$183/12</f>
        <v>104.013758932805</v>
      </c>
      <c r="E138" s="25" t="n">
        <f aca="false">datos_base!$F$10*parametros_recargas!$G$41+sobrestock_sustitutos!$F$183/12</f>
        <v>106.631758139901</v>
      </c>
      <c r="F138" s="25" t="n">
        <f aca="false">datos_base!$F$10*parametros_recargas!$H$41+sobrestock_sustitutos!$F$183/12</f>
        <v>109.317889732277</v>
      </c>
      <c r="G138" s="25" t="n">
        <f aca="false">datos_base!$F$10*parametros_recargas!$I$41+sobrestock_sustitutos!$F$183/12</f>
        <v>112.073926828089</v>
      </c>
      <c r="H138" s="25" t="n">
        <f aca="false">datos_base!$F$10*parametros_recargas!$J$41+sobrestock_sustitutos!$F$183/12</f>
        <v>114.901688690183</v>
      </c>
      <c r="I138" s="25" t="n">
        <f aca="false">datos_base!$F$10*parametros_recargas!$K$41+sobrestock_sustitutos!$F$183/12</f>
        <v>117.803041926999</v>
      </c>
      <c r="J138" s="25" t="n">
        <f aca="false">datos_base!$F$10*parametros_recargas!$L$41+sobrestock_sustitutos!$F$183/12</f>
        <v>120.779901724714</v>
      </c>
      <c r="K138" s="25" t="n">
        <f aca="false">datos_base!$F$10*parametros_recargas!$M$41+sobrestock_sustitutos!$F$183/12</f>
        <v>123.834233111464</v>
      </c>
      <c r="L138" s="25" t="n">
        <f aca="false">datos_base!$F$10*parametros_recargas!$N$41+sobrestock_sustitutos!$F$183/12</f>
        <v>126.968052254455</v>
      </c>
      <c r="M138" s="25" t="n">
        <f aca="false">datos_base!$F$10*parametros_recargas!$O$41+sobrestock_sustitutos!$F$183/12</f>
        <v>130.183427790844</v>
      </c>
      <c r="N138" s="25" t="n">
        <f aca="false">datos_base!$F$10*parametros_recargas!$P$41+sobrestock_sustitutos!$F$183/12</f>
        <v>133.482482193244</v>
      </c>
      <c r="O138" s="25" t="n">
        <f aca="false">datos_base!$F$10*parametros_recargas!$Q$41+sobrestock_sustitutos!$F$183/12</f>
        <v>136.86739317077</v>
      </c>
      <c r="P138" s="7" t="n">
        <f aca="false">SUM(D138:O138)</f>
        <v>1436.85755449574</v>
      </c>
      <c r="Q138" s="13" t="n">
        <f aca="false">sobrestock_sustitutos!$F$183</f>
        <v>41</v>
      </c>
    </row>
    <row r="139" customFormat="false" ht="15" hidden="false" customHeight="false" outlineLevel="0" collapsed="false">
      <c r="A139" s="12" t="str">
        <f aca="false">parametros_recargas!A60</f>
        <v>CO₂ 2 kg</v>
      </c>
      <c r="B139" s="12" t="str">
        <f aca="false">parametros_recargas!B60</f>
        <v>CO₂</v>
      </c>
      <c r="C139" s="24" t="n">
        <f aca="false">parametros_recargas!C60</f>
        <v>1</v>
      </c>
      <c r="D139" s="25" t="n">
        <f aca="false">datos_base!$F$11*parametros_recargas!$F$41+sobrestock_sustitutos!$F$184/12</f>
        <v>560.155279551332</v>
      </c>
      <c r="E139" s="25" t="n">
        <f aca="false">datos_base!$F$11*parametros_recargas!$G$41+sobrestock_sustitutos!$F$184/12</f>
        <v>574.733097306106</v>
      </c>
      <c r="F139" s="25" t="n">
        <f aca="false">datos_base!$F$11*parametros_recargas!$H$41+sobrestock_sustitutos!$F$184/12</f>
        <v>589.690296954168</v>
      </c>
      <c r="G139" s="25" t="n">
        <f aca="false">datos_base!$F$11*parametros_recargas!$I$41+sobrestock_sustitutos!$F$184/12</f>
        <v>605.036751757989</v>
      </c>
      <c r="H139" s="25" t="n">
        <f aca="false">datos_base!$F$11*parametros_recargas!$J$41+sobrestock_sustitutos!$F$184/12</f>
        <v>620.782591927759</v>
      </c>
      <c r="I139" s="25" t="n">
        <f aca="false">datos_base!$F$11*parametros_recargas!$K$41+sobrestock_sustitutos!$F$184/12</f>
        <v>636.938211308349</v>
      </c>
      <c r="J139" s="25" t="n">
        <f aca="false">datos_base!$F$11*parametros_recargas!$L$41+sobrestock_sustitutos!$F$184/12</f>
        <v>653.514274240295</v>
      </c>
      <c r="K139" s="25" t="n">
        <f aca="false">datos_base!$F$11*parametros_recargas!$M$41+sobrestock_sustitutos!$F$184/12</f>
        <v>670.521722599345</v>
      </c>
      <c r="L139" s="25" t="n">
        <f aca="false">datos_base!$F$11*parametros_recargas!$N$41+sobrestock_sustitutos!$F$184/12</f>
        <v>687.971783019198</v>
      </c>
      <c r="M139" s="25" t="n">
        <f aca="false">datos_base!$F$11*parametros_recargas!$O$41+sobrestock_sustitutos!$F$184/12</f>
        <v>705.875974302218</v>
      </c>
      <c r="N139" s="25" t="n">
        <f aca="false">datos_base!$F$11*parametros_recargas!$P$41+sobrestock_sustitutos!$F$184/12</f>
        <v>724.246115023007</v>
      </c>
      <c r="O139" s="25" t="n">
        <f aca="false">datos_base!$F$11*parametros_recargas!$Q$41+sobrestock_sustitutos!$F$184/12</f>
        <v>743.094331329859</v>
      </c>
      <c r="P139" s="7" t="n">
        <f aca="false">SUM(D139:O139)</f>
        <v>7772.56042931962</v>
      </c>
      <c r="Q139" s="13" t="n">
        <f aca="false">sobrestock_sustitutos!$F$184</f>
        <v>0</v>
      </c>
    </row>
    <row r="140" customFormat="false" ht="15" hidden="false" customHeight="false" outlineLevel="0" collapsed="false">
      <c r="A140" s="12" t="str">
        <f aca="false">parametros_recargas!A61</f>
        <v>CO₂ 5 kg</v>
      </c>
      <c r="B140" s="12" t="str">
        <f aca="false">parametros_recargas!B61</f>
        <v>CO₂</v>
      </c>
      <c r="C140" s="24" t="n">
        <f aca="false">parametros_recargas!C61</f>
        <v>1</v>
      </c>
      <c r="D140" s="25" t="n">
        <f aca="false">datos_base!$F$12*parametros_recargas!$F$41+sobrestock_sustitutos!$F$185/12</f>
        <v>207.022754022194</v>
      </c>
      <c r="E140" s="25" t="n">
        <f aca="false">datos_base!$F$12*parametros_recargas!$G$41+sobrestock_sustitutos!$F$185/12</f>
        <v>211.755486169588</v>
      </c>
      <c r="F140" s="25" t="n">
        <f aca="false">datos_base!$F$12*parametros_recargas!$H$41+sobrestock_sustitutos!$F$185/12</f>
        <v>216.611385783657</v>
      </c>
      <c r="G140" s="25" t="n">
        <f aca="false">datos_base!$F$12*parametros_recargas!$I$41+sobrestock_sustitutos!$F$185/12</f>
        <v>221.593658248601</v>
      </c>
      <c r="H140" s="25" t="n">
        <f aca="false">datos_base!$F$12*parametros_recargas!$J$41+sobrestock_sustitutos!$F$185/12</f>
        <v>226.705592367464</v>
      </c>
      <c r="I140" s="25" t="n">
        <f aca="false">datos_base!$F$12*parametros_recargas!$K$41+sobrestock_sustitutos!$F$185/12</f>
        <v>231.950562533081</v>
      </c>
      <c r="J140" s="25" t="n">
        <f aca="false">datos_base!$F$12*parametros_recargas!$L$41+sobrestock_sustitutos!$F$185/12</f>
        <v>237.33203095551</v>
      </c>
      <c r="K140" s="25" t="n">
        <f aca="false">datos_base!$F$12*parametros_recargas!$M$41+sobrestock_sustitutos!$F$185/12</f>
        <v>242.85354994745</v>
      </c>
      <c r="L140" s="25" t="n">
        <f aca="false">datos_base!$F$12*parametros_recargas!$N$41+sobrestock_sustitutos!$F$185/12</f>
        <v>248.518764269118</v>
      </c>
      <c r="M140" s="25" t="n">
        <f aca="false">datos_base!$F$12*parametros_recargas!$O$41+sobrestock_sustitutos!$F$185/12</f>
        <v>254.331413534163</v>
      </c>
      <c r="N140" s="25" t="n">
        <f aca="false">datos_base!$F$12*parametros_recargas!$P$41+sobrestock_sustitutos!$F$185/12</f>
        <v>260.295334678187</v>
      </c>
      <c r="O140" s="25" t="n">
        <f aca="false">datos_base!$F$12*parametros_recargas!$Q$41+sobrestock_sustitutos!$F$185/12</f>
        <v>266.414464491513</v>
      </c>
      <c r="P140" s="7" t="n">
        <f aca="false">SUM(D140:O140)</f>
        <v>2825.38499700053</v>
      </c>
      <c r="Q140" s="13" t="n">
        <f aca="false">sobrestock_sustitutos!$F$185</f>
        <v>302</v>
      </c>
    </row>
    <row r="141" customFormat="false" ht="15" hidden="false" customHeight="false" outlineLevel="0" collapsed="false">
      <c r="A141" s="12" t="str">
        <f aca="false">parametros_recargas!A62</f>
        <v>HCFC/HFC 5 kg</v>
      </c>
      <c r="B141" s="12" t="str">
        <f aca="false">parametros_recargas!B62</f>
        <v>Halogenado</v>
      </c>
      <c r="C141" s="24" t="n">
        <f aca="false">parametros_recargas!C62</f>
        <v>1</v>
      </c>
      <c r="D141" s="25" t="n">
        <f aca="false">datos_base!$F$13*parametros_recargas!$F$41+sobrestock_sustitutos!$F$186/12</f>
        <v>30.5530497840727</v>
      </c>
      <c r="E141" s="25" t="n">
        <f aca="false">datos_base!$F$13*parametros_recargas!$G$41+sobrestock_sustitutos!$F$186/12</f>
        <v>31.3199874018843</v>
      </c>
      <c r="F141" s="25" t="n">
        <f aca="false">datos_base!$F$13*parametros_recargas!$H$41+sobrestock_sustitutos!$F$186/12</f>
        <v>32.1068842653372</v>
      </c>
      <c r="G141" s="25" t="n">
        <f aca="false">datos_base!$F$13*parametros_recargas!$I$41+sobrestock_sustitutos!$F$186/12</f>
        <v>32.914259805839</v>
      </c>
      <c r="H141" s="25" t="n">
        <f aca="false">datos_base!$F$13*parametros_recargas!$J$41+sobrestock_sustitutos!$F$186/12</f>
        <v>33.7426469727929</v>
      </c>
      <c r="I141" s="25" t="n">
        <f aca="false">datos_base!$F$13*parametros_recargas!$K$41+sobrestock_sustitutos!$F$186/12</f>
        <v>34.5925925853976</v>
      </c>
      <c r="J141" s="25" t="n">
        <f aca="false">datos_base!$F$13*parametros_recargas!$L$41+sobrestock_sustitutos!$F$186/12</f>
        <v>35.4646576936036</v>
      </c>
      <c r="K141" s="25" t="n">
        <f aca="false">datos_base!$F$13*parametros_recargas!$M$41+sobrestock_sustitutos!$F$186/12</f>
        <v>36.3594179484622</v>
      </c>
      <c r="L141" s="25" t="n">
        <f aca="false">datos_base!$F$13*parametros_recargas!$N$41+sobrestock_sustitutos!$F$186/12</f>
        <v>37.2774639821143</v>
      </c>
      <c r="M141" s="25" t="n">
        <f aca="false">datos_base!$F$13*parametros_recargas!$O$41+sobrestock_sustitutos!$F$186/12</f>
        <v>38.2194017976661</v>
      </c>
      <c r="N141" s="25" t="n">
        <f aca="false">datos_base!$F$13*parametros_recargas!$P$41+sobrestock_sustitutos!$F$186/12</f>
        <v>39.1858531692134</v>
      </c>
      <c r="O141" s="25" t="n">
        <f aca="false">datos_base!$F$13*parametros_recargas!$Q$41+sobrestock_sustitutos!$F$186/12</f>
        <v>40.1774560522747</v>
      </c>
      <c r="P141" s="7" t="n">
        <f aca="false">SUM(D141:O141)</f>
        <v>421.913671458658</v>
      </c>
      <c r="Q141" s="13" t="n">
        <f aca="false">sobrestock_sustitutos!$F$186</f>
        <v>13</v>
      </c>
    </row>
    <row r="142" customFormat="false" ht="15" hidden="false" customHeight="false" outlineLevel="0" collapsed="false">
      <c r="A142" s="12" t="str">
        <f aca="false">parametros_recargas!A63</f>
        <v>Clase D 9 l</v>
      </c>
      <c r="B142" s="12" t="str">
        <f aca="false">parametros_recargas!B63</f>
        <v>Clase D</v>
      </c>
      <c r="C142" s="24" t="n">
        <f aca="false">parametros_recargas!C63</f>
        <v>1</v>
      </c>
      <c r="D142" s="25" t="n">
        <f aca="false">datos_base!$F$14*parametros_recargas!$F$41+sobrestock_sustitutos!$F$187/12</f>
        <v>11.1105249676567</v>
      </c>
      <c r="E142" s="25" t="n">
        <f aca="false">datos_base!$F$14*parametros_recargas!$G$41+sobrestock_sustitutos!$F$187/12</f>
        <v>11.3844909315902</v>
      </c>
      <c r="F142" s="25" t="n">
        <f aca="false">datos_base!$F$14*parametros_recargas!$H$41+sobrestock_sustitutos!$F$187/12</f>
        <v>11.6655867504748</v>
      </c>
      <c r="G142" s="25" t="n">
        <f aca="false">datos_base!$F$14*parametros_recargas!$I$41+sobrestock_sustitutos!$F$187/12</f>
        <v>11.9539979759419</v>
      </c>
      <c r="H142" s="25" t="n">
        <f aca="false">datos_base!$F$14*parametros_recargas!$J$41+sobrestock_sustitutos!$F$187/12</f>
        <v>12.2499149885306</v>
      </c>
      <c r="I142" s="25" t="n">
        <f aca="false">datos_base!$F$14*parametros_recargas!$K$41+sobrestock_sustitutos!$F$187/12</f>
        <v>12.5535331233572</v>
      </c>
      <c r="J142" s="25" t="n">
        <f aca="false">datos_base!$F$14*parametros_recargas!$L$41+sobrestock_sustitutos!$F$187/12</f>
        <v>12.8650527990567</v>
      </c>
      <c r="K142" s="25" t="n">
        <f aca="false">datos_base!$F$14*parametros_recargas!$M$41+sobrestock_sustitutos!$F$187/12</f>
        <v>13.1846796500791</v>
      </c>
      <c r="L142" s="25" t="n">
        <f aca="false">datos_base!$F$14*parametros_recargas!$N$41+sobrestock_sustitutos!$F$187/12</f>
        <v>13.512624662429</v>
      </c>
      <c r="M142" s="25" t="n">
        <f aca="false">datos_base!$F$14*parametros_recargas!$O$41+sobrestock_sustitutos!$F$187/12</f>
        <v>13.8491043129376</v>
      </c>
      <c r="N142" s="25" t="n">
        <f aca="false">datos_base!$F$14*parametros_recargas!$P$41+sobrestock_sustitutos!$F$187/12</f>
        <v>14.1943407121591</v>
      </c>
      <c r="O142" s="25" t="n">
        <f aca="false">datos_base!$F$14*parametros_recargas!$Q$41+sobrestock_sustitutos!$F$187/12</f>
        <v>14.5485617509866</v>
      </c>
      <c r="P142" s="7" t="n">
        <f aca="false">SUM(D142:O142)</f>
        <v>153.0724126252</v>
      </c>
      <c r="Q142" s="13" t="n">
        <f aca="false">sobrestock_sustitutos!$F$187</f>
        <v>7</v>
      </c>
    </row>
    <row r="143" customFormat="false" ht="15" hidden="false" customHeight="false" outlineLevel="0" collapsed="false">
      <c r="A143" s="12" t="str">
        <f aca="false">parametros_recargas!A64</f>
        <v>ABC 25 kg s/ruedas</v>
      </c>
      <c r="B143" s="12" t="str">
        <f aca="false">parametros_recargas!B64</f>
        <v>ABC</v>
      </c>
      <c r="C143" s="24" t="n">
        <f aca="false">parametros_recargas!C64</f>
        <v>3</v>
      </c>
      <c r="D143" s="25" t="n">
        <f aca="false">datos_base!$F$15*parametros_recargas!$F$41+sobrestock_sustitutos!$F$188/12</f>
        <v>24.8338676355522</v>
      </c>
      <c r="E143" s="25" t="n">
        <f aca="false">datos_base!$F$15*parametros_recargas!$G$41+sobrestock_sustitutos!$F$188/12</f>
        <v>25.4801591367717</v>
      </c>
      <c r="F143" s="25" t="n">
        <f aca="false">datos_base!$F$15*parametros_recargas!$H$41+sobrestock_sustitutos!$F$188/12</f>
        <v>26.1432701165629</v>
      </c>
      <c r="G143" s="25" t="n">
        <f aca="false">datos_base!$F$15*parametros_recargas!$I$41+sobrestock_sustitutos!$F$188/12</f>
        <v>26.8236382951479</v>
      </c>
      <c r="H143" s="25" t="n">
        <f aca="false">datos_base!$F$15*parametros_recargas!$J$41+sobrestock_sustitutos!$F$188/12</f>
        <v>27.5217127842428</v>
      </c>
      <c r="I143" s="25" t="n">
        <f aca="false">datos_base!$F$15*parametros_recargas!$K$41+sobrestock_sustitutos!$F$188/12</f>
        <v>28.2379543835174</v>
      </c>
      <c r="J143" s="25" t="n">
        <f aca="false">datos_base!$F$15*parametros_recargas!$L$41+sobrestock_sustitutos!$F$188/12</f>
        <v>28.9728358847687</v>
      </c>
      <c r="K143" s="25" t="n">
        <f aca="false">datos_base!$F$15*parametros_recargas!$M$41+sobrestock_sustitutos!$F$188/12</f>
        <v>29.7268423840119</v>
      </c>
      <c r="L143" s="25" t="n">
        <f aca="false">datos_base!$F$15*parametros_recargas!$N$41+sobrestock_sustitutos!$F$188/12</f>
        <v>30.5004716016927</v>
      </c>
      <c r="M143" s="25" t="n">
        <f aca="false">datos_base!$F$15*parametros_recargas!$O$41+sobrestock_sustitutos!$F$188/12</f>
        <v>31.2942342112324</v>
      </c>
      <c r="N143" s="25" t="n">
        <f aca="false">datos_base!$F$15*parametros_recargas!$P$41+sobrestock_sustitutos!$F$188/12</f>
        <v>32.1086541761249</v>
      </c>
      <c r="O143" s="25" t="n">
        <f aca="false">datos_base!$F$15*parametros_recargas!$Q$41+sobrestock_sustitutos!$F$188/12</f>
        <v>32.9442690958049</v>
      </c>
      <c r="P143" s="7" t="n">
        <f aca="false">SUM(D143:O143)</f>
        <v>344.58790970543</v>
      </c>
      <c r="Q143" s="13" t="n">
        <f aca="false">sobrestock_sustitutos!$F$188</f>
        <v>0</v>
      </c>
    </row>
    <row r="144" customFormat="false" ht="15" hidden="false" customHeight="false" outlineLevel="0" collapsed="false">
      <c r="A144" s="12" t="str">
        <f aca="false">parametros_recargas!A65</f>
        <v>ABC 50 kg s/ruedas</v>
      </c>
      <c r="B144" s="12" t="str">
        <f aca="false">parametros_recargas!B65</f>
        <v>ABC</v>
      </c>
      <c r="C144" s="24" t="n">
        <f aca="false">parametros_recargas!C65</f>
        <v>3</v>
      </c>
      <c r="D144" s="25" t="n">
        <f aca="false">datos_base!$F$16*parametros_recargas!$F$41+sobrestock_sustitutos!$F$189/12</f>
        <v>58.7178421007709</v>
      </c>
      <c r="E144" s="25" t="n">
        <f aca="false">datos_base!$F$16*parametros_recargas!$G$41+sobrestock_sustitutos!$F$189/12</f>
        <v>60.1396834026528</v>
      </c>
      <c r="F144" s="25" t="n">
        <f aca="false">datos_base!$F$16*parametros_recargas!$H$41+sobrestock_sustitutos!$F$189/12</f>
        <v>61.5985275573716</v>
      </c>
      <c r="G144" s="25" t="n">
        <f aca="false">datos_base!$F$16*parametros_recargas!$I$41+sobrestock_sustitutos!$F$189/12</f>
        <v>63.0953375494153</v>
      </c>
      <c r="H144" s="25" t="n">
        <f aca="false">datos_base!$F$16*parametros_recargas!$J$41+sobrestock_sustitutos!$F$189/12</f>
        <v>64.6311014245591</v>
      </c>
      <c r="I144" s="25" t="n">
        <f aca="false">datos_base!$F$16*parametros_recargas!$K$41+sobrestock_sustitutos!$F$189/12</f>
        <v>66.2068329420754</v>
      </c>
      <c r="J144" s="25" t="n">
        <f aca="false">datos_base!$F$16*parametros_recargas!$L$41+sobrestock_sustitutos!$F$189/12</f>
        <v>67.8235722439175</v>
      </c>
      <c r="K144" s="25" t="n">
        <f aca="false">datos_base!$F$16*parametros_recargas!$M$41+sobrestock_sustitutos!$F$189/12</f>
        <v>69.4823865413183</v>
      </c>
      <c r="L144" s="25" t="n">
        <f aca="false">datos_base!$F$16*parametros_recargas!$N$41+sobrestock_sustitutos!$F$189/12</f>
        <v>71.184370819257</v>
      </c>
      <c r="M144" s="25" t="n">
        <f aca="false">datos_base!$F$16*parametros_recargas!$O$41+sobrestock_sustitutos!$F$189/12</f>
        <v>72.9306485592608</v>
      </c>
      <c r="N144" s="25" t="n">
        <f aca="false">datos_base!$F$16*parametros_recargas!$P$41+sobrestock_sustitutos!$F$189/12</f>
        <v>74.7223724810149</v>
      </c>
      <c r="O144" s="25" t="n">
        <f aca="false">datos_base!$F$16*parametros_recargas!$Q$41+sobrestock_sustitutos!$F$189/12</f>
        <v>76.5607253032753</v>
      </c>
      <c r="P144" s="7" t="n">
        <f aca="false">SUM(D144:O144)</f>
        <v>807.093400924889</v>
      </c>
      <c r="Q144" s="13" t="n">
        <f aca="false">sobrestock_sustitutos!$F$189</f>
        <v>49</v>
      </c>
    </row>
    <row r="145" customFormat="false" ht="15" hidden="false" customHeight="false" outlineLevel="0" collapsed="false">
      <c r="A145" s="12" t="str">
        <f aca="false">parametros_recargas!A66</f>
        <v>ABC 70 kg s/ruedas</v>
      </c>
      <c r="B145" s="12" t="str">
        <f aca="false">parametros_recargas!B66</f>
        <v>ABC</v>
      </c>
      <c r="C145" s="24" t="n">
        <f aca="false">parametros_recargas!C66</f>
        <v>3</v>
      </c>
      <c r="D145" s="25" t="n">
        <f aca="false">datos_base!$F$17*parametros_recargas!$F$41+sobrestock_sustitutos!$F$190/12</f>
        <v>11.9202564630132</v>
      </c>
      <c r="E145" s="25" t="n">
        <f aca="false">datos_base!$F$17*parametros_recargas!$G$41+sobrestock_sustitutos!$F$190/12</f>
        <v>12.2304763835452</v>
      </c>
      <c r="F145" s="25" t="n">
        <f aca="false">datos_base!$F$17*parametros_recargas!$H$41+sobrestock_sustitutos!$F$190/12</f>
        <v>12.5487696537902</v>
      </c>
      <c r="G145" s="25" t="n">
        <f aca="false">datos_base!$F$17*parametros_recargas!$I$41+sobrestock_sustitutos!$F$190/12</f>
        <v>12.8753463794548</v>
      </c>
      <c r="H145" s="25" t="n">
        <f aca="false">datos_base!$F$17*parametros_recargas!$J$41+sobrestock_sustitutos!$F$190/12</f>
        <v>13.2104221341627</v>
      </c>
      <c r="I145" s="25" t="n">
        <f aca="false">datos_base!$F$17*parametros_recargas!$K$41+sobrestock_sustitutos!$F$190/12</f>
        <v>13.5542181017553</v>
      </c>
      <c r="J145" s="25" t="n">
        <f aca="false">datos_base!$F$17*parametros_recargas!$L$41+sobrestock_sustitutos!$F$190/12</f>
        <v>13.9069612222952</v>
      </c>
      <c r="K145" s="25" t="n">
        <f aca="false">datos_base!$F$17*parametros_recargas!$M$41+sobrestock_sustitutos!$F$190/12</f>
        <v>14.2688843418696</v>
      </c>
      <c r="L145" s="25" t="n">
        <f aca="false">datos_base!$F$17*parametros_recargas!$N$41+sobrestock_sustitutos!$F$190/12</f>
        <v>14.6402263662925</v>
      </c>
      <c r="M145" s="25" t="n">
        <f aca="false">datos_base!$F$17*parametros_recargas!$O$41+sobrestock_sustitutos!$F$190/12</f>
        <v>15.021232418806</v>
      </c>
      <c r="N145" s="25" t="n">
        <f aca="false">datos_base!$F$17*parametros_recargas!$P$41+sobrestock_sustitutos!$F$190/12</f>
        <v>15.4121540018871</v>
      </c>
      <c r="O145" s="25" t="n">
        <f aca="false">datos_base!$F$17*parametros_recargas!$Q$41+sobrestock_sustitutos!$F$190/12</f>
        <v>15.8132491632644</v>
      </c>
      <c r="P145" s="7" t="n">
        <f aca="false">SUM(D145:O145)</f>
        <v>165.402196630136</v>
      </c>
      <c r="Q145" s="13" t="n">
        <f aca="false">sobrestock_sustitutos!$F$190</f>
        <v>0</v>
      </c>
    </row>
    <row r="146" customFormat="false" ht="15" hidden="false" customHeight="false" outlineLevel="0" collapsed="false">
      <c r="A146" s="12" t="str">
        <f aca="false">parametros_recargas!A67</f>
        <v>ABC 100 kg s/ruedas</v>
      </c>
      <c r="B146" s="12" t="str">
        <f aca="false">parametros_recargas!B67</f>
        <v>ABC</v>
      </c>
      <c r="C146" s="24" t="n">
        <f aca="false">parametros_recargas!C67</f>
        <v>3</v>
      </c>
      <c r="D146" s="25" t="n">
        <f aca="false">datos_base!$F$18*parametros_recargas!$F$41+sobrestock_sustitutos!$F$191/12</f>
        <v>9.03017095824363</v>
      </c>
      <c r="E146" s="25" t="n">
        <f aca="false">datos_base!$F$18*parametros_recargas!$G$41+sobrestock_sustitutos!$F$191/12</f>
        <v>9.23698423815329</v>
      </c>
      <c r="F146" s="25" t="n">
        <f aca="false">datos_base!$F$18*parametros_recargas!$H$41+sobrestock_sustitutos!$F$191/12</f>
        <v>9.44917975119339</v>
      </c>
      <c r="G146" s="25" t="n">
        <f aca="false">datos_base!$F$18*parametros_recargas!$I$41+sobrestock_sustitutos!$F$191/12</f>
        <v>9.66689756783465</v>
      </c>
      <c r="H146" s="25" t="n">
        <f aca="false">datos_base!$F$18*parametros_recargas!$J$41+sobrestock_sustitutos!$F$191/12</f>
        <v>9.89028140382595</v>
      </c>
      <c r="I146" s="25" t="n">
        <f aca="false">datos_base!$F$18*parametros_recargas!$K$41+sobrestock_sustitutos!$F$191/12</f>
        <v>10.1194787150612</v>
      </c>
      <c r="J146" s="25" t="n">
        <f aca="false">datos_base!$F$18*parametros_recargas!$L$41+sobrestock_sustitutos!$F$191/12</f>
        <v>10.3546407949152</v>
      </c>
      <c r="K146" s="25" t="n">
        <f aca="false">datos_base!$F$18*parametros_recargas!$M$41+sobrestock_sustitutos!$F$191/12</f>
        <v>10.5959228741123</v>
      </c>
      <c r="L146" s="25" t="n">
        <f aca="false">datos_base!$F$18*parametros_recargas!$N$41+sobrestock_sustitutos!$F$191/12</f>
        <v>10.8434842231949</v>
      </c>
      <c r="M146" s="25" t="n">
        <f aca="false">datos_base!$F$18*parametros_recargas!$O$41+sobrestock_sustitutos!$F$191/12</f>
        <v>11.0974882576574</v>
      </c>
      <c r="N146" s="25" t="n">
        <f aca="false">datos_base!$F$18*parametros_recargas!$P$41+sobrestock_sustitutos!$F$191/12</f>
        <v>11.3581026458174</v>
      </c>
      <c r="O146" s="25" t="n">
        <f aca="false">datos_base!$F$18*parametros_recargas!$Q$41+sobrestock_sustitutos!$F$191/12</f>
        <v>11.6254994194936</v>
      </c>
      <c r="P146" s="7" t="n">
        <f aca="false">SUM(D146:O146)</f>
        <v>123.268130849503</v>
      </c>
      <c r="Q146" s="13" t="n">
        <f aca="false">sobrestock_sustitutos!$F$191</f>
        <v>13</v>
      </c>
    </row>
    <row r="147" customFormat="false" ht="15" hidden="false" customHeight="false" outlineLevel="0" collapsed="false">
      <c r="A147" s="6" t="s">
        <v>273</v>
      </c>
      <c r="D147" s="7" t="n">
        <f aca="false">SUM(D130:D146)</f>
        <v>8809.42779543039</v>
      </c>
      <c r="E147" s="7" t="n">
        <f aca="false">SUM(E130:E146)</f>
        <v>9033.52592589877</v>
      </c>
      <c r="F147" s="7" t="n">
        <f aca="false">SUM(F130:F146)</f>
        <v>9263.45612084001</v>
      </c>
      <c r="G147" s="7" t="n">
        <f aca="false">SUM(G130:G146)</f>
        <v>9499.37015740612</v>
      </c>
      <c r="H147" s="7" t="n">
        <f aca="false">SUM(H130:H146)</f>
        <v>9741.42376268898</v>
      </c>
      <c r="I147" s="7" t="n">
        <f aca="false">SUM(I130:I146)</f>
        <v>9989.77671651592</v>
      </c>
      <c r="J147" s="7" t="n">
        <f aca="false">SUM(J130:J146)</f>
        <v>10244.5929569206</v>
      </c>
      <c r="K147" s="7" t="n">
        <f aca="false">SUM(K130:K146)</f>
        <v>10506.0406883584</v>
      </c>
      <c r="L147" s="7" t="n">
        <f aca="false">SUM(L130:L146)</f>
        <v>10774.292492739</v>
      </c>
      <c r="M147" s="7" t="n">
        <f aca="false">SUM(M130:M146)</f>
        <v>11049.5254433471</v>
      </c>
      <c r="N147" s="7" t="n">
        <f aca="false">SUM(N130:N146)</f>
        <v>11331.9212217291</v>
      </c>
      <c r="O147" s="7" t="n">
        <f aca="false">SUM(O130:O146)</f>
        <v>11621.6662376212</v>
      </c>
      <c r="P147" s="7" t="n">
        <f aca="false">SUM(P130:P146)</f>
        <v>121865.019519496</v>
      </c>
    </row>
    <row r="148" customFormat="false" ht="15" hidden="false" customHeight="false" outlineLevel="0" collapsed="false">
      <c r="A148" s="6" t="s">
        <v>274</v>
      </c>
    </row>
    <row r="149" customFormat="false" ht="15" hidden="false" customHeight="false" outlineLevel="0" collapsed="false">
      <c r="A149" s="4" t="s">
        <v>143</v>
      </c>
      <c r="D149" s="25" t="n">
        <f aca="false">SUMPRODUCT(($B$130:$B$146=$A149)*D$130:D$146*$C$130:$C$146)</f>
        <v>7821.19252654374</v>
      </c>
      <c r="E149" s="25" t="n">
        <f aca="false">SUMPRODUCT(($B$130:$B$146=$A149)*E$130:E$146*$C$130:$C$146)</f>
        <v>8020.34429142613</v>
      </c>
      <c r="F149" s="25" t="n">
        <f aca="false">SUMPRODUCT(($B$130:$B$146=$A149)*F$130:F$146*$C$130:$C$146)</f>
        <v>8224.67890156586</v>
      </c>
      <c r="G149" s="25" t="n">
        <f aca="false">SUMPRODUCT(($B$130:$B$146=$A149)*G$130:G$146*$C$130:$C$146)</f>
        <v>8434.33123844379</v>
      </c>
      <c r="H149" s="25" t="n">
        <f aca="false">SUMPRODUCT(($B$130:$B$146=$A149)*H$130:H$146*$C$130:$C$146)</f>
        <v>8649.4396937775</v>
      </c>
      <c r="I149" s="25" t="n">
        <f aca="false">SUMPRODUCT(($B$130:$B$146=$A149)*I$130:I$146*$C$130:$C$146)</f>
        <v>8870.14626087386</v>
      </c>
      <c r="J149" s="25" t="n">
        <f aca="false">SUMPRODUCT(($B$130:$B$146=$A149)*J$130:J$146*$C$130:$C$146)</f>
        <v>9096.59662835891</v>
      </c>
      <c r="K149" s="25" t="n">
        <f aca="false">SUMPRODUCT(($B$130:$B$146=$A149)*K$130:K$146*$C$130:$C$146)</f>
        <v>9328.94027634708</v>
      </c>
      <c r="L149" s="25" t="n">
        <f aca="false">SUMPRODUCT(($B$130:$B$146=$A149)*L$130:L$146*$C$130:$C$146)</f>
        <v>9567.33057511316</v>
      </c>
      <c r="M149" s="25" t="n">
        <f aca="false">SUMPRODUCT(($B$130:$B$146=$A149)*M$130:M$146*$C$130:$C$146)</f>
        <v>9811.92488633219</v>
      </c>
      <c r="N149" s="25" t="n">
        <f aca="false">SUMPRODUCT(($B$130:$B$146=$A149)*N$130:N$146*$C$130:$C$146)</f>
        <v>10062.884666954</v>
      </c>
      <c r="O149" s="25" t="n">
        <f aca="false">SUMPRODUCT(($B$130:$B$146=$A149)*O$130:O$146*$C$130:$C$146)</f>
        <v>10320.3755757813</v>
      </c>
      <c r="P149" s="25" t="n">
        <f aca="false">SUMPRODUCT(($B$130:$B$146=$A149)*P$130:P$146*$C$130:$C$146)</f>
        <v>108208.185521518</v>
      </c>
    </row>
    <row r="150" customFormat="false" ht="15" hidden="false" customHeight="false" outlineLevel="0" collapsed="false">
      <c r="A150" s="4" t="s">
        <v>149</v>
      </c>
      <c r="D150" s="25" t="n">
        <f aca="false">SUMPRODUCT(($B$130:$B$146=$A150)*D$130:D$146*$C$130:$C$146)</f>
        <v>11.9412427018567</v>
      </c>
      <c r="E150" s="25" t="n">
        <f aca="false">SUMPRODUCT(($B$130:$B$146=$A150)*E$130:E$146*$C$130:$C$146)</f>
        <v>12.2346590467584</v>
      </c>
      <c r="F150" s="25" t="n">
        <f aca="false">SUMPRODUCT(($B$130:$B$146=$A150)*F$130:F$146*$C$130:$C$146)</f>
        <v>12.5357114350188</v>
      </c>
      <c r="G150" s="25" t="n">
        <f aca="false">SUMPRODUCT(($B$130:$B$146=$A150)*G$130:G$146*$C$130:$C$146)</f>
        <v>12.8445985916209</v>
      </c>
      <c r="H150" s="25" t="n">
        <f aca="false">SUMPRODUCT(($B$130:$B$146=$A150)*H$130:H$146*$C$130:$C$146)</f>
        <v>13.1615244132864</v>
      </c>
      <c r="I150" s="25" t="n">
        <f aca="false">SUMPRODUCT(($B$130:$B$146=$A150)*I$130:I$146*$C$130:$C$146)</f>
        <v>13.4866981030674</v>
      </c>
      <c r="J150" s="25" t="n">
        <f aca="false">SUMPRODUCT(($B$130:$B$146=$A150)*J$130:J$146*$C$130:$C$146)</f>
        <v>13.8203343084425</v>
      </c>
      <c r="K150" s="25" t="n">
        <f aca="false">SUMPRODUCT(($B$130:$B$146=$A150)*K$130:K$146*$C$130:$C$146)</f>
        <v>14.162653263005</v>
      </c>
      <c r="L150" s="25" t="n">
        <f aca="false">SUMPRODUCT(($B$130:$B$146=$A150)*L$130:L$146*$C$130:$C$146)</f>
        <v>14.5138809318397</v>
      </c>
      <c r="M150" s="25" t="n">
        <f aca="false">SUMPRODUCT(($B$130:$B$146=$A150)*M$130:M$146*$C$130:$C$146)</f>
        <v>14.8742491606828</v>
      </c>
      <c r="N150" s="25" t="n">
        <f aca="false">SUMPRODUCT(($B$130:$B$146=$A150)*N$130:N$146*$C$130:$C$146)</f>
        <v>15.243995828963</v>
      </c>
      <c r="O150" s="25" t="n">
        <f aca="false">SUMPRODUCT(($B$130:$B$146=$A150)*O$130:O$146*$C$130:$C$146)</f>
        <v>15.6233650068266</v>
      </c>
      <c r="P150" s="25" t="n">
        <f aca="false">SUMPRODUCT(($B$130:$B$146=$A150)*P$130:P$146*$C$130:$C$146)</f>
        <v>164.442912791368</v>
      </c>
    </row>
    <row r="151" customFormat="false" ht="15" hidden="false" customHeight="false" outlineLevel="0" collapsed="false">
      <c r="A151" s="4" t="s">
        <v>155</v>
      </c>
      <c r="D151" s="25" t="n">
        <f aca="false">SUMPRODUCT(($B$130:$B$146=$A151)*D$130:D$146*$C$130:$C$146)</f>
        <v>11.1105249676567</v>
      </c>
      <c r="E151" s="25" t="n">
        <f aca="false">SUMPRODUCT(($B$130:$B$146=$A151)*E$130:E$146*$C$130:$C$146)</f>
        <v>11.3844909315902</v>
      </c>
      <c r="F151" s="25" t="n">
        <f aca="false">SUMPRODUCT(($B$130:$B$146=$A151)*F$130:F$146*$C$130:$C$146)</f>
        <v>11.6655867504748</v>
      </c>
      <c r="G151" s="25" t="n">
        <f aca="false">SUMPRODUCT(($B$130:$B$146=$A151)*G$130:G$146*$C$130:$C$146)</f>
        <v>11.9539979759419</v>
      </c>
      <c r="H151" s="25" t="n">
        <f aca="false">SUMPRODUCT(($B$130:$B$146=$A151)*H$130:H$146*$C$130:$C$146)</f>
        <v>12.2499149885306</v>
      </c>
      <c r="I151" s="25" t="n">
        <f aca="false">SUMPRODUCT(($B$130:$B$146=$A151)*I$130:I$146*$C$130:$C$146)</f>
        <v>12.5535331233572</v>
      </c>
      <c r="J151" s="25" t="n">
        <f aca="false">SUMPRODUCT(($B$130:$B$146=$A151)*J$130:J$146*$C$130:$C$146)</f>
        <v>12.8650527990567</v>
      </c>
      <c r="K151" s="25" t="n">
        <f aca="false">SUMPRODUCT(($B$130:$B$146=$A151)*K$130:K$146*$C$130:$C$146)</f>
        <v>13.1846796500791</v>
      </c>
      <c r="L151" s="25" t="n">
        <f aca="false">SUMPRODUCT(($B$130:$B$146=$A151)*L$130:L$146*$C$130:$C$146)</f>
        <v>13.512624662429</v>
      </c>
      <c r="M151" s="25" t="n">
        <f aca="false">SUMPRODUCT(($B$130:$B$146=$A151)*M$130:M$146*$C$130:$C$146)</f>
        <v>13.8491043129376</v>
      </c>
      <c r="N151" s="25" t="n">
        <f aca="false">SUMPRODUCT(($B$130:$B$146=$A151)*N$130:N$146*$C$130:$C$146)</f>
        <v>14.1943407121591</v>
      </c>
      <c r="O151" s="25" t="n">
        <f aca="false">SUMPRODUCT(($B$130:$B$146=$A151)*O$130:O$146*$C$130:$C$146)</f>
        <v>14.5485617509866</v>
      </c>
      <c r="P151" s="25" t="n">
        <f aca="false">SUMPRODUCT(($B$130:$B$146=$A151)*P$130:P$146*$C$130:$C$146)</f>
        <v>153.0724126252</v>
      </c>
    </row>
    <row r="152" customFormat="false" ht="15" hidden="false" customHeight="false" outlineLevel="0" collapsed="false">
      <c r="A152" s="4" t="s">
        <v>146</v>
      </c>
      <c r="D152" s="25" t="n">
        <f aca="false">SUMPRODUCT(($B$130:$B$146=$A152)*D$130:D$146*$C$130:$C$146)</f>
        <v>211.744566632599</v>
      </c>
      <c r="E152" s="25" t="n">
        <f aca="false">SUMPRODUCT(($B$130:$B$146=$A152)*E$130:E$146*$C$130:$C$146)</f>
        <v>217.072962325023</v>
      </c>
      <c r="F152" s="25" t="n">
        <f aca="false">SUMPRODUCT(($B$130:$B$146=$A152)*F$130:F$146*$C$130:$C$146)</f>
        <v>222.540027390326</v>
      </c>
      <c r="G152" s="25" t="n">
        <f aca="false">SUMPRODUCT(($B$130:$B$146=$A152)*G$130:G$146*$C$130:$C$146)</f>
        <v>228.149370643632</v>
      </c>
      <c r="H152" s="25" t="n">
        <f aca="false">SUMPRODUCT(($B$130:$B$146=$A152)*H$130:H$146*$C$130:$C$146)</f>
        <v>233.904694818043</v>
      </c>
      <c r="I152" s="25" t="n">
        <f aca="false">SUMPRODUCT(($B$130:$B$146=$A152)*I$130:I$146*$C$130:$C$146)</f>
        <v>239.809799008812</v>
      </c>
      <c r="J152" s="25" t="n">
        <f aca="false">SUMPRODUCT(($B$130:$B$146=$A152)*J$130:J$146*$C$130:$C$146)</f>
        <v>245.868581181131</v>
      </c>
      <c r="K152" s="25" t="n">
        <f aca="false">SUMPRODUCT(($B$130:$B$146=$A152)*K$130:K$146*$C$130:$C$146)</f>
        <v>252.085040743182</v>
      </c>
      <c r="L152" s="25" t="n">
        <f aca="false">SUMPRODUCT(($B$130:$B$146=$A152)*L$130:L$146*$C$130:$C$146)</f>
        <v>258.463281186148</v>
      </c>
      <c r="M152" s="25" t="n">
        <f aca="false">SUMPRODUCT(($B$130:$B$146=$A152)*M$130:M$146*$C$130:$C$146)</f>
        <v>265.007512792936</v>
      </c>
      <c r="N152" s="25" t="n">
        <f aca="false">SUMPRODUCT(($B$130:$B$146=$A152)*N$130:N$146*$C$130:$C$146)</f>
        <v>271.722055417386</v>
      </c>
      <c r="O152" s="25" t="n">
        <f aca="false">SUMPRODUCT(($B$130:$B$146=$A152)*O$130:O$146*$C$130:$C$146)</f>
        <v>278.61134133581</v>
      </c>
      <c r="P152" s="25" t="n">
        <f aca="false">SUMPRODUCT(($B$130:$B$146=$A152)*P$130:P$146*$C$130:$C$146)</f>
        <v>2924.97923347503</v>
      </c>
    </row>
    <row r="153" customFormat="false" ht="15" hidden="false" customHeight="false" outlineLevel="0" collapsed="false">
      <c r="A153" s="4" t="s">
        <v>147</v>
      </c>
      <c r="D153" s="25" t="n">
        <f aca="false">SUMPRODUCT(($B$130:$B$146=$A153)*D$130:D$146*$C$130:$C$146)</f>
        <v>103.122246343562</v>
      </c>
      <c r="E153" s="25" t="n">
        <f aca="false">SUMPRODUCT(($B$130:$B$146=$A153)*E$130:E$146*$C$130:$C$146)</f>
        <v>105.712706857535</v>
      </c>
      <c r="F153" s="25" t="n">
        <f aca="false">SUMPRODUCT(($B$130:$B$146=$A153)*F$130:F$146*$C$130:$C$146)</f>
        <v>108.370583073283</v>
      </c>
      <c r="G153" s="25" t="n">
        <f aca="false">SUMPRODUCT(($B$130:$B$146=$A153)*G$130:G$146*$C$130:$C$146)</f>
        <v>111.097629457558</v>
      </c>
      <c r="H153" s="25" t="n">
        <f aca="false">SUMPRODUCT(($B$130:$B$146=$A153)*H$130:H$146*$C$130:$C$146)</f>
        <v>113.89564613641</v>
      </c>
      <c r="I153" s="25" t="n">
        <f aca="false">SUMPRODUCT(($B$130:$B$146=$A153)*I$130:I$146*$C$130:$C$146)</f>
        <v>116.766480083452</v>
      </c>
      <c r="J153" s="25" t="n">
        <f aca="false">SUMPRODUCT(($B$130:$B$146=$A153)*J$130:J$146*$C$130:$C$146)</f>
        <v>119.712026339049</v>
      </c>
      <c r="K153" s="25" t="n">
        <f aca="false">SUMPRODUCT(($B$130:$B$146=$A153)*K$130:K$146*$C$130:$C$146)</f>
        <v>122.734229261234</v>
      </c>
      <c r="L153" s="25" t="n">
        <f aca="false">SUMPRODUCT(($B$130:$B$146=$A153)*L$130:L$146*$C$130:$C$146)</f>
        <v>125.835083809184</v>
      </c>
      <c r="M153" s="25" t="n">
        <f aca="false">SUMPRODUCT(($B$130:$B$146=$A153)*M$130:M$146*$C$130:$C$146)</f>
        <v>129.016636860092</v>
      </c>
      <c r="N153" s="25" t="n">
        <f aca="false">SUMPRODUCT(($B$130:$B$146=$A153)*N$130:N$146*$C$130:$C$146)</f>
        <v>132.280988560315</v>
      </c>
      <c r="O153" s="25" t="n">
        <f aca="false">SUMPRODUCT(($B$130:$B$146=$A153)*O$130:O$146*$C$130:$C$146)</f>
        <v>135.630293711681</v>
      </c>
      <c r="P153" s="25" t="n">
        <f aca="false">SUMPRODUCT(($B$130:$B$146=$A153)*P$130:P$146*$C$130:$C$146)</f>
        <v>1424.17455049336</v>
      </c>
    </row>
    <row r="154" customFormat="false" ht="15" hidden="false" customHeight="false" outlineLevel="0" collapsed="false">
      <c r="A154" s="4" t="s">
        <v>150</v>
      </c>
      <c r="D154" s="25" t="n">
        <f aca="false">SUMPRODUCT(($B$130:$B$146=$A154)*D$130:D$146*$C$130:$C$146)</f>
        <v>104.013758932805</v>
      </c>
      <c r="E154" s="25" t="n">
        <f aca="false">SUMPRODUCT(($B$130:$B$146=$A154)*E$130:E$146*$C$130:$C$146)</f>
        <v>106.631758139901</v>
      </c>
      <c r="F154" s="25" t="n">
        <f aca="false">SUMPRODUCT(($B$130:$B$146=$A154)*F$130:F$146*$C$130:$C$146)</f>
        <v>109.317889732277</v>
      </c>
      <c r="G154" s="25" t="n">
        <f aca="false">SUMPRODUCT(($B$130:$B$146=$A154)*G$130:G$146*$C$130:$C$146)</f>
        <v>112.073926828089</v>
      </c>
      <c r="H154" s="25" t="n">
        <f aca="false">SUMPRODUCT(($B$130:$B$146=$A154)*H$130:H$146*$C$130:$C$146)</f>
        <v>114.901688690183</v>
      </c>
      <c r="I154" s="25" t="n">
        <f aca="false">SUMPRODUCT(($B$130:$B$146=$A154)*I$130:I$146*$C$130:$C$146)</f>
        <v>117.803041926999</v>
      </c>
      <c r="J154" s="25" t="n">
        <f aca="false">SUMPRODUCT(($B$130:$B$146=$A154)*J$130:J$146*$C$130:$C$146)</f>
        <v>120.779901724714</v>
      </c>
      <c r="K154" s="25" t="n">
        <f aca="false">SUMPRODUCT(($B$130:$B$146=$A154)*K$130:K$146*$C$130:$C$146)</f>
        <v>123.834233111464</v>
      </c>
      <c r="L154" s="25" t="n">
        <f aca="false">SUMPRODUCT(($B$130:$B$146=$A154)*L$130:L$146*$C$130:$C$146)</f>
        <v>126.968052254455</v>
      </c>
      <c r="M154" s="25" t="n">
        <f aca="false">SUMPRODUCT(($B$130:$B$146=$A154)*M$130:M$146*$C$130:$C$146)</f>
        <v>130.183427790844</v>
      </c>
      <c r="N154" s="25" t="n">
        <f aca="false">SUMPRODUCT(($B$130:$B$146=$A154)*N$130:N$146*$C$130:$C$146)</f>
        <v>133.482482193244</v>
      </c>
      <c r="O154" s="25" t="n">
        <f aca="false">SUMPRODUCT(($B$130:$B$146=$A154)*O$130:O$146*$C$130:$C$146)</f>
        <v>136.86739317077</v>
      </c>
      <c r="P154" s="25" t="n">
        <f aca="false">SUMPRODUCT(($B$130:$B$146=$A154)*P$130:P$146*$C$130:$C$146)</f>
        <v>1436.85755449574</v>
      </c>
    </row>
    <row r="155" customFormat="false" ht="15" hidden="false" customHeight="false" outlineLevel="0" collapsed="false">
      <c r="A155" s="4" t="s">
        <v>151</v>
      </c>
      <c r="D155" s="25" t="n">
        <f aca="false">SUMPRODUCT(($B$130:$B$146=$A155)*D$130:D$146*$C$130:$C$146)</f>
        <v>767.178033573526</v>
      </c>
      <c r="E155" s="25" t="n">
        <f aca="false">SUMPRODUCT(($B$130:$B$146=$A155)*E$130:E$146*$C$130:$C$146)</f>
        <v>786.488583475694</v>
      </c>
      <c r="F155" s="25" t="n">
        <f aca="false">SUMPRODUCT(($B$130:$B$146=$A155)*F$130:F$146*$C$130:$C$146)</f>
        <v>806.301682737825</v>
      </c>
      <c r="G155" s="25" t="n">
        <f aca="false">SUMPRODUCT(($B$130:$B$146=$A155)*G$130:G$146*$C$130:$C$146)</f>
        <v>826.63041000659</v>
      </c>
      <c r="H155" s="25" t="n">
        <f aca="false">SUMPRODUCT(($B$130:$B$146=$A155)*H$130:H$146*$C$130:$C$146)</f>
        <v>847.488184295224</v>
      </c>
      <c r="I155" s="25" t="n">
        <f aca="false">SUMPRODUCT(($B$130:$B$146=$A155)*I$130:I$146*$C$130:$C$146)</f>
        <v>868.88877384143</v>
      </c>
      <c r="J155" s="25" t="n">
        <f aca="false">SUMPRODUCT(($B$130:$B$146=$A155)*J$130:J$146*$C$130:$C$146)</f>
        <v>890.846305195805</v>
      </c>
      <c r="K155" s="25" t="n">
        <f aca="false">SUMPRODUCT(($B$130:$B$146=$A155)*K$130:K$146*$C$130:$C$146)</f>
        <v>913.375272546795</v>
      </c>
      <c r="L155" s="25" t="n">
        <f aca="false">SUMPRODUCT(($B$130:$B$146=$A155)*L$130:L$146*$C$130:$C$146)</f>
        <v>936.490547288315</v>
      </c>
      <c r="M155" s="25" t="n">
        <f aca="false">SUMPRODUCT(($B$130:$B$146=$A155)*M$130:M$146*$C$130:$C$146)</f>
        <v>960.207387836381</v>
      </c>
      <c r="N155" s="25" t="n">
        <f aca="false">SUMPRODUCT(($B$130:$B$146=$A155)*N$130:N$146*$C$130:$C$146)</f>
        <v>984.541449701194</v>
      </c>
      <c r="O155" s="25" t="n">
        <f aca="false">SUMPRODUCT(($B$130:$B$146=$A155)*O$130:O$146*$C$130:$C$146)</f>
        <v>1009.50879582137</v>
      </c>
      <c r="P155" s="25" t="n">
        <f aca="false">SUMPRODUCT(($B$130:$B$146=$A155)*P$130:P$146*$C$130:$C$146)</f>
        <v>10597.9454263202</v>
      </c>
    </row>
    <row r="156" customFormat="false" ht="15" hidden="false" customHeight="false" outlineLevel="0" collapsed="false">
      <c r="A156" s="4" t="s">
        <v>154</v>
      </c>
      <c r="D156" s="25" t="n">
        <f aca="false">SUMPRODUCT(($B$130:$B$146=$A156)*D$130:D$146*$C$130:$C$146)</f>
        <v>30.5530497840727</v>
      </c>
      <c r="E156" s="25" t="n">
        <f aca="false">SUMPRODUCT(($B$130:$B$146=$A156)*E$130:E$146*$C$130:$C$146)</f>
        <v>31.3199874018843</v>
      </c>
      <c r="F156" s="25" t="n">
        <f aca="false">SUMPRODUCT(($B$130:$B$146=$A156)*F$130:F$146*$C$130:$C$146)</f>
        <v>32.1068842653372</v>
      </c>
      <c r="G156" s="25" t="n">
        <f aca="false">SUMPRODUCT(($B$130:$B$146=$A156)*G$130:G$146*$C$130:$C$146)</f>
        <v>32.914259805839</v>
      </c>
      <c r="H156" s="25" t="n">
        <f aca="false">SUMPRODUCT(($B$130:$B$146=$A156)*H$130:H$146*$C$130:$C$146)</f>
        <v>33.7426469727929</v>
      </c>
      <c r="I156" s="25" t="n">
        <f aca="false">SUMPRODUCT(($B$130:$B$146=$A156)*I$130:I$146*$C$130:$C$146)</f>
        <v>34.5925925853976</v>
      </c>
      <c r="J156" s="25" t="n">
        <f aca="false">SUMPRODUCT(($B$130:$B$146=$A156)*J$130:J$146*$C$130:$C$146)</f>
        <v>35.4646576936036</v>
      </c>
      <c r="K156" s="25" t="n">
        <f aca="false">SUMPRODUCT(($B$130:$B$146=$A156)*K$130:K$146*$C$130:$C$146)</f>
        <v>36.3594179484622</v>
      </c>
      <c r="L156" s="25" t="n">
        <f aca="false">SUMPRODUCT(($B$130:$B$146=$A156)*L$130:L$146*$C$130:$C$146)</f>
        <v>37.2774639821143</v>
      </c>
      <c r="M156" s="25" t="n">
        <f aca="false">SUMPRODUCT(($B$130:$B$146=$A156)*M$130:M$146*$C$130:$C$146)</f>
        <v>38.2194017976661</v>
      </c>
      <c r="N156" s="25" t="n">
        <f aca="false">SUMPRODUCT(($B$130:$B$146=$A156)*N$130:N$146*$C$130:$C$146)</f>
        <v>39.1858531692134</v>
      </c>
      <c r="O156" s="25" t="n">
        <f aca="false">SUMPRODUCT(($B$130:$B$146=$A156)*O$130:O$146*$C$130:$C$146)</f>
        <v>40.1774560522747</v>
      </c>
      <c r="P156" s="25" t="n">
        <f aca="false">SUMPRODUCT(($B$130:$B$146=$A156)*P$130:P$146*$C$130:$C$146)</f>
        <v>421.913671458658</v>
      </c>
    </row>
    <row r="157" customFormat="false" ht="15" hidden="false" customHeight="false" outlineLevel="0" collapsed="false">
      <c r="A157" s="6" t="s">
        <v>275</v>
      </c>
      <c r="D157" s="26" t="n">
        <f aca="false">SUMPRODUCT(D$130:D$146*parametros_recargas!$D$51:$D$67)</f>
        <v>332.736831046909</v>
      </c>
      <c r="E157" s="26" t="n">
        <f aca="false">SUMPRODUCT(E$130:E$146*parametros_recargas!$D$51:$D$67)</f>
        <v>340.587243022461</v>
      </c>
      <c r="F157" s="26" t="n">
        <f aca="false">SUMPRODUCT(F$130:F$146*parametros_recargas!$D$51:$D$67)</f>
        <v>348.641958838854</v>
      </c>
      <c r="G157" s="26" t="n">
        <f aca="false">SUMPRODUCT(G$130:G$146*parametros_recargas!$D$51:$D$67)</f>
        <v>356.906295422067</v>
      </c>
      <c r="H157" s="26" t="n">
        <f aca="false">SUMPRODUCT(H$130:H$146*parametros_recargas!$D$51:$D$67)</f>
        <v>365.385708068958</v>
      </c>
      <c r="I157" s="26" t="n">
        <f aca="false">SUMPRODUCT(I$130:I$146*parametros_recargas!$D$51:$D$67)</f>
        <v>374.085794048309</v>
      </c>
      <c r="J157" s="26" t="n">
        <f aca="false">SUMPRODUCT(J$130:J$146*parametros_recargas!$D$51:$D$67)</f>
        <v>383.012296295591</v>
      </c>
      <c r="K157" s="26" t="n">
        <f aca="false">SUMPRODUCT(K$130:K$146*parametros_recargas!$D$51:$D$67)</f>
        <v>392.17110720388</v>
      </c>
      <c r="L157" s="26" t="n">
        <f aca="false">SUMPRODUCT(L$130:L$146*parametros_recargas!$D$51:$D$67)</f>
        <v>401.568272513431</v>
      </c>
      <c r="M157" s="26" t="n">
        <f aca="false">SUMPRODUCT(M$130:M$146*parametros_recargas!$D$51:$D$67)</f>
        <v>411.20999530248</v>
      </c>
      <c r="N157" s="26" t="n">
        <f aca="false">SUMPRODUCT(N$130:N$146*parametros_recargas!$D$51:$D$67)</f>
        <v>421.102640081898</v>
      </c>
      <c r="O157" s="26" t="n">
        <f aca="false">SUMPRODUCT(O$130:O$146*parametros_recargas!$D$51:$D$67)</f>
        <v>431.252736996414</v>
      </c>
      <c r="P157" s="26" t="n">
        <f aca="false">SUMPRODUCT(P$130:P$146*parametros_recargas!$D$51:$D$67)</f>
        <v>4558.66087884125</v>
      </c>
    </row>
    <row r="161" customFormat="false" ht="23.85" hidden="false" customHeight="false" outlineLevel="0" collapsed="false">
      <c r="A161" s="23" t="n">
        <v>2031</v>
      </c>
      <c r="B161" s="3" t="s">
        <v>270</v>
      </c>
      <c r="C161" s="3" t="s">
        <v>271</v>
      </c>
      <c r="D161" s="3" t="s">
        <v>124</v>
      </c>
      <c r="E161" s="3" t="s">
        <v>125</v>
      </c>
      <c r="F161" s="3" t="s">
        <v>126</v>
      </c>
      <c r="G161" s="3" t="s">
        <v>127</v>
      </c>
      <c r="H161" s="3" t="s">
        <v>128</v>
      </c>
      <c r="I161" s="3" t="s">
        <v>129</v>
      </c>
      <c r="J161" s="3" t="s">
        <v>130</v>
      </c>
      <c r="K161" s="3" t="s">
        <v>131</v>
      </c>
      <c r="L161" s="3" t="s">
        <v>132</v>
      </c>
      <c r="M161" s="3" t="s">
        <v>133</v>
      </c>
      <c r="N161" s="3" t="s">
        <v>134</v>
      </c>
      <c r="O161" s="3" t="s">
        <v>135</v>
      </c>
      <c r="P161" s="3" t="s">
        <v>136</v>
      </c>
      <c r="Q161" s="3" t="s">
        <v>272</v>
      </c>
    </row>
    <row r="162" customFormat="false" ht="15" hidden="false" customHeight="false" outlineLevel="0" collapsed="false">
      <c r="A162" s="12" t="str">
        <f aca="false">parametros_recargas!A51</f>
        <v>ABC 1 kg</v>
      </c>
      <c r="B162" s="12" t="str">
        <f aca="false">parametros_recargas!B51</f>
        <v>ABC</v>
      </c>
      <c r="C162" s="24" t="n">
        <f aca="false">parametros_recargas!C51</f>
        <v>1</v>
      </c>
      <c r="D162" s="25" t="n">
        <f aca="false">datos_base!$G$2*parametros_recargas!$F$42+sobrestock_sustitutos!$G$175/12</f>
        <v>6293.23272134085</v>
      </c>
      <c r="E162" s="25" t="n">
        <f aca="false">datos_base!$G$2*parametros_recargas!$G$42+sobrestock_sustitutos!$G$175/12</f>
        <v>6407.90957140454</v>
      </c>
      <c r="F162" s="25" t="n">
        <f aca="false">datos_base!$G$2*parametros_recargas!$H$42+sobrestock_sustitutos!$G$175/12</f>
        <v>6524.67609151903</v>
      </c>
      <c r="G162" s="25" t="n">
        <f aca="false">datos_base!$G$2*parametros_recargas!$I$42+sobrestock_sustitutos!$G$175/12</f>
        <v>6643.57036017112</v>
      </c>
      <c r="H162" s="25" t="n">
        <f aca="false">datos_base!$G$2*parametros_recargas!$J$42+sobrestock_sustitutos!$G$175/12</f>
        <v>6764.63114972326</v>
      </c>
      <c r="I162" s="25" t="n">
        <f aca="false">datos_base!$G$2*parametros_recargas!$K$42+sobrestock_sustitutos!$G$175/12</f>
        <v>6887.89793905751</v>
      </c>
      <c r="J162" s="25" t="n">
        <f aca="false">datos_base!$G$2*parametros_recargas!$L$42+sobrestock_sustitutos!$G$175/12</f>
        <v>7013.41092644994</v>
      </c>
      <c r="K162" s="25" t="n">
        <f aca="false">datos_base!$G$2*parametros_recargas!$M$42+sobrestock_sustitutos!$G$175/12</f>
        <v>7141.21104267957</v>
      </c>
      <c r="L162" s="25" t="n">
        <f aca="false">datos_base!$G$2*parametros_recargas!$N$42+sobrestock_sustitutos!$G$175/12</f>
        <v>7271.33996437628</v>
      </c>
      <c r="M162" s="25" t="n">
        <f aca="false">datos_base!$G$2*parametros_recargas!$O$42+sobrestock_sustitutos!$G$175/12</f>
        <v>7403.84012761181</v>
      </c>
      <c r="N162" s="25" t="n">
        <f aca="false">datos_base!$G$2*parametros_recargas!$P$42+sobrestock_sustitutos!$G$175/12</f>
        <v>7538.75474173858</v>
      </c>
      <c r="O162" s="25" t="n">
        <f aca="false">datos_base!$G$2*parametros_recargas!$Q$42+sobrestock_sustitutos!$G$175/12</f>
        <v>7676.12780348053</v>
      </c>
      <c r="P162" s="7" t="n">
        <f aca="false">SUM(D162:O162)</f>
        <v>83566.602439553</v>
      </c>
      <c r="Q162" s="13" t="n">
        <f aca="false">sobrestock_sustitutos!$G$175</f>
        <v>0</v>
      </c>
    </row>
    <row r="163" customFormat="false" ht="15" hidden="false" customHeight="false" outlineLevel="0" collapsed="false">
      <c r="A163" s="12" t="str">
        <f aca="false">parametros_recargas!A52</f>
        <v>ABC 2,5 kg</v>
      </c>
      <c r="B163" s="12" t="str">
        <f aca="false">parametros_recargas!B52</f>
        <v>ABC</v>
      </c>
      <c r="C163" s="24" t="n">
        <f aca="false">parametros_recargas!C52</f>
        <v>1</v>
      </c>
      <c r="D163" s="25" t="n">
        <f aca="false">datos_base!$G$3*parametros_recargas!$F$42+sobrestock_sustitutos!$G$176/12</f>
        <v>558.738775079062</v>
      </c>
      <c r="E163" s="25" t="n">
        <f aca="false">datos_base!$G$3*parametros_recargas!$G$42+sobrestock_sustitutos!$G$176/12</f>
        <v>568.920251844926</v>
      </c>
      <c r="F163" s="25" t="n">
        <f aca="false">datos_base!$G$3*parametros_recargas!$H$42+sobrestock_sustitutos!$G$176/12</f>
        <v>579.287258009782</v>
      </c>
      <c r="G163" s="25" t="n">
        <f aca="false">datos_base!$G$3*parametros_recargas!$I$42+sobrestock_sustitutos!$G$176/12</f>
        <v>589.843174336429</v>
      </c>
      <c r="H163" s="25" t="n">
        <f aca="false">datos_base!$G$3*parametros_recargas!$J$42+sobrestock_sustitutos!$G$176/12</f>
        <v>600.591443192766</v>
      </c>
      <c r="I163" s="25" t="n">
        <f aca="false">datos_base!$G$3*parametros_recargas!$K$42+sobrestock_sustitutos!$G$176/12</f>
        <v>611.535569674374</v>
      </c>
      <c r="J163" s="25" t="n">
        <f aca="false">datos_base!$G$3*parametros_recargas!$L$42+sobrestock_sustitutos!$G$176/12</f>
        <v>622.679122747558</v>
      </c>
      <c r="K163" s="25" t="n">
        <f aca="false">datos_base!$G$3*parametros_recargas!$M$42+sobrestock_sustitutos!$G$176/12</f>
        <v>634.025736413212</v>
      </c>
      <c r="L163" s="25" t="n">
        <f aca="false">datos_base!$G$3*parametros_recargas!$N$42+sobrestock_sustitutos!$G$176/12</f>
        <v>645.579110891899</v>
      </c>
      <c r="M163" s="25" t="n">
        <f aca="false">datos_base!$G$3*parametros_recargas!$O$42+sobrestock_sustitutos!$G$176/12</f>
        <v>657.343013830518</v>
      </c>
      <c r="N163" s="25" t="n">
        <f aca="false">datos_base!$G$3*parametros_recargas!$P$42+sobrestock_sustitutos!$G$176/12</f>
        <v>669.321281530968</v>
      </c>
      <c r="O163" s="25" t="n">
        <f aca="false">datos_base!$G$3*parametros_recargas!$Q$42+sobrestock_sustitutos!$G$176/12</f>
        <v>681.517820201193</v>
      </c>
      <c r="P163" s="7" t="n">
        <f aca="false">SUM(D163:O163)</f>
        <v>7419.38255775269</v>
      </c>
      <c r="Q163" s="13" t="n">
        <f aca="false">sobrestock_sustitutos!$G$176</f>
        <v>0</v>
      </c>
    </row>
    <row r="164" customFormat="false" ht="15" hidden="false" customHeight="false" outlineLevel="0" collapsed="false">
      <c r="A164" s="12" t="str">
        <f aca="false">parametros_recargas!A53</f>
        <v>ABC 5 kg</v>
      </c>
      <c r="B164" s="12" t="str">
        <f aca="false">parametros_recargas!B53</f>
        <v>ABC</v>
      </c>
      <c r="C164" s="24" t="n">
        <f aca="false">parametros_recargas!C53</f>
        <v>1</v>
      </c>
      <c r="D164" s="25" t="n">
        <f aca="false">datos_base!$G$4*parametros_recargas!$F$42+sobrestock_sustitutos!$G$177/12</f>
        <v>3878.56009259202</v>
      </c>
      <c r="E164" s="25" t="n">
        <f aca="false">datos_base!$G$4*parametros_recargas!$G$42+sobrestock_sustitutos!$G$177/12</f>
        <v>3941.38694463191</v>
      </c>
      <c r="F164" s="25" t="n">
        <f aca="false">datos_base!$G$4*parametros_recargas!$H$42+sobrestock_sustitutos!$G$177/12</f>
        <v>4005.35864317761</v>
      </c>
      <c r="G164" s="25" t="n">
        <f aca="false">datos_base!$G$4*parametros_recargas!$I$42+sobrestock_sustitutos!$G$177/12</f>
        <v>4070.49604990658</v>
      </c>
      <c r="H164" s="25" t="n">
        <f aca="false">datos_base!$G$4*parametros_recargas!$J$42+sobrestock_sustitutos!$G$177/12</f>
        <v>4136.82040664292</v>
      </c>
      <c r="I164" s="25" t="n">
        <f aca="false">datos_base!$G$4*parametros_recargas!$K$42+sobrestock_sustitutos!$G$177/12</f>
        <v>4204.35334228454</v>
      </c>
      <c r="J164" s="25" t="n">
        <f aca="false">datos_base!$G$4*parametros_recargas!$L$42+sobrestock_sustitutos!$G$177/12</f>
        <v>4273.1168798565</v>
      </c>
      <c r="K164" s="25" t="n">
        <f aca="false">datos_base!$G$4*parametros_recargas!$M$42+sobrestock_sustitutos!$G$177/12</f>
        <v>4343.13344369288</v>
      </c>
      <c r="L164" s="25" t="n">
        <f aca="false">datos_base!$G$4*parametros_recargas!$N$42+sobrestock_sustitutos!$G$177/12</f>
        <v>4414.42586674957</v>
      </c>
      <c r="M164" s="25" t="n">
        <f aca="false">datos_base!$G$4*parametros_recargas!$O$42+sobrestock_sustitutos!$G$177/12</f>
        <v>4487.01739805023</v>
      </c>
      <c r="N164" s="25" t="n">
        <f aca="false">datos_base!$G$4*parametros_recargas!$P$42+sobrestock_sustitutos!$G$177/12</f>
        <v>4560.93171026802</v>
      </c>
      <c r="O164" s="25" t="n">
        <f aca="false">datos_base!$G$4*parametros_recargas!$Q$42+sobrestock_sustitutos!$G$177/12</f>
        <v>4636.19290744543</v>
      </c>
      <c r="P164" s="7" t="n">
        <f aca="false">SUM(D164:O164)</f>
        <v>50951.7936852982</v>
      </c>
      <c r="Q164" s="13" t="n">
        <f aca="false">sobrestock_sustitutos!$G$177</f>
        <v>5169</v>
      </c>
    </row>
    <row r="165" customFormat="false" ht="15" hidden="false" customHeight="false" outlineLevel="0" collapsed="false">
      <c r="A165" s="12" t="str">
        <f aca="false">parametros_recargas!A54</f>
        <v>ABC 10 kg</v>
      </c>
      <c r="B165" s="12" t="str">
        <f aca="false">parametros_recargas!B54</f>
        <v>ABC</v>
      </c>
      <c r="C165" s="24" t="n">
        <f aca="false">parametros_recargas!C54</f>
        <v>1</v>
      </c>
      <c r="D165" s="25" t="n">
        <f aca="false">datos_base!$G$5*parametros_recargas!$F$42+sobrestock_sustitutos!$G$178/12</f>
        <v>226.075898354205</v>
      </c>
      <c r="E165" s="25" t="n">
        <f aca="false">datos_base!$G$5*parametros_recargas!$G$42+sobrestock_sustitutos!$G$178/12</f>
        <v>229.797657113593</v>
      </c>
      <c r="F165" s="25" t="n">
        <f aca="false">datos_base!$G$5*parametros_recargas!$H$42+sobrestock_sustitutos!$G$178/12</f>
        <v>233.587234685685</v>
      </c>
      <c r="G165" s="25" t="n">
        <f aca="false">datos_base!$G$5*parametros_recargas!$I$42+sobrestock_sustitutos!$G$178/12</f>
        <v>237.445866881732</v>
      </c>
      <c r="H165" s="25" t="n">
        <f aca="false">datos_base!$G$5*parametros_recargas!$J$42+sobrestock_sustitutos!$G$178/12</f>
        <v>241.374812032248</v>
      </c>
      <c r="I165" s="25" t="n">
        <f aca="false">datos_base!$G$5*parametros_recargas!$K$42+sobrestock_sustitutos!$G$178/12</f>
        <v>245.375351397357</v>
      </c>
      <c r="J165" s="25" t="n">
        <f aca="false">datos_base!$G$5*parametros_recargas!$L$42+sobrestock_sustitutos!$G$178/12</f>
        <v>249.448789584623</v>
      </c>
      <c r="K165" s="25" t="n">
        <f aca="false">datos_base!$G$5*parametros_recargas!$M$42+sobrestock_sustitutos!$G$178/12</f>
        <v>253.596454974493</v>
      </c>
      <c r="L165" s="25" t="n">
        <f aca="false">datos_base!$G$5*parametros_recargas!$N$42+sobrestock_sustitutos!$G$178/12</f>
        <v>257.819700153494</v>
      </c>
      <c r="M165" s="25" t="n">
        <f aca="false">datos_base!$G$5*parametros_recargas!$O$42+sobrestock_sustitutos!$G$178/12</f>
        <v>262.11990235532</v>
      </c>
      <c r="N165" s="25" t="n">
        <f aca="false">datos_base!$G$5*parametros_recargas!$P$42+sobrestock_sustitutos!$G$178/12</f>
        <v>266.498463909958</v>
      </c>
      <c r="O165" s="25" t="n">
        <f aca="false">datos_base!$G$5*parametros_recargas!$Q$42+sobrestock_sustitutos!$G$178/12</f>
        <v>270.956812701001</v>
      </c>
      <c r="P165" s="7" t="n">
        <f aca="false">SUM(D165:O165)</f>
        <v>2974.09694414371</v>
      </c>
      <c r="Q165" s="13" t="n">
        <f aca="false">sobrestock_sustitutos!$G$178</f>
        <v>262</v>
      </c>
    </row>
    <row r="166" customFormat="false" ht="15" hidden="false" customHeight="false" outlineLevel="0" collapsed="false">
      <c r="A166" s="12" t="str">
        <f aca="false">parametros_recargas!A55</f>
        <v>Agua 10 l</v>
      </c>
      <c r="B166" s="12" t="str">
        <f aca="false">parametros_recargas!B55</f>
        <v>Agua</v>
      </c>
      <c r="C166" s="24" t="n">
        <f aca="false">parametros_recargas!C55</f>
        <v>1</v>
      </c>
      <c r="D166" s="25" t="n">
        <f aca="false">datos_base!$G$6*parametros_recargas!$F$42+sobrestock_sustitutos!$G$179/12</f>
        <v>309.587723681148</v>
      </c>
      <c r="E166" s="25" t="n">
        <f aca="false">datos_base!$G$6*parametros_recargas!$G$42+sobrestock_sustitutos!$G$179/12</f>
        <v>314.799366733573</v>
      </c>
      <c r="F166" s="25" t="n">
        <f aca="false">datos_base!$G$6*parametros_recargas!$H$42+sobrestock_sustitutos!$G$179/12</f>
        <v>320.105977640418</v>
      </c>
      <c r="G166" s="25" t="n">
        <f aca="false">datos_base!$G$6*parametros_recargas!$I$42+sobrestock_sustitutos!$G$179/12</f>
        <v>325.509286929519</v>
      </c>
      <c r="H166" s="25" t="n">
        <f aca="false">datos_base!$G$6*parametros_recargas!$J$42+sobrestock_sustitutos!$G$179/12</f>
        <v>331.011056662818</v>
      </c>
      <c r="I166" s="25" t="n">
        <f aca="false">datos_base!$G$6*parametros_recargas!$K$42+sobrestock_sustitutos!$G$179/12</f>
        <v>336.613081010992</v>
      </c>
      <c r="J166" s="25" t="n">
        <f aca="false">datos_base!$G$6*parametros_recargas!$L$42+sobrestock_sustitutos!$G$179/12</f>
        <v>342.317186838538</v>
      </c>
      <c r="K166" s="25" t="n">
        <f aca="false">datos_base!$G$6*parametros_recargas!$M$42+sobrestock_sustitutos!$G$179/12</f>
        <v>348.125234299534</v>
      </c>
      <c r="L166" s="25" t="n">
        <f aca="false">datos_base!$G$6*parametros_recargas!$N$42+sobrestock_sustitutos!$G$179/12</f>
        <v>354.039117444245</v>
      </c>
      <c r="M166" s="25" t="n">
        <f aca="false">datos_base!$G$6*parametros_recargas!$O$42+sobrestock_sustitutos!$G$179/12</f>
        <v>360.060764836794</v>
      </c>
      <c r="N166" s="25" t="n">
        <f aca="false">datos_base!$G$6*parametros_recargas!$P$42+sobrestock_sustitutos!$G$179/12</f>
        <v>366.192140184076</v>
      </c>
      <c r="O166" s="25" t="n">
        <f aca="false">datos_base!$G$6*parametros_recargas!$Q$42+sobrestock_sustitutos!$G$179/12</f>
        <v>372.435242976141</v>
      </c>
      <c r="P166" s="7" t="n">
        <f aca="false">SUM(D166:O166)</f>
        <v>4080.7961792378</v>
      </c>
      <c r="Q166" s="13" t="n">
        <f aca="false">sobrestock_sustitutos!$G$179</f>
        <v>283</v>
      </c>
    </row>
    <row r="167" customFormat="false" ht="15" hidden="false" customHeight="false" outlineLevel="0" collapsed="false">
      <c r="A167" s="12" t="str">
        <f aca="false">parametros_recargas!A56</f>
        <v>AFFF 10 l</v>
      </c>
      <c r="B167" s="12" t="str">
        <f aca="false">parametros_recargas!B56</f>
        <v>AFFF</v>
      </c>
      <c r="C167" s="24" t="n">
        <f aca="false">parametros_recargas!C56</f>
        <v>1</v>
      </c>
      <c r="D167" s="25" t="n">
        <f aca="false">datos_base!$G$7*parametros_recargas!$F$42+sobrestock_sustitutos!$G$180/12</f>
        <v>56.0281531210247</v>
      </c>
      <c r="E167" s="25" t="n">
        <f aca="false">datos_base!$G$7*parametros_recargas!$G$42+sobrestock_sustitutos!$G$180/12</f>
        <v>56.9686304489359</v>
      </c>
      <c r="F167" s="25" t="n">
        <f aca="false">datos_base!$G$7*parametros_recargas!$H$42+sobrestock_sustitutos!$G$180/12</f>
        <v>57.9262453883573</v>
      </c>
      <c r="G167" s="25" t="n">
        <f aca="false">datos_base!$G$7*parametros_recargas!$I$42+sobrestock_sustitutos!$G$180/12</f>
        <v>58.9013102251032</v>
      </c>
      <c r="H167" s="25" t="n">
        <f aca="false">datos_base!$G$7*parametros_recargas!$J$42+sobrestock_sustitutos!$G$180/12</f>
        <v>59.8941429355378</v>
      </c>
      <c r="I167" s="25" t="n">
        <f aca="false">datos_base!$G$7*parametros_recargas!$K$42+sobrestock_sustitutos!$G$180/12</f>
        <v>60.9050672902693</v>
      </c>
      <c r="J167" s="25" t="n">
        <f aca="false">datos_base!$G$7*parametros_recargas!$L$42+sobrestock_sustitutos!$G$180/12</f>
        <v>61.9344129597347</v>
      </c>
      <c r="K167" s="25" t="n">
        <f aca="false">datos_base!$G$7*parametros_recargas!$M$42+sobrestock_sustitutos!$G$180/12</f>
        <v>62.9825156217075</v>
      </c>
      <c r="L167" s="25" t="n">
        <f aca="false">datos_base!$G$7*parametros_recargas!$N$42+sobrestock_sustitutos!$G$180/12</f>
        <v>64.0497170707647</v>
      </c>
      <c r="M167" s="25" t="n">
        <f aca="false">datos_base!$G$7*parametros_recargas!$O$42+sobrestock_sustitutos!$G$180/12</f>
        <v>65.1363653297495</v>
      </c>
      <c r="N167" s="25" t="n">
        <f aca="false">datos_base!$G$7*parametros_recargas!$P$42+sobrestock_sustitutos!$G$180/12</f>
        <v>66.2428147632634</v>
      </c>
      <c r="O167" s="25" t="n">
        <f aca="false">datos_base!$G$7*parametros_recargas!$Q$42+sobrestock_sustitutos!$G$180/12</f>
        <v>67.3694261932278</v>
      </c>
      <c r="P167" s="7" t="n">
        <f aca="false">SUM(D167:O167)</f>
        <v>738.338801347676</v>
      </c>
      <c r="Q167" s="13" t="n">
        <f aca="false">sobrestock_sustitutos!$G$180</f>
        <v>53</v>
      </c>
    </row>
    <row r="168" customFormat="false" ht="15" hidden="false" customHeight="false" outlineLevel="0" collapsed="false">
      <c r="A168" s="12" t="str">
        <f aca="false">parametros_recargas!A57</f>
        <v>AFFF 50 l s/ruedas</v>
      </c>
      <c r="B168" s="12" t="str">
        <f aca="false">parametros_recargas!B57</f>
        <v>AFFF</v>
      </c>
      <c r="C168" s="24" t="n">
        <f aca="false">parametros_recargas!C57</f>
        <v>3</v>
      </c>
      <c r="D168" s="25" t="n">
        <f aca="false">datos_base!$G$8*parametros_recargas!$F$42+sobrestock_sustitutos!$G$181/12</f>
        <v>29.996089010044</v>
      </c>
      <c r="E168" s="25" t="n">
        <f aca="false">datos_base!$G$8*parametros_recargas!$G$42+sobrestock_sustitutos!$G$181/12</f>
        <v>30.4986480954866</v>
      </c>
      <c r="F168" s="25" t="n">
        <f aca="false">datos_base!$G$8*parametros_recargas!$H$42+sobrestock_sustitutos!$G$181/12</f>
        <v>31.0103649374339</v>
      </c>
      <c r="G168" s="25" t="n">
        <f aca="false">datos_base!$G$8*parametros_recargas!$I$42+sobrestock_sustitutos!$G$181/12</f>
        <v>31.5314064108</v>
      </c>
      <c r="H168" s="25" t="n">
        <f aca="false">datos_base!$G$8*parametros_recargas!$J$42+sobrestock_sustitutos!$G$181/12</f>
        <v>32.0619424313351</v>
      </c>
      <c r="I168" s="25" t="n">
        <f aca="false">datos_base!$G$8*parametros_recargas!$K$42+sobrestock_sustitutos!$G$181/12</f>
        <v>32.6021460110363</v>
      </c>
      <c r="J168" s="25" t="n">
        <f aca="false">datos_base!$G$8*parametros_recargas!$L$42+sobrestock_sustitutos!$G$181/12</f>
        <v>33.1521933145686</v>
      </c>
      <c r="K168" s="25" t="n">
        <f aca="false">datos_base!$G$8*parametros_recargas!$M$42+sobrestock_sustitutos!$G$181/12</f>
        <v>33.7122637167131</v>
      </c>
      <c r="L168" s="25" t="n">
        <f aca="false">datos_base!$G$8*parametros_recargas!$N$42+sobrestock_sustitutos!$G$181/12</f>
        <v>34.2825398608626</v>
      </c>
      <c r="M168" s="25" t="n">
        <f aca="false">datos_base!$G$8*parametros_recargas!$O$42+sobrestock_sustitutos!$G$181/12</f>
        <v>34.8632077185833</v>
      </c>
      <c r="N168" s="25" t="n">
        <f aca="false">datos_base!$G$8*parametros_recargas!$P$42+sobrestock_sustitutos!$G$181/12</f>
        <v>35.4544566502616</v>
      </c>
      <c r="O168" s="25" t="n">
        <f aca="false">datos_base!$G$8*parametros_recargas!$Q$42+sobrestock_sustitutos!$G$181/12</f>
        <v>36.0564794668558</v>
      </c>
      <c r="P168" s="7" t="n">
        <f aca="false">SUM(D168:O168)</f>
        <v>395.221737623981</v>
      </c>
      <c r="Q168" s="13" t="n">
        <f aca="false">sobrestock_sustitutos!$G$181</f>
        <v>29</v>
      </c>
    </row>
    <row r="169" customFormat="false" ht="15" hidden="false" customHeight="false" outlineLevel="0" collapsed="false">
      <c r="A169" s="12" t="str">
        <f aca="false">parametros_recargas!A58</f>
        <v>BC 5 kg</v>
      </c>
      <c r="B169" s="12" t="str">
        <f aca="false">parametros_recargas!B58</f>
        <v>BC</v>
      </c>
      <c r="C169" s="24" t="n">
        <f aca="false">parametros_recargas!C58</f>
        <v>1</v>
      </c>
      <c r="D169" s="25" t="n">
        <f aca="false">datos_base!$G$9*parametros_recargas!$F$42+sobrestock_sustitutos!$G$182/12</f>
        <v>17.3946551922531</v>
      </c>
      <c r="E169" s="25" t="n">
        <f aca="false">datos_base!$G$9*parametros_recargas!$G$42+sobrestock_sustitutos!$G$182/12</f>
        <v>17.6797359857372</v>
      </c>
      <c r="F169" s="25" t="n">
        <f aca="false">datos_base!$G$9*parametros_recargas!$H$42+sobrestock_sustitutos!$G$182/12</f>
        <v>17.9700115922622</v>
      </c>
      <c r="G169" s="25" t="n">
        <f aca="false">datos_base!$G$9*parametros_recargas!$I$42+sobrestock_sustitutos!$G$182/12</f>
        <v>18.265576673002</v>
      </c>
      <c r="H169" s="25" t="n">
        <f aca="false">datos_base!$G$9*parametros_recargas!$J$42+sobrestock_sustitutos!$G$182/12</f>
        <v>18.5665276140696</v>
      </c>
      <c r="I169" s="25" t="n">
        <f aca="false">datos_base!$G$9*parametros_recargas!$K$42+sobrestock_sustitutos!$G$182/12</f>
        <v>18.87296255795</v>
      </c>
      <c r="J169" s="25" t="n">
        <f aca="false">datos_base!$G$9*parametros_recargas!$L$42+sobrestock_sustitutos!$G$182/12</f>
        <v>19.1849814355048</v>
      </c>
      <c r="K169" s="25" t="n">
        <f aca="false">datos_base!$G$9*parametros_recargas!$M$42+sobrestock_sustitutos!$G$182/12</f>
        <v>19.5026859985607</v>
      </c>
      <c r="L169" s="25" t="n">
        <f aca="false">datos_base!$G$9*parametros_recargas!$N$42+sobrestock_sustitutos!$G$182/12</f>
        <v>19.8261798530913</v>
      </c>
      <c r="M169" s="25" t="n">
        <f aca="false">datos_base!$G$9*parametros_recargas!$O$42+sobrestock_sustitutos!$G$182/12</f>
        <v>20.1555684930041</v>
      </c>
      <c r="N169" s="25" t="n">
        <f aca="false">datos_base!$G$9*parametros_recargas!$P$42+sobrestock_sustitutos!$G$182/12</f>
        <v>20.4909593345428</v>
      </c>
      <c r="O169" s="25" t="n">
        <f aca="false">datos_base!$G$9*parametros_recargas!$Q$42+sobrestock_sustitutos!$G$182/12</f>
        <v>20.8324617513164</v>
      </c>
      <c r="P169" s="7" t="n">
        <f aca="false">SUM(D169:O169)</f>
        <v>228.742306481294</v>
      </c>
      <c r="Q169" s="13" t="n">
        <f aca="false">sobrestock_sustitutos!$G$182</f>
        <v>21</v>
      </c>
    </row>
    <row r="170" customFormat="false" ht="15" hidden="false" customHeight="false" outlineLevel="0" collapsed="false">
      <c r="A170" s="12" t="str">
        <f aca="false">parametros_recargas!A59</f>
        <v>Sales K 6 l</v>
      </c>
      <c r="B170" s="12" t="str">
        <f aca="false">parametros_recargas!B59</f>
        <v>Sales K</v>
      </c>
      <c r="C170" s="24" t="n">
        <f aca="false">parametros_recargas!C59</f>
        <v>1</v>
      </c>
      <c r="D170" s="25" t="n">
        <f aca="false">datos_base!$G$10*parametros_recargas!$F$42+sobrestock_sustitutos!$G$183/12</f>
        <v>150.952324214623</v>
      </c>
      <c r="E170" s="25" t="n">
        <f aca="false">datos_base!$G$10*parametros_recargas!$G$42+sobrestock_sustitutos!$G$183/12</f>
        <v>153.490422068924</v>
      </c>
      <c r="F170" s="25" t="n">
        <f aca="false">datos_base!$G$10*parametros_recargas!$H$42+sobrestock_sustitutos!$G$183/12</f>
        <v>156.07476977286</v>
      </c>
      <c r="G170" s="25" t="n">
        <f aca="false">datos_base!$G$10*parametros_recargas!$I$42+sobrestock_sustitutos!$G$183/12</f>
        <v>158.706210102682</v>
      </c>
      <c r="H170" s="25" t="n">
        <f aca="false">datos_base!$G$10*parametros_recargas!$J$42+sobrestock_sustitutos!$G$183/12</f>
        <v>161.385601191917</v>
      </c>
      <c r="I170" s="25" t="n">
        <f aca="false">datos_base!$G$10*parametros_recargas!$K$42+sobrestock_sustitutos!$G$183/12</f>
        <v>164.113816811216</v>
      </c>
      <c r="J170" s="25" t="n">
        <f aca="false">datos_base!$G$10*parametros_recargas!$L$42+sobrestock_sustitutos!$G$183/12</f>
        <v>166.891746653295</v>
      </c>
      <c r="K170" s="25" t="n">
        <f aca="false">datos_base!$G$10*parametros_recargas!$M$42+sobrestock_sustitutos!$G$183/12</f>
        <v>169.720296623073</v>
      </c>
      <c r="L170" s="25" t="n">
        <f aca="false">datos_base!$G$10*parametros_recargas!$N$42+sobrestock_sustitutos!$G$183/12</f>
        <v>172.60038913309</v>
      </c>
      <c r="M170" s="25" t="n">
        <f aca="false">datos_base!$G$10*parametros_recargas!$O$42+sobrestock_sustitutos!$G$183/12</f>
        <v>175.532963404321</v>
      </c>
      <c r="N170" s="25" t="n">
        <f aca="false">datos_base!$G$10*parametros_recargas!$P$42+sobrestock_sustitutos!$G$183/12</f>
        <v>178.518975772456</v>
      </c>
      <c r="O170" s="25" t="n">
        <f aca="false">datos_base!$G$10*parametros_recargas!$Q$42+sobrestock_sustitutos!$G$183/12</f>
        <v>181.559399999772</v>
      </c>
      <c r="P170" s="7" t="n">
        <f aca="false">SUM(D170:O170)</f>
        <v>1989.54691574823</v>
      </c>
      <c r="Q170" s="13" t="n">
        <f aca="false">sobrestock_sustitutos!$G$183</f>
        <v>140</v>
      </c>
    </row>
    <row r="171" customFormat="false" ht="15" hidden="false" customHeight="false" outlineLevel="0" collapsed="false">
      <c r="A171" s="12" t="str">
        <f aca="false">parametros_recargas!A60</f>
        <v>CO₂ 2 kg</v>
      </c>
      <c r="B171" s="12" t="str">
        <f aca="false">parametros_recargas!B60</f>
        <v>CO₂</v>
      </c>
      <c r="C171" s="24" t="n">
        <f aca="false">parametros_recargas!C60</f>
        <v>1</v>
      </c>
      <c r="D171" s="25" t="n">
        <f aca="false">datos_base!$G$11*parametros_recargas!$F$42+sobrestock_sustitutos!$G$184/12</f>
        <v>778.019285266952</v>
      </c>
      <c r="E171" s="25" t="n">
        <f aca="false">datos_base!$G$11*parametros_recargas!$G$42+sobrestock_sustitutos!$G$184/12</f>
        <v>792.196545964885</v>
      </c>
      <c r="F171" s="25" t="n">
        <f aca="false">datos_base!$G$11*parametros_recargas!$H$42+sobrestock_sustitutos!$G$184/12</f>
        <v>806.632148229285</v>
      </c>
      <c r="G171" s="25" t="n">
        <f aca="false">datos_base!$G$11*parametros_recargas!$I$42+sobrestock_sustitutos!$G$184/12</f>
        <v>821.330799624355</v>
      </c>
      <c r="H171" s="25" t="n">
        <f aca="false">datos_base!$G$11*parametros_recargas!$J$42+sobrestock_sustitutos!$G$184/12</f>
        <v>836.297293496703</v>
      </c>
      <c r="I171" s="25" t="n">
        <f aca="false">datos_base!$G$11*parametros_recargas!$K$42+sobrestock_sustitutos!$G$184/12</f>
        <v>851.53651053849</v>
      </c>
      <c r="J171" s="25" t="n">
        <f aca="false">datos_base!$G$11*parametros_recargas!$L$42+sobrestock_sustitutos!$G$184/12</f>
        <v>867.053420379061</v>
      </c>
      <c r="K171" s="25" t="n">
        <f aca="false">datos_base!$G$11*parametros_recargas!$M$42+sobrestock_sustitutos!$G$184/12</f>
        <v>882.853083205582</v>
      </c>
      <c r="L171" s="25" t="n">
        <f aca="false">datos_base!$G$11*parametros_recargas!$N$42+sobrestock_sustitutos!$G$184/12</f>
        <v>898.940651413207</v>
      </c>
      <c r="M171" s="25" t="n">
        <f aca="false">datos_base!$G$11*parametros_recargas!$O$42+sobrestock_sustitutos!$G$184/12</f>
        <v>915.321371285314</v>
      </c>
      <c r="N171" s="25" t="n">
        <f aca="false">datos_base!$G$11*parametros_recargas!$P$42+sobrestock_sustitutos!$G$184/12</f>
        <v>932.000584704361</v>
      </c>
      <c r="O171" s="25" t="n">
        <f aca="false">datos_base!$G$11*parametros_recargas!$Q$42+sobrestock_sustitutos!$G$184/12</f>
        <v>948.983730893914</v>
      </c>
      <c r="P171" s="7" t="n">
        <f aca="false">SUM(D171:O171)</f>
        <v>10331.1654250021</v>
      </c>
      <c r="Q171" s="13" t="n">
        <f aca="false">sobrestock_sustitutos!$G$184</f>
        <v>0</v>
      </c>
    </row>
    <row r="172" customFormat="false" ht="15" hidden="false" customHeight="false" outlineLevel="0" collapsed="false">
      <c r="A172" s="12" t="str">
        <f aca="false">parametros_recargas!A61</f>
        <v>CO₂ 5 kg</v>
      </c>
      <c r="B172" s="12" t="str">
        <f aca="false">parametros_recargas!B61</f>
        <v>CO₂</v>
      </c>
      <c r="C172" s="24" t="n">
        <f aca="false">parametros_recargas!C61</f>
        <v>1</v>
      </c>
      <c r="D172" s="25" t="n">
        <f aca="false">datos_base!$G$12*parametros_recargas!$F$42+sobrestock_sustitutos!$G$185/12</f>
        <v>338.68452784661</v>
      </c>
      <c r="E172" s="25" t="n">
        <f aca="false">datos_base!$G$12*parametros_recargas!$G$42+sobrestock_sustitutos!$G$185/12</f>
        <v>343.298119211165</v>
      </c>
      <c r="F172" s="25" t="n">
        <f aca="false">datos_base!$G$12*parametros_recargas!$H$42+sobrestock_sustitutos!$G$185/12</f>
        <v>347.99578058371</v>
      </c>
      <c r="G172" s="25" t="n">
        <f aca="false">datos_base!$G$12*parametros_recargas!$I$42+sobrestock_sustitutos!$G$185/12</f>
        <v>352.779043908816</v>
      </c>
      <c r="H172" s="25" t="n">
        <f aca="false">datos_base!$G$12*parametros_recargas!$J$42+sobrestock_sustitutos!$G$185/12</f>
        <v>357.649469046529</v>
      </c>
      <c r="I172" s="25" t="n">
        <f aca="false">datos_base!$G$12*parametros_recargas!$K$42+sobrestock_sustitutos!$G$185/12</f>
        <v>362.608644281051</v>
      </c>
      <c r="J172" s="25" t="n">
        <f aca="false">datos_base!$G$12*parametros_recargas!$L$42+sobrestock_sustitutos!$G$185/12</f>
        <v>367.658186838696</v>
      </c>
      <c r="K172" s="25" t="n">
        <f aca="false">datos_base!$G$12*parametros_recargas!$M$42+sobrestock_sustitutos!$G$185/12</f>
        <v>372.799743415273</v>
      </c>
      <c r="L172" s="25" t="n">
        <f aca="false">datos_base!$G$12*parametros_recargas!$N$42+sobrestock_sustitutos!$G$185/12</f>
        <v>378.034990713096</v>
      </c>
      <c r="M172" s="25" t="n">
        <f aca="false">datos_base!$G$12*parametros_recargas!$O$42+sobrestock_sustitutos!$G$185/12</f>
        <v>383.365635987761</v>
      </c>
      <c r="N172" s="25" t="n">
        <f aca="false">datos_base!$G$12*parametros_recargas!$P$42+sobrestock_sustitutos!$G$185/12</f>
        <v>388.793417604904</v>
      </c>
      <c r="O172" s="25" t="n">
        <f aca="false">datos_base!$G$12*parametros_recargas!$Q$42+sobrestock_sustitutos!$G$185/12</f>
        <v>394.320105607087</v>
      </c>
      <c r="P172" s="7" t="n">
        <f aca="false">SUM(D172:O172)</f>
        <v>4387.9876650447</v>
      </c>
      <c r="Q172" s="13" t="n">
        <f aca="false">sobrestock_sustitutos!$G$185</f>
        <v>1026</v>
      </c>
    </row>
    <row r="173" customFormat="false" ht="15" hidden="false" customHeight="false" outlineLevel="0" collapsed="false">
      <c r="A173" s="12" t="str">
        <f aca="false">parametros_recargas!A62</f>
        <v>HCFC/HFC 5 kg</v>
      </c>
      <c r="B173" s="12" t="str">
        <f aca="false">parametros_recargas!B62</f>
        <v>Halogenado</v>
      </c>
      <c r="C173" s="24" t="n">
        <f aca="false">parametros_recargas!C62</f>
        <v>1</v>
      </c>
      <c r="D173" s="25" t="n">
        <f aca="false">datos_base!$G$13*parametros_recargas!$F$42+sobrestock_sustitutos!$G$186/12</f>
        <v>43.8507061754347</v>
      </c>
      <c r="E173" s="25" t="n">
        <f aca="false">datos_base!$G$13*parametros_recargas!$G$42+sobrestock_sustitutos!$G$186/12</f>
        <v>44.5875052883123</v>
      </c>
      <c r="F173" s="25" t="n">
        <f aca="false">datos_base!$G$13*parametros_recargas!$H$42+sobrestock_sustitutos!$G$186/12</f>
        <v>45.3377305376663</v>
      </c>
      <c r="G173" s="25" t="n">
        <f aca="false">datos_base!$G$13*parametros_recargas!$I$42+sobrestock_sustitutos!$G$186/12</f>
        <v>46.101626577891</v>
      </c>
      <c r="H173" s="25" t="n">
        <f aca="false">datos_base!$G$13*parametros_recargas!$J$42+sobrestock_sustitutos!$G$186/12</f>
        <v>46.8794425215338</v>
      </c>
      <c r="I173" s="25" t="n">
        <f aca="false">datos_base!$G$13*parametros_recargas!$K$42+sobrestock_sustitutos!$G$186/12</f>
        <v>47.6714320205331</v>
      </c>
      <c r="J173" s="25" t="n">
        <f aca="false">datos_base!$G$13*parametros_recargas!$L$42+sobrestock_sustitutos!$G$186/12</f>
        <v>48.4778533489354</v>
      </c>
      <c r="K173" s="25" t="n">
        <f aca="false">datos_base!$G$13*parametros_recargas!$M$42+sobrestock_sustitutos!$G$186/12</f>
        <v>49.2989694871216</v>
      </c>
      <c r="L173" s="25" t="n">
        <f aca="false">datos_base!$G$13*parametros_recargas!$N$42+sobrestock_sustitutos!$G$186/12</f>
        <v>50.135048207566</v>
      </c>
      <c r="M173" s="25" t="n">
        <f aca="false">datos_base!$G$13*parametros_recargas!$O$42+sobrestock_sustitutos!$G$186/12</f>
        <v>50.9863621621599</v>
      </c>
      <c r="N173" s="25" t="n">
        <f aca="false">datos_base!$G$13*parametros_recargas!$P$42+sobrestock_sustitutos!$G$186/12</f>
        <v>51.8531889711245</v>
      </c>
      <c r="O173" s="25" t="n">
        <f aca="false">datos_base!$G$13*parametros_recargas!$Q$42+sobrestock_sustitutos!$G$186/12</f>
        <v>52.7358113135462</v>
      </c>
      <c r="P173" s="7" t="n">
        <f aca="false">SUM(D173:O173)</f>
        <v>577.915676611825</v>
      </c>
      <c r="Q173" s="13" t="n">
        <f aca="false">sobrestock_sustitutos!$G$186</f>
        <v>41</v>
      </c>
    </row>
    <row r="174" customFormat="false" ht="15" hidden="false" customHeight="false" outlineLevel="0" collapsed="false">
      <c r="A174" s="12" t="str">
        <f aca="false">parametros_recargas!A63</f>
        <v>Clase D 9 l</v>
      </c>
      <c r="B174" s="12" t="str">
        <f aca="false">parametros_recargas!B63</f>
        <v>Clase D</v>
      </c>
      <c r="C174" s="24" t="n">
        <f aca="false">parametros_recargas!C63</f>
        <v>1</v>
      </c>
      <c r="D174" s="25" t="n">
        <f aca="false">datos_base!$G$14*parametros_recargas!$F$42+sobrestock_sustitutos!$G$187/12</f>
        <v>15.2927228526463</v>
      </c>
      <c r="E174" s="25" t="n">
        <f aca="false">datos_base!$G$14*parametros_recargas!$G$42+sobrestock_sustitutos!$G$187/12</f>
        <v>15.5425387542638</v>
      </c>
      <c r="F174" s="25" t="n">
        <f aca="false">datos_base!$G$14*parametros_recargas!$H$42+sobrestock_sustitutos!$G$187/12</f>
        <v>15.7969068633019</v>
      </c>
      <c r="G174" s="25" t="n">
        <f aca="false">datos_base!$G$14*parametros_recargas!$I$42+sobrestock_sustitutos!$G$187/12</f>
        <v>16.0559101312151</v>
      </c>
      <c r="H174" s="25" t="n">
        <f aca="false">datos_base!$G$14*parametros_recargas!$J$42+sobrestock_sustitutos!$G$187/12</f>
        <v>16.3196330210199</v>
      </c>
      <c r="I174" s="25" t="n">
        <f aca="false">datos_base!$G$14*parametros_recargas!$K$42+sobrestock_sustitutos!$G$187/12</f>
        <v>16.5881615348388</v>
      </c>
      <c r="J174" s="25" t="n">
        <f aca="false">datos_base!$G$14*parametros_recargas!$L$42+sobrestock_sustitutos!$G$187/12</f>
        <v>16.8615832419466</v>
      </c>
      <c r="K174" s="25" t="n">
        <f aca="false">datos_base!$G$14*parametros_recargas!$M$42+sobrestock_sustitutos!$G$187/12</f>
        <v>17.1399873073268</v>
      </c>
      <c r="L174" s="25" t="n">
        <f aca="false">datos_base!$G$14*parametros_recargas!$N$42+sobrestock_sustitutos!$G$187/12</f>
        <v>17.4234645207499</v>
      </c>
      <c r="M174" s="25" t="n">
        <f aca="false">datos_base!$G$14*parametros_recargas!$O$42+sobrestock_sustitutos!$G$187/12</f>
        <v>17.7121073263796</v>
      </c>
      <c r="N174" s="25" t="n">
        <f aca="false">datos_base!$G$14*parametros_recargas!$P$42+sobrestock_sustitutos!$G$187/12</f>
        <v>18.0060098529204</v>
      </c>
      <c r="O174" s="25" t="n">
        <f aca="false">datos_base!$G$14*parametros_recargas!$Q$42+sobrestock_sustitutos!$G$187/12</f>
        <v>18.3052679443135</v>
      </c>
      <c r="P174" s="7" t="n">
        <f aca="false">SUM(D174:O174)</f>
        <v>201.044293350923</v>
      </c>
      <c r="Q174" s="13" t="n">
        <f aca="false">sobrestock_sustitutos!$G$187</f>
        <v>19</v>
      </c>
    </row>
    <row r="175" customFormat="false" ht="15" hidden="false" customHeight="false" outlineLevel="0" collapsed="false">
      <c r="A175" s="12" t="str">
        <f aca="false">parametros_recargas!A64</f>
        <v>ABC 25 kg s/ruedas</v>
      </c>
      <c r="B175" s="12" t="str">
        <f aca="false">parametros_recargas!B64</f>
        <v>ABC</v>
      </c>
      <c r="C175" s="24" t="n">
        <f aca="false">parametros_recargas!C64</f>
        <v>3</v>
      </c>
      <c r="D175" s="25" t="n">
        <f aca="false">datos_base!$G$15*parametros_recargas!$F$42+sobrestock_sustitutos!$G$188/12</f>
        <v>34.477562627728</v>
      </c>
      <c r="E175" s="25" t="n">
        <f aca="false">datos_base!$G$15*parametros_recargas!$G$42+sobrestock_sustitutos!$G$188/12</f>
        <v>35.1058213391234</v>
      </c>
      <c r="F175" s="25" t="n">
        <f aca="false">datos_base!$G$15*parametros_recargas!$H$42+sobrestock_sustitutos!$G$188/12</f>
        <v>35.745528336835</v>
      </c>
      <c r="G175" s="25" t="n">
        <f aca="false">datos_base!$G$15*parametros_recargas!$I$42+sobrestock_sustitutos!$G$188/12</f>
        <v>36.39689223438</v>
      </c>
      <c r="H175" s="25" t="n">
        <f aca="false">datos_base!$G$15*parametros_recargas!$J$42+sobrestock_sustitutos!$G$188/12</f>
        <v>37.0601254466832</v>
      </c>
      <c r="I175" s="25" t="n">
        <f aca="false">datos_base!$G$15*parametros_recargas!$K$42+sobrestock_sustitutos!$G$188/12</f>
        <v>37.7354442593466</v>
      </c>
      <c r="J175" s="25" t="n">
        <f aca="false">datos_base!$G$15*parametros_recargas!$L$42+sobrestock_sustitutos!$G$188/12</f>
        <v>38.4230688991825</v>
      </c>
      <c r="K175" s="25" t="n">
        <f aca="false">datos_base!$G$15*parametros_recargas!$M$42+sobrestock_sustitutos!$G$188/12</f>
        <v>39.1232236060308</v>
      </c>
      <c r="L175" s="25" t="n">
        <f aca="false">datos_base!$G$15*parametros_recargas!$N$42+sobrestock_sustitutos!$G$188/12</f>
        <v>39.8361367058853</v>
      </c>
      <c r="M175" s="25" t="n">
        <f aca="false">datos_base!$G$15*parametros_recargas!$O$42+sobrestock_sustitutos!$G$188/12</f>
        <v>40.5620406853529</v>
      </c>
      <c r="N175" s="25" t="n">
        <f aca="false">datos_base!$G$15*parametros_recargas!$P$42+sobrestock_sustitutos!$G$188/12</f>
        <v>41.3011722674693</v>
      </c>
      <c r="O175" s="25" t="n">
        <f aca="false">datos_base!$G$15*parametros_recargas!$Q$42+sobrestock_sustitutos!$G$188/12</f>
        <v>42.053772488896</v>
      </c>
      <c r="P175" s="7" t="n">
        <f aca="false">SUM(D175:O175)</f>
        <v>457.820788896913</v>
      </c>
      <c r="Q175" s="13" t="n">
        <f aca="false">sobrestock_sustitutos!$G$188</f>
        <v>0</v>
      </c>
    </row>
    <row r="176" customFormat="false" ht="15" hidden="false" customHeight="false" outlineLevel="0" collapsed="false">
      <c r="A176" s="12" t="str">
        <f aca="false">parametros_recargas!A65</f>
        <v>ABC 50 kg s/ruedas</v>
      </c>
      <c r="B176" s="12" t="str">
        <f aca="false">parametros_recargas!B65</f>
        <v>ABC</v>
      </c>
      <c r="C176" s="24" t="n">
        <f aca="false">parametros_recargas!C65</f>
        <v>3</v>
      </c>
      <c r="D176" s="25" t="n">
        <f aca="false">datos_base!$G$16*parametros_recargas!$F$42+sobrestock_sustitutos!$G$189/12</f>
        <v>87.7673045012697</v>
      </c>
      <c r="E176" s="25" t="n">
        <f aca="false">datos_base!$G$16*parametros_recargas!$G$42+sobrestock_sustitutos!$G$189/12</f>
        <v>89.1494736673165</v>
      </c>
      <c r="F176" s="25" t="n">
        <f aca="false">datos_base!$G$16*parametros_recargas!$H$42+sobrestock_sustitutos!$G$189/12</f>
        <v>90.5568290632765</v>
      </c>
      <c r="G176" s="25" t="n">
        <f aca="false">datos_base!$G$16*parametros_recargas!$I$42+sobrestock_sustitutos!$G$189/12</f>
        <v>91.9898296388882</v>
      </c>
      <c r="H176" s="25" t="n">
        <f aca="false">datos_base!$G$16*parametros_recargas!$J$42+sobrestock_sustitutos!$G$189/12</f>
        <v>93.4489427069862</v>
      </c>
      <c r="I176" s="25" t="n">
        <f aca="false">datos_base!$G$16*parametros_recargas!$K$42+sobrestock_sustitutos!$G$189/12</f>
        <v>94.9346440958957</v>
      </c>
      <c r="J176" s="25" t="n">
        <f aca="false">datos_base!$G$16*parametros_recargas!$L$42+sobrestock_sustitutos!$G$189/12</f>
        <v>96.4474183046037</v>
      </c>
      <c r="K176" s="25" t="n">
        <f aca="false">datos_base!$G$16*parametros_recargas!$M$42+sobrestock_sustitutos!$G$189/12</f>
        <v>97.9877586607584</v>
      </c>
      <c r="L176" s="25" t="n">
        <f aca="false">datos_base!$G$16*parametros_recargas!$N$42+sobrestock_sustitutos!$G$189/12</f>
        <v>99.5561674815466</v>
      </c>
      <c r="M176" s="25" t="n">
        <f aca="false">datos_base!$G$16*parametros_recargas!$O$42+sobrestock_sustitutos!$G$189/12</f>
        <v>101.153156237504</v>
      </c>
      <c r="N176" s="25" t="n">
        <f aca="false">datos_base!$G$16*parametros_recargas!$P$42+sobrestock_sustitutos!$G$189/12</f>
        <v>102.779245719309</v>
      </c>
      <c r="O176" s="25" t="n">
        <f aca="false">datos_base!$G$16*parametros_recargas!$Q$42+sobrestock_sustitutos!$G$189/12</f>
        <v>104.434966207618</v>
      </c>
      <c r="P176" s="7" t="n">
        <f aca="false">SUM(D176:O176)</f>
        <v>1150.20573628497</v>
      </c>
      <c r="Q176" s="13" t="n">
        <f aca="false">sobrestock_sustitutos!$G$189</f>
        <v>143</v>
      </c>
    </row>
    <row r="177" customFormat="false" ht="15" hidden="false" customHeight="false" outlineLevel="0" collapsed="false">
      <c r="A177" s="12" t="str">
        <f aca="false">parametros_recargas!A66</f>
        <v>ABC 70 kg s/ruedas</v>
      </c>
      <c r="B177" s="12" t="str">
        <f aca="false">parametros_recargas!B66</f>
        <v>ABC</v>
      </c>
      <c r="C177" s="24" t="n">
        <f aca="false">parametros_recargas!C66</f>
        <v>3</v>
      </c>
      <c r="D177" s="25" t="n">
        <f aca="false">datos_base!$G$17*parametros_recargas!$F$42+sobrestock_sustitutos!$G$190/12</f>
        <v>16.5492300720297</v>
      </c>
      <c r="E177" s="25" t="n">
        <f aca="false">datos_base!$G$17*parametros_recargas!$G$42+sobrestock_sustitutos!$G$190/12</f>
        <v>16.8507942536949</v>
      </c>
      <c r="F177" s="25" t="n">
        <f aca="false">datos_base!$G$17*parametros_recargas!$H$42+sobrestock_sustitutos!$G$190/12</f>
        <v>17.1578536127954</v>
      </c>
      <c r="G177" s="25" t="n">
        <f aca="false">datos_base!$G$17*parametros_recargas!$I$42+sobrestock_sustitutos!$G$190/12</f>
        <v>17.4705082838195</v>
      </c>
      <c r="H177" s="25" t="n">
        <f aca="false">datos_base!$G$17*parametros_recargas!$J$42+sobrestock_sustitutos!$G$190/12</f>
        <v>17.7888602259312</v>
      </c>
      <c r="I177" s="25" t="n">
        <f aca="false">datos_base!$G$17*parametros_recargas!$K$42+sobrestock_sustitutos!$G$190/12</f>
        <v>18.1130132562197</v>
      </c>
      <c r="J177" s="25" t="n">
        <f aca="false">datos_base!$G$17*parametros_recargas!$L$42+sobrestock_sustitutos!$G$190/12</f>
        <v>18.4430730835547</v>
      </c>
      <c r="K177" s="25" t="n">
        <f aca="false">datos_base!$G$17*parametros_recargas!$M$42+sobrestock_sustitutos!$G$190/12</f>
        <v>18.7791473430596</v>
      </c>
      <c r="L177" s="25" t="n">
        <f aca="false">datos_base!$G$17*parametros_recargas!$N$42+sobrestock_sustitutos!$G$190/12</f>
        <v>19.1213456312114</v>
      </c>
      <c r="M177" s="25" t="n">
        <f aca="false">datos_base!$G$17*parametros_recargas!$O$42+sobrestock_sustitutos!$G$190/12</f>
        <v>19.4697795415816</v>
      </c>
      <c r="N177" s="25" t="n">
        <f aca="false">datos_base!$G$17*parametros_recargas!$P$42+sobrestock_sustitutos!$G$190/12</f>
        <v>19.8245627012273</v>
      </c>
      <c r="O177" s="25" t="n">
        <f aca="false">datos_base!$G$17*parametros_recargas!$Q$42+sobrestock_sustitutos!$G$190/12</f>
        <v>20.1858108077461</v>
      </c>
      <c r="P177" s="7" t="n">
        <f aca="false">SUM(D177:O177)</f>
        <v>219.753978812871</v>
      </c>
      <c r="Q177" s="13" t="n">
        <f aca="false">sobrestock_sustitutos!$G$190</f>
        <v>0</v>
      </c>
    </row>
    <row r="178" customFormat="false" ht="15" hidden="false" customHeight="false" outlineLevel="0" collapsed="false">
      <c r="A178" s="12" t="str">
        <f aca="false">parametros_recargas!A67</f>
        <v>ABC 100 kg s/ruedas</v>
      </c>
      <c r="B178" s="12" t="str">
        <f aca="false">parametros_recargas!B67</f>
        <v>ABC</v>
      </c>
      <c r="C178" s="24" t="n">
        <f aca="false">parametros_recargas!C67</f>
        <v>3</v>
      </c>
      <c r="D178" s="25" t="n">
        <f aca="false">datos_base!$G$18*parametros_recargas!$F$42+sobrestock_sustitutos!$G$191/12</f>
        <v>14.0328200301527</v>
      </c>
      <c r="E178" s="25" t="n">
        <f aca="false">datos_base!$G$18*parametros_recargas!$G$42+sobrestock_sustitutos!$G$191/12</f>
        <v>14.2338628176039</v>
      </c>
      <c r="F178" s="25" t="n">
        <f aca="false">datos_base!$G$18*parametros_recargas!$H$42+sobrestock_sustitutos!$G$191/12</f>
        <v>14.4385690566727</v>
      </c>
      <c r="G178" s="25" t="n">
        <f aca="false">datos_base!$G$18*parametros_recargas!$I$42+sobrestock_sustitutos!$G$191/12</f>
        <v>14.6470055036845</v>
      </c>
      <c r="H178" s="25" t="n">
        <f aca="false">datos_base!$G$18*parametros_recargas!$J$42+sobrestock_sustitutos!$G$191/12</f>
        <v>14.8592401314153</v>
      </c>
      <c r="I178" s="25" t="n">
        <f aca="false">datos_base!$G$18*parametros_recargas!$K$42+sobrestock_sustitutos!$G$191/12</f>
        <v>15.0753421512576</v>
      </c>
      <c r="J178" s="25" t="n">
        <f aca="false">datos_base!$G$18*parametros_recargas!$L$42+sobrestock_sustitutos!$G$191/12</f>
        <v>15.2953820357913</v>
      </c>
      <c r="K178" s="25" t="n">
        <f aca="false">datos_base!$G$18*parametros_recargas!$M$42+sobrestock_sustitutos!$G$191/12</f>
        <v>15.5194315417651</v>
      </c>
      <c r="L178" s="25" t="n">
        <f aca="false">datos_base!$G$18*parametros_recargas!$N$42+sobrestock_sustitutos!$G$191/12</f>
        <v>15.7475637334968</v>
      </c>
      <c r="M178" s="25" t="n">
        <f aca="false">datos_base!$G$18*parametros_recargas!$O$42+sobrestock_sustitutos!$G$191/12</f>
        <v>15.9798530067008</v>
      </c>
      <c r="N178" s="25" t="n">
        <f aca="false">datos_base!$G$18*parametros_recargas!$P$42+sobrestock_sustitutos!$G$191/12</f>
        <v>16.2163751127482</v>
      </c>
      <c r="O178" s="25" t="n">
        <f aca="false">datos_base!$G$18*parametros_recargas!$Q$42+sobrestock_sustitutos!$G$191/12</f>
        <v>16.4572071833707</v>
      </c>
      <c r="P178" s="7" t="n">
        <f aca="false">SUM(D178:O178)</f>
        <v>182.502652304659</v>
      </c>
      <c r="Q178" s="13" t="n">
        <f aca="false">sobrestock_sustitutos!$G$191</f>
        <v>36</v>
      </c>
    </row>
    <row r="179" customFormat="false" ht="15" hidden="false" customHeight="false" outlineLevel="0" collapsed="false">
      <c r="A179" s="6" t="s">
        <v>273</v>
      </c>
      <c r="D179" s="7" t="n">
        <f aca="false">SUM(D162:D178)</f>
        <v>12849.2405919581</v>
      </c>
      <c r="E179" s="7" t="n">
        <f aca="false">SUM(E162:E178)</f>
        <v>13072.415889624</v>
      </c>
      <c r="F179" s="7" t="n">
        <f aca="false">SUM(F162:F178)</f>
        <v>13299.657943007</v>
      </c>
      <c r="G179" s="7" t="n">
        <f aca="false">SUM(G162:G178)</f>
        <v>13531.04085754</v>
      </c>
      <c r="H179" s="7" t="n">
        <f aca="false">SUM(H162:H178)</f>
        <v>13766.6400890237</v>
      </c>
      <c r="I179" s="7" t="n">
        <f aca="false">SUM(I162:I178)</f>
        <v>14006.5324682329</v>
      </c>
      <c r="J179" s="7" t="n">
        <f aca="false">SUM(J162:J178)</f>
        <v>14250.796225972</v>
      </c>
      <c r="K179" s="7" t="n">
        <f aca="false">SUM(K162:K178)</f>
        <v>14499.5110185867</v>
      </c>
      <c r="L179" s="7" t="n">
        <f aca="false">SUM(L162:L178)</f>
        <v>14752.75795394</v>
      </c>
      <c r="M179" s="7" t="n">
        <f aca="false">SUM(M162:M178)</f>
        <v>15010.6196178631</v>
      </c>
      <c r="N179" s="7" t="n">
        <f aca="false">SUM(N162:N178)</f>
        <v>15273.1801010862</v>
      </c>
      <c r="O179" s="7" t="n">
        <f aca="false">SUM(O162:O178)</f>
        <v>15540.525026662</v>
      </c>
      <c r="P179" s="7" t="n">
        <f aca="false">SUM(P162:P178)</f>
        <v>169852.917783496</v>
      </c>
    </row>
    <row r="180" customFormat="false" ht="15" hidden="false" customHeight="false" outlineLevel="0" collapsed="false">
      <c r="A180" s="6" t="s">
        <v>274</v>
      </c>
    </row>
    <row r="181" customFormat="false" ht="15" hidden="false" customHeight="false" outlineLevel="0" collapsed="false">
      <c r="A181" s="4" t="s">
        <v>143</v>
      </c>
      <c r="D181" s="25" t="n">
        <f aca="false">SUMPRODUCT(($B$162:$B$178=$A181)*D$162:D$178*$C$162:$C$178)</f>
        <v>11415.0882390597</v>
      </c>
      <c r="E181" s="25" t="n">
        <f aca="false">SUMPRODUCT(($B$162:$B$178=$A181)*E$162:E$178*$C$162:$C$178)</f>
        <v>11614.0342812282</v>
      </c>
      <c r="F181" s="25" t="n">
        <f aca="false">SUMPRODUCT(($B$162:$B$178=$A181)*F$162:F$178*$C$162:$C$178)</f>
        <v>11816.6055676008</v>
      </c>
      <c r="G181" s="25" t="n">
        <f aca="false">SUMPRODUCT(($B$162:$B$178=$A181)*G$162:G$178*$C$162:$C$178)</f>
        <v>12022.8681582782</v>
      </c>
      <c r="H181" s="25" t="n">
        <f aca="false">SUMPRODUCT(($B$162:$B$178=$A181)*H$162:H$178*$C$162:$C$178)</f>
        <v>12232.8893171242</v>
      </c>
      <c r="I181" s="25" t="n">
        <f aca="false">SUMPRODUCT(($B$162:$B$178=$A181)*I$162:I$178*$C$162:$C$178)</f>
        <v>12446.7375337019</v>
      </c>
      <c r="J181" s="25" t="n">
        <f aca="false">SUMPRODUCT(($B$162:$B$178=$A181)*J$162:J$178*$C$162:$C$178)</f>
        <v>12664.482545608</v>
      </c>
      <c r="K181" s="25" t="n">
        <f aca="false">SUMPRODUCT(($B$162:$B$178=$A181)*K$162:K$178*$C$162:$C$178)</f>
        <v>12886.195361215</v>
      </c>
      <c r="L181" s="25" t="n">
        <f aca="false">SUMPRODUCT(($B$162:$B$178=$A181)*L$162:L$178*$C$162:$C$178)</f>
        <v>13111.9482828277</v>
      </c>
      <c r="M181" s="25" t="n">
        <f aca="false">SUMPRODUCT(($B$162:$B$178=$A181)*M$162:M$178*$C$162:$C$178)</f>
        <v>13341.8149302613</v>
      </c>
      <c r="N181" s="25" t="n">
        <f aca="false">SUMPRODUCT(($B$162:$B$178=$A181)*N$162:N$178*$C$162:$C$178)</f>
        <v>13575.8702648498</v>
      </c>
      <c r="O181" s="25" t="n">
        <f aca="false">SUMPRODUCT(($B$162:$B$178=$A181)*O$162:O$178*$C$162:$C$178)</f>
        <v>13814.1906138911</v>
      </c>
      <c r="P181" s="25" t="n">
        <f aca="false">SUMPRODUCT(($B$162:$B$178=$A181)*P$162:P$178*$C$162:$C$178)</f>
        <v>150942.725095646</v>
      </c>
    </row>
    <row r="182" customFormat="false" ht="15" hidden="false" customHeight="false" outlineLevel="0" collapsed="false">
      <c r="A182" s="4" t="s">
        <v>149</v>
      </c>
      <c r="D182" s="25" t="n">
        <f aca="false">SUMPRODUCT(($B$162:$B$178=$A182)*D$162:D$178*$C$162:$C$178)</f>
        <v>17.3946551922531</v>
      </c>
      <c r="E182" s="25" t="n">
        <f aca="false">SUMPRODUCT(($B$162:$B$178=$A182)*E$162:E$178*$C$162:$C$178)</f>
        <v>17.6797359857372</v>
      </c>
      <c r="F182" s="25" t="n">
        <f aca="false">SUMPRODUCT(($B$162:$B$178=$A182)*F$162:F$178*$C$162:$C$178)</f>
        <v>17.9700115922622</v>
      </c>
      <c r="G182" s="25" t="n">
        <f aca="false">SUMPRODUCT(($B$162:$B$178=$A182)*G$162:G$178*$C$162:$C$178)</f>
        <v>18.265576673002</v>
      </c>
      <c r="H182" s="25" t="n">
        <f aca="false">SUMPRODUCT(($B$162:$B$178=$A182)*H$162:H$178*$C$162:$C$178)</f>
        <v>18.5665276140696</v>
      </c>
      <c r="I182" s="25" t="n">
        <f aca="false">SUMPRODUCT(($B$162:$B$178=$A182)*I$162:I$178*$C$162:$C$178)</f>
        <v>18.87296255795</v>
      </c>
      <c r="J182" s="25" t="n">
        <f aca="false">SUMPRODUCT(($B$162:$B$178=$A182)*J$162:J$178*$C$162:$C$178)</f>
        <v>19.1849814355048</v>
      </c>
      <c r="K182" s="25" t="n">
        <f aca="false">SUMPRODUCT(($B$162:$B$178=$A182)*K$162:K$178*$C$162:$C$178)</f>
        <v>19.5026859985607</v>
      </c>
      <c r="L182" s="25" t="n">
        <f aca="false">SUMPRODUCT(($B$162:$B$178=$A182)*L$162:L$178*$C$162:$C$178)</f>
        <v>19.8261798530913</v>
      </c>
      <c r="M182" s="25" t="n">
        <f aca="false">SUMPRODUCT(($B$162:$B$178=$A182)*M$162:M$178*$C$162:$C$178)</f>
        <v>20.1555684930041</v>
      </c>
      <c r="N182" s="25" t="n">
        <f aca="false">SUMPRODUCT(($B$162:$B$178=$A182)*N$162:N$178*$C$162:$C$178)</f>
        <v>20.4909593345428</v>
      </c>
      <c r="O182" s="25" t="n">
        <f aca="false">SUMPRODUCT(($B$162:$B$178=$A182)*O$162:O$178*$C$162:$C$178)</f>
        <v>20.8324617513164</v>
      </c>
      <c r="P182" s="25" t="n">
        <f aca="false">SUMPRODUCT(($B$162:$B$178=$A182)*P$162:P$178*$C$162:$C$178)</f>
        <v>228.742306481294</v>
      </c>
    </row>
    <row r="183" customFormat="false" ht="15" hidden="false" customHeight="false" outlineLevel="0" collapsed="false">
      <c r="A183" s="4" t="s">
        <v>155</v>
      </c>
      <c r="D183" s="25" t="n">
        <f aca="false">SUMPRODUCT(($B$162:$B$178=$A183)*D$162:D$178*$C$162:$C$178)</f>
        <v>15.2927228526463</v>
      </c>
      <c r="E183" s="25" t="n">
        <f aca="false">SUMPRODUCT(($B$162:$B$178=$A183)*E$162:E$178*$C$162:$C$178)</f>
        <v>15.5425387542638</v>
      </c>
      <c r="F183" s="25" t="n">
        <f aca="false">SUMPRODUCT(($B$162:$B$178=$A183)*F$162:F$178*$C$162:$C$178)</f>
        <v>15.7969068633019</v>
      </c>
      <c r="G183" s="25" t="n">
        <f aca="false">SUMPRODUCT(($B$162:$B$178=$A183)*G$162:G$178*$C$162:$C$178)</f>
        <v>16.0559101312151</v>
      </c>
      <c r="H183" s="25" t="n">
        <f aca="false">SUMPRODUCT(($B$162:$B$178=$A183)*H$162:H$178*$C$162:$C$178)</f>
        <v>16.3196330210199</v>
      </c>
      <c r="I183" s="25" t="n">
        <f aca="false">SUMPRODUCT(($B$162:$B$178=$A183)*I$162:I$178*$C$162:$C$178)</f>
        <v>16.5881615348388</v>
      </c>
      <c r="J183" s="25" t="n">
        <f aca="false">SUMPRODUCT(($B$162:$B$178=$A183)*J$162:J$178*$C$162:$C$178)</f>
        <v>16.8615832419466</v>
      </c>
      <c r="K183" s="25" t="n">
        <f aca="false">SUMPRODUCT(($B$162:$B$178=$A183)*K$162:K$178*$C$162:$C$178)</f>
        <v>17.1399873073268</v>
      </c>
      <c r="L183" s="25" t="n">
        <f aca="false">SUMPRODUCT(($B$162:$B$178=$A183)*L$162:L$178*$C$162:$C$178)</f>
        <v>17.4234645207499</v>
      </c>
      <c r="M183" s="25" t="n">
        <f aca="false">SUMPRODUCT(($B$162:$B$178=$A183)*M$162:M$178*$C$162:$C$178)</f>
        <v>17.7121073263796</v>
      </c>
      <c r="N183" s="25" t="n">
        <f aca="false">SUMPRODUCT(($B$162:$B$178=$A183)*N$162:N$178*$C$162:$C$178)</f>
        <v>18.0060098529204</v>
      </c>
      <c r="O183" s="25" t="n">
        <f aca="false">SUMPRODUCT(($B$162:$B$178=$A183)*O$162:O$178*$C$162:$C$178)</f>
        <v>18.3052679443135</v>
      </c>
      <c r="P183" s="25" t="n">
        <f aca="false">SUMPRODUCT(($B$162:$B$178=$A183)*P$162:P$178*$C$162:$C$178)</f>
        <v>201.044293350923</v>
      </c>
    </row>
    <row r="184" customFormat="false" ht="15" hidden="false" customHeight="false" outlineLevel="0" collapsed="false">
      <c r="A184" s="4" t="s">
        <v>146</v>
      </c>
      <c r="D184" s="25" t="n">
        <f aca="false">SUMPRODUCT(($B$162:$B$178=$A184)*D$162:D$178*$C$162:$C$178)</f>
        <v>309.587723681148</v>
      </c>
      <c r="E184" s="25" t="n">
        <f aca="false">SUMPRODUCT(($B$162:$B$178=$A184)*E$162:E$178*$C$162:$C$178)</f>
        <v>314.799366733573</v>
      </c>
      <c r="F184" s="25" t="n">
        <f aca="false">SUMPRODUCT(($B$162:$B$178=$A184)*F$162:F$178*$C$162:$C$178)</f>
        <v>320.105977640418</v>
      </c>
      <c r="G184" s="25" t="n">
        <f aca="false">SUMPRODUCT(($B$162:$B$178=$A184)*G$162:G$178*$C$162:$C$178)</f>
        <v>325.509286929519</v>
      </c>
      <c r="H184" s="25" t="n">
        <f aca="false">SUMPRODUCT(($B$162:$B$178=$A184)*H$162:H$178*$C$162:$C$178)</f>
        <v>331.011056662818</v>
      </c>
      <c r="I184" s="25" t="n">
        <f aca="false">SUMPRODUCT(($B$162:$B$178=$A184)*I$162:I$178*$C$162:$C$178)</f>
        <v>336.613081010992</v>
      </c>
      <c r="J184" s="25" t="n">
        <f aca="false">SUMPRODUCT(($B$162:$B$178=$A184)*J$162:J$178*$C$162:$C$178)</f>
        <v>342.317186838538</v>
      </c>
      <c r="K184" s="25" t="n">
        <f aca="false">SUMPRODUCT(($B$162:$B$178=$A184)*K$162:K$178*$C$162:$C$178)</f>
        <v>348.125234299534</v>
      </c>
      <c r="L184" s="25" t="n">
        <f aca="false">SUMPRODUCT(($B$162:$B$178=$A184)*L$162:L$178*$C$162:$C$178)</f>
        <v>354.039117444245</v>
      </c>
      <c r="M184" s="25" t="n">
        <f aca="false">SUMPRODUCT(($B$162:$B$178=$A184)*M$162:M$178*$C$162:$C$178)</f>
        <v>360.060764836794</v>
      </c>
      <c r="N184" s="25" t="n">
        <f aca="false">SUMPRODUCT(($B$162:$B$178=$A184)*N$162:N$178*$C$162:$C$178)</f>
        <v>366.192140184076</v>
      </c>
      <c r="O184" s="25" t="n">
        <f aca="false">SUMPRODUCT(($B$162:$B$178=$A184)*O$162:O$178*$C$162:$C$178)</f>
        <v>372.435242976141</v>
      </c>
      <c r="P184" s="25" t="n">
        <f aca="false">SUMPRODUCT(($B$162:$B$178=$A184)*P$162:P$178*$C$162:$C$178)</f>
        <v>4080.7961792378</v>
      </c>
    </row>
    <row r="185" customFormat="false" ht="15" hidden="false" customHeight="false" outlineLevel="0" collapsed="false">
      <c r="A185" s="4" t="s">
        <v>147</v>
      </c>
      <c r="D185" s="25" t="n">
        <f aca="false">SUMPRODUCT(($B$162:$B$178=$A185)*D$162:D$178*$C$162:$C$178)</f>
        <v>146.016420151157</v>
      </c>
      <c r="E185" s="25" t="n">
        <f aca="false">SUMPRODUCT(($B$162:$B$178=$A185)*E$162:E$178*$C$162:$C$178)</f>
        <v>148.464574735396</v>
      </c>
      <c r="F185" s="25" t="n">
        <f aca="false">SUMPRODUCT(($B$162:$B$178=$A185)*F$162:F$178*$C$162:$C$178)</f>
        <v>150.957340200659</v>
      </c>
      <c r="G185" s="25" t="n">
        <f aca="false">SUMPRODUCT(($B$162:$B$178=$A185)*G$162:G$178*$C$162:$C$178)</f>
        <v>153.495529457503</v>
      </c>
      <c r="H185" s="25" t="n">
        <f aca="false">SUMPRODUCT(($B$162:$B$178=$A185)*H$162:H$178*$C$162:$C$178)</f>
        <v>156.079970229543</v>
      </c>
      <c r="I185" s="25" t="n">
        <f aca="false">SUMPRODUCT(($B$162:$B$178=$A185)*I$162:I$178*$C$162:$C$178)</f>
        <v>158.711505323378</v>
      </c>
      <c r="J185" s="25" t="n">
        <f aca="false">SUMPRODUCT(($B$162:$B$178=$A185)*J$162:J$178*$C$162:$C$178)</f>
        <v>161.390992903441</v>
      </c>
      <c r="K185" s="25" t="n">
        <f aca="false">SUMPRODUCT(($B$162:$B$178=$A185)*K$162:K$178*$C$162:$C$178)</f>
        <v>164.119306771847</v>
      </c>
      <c r="L185" s="25" t="n">
        <f aca="false">SUMPRODUCT(($B$162:$B$178=$A185)*L$162:L$178*$C$162:$C$178)</f>
        <v>166.897336653352</v>
      </c>
      <c r="M185" s="25" t="n">
        <f aca="false">SUMPRODUCT(($B$162:$B$178=$A185)*M$162:M$178*$C$162:$C$178)</f>
        <v>169.725988485499</v>
      </c>
      <c r="N185" s="25" t="n">
        <f aca="false">SUMPRODUCT(($B$162:$B$178=$A185)*N$162:N$178*$C$162:$C$178)</f>
        <v>172.606184714048</v>
      </c>
      <c r="O185" s="25" t="n">
        <f aca="false">SUMPRODUCT(($B$162:$B$178=$A185)*O$162:O$178*$C$162:$C$178)</f>
        <v>175.538864593795</v>
      </c>
      <c r="P185" s="25" t="n">
        <f aca="false">SUMPRODUCT(($B$162:$B$178=$A185)*P$162:P$178*$C$162:$C$178)</f>
        <v>1924.00401421962</v>
      </c>
    </row>
    <row r="186" customFormat="false" ht="15" hidden="false" customHeight="false" outlineLevel="0" collapsed="false">
      <c r="A186" s="4" t="s">
        <v>150</v>
      </c>
      <c r="D186" s="25" t="n">
        <f aca="false">SUMPRODUCT(($B$162:$B$178=$A186)*D$162:D$178*$C$162:$C$178)</f>
        <v>150.952324214623</v>
      </c>
      <c r="E186" s="25" t="n">
        <f aca="false">SUMPRODUCT(($B$162:$B$178=$A186)*E$162:E$178*$C$162:$C$178)</f>
        <v>153.490422068924</v>
      </c>
      <c r="F186" s="25" t="n">
        <f aca="false">SUMPRODUCT(($B$162:$B$178=$A186)*F$162:F$178*$C$162:$C$178)</f>
        <v>156.07476977286</v>
      </c>
      <c r="G186" s="25" t="n">
        <f aca="false">SUMPRODUCT(($B$162:$B$178=$A186)*G$162:G$178*$C$162:$C$178)</f>
        <v>158.706210102682</v>
      </c>
      <c r="H186" s="25" t="n">
        <f aca="false">SUMPRODUCT(($B$162:$B$178=$A186)*H$162:H$178*$C$162:$C$178)</f>
        <v>161.385601191917</v>
      </c>
      <c r="I186" s="25" t="n">
        <f aca="false">SUMPRODUCT(($B$162:$B$178=$A186)*I$162:I$178*$C$162:$C$178)</f>
        <v>164.113816811216</v>
      </c>
      <c r="J186" s="25" t="n">
        <f aca="false">SUMPRODUCT(($B$162:$B$178=$A186)*J$162:J$178*$C$162:$C$178)</f>
        <v>166.891746653295</v>
      </c>
      <c r="K186" s="25" t="n">
        <f aca="false">SUMPRODUCT(($B$162:$B$178=$A186)*K$162:K$178*$C$162:$C$178)</f>
        <v>169.720296623073</v>
      </c>
      <c r="L186" s="25" t="n">
        <f aca="false">SUMPRODUCT(($B$162:$B$178=$A186)*L$162:L$178*$C$162:$C$178)</f>
        <v>172.60038913309</v>
      </c>
      <c r="M186" s="25" t="n">
        <f aca="false">SUMPRODUCT(($B$162:$B$178=$A186)*M$162:M$178*$C$162:$C$178)</f>
        <v>175.532963404321</v>
      </c>
      <c r="N186" s="25" t="n">
        <f aca="false">SUMPRODUCT(($B$162:$B$178=$A186)*N$162:N$178*$C$162:$C$178)</f>
        <v>178.518975772456</v>
      </c>
      <c r="O186" s="25" t="n">
        <f aca="false">SUMPRODUCT(($B$162:$B$178=$A186)*O$162:O$178*$C$162:$C$178)</f>
        <v>181.559399999772</v>
      </c>
      <c r="P186" s="25" t="n">
        <f aca="false">SUMPRODUCT(($B$162:$B$178=$A186)*P$162:P$178*$C$162:$C$178)</f>
        <v>1989.54691574823</v>
      </c>
    </row>
    <row r="187" customFormat="false" ht="15" hidden="false" customHeight="false" outlineLevel="0" collapsed="false">
      <c r="A187" s="4" t="s">
        <v>151</v>
      </c>
      <c r="D187" s="25" t="n">
        <f aca="false">SUMPRODUCT(($B$162:$B$178=$A187)*D$162:D$178*$C$162:$C$178)</f>
        <v>1116.70381311356</v>
      </c>
      <c r="E187" s="25" t="n">
        <f aca="false">SUMPRODUCT(($B$162:$B$178=$A187)*E$162:E$178*$C$162:$C$178)</f>
        <v>1135.49466517605</v>
      </c>
      <c r="F187" s="25" t="n">
        <f aca="false">SUMPRODUCT(($B$162:$B$178=$A187)*F$162:F$178*$C$162:$C$178)</f>
        <v>1154.62792881299</v>
      </c>
      <c r="G187" s="25" t="n">
        <f aca="false">SUMPRODUCT(($B$162:$B$178=$A187)*G$162:G$178*$C$162:$C$178)</f>
        <v>1174.10984353317</v>
      </c>
      <c r="H187" s="25" t="n">
        <f aca="false">SUMPRODUCT(($B$162:$B$178=$A187)*H$162:H$178*$C$162:$C$178)</f>
        <v>1193.94676254323</v>
      </c>
      <c r="I187" s="25" t="n">
        <f aca="false">SUMPRODUCT(($B$162:$B$178=$A187)*I$162:I$178*$C$162:$C$178)</f>
        <v>1214.14515481954</v>
      </c>
      <c r="J187" s="25" t="n">
        <f aca="false">SUMPRODUCT(($B$162:$B$178=$A187)*J$162:J$178*$C$162:$C$178)</f>
        <v>1234.71160721776</v>
      </c>
      <c r="K187" s="25" t="n">
        <f aca="false">SUMPRODUCT(($B$162:$B$178=$A187)*K$162:K$178*$C$162:$C$178)</f>
        <v>1255.65282662085</v>
      </c>
      <c r="L187" s="25" t="n">
        <f aca="false">SUMPRODUCT(($B$162:$B$178=$A187)*L$162:L$178*$C$162:$C$178)</f>
        <v>1276.9756421263</v>
      </c>
      <c r="M187" s="25" t="n">
        <f aca="false">SUMPRODUCT(($B$162:$B$178=$A187)*M$162:M$178*$C$162:$C$178)</f>
        <v>1298.68700727308</v>
      </c>
      <c r="N187" s="25" t="n">
        <f aca="false">SUMPRODUCT(($B$162:$B$178=$A187)*N$162:N$178*$C$162:$C$178)</f>
        <v>1320.79400230926</v>
      </c>
      <c r="O187" s="25" t="n">
        <f aca="false">SUMPRODUCT(($B$162:$B$178=$A187)*O$162:O$178*$C$162:$C$178)</f>
        <v>1343.303836501</v>
      </c>
      <c r="P187" s="25" t="n">
        <f aca="false">SUMPRODUCT(($B$162:$B$178=$A187)*P$162:P$178*$C$162:$C$178)</f>
        <v>14719.1530900468</v>
      </c>
    </row>
    <row r="188" customFormat="false" ht="15" hidden="false" customHeight="false" outlineLevel="0" collapsed="false">
      <c r="A188" s="4" t="s">
        <v>154</v>
      </c>
      <c r="D188" s="25" t="n">
        <f aca="false">SUMPRODUCT(($B$162:$B$178=$A188)*D$162:D$178*$C$162:$C$178)</f>
        <v>43.8507061754347</v>
      </c>
      <c r="E188" s="25" t="n">
        <f aca="false">SUMPRODUCT(($B$162:$B$178=$A188)*E$162:E$178*$C$162:$C$178)</f>
        <v>44.5875052883123</v>
      </c>
      <c r="F188" s="25" t="n">
        <f aca="false">SUMPRODUCT(($B$162:$B$178=$A188)*F$162:F$178*$C$162:$C$178)</f>
        <v>45.3377305376663</v>
      </c>
      <c r="G188" s="25" t="n">
        <f aca="false">SUMPRODUCT(($B$162:$B$178=$A188)*G$162:G$178*$C$162:$C$178)</f>
        <v>46.101626577891</v>
      </c>
      <c r="H188" s="25" t="n">
        <f aca="false">SUMPRODUCT(($B$162:$B$178=$A188)*H$162:H$178*$C$162:$C$178)</f>
        <v>46.8794425215338</v>
      </c>
      <c r="I188" s="25" t="n">
        <f aca="false">SUMPRODUCT(($B$162:$B$178=$A188)*I$162:I$178*$C$162:$C$178)</f>
        <v>47.6714320205331</v>
      </c>
      <c r="J188" s="25" t="n">
        <f aca="false">SUMPRODUCT(($B$162:$B$178=$A188)*J$162:J$178*$C$162:$C$178)</f>
        <v>48.4778533489354</v>
      </c>
      <c r="K188" s="25" t="n">
        <f aca="false">SUMPRODUCT(($B$162:$B$178=$A188)*K$162:K$178*$C$162:$C$178)</f>
        <v>49.2989694871216</v>
      </c>
      <c r="L188" s="25" t="n">
        <f aca="false">SUMPRODUCT(($B$162:$B$178=$A188)*L$162:L$178*$C$162:$C$178)</f>
        <v>50.135048207566</v>
      </c>
      <c r="M188" s="25" t="n">
        <f aca="false">SUMPRODUCT(($B$162:$B$178=$A188)*M$162:M$178*$C$162:$C$178)</f>
        <v>50.9863621621599</v>
      </c>
      <c r="N188" s="25" t="n">
        <f aca="false">SUMPRODUCT(($B$162:$B$178=$A188)*N$162:N$178*$C$162:$C$178)</f>
        <v>51.8531889711245</v>
      </c>
      <c r="O188" s="25" t="n">
        <f aca="false">SUMPRODUCT(($B$162:$B$178=$A188)*O$162:O$178*$C$162:$C$178)</f>
        <v>52.7358113135462</v>
      </c>
      <c r="P188" s="25" t="n">
        <f aca="false">SUMPRODUCT(($B$162:$B$178=$A188)*P$162:P$178*$C$162:$C$178)</f>
        <v>577.915676611825</v>
      </c>
    </row>
    <row r="189" customFormat="false" ht="15" hidden="false" customHeight="false" outlineLevel="0" collapsed="false">
      <c r="A189" s="6" t="s">
        <v>275</v>
      </c>
      <c r="D189" s="26" t="n">
        <f aca="false">SUMPRODUCT(D$162:D$178*parametros_recargas!$D$51:$D$67)</f>
        <v>521.507534087834</v>
      </c>
      <c r="E189" s="26" t="n">
        <f aca="false">SUMPRODUCT(E$162:E$178*parametros_recargas!$D$51:$D$67)</f>
        <v>529.13671938439</v>
      </c>
      <c r="F189" s="26" t="n">
        <f aca="false">SUMPRODUCT(F$162:F$178*parametros_recargas!$D$51:$D$67)</f>
        <v>536.904925590723</v>
      </c>
      <c r="G189" s="26" t="n">
        <f aca="false">SUMPRODUCT(G$162:G$178*parametros_recargas!$D$51:$D$67)</f>
        <v>544.814685980388</v>
      </c>
      <c r="H189" s="26" t="n">
        <f aca="false">SUMPRODUCT(H$162:H$178*parametros_recargas!$D$51:$D$67)</f>
        <v>552.86857998888</v>
      </c>
      <c r="I189" s="26" t="n">
        <f aca="false">SUMPRODUCT(I$162:I$178*parametros_recargas!$D$51:$D$67)</f>
        <v>561.069234054807</v>
      </c>
      <c r="J189" s="26" t="n">
        <f aca="false">SUMPRODUCT(J$162:J$178*parametros_recargas!$D$51:$D$67)</f>
        <v>569.419322476397</v>
      </c>
      <c r="K189" s="26" t="n">
        <f aca="false">SUMPRODUCT(K$162:K$178*parametros_recargas!$D$51:$D$67)</f>
        <v>577.9215682836</v>
      </c>
      <c r="L189" s="26" t="n">
        <f aca="false">SUMPRODUCT(L$162:L$178*parametros_recargas!$D$51:$D$67)</f>
        <v>586.578744126098</v>
      </c>
      <c r="M189" s="26" t="n">
        <f aca="false">SUMPRODUCT(M$162:M$178*parametros_recargas!$D$51:$D$67)</f>
        <v>595.393673177484</v>
      </c>
      <c r="N189" s="26" t="n">
        <f aca="false">SUMPRODUCT(N$162:N$178*parametros_recargas!$D$51:$D$67)</f>
        <v>604.369230055919</v>
      </c>
      <c r="O189" s="26" t="n">
        <f aca="false">SUMPRODUCT(O$162:O$178*parametros_recargas!$D$51:$D$67)</f>
        <v>613.508341761573</v>
      </c>
      <c r="P189" s="26" t="n">
        <f aca="false">SUMPRODUCT(P$162:P$178*parametros_recargas!$D$51:$D$67)</f>
        <v>6793.49255896809</v>
      </c>
    </row>
    <row r="193" customFormat="false" ht="23.85" hidden="false" customHeight="false" outlineLevel="0" collapsed="false">
      <c r="A193" s="23" t="n">
        <v>2032</v>
      </c>
      <c r="B193" s="3" t="s">
        <v>270</v>
      </c>
      <c r="C193" s="3" t="s">
        <v>271</v>
      </c>
      <c r="D193" s="3" t="s">
        <v>124</v>
      </c>
      <c r="E193" s="3" t="s">
        <v>125</v>
      </c>
      <c r="F193" s="3" t="s">
        <v>126</v>
      </c>
      <c r="G193" s="3" t="s">
        <v>127</v>
      </c>
      <c r="H193" s="3" t="s">
        <v>128</v>
      </c>
      <c r="I193" s="3" t="s">
        <v>129</v>
      </c>
      <c r="J193" s="3" t="s">
        <v>130</v>
      </c>
      <c r="K193" s="3" t="s">
        <v>131</v>
      </c>
      <c r="L193" s="3" t="s">
        <v>132</v>
      </c>
      <c r="M193" s="3" t="s">
        <v>133</v>
      </c>
      <c r="N193" s="3" t="s">
        <v>134</v>
      </c>
      <c r="O193" s="3" t="s">
        <v>135</v>
      </c>
      <c r="P193" s="3" t="s">
        <v>136</v>
      </c>
      <c r="Q193" s="3" t="s">
        <v>272</v>
      </c>
    </row>
    <row r="194" customFormat="false" ht="15" hidden="false" customHeight="false" outlineLevel="0" collapsed="false">
      <c r="A194" s="12" t="str">
        <f aca="false">parametros_recargas!A51</f>
        <v>ABC 1 kg</v>
      </c>
      <c r="B194" s="12" t="str">
        <f aca="false">parametros_recargas!B51</f>
        <v>ABC</v>
      </c>
      <c r="C194" s="24" t="n">
        <f aca="false">parametros_recargas!C51</f>
        <v>1</v>
      </c>
      <c r="D194" s="25" t="n">
        <f aca="false">datos_base!$H$2*parametros_recargas!$F$43+sobrestock_sustitutos!$H$175/12</f>
        <v>8249.85377658211</v>
      </c>
      <c r="E194" s="25" t="n">
        <f aca="false">datos_base!$H$2*parametros_recargas!$G$43+sobrestock_sustitutos!$H$175/12</f>
        <v>8338.50362110367</v>
      </c>
      <c r="F194" s="25" t="n">
        <f aca="false">datos_base!$H$2*parametros_recargas!$H$43+sobrestock_sustitutos!$H$175/12</f>
        <v>8428.10606371321</v>
      </c>
      <c r="G194" s="25" t="n">
        <f aca="false">datos_base!$H$2*parametros_recargas!$I$43+sobrestock_sustitutos!$H$175/12</f>
        <v>8518.67134067366</v>
      </c>
      <c r="H194" s="25" t="n">
        <f aca="false">datos_base!$H$2*parametros_recargas!$J$43+sobrestock_sustitutos!$H$175/12</f>
        <v>8610.209798243</v>
      </c>
      <c r="I194" s="25" t="n">
        <f aca="false">datos_base!$H$2*parametros_recargas!$K$43+sobrestock_sustitutos!$H$175/12</f>
        <v>8702.73189385625</v>
      </c>
      <c r="J194" s="25" t="n">
        <f aca="false">datos_base!$H$2*parametros_recargas!$L$43+sobrestock_sustitutos!$H$175/12</f>
        <v>8796.24819732009</v>
      </c>
      <c r="K194" s="25" t="n">
        <f aca="false">datos_base!$H$2*parametros_recargas!$M$43+sobrestock_sustitutos!$H$175/12</f>
        <v>8890.7693920204</v>
      </c>
      <c r="L194" s="25" t="n">
        <f aca="false">datos_base!$H$2*parametros_recargas!$N$43+sobrestock_sustitutos!$H$175/12</f>
        <v>8986.30627614275</v>
      </c>
      <c r="M194" s="25" t="n">
        <f aca="false">datos_base!$H$2*parametros_recargas!$O$43+sobrestock_sustitutos!$H$175/12</f>
        <v>9082.86976390595</v>
      </c>
      <c r="N194" s="25" t="n">
        <f aca="false">datos_base!$H$2*parametros_recargas!$P$43+sobrestock_sustitutos!$H$175/12</f>
        <v>9180.47088680893</v>
      </c>
      <c r="O194" s="25" t="n">
        <f aca="false">datos_base!$H$2*parametros_recargas!$Q$43+sobrestock_sustitutos!$H$175/12</f>
        <v>9279.12079489099</v>
      </c>
      <c r="P194" s="7" t="n">
        <f aca="false">SUM(D194:O194)</f>
        <v>105063.861805261</v>
      </c>
      <c r="Q194" s="13" t="n">
        <f aca="false">sobrestock_sustitutos!$H$175</f>
        <v>0</v>
      </c>
    </row>
    <row r="195" customFormat="false" ht="15" hidden="false" customHeight="false" outlineLevel="0" collapsed="false">
      <c r="A195" s="12" t="str">
        <f aca="false">parametros_recargas!A52</f>
        <v>ABC 2,5 kg</v>
      </c>
      <c r="B195" s="12" t="str">
        <f aca="false">parametros_recargas!B52</f>
        <v>ABC</v>
      </c>
      <c r="C195" s="24" t="n">
        <f aca="false">parametros_recargas!C52</f>
        <v>1</v>
      </c>
      <c r="D195" s="25" t="n">
        <f aca="false">datos_base!$H$3*parametros_recargas!$F$43+sobrestock_sustitutos!$H$176/12</f>
        <v>715.935989782883</v>
      </c>
      <c r="E195" s="25" t="n">
        <f aca="false">datos_base!$H$3*parametros_recargas!$G$43+sobrestock_sustitutos!$H$176/12</f>
        <v>723.629170280433</v>
      </c>
      <c r="F195" s="25" t="n">
        <f aca="false">datos_base!$H$3*parametros_recargas!$H$43+sobrestock_sustitutos!$H$176/12</f>
        <v>731.405018819557</v>
      </c>
      <c r="G195" s="25" t="n">
        <f aca="false">datos_base!$H$3*parametros_recargas!$I$43+sobrestock_sustitutos!$H$176/12</f>
        <v>739.264423720126</v>
      </c>
      <c r="H195" s="25" t="n">
        <f aca="false">datos_base!$H$3*parametros_recargas!$J$43+sobrestock_sustitutos!$H$176/12</f>
        <v>747.208282847561</v>
      </c>
      <c r="I195" s="25" t="n">
        <f aca="false">datos_base!$H$3*parametros_recargas!$K$43+sobrestock_sustitutos!$H$176/12</f>
        <v>755.237503715412</v>
      </c>
      <c r="J195" s="25" t="n">
        <f aca="false">datos_base!$H$3*parametros_recargas!$L$43+sobrestock_sustitutos!$H$176/12</f>
        <v>763.35300358903</v>
      </c>
      <c r="K195" s="25" t="n">
        <f aca="false">datos_base!$H$3*parametros_recargas!$M$43+sobrestock_sustitutos!$H$176/12</f>
        <v>771.555709590356</v>
      </c>
      <c r="L195" s="25" t="n">
        <f aca="false">datos_base!$H$3*parametros_recargas!$N$43+sobrestock_sustitutos!$H$176/12</f>
        <v>779.846558803837</v>
      </c>
      <c r="M195" s="25" t="n">
        <f aca="false">datos_base!$H$3*parametros_recargas!$O$43+sobrestock_sustitutos!$H$176/12</f>
        <v>788.226498383477</v>
      </c>
      <c r="N195" s="25" t="n">
        <f aca="false">datos_base!$H$3*parametros_recargas!$P$43+sobrestock_sustitutos!$H$176/12</f>
        <v>796.696485661048</v>
      </c>
      <c r="O195" s="25" t="n">
        <f aca="false">datos_base!$H$3*parametros_recargas!$Q$43+sobrestock_sustitutos!$H$176/12</f>
        <v>805.257488255446</v>
      </c>
      <c r="P195" s="7" t="n">
        <f aca="false">SUM(D195:O195)</f>
        <v>9117.61613344917</v>
      </c>
      <c r="Q195" s="13" t="n">
        <f aca="false">sobrestock_sustitutos!$H$176</f>
        <v>0</v>
      </c>
    </row>
    <row r="196" customFormat="false" ht="15" hidden="false" customHeight="false" outlineLevel="0" collapsed="false">
      <c r="A196" s="12" t="str">
        <f aca="false">parametros_recargas!A53</f>
        <v>ABC 5 kg</v>
      </c>
      <c r="B196" s="12" t="str">
        <f aca="false">parametros_recargas!B53</f>
        <v>ABC</v>
      </c>
      <c r="C196" s="24" t="n">
        <f aca="false">parametros_recargas!C53</f>
        <v>1</v>
      </c>
      <c r="D196" s="25" t="n">
        <f aca="false">datos_base!$H$4*parametros_recargas!$F$43+sobrestock_sustitutos!$H$177/12</f>
        <v>5266.49982558399</v>
      </c>
      <c r="E196" s="25" t="n">
        <f aca="false">datos_base!$H$4*parametros_recargas!$G$43+sobrestock_sustitutos!$H$177/12</f>
        <v>5313.77699691905</v>
      </c>
      <c r="F196" s="25" t="n">
        <f aca="false">datos_base!$H$4*parametros_recargas!$H$43+sobrestock_sustitutos!$H$177/12</f>
        <v>5361.56219106298</v>
      </c>
      <c r="G196" s="25" t="n">
        <f aca="false">datos_base!$H$4*parametros_recargas!$I$43+sobrestock_sustitutos!$H$177/12</f>
        <v>5409.86086703895</v>
      </c>
      <c r="H196" s="25" t="n">
        <f aca="false">datos_base!$H$4*parametros_recargas!$J$43+sobrestock_sustitutos!$H$177/12</f>
        <v>5458.67854253077</v>
      </c>
      <c r="I196" s="25" t="n">
        <f aca="false">datos_base!$H$4*parametros_recargas!$K$43+sobrestock_sustitutos!$H$177/12</f>
        <v>5508.02079451321</v>
      </c>
      <c r="J196" s="25" t="n">
        <f aca="false">datos_base!$H$4*parametros_recargas!$L$43+sobrestock_sustitutos!$H$177/12</f>
        <v>5557.89325988913</v>
      </c>
      <c r="K196" s="25" t="n">
        <f aca="false">datos_base!$H$4*parametros_recargas!$M$43+sobrestock_sustitutos!$H$177/12</f>
        <v>5608.30163613344</v>
      </c>
      <c r="L196" s="25" t="n">
        <f aca="false">datos_base!$H$4*parametros_recargas!$N$43+sobrestock_sustitutos!$H$177/12</f>
        <v>5659.25168194398</v>
      </c>
      <c r="M196" s="25" t="n">
        <f aca="false">datos_base!$H$4*parametros_recargas!$O$43+sobrestock_sustitutos!$H$177/12</f>
        <v>5710.74921789941</v>
      </c>
      <c r="N196" s="25" t="n">
        <f aca="false">datos_base!$H$4*parametros_recargas!$P$43+sobrestock_sustitutos!$H$177/12</f>
        <v>5762.80012712416</v>
      </c>
      <c r="O196" s="25" t="n">
        <f aca="false">datos_base!$H$4*parametros_recargas!$Q$43+sobrestock_sustitutos!$H$177/12</f>
        <v>5815.41035596049</v>
      </c>
      <c r="P196" s="7" t="n">
        <f aca="false">SUM(D196:O196)</f>
        <v>66432.8054965996</v>
      </c>
      <c r="Q196" s="13" t="n">
        <f aca="false">sobrestock_sustitutos!$H$177</f>
        <v>10402</v>
      </c>
    </row>
    <row r="197" customFormat="false" ht="15" hidden="false" customHeight="false" outlineLevel="0" collapsed="false">
      <c r="A197" s="12" t="str">
        <f aca="false">parametros_recargas!A54</f>
        <v>ABC 10 kg</v>
      </c>
      <c r="B197" s="12" t="str">
        <f aca="false">parametros_recargas!B54</f>
        <v>ABC</v>
      </c>
      <c r="C197" s="24" t="n">
        <f aca="false">parametros_recargas!C54</f>
        <v>1</v>
      </c>
      <c r="D197" s="25" t="n">
        <f aca="false">datos_base!$H$5*parametros_recargas!$F$43+sobrestock_sustitutos!$H$178/12</f>
        <v>304.899661063804</v>
      </c>
      <c r="E197" s="25" t="n">
        <f aca="false">datos_base!$H$5*parametros_recargas!$G$43+sobrestock_sustitutos!$H$178/12</f>
        <v>307.700504879181</v>
      </c>
      <c r="F197" s="25" t="n">
        <f aca="false">datos_base!$H$5*parametros_recargas!$H$43+sobrestock_sustitutos!$H$178/12</f>
        <v>310.531445515118</v>
      </c>
      <c r="G197" s="25" t="n">
        <f aca="false">datos_base!$H$5*parametros_recargas!$I$43+sobrestock_sustitutos!$H$178/12</f>
        <v>313.392806380797</v>
      </c>
      <c r="H197" s="25" t="n">
        <f aca="false">datos_base!$H$5*parametros_recargas!$J$43+sobrestock_sustitutos!$H$178/12</f>
        <v>316.284914360636</v>
      </c>
      <c r="I197" s="25" t="n">
        <f aca="false">datos_base!$H$5*parametros_recargas!$K$43+sobrestock_sustitutos!$H$178/12</f>
        <v>319.208099851627</v>
      </c>
      <c r="J197" s="25" t="n">
        <f aca="false">datos_base!$H$5*parametros_recargas!$L$43+sobrestock_sustitutos!$H$178/12</f>
        <v>322.162696801088</v>
      </c>
      <c r="K197" s="25" t="n">
        <f aca="false">datos_base!$H$5*parametros_recargas!$M$43+sobrestock_sustitutos!$H$178/12</f>
        <v>325.149042744809</v>
      </c>
      <c r="L197" s="25" t="n">
        <f aca="false">datos_base!$H$5*parametros_recargas!$N$43+sobrestock_sustitutos!$H$178/12</f>
        <v>328.167478845612</v>
      </c>
      <c r="M197" s="25" t="n">
        <f aca="false">datos_base!$H$5*parametros_recargas!$O$43+sobrestock_sustitutos!$H$178/12</f>
        <v>331.218349932329</v>
      </c>
      <c r="N197" s="25" t="n">
        <f aca="false">datos_base!$H$5*parametros_recargas!$P$43+sobrestock_sustitutos!$H$178/12</f>
        <v>334.302004539192</v>
      </c>
      <c r="O197" s="25" t="n">
        <f aca="false">datos_base!$H$5*parametros_recargas!$Q$43+sobrestock_sustitutos!$H$178/12</f>
        <v>337.418794945654</v>
      </c>
      <c r="P197" s="7" t="n">
        <f aca="false">SUM(D197:O197)</f>
        <v>3850.43579985985</v>
      </c>
      <c r="Q197" s="13" t="n">
        <f aca="false">sobrestock_sustitutos!$H$178</f>
        <v>531</v>
      </c>
    </row>
    <row r="198" customFormat="false" ht="15" hidden="false" customHeight="false" outlineLevel="0" collapsed="false">
      <c r="A198" s="12" t="str">
        <f aca="false">parametros_recargas!A55</f>
        <v>Agua 10 l</v>
      </c>
      <c r="B198" s="12" t="str">
        <f aca="false">parametros_recargas!B55</f>
        <v>Agua</v>
      </c>
      <c r="C198" s="24" t="n">
        <f aca="false">parametros_recargas!C55</f>
        <v>1</v>
      </c>
      <c r="D198" s="25" t="n">
        <f aca="false">datos_base!$H$6*parametros_recargas!$F$43+sobrestock_sustitutos!$H$179/12</f>
        <v>415.291109797458</v>
      </c>
      <c r="E198" s="25" t="n">
        <f aca="false">datos_base!$H$6*parametros_recargas!$G$43+sobrestock_sustitutos!$H$179/12</f>
        <v>419.218182439</v>
      </c>
      <c r="F198" s="25" t="n">
        <f aca="false">datos_base!$H$6*parametros_recargas!$H$43+sobrestock_sustitutos!$H$179/12</f>
        <v>423.187453935034</v>
      </c>
      <c r="G198" s="25" t="n">
        <f aca="false">datos_base!$H$6*parametros_recargas!$I$43+sobrestock_sustitutos!$H$179/12</f>
        <v>427.199377738674</v>
      </c>
      <c r="H198" s="25" t="n">
        <f aca="false">datos_base!$H$6*parametros_recargas!$J$43+sobrestock_sustitutos!$H$179/12</f>
        <v>431.254412175674</v>
      </c>
      <c r="I198" s="25" t="n">
        <f aca="false">datos_base!$H$6*parametros_recargas!$K$43+sobrestock_sustitutos!$H$179/12</f>
        <v>435.353020496781</v>
      </c>
      <c r="J198" s="25" t="n">
        <f aca="false">datos_base!$H$6*parametros_recargas!$L$43+sobrestock_sustitutos!$H$179/12</f>
        <v>439.495670930665</v>
      </c>
      <c r="K198" s="25" t="n">
        <f aca="false">datos_base!$H$6*parametros_recargas!$M$43+sobrestock_sustitutos!$H$179/12</f>
        <v>443.682836737405</v>
      </c>
      <c r="L198" s="25" t="n">
        <f aca="false">datos_base!$H$6*parametros_recargas!$N$43+sobrestock_sustitutos!$H$179/12</f>
        <v>447.914996262556</v>
      </c>
      <c r="M198" s="25" t="n">
        <f aca="false">datos_base!$H$6*parametros_recargas!$O$43+sobrestock_sustitutos!$H$179/12</f>
        <v>452.192632991795</v>
      </c>
      <c r="N198" s="25" t="n">
        <f aca="false">datos_base!$H$6*parametros_recargas!$P$43+sobrestock_sustitutos!$H$179/12</f>
        <v>456.516235606156</v>
      </c>
      <c r="O198" s="25" t="n">
        <f aca="false">datos_base!$H$6*parametros_recargas!$Q$43+sobrestock_sustitutos!$H$179/12</f>
        <v>460.886298037856</v>
      </c>
      <c r="P198" s="7" t="n">
        <f aca="false">SUM(D198:O198)</f>
        <v>5252.19222714905</v>
      </c>
      <c r="Q198" s="13" t="n">
        <f aca="false">sobrestock_sustitutos!$H$179</f>
        <v>598</v>
      </c>
    </row>
    <row r="199" customFormat="false" ht="15" hidden="false" customHeight="false" outlineLevel="0" collapsed="false">
      <c r="A199" s="12" t="str">
        <f aca="false">parametros_recargas!A56</f>
        <v>AFFF 10 l</v>
      </c>
      <c r="B199" s="12" t="str">
        <f aca="false">parametros_recargas!B56</f>
        <v>AFFF</v>
      </c>
      <c r="C199" s="24" t="n">
        <f aca="false">parametros_recargas!C56</f>
        <v>1</v>
      </c>
      <c r="D199" s="25" t="n">
        <f aca="false">datos_base!$H$7*parametros_recargas!$F$43+sobrestock_sustitutos!$H$180/12</f>
        <v>75.784472806757</v>
      </c>
      <c r="E199" s="25" t="n">
        <f aca="false">datos_base!$H$7*parametros_recargas!$G$43+sobrestock_sustitutos!$H$180/12</f>
        <v>76.5021137845376</v>
      </c>
      <c r="F199" s="25" t="n">
        <f aca="false">datos_base!$H$7*parametros_recargas!$H$43+sobrestock_sustitutos!$H$180/12</f>
        <v>77.2274662639793</v>
      </c>
      <c r="G199" s="25" t="n">
        <f aca="false">datos_base!$H$7*parametros_recargas!$I$43+sobrestock_sustitutos!$H$180/12</f>
        <v>77.9606131099962</v>
      </c>
      <c r="H199" s="25" t="n">
        <f aca="false">datos_base!$H$7*parametros_recargas!$J$43+sobrestock_sustitutos!$H$180/12</f>
        <v>78.7016380779375</v>
      </c>
      <c r="I199" s="25" t="n">
        <f aca="false">datos_base!$H$7*parametros_recargas!$K$43+sobrestock_sustitutos!$H$180/12</f>
        <v>79.4506258231563</v>
      </c>
      <c r="J199" s="25" t="n">
        <f aca="false">datos_base!$H$7*parametros_recargas!$L$43+sobrestock_sustitutos!$H$180/12</f>
        <v>80.2076619106803</v>
      </c>
      <c r="K199" s="25" t="n">
        <f aca="false">datos_base!$H$7*parametros_recargas!$M$43+sobrestock_sustitutos!$H$180/12</f>
        <v>80.9728328249872</v>
      </c>
      <c r="L199" s="25" t="n">
        <f aca="false">datos_base!$H$7*parametros_recargas!$N$43+sobrestock_sustitutos!$H$180/12</f>
        <v>81.7462259798844</v>
      </c>
      <c r="M199" s="25" t="n">
        <f aca="false">datos_base!$H$7*parametros_recargas!$O$43+sobrestock_sustitutos!$H$180/12</f>
        <v>82.5279297284954</v>
      </c>
      <c r="N199" s="25" t="n">
        <f aca="false">datos_base!$H$7*parametros_recargas!$P$43+sobrestock_sustitutos!$H$180/12</f>
        <v>83.3180333733534</v>
      </c>
      <c r="O199" s="25" t="n">
        <f aca="false">datos_base!$H$7*parametros_recargas!$Q$43+sobrestock_sustitutos!$H$180/12</f>
        <v>84.1166271766032</v>
      </c>
      <c r="P199" s="7" t="n">
        <f aca="false">SUM(D199:O199)</f>
        <v>958.516240860368</v>
      </c>
      <c r="Q199" s="13" t="n">
        <f aca="false">sobrestock_sustitutos!$H$180</f>
        <v>108</v>
      </c>
    </row>
    <row r="200" customFormat="false" ht="15" hidden="false" customHeight="false" outlineLevel="0" collapsed="false">
      <c r="A200" s="12" t="str">
        <f aca="false">parametros_recargas!A57</f>
        <v>AFFF 50 l s/ruedas</v>
      </c>
      <c r="B200" s="12" t="str">
        <f aca="false">parametros_recargas!B57</f>
        <v>AFFF</v>
      </c>
      <c r="C200" s="24" t="n">
        <f aca="false">parametros_recargas!C57</f>
        <v>3</v>
      </c>
      <c r="D200" s="25" t="n">
        <f aca="false">datos_base!$H$8*parametros_recargas!$F$43+sobrestock_sustitutos!$H$181/12</f>
        <v>39.991358438008</v>
      </c>
      <c r="E200" s="25" t="n">
        <f aca="false">datos_base!$H$8*parametros_recargas!$G$43+sobrestock_sustitutos!$H$181/12</f>
        <v>40.3691534321522</v>
      </c>
      <c r="F200" s="25" t="n">
        <f aca="false">datos_base!$H$8*parametros_recargas!$H$43+sobrestock_sustitutos!$H$181/12</f>
        <v>40.7510080700669</v>
      </c>
      <c r="G200" s="25" t="n">
        <f aca="false">datos_base!$H$8*parametros_recargas!$I$43+sobrestock_sustitutos!$H$181/12</f>
        <v>41.1369659751665</v>
      </c>
      <c r="H200" s="25" t="n">
        <f aca="false">datos_base!$H$8*parametros_recargas!$J$43+sobrestock_sustitutos!$H$181/12</f>
        <v>41.5270712396261</v>
      </c>
      <c r="I200" s="25" t="n">
        <f aca="false">datos_base!$H$8*parametros_recargas!$K$43+sobrestock_sustitutos!$H$181/12</f>
        <v>41.9213684294188</v>
      </c>
      <c r="J200" s="25" t="n">
        <f aca="false">datos_base!$H$8*parametros_recargas!$L$43+sobrestock_sustitutos!$H$181/12</f>
        <v>42.3199025894073</v>
      </c>
      <c r="K200" s="25" t="n">
        <f aca="false">datos_base!$H$8*parametros_recargas!$M$43+sobrestock_sustitutos!$H$181/12</f>
        <v>42.7227192484893</v>
      </c>
      <c r="L200" s="25" t="n">
        <f aca="false">datos_base!$H$8*parametros_recargas!$N$43+sobrestock_sustitutos!$H$181/12</f>
        <v>43.129864424799</v>
      </c>
      <c r="M200" s="25" t="n">
        <f aca="false">datos_base!$H$8*parametros_recargas!$O$43+sobrestock_sustitutos!$H$181/12</f>
        <v>43.5413846309644</v>
      </c>
      <c r="N200" s="25" t="n">
        <f aca="false">datos_base!$H$8*parametros_recargas!$P$43+sobrestock_sustitutos!$H$181/12</f>
        <v>43.9573268794207</v>
      </c>
      <c r="O200" s="25" t="n">
        <f aca="false">datos_base!$H$8*parametros_recargas!$Q$43+sobrestock_sustitutos!$H$181/12</f>
        <v>44.3777386877813</v>
      </c>
      <c r="P200" s="7" t="n">
        <f aca="false">SUM(D200:O200)</f>
        <v>505.745862045301</v>
      </c>
      <c r="Q200" s="13" t="n">
        <f aca="false">sobrestock_sustitutos!$H$181</f>
        <v>58</v>
      </c>
    </row>
    <row r="201" customFormat="false" ht="15" hidden="false" customHeight="false" outlineLevel="0" collapsed="false">
      <c r="A201" s="12" t="str">
        <f aca="false">parametros_recargas!A58</f>
        <v>BC 5 kg</v>
      </c>
      <c r="B201" s="12" t="str">
        <f aca="false">parametros_recargas!B58</f>
        <v>BC</v>
      </c>
      <c r="C201" s="24" t="n">
        <f aca="false">parametros_recargas!C58</f>
        <v>1</v>
      </c>
      <c r="D201" s="25" t="n">
        <f aca="false">datos_base!$H$9*parametros_recargas!$F$43+sobrestock_sustitutos!$H$182/12</f>
        <v>24.0311057836468</v>
      </c>
      <c r="E201" s="25" t="n">
        <f aca="false">datos_base!$H$9*parametros_recargas!$G$43+sobrestock_sustitutos!$H$182/12</f>
        <v>24.2526208398054</v>
      </c>
      <c r="F201" s="25" t="n">
        <f aca="false">datos_base!$H$9*parametros_recargas!$H$43+sobrestock_sustitutos!$H$182/12</f>
        <v>24.4765162139452</v>
      </c>
      <c r="G201" s="25" t="n">
        <f aca="false">datos_base!$H$9*parametros_recargas!$I$43+sobrestock_sustitutos!$H$182/12</f>
        <v>24.7028174840736</v>
      </c>
      <c r="H201" s="25" t="n">
        <f aca="false">datos_base!$H$9*parametros_recargas!$J$43+sobrestock_sustitutos!$H$182/12</f>
        <v>24.9315505030492</v>
      </c>
      <c r="I201" s="25" t="n">
        <f aca="false">datos_base!$H$9*parametros_recargas!$K$43+sobrestock_sustitutos!$H$182/12</f>
        <v>25.1627414015363</v>
      </c>
      <c r="J201" s="25" t="n">
        <f aca="false">datos_base!$H$9*parametros_recargas!$L$43+sobrestock_sustitutos!$H$182/12</f>
        <v>25.396416590989</v>
      </c>
      <c r="K201" s="25" t="n">
        <f aca="false">datos_base!$H$9*parametros_recargas!$M$43+sobrestock_sustitutos!$H$182/12</f>
        <v>25.6326027666695</v>
      </c>
      <c r="L201" s="25" t="n">
        <f aca="false">datos_base!$H$9*parametros_recargas!$N$43+sobrestock_sustitutos!$H$182/12</f>
        <v>25.8713269106969</v>
      </c>
      <c r="M201" s="25" t="n">
        <f aca="false">datos_base!$H$9*parametros_recargas!$O$43+sobrestock_sustitutos!$H$182/12</f>
        <v>26.1126162951304</v>
      </c>
      <c r="N201" s="25" t="n">
        <f aca="false">datos_base!$H$9*parametros_recargas!$P$43+sobrestock_sustitutos!$H$182/12</f>
        <v>26.3564984850843</v>
      </c>
      <c r="O201" s="25" t="n">
        <f aca="false">datos_base!$H$9*parametros_recargas!$Q$43+sobrestock_sustitutos!$H$182/12</f>
        <v>26.6030013418775</v>
      </c>
      <c r="P201" s="7" t="n">
        <f aca="false">SUM(D201:O201)</f>
        <v>303.529814616504</v>
      </c>
      <c r="Q201" s="13" t="n">
        <f aca="false">sobrestock_sustitutos!$H$182</f>
        <v>41</v>
      </c>
    </row>
    <row r="202" customFormat="false" ht="15" hidden="false" customHeight="false" outlineLevel="0" collapsed="false">
      <c r="A202" s="12" t="str">
        <f aca="false">parametros_recargas!A59</f>
        <v>Sales K 6 l</v>
      </c>
      <c r="B202" s="12" t="str">
        <f aca="false">parametros_recargas!B59</f>
        <v>Sales K</v>
      </c>
      <c r="C202" s="24" t="n">
        <f aca="false">parametros_recargas!C59</f>
        <v>1</v>
      </c>
      <c r="D202" s="25" t="n">
        <f aca="false">datos_base!$H$10*parametros_recargas!$F$43+sobrestock_sustitutos!$H$183/12</f>
        <v>203.026122394507</v>
      </c>
      <c r="E202" s="25" t="n">
        <f aca="false">datos_base!$H$10*parametros_recargas!$G$43+sobrestock_sustitutos!$H$183/12</f>
        <v>204.94628830246</v>
      </c>
      <c r="F202" s="25" t="n">
        <f aca="false">datos_base!$H$10*parametros_recargas!$H$43+sobrestock_sustitutos!$H$183/12</f>
        <v>206.887087595418</v>
      </c>
      <c r="G202" s="25" t="n">
        <f aca="false">datos_base!$H$10*parametros_recargas!$I$43+sobrestock_sustitutos!$H$183/12</f>
        <v>208.84874199202</v>
      </c>
      <c r="H202" s="25" t="n">
        <f aca="false">datos_base!$H$10*parametros_recargas!$J$43+sobrestock_sustitutos!$H$183/12</f>
        <v>210.831475593415</v>
      </c>
      <c r="I202" s="25" t="n">
        <f aca="false">datos_base!$H$10*parametros_recargas!$K$43+sobrestock_sustitutos!$H$183/12</f>
        <v>212.835514908857</v>
      </c>
      <c r="J202" s="25" t="n">
        <f aca="false">datos_base!$H$10*parametros_recargas!$L$43+sobrestock_sustitutos!$H$183/12</f>
        <v>214.861088881583</v>
      </c>
      <c r="K202" s="25" t="n">
        <f aca="false">datos_base!$H$10*parametros_recargas!$M$43+sobrestock_sustitutos!$H$183/12</f>
        <v>216.908428914971</v>
      </c>
      <c r="L202" s="25" t="n">
        <f aca="false">datos_base!$H$10*parametros_recargas!$N$43+sobrestock_sustitutos!$H$183/12</f>
        <v>218.977768898971</v>
      </c>
      <c r="M202" s="25" t="n">
        <f aca="false">datos_base!$H$10*parametros_recargas!$O$43+sobrestock_sustitutos!$H$183/12</f>
        <v>221.069345236829</v>
      </c>
      <c r="N202" s="25" t="n">
        <f aca="false">datos_base!$H$10*parametros_recargas!$P$43+sobrestock_sustitutos!$H$183/12</f>
        <v>223.183396872088</v>
      </c>
      <c r="O202" s="25" t="n">
        <f aca="false">datos_base!$H$10*parametros_recargas!$Q$43+sobrestock_sustitutos!$H$183/12</f>
        <v>225.320165315894</v>
      </c>
      <c r="P202" s="7" t="n">
        <f aca="false">SUM(D202:O202)</f>
        <v>2567.69542490701</v>
      </c>
      <c r="Q202" s="13" t="n">
        <f aca="false">sobrestock_sustitutos!$H$183</f>
        <v>292</v>
      </c>
    </row>
    <row r="203" customFormat="false" ht="15" hidden="false" customHeight="false" outlineLevel="0" collapsed="false">
      <c r="A203" s="12" t="str">
        <f aca="false">parametros_recargas!A60</f>
        <v>CO₂ 2 kg</v>
      </c>
      <c r="B203" s="12" t="str">
        <f aca="false">parametros_recargas!B60</f>
        <v>CO₂</v>
      </c>
      <c r="C203" s="24" t="n">
        <f aca="false">parametros_recargas!C60</f>
        <v>1</v>
      </c>
      <c r="D203" s="25" t="n">
        <f aca="false">datos_base!$H$11*parametros_recargas!$F$43+sobrestock_sustitutos!$H$184/12</f>
        <v>991.839262994957</v>
      </c>
      <c r="E203" s="25" t="n">
        <f aca="false">datos_base!$H$11*parametros_recargas!$G$43+sobrestock_sustitutos!$H$184/12</f>
        <v>1002.49719692155</v>
      </c>
      <c r="F203" s="25" t="n">
        <f aca="false">datos_base!$H$11*parametros_recargas!$H$43+sobrestock_sustitutos!$H$184/12</f>
        <v>1013.26965702171</v>
      </c>
      <c r="G203" s="25" t="n">
        <f aca="false">datos_base!$H$11*parametros_recargas!$I$43+sobrestock_sustitutos!$H$184/12</f>
        <v>1024.15787395089</v>
      </c>
      <c r="H203" s="25" t="n">
        <f aca="false">datos_base!$H$11*parametros_recargas!$J$43+sobrestock_sustitutos!$H$184/12</f>
        <v>1035.16309158868</v>
      </c>
      <c r="I203" s="25" t="n">
        <f aca="false">datos_base!$H$11*parametros_recargas!$K$43+sobrestock_sustitutos!$H$184/12</f>
        <v>1046.28656718097</v>
      </c>
      <c r="J203" s="25" t="n">
        <f aca="false">datos_base!$H$11*parametros_recargas!$L$43+sobrestock_sustitutos!$H$184/12</f>
        <v>1057.52957148353</v>
      </c>
      <c r="K203" s="25" t="n">
        <f aca="false">datos_base!$H$11*parametros_recargas!$M$43+sobrestock_sustitutos!$H$184/12</f>
        <v>1068.89338890719</v>
      </c>
      <c r="L203" s="25" t="n">
        <f aca="false">datos_base!$H$11*parametros_recargas!$N$43+sobrestock_sustitutos!$H$184/12</f>
        <v>1080.37931766459</v>
      </c>
      <c r="M203" s="25" t="n">
        <f aca="false">datos_base!$H$11*parametros_recargas!$O$43+sobrestock_sustitutos!$H$184/12</f>
        <v>1091.98866991846</v>
      </c>
      <c r="N203" s="25" t="n">
        <f aca="false">datos_base!$H$11*parametros_recargas!$P$43+sobrestock_sustitutos!$H$184/12</f>
        <v>1103.72277193156</v>
      </c>
      <c r="O203" s="25" t="n">
        <f aca="false">datos_base!$H$11*parametros_recargas!$Q$43+sobrestock_sustitutos!$H$184/12</f>
        <v>1115.58296421816</v>
      </c>
      <c r="P203" s="7" t="n">
        <f aca="false">SUM(D203:O203)</f>
        <v>12631.3103337822</v>
      </c>
      <c r="Q203" s="13" t="n">
        <f aca="false">sobrestock_sustitutos!$H$184</f>
        <v>0</v>
      </c>
    </row>
    <row r="204" customFormat="false" ht="15" hidden="false" customHeight="false" outlineLevel="0" collapsed="false">
      <c r="A204" s="12" t="str">
        <f aca="false">parametros_recargas!A61</f>
        <v>CO₂ 5 kg</v>
      </c>
      <c r="B204" s="12" t="str">
        <f aca="false">parametros_recargas!B61</f>
        <v>CO₂</v>
      </c>
      <c r="C204" s="24" t="n">
        <f aca="false">parametros_recargas!C61</f>
        <v>1</v>
      </c>
      <c r="D204" s="25" t="n">
        <f aca="false">datos_base!$H$12*parametros_recargas!$F$43+sobrestock_sustitutos!$H$185/12</f>
        <v>506.753943663507</v>
      </c>
      <c r="E204" s="25" t="n">
        <f aca="false">datos_base!$H$12*parametros_recargas!$G$43+sobrestock_sustitutos!$H$185/12</f>
        <v>510.269596731216</v>
      </c>
      <c r="F204" s="25" t="n">
        <f aca="false">datos_base!$H$12*parametros_recargas!$H$43+sobrestock_sustitutos!$H$185/12</f>
        <v>513.823027692484</v>
      </c>
      <c r="G204" s="25" t="n">
        <f aca="false">datos_base!$H$12*parametros_recargas!$I$43+sobrestock_sustitutos!$H$185/12</f>
        <v>517.414642494431</v>
      </c>
      <c r="H204" s="25" t="n">
        <f aca="false">datos_base!$H$12*parametros_recargas!$J$43+sobrestock_sustitutos!$H$185/12</f>
        <v>521.044851446335</v>
      </c>
      <c r="I204" s="25" t="n">
        <f aca="false">datos_base!$H$12*parametros_recargas!$K$43+sobrestock_sustitutos!$H$185/12</f>
        <v>524.714069266502</v>
      </c>
      <c r="J204" s="25" t="n">
        <f aca="false">datos_base!$H$12*parametros_recargas!$L$43+sobrestock_sustitutos!$H$185/12</f>
        <v>528.422715129649</v>
      </c>
      <c r="K204" s="25" t="n">
        <f aca="false">datos_base!$H$12*parametros_recargas!$M$43+sobrestock_sustitutos!$H$185/12</f>
        <v>532.171212714785</v>
      </c>
      <c r="L204" s="25" t="n">
        <f aca="false">datos_base!$H$12*parametros_recargas!$N$43+sobrestock_sustitutos!$H$185/12</f>
        <v>535.959990253615</v>
      </c>
      <c r="M204" s="25" t="n">
        <f aca="false">datos_base!$H$12*parametros_recargas!$O$43+sobrestock_sustitutos!$H$185/12</f>
        <v>539.789480579465</v>
      </c>
      <c r="N204" s="25" t="n">
        <f aca="false">datos_base!$H$12*parametros_recargas!$P$43+sobrestock_sustitutos!$H$185/12</f>
        <v>543.660121176723</v>
      </c>
      <c r="O204" s="25" t="n">
        <f aca="false">datos_base!$H$12*parametros_recargas!$Q$43+sobrestock_sustitutos!$H$185/12</f>
        <v>547.572354230821</v>
      </c>
      <c r="P204" s="7" t="n">
        <f aca="false">SUM(D204:O204)</f>
        <v>6321.59600537953</v>
      </c>
      <c r="Q204" s="13" t="n">
        <f aca="false">sobrestock_sustitutos!$H$185</f>
        <v>2155</v>
      </c>
    </row>
    <row r="205" customFormat="false" ht="15" hidden="false" customHeight="false" outlineLevel="0" collapsed="false">
      <c r="A205" s="12" t="str">
        <f aca="false">parametros_recargas!A62</f>
        <v>HCFC/HFC 5 kg</v>
      </c>
      <c r="B205" s="12" t="str">
        <f aca="false">parametros_recargas!B62</f>
        <v>Halogenado</v>
      </c>
      <c r="C205" s="24" t="n">
        <f aca="false">parametros_recargas!C62</f>
        <v>1</v>
      </c>
      <c r="D205" s="25" t="n">
        <f aca="false">datos_base!$H$13*parametros_recargas!$F$43+sobrestock_sustitutos!$H$186/12</f>
        <v>59.8902651596822</v>
      </c>
      <c r="E205" s="25" t="n">
        <f aca="false">datos_base!$H$13*parametros_recargas!$G$43+sobrestock_sustitutos!$H$186/12</f>
        <v>60.4577087075127</v>
      </c>
      <c r="F205" s="25" t="n">
        <f aca="false">datos_base!$H$13*parametros_recargas!$H$43+sobrestock_sustitutos!$H$186/12</f>
        <v>61.0312497915725</v>
      </c>
      <c r="G205" s="25" t="n">
        <f aca="false">datos_base!$H$13*parametros_recargas!$I$43+sobrestock_sustitutos!$H$186/12</f>
        <v>61.6109539337066</v>
      </c>
      <c r="H205" s="25" t="n">
        <f aca="false">datos_base!$H$13*parametros_recargas!$J$43+sobrestock_sustitutos!$H$186/12</f>
        <v>62.1968873598329</v>
      </c>
      <c r="I205" s="25" t="n">
        <f aca="false">datos_base!$H$13*parametros_recargas!$K$43+sobrestock_sustitutos!$H$186/12</f>
        <v>62.7891170075084</v>
      </c>
      <c r="J205" s="25" t="n">
        <f aca="false">datos_base!$H$13*parametros_recargas!$L$43+sobrestock_sustitutos!$H$186/12</f>
        <v>63.3877105335761</v>
      </c>
      <c r="K205" s="25" t="n">
        <f aca="false">datos_base!$H$13*parametros_recargas!$M$43+sobrestock_sustitutos!$H$186/12</f>
        <v>63.992736321894</v>
      </c>
      <c r="L205" s="25" t="n">
        <f aca="false">datos_base!$H$13*parametros_recargas!$N$43+sobrestock_sustitutos!$H$186/12</f>
        <v>64.6042634911478</v>
      </c>
      <c r="M205" s="25" t="n">
        <f aca="false">datos_base!$H$13*parametros_recargas!$O$43+sobrestock_sustitutos!$H$186/12</f>
        <v>65.2223619027463</v>
      </c>
      <c r="N205" s="25" t="n">
        <f aca="false">datos_base!$H$13*parametros_recargas!$P$43+sobrestock_sustitutos!$H$186/12</f>
        <v>65.8471021688033</v>
      </c>
      <c r="O205" s="25" t="n">
        <f aca="false">datos_base!$H$13*parametros_recargas!$Q$43+sobrestock_sustitutos!$H$186/12</f>
        <v>66.4785556602036</v>
      </c>
      <c r="P205" s="7" t="n">
        <f aca="false">SUM(D205:O205)</f>
        <v>757.508912038186</v>
      </c>
      <c r="Q205" s="13" t="n">
        <f aca="false">sobrestock_sustitutos!$H$186</f>
        <v>85</v>
      </c>
    </row>
    <row r="206" customFormat="false" ht="15" hidden="false" customHeight="false" outlineLevel="0" collapsed="false">
      <c r="A206" s="12" t="str">
        <f aca="false">parametros_recargas!A63</f>
        <v>Clase D 9 l</v>
      </c>
      <c r="B206" s="12" t="str">
        <f aca="false">parametros_recargas!B63</f>
        <v>Clase D</v>
      </c>
      <c r="C206" s="24" t="n">
        <f aca="false">parametros_recargas!C63</f>
        <v>1</v>
      </c>
      <c r="D206" s="25" t="n">
        <f aca="false">datos_base!$H$14*parametros_recargas!$F$43+sobrestock_sustitutos!$H$187/12</f>
        <v>21.3550437141528</v>
      </c>
      <c r="E206" s="25" t="n">
        <f aca="false">datos_base!$H$14*parametros_recargas!$G$43+sobrestock_sustitutos!$H$187/12</f>
        <v>21.5522801519748</v>
      </c>
      <c r="F206" s="25" t="n">
        <f aca="false">datos_base!$H$14*parametros_recargas!$H$43+sobrestock_sustitutos!$H$187/12</f>
        <v>21.751636018822</v>
      </c>
      <c r="G206" s="25" t="n">
        <f aca="false">datos_base!$H$14*parametros_recargas!$I$43+sobrestock_sustitutos!$H$187/12</f>
        <v>21.9531340892862</v>
      </c>
      <c r="H206" s="25" t="n">
        <f aca="false">datos_base!$H$14*parametros_recargas!$J$43+sobrestock_sustitutos!$H$187/12</f>
        <v>22.1567973826868</v>
      </c>
      <c r="I206" s="25" t="n">
        <f aca="false">datos_base!$H$14*parametros_recargas!$K$43+sobrestock_sustitutos!$H$187/12</f>
        <v>22.3626491656998</v>
      </c>
      <c r="J206" s="25" t="n">
        <f aca="false">datos_base!$H$14*parametros_recargas!$L$43+sobrestock_sustitutos!$H$187/12</f>
        <v>22.5707129550165</v>
      </c>
      <c r="K206" s="25" t="n">
        <f aca="false">datos_base!$H$14*parametros_recargas!$M$43+sobrestock_sustitutos!$H$187/12</f>
        <v>22.7810125200298</v>
      </c>
      <c r="L206" s="25" t="n">
        <f aca="false">datos_base!$H$14*parametros_recargas!$N$43+sobrestock_sustitutos!$H$187/12</f>
        <v>22.9935718855494</v>
      </c>
      <c r="M206" s="25" t="n">
        <f aca="false">datos_base!$H$14*parametros_recargas!$O$43+sobrestock_sustitutos!$H$187/12</f>
        <v>23.2084153345467</v>
      </c>
      <c r="N206" s="25" t="n">
        <f aca="false">datos_base!$H$14*parametros_recargas!$P$43+sobrestock_sustitutos!$H$187/12</f>
        <v>23.4255674109289</v>
      </c>
      <c r="O206" s="25" t="n">
        <f aca="false">datos_base!$H$14*parametros_recargas!$Q$43+sobrestock_sustitutos!$H$187/12</f>
        <v>23.6450529223429</v>
      </c>
      <c r="P206" s="7" t="n">
        <f aca="false">SUM(D206:O206)</f>
        <v>269.755873551037</v>
      </c>
      <c r="Q206" s="13" t="n">
        <f aca="false">sobrestock_sustitutos!$H$187</f>
        <v>36</v>
      </c>
    </row>
    <row r="207" customFormat="false" ht="15" hidden="false" customHeight="false" outlineLevel="0" collapsed="false">
      <c r="A207" s="12" t="str">
        <f aca="false">parametros_recargas!A64</f>
        <v>ABC 25 kg s/ruedas</v>
      </c>
      <c r="B207" s="12" t="str">
        <f aca="false">parametros_recargas!B64</f>
        <v>ABC</v>
      </c>
      <c r="C207" s="24" t="n">
        <f aca="false">parametros_recargas!C64</f>
        <v>3</v>
      </c>
      <c r="D207" s="25" t="n">
        <f aca="false">datos_base!$H$15*parametros_recargas!$F$43+sobrestock_sustitutos!$H$188/12</f>
        <v>44.2884482737248</v>
      </c>
      <c r="E207" s="25" t="n">
        <f aca="false">datos_base!$H$15*parametros_recargas!$G$43+sobrestock_sustitutos!$H$188/12</f>
        <v>44.7643553818861</v>
      </c>
      <c r="F207" s="25" t="n">
        <f aca="false">datos_base!$H$15*parametros_recargas!$H$43+sobrestock_sustitutos!$H$188/12</f>
        <v>45.2453764099165</v>
      </c>
      <c r="G207" s="25" t="n">
        <f aca="false">datos_base!$H$15*parametros_recargas!$I$43+sobrestock_sustitutos!$H$188/12</f>
        <v>45.7315663100871</v>
      </c>
      <c r="H207" s="25" t="n">
        <f aca="false">datos_base!$H$15*parametros_recargas!$J$43+sobrestock_sustitutos!$H$188/12</f>
        <v>46.2229806251655</v>
      </c>
      <c r="I207" s="25" t="n">
        <f aca="false">datos_base!$H$15*parametros_recargas!$K$43+sobrestock_sustitutos!$H$188/12</f>
        <v>46.7196754947613</v>
      </c>
      <c r="J207" s="25" t="n">
        <f aca="false">datos_base!$H$15*parametros_recargas!$L$43+sobrestock_sustitutos!$H$188/12</f>
        <v>47.2217076617392</v>
      </c>
      <c r="K207" s="25" t="n">
        <f aca="false">datos_base!$H$15*parametros_recargas!$M$43+sobrestock_sustitutos!$H$188/12</f>
        <v>47.7291344787015</v>
      </c>
      <c r="L207" s="25" t="n">
        <f aca="false">datos_base!$H$15*parametros_recargas!$N$43+sobrestock_sustitutos!$H$188/12</f>
        <v>48.2420139145403</v>
      </c>
      <c r="M207" s="25" t="n">
        <f aca="false">datos_base!$H$15*parametros_recargas!$O$43+sobrestock_sustitutos!$H$188/12</f>
        <v>48.7604045610594</v>
      </c>
      <c r="N207" s="25" t="n">
        <f aca="false">datos_base!$H$15*parametros_recargas!$P$43+sobrestock_sustitutos!$H$188/12</f>
        <v>49.2843656396686</v>
      </c>
      <c r="O207" s="25" t="n">
        <f aca="false">datos_base!$H$15*parametros_recargas!$Q$43+sobrestock_sustitutos!$H$188/12</f>
        <v>49.8139570081486</v>
      </c>
      <c r="P207" s="7" t="n">
        <f aca="false">SUM(D207:O207)</f>
        <v>564.023985759399</v>
      </c>
      <c r="Q207" s="13" t="n">
        <f aca="false">sobrestock_sustitutos!$H$188</f>
        <v>0</v>
      </c>
    </row>
    <row r="208" customFormat="false" ht="15" hidden="false" customHeight="false" outlineLevel="0" collapsed="false">
      <c r="A208" s="12" t="str">
        <f aca="false">parametros_recargas!A65</f>
        <v>ABC 50 kg s/ruedas</v>
      </c>
      <c r="B208" s="12" t="str">
        <f aca="false">parametros_recargas!B65</f>
        <v>ABC</v>
      </c>
      <c r="C208" s="24" t="n">
        <f aca="false">parametros_recargas!C65</f>
        <v>3</v>
      </c>
      <c r="D208" s="25" t="n">
        <f aca="false">datos_base!$H$16*parametros_recargas!$F$43+sobrestock_sustitutos!$H$189/12</f>
        <v>121.351252902395</v>
      </c>
      <c r="E208" s="25" t="n">
        <f aca="false">datos_base!$H$16*parametros_recargas!$G$43+sobrestock_sustitutos!$H$189/12</f>
        <v>122.39824854071</v>
      </c>
      <c r="F208" s="25" t="n">
        <f aca="false">datos_base!$H$16*parametros_recargas!$H$43+sobrestock_sustitutos!$H$189/12</f>
        <v>123.456494802741</v>
      </c>
      <c r="G208" s="25" t="n">
        <f aca="false">datos_base!$H$16*parametros_recargas!$I$43+sobrestock_sustitutos!$H$189/12</f>
        <v>124.526112583485</v>
      </c>
      <c r="H208" s="25" t="n">
        <f aca="false">datos_base!$H$16*parametros_recargas!$J$43+sobrestock_sustitutos!$H$189/12</f>
        <v>125.607224077029</v>
      </c>
      <c r="I208" s="25" t="n">
        <f aca="false">datos_base!$H$16*parametros_recargas!$K$43+sobrestock_sustitutos!$H$189/12</f>
        <v>126.699952790516</v>
      </c>
      <c r="J208" s="25" t="n">
        <f aca="false">datos_base!$H$16*parametros_recargas!$L$43+sobrestock_sustitutos!$H$189/12</f>
        <v>127.804423558247</v>
      </c>
      <c r="K208" s="25" t="n">
        <f aca="false">datos_base!$H$16*parametros_recargas!$M$43+sobrestock_sustitutos!$H$189/12</f>
        <v>128.920762555949</v>
      </c>
      <c r="L208" s="25" t="n">
        <f aca="false">datos_base!$H$16*parametros_recargas!$N$43+sobrestock_sustitutos!$H$189/12</f>
        <v>130.049097315182</v>
      </c>
      <c r="M208" s="25" t="n">
        <f aca="false">datos_base!$H$16*parametros_recargas!$O$43+sobrestock_sustitutos!$H$189/12</f>
        <v>131.189556737917</v>
      </c>
      <c r="N208" s="25" t="n">
        <f aca="false">datos_base!$H$16*parametros_recargas!$P$43+sobrestock_sustitutos!$H$189/12</f>
        <v>132.342271111254</v>
      </c>
      <c r="O208" s="25" t="n">
        <f aca="false">datos_base!$H$16*parametros_recargas!$Q$43+sobrestock_sustitutos!$H$189/12</f>
        <v>133.507372122311</v>
      </c>
      <c r="P208" s="7" t="n">
        <f aca="false">SUM(D208:O208)</f>
        <v>1527.85276909774</v>
      </c>
      <c r="Q208" s="13" t="n">
        <f aca="false">sobrestock_sustitutos!$H$189</f>
        <v>287</v>
      </c>
    </row>
    <row r="209" customFormat="false" ht="15" hidden="false" customHeight="false" outlineLevel="0" collapsed="false">
      <c r="A209" s="12" t="str">
        <f aca="false">parametros_recargas!A66</f>
        <v>ABC 70 kg s/ruedas</v>
      </c>
      <c r="B209" s="12" t="str">
        <f aca="false">parametros_recargas!B66</f>
        <v>ABC</v>
      </c>
      <c r="C209" s="24" t="n">
        <f aca="false">parametros_recargas!C66</f>
        <v>3</v>
      </c>
      <c r="D209" s="25" t="n">
        <f aca="false">datos_base!$H$17*parametros_recargas!$F$43+sobrestock_sustitutos!$H$190/12</f>
        <v>21.2584551624456</v>
      </c>
      <c r="E209" s="25" t="n">
        <f aca="false">datos_base!$H$17*parametros_recargas!$G$43+sobrestock_sustitutos!$H$190/12</f>
        <v>21.486890574267</v>
      </c>
      <c r="F209" s="25" t="n">
        <f aca="false">datos_base!$H$17*parametros_recargas!$H$43+sobrestock_sustitutos!$H$190/12</f>
        <v>21.7177806676244</v>
      </c>
      <c r="G209" s="25" t="n">
        <f aca="false">datos_base!$H$17*parametros_recargas!$I$43+sobrestock_sustitutos!$H$190/12</f>
        <v>21.9511518196081</v>
      </c>
      <c r="H209" s="25" t="n">
        <f aca="false">datos_base!$H$17*parametros_recargas!$J$43+sobrestock_sustitutos!$H$190/12</f>
        <v>22.1870306907466</v>
      </c>
      <c r="I209" s="25" t="n">
        <f aca="false">datos_base!$H$17*parametros_recargas!$K$43+sobrestock_sustitutos!$H$190/12</f>
        <v>22.4254442280523</v>
      </c>
      <c r="J209" s="25" t="n">
        <f aca="false">datos_base!$H$17*parametros_recargas!$L$43+sobrestock_sustitutos!$H$190/12</f>
        <v>22.6664196681003</v>
      </c>
      <c r="K209" s="25" t="n">
        <f aca="false">datos_base!$H$17*parametros_recargas!$M$43+sobrestock_sustitutos!$H$190/12</f>
        <v>22.9099845401397</v>
      </c>
      <c r="L209" s="25" t="n">
        <f aca="false">datos_base!$H$17*parametros_recargas!$N$43+sobrestock_sustitutos!$H$190/12</f>
        <v>23.1561666692388</v>
      </c>
      <c r="M209" s="25" t="n">
        <f aca="false">datos_base!$H$17*parametros_recargas!$O$43+sobrestock_sustitutos!$H$190/12</f>
        <v>23.4049941794633</v>
      </c>
      <c r="N209" s="25" t="n">
        <f aca="false">datos_base!$H$17*parametros_recargas!$P$43+sobrestock_sustitutos!$H$190/12</f>
        <v>23.6564954970899</v>
      </c>
      <c r="O209" s="25" t="n">
        <f aca="false">datos_base!$H$17*parametros_recargas!$Q$43+sobrestock_sustitutos!$H$190/12</f>
        <v>23.9106993538534</v>
      </c>
      <c r="P209" s="7" t="n">
        <f aca="false">SUM(D209:O209)</f>
        <v>270.731513050629</v>
      </c>
      <c r="Q209" s="13" t="n">
        <f aca="false">sobrestock_sustitutos!$H$190</f>
        <v>0</v>
      </c>
    </row>
    <row r="210" customFormat="false" ht="15" hidden="false" customHeight="false" outlineLevel="0" collapsed="false">
      <c r="A210" s="12" t="str">
        <f aca="false">parametros_recargas!A67</f>
        <v>ABC 100 kg s/ruedas</v>
      </c>
      <c r="B210" s="12" t="str">
        <f aca="false">parametros_recargas!B67</f>
        <v>ABC</v>
      </c>
      <c r="C210" s="24" t="n">
        <f aca="false">parametros_recargas!C67</f>
        <v>3</v>
      </c>
      <c r="D210" s="25" t="n">
        <f aca="false">datos_base!$H$18*parametros_recargas!$F$43+sobrestock_sustitutos!$H$191/12</f>
        <v>20.1723034788899</v>
      </c>
      <c r="E210" s="25" t="n">
        <f aca="false">datos_base!$H$18*parametros_recargas!$G$43+sobrestock_sustitutos!$H$191/12</f>
        <v>20.3245937538379</v>
      </c>
      <c r="F210" s="25" t="n">
        <f aca="false">datos_base!$H$18*parametros_recargas!$H$43+sobrestock_sustitutos!$H$191/12</f>
        <v>20.4785204831475</v>
      </c>
      <c r="G210" s="25" t="n">
        <f aca="false">datos_base!$H$18*parametros_recargas!$I$43+sobrestock_sustitutos!$H$191/12</f>
        <v>20.6341012515457</v>
      </c>
      <c r="H210" s="25" t="n">
        <f aca="false">datos_base!$H$18*parametros_recargas!$J$43+sobrestock_sustitutos!$H$191/12</f>
        <v>20.7913538327181</v>
      </c>
      <c r="I210" s="25" t="n">
        <f aca="false">datos_base!$H$18*parametros_recargas!$K$43+sobrestock_sustitutos!$H$191/12</f>
        <v>20.9502961913397</v>
      </c>
      <c r="J210" s="25" t="n">
        <f aca="false">datos_base!$H$18*parametros_recargas!$L$43+sobrestock_sustitutos!$H$191/12</f>
        <v>21.1109464851274</v>
      </c>
      <c r="K210" s="25" t="n">
        <f aca="false">datos_base!$H$18*parametros_recargas!$M$43+sobrestock_sustitutos!$H$191/12</f>
        <v>21.273323066914</v>
      </c>
      <c r="L210" s="25" t="n">
        <f aca="false">datos_base!$H$18*parametros_recargas!$N$43+sobrestock_sustitutos!$H$191/12</f>
        <v>21.4374444867448</v>
      </c>
      <c r="M210" s="25" t="n">
        <f aca="false">datos_base!$H$18*parametros_recargas!$O$43+sobrestock_sustitutos!$H$191/12</f>
        <v>21.6033294939973</v>
      </c>
      <c r="N210" s="25" t="n">
        <f aca="false">datos_base!$H$18*parametros_recargas!$P$43+sobrestock_sustitutos!$H$191/12</f>
        <v>21.7709970395225</v>
      </c>
      <c r="O210" s="25" t="n">
        <f aca="false">datos_base!$H$18*parametros_recargas!$Q$43+sobrestock_sustitutos!$H$191/12</f>
        <v>21.9404662778104</v>
      </c>
      <c r="P210" s="7" t="n">
        <f aca="false">SUM(D210:O210)</f>
        <v>252.487675841595</v>
      </c>
      <c r="Q210" s="13" t="n">
        <f aca="false">sobrestock_sustitutos!$H$191</f>
        <v>72</v>
      </c>
    </row>
    <row r="211" customFormat="false" ht="15" hidden="false" customHeight="false" outlineLevel="0" collapsed="false">
      <c r="A211" s="6" t="s">
        <v>273</v>
      </c>
      <c r="D211" s="7" t="n">
        <f aca="false">SUM(D194:D210)</f>
        <v>17082.2223975829</v>
      </c>
      <c r="E211" s="7" t="n">
        <f aca="false">SUM(E194:E210)</f>
        <v>17252.6495227433</v>
      </c>
      <c r="F211" s="7" t="n">
        <f aca="false">SUM(F194:F210)</f>
        <v>17424.9079940773</v>
      </c>
      <c r="G211" s="7" t="n">
        <f aca="false">SUM(G194:G210)</f>
        <v>17599.0174905465</v>
      </c>
      <c r="H211" s="7" t="n">
        <f aca="false">SUM(H194:H210)</f>
        <v>17774.9979025749</v>
      </c>
      <c r="I211" s="7" t="n">
        <f aca="false">SUM(I194:I210)</f>
        <v>17952.8693343216</v>
      </c>
      <c r="J211" s="7" t="n">
        <f aca="false">SUM(J194:J210)</f>
        <v>18132.6521059777</v>
      </c>
      <c r="K211" s="7" t="n">
        <f aca="false">SUM(K194:K210)</f>
        <v>18314.3667560871</v>
      </c>
      <c r="L211" s="7" t="n">
        <f aca="false">SUM(L194:L210)</f>
        <v>18498.0340438937</v>
      </c>
      <c r="M211" s="7" t="n">
        <f aca="false">SUM(M194:M210)</f>
        <v>18683.674951712</v>
      </c>
      <c r="N211" s="7" t="n">
        <f aca="false">SUM(N194:N210)</f>
        <v>18871.310687325</v>
      </c>
      <c r="O211" s="7" t="n">
        <f aca="false">SUM(O194:O210)</f>
        <v>19060.9626864062</v>
      </c>
      <c r="P211" s="7" t="n">
        <f aca="false">SUM(P194:P210)</f>
        <v>216647.665873248</v>
      </c>
    </row>
    <row r="212" customFormat="false" ht="15" hidden="false" customHeight="false" outlineLevel="0" collapsed="false">
      <c r="A212" s="6" t="s">
        <v>274</v>
      </c>
    </row>
    <row r="213" customFormat="false" ht="15" hidden="false" customHeight="false" outlineLevel="0" collapsed="false">
      <c r="A213" s="4" t="s">
        <v>143</v>
      </c>
      <c r="D213" s="25" t="n">
        <f aca="false">SUMPRODUCT(($B$194:$B$210=$A213)*D$194:D$210*$C$194:$C$210)</f>
        <v>15158.4006324652</v>
      </c>
      <c r="E213" s="25" t="n">
        <f aca="false">SUMPRODUCT(($B$194:$B$210=$A213)*E$194:E$210*$C$194:$C$210)</f>
        <v>15310.5325579344</v>
      </c>
      <c r="F213" s="25" t="n">
        <f aca="false">SUMPRODUCT(($B$194:$B$210=$A213)*F$194:F$210*$C$194:$C$210)</f>
        <v>15464.2992362012</v>
      </c>
      <c r="G213" s="25" t="n">
        <f aca="false">SUMPRODUCT(($B$194:$B$210=$A213)*G$194:G$210*$C$194:$C$210)</f>
        <v>15619.7182337077</v>
      </c>
      <c r="H213" s="25" t="n">
        <f aca="false">SUMPRODUCT(($B$194:$B$210=$A213)*H$194:H$210*$C$194:$C$210)</f>
        <v>15776.807305659</v>
      </c>
      <c r="I213" s="25" t="n">
        <f aca="false">SUMPRODUCT(($B$194:$B$210=$A213)*I$194:I$210*$C$194:$C$210)</f>
        <v>15935.5843980505</v>
      </c>
      <c r="J213" s="25" t="n">
        <f aca="false">SUMPRODUCT(($B$194:$B$210=$A213)*J$194:J$210*$C$194:$C$210)</f>
        <v>16096.067649719</v>
      </c>
      <c r="K213" s="25" t="n">
        <f aca="false">SUMPRODUCT(($B$194:$B$210=$A213)*K$194:K$210*$C$194:$C$210)</f>
        <v>16258.2753944141</v>
      </c>
      <c r="L213" s="25" t="n">
        <f aca="false">SUMPRODUCT(($B$194:$B$210=$A213)*L$194:L$210*$C$194:$C$210)</f>
        <v>16422.2261628933</v>
      </c>
      <c r="M213" s="25" t="n">
        <f aca="false">SUMPRODUCT(($B$194:$B$210=$A213)*M$194:M$210*$C$194:$C$210)</f>
        <v>16587.9386850385</v>
      </c>
      <c r="N213" s="25" t="n">
        <f aca="false">SUMPRODUCT(($B$194:$B$210=$A213)*N$194:N$210*$C$194:$C$210)</f>
        <v>16755.4318919959</v>
      </c>
      <c r="O213" s="25" t="n">
        <f aca="false">SUMPRODUCT(($B$194:$B$210=$A213)*O$194:O$210*$C$194:$C$210)</f>
        <v>16924.7249183389</v>
      </c>
      <c r="P213" s="25" t="n">
        <f aca="false">SUMPRODUCT(($B$194:$B$210=$A213)*P$194:P$210*$C$194:$C$210)</f>
        <v>192310.007066418</v>
      </c>
    </row>
    <row r="214" customFormat="false" ht="15" hidden="false" customHeight="false" outlineLevel="0" collapsed="false">
      <c r="A214" s="4" t="s">
        <v>149</v>
      </c>
      <c r="D214" s="25" t="n">
        <f aca="false">SUMPRODUCT(($B$194:$B$210=$A214)*D$194:D$210*$C$194:$C$210)</f>
        <v>24.0311057836468</v>
      </c>
      <c r="E214" s="25" t="n">
        <f aca="false">SUMPRODUCT(($B$194:$B$210=$A214)*E$194:E$210*$C$194:$C$210)</f>
        <v>24.2526208398054</v>
      </c>
      <c r="F214" s="25" t="n">
        <f aca="false">SUMPRODUCT(($B$194:$B$210=$A214)*F$194:F$210*$C$194:$C$210)</f>
        <v>24.4765162139452</v>
      </c>
      <c r="G214" s="25" t="n">
        <f aca="false">SUMPRODUCT(($B$194:$B$210=$A214)*G$194:G$210*$C$194:$C$210)</f>
        <v>24.7028174840736</v>
      </c>
      <c r="H214" s="25" t="n">
        <f aca="false">SUMPRODUCT(($B$194:$B$210=$A214)*H$194:H$210*$C$194:$C$210)</f>
        <v>24.9315505030492</v>
      </c>
      <c r="I214" s="25" t="n">
        <f aca="false">SUMPRODUCT(($B$194:$B$210=$A214)*I$194:I$210*$C$194:$C$210)</f>
        <v>25.1627414015363</v>
      </c>
      <c r="J214" s="25" t="n">
        <f aca="false">SUMPRODUCT(($B$194:$B$210=$A214)*J$194:J$210*$C$194:$C$210)</f>
        <v>25.396416590989</v>
      </c>
      <c r="K214" s="25" t="n">
        <f aca="false">SUMPRODUCT(($B$194:$B$210=$A214)*K$194:K$210*$C$194:$C$210)</f>
        <v>25.6326027666695</v>
      </c>
      <c r="L214" s="25" t="n">
        <f aca="false">SUMPRODUCT(($B$194:$B$210=$A214)*L$194:L$210*$C$194:$C$210)</f>
        <v>25.8713269106969</v>
      </c>
      <c r="M214" s="25" t="n">
        <f aca="false">SUMPRODUCT(($B$194:$B$210=$A214)*M$194:M$210*$C$194:$C$210)</f>
        <v>26.1126162951304</v>
      </c>
      <c r="N214" s="25" t="n">
        <f aca="false">SUMPRODUCT(($B$194:$B$210=$A214)*N$194:N$210*$C$194:$C$210)</f>
        <v>26.3564984850843</v>
      </c>
      <c r="O214" s="25" t="n">
        <f aca="false">SUMPRODUCT(($B$194:$B$210=$A214)*O$194:O$210*$C$194:$C$210)</f>
        <v>26.6030013418775</v>
      </c>
      <c r="P214" s="25" t="n">
        <f aca="false">SUMPRODUCT(($B$194:$B$210=$A214)*P$194:P$210*$C$194:$C$210)</f>
        <v>303.529814616504</v>
      </c>
    </row>
    <row r="215" customFormat="false" ht="15" hidden="false" customHeight="false" outlineLevel="0" collapsed="false">
      <c r="A215" s="4" t="s">
        <v>155</v>
      </c>
      <c r="D215" s="25" t="n">
        <f aca="false">SUMPRODUCT(($B$194:$B$210=$A215)*D$194:D$210*$C$194:$C$210)</f>
        <v>21.3550437141528</v>
      </c>
      <c r="E215" s="25" t="n">
        <f aca="false">SUMPRODUCT(($B$194:$B$210=$A215)*E$194:E$210*$C$194:$C$210)</f>
        <v>21.5522801519748</v>
      </c>
      <c r="F215" s="25" t="n">
        <f aca="false">SUMPRODUCT(($B$194:$B$210=$A215)*F$194:F$210*$C$194:$C$210)</f>
        <v>21.751636018822</v>
      </c>
      <c r="G215" s="25" t="n">
        <f aca="false">SUMPRODUCT(($B$194:$B$210=$A215)*G$194:G$210*$C$194:$C$210)</f>
        <v>21.9531340892862</v>
      </c>
      <c r="H215" s="25" t="n">
        <f aca="false">SUMPRODUCT(($B$194:$B$210=$A215)*H$194:H$210*$C$194:$C$210)</f>
        <v>22.1567973826868</v>
      </c>
      <c r="I215" s="25" t="n">
        <f aca="false">SUMPRODUCT(($B$194:$B$210=$A215)*I$194:I$210*$C$194:$C$210)</f>
        <v>22.3626491656998</v>
      </c>
      <c r="J215" s="25" t="n">
        <f aca="false">SUMPRODUCT(($B$194:$B$210=$A215)*J$194:J$210*$C$194:$C$210)</f>
        <v>22.5707129550165</v>
      </c>
      <c r="K215" s="25" t="n">
        <f aca="false">SUMPRODUCT(($B$194:$B$210=$A215)*K$194:K$210*$C$194:$C$210)</f>
        <v>22.7810125200298</v>
      </c>
      <c r="L215" s="25" t="n">
        <f aca="false">SUMPRODUCT(($B$194:$B$210=$A215)*L$194:L$210*$C$194:$C$210)</f>
        <v>22.9935718855494</v>
      </c>
      <c r="M215" s="25" t="n">
        <f aca="false">SUMPRODUCT(($B$194:$B$210=$A215)*M$194:M$210*$C$194:$C$210)</f>
        <v>23.2084153345467</v>
      </c>
      <c r="N215" s="25" t="n">
        <f aca="false">SUMPRODUCT(($B$194:$B$210=$A215)*N$194:N$210*$C$194:$C$210)</f>
        <v>23.4255674109289</v>
      </c>
      <c r="O215" s="25" t="n">
        <f aca="false">SUMPRODUCT(($B$194:$B$210=$A215)*O$194:O$210*$C$194:$C$210)</f>
        <v>23.6450529223429</v>
      </c>
      <c r="P215" s="25" t="n">
        <f aca="false">SUMPRODUCT(($B$194:$B$210=$A215)*P$194:P$210*$C$194:$C$210)</f>
        <v>269.755873551037</v>
      </c>
    </row>
    <row r="216" customFormat="false" ht="15" hidden="false" customHeight="false" outlineLevel="0" collapsed="false">
      <c r="A216" s="4" t="s">
        <v>146</v>
      </c>
      <c r="D216" s="25" t="n">
        <f aca="false">SUMPRODUCT(($B$194:$B$210=$A216)*D$194:D$210*$C$194:$C$210)</f>
        <v>415.291109797458</v>
      </c>
      <c r="E216" s="25" t="n">
        <f aca="false">SUMPRODUCT(($B$194:$B$210=$A216)*E$194:E$210*$C$194:$C$210)</f>
        <v>419.218182439</v>
      </c>
      <c r="F216" s="25" t="n">
        <f aca="false">SUMPRODUCT(($B$194:$B$210=$A216)*F$194:F$210*$C$194:$C$210)</f>
        <v>423.187453935034</v>
      </c>
      <c r="G216" s="25" t="n">
        <f aca="false">SUMPRODUCT(($B$194:$B$210=$A216)*G$194:G$210*$C$194:$C$210)</f>
        <v>427.199377738674</v>
      </c>
      <c r="H216" s="25" t="n">
        <f aca="false">SUMPRODUCT(($B$194:$B$210=$A216)*H$194:H$210*$C$194:$C$210)</f>
        <v>431.254412175674</v>
      </c>
      <c r="I216" s="25" t="n">
        <f aca="false">SUMPRODUCT(($B$194:$B$210=$A216)*I$194:I$210*$C$194:$C$210)</f>
        <v>435.353020496781</v>
      </c>
      <c r="J216" s="25" t="n">
        <f aca="false">SUMPRODUCT(($B$194:$B$210=$A216)*J$194:J$210*$C$194:$C$210)</f>
        <v>439.495670930665</v>
      </c>
      <c r="K216" s="25" t="n">
        <f aca="false">SUMPRODUCT(($B$194:$B$210=$A216)*K$194:K$210*$C$194:$C$210)</f>
        <v>443.682836737405</v>
      </c>
      <c r="L216" s="25" t="n">
        <f aca="false">SUMPRODUCT(($B$194:$B$210=$A216)*L$194:L$210*$C$194:$C$210)</f>
        <v>447.914996262556</v>
      </c>
      <c r="M216" s="25" t="n">
        <f aca="false">SUMPRODUCT(($B$194:$B$210=$A216)*M$194:M$210*$C$194:$C$210)</f>
        <v>452.192632991795</v>
      </c>
      <c r="N216" s="25" t="n">
        <f aca="false">SUMPRODUCT(($B$194:$B$210=$A216)*N$194:N$210*$C$194:$C$210)</f>
        <v>456.516235606156</v>
      </c>
      <c r="O216" s="25" t="n">
        <f aca="false">SUMPRODUCT(($B$194:$B$210=$A216)*O$194:O$210*$C$194:$C$210)</f>
        <v>460.886298037856</v>
      </c>
      <c r="P216" s="25" t="n">
        <f aca="false">SUMPRODUCT(($B$194:$B$210=$A216)*P$194:P$210*$C$194:$C$210)</f>
        <v>5252.19222714905</v>
      </c>
    </row>
    <row r="217" customFormat="false" ht="15" hidden="false" customHeight="false" outlineLevel="0" collapsed="false">
      <c r="A217" s="4" t="s">
        <v>147</v>
      </c>
      <c r="D217" s="25" t="n">
        <f aca="false">SUMPRODUCT(($B$194:$B$210=$A217)*D$194:D$210*$C$194:$C$210)</f>
        <v>195.758548120781</v>
      </c>
      <c r="E217" s="25" t="n">
        <f aca="false">SUMPRODUCT(($B$194:$B$210=$A217)*E$194:E$210*$C$194:$C$210)</f>
        <v>197.609574080994</v>
      </c>
      <c r="F217" s="25" t="n">
        <f aca="false">SUMPRODUCT(($B$194:$B$210=$A217)*F$194:F$210*$C$194:$C$210)</f>
        <v>199.48049047418</v>
      </c>
      <c r="G217" s="25" t="n">
        <f aca="false">SUMPRODUCT(($B$194:$B$210=$A217)*G$194:G$210*$C$194:$C$210)</f>
        <v>201.371511035496</v>
      </c>
      <c r="H217" s="25" t="n">
        <f aca="false">SUMPRODUCT(($B$194:$B$210=$A217)*H$194:H$210*$C$194:$C$210)</f>
        <v>203.282851796816</v>
      </c>
      <c r="I217" s="25" t="n">
        <f aca="false">SUMPRODUCT(($B$194:$B$210=$A217)*I$194:I$210*$C$194:$C$210)</f>
        <v>205.214731111413</v>
      </c>
      <c r="J217" s="25" t="n">
        <f aca="false">SUMPRODUCT(($B$194:$B$210=$A217)*J$194:J$210*$C$194:$C$210)</f>
        <v>207.167369678902</v>
      </c>
      <c r="K217" s="25" t="n">
        <f aca="false">SUMPRODUCT(($B$194:$B$210=$A217)*K$194:K$210*$C$194:$C$210)</f>
        <v>209.140990570455</v>
      </c>
      <c r="L217" s="25" t="n">
        <f aca="false">SUMPRODUCT(($B$194:$B$210=$A217)*L$194:L$210*$C$194:$C$210)</f>
        <v>211.135819254281</v>
      </c>
      <c r="M217" s="25" t="n">
        <f aca="false">SUMPRODUCT(($B$194:$B$210=$A217)*M$194:M$210*$C$194:$C$210)</f>
        <v>213.152083621389</v>
      </c>
      <c r="N217" s="25" t="n">
        <f aca="false">SUMPRODUCT(($B$194:$B$210=$A217)*N$194:N$210*$C$194:$C$210)</f>
        <v>215.190014011616</v>
      </c>
      <c r="O217" s="25" t="n">
        <f aca="false">SUMPRODUCT(($B$194:$B$210=$A217)*O$194:O$210*$C$194:$C$210)</f>
        <v>217.249843239947</v>
      </c>
      <c r="P217" s="25" t="n">
        <f aca="false">SUMPRODUCT(($B$194:$B$210=$A217)*P$194:P$210*$C$194:$C$210)</f>
        <v>2475.75382699627</v>
      </c>
    </row>
    <row r="218" customFormat="false" ht="15" hidden="false" customHeight="false" outlineLevel="0" collapsed="false">
      <c r="A218" s="4" t="s">
        <v>150</v>
      </c>
      <c r="D218" s="25" t="n">
        <f aca="false">SUMPRODUCT(($B$194:$B$210=$A218)*D$194:D$210*$C$194:$C$210)</f>
        <v>203.026122394507</v>
      </c>
      <c r="E218" s="25" t="n">
        <f aca="false">SUMPRODUCT(($B$194:$B$210=$A218)*E$194:E$210*$C$194:$C$210)</f>
        <v>204.94628830246</v>
      </c>
      <c r="F218" s="25" t="n">
        <f aca="false">SUMPRODUCT(($B$194:$B$210=$A218)*F$194:F$210*$C$194:$C$210)</f>
        <v>206.887087595418</v>
      </c>
      <c r="G218" s="25" t="n">
        <f aca="false">SUMPRODUCT(($B$194:$B$210=$A218)*G$194:G$210*$C$194:$C$210)</f>
        <v>208.84874199202</v>
      </c>
      <c r="H218" s="25" t="n">
        <f aca="false">SUMPRODUCT(($B$194:$B$210=$A218)*H$194:H$210*$C$194:$C$210)</f>
        <v>210.831475593415</v>
      </c>
      <c r="I218" s="25" t="n">
        <f aca="false">SUMPRODUCT(($B$194:$B$210=$A218)*I$194:I$210*$C$194:$C$210)</f>
        <v>212.835514908857</v>
      </c>
      <c r="J218" s="25" t="n">
        <f aca="false">SUMPRODUCT(($B$194:$B$210=$A218)*J$194:J$210*$C$194:$C$210)</f>
        <v>214.861088881583</v>
      </c>
      <c r="K218" s="25" t="n">
        <f aca="false">SUMPRODUCT(($B$194:$B$210=$A218)*K$194:K$210*$C$194:$C$210)</f>
        <v>216.908428914971</v>
      </c>
      <c r="L218" s="25" t="n">
        <f aca="false">SUMPRODUCT(($B$194:$B$210=$A218)*L$194:L$210*$C$194:$C$210)</f>
        <v>218.977768898971</v>
      </c>
      <c r="M218" s="25" t="n">
        <f aca="false">SUMPRODUCT(($B$194:$B$210=$A218)*M$194:M$210*$C$194:$C$210)</f>
        <v>221.069345236829</v>
      </c>
      <c r="N218" s="25" t="n">
        <f aca="false">SUMPRODUCT(($B$194:$B$210=$A218)*N$194:N$210*$C$194:$C$210)</f>
        <v>223.183396872088</v>
      </c>
      <c r="O218" s="25" t="n">
        <f aca="false">SUMPRODUCT(($B$194:$B$210=$A218)*O$194:O$210*$C$194:$C$210)</f>
        <v>225.320165315894</v>
      </c>
      <c r="P218" s="25" t="n">
        <f aca="false">SUMPRODUCT(($B$194:$B$210=$A218)*P$194:P$210*$C$194:$C$210)</f>
        <v>2567.69542490701</v>
      </c>
    </row>
    <row r="219" customFormat="false" ht="15" hidden="false" customHeight="false" outlineLevel="0" collapsed="false">
      <c r="A219" s="4" t="s">
        <v>151</v>
      </c>
      <c r="D219" s="25" t="n">
        <f aca="false">SUMPRODUCT(($B$194:$B$210=$A219)*D$194:D$210*$C$194:$C$210)</f>
        <v>1498.59320665846</v>
      </c>
      <c r="E219" s="25" t="n">
        <f aca="false">SUMPRODUCT(($B$194:$B$210=$A219)*E$194:E$210*$C$194:$C$210)</f>
        <v>1512.76679365277</v>
      </c>
      <c r="F219" s="25" t="n">
        <f aca="false">SUMPRODUCT(($B$194:$B$210=$A219)*F$194:F$210*$C$194:$C$210)</f>
        <v>1527.0926847142</v>
      </c>
      <c r="G219" s="25" t="n">
        <f aca="false">SUMPRODUCT(($B$194:$B$210=$A219)*G$194:G$210*$C$194:$C$210)</f>
        <v>1541.57251644532</v>
      </c>
      <c r="H219" s="25" t="n">
        <f aca="false">SUMPRODUCT(($B$194:$B$210=$A219)*H$194:H$210*$C$194:$C$210)</f>
        <v>1556.20794303502</v>
      </c>
      <c r="I219" s="25" t="n">
        <f aca="false">SUMPRODUCT(($B$194:$B$210=$A219)*I$194:I$210*$C$194:$C$210)</f>
        <v>1571.00063644748</v>
      </c>
      <c r="J219" s="25" t="n">
        <f aca="false">SUMPRODUCT(($B$194:$B$210=$A219)*J$194:J$210*$C$194:$C$210)</f>
        <v>1585.95228661318</v>
      </c>
      <c r="K219" s="25" t="n">
        <f aca="false">SUMPRODUCT(($B$194:$B$210=$A219)*K$194:K$210*$C$194:$C$210)</f>
        <v>1601.06460162198</v>
      </c>
      <c r="L219" s="25" t="n">
        <f aca="false">SUMPRODUCT(($B$194:$B$210=$A219)*L$194:L$210*$C$194:$C$210)</f>
        <v>1616.3393079182</v>
      </c>
      <c r="M219" s="25" t="n">
        <f aca="false">SUMPRODUCT(($B$194:$B$210=$A219)*M$194:M$210*$C$194:$C$210)</f>
        <v>1631.77815049792</v>
      </c>
      <c r="N219" s="25" t="n">
        <f aca="false">SUMPRODUCT(($B$194:$B$210=$A219)*N$194:N$210*$C$194:$C$210)</f>
        <v>1647.38289310828</v>
      </c>
      <c r="O219" s="25" t="n">
        <f aca="false">SUMPRODUCT(($B$194:$B$210=$A219)*O$194:O$210*$C$194:$C$210)</f>
        <v>1663.15531844898</v>
      </c>
      <c r="P219" s="25" t="n">
        <f aca="false">SUMPRODUCT(($B$194:$B$210=$A219)*P$194:P$210*$C$194:$C$210)</f>
        <v>18952.9063391618</v>
      </c>
    </row>
    <row r="220" customFormat="false" ht="15" hidden="false" customHeight="false" outlineLevel="0" collapsed="false">
      <c r="A220" s="4" t="s">
        <v>154</v>
      </c>
      <c r="D220" s="25" t="n">
        <f aca="false">SUMPRODUCT(($B$194:$B$210=$A220)*D$194:D$210*$C$194:$C$210)</f>
        <v>59.8902651596822</v>
      </c>
      <c r="E220" s="25" t="n">
        <f aca="false">SUMPRODUCT(($B$194:$B$210=$A220)*E$194:E$210*$C$194:$C$210)</f>
        <v>60.4577087075127</v>
      </c>
      <c r="F220" s="25" t="n">
        <f aca="false">SUMPRODUCT(($B$194:$B$210=$A220)*F$194:F$210*$C$194:$C$210)</f>
        <v>61.0312497915725</v>
      </c>
      <c r="G220" s="25" t="n">
        <f aca="false">SUMPRODUCT(($B$194:$B$210=$A220)*G$194:G$210*$C$194:$C$210)</f>
        <v>61.6109539337066</v>
      </c>
      <c r="H220" s="25" t="n">
        <f aca="false">SUMPRODUCT(($B$194:$B$210=$A220)*H$194:H$210*$C$194:$C$210)</f>
        <v>62.1968873598329</v>
      </c>
      <c r="I220" s="25" t="n">
        <f aca="false">SUMPRODUCT(($B$194:$B$210=$A220)*I$194:I$210*$C$194:$C$210)</f>
        <v>62.7891170075084</v>
      </c>
      <c r="J220" s="25" t="n">
        <f aca="false">SUMPRODUCT(($B$194:$B$210=$A220)*J$194:J$210*$C$194:$C$210)</f>
        <v>63.3877105335761</v>
      </c>
      <c r="K220" s="25" t="n">
        <f aca="false">SUMPRODUCT(($B$194:$B$210=$A220)*K$194:K$210*$C$194:$C$210)</f>
        <v>63.992736321894</v>
      </c>
      <c r="L220" s="25" t="n">
        <f aca="false">SUMPRODUCT(($B$194:$B$210=$A220)*L$194:L$210*$C$194:$C$210)</f>
        <v>64.6042634911478</v>
      </c>
      <c r="M220" s="25" t="n">
        <f aca="false">SUMPRODUCT(($B$194:$B$210=$A220)*M$194:M$210*$C$194:$C$210)</f>
        <v>65.2223619027463</v>
      </c>
      <c r="N220" s="25" t="n">
        <f aca="false">SUMPRODUCT(($B$194:$B$210=$A220)*N$194:N$210*$C$194:$C$210)</f>
        <v>65.8471021688033</v>
      </c>
      <c r="O220" s="25" t="n">
        <f aca="false">SUMPRODUCT(($B$194:$B$210=$A220)*O$194:O$210*$C$194:$C$210)</f>
        <v>66.4785556602036</v>
      </c>
      <c r="P220" s="25" t="n">
        <f aca="false">SUMPRODUCT(($B$194:$B$210=$A220)*P$194:P$210*$C$194:$C$210)</f>
        <v>757.508912038186</v>
      </c>
    </row>
    <row r="221" customFormat="false" ht="15" hidden="false" customHeight="false" outlineLevel="0" collapsed="false">
      <c r="A221" s="6" t="s">
        <v>275</v>
      </c>
      <c r="D221" s="26" t="n">
        <f aca="false">SUMPRODUCT(D$194:D$210*parametros_recargas!$D$51:$D$67)</f>
        <v>753.815761918971</v>
      </c>
      <c r="E221" s="26" t="n">
        <f aca="false">SUMPRODUCT(E$194:E$210*parametros_recargas!$D$51:$D$67)</f>
        <v>759.61283841407</v>
      </c>
      <c r="F221" s="26" t="n">
        <f aca="false">SUMPRODUCT(F$194:F$210*parametros_recargas!$D$51:$D$67)</f>
        <v>765.47220812598</v>
      </c>
      <c r="G221" s="26" t="n">
        <f aca="false">SUMPRODUCT(G$194:G$210*parametros_recargas!$D$51:$D$67)</f>
        <v>771.394540434323</v>
      </c>
      <c r="H221" s="26" t="n">
        <f aca="false">SUMPRODUCT(H$194:H$210*parametros_recargas!$D$51:$D$67)</f>
        <v>777.38051191162</v>
      </c>
      <c r="I221" s="26" t="n">
        <f aca="false">SUMPRODUCT(I$194:I$210*parametros_recargas!$D$51:$D$67)</f>
        <v>783.430806400591</v>
      </c>
      <c r="J221" s="26" t="n">
        <f aca="false">SUMPRODUCT(J$194:J$210*parametros_recargas!$D$51:$D$67)</f>
        <v>789.546115092271</v>
      </c>
      <c r="K221" s="26" t="n">
        <f aca="false">SUMPRODUCT(K$194:K$210*parametros_recargas!$D$51:$D$67)</f>
        <v>795.727136604978</v>
      </c>
      <c r="L221" s="26" t="n">
        <f aca="false">SUMPRODUCT(L$194:L$210*parametros_recargas!$D$51:$D$67)</f>
        <v>801.97457706412</v>
      </c>
      <c r="M221" s="26" t="n">
        <f aca="false">SUMPRODUCT(M$194:M$210*parametros_recargas!$D$51:$D$67)</f>
        <v>808.289150182866</v>
      </c>
      <c r="N221" s="26" t="n">
        <f aca="false">SUMPRODUCT(N$194:N$210*parametros_recargas!$D$51:$D$67)</f>
        <v>814.671577343678</v>
      </c>
      <c r="O221" s="26" t="n">
        <f aca="false">SUMPRODUCT(O$194:O$210*parametros_recargas!$D$51:$D$67)</f>
        <v>821.122587680726</v>
      </c>
      <c r="P221" s="26" t="n">
        <f aca="false">SUMPRODUCT(P$194:P$210*parametros_recargas!$D$51:$D$67)</f>
        <v>9442.43781117419</v>
      </c>
    </row>
    <row r="225" customFormat="false" ht="23.85" hidden="false" customHeight="false" outlineLevel="0" collapsed="false">
      <c r="A225" s="23" t="n">
        <v>2033</v>
      </c>
      <c r="B225" s="3" t="s">
        <v>270</v>
      </c>
      <c r="C225" s="3" t="s">
        <v>271</v>
      </c>
      <c r="D225" s="3" t="s">
        <v>124</v>
      </c>
      <c r="E225" s="3" t="s">
        <v>125</v>
      </c>
      <c r="F225" s="3" t="s">
        <v>126</v>
      </c>
      <c r="G225" s="3" t="s">
        <v>127</v>
      </c>
      <c r="H225" s="3" t="s">
        <v>128</v>
      </c>
      <c r="I225" s="3" t="s">
        <v>129</v>
      </c>
      <c r="J225" s="3" t="s">
        <v>130</v>
      </c>
      <c r="K225" s="3" t="s">
        <v>131</v>
      </c>
      <c r="L225" s="3" t="s">
        <v>132</v>
      </c>
      <c r="M225" s="3" t="s">
        <v>133</v>
      </c>
      <c r="N225" s="3" t="s">
        <v>134</v>
      </c>
      <c r="O225" s="3" t="s">
        <v>135</v>
      </c>
      <c r="P225" s="3" t="s">
        <v>136</v>
      </c>
      <c r="Q225" s="3" t="s">
        <v>272</v>
      </c>
    </row>
    <row r="226" customFormat="false" ht="15" hidden="false" customHeight="false" outlineLevel="0" collapsed="false">
      <c r="A226" s="12" t="str">
        <f aca="false">parametros_recargas!A51</f>
        <v>ABC 1 kg</v>
      </c>
      <c r="B226" s="12" t="str">
        <f aca="false">parametros_recargas!B51</f>
        <v>ABC</v>
      </c>
      <c r="C226" s="24" t="n">
        <f aca="false">parametros_recargas!C51</f>
        <v>1</v>
      </c>
      <c r="D226" s="25" t="n">
        <f aca="false">datos_base!$I$2*parametros_recargas!$F$44+sobrestock_sustitutos!$I$175/12</f>
        <v>9830.44368046236</v>
      </c>
      <c r="E226" s="25" t="n">
        <f aca="false">datos_base!$I$2*parametros_recargas!$G$44+sobrestock_sustitutos!$I$175/12</f>
        <v>9890.33252418856</v>
      </c>
      <c r="F226" s="25" t="n">
        <f aca="false">datos_base!$I$2*parametros_recargas!$H$44+sobrestock_sustitutos!$I$175/12</f>
        <v>9950.58622159985</v>
      </c>
      <c r="G226" s="25" t="n">
        <f aca="false">datos_base!$I$2*parametros_recargas!$I$44+sobrestock_sustitutos!$I$175/12</f>
        <v>10011.206995451</v>
      </c>
      <c r="H226" s="25" t="n">
        <f aca="false">datos_base!$I$2*parametros_recargas!$J$44+sobrestock_sustitutos!$I$175/12</f>
        <v>10072.1970820381</v>
      </c>
      <c r="I226" s="25" t="n">
        <f aca="false">datos_base!$I$2*parametros_recargas!$K$44+sobrestock_sustitutos!$I$175/12</f>
        <v>10133.5587312813</v>
      </c>
      <c r="J226" s="25" t="n">
        <f aca="false">datos_base!$I$2*parametros_recargas!$L$44+sobrestock_sustitutos!$I$175/12</f>
        <v>10195.2942068076</v>
      </c>
      <c r="K226" s="25" t="n">
        <f aca="false">datos_base!$I$2*parametros_recargas!$M$44+sobrestock_sustitutos!$I$175/12</f>
        <v>10257.4057860345</v>
      </c>
      <c r="L226" s="25" t="n">
        <f aca="false">datos_base!$I$2*parametros_recargas!$N$44+sobrestock_sustitutos!$I$175/12</f>
        <v>10319.8957602537</v>
      </c>
      <c r="M226" s="25" t="n">
        <f aca="false">datos_base!$I$2*parametros_recargas!$O$44+sobrestock_sustitutos!$I$175/12</f>
        <v>10382.7664347163</v>
      </c>
      <c r="N226" s="25" t="n">
        <f aca="false">datos_base!$I$2*parametros_recargas!$P$44+sobrestock_sustitutos!$I$175/12</f>
        <v>10446.0201287169</v>
      </c>
      <c r="O226" s="25" t="n">
        <f aca="false">datos_base!$I$2*parametros_recargas!$Q$44+sobrestock_sustitutos!$I$175/12</f>
        <v>10509.65917568</v>
      </c>
      <c r="P226" s="7" t="n">
        <f aca="false">SUM(D226:O226)</f>
        <v>121999.36672723</v>
      </c>
      <c r="Q226" s="13" t="n">
        <f aca="false">sobrestock_sustitutos!$I$175</f>
        <v>0</v>
      </c>
    </row>
    <row r="227" customFormat="false" ht="15" hidden="false" customHeight="false" outlineLevel="0" collapsed="false">
      <c r="A227" s="12" t="str">
        <f aca="false">parametros_recargas!A52</f>
        <v>ABC 2,5 kg</v>
      </c>
      <c r="B227" s="12" t="str">
        <f aca="false">parametros_recargas!B52</f>
        <v>ABC</v>
      </c>
      <c r="C227" s="24" t="n">
        <f aca="false">parametros_recargas!C52</f>
        <v>1</v>
      </c>
      <c r="D227" s="25" t="n">
        <f aca="false">datos_base!$I$3*parametros_recargas!$F$44+sobrestock_sustitutos!$I$176/12</f>
        <v>818.020551865939</v>
      </c>
      <c r="E227" s="25" t="n">
        <f aca="false">datos_base!$I$3*parametros_recargas!$G$44+sobrestock_sustitutos!$I$176/12</f>
        <v>823.004081255654</v>
      </c>
      <c r="F227" s="25" t="n">
        <f aca="false">datos_base!$I$3*parametros_recargas!$H$44+sobrestock_sustitutos!$I$176/12</f>
        <v>828.017971209197</v>
      </c>
      <c r="G227" s="25" t="n">
        <f aca="false">datos_base!$I$3*parametros_recargas!$I$44+sobrestock_sustitutos!$I$176/12</f>
        <v>833.062406688624</v>
      </c>
      <c r="H227" s="25" t="n">
        <f aca="false">datos_base!$I$3*parametros_recargas!$J$44+sobrestock_sustitutos!$I$176/12</f>
        <v>838.137573782812</v>
      </c>
      <c r="I227" s="25" t="n">
        <f aca="false">datos_base!$I$3*parametros_recargas!$K$44+sobrestock_sustitutos!$I$176/12</f>
        <v>843.243659714325</v>
      </c>
      <c r="J227" s="25" t="n">
        <f aca="false">datos_base!$I$3*parametros_recargas!$L$44+sobrestock_sustitutos!$I$176/12</f>
        <v>848.38085284632</v>
      </c>
      <c r="K227" s="25" t="n">
        <f aca="false">datos_base!$I$3*parametros_recargas!$M$44+sobrestock_sustitutos!$I$176/12</f>
        <v>853.549342689499</v>
      </c>
      <c r="L227" s="25" t="n">
        <f aca="false">datos_base!$I$3*parametros_recargas!$N$44+sobrestock_sustitutos!$I$176/12</f>
        <v>858.749319909096</v>
      </c>
      <c r="M227" s="25" t="n">
        <f aca="false">datos_base!$I$3*parametros_recargas!$O$44+sobrestock_sustitutos!$I$176/12</f>
        <v>863.980976331911</v>
      </c>
      <c r="N227" s="25" t="n">
        <f aca="false">datos_base!$I$3*parametros_recargas!$P$44+sobrestock_sustitutos!$I$176/12</f>
        <v>869.24450495339</v>
      </c>
      <c r="O227" s="25" t="n">
        <f aca="false">datos_base!$I$3*parametros_recargas!$Q$44+sobrestock_sustitutos!$I$176/12</f>
        <v>874.540099944741</v>
      </c>
      <c r="P227" s="7" t="n">
        <f aca="false">SUM(D227:O227)</f>
        <v>10151.9313411915</v>
      </c>
      <c r="Q227" s="13" t="n">
        <f aca="false">sobrestock_sustitutos!$I$176</f>
        <v>0</v>
      </c>
    </row>
    <row r="228" customFormat="false" ht="15" hidden="false" customHeight="false" outlineLevel="0" collapsed="false">
      <c r="A228" s="12" t="str">
        <f aca="false">parametros_recargas!A53</f>
        <v>ABC 5 kg</v>
      </c>
      <c r="B228" s="12" t="str">
        <f aca="false">parametros_recargas!B53</f>
        <v>ABC</v>
      </c>
      <c r="C228" s="24" t="n">
        <f aca="false">parametros_recargas!C53</f>
        <v>1</v>
      </c>
      <c r="D228" s="25" t="n">
        <f aca="false">datos_base!$I$4*parametros_recargas!$F$44+sobrestock_sustitutos!$I$177/12</f>
        <v>6356.50954273538</v>
      </c>
      <c r="E228" s="25" t="n">
        <f aca="false">datos_base!$I$4*parametros_recargas!$G$44+sobrestock_sustitutos!$I$177/12</f>
        <v>6386.99030623053</v>
      </c>
      <c r="F228" s="25" t="n">
        <f aca="false">datos_base!$I$4*parametros_recargas!$H$44+sobrestock_sustitutos!$I$177/12</f>
        <v>6417.6567640586</v>
      </c>
      <c r="G228" s="25" t="n">
        <f aca="false">datos_base!$I$4*parametros_recargas!$I$44+sobrestock_sustitutos!$I$177/12</f>
        <v>6448.51004750311</v>
      </c>
      <c r="H228" s="25" t="n">
        <f aca="false">datos_base!$I$4*parametros_recargas!$J$44+sobrestock_sustitutos!$I$177/12</f>
        <v>6479.55129473956</v>
      </c>
      <c r="I228" s="25" t="n">
        <f aca="false">datos_base!$I$4*parametros_recargas!$K$44+sobrestock_sustitutos!$I$177/12</f>
        <v>6510.78165087743</v>
      </c>
      <c r="J228" s="25" t="n">
        <f aca="false">datos_base!$I$4*parametros_recargas!$L$44+sobrestock_sustitutos!$I$177/12</f>
        <v>6542.20226800239</v>
      </c>
      <c r="K228" s="25" t="n">
        <f aca="false">datos_base!$I$4*parametros_recargas!$M$44+sobrestock_sustitutos!$I$177/12</f>
        <v>6573.81430521886</v>
      </c>
      <c r="L228" s="25" t="n">
        <f aca="false">datos_base!$I$4*parametros_recargas!$N$44+sobrestock_sustitutos!$I$177/12</f>
        <v>6605.61892869269</v>
      </c>
      <c r="M228" s="25" t="n">
        <f aca="false">datos_base!$I$4*parametros_recargas!$O$44+sobrestock_sustitutos!$I$177/12</f>
        <v>6637.61731169426</v>
      </c>
      <c r="N228" s="25" t="n">
        <f aca="false">datos_base!$I$4*parametros_recargas!$P$44+sobrestock_sustitutos!$I$177/12</f>
        <v>6669.81063464172</v>
      </c>
      <c r="O228" s="25" t="n">
        <f aca="false">datos_base!$I$4*parametros_recargas!$Q$44+sobrestock_sustitutos!$I$177/12</f>
        <v>6702.20008514452</v>
      </c>
      <c r="P228" s="7" t="n">
        <f aca="false">SUM(D228:O228)</f>
        <v>78331.263139539</v>
      </c>
      <c r="Q228" s="13" t="n">
        <f aca="false">sobrestock_sustitutos!$I$177</f>
        <v>16239</v>
      </c>
    </row>
    <row r="229" customFormat="false" ht="15" hidden="false" customHeight="false" outlineLevel="0" collapsed="false">
      <c r="A229" s="12" t="str">
        <f aca="false">parametros_recargas!A54</f>
        <v>ABC 10 kg</v>
      </c>
      <c r="B229" s="12" t="str">
        <f aca="false">parametros_recargas!B54</f>
        <v>ABC</v>
      </c>
      <c r="C229" s="24" t="n">
        <f aca="false">parametros_recargas!C54</f>
        <v>1</v>
      </c>
      <c r="D229" s="25" t="n">
        <f aca="false">datos_base!$I$5*parametros_recargas!$F$44+sobrestock_sustitutos!$I$178/12</f>
        <v>365.197071927462</v>
      </c>
      <c r="E229" s="25" t="n">
        <f aca="false">datos_base!$I$5*parametros_recargas!$G$44+sobrestock_sustitutos!$I$178/12</f>
        <v>367.001558146947</v>
      </c>
      <c r="F229" s="25" t="n">
        <f aca="false">datos_base!$I$5*parametros_recargas!$H$44+sobrestock_sustitutos!$I$178/12</f>
        <v>368.817037623372</v>
      </c>
      <c r="G229" s="25" t="n">
        <f aca="false">datos_base!$I$5*parametros_recargas!$I$44+sobrestock_sustitutos!$I$178/12</f>
        <v>370.643577329648</v>
      </c>
      <c r="H229" s="25" t="n">
        <f aca="false">datos_base!$I$5*parametros_recargas!$J$44+sobrestock_sustitutos!$I$178/12</f>
        <v>372.4812446467</v>
      </c>
      <c r="I229" s="25" t="n">
        <f aca="false">datos_base!$I$5*parametros_recargas!$K$44+sobrestock_sustitutos!$I$178/12</f>
        <v>374.330107365949</v>
      </c>
      <c r="J229" s="25" t="n">
        <f aca="false">datos_base!$I$5*parametros_recargas!$L$44+sobrestock_sustitutos!$I$178/12</f>
        <v>376.190233691812</v>
      </c>
      <c r="K229" s="25" t="n">
        <f aca="false">datos_base!$I$5*parametros_recargas!$M$44+sobrestock_sustitutos!$I$178/12</f>
        <v>378.061692244222</v>
      </c>
      <c r="L229" s="25" t="n">
        <f aca="false">datos_base!$I$5*parametros_recargas!$N$44+sobrestock_sustitutos!$I$178/12</f>
        <v>379.944552061155</v>
      </c>
      <c r="M229" s="25" t="n">
        <f aca="false">datos_base!$I$5*parametros_recargas!$O$44+sobrestock_sustitutos!$I$178/12</f>
        <v>381.838882601181</v>
      </c>
      <c r="N229" s="25" t="n">
        <f aca="false">datos_base!$I$5*parametros_recargas!$P$44+sobrestock_sustitutos!$I$178/12</f>
        <v>383.744753746022</v>
      </c>
      <c r="O229" s="25" t="n">
        <f aca="false">datos_base!$I$5*parametros_recargas!$Q$44+sobrestock_sustitutos!$I$178/12</f>
        <v>385.662235803134</v>
      </c>
      <c r="P229" s="7" t="n">
        <f aca="false">SUM(D229:O229)</f>
        <v>4503.9129471876</v>
      </c>
      <c r="Q229" s="13" t="n">
        <f aca="false">sobrestock_sustitutos!$I$178</f>
        <v>828</v>
      </c>
    </row>
    <row r="230" customFormat="false" ht="15" hidden="false" customHeight="false" outlineLevel="0" collapsed="false">
      <c r="A230" s="12" t="str">
        <f aca="false">parametros_recargas!A55</f>
        <v>Agua 10 l</v>
      </c>
      <c r="B230" s="12" t="str">
        <f aca="false">parametros_recargas!B55</f>
        <v>Agua</v>
      </c>
      <c r="C230" s="24" t="n">
        <f aca="false">parametros_recargas!C55</f>
        <v>1</v>
      </c>
      <c r="D230" s="25" t="n">
        <f aca="false">datos_base!$I$6*parametros_recargas!$F$44+sobrestock_sustitutos!$I$179/12</f>
        <v>496.357943127362</v>
      </c>
      <c r="E230" s="25" t="n">
        <f aca="false">datos_base!$I$6*parametros_recargas!$G$44+sobrestock_sustitutos!$I$179/12</f>
        <v>498.898024914167</v>
      </c>
      <c r="F230" s="25" t="n">
        <f aca="false">datos_base!$I$6*parametros_recargas!$H$44+sobrestock_sustitutos!$I$179/12</f>
        <v>501.453581339363</v>
      </c>
      <c r="G230" s="25" t="n">
        <f aca="false">datos_base!$I$6*parametros_recargas!$I$44+sobrestock_sustitutos!$I$179/12</f>
        <v>504.024706677252</v>
      </c>
      <c r="H230" s="25" t="n">
        <f aca="false">datos_base!$I$6*parametros_recargas!$J$44+sobrestock_sustitutos!$I$179/12</f>
        <v>506.611495776468</v>
      </c>
      <c r="I230" s="25" t="n">
        <f aca="false">datos_base!$I$6*parametros_recargas!$K$44+sobrestock_sustitutos!$I$179/12</f>
        <v>509.214044063485</v>
      </c>
      <c r="J230" s="25" t="n">
        <f aca="false">datos_base!$I$6*parametros_recargas!$L$44+sobrestock_sustitutos!$I$179/12</f>
        <v>511.832447546127</v>
      </c>
      <c r="K230" s="25" t="n">
        <f aca="false">datos_base!$I$6*parametros_recargas!$M$44+sobrestock_sustitutos!$I$179/12</f>
        <v>514.466802817121</v>
      </c>
      <c r="L230" s="25" t="n">
        <f aca="false">datos_base!$I$6*parametros_recargas!$N$44+sobrestock_sustitutos!$I$179/12</f>
        <v>517.11720705765</v>
      </c>
      <c r="M230" s="25" t="n">
        <f aca="false">datos_base!$I$6*parametros_recargas!$O$44+sobrestock_sustitutos!$I$179/12</f>
        <v>519.783758040943</v>
      </c>
      <c r="N230" s="25" t="n">
        <f aca="false">datos_base!$I$6*parametros_recargas!$P$44+sobrestock_sustitutos!$I$179/12</f>
        <v>522.466554135884</v>
      </c>
      <c r="O230" s="25" t="n">
        <f aca="false">datos_base!$I$6*parametros_recargas!$Q$44+sobrestock_sustitutos!$I$179/12</f>
        <v>525.165694310634</v>
      </c>
      <c r="P230" s="7" t="n">
        <f aca="false">SUM(D230:O230)</f>
        <v>6127.39225980646</v>
      </c>
      <c r="Q230" s="13" t="n">
        <f aca="false">sobrestock_sustitutos!$I$179</f>
        <v>953</v>
      </c>
    </row>
    <row r="231" customFormat="false" ht="15" hidden="false" customHeight="false" outlineLevel="0" collapsed="false">
      <c r="A231" s="12" t="str">
        <f aca="false">parametros_recargas!A56</f>
        <v>AFFF 10 l</v>
      </c>
      <c r="B231" s="12" t="str">
        <f aca="false">parametros_recargas!B56</f>
        <v>AFFF</v>
      </c>
      <c r="C231" s="24" t="n">
        <f aca="false">parametros_recargas!C56</f>
        <v>1</v>
      </c>
      <c r="D231" s="25" t="n">
        <f aca="false">datos_base!$I$7*parametros_recargas!$F$44+sobrestock_sustitutos!$I$180/12</f>
        <v>92.1017613404377</v>
      </c>
      <c r="E231" s="25" t="n">
        <f aca="false">datos_base!$I$7*parametros_recargas!$G$44+sobrestock_sustitutos!$I$180/12</f>
        <v>92.5740176466352</v>
      </c>
      <c r="F231" s="25" t="n">
        <f aca="false">datos_base!$I$7*parametros_recargas!$H$44+sobrestock_sustitutos!$I$180/12</f>
        <v>93.0491510238012</v>
      </c>
      <c r="G231" s="25" t="n">
        <f aca="false">datos_base!$I$7*parametros_recargas!$I$44+sobrestock_sustitutos!$I$180/12</f>
        <v>93.5271789995733</v>
      </c>
      <c r="H231" s="25" t="n">
        <f aca="false">datos_base!$I$7*parametros_recargas!$J$44+sobrestock_sustitutos!$I$180/12</f>
        <v>94.0081192083705</v>
      </c>
      <c r="I231" s="25" t="n">
        <f aca="false">datos_base!$I$7*parametros_recargas!$K$44+sobrestock_sustitutos!$I$180/12</f>
        <v>94.491989392044</v>
      </c>
      <c r="J231" s="25" t="n">
        <f aca="false">datos_base!$I$7*parametros_recargas!$L$44+sobrestock_sustitutos!$I$180/12</f>
        <v>94.9788074005315</v>
      </c>
      <c r="K231" s="25" t="n">
        <f aca="false">datos_base!$I$7*parametros_recargas!$M$44+sobrestock_sustitutos!$I$180/12</f>
        <v>95.4685911925157</v>
      </c>
      <c r="L231" s="25" t="n">
        <f aca="false">datos_base!$I$7*parametros_recargas!$N$44+sobrestock_sustitutos!$I$180/12</f>
        <v>95.961358836087</v>
      </c>
      <c r="M231" s="25" t="n">
        <f aca="false">datos_base!$I$7*parametros_recargas!$O$44+sobrestock_sustitutos!$I$180/12</f>
        <v>96.4571285094098</v>
      </c>
      <c r="N231" s="25" t="n">
        <f aca="false">datos_base!$I$7*parametros_recargas!$P$44+sobrestock_sustitutos!$I$180/12</f>
        <v>96.9559185013932</v>
      </c>
      <c r="O231" s="25" t="n">
        <f aca="false">datos_base!$I$7*parametros_recargas!$Q$44+sobrestock_sustitutos!$I$180/12</f>
        <v>97.4577472123656</v>
      </c>
      <c r="P231" s="7" t="n">
        <f aca="false">SUM(D231:O231)</f>
        <v>1137.03176926316</v>
      </c>
      <c r="Q231" s="13" t="n">
        <f aca="false">sobrestock_sustitutos!$I$180</f>
        <v>175</v>
      </c>
    </row>
    <row r="232" customFormat="false" ht="15" hidden="false" customHeight="false" outlineLevel="0" collapsed="false">
      <c r="A232" s="12" t="str">
        <f aca="false">parametros_recargas!A57</f>
        <v>AFFF 50 l s/ruedas</v>
      </c>
      <c r="B232" s="12" t="str">
        <f aca="false">parametros_recargas!B57</f>
        <v>AFFF</v>
      </c>
      <c r="C232" s="24" t="n">
        <f aca="false">parametros_recargas!C57</f>
        <v>3</v>
      </c>
      <c r="D232" s="25" t="n">
        <f aca="false">datos_base!$I$8*parametros_recargas!$F$44+sobrestock_sustitutos!$I$181/12</f>
        <v>48.4544009061172</v>
      </c>
      <c r="E232" s="25" t="n">
        <f aca="false">datos_base!$I$8*parametros_recargas!$G$44+sobrestock_sustitutos!$I$181/12</f>
        <v>48.7028871719677</v>
      </c>
      <c r="F232" s="25" t="n">
        <f aca="false">datos_base!$I$8*parametros_recargas!$H$44+sobrestock_sustitutos!$I$181/12</f>
        <v>48.9528872611641</v>
      </c>
      <c r="G232" s="25" t="n">
        <f aca="false">datos_base!$I$8*parametros_recargas!$I$44+sobrestock_sustitutos!$I$181/12</f>
        <v>49.2044103961924</v>
      </c>
      <c r="H232" s="25" t="n">
        <f aca="false">datos_base!$I$8*parametros_recargas!$J$44+sobrestock_sustitutos!$I$181/12</f>
        <v>49.4574658557238</v>
      </c>
      <c r="I232" s="25" t="n">
        <f aca="false">datos_base!$I$8*parametros_recargas!$K$44+sobrestock_sustitutos!$I$181/12</f>
        <v>49.7120629749566</v>
      </c>
      <c r="J232" s="25" t="n">
        <f aca="false">datos_base!$I$8*parametros_recargas!$L$44+sobrestock_sustitutos!$I$181/12</f>
        <v>49.9682111459611</v>
      </c>
      <c r="K232" s="25" t="n">
        <f aca="false">datos_base!$I$8*parametros_recargas!$M$44+sobrestock_sustitutos!$I$181/12</f>
        <v>50.2259198180257</v>
      </c>
      <c r="L232" s="25" t="n">
        <f aca="false">datos_base!$I$8*parametros_recargas!$N$44+sobrestock_sustitutos!$I$181/12</f>
        <v>50.4851984980055</v>
      </c>
      <c r="M232" s="25" t="n">
        <f aca="false">datos_base!$I$8*parametros_recargas!$O$44+sobrestock_sustitutos!$I$181/12</f>
        <v>50.746056750673</v>
      </c>
      <c r="N232" s="25" t="n">
        <f aca="false">datos_base!$I$8*parametros_recargas!$P$44+sobrestock_sustitutos!$I$181/12</f>
        <v>51.0085041990714</v>
      </c>
      <c r="O232" s="25" t="n">
        <f aca="false">datos_base!$I$8*parametros_recargas!$Q$44+sobrestock_sustitutos!$I$181/12</f>
        <v>51.2725505248688</v>
      </c>
      <c r="P232" s="7" t="n">
        <f aca="false">SUM(D232:O232)</f>
        <v>598.190555502727</v>
      </c>
      <c r="Q232" s="13" t="n">
        <f aca="false">sobrestock_sustitutos!$I$181</f>
        <v>92</v>
      </c>
    </row>
    <row r="233" customFormat="false" ht="15" hidden="false" customHeight="false" outlineLevel="0" collapsed="false">
      <c r="A233" s="12" t="str">
        <f aca="false">parametros_recargas!A58</f>
        <v>BC 5 kg</v>
      </c>
      <c r="B233" s="12" t="str">
        <f aca="false">parametros_recargas!B58</f>
        <v>BC</v>
      </c>
      <c r="C233" s="24" t="n">
        <f aca="false">parametros_recargas!C58</f>
        <v>1</v>
      </c>
      <c r="D233" s="25" t="n">
        <f aca="false">datos_base!$I$9*parametros_recargas!$F$44+sobrestock_sustitutos!$I$182/12</f>
        <v>28.923215107637</v>
      </c>
      <c r="E233" s="25" t="n">
        <f aca="false">datos_base!$I$9*parametros_recargas!$G$44+sobrestock_sustitutos!$I$182/12</f>
        <v>29.0659135772833</v>
      </c>
      <c r="F233" s="25" t="n">
        <f aca="false">datos_base!$I$9*parametros_recargas!$H$44+sobrestock_sustitutos!$I$182/12</f>
        <v>29.2094813918572</v>
      </c>
      <c r="G233" s="25" t="n">
        <f aca="false">datos_base!$I$9*parametros_recargas!$I$44+sobrestock_sustitutos!$I$182/12</f>
        <v>29.3539238475653</v>
      </c>
      <c r="H233" s="25" t="n">
        <f aca="false">datos_base!$I$9*parametros_recargas!$J$44+sobrestock_sustitutos!$I$182/12</f>
        <v>29.4992462728799</v>
      </c>
      <c r="I233" s="25" t="n">
        <f aca="false">datos_base!$I$9*parametros_recargas!$K$44+sobrestock_sustitutos!$I$182/12</f>
        <v>29.6454540287352</v>
      </c>
      <c r="J233" s="25" t="n">
        <f aca="false">datos_base!$I$9*parametros_recargas!$L$44+sobrestock_sustitutos!$I$182/12</f>
        <v>29.7925525087254</v>
      </c>
      <c r="K233" s="25" t="n">
        <f aca="false">datos_base!$I$9*parametros_recargas!$M$44+sobrestock_sustitutos!$I$182/12</f>
        <v>29.9405471393032</v>
      </c>
      <c r="L233" s="25" t="n">
        <f aca="false">datos_base!$I$9*parametros_recargas!$N$44+sobrestock_sustitutos!$I$182/12</f>
        <v>30.0894433799803</v>
      </c>
      <c r="M233" s="25" t="n">
        <f aca="false">datos_base!$I$9*parametros_recargas!$O$44+sobrestock_sustitutos!$I$182/12</f>
        <v>30.2392467235287</v>
      </c>
      <c r="N233" s="25" t="n">
        <f aca="false">datos_base!$I$9*parametros_recargas!$P$44+sobrestock_sustitutos!$I$182/12</f>
        <v>30.3899626961835</v>
      </c>
      <c r="O233" s="25" t="n">
        <f aca="false">datos_base!$I$9*parametros_recargas!$Q$44+sobrestock_sustitutos!$I$182/12</f>
        <v>30.5415968578466</v>
      </c>
      <c r="P233" s="7" t="n">
        <f aca="false">SUM(D233:O233)</f>
        <v>356.690583531526</v>
      </c>
      <c r="Q233" s="13" t="n">
        <f aca="false">sobrestock_sustitutos!$I$182</f>
        <v>66</v>
      </c>
    </row>
    <row r="234" customFormat="false" ht="15" hidden="false" customHeight="false" outlineLevel="0" collapsed="false">
      <c r="A234" s="12" t="str">
        <f aca="false">parametros_recargas!A59</f>
        <v>Sales K 6 l</v>
      </c>
      <c r="B234" s="12" t="str">
        <f aca="false">parametros_recargas!B59</f>
        <v>Sales K</v>
      </c>
      <c r="C234" s="24" t="n">
        <f aca="false">parametros_recargas!C59</f>
        <v>1</v>
      </c>
      <c r="D234" s="25" t="n">
        <f aca="false">datos_base!$I$10*parametros_recargas!$F$44+sobrestock_sustitutos!$I$183/12</f>
        <v>244.070997051644</v>
      </c>
      <c r="E234" s="25" t="n">
        <f aca="false">datos_base!$I$10*parametros_recargas!$G$44+sobrestock_sustitutos!$I$183/12</f>
        <v>245.321342078653</v>
      </c>
      <c r="F234" s="25" t="n">
        <f aca="false">datos_base!$I$10*parametros_recargas!$H$44+sobrestock_sustitutos!$I$183/12</f>
        <v>246.579304434071</v>
      </c>
      <c r="G234" s="25" t="n">
        <f aca="false">datos_base!$I$10*parametros_recargas!$I$44+sobrestock_sustitutos!$I$183/12</f>
        <v>247.844930524044</v>
      </c>
      <c r="H234" s="25" t="n">
        <f aca="false">datos_base!$I$10*parametros_recargas!$J$44+sobrestock_sustitutos!$I$183/12</f>
        <v>249.11826703743</v>
      </c>
      <c r="I234" s="25" t="n">
        <f aca="false">datos_base!$I$10*parametros_recargas!$K$44+sobrestock_sustitutos!$I$183/12</f>
        <v>250.399360947526</v>
      </c>
      <c r="J234" s="25" t="n">
        <f aca="false">datos_base!$I$10*parametros_recargas!$L$44+sobrestock_sustitutos!$I$183/12</f>
        <v>251.688259513797</v>
      </c>
      <c r="K234" s="25" t="n">
        <f aca="false">datos_base!$I$10*parametros_recargas!$M$44+sobrestock_sustitutos!$I$183/12</f>
        <v>252.985010283623</v>
      </c>
      <c r="L234" s="25" t="n">
        <f aca="false">datos_base!$I$10*parametros_recargas!$N$44+sobrestock_sustitutos!$I$183/12</f>
        <v>254.289661094051</v>
      </c>
      <c r="M234" s="25" t="n">
        <f aca="false">datos_base!$I$10*parametros_recargas!$O$44+sobrestock_sustitutos!$I$183/12</f>
        <v>255.602260073559</v>
      </c>
      <c r="N234" s="25" t="n">
        <f aca="false">datos_base!$I$10*parametros_recargas!$P$44+sobrestock_sustitutos!$I$183/12</f>
        <v>256.922855643832</v>
      </c>
      <c r="O234" s="25" t="n">
        <f aca="false">datos_base!$I$10*parametros_recargas!$Q$44+sobrestock_sustitutos!$I$183/12</f>
        <v>258.251496521551</v>
      </c>
      <c r="P234" s="7" t="n">
        <f aca="false">SUM(D234:O234)</f>
        <v>3013.07374520378</v>
      </c>
      <c r="Q234" s="13" t="n">
        <f aca="false">sobrestock_sustitutos!$I$183</f>
        <v>466</v>
      </c>
    </row>
    <row r="235" customFormat="false" ht="15" hidden="false" customHeight="false" outlineLevel="0" collapsed="false">
      <c r="A235" s="12" t="str">
        <f aca="false">parametros_recargas!A60</f>
        <v>CO₂ 2 kg</v>
      </c>
      <c r="B235" s="12" t="str">
        <f aca="false">parametros_recargas!B60</f>
        <v>CO₂</v>
      </c>
      <c r="C235" s="24" t="n">
        <f aca="false">parametros_recargas!C60</f>
        <v>1</v>
      </c>
      <c r="D235" s="25" t="n">
        <f aca="false">datos_base!$I$11*parametros_recargas!$F$44+sobrestock_sustitutos!$I$184/12</f>
        <v>1125.092924445</v>
      </c>
      <c r="E235" s="25" t="n">
        <f aca="false">datos_base!$I$11*parametros_recargas!$G$44+sobrestock_sustitutos!$I$184/12</f>
        <v>1131.94719435588</v>
      </c>
      <c r="F235" s="25" t="n">
        <f aca="false">datos_base!$I$11*parametros_recargas!$H$44+sobrestock_sustitutos!$I$184/12</f>
        <v>1138.84322172073</v>
      </c>
      <c r="G235" s="25" t="n">
        <f aca="false">datos_base!$I$11*parametros_recargas!$I$44+sobrestock_sustitutos!$I$184/12</f>
        <v>1145.78126093353</v>
      </c>
      <c r="H235" s="25" t="n">
        <f aca="false">datos_base!$I$11*parametros_recargas!$J$44+sobrestock_sustitutos!$I$184/12</f>
        <v>1152.76156793807</v>
      </c>
      <c r="I235" s="25" t="n">
        <f aca="false">datos_base!$I$11*parametros_recargas!$K$44+sobrestock_sustitutos!$I$184/12</f>
        <v>1159.78440023739</v>
      </c>
      <c r="J235" s="25" t="n">
        <f aca="false">datos_base!$I$11*parametros_recargas!$L$44+sobrestock_sustitutos!$I$184/12</f>
        <v>1166.85001690329</v>
      </c>
      <c r="K235" s="25" t="n">
        <f aca="false">datos_base!$I$11*parametros_recargas!$M$44+sobrestock_sustitutos!$I$184/12</f>
        <v>1173.95867858589</v>
      </c>
      <c r="L235" s="25" t="n">
        <f aca="false">datos_base!$I$11*parametros_recargas!$N$44+sobrestock_sustitutos!$I$184/12</f>
        <v>1181.11064752322</v>
      </c>
      <c r="M235" s="25" t="n">
        <f aca="false">datos_base!$I$11*parametros_recargas!$O$44+sobrestock_sustitutos!$I$184/12</f>
        <v>1188.30618755092</v>
      </c>
      <c r="N235" s="25" t="n">
        <f aca="false">datos_base!$I$11*parametros_recargas!$P$44+sobrestock_sustitutos!$I$184/12</f>
        <v>1195.54556411198</v>
      </c>
      <c r="O235" s="25" t="n">
        <f aca="false">datos_base!$I$11*parametros_recargas!$Q$44+sobrestock_sustitutos!$I$184/12</f>
        <v>1202.82904426649</v>
      </c>
      <c r="P235" s="7" t="n">
        <f aca="false">SUM(D235:O235)</f>
        <v>13962.8107085724</v>
      </c>
      <c r="Q235" s="13" t="n">
        <f aca="false">sobrestock_sustitutos!$I$184</f>
        <v>0</v>
      </c>
    </row>
    <row r="236" customFormat="false" ht="15" hidden="false" customHeight="false" outlineLevel="0" collapsed="false">
      <c r="A236" s="12" t="str">
        <f aca="false">parametros_recargas!A61</f>
        <v>CO₂ 5 kg</v>
      </c>
      <c r="B236" s="12" t="str">
        <f aca="false">parametros_recargas!B61</f>
        <v>CO₂</v>
      </c>
      <c r="C236" s="24" t="n">
        <f aca="false">parametros_recargas!C61</f>
        <v>1</v>
      </c>
      <c r="D236" s="25" t="n">
        <f aca="false">datos_base!$I$12*parametros_recargas!$F$44+sobrestock_sustitutos!$I$185/12</f>
        <v>665.594069610464</v>
      </c>
      <c r="E236" s="25" t="n">
        <f aca="false">datos_base!$I$12*parametros_recargas!$G$44+sobrestock_sustitutos!$I$185/12</f>
        <v>667.9030716752</v>
      </c>
      <c r="F236" s="25" t="n">
        <f aca="false">datos_base!$I$12*parametros_recargas!$H$44+sobrestock_sustitutos!$I$185/12</f>
        <v>670.226140598799</v>
      </c>
      <c r="G236" s="25" t="n">
        <f aca="false">datos_base!$I$12*parametros_recargas!$I$44+sobrestock_sustitutos!$I$185/12</f>
        <v>672.563362079113</v>
      </c>
      <c r="H236" s="25" t="n">
        <f aca="false">datos_base!$I$12*parametros_recargas!$J$44+sobrestock_sustitutos!$I$185/12</f>
        <v>674.914822336084</v>
      </c>
      <c r="I236" s="25" t="n">
        <f aca="false">datos_base!$I$12*parametros_recargas!$K$44+sobrestock_sustitutos!$I$185/12</f>
        <v>677.280608114916</v>
      </c>
      <c r="J236" s="25" t="n">
        <f aca="false">datos_base!$I$12*parametros_recargas!$L$44+sobrestock_sustitutos!$I$185/12</f>
        <v>679.660806689284</v>
      </c>
      <c r="K236" s="25" t="n">
        <f aca="false">datos_base!$I$12*parametros_recargas!$M$44+sobrestock_sustitutos!$I$185/12</f>
        <v>682.055505864551</v>
      </c>
      <c r="L236" s="25" t="n">
        <f aca="false">datos_base!$I$12*parametros_recargas!$N$44+sobrestock_sustitutos!$I$185/12</f>
        <v>684.464793981002</v>
      </c>
      <c r="M236" s="25" t="n">
        <f aca="false">datos_base!$I$12*parametros_recargas!$O$44+sobrestock_sustitutos!$I$185/12</f>
        <v>686.888759917111</v>
      </c>
      <c r="N236" s="25" t="n">
        <f aca="false">datos_base!$I$12*parametros_recargas!$P$44+sobrestock_sustitutos!$I$185/12</f>
        <v>689.327493092814</v>
      </c>
      <c r="O236" s="25" t="n">
        <f aca="false">datos_base!$I$12*parametros_recargas!$Q$44+sobrestock_sustitutos!$I$185/12</f>
        <v>691.78108347281</v>
      </c>
      <c r="P236" s="7" t="n">
        <f aca="false">SUM(D236:O236)</f>
        <v>8142.66051743215</v>
      </c>
      <c r="Q236" s="13" t="n">
        <f aca="false">sobrestock_sustitutos!$I$185</f>
        <v>3439</v>
      </c>
    </row>
    <row r="237" customFormat="false" ht="15" hidden="false" customHeight="false" outlineLevel="0" collapsed="false">
      <c r="A237" s="12" t="str">
        <f aca="false">parametros_recargas!A62</f>
        <v>HCFC/HFC 5 kg</v>
      </c>
      <c r="B237" s="12" t="str">
        <f aca="false">parametros_recargas!B62</f>
        <v>Halogenado</v>
      </c>
      <c r="C237" s="24" t="n">
        <f aca="false">parametros_recargas!C62</f>
        <v>1</v>
      </c>
      <c r="D237" s="25" t="n">
        <f aca="false">datos_base!$I$13*parametros_recargas!$F$44+sobrestock_sustitutos!$I$186/12</f>
        <v>72.995183100698</v>
      </c>
      <c r="E237" s="25" t="n">
        <f aca="false">datos_base!$I$13*parametros_recargas!$G$44+sobrestock_sustitutos!$I$186/12</f>
        <v>73.3698228962498</v>
      </c>
      <c r="F237" s="25" t="n">
        <f aca="false">datos_base!$I$13*parametros_recargas!$H$44+sobrestock_sustitutos!$I$186/12</f>
        <v>73.7467450653036</v>
      </c>
      <c r="G237" s="25" t="n">
        <f aca="false">datos_base!$I$13*parametros_recargas!$I$44+sobrestock_sustitutos!$I$186/12</f>
        <v>74.1259635124923</v>
      </c>
      <c r="H237" s="25" t="n">
        <f aca="false">datos_base!$I$13*parametros_recargas!$J$44+sobrestock_sustitutos!$I$186/12</f>
        <v>74.5074922271582</v>
      </c>
      <c r="I237" s="25" t="n">
        <f aca="false">datos_base!$I$13*parametros_recargas!$K$44+sobrestock_sustitutos!$I$186/12</f>
        <v>74.8913452838693</v>
      </c>
      <c r="J237" s="25" t="n">
        <f aca="false">datos_base!$I$13*parametros_recargas!$L$44+sobrestock_sustitutos!$I$186/12</f>
        <v>75.2775368429385</v>
      </c>
      <c r="K237" s="25" t="n">
        <f aca="false">datos_base!$I$13*parametros_recargas!$M$44+sobrestock_sustitutos!$I$186/12</f>
        <v>75.6660811509456</v>
      </c>
      <c r="L237" s="25" t="n">
        <f aca="false">datos_base!$I$13*parametros_recargas!$N$44+sobrestock_sustitutos!$I$186/12</f>
        <v>76.0569925412636</v>
      </c>
      <c r="M237" s="25" t="n">
        <f aca="false">datos_base!$I$13*parametros_recargas!$O$44+sobrestock_sustitutos!$I$186/12</f>
        <v>76.4502854345865</v>
      </c>
      <c r="N237" s="25" t="n">
        <f aca="false">datos_base!$I$13*parametros_recargas!$P$44+sobrestock_sustitutos!$I$186/12</f>
        <v>76.8459743394622</v>
      </c>
      <c r="O237" s="25" t="n">
        <f aca="false">datos_base!$I$13*parametros_recargas!$Q$44+sobrestock_sustitutos!$I$186/12</f>
        <v>77.244073852827</v>
      </c>
      <c r="P237" s="7" t="n">
        <f aca="false">SUM(D237:O237)</f>
        <v>901.177496247795</v>
      </c>
      <c r="Q237" s="13" t="n">
        <f aca="false">sobrestock_sustitutos!$I$186</f>
        <v>138</v>
      </c>
    </row>
    <row r="238" customFormat="false" ht="15" hidden="false" customHeight="false" outlineLevel="0" collapsed="false">
      <c r="A238" s="12" t="str">
        <f aca="false">parametros_recargas!A63</f>
        <v>Clase D 9 l</v>
      </c>
      <c r="B238" s="12" t="str">
        <f aca="false">parametros_recargas!B63</f>
        <v>Clase D</v>
      </c>
      <c r="C238" s="24" t="n">
        <f aca="false">parametros_recargas!C63</f>
        <v>1</v>
      </c>
      <c r="D238" s="25" t="n">
        <f aca="false">datos_base!$I$14*parametros_recargas!$F$44+sobrestock_sustitutos!$I$187/12</f>
        <v>25.9597084722687</v>
      </c>
      <c r="E238" s="25" t="n">
        <f aca="false">datos_base!$I$14*parametros_recargas!$G$44+sobrestock_sustitutos!$I$187/12</f>
        <v>26.0879064949809</v>
      </c>
      <c r="F238" s="25" t="n">
        <f aca="false">datos_base!$I$14*parametros_recargas!$H$44+sobrestock_sustitutos!$I$187/12</f>
        <v>26.2168855232712</v>
      </c>
      <c r="G238" s="25" t="n">
        <f aca="false">datos_base!$I$14*parametros_recargas!$I$44+sobrestock_sustitutos!$I$187/12</f>
        <v>26.3466503151668</v>
      </c>
      <c r="H238" s="25" t="n">
        <f aca="false">datos_base!$I$14*parametros_recargas!$J$44+sobrestock_sustitutos!$I$187/12</f>
        <v>26.4772056576821</v>
      </c>
      <c r="I238" s="25" t="n">
        <f aca="false">datos_base!$I$14*parametros_recargas!$K$44+sobrestock_sustitutos!$I$187/12</f>
        <v>26.6085563669946</v>
      </c>
      <c r="J238" s="25" t="n">
        <f aca="false">datos_base!$I$14*parametros_recargas!$L$44+sobrestock_sustitutos!$I$187/12</f>
        <v>26.740707288623</v>
      </c>
      <c r="K238" s="25" t="n">
        <f aca="false">datos_base!$I$14*parametros_recargas!$M$44+sobrestock_sustitutos!$I$187/12</f>
        <v>26.8736632976056</v>
      </c>
      <c r="L238" s="25" t="n">
        <f aca="false">datos_base!$I$14*parametros_recargas!$N$44+sobrestock_sustitutos!$I$187/12</f>
        <v>27.0074292986805</v>
      </c>
      <c r="M238" s="25" t="n">
        <f aca="false">datos_base!$I$14*parametros_recargas!$O$44+sobrestock_sustitutos!$I$187/12</f>
        <v>27.1420102264661</v>
      </c>
      <c r="N238" s="25" t="n">
        <f aca="false">datos_base!$I$14*parametros_recargas!$P$44+sobrestock_sustitutos!$I$187/12</f>
        <v>27.2774110456437</v>
      </c>
      <c r="O238" s="25" t="n">
        <f aca="false">datos_base!$I$14*parametros_recargas!$Q$44+sobrestock_sustitutos!$I$187/12</f>
        <v>27.4136367511402</v>
      </c>
      <c r="P238" s="7" t="n">
        <f aca="false">SUM(D238:O238)</f>
        <v>320.151770738523</v>
      </c>
      <c r="Q238" s="13" t="n">
        <f aca="false">sobrestock_sustitutos!$I$187</f>
        <v>59</v>
      </c>
    </row>
    <row r="239" customFormat="false" ht="15" hidden="false" customHeight="false" outlineLevel="0" collapsed="false">
      <c r="A239" s="12" t="str">
        <f aca="false">parametros_recargas!A64</f>
        <v>ABC 25 kg s/ruedas</v>
      </c>
      <c r="B239" s="12" t="str">
        <f aca="false">parametros_recargas!B64</f>
        <v>ABC</v>
      </c>
      <c r="C239" s="24" t="n">
        <f aca="false">parametros_recargas!C64</f>
        <v>3</v>
      </c>
      <c r="D239" s="25" t="n">
        <f aca="false">datos_base!$I$15*parametros_recargas!$F$44+sobrestock_sustitutos!$I$188/12</f>
        <v>51.0251113606959</v>
      </c>
      <c r="E239" s="25" t="n">
        <f aca="false">datos_base!$I$15*parametros_recargas!$G$44+sobrestock_sustitutos!$I$188/12</f>
        <v>51.3359655825116</v>
      </c>
      <c r="F239" s="25" t="n">
        <f aca="false">datos_base!$I$15*parametros_recargas!$H$44+sobrestock_sustitutos!$I$188/12</f>
        <v>51.6487135845591</v>
      </c>
      <c r="G239" s="25" t="n">
        <f aca="false">datos_base!$I$15*parametros_recargas!$I$44+sobrestock_sustitutos!$I$188/12</f>
        <v>51.9633669040905</v>
      </c>
      <c r="H239" s="25" t="n">
        <f aca="false">datos_base!$I$15*parametros_recargas!$J$44+sobrestock_sustitutos!$I$188/12</f>
        <v>52.2799371486454</v>
      </c>
      <c r="I239" s="25" t="n">
        <f aca="false">datos_base!$I$15*parametros_recargas!$K$44+sobrestock_sustitutos!$I$188/12</f>
        <v>52.598435996478</v>
      </c>
      <c r="J239" s="25" t="n">
        <f aca="false">datos_base!$I$15*parametros_recargas!$L$44+sobrestock_sustitutos!$I$188/12</f>
        <v>52.918875196989</v>
      </c>
      <c r="K239" s="25" t="n">
        <f aca="false">datos_base!$I$15*parametros_recargas!$M$44+sobrestock_sustitutos!$I$188/12</f>
        <v>53.2412665711583</v>
      </c>
      <c r="L239" s="25" t="n">
        <f aca="false">datos_base!$I$15*parametros_recargas!$N$44+sobrestock_sustitutos!$I$188/12</f>
        <v>53.5656220119816</v>
      </c>
      <c r="M239" s="25" t="n">
        <f aca="false">datos_base!$I$15*parametros_recargas!$O$44+sobrestock_sustitutos!$I$188/12</f>
        <v>53.8919534849087</v>
      </c>
      <c r="N239" s="25" t="n">
        <f aca="false">datos_base!$I$15*parametros_recargas!$P$44+sobrestock_sustitutos!$I$188/12</f>
        <v>54.2202730282852</v>
      </c>
      <c r="O239" s="25" t="n">
        <f aca="false">datos_base!$I$15*parametros_recargas!$Q$44+sobrestock_sustitutos!$I$188/12</f>
        <v>54.5505927537963</v>
      </c>
      <c r="P239" s="7" t="n">
        <f aca="false">SUM(D239:O239)</f>
        <v>633.2401136241</v>
      </c>
      <c r="Q239" s="13" t="n">
        <f aca="false">sobrestock_sustitutos!$I$188</f>
        <v>0</v>
      </c>
    </row>
    <row r="240" customFormat="false" ht="15" hidden="false" customHeight="false" outlineLevel="0" collapsed="false">
      <c r="A240" s="12" t="str">
        <f aca="false">parametros_recargas!A65</f>
        <v>ABC 50 kg s/ruedas</v>
      </c>
      <c r="B240" s="12" t="str">
        <f aca="false">parametros_recargas!B65</f>
        <v>ABC</v>
      </c>
      <c r="C240" s="24" t="n">
        <f aca="false">parametros_recargas!C65</f>
        <v>3</v>
      </c>
      <c r="D240" s="25" t="n">
        <f aca="false">datos_base!$I$16*parametros_recargas!$F$44+sobrestock_sustitutos!$I$189/12</f>
        <v>149.75524497059</v>
      </c>
      <c r="E240" s="25" t="n">
        <f aca="false">datos_base!$I$16*parametros_recargas!$G$44+sobrestock_sustitutos!$I$189/12</f>
        <v>150.439124258445</v>
      </c>
      <c r="F240" s="25" t="n">
        <f aca="false">datos_base!$I$16*parametros_recargas!$H$44+sobrestock_sustitutos!$I$189/12</f>
        <v>151.127169862809</v>
      </c>
      <c r="G240" s="25" t="n">
        <f aca="false">datos_base!$I$16*parametros_recargas!$I$44+sobrestock_sustitutos!$I$189/12</f>
        <v>151.819407165636</v>
      </c>
      <c r="H240" s="25" t="n">
        <f aca="false">datos_base!$I$16*parametros_recargas!$J$44+sobrestock_sustitutos!$I$189/12</f>
        <v>152.515861703515</v>
      </c>
      <c r="I240" s="25" t="n">
        <f aca="false">datos_base!$I$16*parametros_recargas!$K$44+sobrestock_sustitutos!$I$189/12</f>
        <v>153.216559168603</v>
      </c>
      <c r="J240" s="25" t="n">
        <f aca="false">datos_base!$I$16*parametros_recargas!$L$44+sobrestock_sustitutos!$I$189/12</f>
        <v>153.921525409583</v>
      </c>
      <c r="K240" s="25" t="n">
        <f aca="false">datos_base!$I$16*parametros_recargas!$M$44+sobrestock_sustitutos!$I$189/12</f>
        <v>154.630786432611</v>
      </c>
      <c r="L240" s="25" t="n">
        <f aca="false">datos_base!$I$16*parametros_recargas!$N$44+sobrestock_sustitutos!$I$189/12</f>
        <v>155.344368402276</v>
      </c>
      <c r="M240" s="25" t="n">
        <f aca="false">datos_base!$I$16*parametros_recargas!$O$44+sobrestock_sustitutos!$I$189/12</f>
        <v>156.062297642569</v>
      </c>
      <c r="N240" s="25" t="n">
        <f aca="false">datos_base!$I$16*parametros_recargas!$P$44+sobrestock_sustitutos!$I$189/12</f>
        <v>156.78460063785</v>
      </c>
      <c r="O240" s="25" t="n">
        <f aca="false">datos_base!$I$16*parametros_recargas!$Q$44+sobrestock_sustitutos!$I$189/12</f>
        <v>157.511304033826</v>
      </c>
      <c r="P240" s="7" t="n">
        <f aca="false">SUM(D240:O240)</f>
        <v>1843.12824968831</v>
      </c>
      <c r="Q240" s="13" t="n">
        <f aca="false">sobrestock_sustitutos!$I$189</f>
        <v>450</v>
      </c>
    </row>
    <row r="241" customFormat="false" ht="15" hidden="false" customHeight="false" outlineLevel="0" collapsed="false">
      <c r="A241" s="12" t="str">
        <f aca="false">parametros_recargas!A66</f>
        <v>ABC 70 kg s/ruedas</v>
      </c>
      <c r="B241" s="12" t="str">
        <f aca="false">parametros_recargas!B66</f>
        <v>ABC</v>
      </c>
      <c r="C241" s="24" t="n">
        <f aca="false">parametros_recargas!C66</f>
        <v>3</v>
      </c>
      <c r="D241" s="25" t="n">
        <f aca="false">datos_base!$I$17*parametros_recargas!$F$44+sobrestock_sustitutos!$I$190/12</f>
        <v>24.4920534324872</v>
      </c>
      <c r="E241" s="25" t="n">
        <f aca="false">datos_base!$I$17*parametros_recargas!$G$44+sobrestock_sustitutos!$I$190/12</f>
        <v>24.6412634588329</v>
      </c>
      <c r="F241" s="25" t="n">
        <f aca="false">datos_base!$I$17*parametros_recargas!$H$44+sobrestock_sustitutos!$I$190/12</f>
        <v>24.7913824996892</v>
      </c>
      <c r="G241" s="25" t="n">
        <f aca="false">datos_base!$I$17*parametros_recargas!$I$44+sobrestock_sustitutos!$I$190/12</f>
        <v>24.942416092937</v>
      </c>
      <c r="H241" s="25" t="n">
        <f aca="false">datos_base!$I$17*parametros_recargas!$J$44+sobrestock_sustitutos!$I$190/12</f>
        <v>25.0943698101952</v>
      </c>
      <c r="I241" s="25" t="n">
        <f aca="false">datos_base!$I$17*parametros_recargas!$K$44+sobrestock_sustitutos!$I$190/12</f>
        <v>25.247249257026</v>
      </c>
      <c r="J241" s="25" t="n">
        <f aca="false">datos_base!$I$17*parametros_recargas!$L$44+sobrestock_sustitutos!$I$190/12</f>
        <v>25.4010600731416</v>
      </c>
      <c r="K241" s="25" t="n">
        <f aca="false">datos_base!$I$17*parametros_recargas!$M$44+sobrestock_sustitutos!$I$190/12</f>
        <v>25.5558079326124</v>
      </c>
      <c r="L241" s="25" t="n">
        <f aca="false">datos_base!$I$17*parametros_recargas!$N$44+sobrestock_sustitutos!$I$190/12</f>
        <v>25.7114985440763</v>
      </c>
      <c r="M241" s="25" t="n">
        <f aca="false">datos_base!$I$17*parametros_recargas!$O$44+sobrestock_sustitutos!$I$190/12</f>
        <v>25.8681376509493</v>
      </c>
      <c r="N241" s="25" t="n">
        <f aca="false">datos_base!$I$17*parametros_recargas!$P$44+sobrestock_sustitutos!$I$190/12</f>
        <v>26.0257310316371</v>
      </c>
      <c r="O241" s="25" t="n">
        <f aca="false">datos_base!$I$17*parametros_recargas!$Q$44+sobrestock_sustitutos!$I$190/12</f>
        <v>26.1842844997488</v>
      </c>
      <c r="P241" s="7" t="n">
        <f aca="false">SUM(D241:O241)</f>
        <v>303.955254283333</v>
      </c>
      <c r="Q241" s="13" t="n">
        <f aca="false">sobrestock_sustitutos!$I$190</f>
        <v>0</v>
      </c>
    </row>
    <row r="242" customFormat="false" ht="15" hidden="false" customHeight="false" outlineLevel="0" collapsed="false">
      <c r="A242" s="12" t="str">
        <f aca="false">parametros_recargas!A67</f>
        <v>ABC 100 kg s/ruedas</v>
      </c>
      <c r="B242" s="12" t="str">
        <f aca="false">parametros_recargas!B67</f>
        <v>ABC</v>
      </c>
      <c r="C242" s="24" t="n">
        <f aca="false">parametros_recargas!C67</f>
        <v>3</v>
      </c>
      <c r="D242" s="25" t="n">
        <f aca="false">datos_base!$I$18*parametros_recargas!$F$44+sobrestock_sustitutos!$I$191/12</f>
        <v>25.7447022883248</v>
      </c>
      <c r="E242" s="25" t="n">
        <f aca="false">datos_base!$I$18*parametros_recargas!$G$44+sobrestock_sustitutos!$I$191/12</f>
        <v>25.844175639222</v>
      </c>
      <c r="F242" s="25" t="n">
        <f aca="false">datos_base!$I$18*parametros_recargas!$H$44+sobrestock_sustitutos!$I$191/12</f>
        <v>25.9442549997928</v>
      </c>
      <c r="G242" s="25" t="n">
        <f aca="false">datos_base!$I$18*parametros_recargas!$I$44+sobrestock_sustitutos!$I$191/12</f>
        <v>26.044944061958</v>
      </c>
      <c r="H242" s="25" t="n">
        <f aca="false">datos_base!$I$18*parametros_recargas!$J$44+sobrestock_sustitutos!$I$191/12</f>
        <v>26.1462465401301</v>
      </c>
      <c r="I242" s="25" t="n">
        <f aca="false">datos_base!$I$18*parametros_recargas!$K$44+sobrestock_sustitutos!$I$191/12</f>
        <v>26.2481661713506</v>
      </c>
      <c r="J242" s="25" t="n">
        <f aca="false">datos_base!$I$18*parametros_recargas!$L$44+sobrestock_sustitutos!$I$191/12</f>
        <v>26.3507067154277</v>
      </c>
      <c r="K242" s="25" t="n">
        <f aca="false">datos_base!$I$18*parametros_recargas!$M$44+sobrestock_sustitutos!$I$191/12</f>
        <v>26.4538719550749</v>
      </c>
      <c r="L242" s="25" t="n">
        <f aca="false">datos_base!$I$18*parametros_recargas!$N$44+sobrestock_sustitutos!$I$191/12</f>
        <v>26.5576656960509</v>
      </c>
      <c r="M242" s="25" t="n">
        <f aca="false">datos_base!$I$18*parametros_recargas!$O$44+sobrestock_sustitutos!$I$191/12</f>
        <v>26.6620917672995</v>
      </c>
      <c r="N242" s="25" t="n">
        <f aca="false">datos_base!$I$18*parametros_recargas!$P$44+sobrestock_sustitutos!$I$191/12</f>
        <v>26.7671540210914</v>
      </c>
      <c r="O242" s="25" t="n">
        <f aca="false">datos_base!$I$18*parametros_recargas!$Q$44+sobrestock_sustitutos!$I$191/12</f>
        <v>26.8728563331659</v>
      </c>
      <c r="P242" s="7" t="n">
        <f aca="false">SUM(D242:O242)</f>
        <v>315.636836188889</v>
      </c>
      <c r="Q242" s="13" t="n">
        <f aca="false">sobrestock_sustitutos!$I$191</f>
        <v>113</v>
      </c>
    </row>
    <row r="243" customFormat="false" ht="15" hidden="false" customHeight="false" outlineLevel="0" collapsed="false">
      <c r="A243" s="6" t="s">
        <v>273</v>
      </c>
      <c r="D243" s="7" t="n">
        <f aca="false">SUM(D226:D242)</f>
        <v>20420.7381622049</v>
      </c>
      <c r="E243" s="7" t="n">
        <f aca="false">SUM(E226:E242)</f>
        <v>20533.4591795717</v>
      </c>
      <c r="F243" s="7" t="n">
        <f aca="false">SUM(F226:F242)</f>
        <v>20646.8669137962</v>
      </c>
      <c r="G243" s="7" t="n">
        <f aca="false">SUM(G226:G242)</f>
        <v>20760.9655484819</v>
      </c>
      <c r="H243" s="7" t="n">
        <f aca="false">SUM(H226:H242)</f>
        <v>20875.7592927195</v>
      </c>
      <c r="I243" s="7" t="n">
        <f aca="false">SUM(I226:I242)</f>
        <v>20991.2523812424</v>
      </c>
      <c r="J243" s="7" t="n">
        <f aca="false">SUM(J226:J242)</f>
        <v>21107.4490745826</v>
      </c>
      <c r="K243" s="7" t="n">
        <f aca="false">SUM(K226:K242)</f>
        <v>21224.3536592281</v>
      </c>
      <c r="L243" s="7" t="n">
        <f aca="false">SUM(L226:L242)</f>
        <v>21341.970447781</v>
      </c>
      <c r="M243" s="7" t="n">
        <f aca="false">SUM(M226:M242)</f>
        <v>21460.3037791165</v>
      </c>
      <c r="N243" s="7" t="n">
        <f aca="false">SUM(N226:N242)</f>
        <v>21579.3580185431</v>
      </c>
      <c r="O243" s="7" t="n">
        <f aca="false">SUM(O226:O242)</f>
        <v>21699.1375579635</v>
      </c>
      <c r="P243" s="7" t="n">
        <f aca="false">SUM(P226:P242)</f>
        <v>252641.614015231</v>
      </c>
    </row>
    <row r="244" customFormat="false" ht="15" hidden="false" customHeight="false" outlineLevel="0" collapsed="false">
      <c r="A244" s="6" t="s">
        <v>274</v>
      </c>
    </row>
    <row r="245" customFormat="false" ht="15" hidden="false" customHeight="false" outlineLevel="0" collapsed="false">
      <c r="A245" s="4" t="s">
        <v>143</v>
      </c>
      <c r="D245" s="25" t="n">
        <f aca="false">SUMPRODUCT(($B$226:$B$242=$A245)*D$226:D$242*$C$226:$C$242)</f>
        <v>18123.2221831474</v>
      </c>
      <c r="E245" s="25" t="n">
        <f aca="false">SUMPRODUCT(($B$226:$B$242=$A245)*E$226:E$242*$C$226:$C$242)</f>
        <v>18224.1100566387</v>
      </c>
      <c r="F245" s="25" t="n">
        <f aca="false">SUMPRODUCT(($B$226:$B$242=$A245)*F$226:F$242*$C$226:$C$242)</f>
        <v>18325.6125573316</v>
      </c>
      <c r="G245" s="25" t="n">
        <f aca="false">SUMPRODUCT(($B$226:$B$242=$A245)*G$226:G$242*$C$226:$C$242)</f>
        <v>18427.7334296462</v>
      </c>
      <c r="H245" s="25" t="n">
        <f aca="false">SUMPRODUCT(($B$226:$B$242=$A245)*H$226:H$242*$C$226:$C$242)</f>
        <v>18530.4764408146</v>
      </c>
      <c r="I245" s="25" t="n">
        <f aca="false">SUMPRODUCT(($B$226:$B$242=$A245)*I$226:I$242*$C$226:$C$242)</f>
        <v>18633.8453810194</v>
      </c>
      <c r="J245" s="25" t="n">
        <f aca="false">SUMPRODUCT(($B$226:$B$242=$A245)*J$226:J$242*$C$226:$C$242)</f>
        <v>18737.8440635336</v>
      </c>
      <c r="K245" s="25" t="n">
        <f aca="false">SUMPRODUCT(($B$226:$B$242=$A245)*K$226:K$242*$C$226:$C$242)</f>
        <v>18842.4763248614</v>
      </c>
      <c r="L245" s="25" t="n">
        <f aca="false">SUMPRODUCT(($B$226:$B$242=$A245)*L$226:L$242*$C$226:$C$242)</f>
        <v>18947.7460248798</v>
      </c>
      <c r="M245" s="25" t="n">
        <f aca="false">SUMPRODUCT(($B$226:$B$242=$A245)*M$226:M$242*$C$226:$C$242)</f>
        <v>19053.6570469808</v>
      </c>
      <c r="N245" s="25" t="n">
        <f aca="false">SUMPRODUCT(($B$226:$B$242=$A245)*N$226:N$242*$C$226:$C$242)</f>
        <v>19160.2132982146</v>
      </c>
      <c r="O245" s="25" t="n">
        <f aca="false">SUMPRODUCT(($B$226:$B$242=$A245)*O$226:O$242*$C$226:$C$242)</f>
        <v>19267.418709434</v>
      </c>
      <c r="P245" s="25" t="n">
        <f aca="false">SUMPRODUCT(($B$226:$B$242=$A245)*P$226:P$242*$C$226:$C$242)</f>
        <v>224274.355516502</v>
      </c>
    </row>
    <row r="246" customFormat="false" ht="15" hidden="false" customHeight="false" outlineLevel="0" collapsed="false">
      <c r="A246" s="4" t="s">
        <v>149</v>
      </c>
      <c r="D246" s="25" t="n">
        <f aca="false">SUMPRODUCT(($B$226:$B$242=$A246)*D$226:D$242*$C$226:$C$242)</f>
        <v>28.923215107637</v>
      </c>
      <c r="E246" s="25" t="n">
        <f aca="false">SUMPRODUCT(($B$226:$B$242=$A246)*E$226:E$242*$C$226:$C$242)</f>
        <v>29.0659135772833</v>
      </c>
      <c r="F246" s="25" t="n">
        <f aca="false">SUMPRODUCT(($B$226:$B$242=$A246)*F$226:F$242*$C$226:$C$242)</f>
        <v>29.2094813918572</v>
      </c>
      <c r="G246" s="25" t="n">
        <f aca="false">SUMPRODUCT(($B$226:$B$242=$A246)*G$226:G$242*$C$226:$C$242)</f>
        <v>29.3539238475653</v>
      </c>
      <c r="H246" s="25" t="n">
        <f aca="false">SUMPRODUCT(($B$226:$B$242=$A246)*H$226:H$242*$C$226:$C$242)</f>
        <v>29.4992462728799</v>
      </c>
      <c r="I246" s="25" t="n">
        <f aca="false">SUMPRODUCT(($B$226:$B$242=$A246)*I$226:I$242*$C$226:$C$242)</f>
        <v>29.6454540287352</v>
      </c>
      <c r="J246" s="25" t="n">
        <f aca="false">SUMPRODUCT(($B$226:$B$242=$A246)*J$226:J$242*$C$226:$C$242)</f>
        <v>29.7925525087254</v>
      </c>
      <c r="K246" s="25" t="n">
        <f aca="false">SUMPRODUCT(($B$226:$B$242=$A246)*K$226:K$242*$C$226:$C$242)</f>
        <v>29.9405471393032</v>
      </c>
      <c r="L246" s="25" t="n">
        <f aca="false">SUMPRODUCT(($B$226:$B$242=$A246)*L$226:L$242*$C$226:$C$242)</f>
        <v>30.0894433799803</v>
      </c>
      <c r="M246" s="25" t="n">
        <f aca="false">SUMPRODUCT(($B$226:$B$242=$A246)*M$226:M$242*$C$226:$C$242)</f>
        <v>30.2392467235287</v>
      </c>
      <c r="N246" s="25" t="n">
        <f aca="false">SUMPRODUCT(($B$226:$B$242=$A246)*N$226:N$242*$C$226:$C$242)</f>
        <v>30.3899626961835</v>
      </c>
      <c r="O246" s="25" t="n">
        <f aca="false">SUMPRODUCT(($B$226:$B$242=$A246)*O$226:O$242*$C$226:$C$242)</f>
        <v>30.5415968578466</v>
      </c>
      <c r="P246" s="25" t="n">
        <f aca="false">SUMPRODUCT(($B$226:$B$242=$A246)*P$226:P$242*$C$226:$C$242)</f>
        <v>356.690583531526</v>
      </c>
    </row>
    <row r="247" customFormat="false" ht="15" hidden="false" customHeight="false" outlineLevel="0" collapsed="false">
      <c r="A247" s="4" t="s">
        <v>155</v>
      </c>
      <c r="D247" s="25" t="n">
        <f aca="false">SUMPRODUCT(($B$226:$B$242=$A247)*D$226:D$242*$C$226:$C$242)</f>
        <v>25.9597084722687</v>
      </c>
      <c r="E247" s="25" t="n">
        <f aca="false">SUMPRODUCT(($B$226:$B$242=$A247)*E$226:E$242*$C$226:$C$242)</f>
        <v>26.0879064949809</v>
      </c>
      <c r="F247" s="25" t="n">
        <f aca="false">SUMPRODUCT(($B$226:$B$242=$A247)*F$226:F$242*$C$226:$C$242)</f>
        <v>26.2168855232712</v>
      </c>
      <c r="G247" s="25" t="n">
        <f aca="false">SUMPRODUCT(($B$226:$B$242=$A247)*G$226:G$242*$C$226:$C$242)</f>
        <v>26.3466503151668</v>
      </c>
      <c r="H247" s="25" t="n">
        <f aca="false">SUMPRODUCT(($B$226:$B$242=$A247)*H$226:H$242*$C$226:$C$242)</f>
        <v>26.4772056576821</v>
      </c>
      <c r="I247" s="25" t="n">
        <f aca="false">SUMPRODUCT(($B$226:$B$242=$A247)*I$226:I$242*$C$226:$C$242)</f>
        <v>26.6085563669946</v>
      </c>
      <c r="J247" s="25" t="n">
        <f aca="false">SUMPRODUCT(($B$226:$B$242=$A247)*J$226:J$242*$C$226:$C$242)</f>
        <v>26.740707288623</v>
      </c>
      <c r="K247" s="25" t="n">
        <f aca="false">SUMPRODUCT(($B$226:$B$242=$A247)*K$226:K$242*$C$226:$C$242)</f>
        <v>26.8736632976056</v>
      </c>
      <c r="L247" s="25" t="n">
        <f aca="false">SUMPRODUCT(($B$226:$B$242=$A247)*L$226:L$242*$C$226:$C$242)</f>
        <v>27.0074292986805</v>
      </c>
      <c r="M247" s="25" t="n">
        <f aca="false">SUMPRODUCT(($B$226:$B$242=$A247)*M$226:M$242*$C$226:$C$242)</f>
        <v>27.1420102264661</v>
      </c>
      <c r="N247" s="25" t="n">
        <f aca="false">SUMPRODUCT(($B$226:$B$242=$A247)*N$226:N$242*$C$226:$C$242)</f>
        <v>27.2774110456437</v>
      </c>
      <c r="O247" s="25" t="n">
        <f aca="false">SUMPRODUCT(($B$226:$B$242=$A247)*O$226:O$242*$C$226:$C$242)</f>
        <v>27.4136367511402</v>
      </c>
      <c r="P247" s="25" t="n">
        <f aca="false">SUMPRODUCT(($B$226:$B$242=$A247)*P$226:P$242*$C$226:$C$242)</f>
        <v>320.151770738523</v>
      </c>
    </row>
    <row r="248" customFormat="false" ht="15" hidden="false" customHeight="false" outlineLevel="0" collapsed="false">
      <c r="A248" s="4" t="s">
        <v>146</v>
      </c>
      <c r="D248" s="25" t="n">
        <f aca="false">SUMPRODUCT(($B$226:$B$242=$A248)*D$226:D$242*$C$226:$C$242)</f>
        <v>496.357943127362</v>
      </c>
      <c r="E248" s="25" t="n">
        <f aca="false">SUMPRODUCT(($B$226:$B$242=$A248)*E$226:E$242*$C$226:$C$242)</f>
        <v>498.898024914167</v>
      </c>
      <c r="F248" s="25" t="n">
        <f aca="false">SUMPRODUCT(($B$226:$B$242=$A248)*F$226:F$242*$C$226:$C$242)</f>
        <v>501.453581339363</v>
      </c>
      <c r="G248" s="25" t="n">
        <f aca="false">SUMPRODUCT(($B$226:$B$242=$A248)*G$226:G$242*$C$226:$C$242)</f>
        <v>504.024706677252</v>
      </c>
      <c r="H248" s="25" t="n">
        <f aca="false">SUMPRODUCT(($B$226:$B$242=$A248)*H$226:H$242*$C$226:$C$242)</f>
        <v>506.611495776468</v>
      </c>
      <c r="I248" s="25" t="n">
        <f aca="false">SUMPRODUCT(($B$226:$B$242=$A248)*I$226:I$242*$C$226:$C$242)</f>
        <v>509.214044063485</v>
      </c>
      <c r="J248" s="25" t="n">
        <f aca="false">SUMPRODUCT(($B$226:$B$242=$A248)*J$226:J$242*$C$226:$C$242)</f>
        <v>511.832447546127</v>
      </c>
      <c r="K248" s="25" t="n">
        <f aca="false">SUMPRODUCT(($B$226:$B$242=$A248)*K$226:K$242*$C$226:$C$242)</f>
        <v>514.466802817121</v>
      </c>
      <c r="L248" s="25" t="n">
        <f aca="false">SUMPRODUCT(($B$226:$B$242=$A248)*L$226:L$242*$C$226:$C$242)</f>
        <v>517.11720705765</v>
      </c>
      <c r="M248" s="25" t="n">
        <f aca="false">SUMPRODUCT(($B$226:$B$242=$A248)*M$226:M$242*$C$226:$C$242)</f>
        <v>519.783758040943</v>
      </c>
      <c r="N248" s="25" t="n">
        <f aca="false">SUMPRODUCT(($B$226:$B$242=$A248)*N$226:N$242*$C$226:$C$242)</f>
        <v>522.466554135884</v>
      </c>
      <c r="O248" s="25" t="n">
        <f aca="false">SUMPRODUCT(($B$226:$B$242=$A248)*O$226:O$242*$C$226:$C$242)</f>
        <v>525.165694310634</v>
      </c>
      <c r="P248" s="25" t="n">
        <f aca="false">SUMPRODUCT(($B$226:$B$242=$A248)*P$226:P$242*$C$226:$C$242)</f>
        <v>6127.39225980646</v>
      </c>
    </row>
    <row r="249" customFormat="false" ht="15" hidden="false" customHeight="false" outlineLevel="0" collapsed="false">
      <c r="A249" s="4" t="s">
        <v>147</v>
      </c>
      <c r="D249" s="25" t="n">
        <f aca="false">SUMPRODUCT(($B$226:$B$242=$A249)*D$226:D$242*$C$226:$C$242)</f>
        <v>237.464964058789</v>
      </c>
      <c r="E249" s="25" t="n">
        <f aca="false">SUMPRODUCT(($B$226:$B$242=$A249)*E$226:E$242*$C$226:$C$242)</f>
        <v>238.682679162538</v>
      </c>
      <c r="F249" s="25" t="n">
        <f aca="false">SUMPRODUCT(($B$226:$B$242=$A249)*F$226:F$242*$C$226:$C$242)</f>
        <v>239.907812807294</v>
      </c>
      <c r="G249" s="25" t="n">
        <f aca="false">SUMPRODUCT(($B$226:$B$242=$A249)*G$226:G$242*$C$226:$C$242)</f>
        <v>241.140410188151</v>
      </c>
      <c r="H249" s="25" t="n">
        <f aca="false">SUMPRODUCT(($B$226:$B$242=$A249)*H$226:H$242*$C$226:$C$242)</f>
        <v>242.380516775542</v>
      </c>
      <c r="I249" s="25" t="n">
        <f aca="false">SUMPRODUCT(($B$226:$B$242=$A249)*I$226:I$242*$C$226:$C$242)</f>
        <v>243.628178316914</v>
      </c>
      <c r="J249" s="25" t="n">
        <f aca="false">SUMPRODUCT(($B$226:$B$242=$A249)*J$226:J$242*$C$226:$C$242)</f>
        <v>244.883440838415</v>
      </c>
      <c r="K249" s="25" t="n">
        <f aca="false">SUMPRODUCT(($B$226:$B$242=$A249)*K$226:K$242*$C$226:$C$242)</f>
        <v>246.146350646593</v>
      </c>
      <c r="L249" s="25" t="n">
        <f aca="false">SUMPRODUCT(($B$226:$B$242=$A249)*L$226:L$242*$C$226:$C$242)</f>
        <v>247.416954330103</v>
      </c>
      <c r="M249" s="25" t="n">
        <f aca="false">SUMPRODUCT(($B$226:$B$242=$A249)*M$226:M$242*$C$226:$C$242)</f>
        <v>248.695298761429</v>
      </c>
      <c r="N249" s="25" t="n">
        <f aca="false">SUMPRODUCT(($B$226:$B$242=$A249)*N$226:N$242*$C$226:$C$242)</f>
        <v>249.981431098607</v>
      </c>
      <c r="O249" s="25" t="n">
        <f aca="false">SUMPRODUCT(($B$226:$B$242=$A249)*O$226:O$242*$C$226:$C$242)</f>
        <v>251.275398786972</v>
      </c>
      <c r="P249" s="25" t="n">
        <f aca="false">SUMPRODUCT(($B$226:$B$242=$A249)*P$226:P$242*$C$226:$C$242)</f>
        <v>2931.60343577135</v>
      </c>
    </row>
    <row r="250" customFormat="false" ht="15" hidden="false" customHeight="false" outlineLevel="0" collapsed="false">
      <c r="A250" s="4" t="s">
        <v>150</v>
      </c>
      <c r="D250" s="25" t="n">
        <f aca="false">SUMPRODUCT(($B$226:$B$242=$A250)*D$226:D$242*$C$226:$C$242)</f>
        <v>244.070997051644</v>
      </c>
      <c r="E250" s="25" t="n">
        <f aca="false">SUMPRODUCT(($B$226:$B$242=$A250)*E$226:E$242*$C$226:$C$242)</f>
        <v>245.321342078653</v>
      </c>
      <c r="F250" s="25" t="n">
        <f aca="false">SUMPRODUCT(($B$226:$B$242=$A250)*F$226:F$242*$C$226:$C$242)</f>
        <v>246.579304434071</v>
      </c>
      <c r="G250" s="25" t="n">
        <f aca="false">SUMPRODUCT(($B$226:$B$242=$A250)*G$226:G$242*$C$226:$C$242)</f>
        <v>247.844930524044</v>
      </c>
      <c r="H250" s="25" t="n">
        <f aca="false">SUMPRODUCT(($B$226:$B$242=$A250)*H$226:H$242*$C$226:$C$242)</f>
        <v>249.11826703743</v>
      </c>
      <c r="I250" s="25" t="n">
        <f aca="false">SUMPRODUCT(($B$226:$B$242=$A250)*I$226:I$242*$C$226:$C$242)</f>
        <v>250.399360947526</v>
      </c>
      <c r="J250" s="25" t="n">
        <f aca="false">SUMPRODUCT(($B$226:$B$242=$A250)*J$226:J$242*$C$226:$C$242)</f>
        <v>251.688259513797</v>
      </c>
      <c r="K250" s="25" t="n">
        <f aca="false">SUMPRODUCT(($B$226:$B$242=$A250)*K$226:K$242*$C$226:$C$242)</f>
        <v>252.985010283623</v>
      </c>
      <c r="L250" s="25" t="n">
        <f aca="false">SUMPRODUCT(($B$226:$B$242=$A250)*L$226:L$242*$C$226:$C$242)</f>
        <v>254.289661094051</v>
      </c>
      <c r="M250" s="25" t="n">
        <f aca="false">SUMPRODUCT(($B$226:$B$242=$A250)*M$226:M$242*$C$226:$C$242)</f>
        <v>255.602260073559</v>
      </c>
      <c r="N250" s="25" t="n">
        <f aca="false">SUMPRODUCT(($B$226:$B$242=$A250)*N$226:N$242*$C$226:$C$242)</f>
        <v>256.922855643832</v>
      </c>
      <c r="O250" s="25" t="n">
        <f aca="false">SUMPRODUCT(($B$226:$B$242=$A250)*O$226:O$242*$C$226:$C$242)</f>
        <v>258.251496521551</v>
      </c>
      <c r="P250" s="25" t="n">
        <f aca="false">SUMPRODUCT(($B$226:$B$242=$A250)*P$226:P$242*$C$226:$C$242)</f>
        <v>3013.07374520378</v>
      </c>
    </row>
    <row r="251" customFormat="false" ht="15" hidden="false" customHeight="false" outlineLevel="0" collapsed="false">
      <c r="A251" s="4" t="s">
        <v>151</v>
      </c>
      <c r="D251" s="25" t="n">
        <f aca="false">SUMPRODUCT(($B$226:$B$242=$A251)*D$226:D$242*$C$226:$C$242)</f>
        <v>1790.68699405547</v>
      </c>
      <c r="E251" s="25" t="n">
        <f aca="false">SUMPRODUCT(($B$226:$B$242=$A251)*E$226:E$242*$C$226:$C$242)</f>
        <v>1799.85026603108</v>
      </c>
      <c r="F251" s="25" t="n">
        <f aca="false">SUMPRODUCT(($B$226:$B$242=$A251)*F$226:F$242*$C$226:$C$242)</f>
        <v>1809.06936231952</v>
      </c>
      <c r="G251" s="25" t="n">
        <f aca="false">SUMPRODUCT(($B$226:$B$242=$A251)*G$226:G$242*$C$226:$C$242)</f>
        <v>1818.34462301264</v>
      </c>
      <c r="H251" s="25" t="n">
        <f aca="false">SUMPRODUCT(($B$226:$B$242=$A251)*H$226:H$242*$C$226:$C$242)</f>
        <v>1827.67639027415</v>
      </c>
      <c r="I251" s="25" t="n">
        <f aca="false">SUMPRODUCT(($B$226:$B$242=$A251)*I$226:I$242*$C$226:$C$242)</f>
        <v>1837.0650083523</v>
      </c>
      <c r="J251" s="25" t="n">
        <f aca="false">SUMPRODUCT(($B$226:$B$242=$A251)*J$226:J$242*$C$226:$C$242)</f>
        <v>1846.51082359257</v>
      </c>
      <c r="K251" s="25" t="n">
        <f aca="false">SUMPRODUCT(($B$226:$B$242=$A251)*K$226:K$242*$C$226:$C$242)</f>
        <v>1856.01418445044</v>
      </c>
      <c r="L251" s="25" t="n">
        <f aca="false">SUMPRODUCT(($B$226:$B$242=$A251)*L$226:L$242*$C$226:$C$242)</f>
        <v>1865.57544150422</v>
      </c>
      <c r="M251" s="25" t="n">
        <f aca="false">SUMPRODUCT(($B$226:$B$242=$A251)*M$226:M$242*$C$226:$C$242)</f>
        <v>1875.19494746803</v>
      </c>
      <c r="N251" s="25" t="n">
        <f aca="false">SUMPRODUCT(($B$226:$B$242=$A251)*N$226:N$242*$C$226:$C$242)</f>
        <v>1884.87305720479</v>
      </c>
      <c r="O251" s="25" t="n">
        <f aca="false">SUMPRODUCT(($B$226:$B$242=$A251)*O$226:O$242*$C$226:$C$242)</f>
        <v>1894.6101277393</v>
      </c>
      <c r="P251" s="25" t="n">
        <f aca="false">SUMPRODUCT(($B$226:$B$242=$A251)*P$226:P$242*$C$226:$C$242)</f>
        <v>22105.4712260045</v>
      </c>
    </row>
    <row r="252" customFormat="false" ht="15" hidden="false" customHeight="false" outlineLevel="0" collapsed="false">
      <c r="A252" s="4" t="s">
        <v>154</v>
      </c>
      <c r="D252" s="25" t="n">
        <f aca="false">SUMPRODUCT(($B$226:$B$242=$A252)*D$226:D$242*$C$226:$C$242)</f>
        <v>72.995183100698</v>
      </c>
      <c r="E252" s="25" t="n">
        <f aca="false">SUMPRODUCT(($B$226:$B$242=$A252)*E$226:E$242*$C$226:$C$242)</f>
        <v>73.3698228962498</v>
      </c>
      <c r="F252" s="25" t="n">
        <f aca="false">SUMPRODUCT(($B$226:$B$242=$A252)*F$226:F$242*$C$226:$C$242)</f>
        <v>73.7467450653036</v>
      </c>
      <c r="G252" s="25" t="n">
        <f aca="false">SUMPRODUCT(($B$226:$B$242=$A252)*G$226:G$242*$C$226:$C$242)</f>
        <v>74.1259635124923</v>
      </c>
      <c r="H252" s="25" t="n">
        <f aca="false">SUMPRODUCT(($B$226:$B$242=$A252)*H$226:H$242*$C$226:$C$242)</f>
        <v>74.5074922271582</v>
      </c>
      <c r="I252" s="25" t="n">
        <f aca="false">SUMPRODUCT(($B$226:$B$242=$A252)*I$226:I$242*$C$226:$C$242)</f>
        <v>74.8913452838693</v>
      </c>
      <c r="J252" s="25" t="n">
        <f aca="false">SUMPRODUCT(($B$226:$B$242=$A252)*J$226:J$242*$C$226:$C$242)</f>
        <v>75.2775368429385</v>
      </c>
      <c r="K252" s="25" t="n">
        <f aca="false">SUMPRODUCT(($B$226:$B$242=$A252)*K$226:K$242*$C$226:$C$242)</f>
        <v>75.6660811509456</v>
      </c>
      <c r="L252" s="25" t="n">
        <f aca="false">SUMPRODUCT(($B$226:$B$242=$A252)*L$226:L$242*$C$226:$C$242)</f>
        <v>76.0569925412636</v>
      </c>
      <c r="M252" s="25" t="n">
        <f aca="false">SUMPRODUCT(($B$226:$B$242=$A252)*M$226:M$242*$C$226:$C$242)</f>
        <v>76.4502854345865</v>
      </c>
      <c r="N252" s="25" t="n">
        <f aca="false">SUMPRODUCT(($B$226:$B$242=$A252)*N$226:N$242*$C$226:$C$242)</f>
        <v>76.8459743394622</v>
      </c>
      <c r="O252" s="25" t="n">
        <f aca="false">SUMPRODUCT(($B$226:$B$242=$A252)*O$226:O$242*$C$226:$C$242)</f>
        <v>77.244073852827</v>
      </c>
      <c r="P252" s="25" t="n">
        <f aca="false">SUMPRODUCT(($B$226:$B$242=$A252)*P$226:P$242*$C$226:$C$242)</f>
        <v>901.177496247795</v>
      </c>
    </row>
    <row r="253" customFormat="false" ht="15" hidden="false" customHeight="false" outlineLevel="0" collapsed="false">
      <c r="A253" s="6" t="s">
        <v>275</v>
      </c>
      <c r="D253" s="26" t="n">
        <f aca="false">SUMPRODUCT(D$226:D$242*parametros_recargas!$D$51:$D$67)</f>
        <v>965.06558256868</v>
      </c>
      <c r="E253" s="26" t="n">
        <f aca="false">SUMPRODUCT(E$226:E$242*parametros_recargas!$D$51:$D$67)</f>
        <v>968.866487786179</v>
      </c>
      <c r="F253" s="26" t="n">
        <f aca="false">SUMPRODUCT(F$226:F$242*parametros_recargas!$D$51:$D$67)</f>
        <v>972.690548806812</v>
      </c>
      <c r="G253" s="26" t="n">
        <f aca="false">SUMPRODUCT(G$226:G$242*parametros_recargas!$D$51:$D$67)</f>
        <v>976.537906699928</v>
      </c>
      <c r="H253" s="26" t="n">
        <f aca="false">SUMPRODUCT(H$226:H$242*parametros_recargas!$D$51:$D$67)</f>
        <v>980.408703394293</v>
      </c>
      <c r="I253" s="26" t="n">
        <f aca="false">SUMPRODUCT(I$226:I$242*parametros_recargas!$D$51:$D$67)</f>
        <v>984.30308168333</v>
      </c>
      <c r="J253" s="26" t="n">
        <f aca="false">SUMPRODUCT(J$226:J$242*parametros_recargas!$D$51:$D$67)</f>
        <v>988.221185230387</v>
      </c>
      <c r="K253" s="26" t="n">
        <f aca="false">SUMPRODUCT(K$226:K$242*parametros_recargas!$D$51:$D$67)</f>
        <v>992.163158574033</v>
      </c>
      <c r="L253" s="26" t="n">
        <f aca="false">SUMPRODUCT(L$226:L$242*parametros_recargas!$D$51:$D$67)</f>
        <v>996.129147133393</v>
      </c>
      <c r="M253" s="26" t="n">
        <f aca="false">SUMPRODUCT(M$226:M$242*parametros_recargas!$D$51:$D$67)</f>
        <v>1000.11929721351</v>
      </c>
      <c r="N253" s="26" t="n">
        <f aca="false">SUMPRODUCT(N$226:N$242*parametros_recargas!$D$51:$D$67)</f>
        <v>1004.13375601075</v>
      </c>
      <c r="O253" s="26" t="n">
        <f aca="false">SUMPRODUCT(O$226:O$242*parametros_recargas!$D$51:$D$67)</f>
        <v>1008.17267161822</v>
      </c>
      <c r="P253" s="26" t="n">
        <f aca="false">SUMPRODUCT(P$226:P$242*parametros_recargas!$D$51:$D$67)</f>
        <v>11836.8115267195</v>
      </c>
    </row>
    <row r="257" customFormat="false" ht="23.85" hidden="false" customHeight="false" outlineLevel="0" collapsed="false">
      <c r="A257" s="23" t="n">
        <v>2034</v>
      </c>
      <c r="B257" s="3" t="s">
        <v>270</v>
      </c>
      <c r="C257" s="3" t="s">
        <v>271</v>
      </c>
      <c r="D257" s="3" t="s">
        <v>124</v>
      </c>
      <c r="E257" s="3" t="s">
        <v>125</v>
      </c>
      <c r="F257" s="3" t="s">
        <v>126</v>
      </c>
      <c r="G257" s="3" t="s">
        <v>127</v>
      </c>
      <c r="H257" s="3" t="s">
        <v>128</v>
      </c>
      <c r="I257" s="3" t="s">
        <v>129</v>
      </c>
      <c r="J257" s="3" t="s">
        <v>130</v>
      </c>
      <c r="K257" s="3" t="s">
        <v>131</v>
      </c>
      <c r="L257" s="3" t="s">
        <v>132</v>
      </c>
      <c r="M257" s="3" t="s">
        <v>133</v>
      </c>
      <c r="N257" s="3" t="s">
        <v>134</v>
      </c>
      <c r="O257" s="3" t="s">
        <v>135</v>
      </c>
      <c r="P257" s="3" t="s">
        <v>136</v>
      </c>
      <c r="Q257" s="3" t="s">
        <v>272</v>
      </c>
    </row>
    <row r="258" customFormat="false" ht="15" hidden="false" customHeight="false" outlineLevel="0" collapsed="false">
      <c r="A258" s="12" t="str">
        <f aca="false">parametros_recargas!A51</f>
        <v>ABC 1 kg</v>
      </c>
      <c r="B258" s="12" t="str">
        <f aca="false">parametros_recargas!B51</f>
        <v>ABC</v>
      </c>
      <c r="C258" s="24" t="n">
        <f aca="false">parametros_recargas!C51</f>
        <v>1</v>
      </c>
      <c r="D258" s="25" t="n">
        <f aca="false">datos_base!$J$2*parametros_recargas!$F$45+sobrestock_sustitutos!$J$175/12</f>
        <v>10552.5808167377</v>
      </c>
      <c r="E258" s="25" t="n">
        <f aca="false">datos_base!$J$2*parametros_recargas!$G$45+sobrestock_sustitutos!$J$175/12</f>
        <v>10613.7072904393</v>
      </c>
      <c r="F258" s="25" t="n">
        <f aca="false">datos_base!$J$2*parametros_recargas!$H$45+sobrestock_sustitutos!$J$175/12</f>
        <v>10675.1878430011</v>
      </c>
      <c r="G258" s="25" t="n">
        <f aca="false">datos_base!$J$2*parametros_recargas!$I$45+sobrestock_sustitutos!$J$175/12</f>
        <v>10737.0245254467</v>
      </c>
      <c r="H258" s="25" t="n">
        <f aca="false">datos_base!$J$2*parametros_recargas!$J$45+sobrestock_sustitutos!$J$175/12</f>
        <v>10799.2194006802</v>
      </c>
      <c r="I258" s="25" t="n">
        <f aca="false">datos_base!$J$2*parametros_recargas!$K$45+sobrestock_sustitutos!$J$175/12</f>
        <v>10861.7745435555</v>
      </c>
      <c r="J258" s="25" t="n">
        <f aca="false">datos_base!$J$2*parametros_recargas!$L$45+sobrestock_sustitutos!$J$175/12</f>
        <v>10924.6920409451</v>
      </c>
      <c r="K258" s="25" t="n">
        <f aca="false">datos_base!$J$2*parametros_recargas!$M$45+sobrestock_sustitutos!$J$175/12</f>
        <v>10987.9739918097</v>
      </c>
      <c r="L258" s="25" t="n">
        <f aca="false">datos_base!$J$2*parametros_recargas!$N$45+sobrestock_sustitutos!$J$175/12</f>
        <v>11051.6225072686</v>
      </c>
      <c r="M258" s="25" t="n">
        <f aca="false">datos_base!$J$2*parametros_recargas!$O$45+sobrestock_sustitutos!$J$175/12</f>
        <v>11115.6397106697</v>
      </c>
      <c r="N258" s="25" t="n">
        <f aca="false">datos_base!$J$2*parametros_recargas!$P$45+sobrestock_sustitutos!$J$175/12</f>
        <v>11180.0277376605</v>
      </c>
      <c r="O258" s="25" t="n">
        <f aca="false">datos_base!$J$2*parametros_recargas!$Q$45+sobrestock_sustitutos!$J$175/12</f>
        <v>11244.7887362597</v>
      </c>
      <c r="P258" s="7" t="n">
        <f aca="false">SUM(D258:O258)</f>
        <v>130744.239144474</v>
      </c>
      <c r="Q258" s="13" t="n">
        <f aca="false">sobrestock_sustitutos!$J$175</f>
        <v>0</v>
      </c>
    </row>
    <row r="259" customFormat="false" ht="15" hidden="false" customHeight="false" outlineLevel="0" collapsed="false">
      <c r="A259" s="12" t="str">
        <f aca="false">parametros_recargas!A52</f>
        <v>ABC 2,5 kg</v>
      </c>
      <c r="B259" s="12" t="str">
        <f aca="false">parametros_recargas!B52</f>
        <v>ABC</v>
      </c>
      <c r="C259" s="24" t="n">
        <f aca="false">parametros_recargas!C52</f>
        <v>1</v>
      </c>
      <c r="D259" s="25" t="n">
        <f aca="false">datos_base!$J$3*parametros_recargas!$F$45+sobrestock_sustitutos!$J$176/12</f>
        <v>886.581220046256</v>
      </c>
      <c r="E259" s="25" t="n">
        <f aca="false">datos_base!$J$3*parametros_recargas!$G$45+sobrestock_sustitutos!$J$176/12</f>
        <v>891.716796316432</v>
      </c>
      <c r="F259" s="25" t="n">
        <f aca="false">datos_base!$J$3*parametros_recargas!$H$45+sobrestock_sustitutos!$J$176/12</f>
        <v>896.882120728155</v>
      </c>
      <c r="G259" s="25" t="n">
        <f aca="false">datos_base!$J$3*parametros_recargas!$I$45+sobrestock_sustitutos!$J$176/12</f>
        <v>902.077365599365</v>
      </c>
      <c r="H259" s="25" t="n">
        <f aca="false">datos_base!$J$3*parametros_recargas!$J$45+sobrestock_sustitutos!$J$176/12</f>
        <v>907.302704246165</v>
      </c>
      <c r="I259" s="25" t="n">
        <f aca="false">datos_base!$J$3*parametros_recargas!$K$45+sobrestock_sustitutos!$J$176/12</f>
        <v>912.558310988603</v>
      </c>
      <c r="J259" s="25" t="n">
        <f aca="false">datos_base!$J$3*parametros_recargas!$L$45+sobrestock_sustitutos!$J$176/12</f>
        <v>917.844361156483</v>
      </c>
      <c r="K259" s="25" t="n">
        <f aca="false">datos_base!$J$3*parametros_recargas!$M$45+sobrestock_sustitutos!$J$176/12</f>
        <v>923.161031095222</v>
      </c>
      <c r="L259" s="25" t="n">
        <f aca="false">datos_base!$J$3*parametros_recargas!$N$45+sobrestock_sustitutos!$J$176/12</f>
        <v>928.508498171725</v>
      </c>
      <c r="M259" s="25" t="n">
        <f aca="false">datos_base!$J$3*parametros_recargas!$O$45+sobrestock_sustitutos!$J$176/12</f>
        <v>933.88694078031</v>
      </c>
      <c r="N259" s="25" t="n">
        <f aca="false">datos_base!$J$3*parametros_recargas!$P$45+sobrestock_sustitutos!$J$176/12</f>
        <v>939.296538348651</v>
      </c>
      <c r="O259" s="25" t="n">
        <f aca="false">datos_base!$J$3*parametros_recargas!$Q$45+sobrestock_sustitutos!$J$176/12</f>
        <v>944.737471343769</v>
      </c>
      <c r="P259" s="7" t="n">
        <f aca="false">SUM(D259:O259)</f>
        <v>10984.5533588211</v>
      </c>
      <c r="Q259" s="13" t="n">
        <f aca="false">sobrestock_sustitutos!$J$176</f>
        <v>0</v>
      </c>
    </row>
    <row r="260" customFormat="false" ht="15" hidden="false" customHeight="false" outlineLevel="0" collapsed="false">
      <c r="A260" s="12" t="str">
        <f aca="false">parametros_recargas!A53</f>
        <v>ABC 5 kg</v>
      </c>
      <c r="B260" s="12" t="str">
        <f aca="false">parametros_recargas!B53</f>
        <v>ABC</v>
      </c>
      <c r="C260" s="24" t="n">
        <f aca="false">parametros_recargas!C53</f>
        <v>1</v>
      </c>
      <c r="D260" s="25" t="n">
        <f aca="false">datos_base!$J$4*parametros_recargas!$F$45+sobrestock_sustitutos!$J$177/12</f>
        <v>7140.61250091694</v>
      </c>
      <c r="E260" s="25" t="n">
        <f aca="false">datos_base!$J$4*parametros_recargas!$G$45+sobrestock_sustitutos!$J$177/12</f>
        <v>7171.92725751361</v>
      </c>
      <c r="F260" s="25" t="n">
        <f aca="false">datos_base!$J$4*parametros_recargas!$H$45+sobrestock_sustitutos!$J$177/12</f>
        <v>7203.42340676472</v>
      </c>
      <c r="G260" s="25" t="n">
        <f aca="false">datos_base!$J$4*parametros_recargas!$I$45+sobrestock_sustitutos!$J$177/12</f>
        <v>7235.10199939838</v>
      </c>
      <c r="H260" s="25" t="n">
        <f aca="false">datos_base!$J$4*parametros_recargas!$J$45+sobrestock_sustitutos!$J$177/12</f>
        <v>7266.96409222912</v>
      </c>
      <c r="I260" s="25" t="n">
        <f aca="false">datos_base!$J$4*parametros_recargas!$K$45+sobrestock_sustitutos!$J$177/12</f>
        <v>7299.01074819312</v>
      </c>
      <c r="J260" s="25" t="n">
        <f aca="false">datos_base!$J$4*parametros_recargas!$L$45+sobrestock_sustitutos!$J$177/12</f>
        <v>7331.24303638368</v>
      </c>
      <c r="K260" s="25" t="n">
        <f aca="false">datos_base!$J$4*parametros_recargas!$M$45+sobrestock_sustitutos!$J$177/12</f>
        <v>7363.6620320869</v>
      </c>
      <c r="L260" s="25" t="n">
        <f aca="false">datos_base!$J$4*parametros_recargas!$N$45+sobrestock_sustitutos!$J$177/12</f>
        <v>7396.26881681754</v>
      </c>
      <c r="M260" s="25" t="n">
        <f aca="false">datos_base!$J$4*parametros_recargas!$O$45+sobrestock_sustitutos!$J$177/12</f>
        <v>7429.06447835508</v>
      </c>
      <c r="N260" s="25" t="n">
        <f aca="false">datos_base!$J$4*parametros_recargas!$P$45+sobrestock_sustitutos!$J$177/12</f>
        <v>7462.05011078007</v>
      </c>
      <c r="O260" s="25" t="n">
        <f aca="false">datos_base!$J$4*parametros_recargas!$Q$45+sobrestock_sustitutos!$J$177/12</f>
        <v>7495.22681451054</v>
      </c>
      <c r="P260" s="7" t="n">
        <f aca="false">SUM(D260:O260)</f>
        <v>87794.5552939497</v>
      </c>
      <c r="Q260" s="13" t="n">
        <f aca="false">sobrestock_sustitutos!$J$177</f>
        <v>20815</v>
      </c>
    </row>
    <row r="261" customFormat="false" ht="15" hidden="false" customHeight="false" outlineLevel="0" collapsed="false">
      <c r="A261" s="12" t="str">
        <f aca="false">parametros_recargas!A54</f>
        <v>ABC 10 kg</v>
      </c>
      <c r="B261" s="12" t="str">
        <f aca="false">parametros_recargas!B54</f>
        <v>ABC</v>
      </c>
      <c r="C261" s="24" t="n">
        <f aca="false">parametros_recargas!C54</f>
        <v>1</v>
      </c>
      <c r="D261" s="25" t="n">
        <f aca="false">datos_base!$J$5*parametros_recargas!$F$45+sobrestock_sustitutos!$J$178/12</f>
        <v>408.405142547837</v>
      </c>
      <c r="E261" s="25" t="n">
        <f aca="false">datos_base!$J$5*parametros_recargas!$G$45+sobrestock_sustitutos!$J$178/12</f>
        <v>410.25917819735</v>
      </c>
      <c r="F261" s="25" t="n">
        <f aca="false">datos_base!$J$5*parametros_recargas!$H$45+sobrestock_sustitutos!$J$178/12</f>
        <v>412.123953462445</v>
      </c>
      <c r="G261" s="25" t="n">
        <f aca="false">datos_base!$J$5*parametros_recargas!$I$45+sobrestock_sustitutos!$J$178/12</f>
        <v>413.999530553007</v>
      </c>
      <c r="H261" s="25" t="n">
        <f aca="false">datos_base!$J$5*parametros_recargas!$J$45+sobrestock_sustitutos!$J$178/12</f>
        <v>415.885972039273</v>
      </c>
      <c r="I261" s="25" t="n">
        <f aca="false">datos_base!$J$5*parametros_recargas!$K$45+sobrestock_sustitutos!$J$178/12</f>
        <v>417.783340853925</v>
      </c>
      <c r="J261" s="25" t="n">
        <f aca="false">datos_base!$J$5*parametros_recargas!$L$45+sobrestock_sustitutos!$J$178/12</f>
        <v>419.691700294184</v>
      </c>
      <c r="K261" s="25" t="n">
        <f aca="false">datos_base!$J$5*parametros_recargas!$M$45+sobrestock_sustitutos!$J$178/12</f>
        <v>421.611114023927</v>
      </c>
      <c r="L261" s="25" t="n">
        <f aca="false">datos_base!$J$5*parametros_recargas!$N$45+sobrestock_sustitutos!$J$178/12</f>
        <v>423.541646075804</v>
      </c>
      <c r="M261" s="25" t="n">
        <f aca="false">datos_base!$J$5*parametros_recargas!$O$45+sobrestock_sustitutos!$J$178/12</f>
        <v>425.483360853381</v>
      </c>
      <c r="N261" s="25" t="n">
        <f aca="false">datos_base!$J$5*parametros_recargas!$P$45+sobrestock_sustitutos!$J$178/12</f>
        <v>427.436323133284</v>
      </c>
      <c r="O261" s="25" t="n">
        <f aca="false">datos_base!$J$5*parametros_recargas!$Q$45+sobrestock_sustitutos!$J$178/12</f>
        <v>429.400598067364</v>
      </c>
      <c r="P261" s="7" t="n">
        <f aca="false">SUM(D261:O261)</f>
        <v>5025.62186010178</v>
      </c>
      <c r="Q261" s="13" t="n">
        <f aca="false">sobrestock_sustitutos!$J$178</f>
        <v>1060</v>
      </c>
    </row>
    <row r="262" customFormat="false" ht="15" hidden="false" customHeight="false" outlineLevel="0" collapsed="false">
      <c r="A262" s="12" t="str">
        <f aca="false">parametros_recargas!A55</f>
        <v>Agua 10 l</v>
      </c>
      <c r="B262" s="12" t="str">
        <f aca="false">parametros_recargas!B55</f>
        <v>Agua</v>
      </c>
      <c r="C262" s="24" t="n">
        <f aca="false">parametros_recargas!C55</f>
        <v>1</v>
      </c>
      <c r="D262" s="25" t="n">
        <f aca="false">datos_base!$J$6*parametros_recargas!$F$45+sobrestock_sustitutos!$J$179/12</f>
        <v>554.276197380332</v>
      </c>
      <c r="E262" s="25" t="n">
        <f aca="false">datos_base!$J$6*parametros_recargas!$G$45+sobrestock_sustitutos!$J$179/12</f>
        <v>556.890242521556</v>
      </c>
      <c r="F262" s="25" t="n">
        <f aca="false">datos_base!$J$6*parametros_recargas!$H$45+sobrestock_sustitutos!$J$179/12</f>
        <v>559.519429680107</v>
      </c>
      <c r="G262" s="25" t="n">
        <f aca="false">datos_base!$J$6*parametros_recargas!$I$45+sobrestock_sustitutos!$J$179/12</f>
        <v>562.163846567053</v>
      </c>
      <c r="H262" s="25" t="n">
        <f aca="false">datos_base!$J$6*parametros_recargas!$J$45+sobrestock_sustitutos!$J$179/12</f>
        <v>564.823581401532</v>
      </c>
      <c r="I262" s="25" t="n">
        <f aca="false">datos_base!$J$6*parametros_recargas!$K$45+sobrestock_sustitutos!$J$179/12</f>
        <v>567.498722913699</v>
      </c>
      <c r="J262" s="25" t="n">
        <f aca="false">datos_base!$J$6*parametros_recargas!$L$45+sobrestock_sustitutos!$J$179/12</f>
        <v>570.189360347682</v>
      </c>
      <c r="K262" s="25" t="n">
        <f aca="false">datos_base!$J$6*parametros_recargas!$M$45+sobrestock_sustitutos!$J$179/12</f>
        <v>572.895583464562</v>
      </c>
      <c r="L262" s="25" t="n">
        <f aca="false">datos_base!$J$6*parametros_recargas!$N$45+sobrestock_sustitutos!$J$179/12</f>
        <v>575.617482545365</v>
      </c>
      <c r="M262" s="25" t="n">
        <f aca="false">datos_base!$J$6*parametros_recargas!$O$45+sobrestock_sustitutos!$J$179/12</f>
        <v>578.355148394077</v>
      </c>
      <c r="N262" s="25" t="n">
        <f aca="false">datos_base!$J$6*parametros_recargas!$P$45+sobrestock_sustitutos!$J$179/12</f>
        <v>581.108672340672</v>
      </c>
      <c r="O262" s="25" t="n">
        <f aca="false">datos_base!$J$6*parametros_recargas!$Q$45+sobrestock_sustitutos!$J$179/12</f>
        <v>583.878146244157</v>
      </c>
      <c r="P262" s="7" t="n">
        <f aca="false">SUM(D262:O262)</f>
        <v>6827.21641380079</v>
      </c>
      <c r="Q262" s="13" t="n">
        <f aca="false">sobrestock_sustitutos!$J$179</f>
        <v>1236</v>
      </c>
    </row>
    <row r="263" customFormat="false" ht="15" hidden="false" customHeight="false" outlineLevel="0" collapsed="false">
      <c r="A263" s="12" t="str">
        <f aca="false">parametros_recargas!A56</f>
        <v>AFFF 10 l</v>
      </c>
      <c r="B263" s="12" t="str">
        <f aca="false">parametros_recargas!B56</f>
        <v>AFFF</v>
      </c>
      <c r="C263" s="24" t="n">
        <f aca="false">parametros_recargas!C56</f>
        <v>1</v>
      </c>
      <c r="D263" s="25" t="n">
        <f aca="false">datos_base!$J$7*parametros_recargas!$F$45+sobrestock_sustitutos!$J$180/12</f>
        <v>104.048291756921</v>
      </c>
      <c r="E263" s="25" t="n">
        <f aca="false">datos_base!$J$7*parametros_recargas!$G$45+sobrestock_sustitutos!$J$180/12</f>
        <v>104.539973793187</v>
      </c>
      <c r="F263" s="25" t="n">
        <f aca="false">datos_base!$J$7*parametros_recargas!$H$45+sobrestock_sustitutos!$J$180/12</f>
        <v>105.034503927902</v>
      </c>
      <c r="G263" s="25" t="n">
        <f aca="false">datos_base!$J$7*parametros_recargas!$I$45+sobrestock_sustitutos!$J$180/12</f>
        <v>105.531898658852</v>
      </c>
      <c r="H263" s="25" t="n">
        <f aca="false">datos_base!$J$7*parametros_recargas!$J$45+sobrestock_sustitutos!$J$180/12</f>
        <v>106.032174579386</v>
      </c>
      <c r="I263" s="25" t="n">
        <f aca="false">datos_base!$J$7*parametros_recargas!$K$45+sobrestock_sustitutos!$J$180/12</f>
        <v>106.535348378974</v>
      </c>
      <c r="J263" s="25" t="n">
        <f aca="false">datos_base!$J$7*parametros_recargas!$L$45+sobrestock_sustitutos!$J$180/12</f>
        <v>107.041436843756</v>
      </c>
      <c r="K263" s="25" t="n">
        <f aca="false">datos_base!$J$7*parametros_recargas!$M$45+sobrestock_sustitutos!$J$180/12</f>
        <v>107.550456857112</v>
      </c>
      <c r="L263" s="25" t="n">
        <f aca="false">datos_base!$J$7*parametros_recargas!$N$45+sobrestock_sustitutos!$J$180/12</f>
        <v>108.062425400216</v>
      </c>
      <c r="M263" s="25" t="n">
        <f aca="false">datos_base!$J$7*parametros_recargas!$O$45+sobrestock_sustitutos!$J$180/12</f>
        <v>108.577359552608</v>
      </c>
      <c r="N263" s="25" t="n">
        <f aca="false">datos_base!$J$7*parametros_recargas!$P$45+sobrestock_sustitutos!$J$180/12</f>
        <v>109.095276492762</v>
      </c>
      <c r="O263" s="25" t="n">
        <f aca="false">datos_base!$J$7*parametros_recargas!$Q$45+sobrestock_sustitutos!$J$180/12</f>
        <v>109.616193498661</v>
      </c>
      <c r="P263" s="7" t="n">
        <f aca="false">SUM(D263:O263)</f>
        <v>1281.66533974034</v>
      </c>
      <c r="Q263" s="13" t="n">
        <f aca="false">sobrestock_sustitutos!$J$180</f>
        <v>230</v>
      </c>
    </row>
    <row r="264" customFormat="false" ht="15" hidden="false" customHeight="false" outlineLevel="0" collapsed="false">
      <c r="A264" s="12" t="str">
        <f aca="false">parametros_recargas!A57</f>
        <v>AFFF 50 l s/ruedas</v>
      </c>
      <c r="B264" s="12" t="str">
        <f aca="false">parametros_recargas!B57</f>
        <v>AFFF</v>
      </c>
      <c r="C264" s="24" t="n">
        <f aca="false">parametros_recargas!C57</f>
        <v>3</v>
      </c>
      <c r="D264" s="25" t="n">
        <f aca="false">datos_base!$J$8*parametros_recargas!$F$45+sobrestock_sustitutos!$J$181/12</f>
        <v>54.5139322950801</v>
      </c>
      <c r="E264" s="25" t="n">
        <f aca="false">datos_base!$J$8*parametros_recargas!$G$45+sobrestock_sustitutos!$J$181/12</f>
        <v>54.7712992734667</v>
      </c>
      <c r="F264" s="25" t="n">
        <f aca="false">datos_base!$J$8*parametros_recargas!$H$45+sobrestock_sustitutos!$J$181/12</f>
        <v>55.030157065912</v>
      </c>
      <c r="G264" s="25" t="n">
        <f aca="false">datos_base!$J$8*parametros_recargas!$I$45+sobrestock_sustitutos!$J$181/12</f>
        <v>55.290514308048</v>
      </c>
      <c r="H264" s="25" t="n">
        <f aca="false">datos_base!$J$8*parametros_recargas!$J$45+sobrestock_sustitutos!$J$181/12</f>
        <v>55.5523796855293</v>
      </c>
      <c r="I264" s="25" t="n">
        <f aca="false">datos_base!$J$8*parametros_recargas!$K$45+sobrestock_sustitutos!$J$181/12</f>
        <v>55.8157619343228</v>
      </c>
      <c r="J264" s="25" t="n">
        <f aca="false">datos_base!$J$8*parametros_recargas!$L$45+sobrestock_sustitutos!$J$181/12</f>
        <v>56.0806698409989</v>
      </c>
      <c r="K264" s="25" t="n">
        <f aca="false">datos_base!$J$8*parametros_recargas!$M$45+sobrestock_sustitutos!$J$181/12</f>
        <v>56.3471122430247</v>
      </c>
      <c r="L264" s="25" t="n">
        <f aca="false">datos_base!$J$8*parametros_recargas!$N$45+sobrestock_sustitutos!$J$181/12</f>
        <v>56.6150980290589</v>
      </c>
      <c r="M264" s="25" t="n">
        <f aca="false">datos_base!$J$8*parametros_recargas!$O$45+sobrestock_sustitutos!$J$181/12</f>
        <v>56.8846361392484</v>
      </c>
      <c r="N264" s="25" t="n">
        <f aca="false">datos_base!$J$8*parametros_recargas!$P$45+sobrestock_sustitutos!$J$181/12</f>
        <v>57.1557355655264</v>
      </c>
      <c r="O264" s="25" t="n">
        <f aca="false">datos_base!$J$8*parametros_recargas!$Q$45+sobrestock_sustitutos!$J$181/12</f>
        <v>57.4284053519124</v>
      </c>
      <c r="P264" s="7" t="n">
        <f aca="false">SUM(D264:O264)</f>
        <v>671.485701732129</v>
      </c>
      <c r="Q264" s="13" t="n">
        <f aca="false">sobrestock_sustitutos!$J$181</f>
        <v>121</v>
      </c>
    </row>
    <row r="265" customFormat="false" ht="15" hidden="false" customHeight="false" outlineLevel="0" collapsed="false">
      <c r="A265" s="12" t="str">
        <f aca="false">parametros_recargas!A58</f>
        <v>BC 5 kg</v>
      </c>
      <c r="B265" s="12" t="str">
        <f aca="false">parametros_recargas!B58</f>
        <v>BC</v>
      </c>
      <c r="C265" s="24" t="n">
        <f aca="false">parametros_recargas!C58</f>
        <v>1</v>
      </c>
      <c r="D265" s="25" t="n">
        <f aca="false">datos_base!$J$9*parametros_recargas!$F$45+sobrestock_sustitutos!$J$182/12</f>
        <v>32.6090995478909</v>
      </c>
      <c r="E265" s="25" t="n">
        <f aca="false">datos_base!$J$9*parametros_recargas!$G$45+sobrestock_sustitutos!$J$182/12</f>
        <v>32.7574418327995</v>
      </c>
      <c r="F265" s="25" t="n">
        <f aca="false">datos_base!$J$9*parametros_recargas!$H$45+sobrestock_sustitutos!$J$182/12</f>
        <v>32.9066433995212</v>
      </c>
      <c r="G265" s="25" t="n">
        <f aca="false">datos_base!$J$9*parametros_recargas!$I$45+sobrestock_sustitutos!$J$182/12</f>
        <v>33.0567092254988</v>
      </c>
      <c r="H265" s="25" t="n">
        <f aca="false">datos_base!$J$9*parametros_recargas!$J$45+sobrestock_sustitutos!$J$182/12</f>
        <v>33.2076443170073</v>
      </c>
      <c r="I265" s="25" t="n">
        <f aca="false">datos_base!$J$9*parametros_recargas!$K$45+sobrestock_sustitutos!$J$182/12</f>
        <v>33.3594537093206</v>
      </c>
      <c r="J265" s="25" t="n">
        <f aca="false">datos_base!$J$9*parametros_recargas!$L$45+sobrestock_sustitutos!$J$182/12</f>
        <v>33.5121424668801</v>
      </c>
      <c r="K265" s="25" t="n">
        <f aca="false">datos_base!$J$9*parametros_recargas!$M$45+sobrestock_sustitutos!$J$182/12</f>
        <v>33.6657156834629</v>
      </c>
      <c r="L265" s="25" t="n">
        <f aca="false">datos_base!$J$9*parametros_recargas!$N$45+sobrestock_sustitutos!$J$182/12</f>
        <v>33.8201784823524</v>
      </c>
      <c r="M265" s="25" t="n">
        <f aca="false">datos_base!$J$9*parametros_recargas!$O$45+sobrestock_sustitutos!$J$182/12</f>
        <v>33.975536016509</v>
      </c>
      <c r="N265" s="25" t="n">
        <f aca="false">datos_base!$J$9*parametros_recargas!$P$45+sobrestock_sustitutos!$J$182/12</f>
        <v>34.1317934687415</v>
      </c>
      <c r="O265" s="25" t="n">
        <f aca="false">datos_base!$J$9*parametros_recargas!$Q$45+sobrestock_sustitutos!$J$182/12</f>
        <v>34.288956051881</v>
      </c>
      <c r="P265" s="7" t="n">
        <f aca="false">SUM(D265:O265)</f>
        <v>401.291314201865</v>
      </c>
      <c r="Q265" s="13" t="n">
        <f aca="false">sobrestock_sustitutos!$J$182</f>
        <v>84</v>
      </c>
    </row>
    <row r="266" customFormat="false" ht="15" hidden="false" customHeight="false" outlineLevel="0" collapsed="false">
      <c r="A266" s="12" t="str">
        <f aca="false">parametros_recargas!A59</f>
        <v>Sales K 6 l</v>
      </c>
      <c r="B266" s="12" t="str">
        <f aca="false">parametros_recargas!B59</f>
        <v>Sales K</v>
      </c>
      <c r="C266" s="24" t="n">
        <f aca="false">parametros_recargas!C59</f>
        <v>1</v>
      </c>
      <c r="D266" s="25" t="n">
        <f aca="false">datos_base!$J$10*parametros_recargas!$F$45+sobrestock_sustitutos!$J$183/12</f>
        <v>273.115154340958</v>
      </c>
      <c r="E266" s="25" t="n">
        <f aca="false">datos_base!$J$10*parametros_recargas!$G$45+sobrestock_sustitutos!$J$183/12</f>
        <v>274.403218180036</v>
      </c>
      <c r="F266" s="25" t="n">
        <f aca="false">datos_base!$J$10*parametros_recargas!$H$45+sobrestock_sustitutos!$J$183/12</f>
        <v>275.698743208159</v>
      </c>
      <c r="G266" s="25" t="n">
        <f aca="false">datos_base!$J$10*parametros_recargas!$I$45+sobrestock_sustitutos!$J$183/12</f>
        <v>277.001772644724</v>
      </c>
      <c r="H266" s="25" t="n">
        <f aca="false">datos_base!$J$10*parametros_recargas!$J$45+sobrestock_sustitutos!$J$183/12</f>
        <v>278.312349959478</v>
      </c>
      <c r="I266" s="25" t="n">
        <f aca="false">datos_base!$J$10*parametros_recargas!$K$45+sobrestock_sustitutos!$J$183/12</f>
        <v>279.63051887397</v>
      </c>
      <c r="J266" s="25" t="n">
        <f aca="false">datos_base!$J$10*parametros_recargas!$L$45+sobrestock_sustitutos!$J$183/12</f>
        <v>280.956323363009</v>
      </c>
      <c r="K266" s="25" t="n">
        <f aca="false">datos_base!$J$10*parametros_recargas!$M$45+sobrestock_sustitutos!$J$183/12</f>
        <v>282.28980765613</v>
      </c>
      <c r="L266" s="25" t="n">
        <f aca="false">datos_base!$J$10*parametros_recargas!$N$45+sobrestock_sustitutos!$J$183/12</f>
        <v>283.63101623907</v>
      </c>
      <c r="M266" s="25" t="n">
        <f aca="false">datos_base!$J$10*parametros_recargas!$O$45+sobrestock_sustitutos!$J$183/12</f>
        <v>284.979993855254</v>
      </c>
      <c r="N266" s="25" t="n">
        <f aca="false">datos_base!$J$10*parametros_recargas!$P$45+sobrestock_sustitutos!$J$183/12</f>
        <v>286.336785507286</v>
      </c>
      <c r="O266" s="25" t="n">
        <f aca="false">datos_base!$J$10*parametros_recargas!$Q$45+sobrestock_sustitutos!$J$183/12</f>
        <v>287.701436458448</v>
      </c>
      <c r="P266" s="7" t="n">
        <f aca="false">SUM(D266:O266)</f>
        <v>3364.05712028652</v>
      </c>
      <c r="Q266" s="13" t="n">
        <f aca="false">sobrestock_sustitutos!$J$183</f>
        <v>609</v>
      </c>
    </row>
    <row r="267" customFormat="false" ht="15" hidden="false" customHeight="false" outlineLevel="0" collapsed="false">
      <c r="A267" s="12" t="str">
        <f aca="false">parametros_recargas!A60</f>
        <v>CO₂ 2 kg</v>
      </c>
      <c r="B267" s="12" t="str">
        <f aca="false">parametros_recargas!B60</f>
        <v>CO₂</v>
      </c>
      <c r="C267" s="24" t="n">
        <f aca="false">parametros_recargas!C60</f>
        <v>1</v>
      </c>
      <c r="D267" s="25" t="n">
        <f aca="false">datos_base!$J$11*parametros_recargas!$F$45+sobrestock_sustitutos!$J$184/12</f>
        <v>1215.69482605475</v>
      </c>
      <c r="E267" s="25" t="n">
        <f aca="false">datos_base!$J$11*parametros_recargas!$G$45+sobrestock_sustitutos!$J$184/12</f>
        <v>1222.73681313873</v>
      </c>
      <c r="F267" s="25" t="n">
        <f aca="false">datos_base!$J$11*parametros_recargas!$H$45+sobrestock_sustitutos!$J$184/12</f>
        <v>1229.8195913662</v>
      </c>
      <c r="G267" s="25" t="n">
        <f aca="false">datos_base!$J$11*parametros_recargas!$I$45+sobrestock_sustitutos!$J$184/12</f>
        <v>1236.94339702237</v>
      </c>
      <c r="H267" s="25" t="n">
        <f aca="false">datos_base!$J$11*parametros_recargas!$J$45+sobrestock_sustitutos!$J$184/12</f>
        <v>1244.10846776114</v>
      </c>
      <c r="I267" s="25" t="n">
        <f aca="false">datos_base!$J$11*parametros_recargas!$K$45+sobrestock_sustitutos!$J$184/12</f>
        <v>1251.31504261305</v>
      </c>
      <c r="J267" s="25" t="n">
        <f aca="false">datos_base!$J$11*parametros_recargas!$L$45+sobrestock_sustitutos!$J$184/12</f>
        <v>1258.56336199322</v>
      </c>
      <c r="K267" s="25" t="n">
        <f aca="false">datos_base!$J$11*parametros_recargas!$M$45+sobrestock_sustitutos!$J$184/12</f>
        <v>1265.8536677094</v>
      </c>
      <c r="L267" s="25" t="n">
        <f aca="false">datos_base!$J$11*parametros_recargas!$N$45+sobrestock_sustitutos!$J$184/12</f>
        <v>1273.18620297004</v>
      </c>
      <c r="M267" s="25" t="n">
        <f aca="false">datos_base!$J$11*parametros_recargas!$O$45+sobrestock_sustitutos!$J$184/12</f>
        <v>1280.56121239235</v>
      </c>
      <c r="N267" s="25" t="n">
        <f aca="false">datos_base!$J$11*parametros_recargas!$P$45+sobrestock_sustitutos!$J$184/12</f>
        <v>1287.97894201054</v>
      </c>
      <c r="O267" s="25" t="n">
        <f aca="false">datos_base!$J$11*parametros_recargas!$Q$45+sobrestock_sustitutos!$J$184/12</f>
        <v>1295.43963928398</v>
      </c>
      <c r="P267" s="7" t="n">
        <f aca="false">SUM(D267:O267)</f>
        <v>15062.2011643158</v>
      </c>
      <c r="Q267" s="13" t="n">
        <f aca="false">sobrestock_sustitutos!$J$184</f>
        <v>0</v>
      </c>
    </row>
    <row r="268" customFormat="false" ht="15" hidden="false" customHeight="false" outlineLevel="0" collapsed="false">
      <c r="A268" s="12" t="str">
        <f aca="false">parametros_recargas!A61</f>
        <v>CO₂ 5 kg</v>
      </c>
      <c r="B268" s="12" t="str">
        <f aca="false">parametros_recargas!B61</f>
        <v>CO₂</v>
      </c>
      <c r="C268" s="24" t="n">
        <f aca="false">parametros_recargas!C61</f>
        <v>1</v>
      </c>
      <c r="D268" s="25" t="n">
        <f aca="false">datos_base!$J$12*parametros_recargas!$F$45+sobrestock_sustitutos!$J$185/12</f>
        <v>784.301649186779</v>
      </c>
      <c r="E268" s="25" t="n">
        <f aca="false">datos_base!$J$12*parametros_recargas!$G$45+sobrestock_sustitutos!$J$185/12</f>
        <v>786.692828140178</v>
      </c>
      <c r="F268" s="25" t="n">
        <f aca="false">datos_base!$J$12*parametros_recargas!$H$45+sobrestock_sustitutos!$J$185/12</f>
        <v>789.097858144798</v>
      </c>
      <c r="G268" s="25" t="n">
        <f aca="false">datos_base!$J$12*parametros_recargas!$I$45+sobrestock_sustitutos!$J$185/12</f>
        <v>791.516819433706</v>
      </c>
      <c r="H268" s="25" t="n">
        <f aca="false">datos_base!$J$12*parametros_recargas!$J$45+sobrestock_sustitutos!$J$185/12</f>
        <v>793.949792704723</v>
      </c>
      <c r="I268" s="25" t="n">
        <f aca="false">datos_base!$J$12*parametros_recargas!$K$45+sobrestock_sustitutos!$J$185/12</f>
        <v>796.396859123119</v>
      </c>
      <c r="J268" s="25" t="n">
        <f aca="false">datos_base!$J$12*parametros_recargas!$L$45+sobrestock_sustitutos!$J$185/12</f>
        <v>798.858100324315</v>
      </c>
      <c r="K268" s="25" t="n">
        <f aca="false">datos_base!$J$12*parametros_recargas!$M$45+sobrestock_sustitutos!$J$185/12</f>
        <v>801.333598416615</v>
      </c>
      <c r="L268" s="25" t="n">
        <f aca="false">datos_base!$J$12*parametros_recargas!$N$45+sobrestock_sustitutos!$J$185/12</f>
        <v>803.823435983936</v>
      </c>
      <c r="M268" s="25" t="n">
        <f aca="false">datos_base!$J$12*parametros_recargas!$O$45+sobrestock_sustitutos!$J$185/12</f>
        <v>806.327696088571</v>
      </c>
      <c r="N268" s="25" t="n">
        <f aca="false">datos_base!$J$12*parametros_recargas!$P$45+sobrestock_sustitutos!$J$185/12</f>
        <v>808.846462273954</v>
      </c>
      <c r="O268" s="25" t="n">
        <f aca="false">datos_base!$J$12*parametros_recargas!$Q$45+sobrestock_sustitutos!$J$185/12</f>
        <v>811.37981856745</v>
      </c>
      <c r="P268" s="7" t="n">
        <f aca="false">SUM(D268:O268)</f>
        <v>9572.52491838814</v>
      </c>
      <c r="Q268" s="13" t="n">
        <f aca="false">sobrestock_sustitutos!$J$185</f>
        <v>4458</v>
      </c>
    </row>
    <row r="269" customFormat="false" ht="15" hidden="false" customHeight="false" outlineLevel="0" collapsed="false">
      <c r="A269" s="12" t="str">
        <f aca="false">parametros_recargas!A62</f>
        <v>HCFC/HFC 5 kg</v>
      </c>
      <c r="B269" s="12" t="str">
        <f aca="false">parametros_recargas!B62</f>
        <v>Halogenado</v>
      </c>
      <c r="C269" s="24" t="n">
        <f aca="false">parametros_recargas!C62</f>
        <v>1</v>
      </c>
      <c r="D269" s="25" t="n">
        <f aca="false">datos_base!$J$13*parametros_recargas!$F$45+sobrestock_sustitutos!$J$186/12</f>
        <v>82.5611003760573</v>
      </c>
      <c r="E269" s="25" t="n">
        <f aca="false">datos_base!$J$13*parametros_recargas!$G$45+sobrestock_sustitutos!$J$186/12</f>
        <v>82.9510040667679</v>
      </c>
      <c r="F269" s="25" t="n">
        <f aca="false">datos_base!$J$13*parametros_recargas!$H$45+sobrestock_sustitutos!$J$186/12</f>
        <v>83.3431662985984</v>
      </c>
      <c r="G269" s="25" t="n">
        <f aca="false">datos_base!$J$13*parametros_recargas!$I$45+sobrestock_sustitutos!$J$186/12</f>
        <v>83.7376001542873</v>
      </c>
      <c r="H269" s="25" t="n">
        <f aca="false">datos_base!$J$13*parametros_recargas!$J$45+sobrestock_sustitutos!$J$186/12</f>
        <v>84.1343187923556</v>
      </c>
      <c r="I269" s="25" t="n">
        <f aca="false">datos_base!$J$13*parametros_recargas!$K$45+sobrestock_sustitutos!$J$186/12</f>
        <v>84.5333354475458</v>
      </c>
      <c r="J269" s="25" t="n">
        <f aca="false">datos_base!$J$13*parametros_recargas!$L$45+sobrestock_sustitutos!$J$186/12</f>
        <v>84.9346634312634</v>
      </c>
      <c r="K269" s="25" t="n">
        <f aca="false">datos_base!$J$13*parametros_recargas!$M$45+sobrestock_sustitutos!$J$186/12</f>
        <v>85.3383161320212</v>
      </c>
      <c r="L269" s="25" t="n">
        <f aca="false">datos_base!$J$13*parametros_recargas!$N$45+sobrestock_sustitutos!$J$186/12</f>
        <v>85.7443070158856</v>
      </c>
      <c r="M269" s="25" t="n">
        <f aca="false">datos_base!$J$13*parametros_recargas!$O$45+sobrestock_sustitutos!$J$186/12</f>
        <v>86.1526496269263</v>
      </c>
      <c r="N269" s="25" t="n">
        <f aca="false">datos_base!$J$13*parametros_recargas!$P$45+sobrestock_sustitutos!$J$186/12</f>
        <v>86.5633575876675</v>
      </c>
      <c r="O269" s="25" t="n">
        <f aca="false">datos_base!$J$13*parametros_recargas!$Q$45+sobrestock_sustitutos!$J$186/12</f>
        <v>86.976444599543</v>
      </c>
      <c r="P269" s="7" t="n">
        <f aca="false">SUM(D269:O269)</f>
        <v>1016.97026352892</v>
      </c>
      <c r="Q269" s="13" t="n">
        <f aca="false">sobrestock_sustitutos!$J$186</f>
        <v>183</v>
      </c>
    </row>
    <row r="270" customFormat="false" ht="15" hidden="false" customHeight="false" outlineLevel="0" collapsed="false">
      <c r="A270" s="12" t="str">
        <f aca="false">parametros_recargas!A63</f>
        <v>Clase D 9 l</v>
      </c>
      <c r="B270" s="12" t="str">
        <f aca="false">parametros_recargas!B63</f>
        <v>Clase D</v>
      </c>
      <c r="C270" s="24" t="n">
        <f aca="false">parametros_recargas!C63</f>
        <v>1</v>
      </c>
      <c r="D270" s="25" t="n">
        <f aca="false">datos_base!$J$14*parametros_recargas!$F$45+sobrestock_sustitutos!$J$187/12</f>
        <v>29.4089804284739</v>
      </c>
      <c r="E270" s="25" t="n">
        <f aca="false">datos_base!$J$14*parametros_recargas!$G$45+sobrestock_sustitutos!$J$187/12</f>
        <v>29.5426475341618</v>
      </c>
      <c r="F270" s="25" t="n">
        <f aca="false">datos_base!$J$14*parametros_recargas!$H$45+sobrestock_sustitutos!$J$187/12</f>
        <v>29.6770889147841</v>
      </c>
      <c r="G270" s="25" t="n">
        <f aca="false">datos_base!$J$14*parametros_recargas!$I$45+sobrestock_sustitutos!$J$187/12</f>
        <v>29.8123090553761</v>
      </c>
      <c r="H270" s="25" t="n">
        <f aca="false">datos_base!$J$14*parametros_recargas!$J$45+sobrestock_sustitutos!$J$187/12</f>
        <v>29.9483124669528</v>
      </c>
      <c r="I270" s="25" t="n">
        <f aca="false">datos_base!$J$14*parametros_recargas!$K$45+sobrestock_sustitutos!$J$187/12</f>
        <v>30.0851036866597</v>
      </c>
      <c r="J270" s="25" t="n">
        <f aca="false">datos_base!$J$14*parametros_recargas!$L$45+sobrestock_sustitutos!$J$187/12</f>
        <v>30.2226872779237</v>
      </c>
      <c r="K270" s="25" t="n">
        <f aca="false">datos_base!$J$14*parametros_recargas!$M$45+sobrestock_sustitutos!$J$187/12</f>
        <v>30.3610678306059</v>
      </c>
      <c r="L270" s="25" t="n">
        <f aca="false">datos_base!$J$14*parametros_recargas!$N$45+sobrestock_sustitutos!$J$187/12</f>
        <v>30.5002499611544</v>
      </c>
      <c r="M270" s="25" t="n">
        <f aca="false">datos_base!$J$14*parametros_recargas!$O$45+sobrestock_sustitutos!$J$187/12</f>
        <v>30.6402383127582</v>
      </c>
      <c r="N270" s="25" t="n">
        <f aca="false">datos_base!$J$14*parametros_recargas!$P$45+sobrestock_sustitutos!$J$187/12</f>
        <v>30.7810375555024</v>
      </c>
      <c r="O270" s="25" t="n">
        <f aca="false">datos_base!$J$14*parametros_recargas!$Q$45+sobrestock_sustitutos!$J$187/12</f>
        <v>30.9226523865239</v>
      </c>
      <c r="P270" s="7" t="n">
        <f aca="false">SUM(D270:O270)</f>
        <v>361.902375410877</v>
      </c>
      <c r="Q270" s="13" t="n">
        <f aca="false">sobrestock_sustitutos!$J$187</f>
        <v>76</v>
      </c>
    </row>
    <row r="271" customFormat="false" ht="15" hidden="false" customHeight="false" outlineLevel="0" collapsed="false">
      <c r="A271" s="12" t="str">
        <f aca="false">parametros_recargas!A64</f>
        <v>ABC 25 kg s/ruedas</v>
      </c>
      <c r="B271" s="12" t="str">
        <f aca="false">parametros_recargas!B64</f>
        <v>ABC</v>
      </c>
      <c r="C271" s="24" t="n">
        <f aca="false">parametros_recargas!C64</f>
        <v>3</v>
      </c>
      <c r="D271" s="25" t="n">
        <f aca="false">datos_base!$J$15*parametros_recargas!$F$45+sobrestock_sustitutos!$J$188/12</f>
        <v>55.4547994673266</v>
      </c>
      <c r="E271" s="25" t="n">
        <f aca="false">datos_base!$J$15*parametros_recargas!$G$45+sobrestock_sustitutos!$J$188/12</f>
        <v>55.7760248054822</v>
      </c>
      <c r="F271" s="25" t="n">
        <f aca="false">datos_base!$J$15*parametros_recargas!$H$45+sobrestock_sustitutos!$J$188/12</f>
        <v>56.0991108611748</v>
      </c>
      <c r="G271" s="25" t="n">
        <f aca="false">datos_base!$J$15*parametros_recargas!$I$45+sobrestock_sustitutos!$J$188/12</f>
        <v>56.424068412725</v>
      </c>
      <c r="H271" s="25" t="n">
        <f aca="false">datos_base!$J$15*parametros_recargas!$J$45+sobrestock_sustitutos!$J$188/12</f>
        <v>56.7509083008878</v>
      </c>
      <c r="I271" s="25" t="n">
        <f aca="false">datos_base!$J$15*parametros_recargas!$K$45+sobrestock_sustitutos!$J$188/12</f>
        <v>57.0796414292139</v>
      </c>
      <c r="J271" s="25" t="n">
        <f aca="false">datos_base!$J$15*parametros_recargas!$L$45+sobrestock_sustitutos!$J$188/12</f>
        <v>57.4102787644134</v>
      </c>
      <c r="K271" s="25" t="n">
        <f aca="false">datos_base!$J$15*parametros_recargas!$M$45+sobrestock_sustitutos!$J$188/12</f>
        <v>57.7428313367218</v>
      </c>
      <c r="L271" s="25" t="n">
        <f aca="false">datos_base!$J$15*parametros_recargas!$N$45+sobrestock_sustitutos!$J$188/12</f>
        <v>58.0773102402679</v>
      </c>
      <c r="M271" s="25" t="n">
        <f aca="false">datos_base!$J$15*parametros_recargas!$O$45+sobrestock_sustitutos!$J$188/12</f>
        <v>58.413726633444</v>
      </c>
      <c r="N271" s="25" t="n">
        <f aca="false">datos_base!$J$15*parametros_recargas!$P$45+sobrestock_sustitutos!$J$188/12</f>
        <v>58.7520917392779</v>
      </c>
      <c r="O271" s="25" t="n">
        <f aca="false">datos_base!$J$15*parametros_recargas!$Q$45+sobrestock_sustitutos!$J$188/12</f>
        <v>59.0924168458075</v>
      </c>
      <c r="P271" s="7" t="n">
        <f aca="false">SUM(D271:O271)</f>
        <v>687.073208836743</v>
      </c>
      <c r="Q271" s="13" t="n">
        <f aca="false">sobrestock_sustitutos!$J$188</f>
        <v>0</v>
      </c>
    </row>
    <row r="272" customFormat="false" ht="15" hidden="false" customHeight="false" outlineLevel="0" collapsed="false">
      <c r="A272" s="12" t="str">
        <f aca="false">parametros_recargas!A65</f>
        <v>ABC 50 kg s/ruedas</v>
      </c>
      <c r="B272" s="12" t="str">
        <f aca="false">parametros_recargas!B65</f>
        <v>ABC</v>
      </c>
      <c r="C272" s="24" t="n">
        <f aca="false">parametros_recargas!C65</f>
        <v>3</v>
      </c>
      <c r="D272" s="25" t="n">
        <f aca="false">datos_base!$J$16*parametros_recargas!$F$45+sobrestock_sustitutos!$J$189/12</f>
        <v>170.667225437338</v>
      </c>
      <c r="E272" s="25" t="n">
        <f aca="false">datos_base!$J$16*parametros_recargas!$G$45+sobrestock_sustitutos!$J$189/12</f>
        <v>171.373921180947</v>
      </c>
      <c r="F272" s="25" t="n">
        <f aca="false">datos_base!$J$16*parametros_recargas!$H$45+sobrestock_sustitutos!$J$189/12</f>
        <v>172.084710503136</v>
      </c>
      <c r="G272" s="25" t="n">
        <f aca="false">datos_base!$J$16*parametros_recargas!$I$45+sobrestock_sustitutos!$J$189/12</f>
        <v>172.79961711621</v>
      </c>
      <c r="H272" s="25" t="n">
        <f aca="false">datos_base!$J$16*parametros_recargas!$J$45+sobrestock_sustitutos!$J$189/12</f>
        <v>173.518664869829</v>
      </c>
      <c r="I272" s="25" t="n">
        <f aca="false">datos_base!$J$16*parametros_recargas!$K$45+sobrestock_sustitutos!$J$189/12</f>
        <v>174.241877751806</v>
      </c>
      <c r="J272" s="25" t="n">
        <f aca="false">datos_base!$J$16*parametros_recargas!$L$45+sobrestock_sustitutos!$J$189/12</f>
        <v>174.969279888903</v>
      </c>
      <c r="K272" s="25" t="n">
        <f aca="false">datos_base!$J$16*parametros_recargas!$M$45+sobrestock_sustitutos!$J$189/12</f>
        <v>175.700895547637</v>
      </c>
      <c r="L272" s="25" t="n">
        <f aca="false">datos_base!$J$16*parametros_recargas!$N$45+sobrestock_sustitutos!$J$189/12</f>
        <v>176.436749135092</v>
      </c>
      <c r="M272" s="25" t="n">
        <f aca="false">datos_base!$J$16*parametros_recargas!$O$45+sobrestock_sustitutos!$J$189/12</f>
        <v>177.176865199731</v>
      </c>
      <c r="N272" s="25" t="n">
        <f aca="false">datos_base!$J$16*parametros_recargas!$P$45+sobrestock_sustitutos!$J$189/12</f>
        <v>177.921268432215</v>
      </c>
      <c r="O272" s="25" t="n">
        <f aca="false">datos_base!$J$16*parametros_recargas!$Q$45+sobrestock_sustitutos!$J$189/12</f>
        <v>178.669983666227</v>
      </c>
      <c r="P272" s="7" t="n">
        <f aca="false">SUM(D272:O272)</f>
        <v>2095.56105872907</v>
      </c>
      <c r="Q272" s="13" t="n">
        <f aca="false">sobrestock_sustitutos!$J$189</f>
        <v>584</v>
      </c>
    </row>
    <row r="273" customFormat="false" ht="15" hidden="false" customHeight="false" outlineLevel="0" collapsed="false">
      <c r="A273" s="12" t="str">
        <f aca="false">parametros_recargas!A66</f>
        <v>ABC 70 kg s/ruedas</v>
      </c>
      <c r="B273" s="12" t="str">
        <f aca="false">parametros_recargas!B66</f>
        <v>ABC</v>
      </c>
      <c r="C273" s="24" t="n">
        <f aca="false">parametros_recargas!C66</f>
        <v>3</v>
      </c>
      <c r="D273" s="25" t="n">
        <f aca="false">datos_base!$J$17*parametros_recargas!$F$45+sobrestock_sustitutos!$J$190/12</f>
        <v>26.6183037558063</v>
      </c>
      <c r="E273" s="25" t="n">
        <f aca="false">datos_base!$J$17*parametros_recargas!$G$45+sobrestock_sustitutos!$J$190/12</f>
        <v>26.7724919181876</v>
      </c>
      <c r="F273" s="25" t="n">
        <f aca="false">datos_base!$J$17*parametros_recargas!$H$45+sobrestock_sustitutos!$J$190/12</f>
        <v>26.9275732249869</v>
      </c>
      <c r="G273" s="25" t="n">
        <f aca="false">datos_base!$J$17*parametros_recargas!$I$45+sobrestock_sustitutos!$J$190/12</f>
        <v>27.0835528497983</v>
      </c>
      <c r="H273" s="25" t="n">
        <f aca="false">datos_base!$J$17*parametros_recargas!$J$45+sobrestock_sustitutos!$J$190/12</f>
        <v>27.2404359961842</v>
      </c>
      <c r="I273" s="25" t="n">
        <f aca="false">datos_base!$J$17*parametros_recargas!$K$45+sobrestock_sustitutos!$J$190/12</f>
        <v>27.3982278978488</v>
      </c>
      <c r="J273" s="25" t="n">
        <f aca="false">datos_base!$J$17*parametros_recargas!$L$45+sobrestock_sustitutos!$J$190/12</f>
        <v>27.5569338188131</v>
      </c>
      <c r="K273" s="25" t="n">
        <f aca="false">datos_base!$J$17*parametros_recargas!$M$45+sobrestock_sustitutos!$J$190/12</f>
        <v>27.71655905359</v>
      </c>
      <c r="L273" s="25" t="n">
        <f aca="false">datos_base!$J$17*parametros_recargas!$N$45+sobrestock_sustitutos!$J$190/12</f>
        <v>27.8771089273615</v>
      </c>
      <c r="M273" s="25" t="n">
        <f aca="false">datos_base!$J$17*parametros_recargas!$O$45+sobrestock_sustitutos!$J$190/12</f>
        <v>28.0385887961557</v>
      </c>
      <c r="N273" s="25" t="n">
        <f aca="false">datos_base!$J$17*parametros_recargas!$P$45+sobrestock_sustitutos!$J$190/12</f>
        <v>28.2010040470261</v>
      </c>
      <c r="O273" s="25" t="n">
        <f aca="false">datos_base!$J$17*parametros_recargas!$Q$45+sobrestock_sustitutos!$J$190/12</f>
        <v>28.3643600982308</v>
      </c>
      <c r="P273" s="7" t="n">
        <f aca="false">SUM(D273:O273)</f>
        <v>329.795140383989</v>
      </c>
      <c r="Q273" s="13" t="n">
        <f aca="false">sobrestock_sustitutos!$J$190</f>
        <v>0</v>
      </c>
    </row>
    <row r="274" customFormat="false" ht="15" hidden="false" customHeight="false" outlineLevel="0" collapsed="false">
      <c r="A274" s="12" t="str">
        <f aca="false">parametros_recargas!A67</f>
        <v>ABC 100 kg s/ruedas</v>
      </c>
      <c r="B274" s="12" t="str">
        <f aca="false">parametros_recargas!B67</f>
        <v>ABC</v>
      </c>
      <c r="C274" s="24" t="n">
        <f aca="false">parametros_recargas!C67</f>
        <v>3</v>
      </c>
      <c r="D274" s="25" t="n">
        <f aca="false">datos_base!$J$18*parametros_recargas!$F$45+sobrestock_sustitutos!$J$191/12</f>
        <v>29.9122024847217</v>
      </c>
      <c r="E274" s="25" t="n">
        <f aca="false">datos_base!$J$18*parametros_recargas!$G$45+sobrestock_sustitutos!$J$191/12</f>
        <v>30.0149945928649</v>
      </c>
      <c r="F274" s="25" t="n">
        <f aca="false">datos_base!$J$18*parametros_recargas!$H$45+sobrestock_sustitutos!$J$191/12</f>
        <v>30.1183821306196</v>
      </c>
      <c r="G274" s="25" t="n">
        <f aca="false">datos_base!$J$18*parametros_recargas!$I$45+sobrestock_sustitutos!$J$191/12</f>
        <v>30.2223685470483</v>
      </c>
      <c r="H274" s="25" t="n">
        <f aca="false">datos_base!$J$18*parametros_recargas!$J$45+sobrestock_sustitutos!$J$191/12</f>
        <v>30.3269573111927</v>
      </c>
      <c r="I274" s="25" t="n">
        <f aca="false">datos_base!$J$18*parametros_recargas!$K$45+sobrestock_sustitutos!$J$191/12</f>
        <v>30.432151912189</v>
      </c>
      <c r="J274" s="25" t="n">
        <f aca="false">datos_base!$J$18*parametros_recargas!$L$45+sobrestock_sustitutos!$J$191/12</f>
        <v>30.5379558593843</v>
      </c>
      <c r="K274" s="25" t="n">
        <f aca="false">datos_base!$J$18*parametros_recargas!$M$45+sobrestock_sustitutos!$J$191/12</f>
        <v>30.6443726824541</v>
      </c>
      <c r="L274" s="25" t="n">
        <f aca="false">datos_base!$J$18*parametros_recargas!$N$45+sobrestock_sustitutos!$J$191/12</f>
        <v>30.7514059315195</v>
      </c>
      <c r="M274" s="25" t="n">
        <f aca="false">datos_base!$J$18*parametros_recargas!$O$45+sobrestock_sustitutos!$J$191/12</f>
        <v>30.8590591772662</v>
      </c>
      <c r="N274" s="25" t="n">
        <f aca="false">datos_base!$J$18*parametros_recargas!$P$45+sobrestock_sustitutos!$J$191/12</f>
        <v>30.9673360110629</v>
      </c>
      <c r="O274" s="25" t="n">
        <f aca="false">datos_base!$J$18*parametros_recargas!$Q$45+sobrestock_sustitutos!$J$191/12</f>
        <v>31.0762400450819</v>
      </c>
      <c r="P274" s="7" t="n">
        <f aca="false">SUM(D274:O274)</f>
        <v>365.863426685405</v>
      </c>
      <c r="Q274" s="13" t="n">
        <f aca="false">sobrestock_sustitutos!$J$191</f>
        <v>146</v>
      </c>
    </row>
    <row r="275" customFormat="false" ht="15" hidden="false" customHeight="false" outlineLevel="0" collapsed="false">
      <c r="A275" s="6" t="s">
        <v>273</v>
      </c>
      <c r="D275" s="7" t="n">
        <f aca="false">SUM(D258:D274)</f>
        <v>22401.3614427611</v>
      </c>
      <c r="E275" s="7" t="n">
        <f aca="false">SUM(E258:E274)</f>
        <v>22516.8334234451</v>
      </c>
      <c r="F275" s="7" t="n">
        <f aca="false">SUM(F258:F274)</f>
        <v>22632.9742826824</v>
      </c>
      <c r="G275" s="7" t="n">
        <f aca="false">SUM(G258:G274)</f>
        <v>22749.7878949931</v>
      </c>
      <c r="H275" s="7" t="n">
        <f aca="false">SUM(H258:H274)</f>
        <v>22867.278157341</v>
      </c>
      <c r="I275" s="7" t="n">
        <f aca="false">SUM(I258:I274)</f>
        <v>22985.4489892629</v>
      </c>
      <c r="J275" s="7" t="n">
        <f aca="false">SUM(J258:J274)</f>
        <v>23104.304333</v>
      </c>
      <c r="K275" s="7" t="n">
        <f aca="false">SUM(K258:K274)</f>
        <v>23223.8481536291</v>
      </c>
      <c r="L275" s="7" t="n">
        <f aca="false">SUM(L258:L274)</f>
        <v>23344.084439195</v>
      </c>
      <c r="M275" s="7" t="n">
        <f aca="false">SUM(M258:M274)</f>
        <v>23465.0172008433</v>
      </c>
      <c r="N275" s="7" t="n">
        <f aca="false">SUM(N258:N274)</f>
        <v>23586.6504729548</v>
      </c>
      <c r="O275" s="7" t="n">
        <f aca="false">SUM(O258:O274)</f>
        <v>23708.9883132792</v>
      </c>
      <c r="P275" s="7" t="n">
        <f aca="false">SUM(P258:P274)</f>
        <v>276586.577103387</v>
      </c>
    </row>
    <row r="276" customFormat="false" ht="15" hidden="false" customHeight="false" outlineLevel="0" collapsed="false">
      <c r="A276" s="6" t="s">
        <v>274</v>
      </c>
    </row>
    <row r="277" customFormat="false" ht="15" hidden="false" customHeight="false" outlineLevel="0" collapsed="false">
      <c r="A277" s="4" t="s">
        <v>143</v>
      </c>
      <c r="D277" s="25" t="n">
        <f aca="false">SUMPRODUCT(($B$258:$B$274=$A277)*D$258:D$274*$C$258:$C$274)</f>
        <v>19836.1372736843</v>
      </c>
      <c r="E277" s="25" t="n">
        <f aca="false">SUMPRODUCT(($B$258:$B$274=$A277)*E$258:E$274*$C$258:$C$274)</f>
        <v>19939.4228199592</v>
      </c>
      <c r="F277" s="25" t="n">
        <f aca="false">SUMPRODUCT(($B$258:$B$274=$A277)*F$258:F$274*$C$258:$C$274)</f>
        <v>20043.3066541162</v>
      </c>
      <c r="G277" s="25" t="n">
        <f aca="false">SUMPRODUCT(($B$258:$B$274=$A277)*G$258:G$274*$C$258:$C$274)</f>
        <v>20147.7922417748</v>
      </c>
      <c r="H277" s="25" t="n">
        <f aca="false">SUMPRODUCT(($B$258:$B$274=$A277)*H$258:H$274*$C$258:$C$274)</f>
        <v>20252.8830686291</v>
      </c>
      <c r="I277" s="25" t="n">
        <f aca="false">SUMPRODUCT(($B$258:$B$274=$A277)*I$258:I$274*$C$258:$C$274)</f>
        <v>20358.5826405644</v>
      </c>
      <c r="J277" s="25" t="n">
        <f aca="false">SUMPRODUCT(($B$258:$B$274=$A277)*J$258:J$274*$C$258:$C$274)</f>
        <v>20464.894483774</v>
      </c>
      <c r="K277" s="25" t="n">
        <f aca="false">SUMPRODUCT(($B$258:$B$274=$A277)*K$258:K$274*$C$258:$C$274)</f>
        <v>20571.822144877</v>
      </c>
      <c r="L277" s="25" t="n">
        <f aca="false">SUMPRODUCT(($B$258:$B$274=$A277)*L$258:L$274*$C$258:$C$274)</f>
        <v>20679.3691910364</v>
      </c>
      <c r="M277" s="25" t="n">
        <f aca="false">SUMPRODUCT(($B$258:$B$274=$A277)*M$258:M$274*$C$258:$C$274)</f>
        <v>20787.5392100782</v>
      </c>
      <c r="N277" s="25" t="n">
        <f aca="false">SUMPRODUCT(($B$258:$B$274=$A277)*N$258:N$274*$C$258:$C$274)</f>
        <v>20896.3358106113</v>
      </c>
      <c r="O277" s="25" t="n">
        <f aca="false">SUMPRODUCT(($B$258:$B$274=$A277)*O$258:O$274*$C$258:$C$274)</f>
        <v>21005.7626221474</v>
      </c>
      <c r="P277" s="25" t="n">
        <f aca="false">SUMPRODUCT(($B$258:$B$274=$A277)*P$258:P$274*$C$258:$C$274)</f>
        <v>244983.848161252</v>
      </c>
    </row>
    <row r="278" customFormat="false" ht="15" hidden="false" customHeight="false" outlineLevel="0" collapsed="false">
      <c r="A278" s="4" t="s">
        <v>149</v>
      </c>
      <c r="D278" s="25" t="n">
        <f aca="false">SUMPRODUCT(($B$258:$B$274=$A278)*D$258:D$274*$C$258:$C$274)</f>
        <v>32.6090995478909</v>
      </c>
      <c r="E278" s="25" t="n">
        <f aca="false">SUMPRODUCT(($B$258:$B$274=$A278)*E$258:E$274*$C$258:$C$274)</f>
        <v>32.7574418327995</v>
      </c>
      <c r="F278" s="25" t="n">
        <f aca="false">SUMPRODUCT(($B$258:$B$274=$A278)*F$258:F$274*$C$258:$C$274)</f>
        <v>32.9066433995212</v>
      </c>
      <c r="G278" s="25" t="n">
        <f aca="false">SUMPRODUCT(($B$258:$B$274=$A278)*G$258:G$274*$C$258:$C$274)</f>
        <v>33.0567092254988</v>
      </c>
      <c r="H278" s="25" t="n">
        <f aca="false">SUMPRODUCT(($B$258:$B$274=$A278)*H$258:H$274*$C$258:$C$274)</f>
        <v>33.2076443170073</v>
      </c>
      <c r="I278" s="25" t="n">
        <f aca="false">SUMPRODUCT(($B$258:$B$274=$A278)*I$258:I$274*$C$258:$C$274)</f>
        <v>33.3594537093206</v>
      </c>
      <c r="J278" s="25" t="n">
        <f aca="false">SUMPRODUCT(($B$258:$B$274=$A278)*J$258:J$274*$C$258:$C$274)</f>
        <v>33.5121424668801</v>
      </c>
      <c r="K278" s="25" t="n">
        <f aca="false">SUMPRODUCT(($B$258:$B$274=$A278)*K$258:K$274*$C$258:$C$274)</f>
        <v>33.6657156834629</v>
      </c>
      <c r="L278" s="25" t="n">
        <f aca="false">SUMPRODUCT(($B$258:$B$274=$A278)*L$258:L$274*$C$258:$C$274)</f>
        <v>33.8201784823524</v>
      </c>
      <c r="M278" s="25" t="n">
        <f aca="false">SUMPRODUCT(($B$258:$B$274=$A278)*M$258:M$274*$C$258:$C$274)</f>
        <v>33.975536016509</v>
      </c>
      <c r="N278" s="25" t="n">
        <f aca="false">SUMPRODUCT(($B$258:$B$274=$A278)*N$258:N$274*$C$258:$C$274)</f>
        <v>34.1317934687415</v>
      </c>
      <c r="O278" s="25" t="n">
        <f aca="false">SUMPRODUCT(($B$258:$B$274=$A278)*O$258:O$274*$C$258:$C$274)</f>
        <v>34.288956051881</v>
      </c>
      <c r="P278" s="25" t="n">
        <f aca="false">SUMPRODUCT(($B$258:$B$274=$A278)*P$258:P$274*$C$258:$C$274)</f>
        <v>401.291314201865</v>
      </c>
    </row>
    <row r="279" customFormat="false" ht="15" hidden="false" customHeight="false" outlineLevel="0" collapsed="false">
      <c r="A279" s="4" t="s">
        <v>155</v>
      </c>
      <c r="D279" s="25" t="n">
        <f aca="false">SUMPRODUCT(($B$258:$B$274=$A279)*D$258:D$274*$C$258:$C$274)</f>
        <v>29.4089804284739</v>
      </c>
      <c r="E279" s="25" t="n">
        <f aca="false">SUMPRODUCT(($B$258:$B$274=$A279)*E$258:E$274*$C$258:$C$274)</f>
        <v>29.5426475341618</v>
      </c>
      <c r="F279" s="25" t="n">
        <f aca="false">SUMPRODUCT(($B$258:$B$274=$A279)*F$258:F$274*$C$258:$C$274)</f>
        <v>29.6770889147841</v>
      </c>
      <c r="G279" s="25" t="n">
        <f aca="false">SUMPRODUCT(($B$258:$B$274=$A279)*G$258:G$274*$C$258:$C$274)</f>
        <v>29.8123090553761</v>
      </c>
      <c r="H279" s="25" t="n">
        <f aca="false">SUMPRODUCT(($B$258:$B$274=$A279)*H$258:H$274*$C$258:$C$274)</f>
        <v>29.9483124669528</v>
      </c>
      <c r="I279" s="25" t="n">
        <f aca="false">SUMPRODUCT(($B$258:$B$274=$A279)*I$258:I$274*$C$258:$C$274)</f>
        <v>30.0851036866597</v>
      </c>
      <c r="J279" s="25" t="n">
        <f aca="false">SUMPRODUCT(($B$258:$B$274=$A279)*J$258:J$274*$C$258:$C$274)</f>
        <v>30.2226872779237</v>
      </c>
      <c r="K279" s="25" t="n">
        <f aca="false">SUMPRODUCT(($B$258:$B$274=$A279)*K$258:K$274*$C$258:$C$274)</f>
        <v>30.3610678306059</v>
      </c>
      <c r="L279" s="25" t="n">
        <f aca="false">SUMPRODUCT(($B$258:$B$274=$A279)*L$258:L$274*$C$258:$C$274)</f>
        <v>30.5002499611544</v>
      </c>
      <c r="M279" s="25" t="n">
        <f aca="false">SUMPRODUCT(($B$258:$B$274=$A279)*M$258:M$274*$C$258:$C$274)</f>
        <v>30.6402383127582</v>
      </c>
      <c r="N279" s="25" t="n">
        <f aca="false">SUMPRODUCT(($B$258:$B$274=$A279)*N$258:N$274*$C$258:$C$274)</f>
        <v>30.7810375555024</v>
      </c>
      <c r="O279" s="25" t="n">
        <f aca="false">SUMPRODUCT(($B$258:$B$274=$A279)*O$258:O$274*$C$258:$C$274)</f>
        <v>30.9226523865239</v>
      </c>
      <c r="P279" s="25" t="n">
        <f aca="false">SUMPRODUCT(($B$258:$B$274=$A279)*P$258:P$274*$C$258:$C$274)</f>
        <v>361.902375410877</v>
      </c>
    </row>
    <row r="280" customFormat="false" ht="15" hidden="false" customHeight="false" outlineLevel="0" collapsed="false">
      <c r="A280" s="4" t="s">
        <v>146</v>
      </c>
      <c r="D280" s="25" t="n">
        <f aca="false">SUMPRODUCT(($B$258:$B$274=$A280)*D$258:D$274*$C$258:$C$274)</f>
        <v>554.276197380332</v>
      </c>
      <c r="E280" s="25" t="n">
        <f aca="false">SUMPRODUCT(($B$258:$B$274=$A280)*E$258:E$274*$C$258:$C$274)</f>
        <v>556.890242521556</v>
      </c>
      <c r="F280" s="25" t="n">
        <f aca="false">SUMPRODUCT(($B$258:$B$274=$A280)*F$258:F$274*$C$258:$C$274)</f>
        <v>559.519429680107</v>
      </c>
      <c r="G280" s="25" t="n">
        <f aca="false">SUMPRODUCT(($B$258:$B$274=$A280)*G$258:G$274*$C$258:$C$274)</f>
        <v>562.163846567053</v>
      </c>
      <c r="H280" s="25" t="n">
        <f aca="false">SUMPRODUCT(($B$258:$B$274=$A280)*H$258:H$274*$C$258:$C$274)</f>
        <v>564.823581401532</v>
      </c>
      <c r="I280" s="25" t="n">
        <f aca="false">SUMPRODUCT(($B$258:$B$274=$A280)*I$258:I$274*$C$258:$C$274)</f>
        <v>567.498722913699</v>
      </c>
      <c r="J280" s="25" t="n">
        <f aca="false">SUMPRODUCT(($B$258:$B$274=$A280)*J$258:J$274*$C$258:$C$274)</f>
        <v>570.189360347682</v>
      </c>
      <c r="K280" s="25" t="n">
        <f aca="false">SUMPRODUCT(($B$258:$B$274=$A280)*K$258:K$274*$C$258:$C$274)</f>
        <v>572.895583464562</v>
      </c>
      <c r="L280" s="25" t="n">
        <f aca="false">SUMPRODUCT(($B$258:$B$274=$A280)*L$258:L$274*$C$258:$C$274)</f>
        <v>575.617482545365</v>
      </c>
      <c r="M280" s="25" t="n">
        <f aca="false">SUMPRODUCT(($B$258:$B$274=$A280)*M$258:M$274*$C$258:$C$274)</f>
        <v>578.355148394077</v>
      </c>
      <c r="N280" s="25" t="n">
        <f aca="false">SUMPRODUCT(($B$258:$B$274=$A280)*N$258:N$274*$C$258:$C$274)</f>
        <v>581.108672340672</v>
      </c>
      <c r="O280" s="25" t="n">
        <f aca="false">SUMPRODUCT(($B$258:$B$274=$A280)*O$258:O$274*$C$258:$C$274)</f>
        <v>583.878146244157</v>
      </c>
      <c r="P280" s="25" t="n">
        <f aca="false">SUMPRODUCT(($B$258:$B$274=$A280)*P$258:P$274*$C$258:$C$274)</f>
        <v>6827.21641380079</v>
      </c>
    </row>
    <row r="281" customFormat="false" ht="15" hidden="false" customHeight="false" outlineLevel="0" collapsed="false">
      <c r="A281" s="4" t="s">
        <v>147</v>
      </c>
      <c r="D281" s="25" t="n">
        <f aca="false">SUMPRODUCT(($B$258:$B$274=$A281)*D$258:D$274*$C$258:$C$274)</f>
        <v>267.590088642161</v>
      </c>
      <c r="E281" s="25" t="n">
        <f aca="false">SUMPRODUCT(($B$258:$B$274=$A281)*E$258:E$274*$C$258:$C$274)</f>
        <v>268.853871613587</v>
      </c>
      <c r="F281" s="25" t="n">
        <f aca="false">SUMPRODUCT(($B$258:$B$274=$A281)*F$258:F$274*$C$258:$C$274)</f>
        <v>270.124975125638</v>
      </c>
      <c r="G281" s="25" t="n">
        <f aca="false">SUMPRODUCT(($B$258:$B$274=$A281)*G$258:G$274*$C$258:$C$274)</f>
        <v>271.403441582996</v>
      </c>
      <c r="H281" s="25" t="n">
        <f aca="false">SUMPRODUCT(($B$258:$B$274=$A281)*H$258:H$274*$C$258:$C$274)</f>
        <v>272.689313635974</v>
      </c>
      <c r="I281" s="25" t="n">
        <f aca="false">SUMPRODUCT(($B$258:$B$274=$A281)*I$258:I$274*$C$258:$C$274)</f>
        <v>273.982634181942</v>
      </c>
      <c r="J281" s="25" t="n">
        <f aca="false">SUMPRODUCT(($B$258:$B$274=$A281)*J$258:J$274*$C$258:$C$274)</f>
        <v>275.283446366753</v>
      </c>
      <c r="K281" s="25" t="n">
        <f aca="false">SUMPRODUCT(($B$258:$B$274=$A281)*K$258:K$274*$C$258:$C$274)</f>
        <v>276.591793586186</v>
      </c>
      <c r="L281" s="25" t="n">
        <f aca="false">SUMPRODUCT(($B$258:$B$274=$A281)*L$258:L$274*$C$258:$C$274)</f>
        <v>277.907719487392</v>
      </c>
      <c r="M281" s="25" t="n">
        <f aca="false">SUMPRODUCT(($B$258:$B$274=$A281)*M$258:M$274*$C$258:$C$274)</f>
        <v>279.231267970353</v>
      </c>
      <c r="N281" s="25" t="n">
        <f aca="false">SUMPRODUCT(($B$258:$B$274=$A281)*N$258:N$274*$C$258:$C$274)</f>
        <v>280.562483189342</v>
      </c>
      <c r="O281" s="25" t="n">
        <f aca="false">SUMPRODUCT(($B$258:$B$274=$A281)*O$258:O$274*$C$258:$C$274)</f>
        <v>281.901409554399</v>
      </c>
      <c r="P281" s="25" t="n">
        <f aca="false">SUMPRODUCT(($B$258:$B$274=$A281)*P$258:P$274*$C$258:$C$274)</f>
        <v>3296.12244493672</v>
      </c>
    </row>
    <row r="282" customFormat="false" ht="15" hidden="false" customHeight="false" outlineLevel="0" collapsed="false">
      <c r="A282" s="4" t="s">
        <v>150</v>
      </c>
      <c r="D282" s="25" t="n">
        <f aca="false">SUMPRODUCT(($B$258:$B$274=$A282)*D$258:D$274*$C$258:$C$274)</f>
        <v>273.115154340958</v>
      </c>
      <c r="E282" s="25" t="n">
        <f aca="false">SUMPRODUCT(($B$258:$B$274=$A282)*E$258:E$274*$C$258:$C$274)</f>
        <v>274.403218180036</v>
      </c>
      <c r="F282" s="25" t="n">
        <f aca="false">SUMPRODUCT(($B$258:$B$274=$A282)*F$258:F$274*$C$258:$C$274)</f>
        <v>275.698743208159</v>
      </c>
      <c r="G282" s="25" t="n">
        <f aca="false">SUMPRODUCT(($B$258:$B$274=$A282)*G$258:G$274*$C$258:$C$274)</f>
        <v>277.001772644724</v>
      </c>
      <c r="H282" s="25" t="n">
        <f aca="false">SUMPRODUCT(($B$258:$B$274=$A282)*H$258:H$274*$C$258:$C$274)</f>
        <v>278.312349959478</v>
      </c>
      <c r="I282" s="25" t="n">
        <f aca="false">SUMPRODUCT(($B$258:$B$274=$A282)*I$258:I$274*$C$258:$C$274)</f>
        <v>279.63051887397</v>
      </c>
      <c r="J282" s="25" t="n">
        <f aca="false">SUMPRODUCT(($B$258:$B$274=$A282)*J$258:J$274*$C$258:$C$274)</f>
        <v>280.956323363009</v>
      </c>
      <c r="K282" s="25" t="n">
        <f aca="false">SUMPRODUCT(($B$258:$B$274=$A282)*K$258:K$274*$C$258:$C$274)</f>
        <v>282.28980765613</v>
      </c>
      <c r="L282" s="25" t="n">
        <f aca="false">SUMPRODUCT(($B$258:$B$274=$A282)*L$258:L$274*$C$258:$C$274)</f>
        <v>283.63101623907</v>
      </c>
      <c r="M282" s="25" t="n">
        <f aca="false">SUMPRODUCT(($B$258:$B$274=$A282)*M$258:M$274*$C$258:$C$274)</f>
        <v>284.979993855254</v>
      </c>
      <c r="N282" s="25" t="n">
        <f aca="false">SUMPRODUCT(($B$258:$B$274=$A282)*N$258:N$274*$C$258:$C$274)</f>
        <v>286.336785507286</v>
      </c>
      <c r="O282" s="25" t="n">
        <f aca="false">SUMPRODUCT(($B$258:$B$274=$A282)*O$258:O$274*$C$258:$C$274)</f>
        <v>287.701436458448</v>
      </c>
      <c r="P282" s="25" t="n">
        <f aca="false">SUMPRODUCT(($B$258:$B$274=$A282)*P$258:P$274*$C$258:$C$274)</f>
        <v>3364.05712028652</v>
      </c>
    </row>
    <row r="283" customFormat="false" ht="15" hidden="false" customHeight="false" outlineLevel="0" collapsed="false">
      <c r="A283" s="4" t="s">
        <v>151</v>
      </c>
      <c r="D283" s="25" t="n">
        <f aca="false">SUMPRODUCT(($B$258:$B$274=$A283)*D$258:D$274*$C$258:$C$274)</f>
        <v>1999.99647524153</v>
      </c>
      <c r="E283" s="25" t="n">
        <f aca="false">SUMPRODUCT(($B$258:$B$274=$A283)*E$258:E$274*$C$258:$C$274)</f>
        <v>2009.42964127891</v>
      </c>
      <c r="F283" s="25" t="n">
        <f aca="false">SUMPRODUCT(($B$258:$B$274=$A283)*F$258:F$274*$C$258:$C$274)</f>
        <v>2018.917449511</v>
      </c>
      <c r="G283" s="25" t="n">
        <f aca="false">SUMPRODUCT(($B$258:$B$274=$A283)*G$258:G$274*$C$258:$C$274)</f>
        <v>2028.46021645607</v>
      </c>
      <c r="H283" s="25" t="n">
        <f aca="false">SUMPRODUCT(($B$258:$B$274=$A283)*H$258:H$274*$C$258:$C$274)</f>
        <v>2038.05826046586</v>
      </c>
      <c r="I283" s="25" t="n">
        <f aca="false">SUMPRODUCT(($B$258:$B$274=$A283)*I$258:I$274*$C$258:$C$274)</f>
        <v>2047.71190173617</v>
      </c>
      <c r="J283" s="25" t="n">
        <f aca="false">SUMPRODUCT(($B$258:$B$274=$A283)*J$258:J$274*$C$258:$C$274)</f>
        <v>2057.42146231753</v>
      </c>
      <c r="K283" s="25" t="n">
        <f aca="false">SUMPRODUCT(($B$258:$B$274=$A283)*K$258:K$274*$C$258:$C$274)</f>
        <v>2067.18726612602</v>
      </c>
      <c r="L283" s="25" t="n">
        <f aca="false">SUMPRODUCT(($B$258:$B$274=$A283)*L$258:L$274*$C$258:$C$274)</f>
        <v>2077.00963895397</v>
      </c>
      <c r="M283" s="25" t="n">
        <f aca="false">SUMPRODUCT(($B$258:$B$274=$A283)*M$258:M$274*$C$258:$C$274)</f>
        <v>2086.88890848092</v>
      </c>
      <c r="N283" s="25" t="n">
        <f aca="false">SUMPRODUCT(($B$258:$B$274=$A283)*N$258:N$274*$C$258:$C$274)</f>
        <v>2096.8254042845</v>
      </c>
      <c r="O283" s="25" t="n">
        <f aca="false">SUMPRODUCT(($B$258:$B$274=$A283)*O$258:O$274*$C$258:$C$274)</f>
        <v>2106.81945785143</v>
      </c>
      <c r="P283" s="25" t="n">
        <f aca="false">SUMPRODUCT(($B$258:$B$274=$A283)*P$258:P$274*$C$258:$C$274)</f>
        <v>24634.7260827039</v>
      </c>
    </row>
    <row r="284" customFormat="false" ht="15" hidden="false" customHeight="false" outlineLevel="0" collapsed="false">
      <c r="A284" s="4" t="s">
        <v>154</v>
      </c>
      <c r="D284" s="25" t="n">
        <f aca="false">SUMPRODUCT(($B$258:$B$274=$A284)*D$258:D$274*$C$258:$C$274)</f>
        <v>82.5611003760573</v>
      </c>
      <c r="E284" s="25" t="n">
        <f aca="false">SUMPRODUCT(($B$258:$B$274=$A284)*E$258:E$274*$C$258:$C$274)</f>
        <v>82.9510040667679</v>
      </c>
      <c r="F284" s="25" t="n">
        <f aca="false">SUMPRODUCT(($B$258:$B$274=$A284)*F$258:F$274*$C$258:$C$274)</f>
        <v>83.3431662985984</v>
      </c>
      <c r="G284" s="25" t="n">
        <f aca="false">SUMPRODUCT(($B$258:$B$274=$A284)*G$258:G$274*$C$258:$C$274)</f>
        <v>83.7376001542873</v>
      </c>
      <c r="H284" s="25" t="n">
        <f aca="false">SUMPRODUCT(($B$258:$B$274=$A284)*H$258:H$274*$C$258:$C$274)</f>
        <v>84.1343187923556</v>
      </c>
      <c r="I284" s="25" t="n">
        <f aca="false">SUMPRODUCT(($B$258:$B$274=$A284)*I$258:I$274*$C$258:$C$274)</f>
        <v>84.5333354475458</v>
      </c>
      <c r="J284" s="25" t="n">
        <f aca="false">SUMPRODUCT(($B$258:$B$274=$A284)*J$258:J$274*$C$258:$C$274)</f>
        <v>84.9346634312634</v>
      </c>
      <c r="K284" s="25" t="n">
        <f aca="false">SUMPRODUCT(($B$258:$B$274=$A284)*K$258:K$274*$C$258:$C$274)</f>
        <v>85.3383161320212</v>
      </c>
      <c r="L284" s="25" t="n">
        <f aca="false">SUMPRODUCT(($B$258:$B$274=$A284)*L$258:L$274*$C$258:$C$274)</f>
        <v>85.7443070158856</v>
      </c>
      <c r="M284" s="25" t="n">
        <f aca="false">SUMPRODUCT(($B$258:$B$274=$A284)*M$258:M$274*$C$258:$C$274)</f>
        <v>86.1526496269263</v>
      </c>
      <c r="N284" s="25" t="n">
        <f aca="false">SUMPRODUCT(($B$258:$B$274=$A284)*N$258:N$274*$C$258:$C$274)</f>
        <v>86.5633575876675</v>
      </c>
      <c r="O284" s="25" t="n">
        <f aca="false">SUMPRODUCT(($B$258:$B$274=$A284)*O$258:O$274*$C$258:$C$274)</f>
        <v>86.976444599543</v>
      </c>
      <c r="P284" s="25" t="n">
        <f aca="false">SUMPRODUCT(($B$258:$B$274=$A284)*P$258:P$274*$C$258:$C$274)</f>
        <v>1016.97026352892</v>
      </c>
    </row>
    <row r="285" customFormat="false" ht="15" hidden="false" customHeight="false" outlineLevel="0" collapsed="false">
      <c r="A285" s="6" t="s">
        <v>275</v>
      </c>
      <c r="D285" s="26" t="n">
        <f aca="false">SUMPRODUCT(D$258:D$274*parametros_recargas!$D$51:$D$67)</f>
        <v>1121.46811262705</v>
      </c>
      <c r="E285" s="26" t="n">
        <f aca="false">SUMPRODUCT(E$258:E$274*parametros_recargas!$D$51:$D$67)</f>
        <v>1125.40155991113</v>
      </c>
      <c r="F285" s="26" t="n">
        <f aca="false">SUMPRODUCT(F$258:F$274*parametros_recargas!$D$51:$D$67)</f>
        <v>1129.35779193063</v>
      </c>
      <c r="G285" s="26" t="n">
        <f aca="false">SUMPRODUCT(G$258:G$274*parametros_recargas!$D$51:$D$67)</f>
        <v>1133.33694066754</v>
      </c>
      <c r="H285" s="26" t="n">
        <f aca="false">SUMPRODUCT(H$258:H$274*parametros_recargas!$D$51:$D$67)</f>
        <v>1137.33913886835</v>
      </c>
      <c r="I285" s="26" t="n">
        <f aca="false">SUMPRODUCT(I$258:I$274*parametros_recargas!$D$51:$D$67)</f>
        <v>1141.3645200485</v>
      </c>
      <c r="J285" s="26" t="n">
        <f aca="false">SUMPRODUCT(J$258:J$274*parametros_recargas!$D$51:$D$67)</f>
        <v>1145.41321849683</v>
      </c>
      <c r="K285" s="26" t="n">
        <f aca="false">SUMPRODUCT(K$258:K$274*parametros_recargas!$D$51:$D$67)</f>
        <v>1149.48536928004</v>
      </c>
      <c r="L285" s="26" t="n">
        <f aca="false">SUMPRODUCT(L$258:L$274*parametros_recargas!$D$51:$D$67)</f>
        <v>1153.58110824724</v>
      </c>
      <c r="M285" s="26" t="n">
        <f aca="false">SUMPRODUCT(M$258:M$274*parametros_recargas!$D$51:$D$67)</f>
        <v>1157.70057203442</v>
      </c>
      <c r="N285" s="26" t="n">
        <f aca="false">SUMPRODUCT(N$258:N$274*parametros_recargas!$D$51:$D$67)</f>
        <v>1161.84389806906</v>
      </c>
      <c r="O285" s="26" t="n">
        <f aca="false">SUMPRODUCT(O$258:O$274*parametros_recargas!$D$51:$D$67)</f>
        <v>1166.01122457471</v>
      </c>
      <c r="P285" s="26" t="n">
        <f aca="false">SUMPRODUCT(P$258:P$274*parametros_recargas!$D$51:$D$67)</f>
        <v>13722.3034547555</v>
      </c>
    </row>
    <row r="289" customFormat="false" ht="23.85" hidden="false" customHeight="false" outlineLevel="0" collapsed="false">
      <c r="A289" s="23" t="n">
        <v>2035</v>
      </c>
      <c r="B289" s="3" t="s">
        <v>270</v>
      </c>
      <c r="C289" s="3" t="s">
        <v>271</v>
      </c>
      <c r="D289" s="3" t="s">
        <v>124</v>
      </c>
      <c r="E289" s="3" t="s">
        <v>125</v>
      </c>
      <c r="F289" s="3" t="s">
        <v>126</v>
      </c>
      <c r="G289" s="3" t="s">
        <v>127</v>
      </c>
      <c r="H289" s="3" t="s">
        <v>128</v>
      </c>
      <c r="I289" s="3" t="s">
        <v>129</v>
      </c>
      <c r="J289" s="3" t="s">
        <v>130</v>
      </c>
      <c r="K289" s="3" t="s">
        <v>131</v>
      </c>
      <c r="L289" s="3" t="s">
        <v>132</v>
      </c>
      <c r="M289" s="3" t="s">
        <v>133</v>
      </c>
      <c r="N289" s="3" t="s">
        <v>134</v>
      </c>
      <c r="O289" s="3" t="s">
        <v>135</v>
      </c>
      <c r="P289" s="3" t="s">
        <v>136</v>
      </c>
      <c r="Q289" s="3" t="s">
        <v>272</v>
      </c>
    </row>
    <row r="290" customFormat="false" ht="15" hidden="false" customHeight="false" outlineLevel="0" collapsed="false">
      <c r="A290" s="12" t="str">
        <f aca="false">parametros_recargas!A51</f>
        <v>ABC 1 kg</v>
      </c>
      <c r="B290" s="12" t="str">
        <f aca="false">parametros_recargas!B51</f>
        <v>ABC</v>
      </c>
      <c r="C290" s="24" t="n">
        <f aca="false">parametros_recargas!C51</f>
        <v>1</v>
      </c>
      <c r="D290" s="25" t="n">
        <f aca="false">datos_base!$K$2*parametros_recargas!$F$46+sobrestock_sustitutos!$K$175/12</f>
        <v>11275.9680676169</v>
      </c>
      <c r="E290" s="25" t="n">
        <f aca="false">datos_base!$K$2*parametros_recargas!$G$46+sobrestock_sustitutos!$K$175/12</f>
        <v>11341.2848064807</v>
      </c>
      <c r="F290" s="25" t="n">
        <f aca="false">datos_base!$K$2*parametros_recargas!$H$46+sobrestock_sustitutos!$K$175/12</f>
        <v>11406.9798965734</v>
      </c>
      <c r="G290" s="25" t="n">
        <f aca="false">datos_base!$K$2*parametros_recargas!$I$46+sobrestock_sustitutos!$K$175/12</f>
        <v>11473.0555295179</v>
      </c>
      <c r="H290" s="25" t="n">
        <f aca="false">datos_base!$K$2*parametros_recargas!$J$46+sobrestock_sustitutos!$K$175/12</f>
        <v>11539.5139096319</v>
      </c>
      <c r="I290" s="25" t="n">
        <f aca="false">datos_base!$K$2*parametros_recargas!$K$46+sobrestock_sustitutos!$K$175/12</f>
        <v>11606.3572540021</v>
      </c>
      <c r="J290" s="25" t="n">
        <f aca="false">datos_base!$K$2*parametros_recargas!$L$46+sobrestock_sustitutos!$K$175/12</f>
        <v>11673.5877925575</v>
      </c>
      <c r="K290" s="25" t="n">
        <f aca="false">datos_base!$K$2*parametros_recargas!$M$46+sobrestock_sustitutos!$K$175/12</f>
        <v>11741.2077681443</v>
      </c>
      <c r="L290" s="25" t="n">
        <f aca="false">datos_base!$K$2*parametros_recargas!$N$46+sobrestock_sustitutos!$K$175/12</f>
        <v>11809.2194366006</v>
      </c>
      <c r="M290" s="25" t="n">
        <f aca="false">datos_base!$K$2*parametros_recargas!$O$46+sobrestock_sustitutos!$K$175/12</f>
        <v>11877.6250668312</v>
      </c>
      <c r="N290" s="25" t="n">
        <f aca="false">datos_base!$K$2*parametros_recargas!$P$46+sobrestock_sustitutos!$K$175/12</f>
        <v>11946.4269408841</v>
      </c>
      <c r="O290" s="25" t="n">
        <f aca="false">datos_base!$K$2*parametros_recargas!$Q$46+sobrestock_sustitutos!$K$175/12</f>
        <v>12015.6273540259</v>
      </c>
      <c r="P290" s="7" t="n">
        <f aca="false">SUM(D290:O290)</f>
        <v>139706.853822866</v>
      </c>
      <c r="Q290" s="13" t="n">
        <f aca="false">sobrestock_sustitutos!$K$175</f>
        <v>0</v>
      </c>
    </row>
    <row r="291" customFormat="false" ht="15" hidden="false" customHeight="false" outlineLevel="0" collapsed="false">
      <c r="A291" s="12" t="str">
        <f aca="false">parametros_recargas!A52</f>
        <v>ABC 2,5 kg</v>
      </c>
      <c r="B291" s="12" t="str">
        <f aca="false">parametros_recargas!B52</f>
        <v>ABC</v>
      </c>
      <c r="C291" s="24" t="n">
        <f aca="false">parametros_recargas!C52</f>
        <v>1</v>
      </c>
      <c r="D291" s="25" t="n">
        <f aca="false">datos_base!$K$3*parametros_recargas!$F$46+sobrestock_sustitutos!$K$176/12</f>
        <v>954.82271790768</v>
      </c>
      <c r="E291" s="25" t="n">
        <f aca="false">datos_base!$K$3*parametros_recargas!$G$46+sobrestock_sustitutos!$K$176/12</f>
        <v>960.35358725325</v>
      </c>
      <c r="F291" s="25" t="n">
        <f aca="false">datos_base!$K$3*parametros_recargas!$H$46+sobrestock_sustitutos!$K$176/12</f>
        <v>965.916494499829</v>
      </c>
      <c r="G291" s="25" t="n">
        <f aca="false">datos_base!$K$3*parametros_recargas!$I$46+sobrestock_sustitutos!$K$176/12</f>
        <v>971.51162522893</v>
      </c>
      <c r="H291" s="25" t="n">
        <f aca="false">datos_base!$K$3*parametros_recargas!$J$46+sobrestock_sustitutos!$K$176/12</f>
        <v>977.139166097059</v>
      </c>
      <c r="I291" s="25" t="n">
        <f aca="false">datos_base!$K$3*parametros_recargas!$K$46+sobrestock_sustitutos!$K$176/12</f>
        <v>982.79930484194</v>
      </c>
      <c r="J291" s="25" t="n">
        <f aca="false">datos_base!$K$3*parametros_recargas!$L$46+sobrestock_sustitutos!$K$176/12</f>
        <v>988.49223028878</v>
      </c>
      <c r="K291" s="25" t="n">
        <f aca="false">datos_base!$K$3*parametros_recargas!$M$46+sobrestock_sustitutos!$K$176/12</f>
        <v>994.218132356568</v>
      </c>
      <c r="L291" s="25" t="n">
        <f aca="false">datos_base!$K$3*parametros_recargas!$N$46+sobrestock_sustitutos!$K$176/12</f>
        <v>999.977202064409</v>
      </c>
      <c r="M291" s="25" t="n">
        <f aca="false">datos_base!$K$3*parametros_recargas!$O$46+sobrestock_sustitutos!$K$176/12</f>
        <v>1005.7696315379</v>
      </c>
      <c r="N291" s="25" t="n">
        <f aca="false">datos_base!$K$3*parametros_recargas!$P$46+sobrestock_sustitutos!$K$176/12</f>
        <v>1011.59561401553</v>
      </c>
      <c r="O291" s="25" t="n">
        <f aca="false">datos_base!$K$3*parametros_recargas!$Q$46+sobrestock_sustitutos!$K$176/12</f>
        <v>1017.45534385516</v>
      </c>
      <c r="P291" s="7" t="n">
        <f aca="false">SUM(D291:O291)</f>
        <v>11830.051049947</v>
      </c>
      <c r="Q291" s="13" t="n">
        <f aca="false">sobrestock_sustitutos!$K$176</f>
        <v>0</v>
      </c>
    </row>
    <row r="292" customFormat="false" ht="15" hidden="false" customHeight="false" outlineLevel="0" collapsed="false">
      <c r="A292" s="12" t="str">
        <f aca="false">parametros_recargas!A53</f>
        <v>ABC 5 kg</v>
      </c>
      <c r="B292" s="12" t="str">
        <f aca="false">parametros_recargas!B53</f>
        <v>ABC</v>
      </c>
      <c r="C292" s="24" t="n">
        <f aca="false">parametros_recargas!C53</f>
        <v>1</v>
      </c>
      <c r="D292" s="25" t="n">
        <f aca="false">datos_base!$K$4*parametros_recargas!$F$46+sobrestock_sustitutos!$K$177/12</f>
        <v>7893.34117202386</v>
      </c>
      <c r="E292" s="25" t="n">
        <f aca="false">datos_base!$K$4*parametros_recargas!$G$46+sobrestock_sustitutos!$K$177/12</f>
        <v>7926.98248395359</v>
      </c>
      <c r="F292" s="25" t="n">
        <f aca="false">datos_base!$K$4*parametros_recargas!$H$46+sobrestock_sustitutos!$K$177/12</f>
        <v>7960.81866525269</v>
      </c>
      <c r="G292" s="25" t="n">
        <f aca="false">datos_base!$K$4*parametros_recargas!$I$46+sobrestock_sustitutos!$K$177/12</f>
        <v>7994.85084471397</v>
      </c>
      <c r="H292" s="25" t="n">
        <f aca="false">datos_base!$K$4*parametros_recargas!$J$46+sobrestock_sustitutos!$K$177/12</f>
        <v>8029.08015766885</v>
      </c>
      <c r="I292" s="25" t="n">
        <f aca="false">datos_base!$K$4*parametros_recargas!$K$46+sobrestock_sustitutos!$K$177/12</f>
        <v>8063.50774602522</v>
      </c>
      <c r="J292" s="25" t="n">
        <f aca="false">datos_base!$K$4*parametros_recargas!$L$46+sobrestock_sustitutos!$K$177/12</f>
        <v>8098.13475830553</v>
      </c>
      <c r="K292" s="25" t="n">
        <f aca="false">datos_base!$K$4*parametros_recargas!$M$46+sobrestock_sustitutos!$K$177/12</f>
        <v>8132.96234968514</v>
      </c>
      <c r="L292" s="25" t="n">
        <f aca="false">datos_base!$K$4*parametros_recargas!$N$46+sobrestock_sustitutos!$K$177/12</f>
        <v>8167.99168203084</v>
      </c>
      <c r="M292" s="25" t="n">
        <f aca="false">datos_base!$K$4*parametros_recargas!$O$46+sobrestock_sustitutos!$K$177/12</f>
        <v>8203.22392393956</v>
      </c>
      <c r="N292" s="25" t="n">
        <f aca="false">datos_base!$K$4*parametros_recargas!$P$46+sobrestock_sustitutos!$K$177/12</f>
        <v>8238.66025077745</v>
      </c>
      <c r="O292" s="25" t="n">
        <f aca="false">datos_base!$K$4*parametros_recargas!$Q$46+sobrestock_sustitutos!$K$177/12</f>
        <v>8274.30184471902</v>
      </c>
      <c r="P292" s="7" t="n">
        <f aca="false">SUM(D292:O292)</f>
        <v>96983.8558790957</v>
      </c>
      <c r="Q292" s="13" t="n">
        <f aca="false">sobrestock_sustitutos!$K$177</f>
        <v>25028</v>
      </c>
    </row>
    <row r="293" customFormat="false" ht="15" hidden="false" customHeight="false" outlineLevel="0" collapsed="false">
      <c r="A293" s="12" t="str">
        <f aca="false">parametros_recargas!A54</f>
        <v>ABC 10 kg</v>
      </c>
      <c r="B293" s="12" t="str">
        <f aca="false">parametros_recargas!B54</f>
        <v>ABC</v>
      </c>
      <c r="C293" s="24" t="n">
        <f aca="false">parametros_recargas!C54</f>
        <v>1</v>
      </c>
      <c r="D293" s="25" t="n">
        <f aca="false">datos_base!$K$5*parametros_recargas!$F$46+sobrestock_sustitutos!$K$178/12</f>
        <v>450.045133252737</v>
      </c>
      <c r="E293" s="25" t="n">
        <f aca="false">datos_base!$K$5*parametros_recargas!$G$46+sobrestock_sustitutos!$K$178/12</f>
        <v>452.037070429944</v>
      </c>
      <c r="F293" s="25" t="n">
        <f aca="false">datos_base!$K$5*parametros_recargas!$H$46+sobrestock_sustitutos!$K$178/12</f>
        <v>454.040546025818</v>
      </c>
      <c r="G293" s="25" t="n">
        <f aca="false">datos_base!$K$5*parametros_recargas!$I$46+sobrestock_sustitutos!$K$178/12</f>
        <v>456.055626877359</v>
      </c>
      <c r="H293" s="25" t="n">
        <f aca="false">datos_base!$K$5*parametros_recargas!$J$46+sobrestock_sustitutos!$K$178/12</f>
        <v>458.082380208724</v>
      </c>
      <c r="I293" s="25" t="n">
        <f aca="false">datos_base!$K$5*parametros_recargas!$K$46+sobrestock_sustitutos!$K$178/12</f>
        <v>460.120873633472</v>
      </c>
      <c r="J293" s="25" t="n">
        <f aca="false">datos_base!$K$5*parametros_recargas!$L$46+sobrestock_sustitutos!$K$178/12</f>
        <v>462.171175156814</v>
      </c>
      <c r="K293" s="25" t="n">
        <f aca="false">datos_base!$K$5*parametros_recargas!$M$46+sobrestock_sustitutos!$K$178/12</f>
        <v>464.23335317789</v>
      </c>
      <c r="L293" s="25" t="n">
        <f aca="false">datos_base!$K$5*parametros_recargas!$N$46+sobrestock_sustitutos!$K$178/12</f>
        <v>466.307476492042</v>
      </c>
      <c r="M293" s="25" t="n">
        <f aca="false">datos_base!$K$5*parametros_recargas!$O$46+sobrestock_sustitutos!$K$178/12</f>
        <v>468.393614293117</v>
      </c>
      <c r="N293" s="25" t="n">
        <f aca="false">datos_base!$K$5*parametros_recargas!$P$46+sobrestock_sustitutos!$K$178/12</f>
        <v>470.491836175768</v>
      </c>
      <c r="O293" s="25" t="n">
        <f aca="false">datos_base!$K$5*parametros_recargas!$Q$46+sobrestock_sustitutos!$K$178/12</f>
        <v>472.602212137782</v>
      </c>
      <c r="P293" s="7" t="n">
        <f aca="false">SUM(D293:O293)</f>
        <v>5534.58129786147</v>
      </c>
      <c r="Q293" s="13" t="n">
        <f aca="false">sobrestock_sustitutos!$K$178</f>
        <v>1274</v>
      </c>
    </row>
    <row r="294" customFormat="false" ht="15" hidden="false" customHeight="false" outlineLevel="0" collapsed="false">
      <c r="A294" s="12" t="str">
        <f aca="false">parametros_recargas!A55</f>
        <v>Agua 10 l</v>
      </c>
      <c r="B294" s="12" t="str">
        <f aca="false">parametros_recargas!B55</f>
        <v>Agua</v>
      </c>
      <c r="C294" s="24" t="n">
        <f aca="false">parametros_recargas!C55</f>
        <v>1</v>
      </c>
      <c r="D294" s="25" t="n">
        <f aca="false">datos_base!$K$6*parametros_recargas!$F$46+sobrestock_sustitutos!$K$179/12</f>
        <v>610.562258565547</v>
      </c>
      <c r="E294" s="25" t="n">
        <f aca="false">datos_base!$K$6*parametros_recargas!$G$46+sobrestock_sustitutos!$K$179/12</f>
        <v>613.374425112412</v>
      </c>
      <c r="F294" s="25" t="n">
        <f aca="false">datos_base!$K$6*parametros_recargas!$H$46+sobrestock_sustitutos!$K$179/12</f>
        <v>616.202881307039</v>
      </c>
      <c r="G294" s="25" t="n">
        <f aca="false">datos_base!$K$6*parametros_recargas!$I$46+sobrestock_sustitutos!$K$179/12</f>
        <v>619.047721508212</v>
      </c>
      <c r="H294" s="25" t="n">
        <f aca="false">datos_base!$K$6*parametros_recargas!$J$46+sobrestock_sustitutos!$K$179/12</f>
        <v>621.9090406213</v>
      </c>
      <c r="I294" s="25" t="n">
        <f aca="false">datos_base!$K$6*parametros_recargas!$K$46+sobrestock_sustitutos!$K$179/12</f>
        <v>624.786934101413</v>
      </c>
      <c r="J294" s="25" t="n">
        <f aca="false">datos_base!$K$6*parametros_recargas!$L$46+sobrestock_sustitutos!$K$179/12</f>
        <v>627.681497956592</v>
      </c>
      <c r="K294" s="25" t="n">
        <f aca="false">datos_base!$K$6*parametros_recargas!$M$46+sobrestock_sustitutos!$K$179/12</f>
        <v>630.59282875101</v>
      </c>
      <c r="L294" s="25" t="n">
        <f aca="false">datos_base!$K$6*parametros_recargas!$N$46+sobrestock_sustitutos!$K$179/12</f>
        <v>633.521023608194</v>
      </c>
      <c r="M294" s="25" t="n">
        <f aca="false">datos_base!$K$6*parametros_recargas!$O$46+sobrestock_sustitutos!$K$179/12</f>
        <v>636.466180214266</v>
      </c>
      <c r="N294" s="25" t="n">
        <f aca="false">datos_base!$K$6*parametros_recargas!$P$46+sobrestock_sustitutos!$K$179/12</f>
        <v>639.4283968212</v>
      </c>
      <c r="O294" s="25" t="n">
        <f aca="false">datos_base!$K$6*parametros_recargas!$Q$46+sobrestock_sustitutos!$K$179/12</f>
        <v>642.407772250101</v>
      </c>
      <c r="P294" s="7" t="n">
        <f aca="false">SUM(D294:O294)</f>
        <v>7515.98096081729</v>
      </c>
      <c r="Q294" s="13" t="n">
        <f aca="false">sobrestock_sustitutos!$K$179</f>
        <v>1501</v>
      </c>
    </row>
    <row r="295" customFormat="false" ht="15" hidden="false" customHeight="false" outlineLevel="0" collapsed="false">
      <c r="A295" s="12" t="str">
        <f aca="false">parametros_recargas!A56</f>
        <v>AFFF 10 l</v>
      </c>
      <c r="B295" s="12" t="str">
        <f aca="false">parametros_recargas!B56</f>
        <v>AFFF</v>
      </c>
      <c r="C295" s="24" t="n">
        <f aca="false">parametros_recargas!C56</f>
        <v>1</v>
      </c>
      <c r="D295" s="25" t="n">
        <f aca="false">datos_base!$K$7*parametros_recargas!$F$46+sobrestock_sustitutos!$K$180/12</f>
        <v>115.754630640874</v>
      </c>
      <c r="E295" s="25" t="n">
        <f aca="false">datos_base!$K$7*parametros_recargas!$G$46+sobrestock_sustitutos!$K$180/12</f>
        <v>116.288538552007</v>
      </c>
      <c r="F295" s="25" t="n">
        <f aca="false">datos_base!$K$7*parametros_recargas!$H$46+sobrestock_sustitutos!$K$180/12</f>
        <v>116.825539157566</v>
      </c>
      <c r="G295" s="25" t="n">
        <f aca="false">datos_base!$K$7*parametros_recargas!$I$46+sobrestock_sustitutos!$K$180/12</f>
        <v>117.365650372177</v>
      </c>
      <c r="H295" s="25" t="n">
        <f aca="false">datos_base!$K$7*parametros_recargas!$J$46+sobrestock_sustitutos!$K$180/12</f>
        <v>117.908890214232</v>
      </c>
      <c r="I295" s="25" t="n">
        <f aca="false">datos_base!$K$7*parametros_recargas!$K$46+sobrestock_sustitutos!$K$180/12</f>
        <v>118.455276806498</v>
      </c>
      <c r="J295" s="25" t="n">
        <f aca="false">datos_base!$K$7*parametros_recargas!$L$46+sobrestock_sustitutos!$K$180/12</f>
        <v>119.004828376721</v>
      </c>
      <c r="K295" s="25" t="n">
        <f aca="false">datos_base!$K$7*parametros_recargas!$M$46+sobrestock_sustitutos!$K$180/12</f>
        <v>119.557563258229</v>
      </c>
      <c r="L295" s="25" t="n">
        <f aca="false">datos_base!$K$7*parametros_recargas!$N$46+sobrestock_sustitutos!$K$180/12</f>
        <v>120.113499890549</v>
      </c>
      <c r="M295" s="25" t="n">
        <f aca="false">datos_base!$K$7*parametros_recargas!$O$46+sobrestock_sustitutos!$K$180/12</f>
        <v>120.67265682002</v>
      </c>
      <c r="N295" s="25" t="n">
        <f aca="false">datos_base!$K$7*parametros_recargas!$P$46+sobrestock_sustitutos!$K$180/12</f>
        <v>121.23505270041</v>
      </c>
      <c r="O295" s="25" t="n">
        <f aca="false">datos_base!$K$7*parametros_recargas!$Q$46+sobrestock_sustitutos!$K$180/12</f>
        <v>121.800706293543</v>
      </c>
      <c r="P295" s="7" t="n">
        <f aca="false">SUM(D295:O295)</f>
        <v>1424.98283308283</v>
      </c>
      <c r="Q295" s="13" t="n">
        <f aca="false">sobrestock_sustitutos!$K$180</f>
        <v>283</v>
      </c>
    </row>
    <row r="296" customFormat="false" ht="15" hidden="false" customHeight="false" outlineLevel="0" collapsed="false">
      <c r="A296" s="12" t="str">
        <f aca="false">parametros_recargas!A57</f>
        <v>AFFF 50 l s/ruedas</v>
      </c>
      <c r="B296" s="12" t="str">
        <f aca="false">parametros_recargas!B57</f>
        <v>AFFF</v>
      </c>
      <c r="C296" s="24" t="n">
        <f aca="false">parametros_recargas!C57</f>
        <v>3</v>
      </c>
      <c r="D296" s="25" t="n">
        <f aca="false">datos_base!$K$8*parametros_recargas!$F$46+sobrestock_sustitutos!$K$181/12</f>
        <v>60.3796737257196</v>
      </c>
      <c r="E296" s="25" t="n">
        <f aca="false">datos_base!$K$8*parametros_recargas!$G$46+sobrestock_sustitutos!$K$181/12</f>
        <v>60.6579851088268</v>
      </c>
      <c r="F296" s="25" t="n">
        <f aca="false">datos_base!$K$8*parametros_recargas!$H$46+sobrestock_sustitutos!$K$181/12</f>
        <v>60.9379086277457</v>
      </c>
      <c r="G296" s="25" t="n">
        <f aca="false">datos_base!$K$8*parametros_recargas!$I$46+sobrestock_sustitutos!$K$181/12</f>
        <v>61.2194536208721</v>
      </c>
      <c r="H296" s="25" t="n">
        <f aca="false">datos_base!$K$8*parametros_recargas!$J$46+sobrestock_sustitutos!$K$181/12</f>
        <v>61.5026294806953</v>
      </c>
      <c r="I296" s="25" t="n">
        <f aca="false">datos_base!$K$8*parametros_recargas!$K$46+sobrestock_sustitutos!$K$181/12</f>
        <v>61.7874456541108</v>
      </c>
      <c r="J296" s="25" t="n">
        <f aca="false">datos_base!$K$8*parametros_recargas!$L$46+sobrestock_sustitutos!$K$181/12</f>
        <v>62.0739116427362</v>
      </c>
      <c r="K296" s="25" t="n">
        <f aca="false">datos_base!$K$8*parametros_recargas!$M$46+sobrestock_sustitutos!$K$181/12</f>
        <v>62.3620370032274</v>
      </c>
      <c r="L296" s="25" t="n">
        <f aca="false">datos_base!$K$8*parametros_recargas!$N$46+sobrestock_sustitutos!$K$181/12</f>
        <v>62.6518313475982</v>
      </c>
      <c r="M296" s="25" t="n">
        <f aca="false">datos_base!$K$8*parametros_recargas!$O$46+sobrestock_sustitutos!$K$181/12</f>
        <v>62.9433043435404</v>
      </c>
      <c r="N296" s="25" t="n">
        <f aca="false">datos_base!$K$8*parametros_recargas!$P$46+sobrestock_sustitutos!$K$181/12</f>
        <v>63.2364657147465</v>
      </c>
      <c r="O296" s="25" t="n">
        <f aca="false">datos_base!$K$8*parametros_recargas!$Q$46+sobrestock_sustitutos!$K$181/12</f>
        <v>63.5313252412341</v>
      </c>
      <c r="P296" s="7" t="n">
        <f aca="false">SUM(D296:O296)</f>
        <v>743.283971511053</v>
      </c>
      <c r="Q296" s="13" t="n">
        <f aca="false">sobrestock_sustitutos!$K$181</f>
        <v>148</v>
      </c>
    </row>
    <row r="297" customFormat="false" ht="15" hidden="false" customHeight="false" outlineLevel="0" collapsed="false">
      <c r="A297" s="12" t="str">
        <f aca="false">parametros_recargas!A58</f>
        <v>BC 5 kg</v>
      </c>
      <c r="B297" s="12" t="str">
        <f aca="false">parametros_recargas!B58</f>
        <v>BC</v>
      </c>
      <c r="C297" s="24" t="n">
        <f aca="false">parametros_recargas!C58</f>
        <v>1</v>
      </c>
      <c r="D297" s="25" t="n">
        <f aca="false">datos_base!$K$9*parametros_recargas!$F$46+sobrestock_sustitutos!$K$182/12</f>
        <v>36.274716328488</v>
      </c>
      <c r="E297" s="25" t="n">
        <f aca="false">datos_base!$K$9*parametros_recargas!$G$46+sobrestock_sustitutos!$K$182/12</f>
        <v>36.4356030818528</v>
      </c>
      <c r="F297" s="25" t="n">
        <f aca="false">datos_base!$K$9*parametros_recargas!$H$46+sobrestock_sustitutos!$K$182/12</f>
        <v>36.5974217816362</v>
      </c>
      <c r="G297" s="25" t="n">
        <f aca="false">datos_base!$K$9*parametros_recargas!$I$46+sobrestock_sustitutos!$K$182/12</f>
        <v>36.7601778261951</v>
      </c>
      <c r="H297" s="25" t="n">
        <f aca="false">datos_base!$K$9*parametros_recargas!$J$46+sobrestock_sustitutos!$K$182/12</f>
        <v>36.9238766451567</v>
      </c>
      <c r="I297" s="25" t="n">
        <f aca="false">datos_base!$K$9*parametros_recargas!$K$46+sobrestock_sustitutos!$K$182/12</f>
        <v>37.0885236995999</v>
      </c>
      <c r="J297" s="25" t="n">
        <f aca="false">datos_base!$K$9*parametros_recargas!$L$46+sobrestock_sustitutos!$K$182/12</f>
        <v>37.254124482237</v>
      </c>
      <c r="K297" s="25" t="n">
        <f aca="false">datos_base!$K$9*parametros_recargas!$M$46+sobrestock_sustitutos!$K$182/12</f>
        <v>37.4206845175973</v>
      </c>
      <c r="L297" s="25" t="n">
        <f aca="false">datos_base!$K$9*parametros_recargas!$N$46+sobrestock_sustitutos!$K$182/12</f>
        <v>37.5882093622112</v>
      </c>
      <c r="M297" s="25" t="n">
        <f aca="false">datos_base!$K$9*parametros_recargas!$O$46+sobrestock_sustitutos!$K$182/12</f>
        <v>37.7567046047956</v>
      </c>
      <c r="N297" s="25" t="n">
        <f aca="false">datos_base!$K$9*parametros_recargas!$P$46+sobrestock_sustitutos!$K$182/12</f>
        <v>37.9261758664406</v>
      </c>
      <c r="O297" s="25" t="n">
        <f aca="false">datos_base!$K$9*parametros_recargas!$Q$46+sobrestock_sustitutos!$K$182/12</f>
        <v>38.0966288007965</v>
      </c>
      <c r="P297" s="7" t="n">
        <f aca="false">SUM(D297:O297)</f>
        <v>446.122846997007</v>
      </c>
      <c r="Q297" s="13" t="n">
        <f aca="false">sobrestock_sustitutos!$K$182</f>
        <v>102</v>
      </c>
    </row>
    <row r="298" customFormat="false" ht="15" hidden="false" customHeight="false" outlineLevel="0" collapsed="false">
      <c r="A298" s="12" t="str">
        <f aca="false">parametros_recargas!A59</f>
        <v>Sales K 6 l</v>
      </c>
      <c r="B298" s="12" t="str">
        <f aca="false">parametros_recargas!B59</f>
        <v>Sales K</v>
      </c>
      <c r="C298" s="24" t="n">
        <f aca="false">parametros_recargas!C59</f>
        <v>1</v>
      </c>
      <c r="D298" s="25" t="n">
        <f aca="false">datos_base!$K$10*parametros_recargas!$F$46+sobrestock_sustitutos!$K$183/12</f>
        <v>301.082934346563</v>
      </c>
      <c r="E298" s="25" t="n">
        <f aca="false">datos_base!$K$10*parametros_recargas!$G$46+sobrestock_sustitutos!$K$183/12</f>
        <v>302.469767808845</v>
      </c>
      <c r="F298" s="25" t="n">
        <f aca="false">datos_base!$K$10*parametros_recargas!$H$46+sobrestock_sustitutos!$K$183/12</f>
        <v>303.864634589292</v>
      </c>
      <c r="G298" s="25" t="n">
        <f aca="false">datos_base!$K$10*parametros_recargas!$I$46+sobrestock_sustitutos!$K$183/12</f>
        <v>305.267581221393</v>
      </c>
      <c r="H298" s="25" t="n">
        <f aca="false">datos_base!$K$10*parametros_recargas!$J$46+sobrestock_sustitutos!$K$183/12</f>
        <v>306.678654508187</v>
      </c>
      <c r="I298" s="25" t="n">
        <f aca="false">datos_base!$K$10*parametros_recargas!$K$46+sobrestock_sustitutos!$K$183/12</f>
        <v>308.097901523821</v>
      </c>
      <c r="J298" s="25" t="n">
        <f aca="false">datos_base!$K$10*parametros_recargas!$L$46+sobrestock_sustitutos!$K$183/12</f>
        <v>309.525369615122</v>
      </c>
      <c r="K298" s="25" t="n">
        <f aca="false">datos_base!$K$10*parametros_recargas!$M$46+sobrestock_sustitutos!$K$183/12</f>
        <v>310.961106403176</v>
      </c>
      <c r="L298" s="25" t="n">
        <f aca="false">datos_base!$K$10*parametros_recargas!$N$46+sobrestock_sustitutos!$K$183/12</f>
        <v>312.405159784919</v>
      </c>
      <c r="M298" s="25" t="n">
        <f aca="false">datos_base!$K$10*parametros_recargas!$O$46+sobrestock_sustitutos!$K$183/12</f>
        <v>313.857577934731</v>
      </c>
      <c r="N298" s="25" t="n">
        <f aca="false">datos_base!$K$10*parametros_recargas!$P$46+sobrestock_sustitutos!$K$183/12</f>
        <v>315.318409306047</v>
      </c>
      <c r="O298" s="25" t="n">
        <f aca="false">datos_base!$K$10*parametros_recargas!$Q$46+sobrestock_sustitutos!$K$183/12</f>
        <v>316.787702632968</v>
      </c>
      <c r="P298" s="7" t="n">
        <f aca="false">SUM(D298:O298)</f>
        <v>3706.31679967506</v>
      </c>
      <c r="Q298" s="13" t="n">
        <f aca="false">sobrestock_sustitutos!$K$183</f>
        <v>740</v>
      </c>
    </row>
    <row r="299" customFormat="false" ht="15" hidden="false" customHeight="false" outlineLevel="0" collapsed="false">
      <c r="A299" s="12" t="str">
        <f aca="false">parametros_recargas!A60</f>
        <v>CO₂ 2 kg</v>
      </c>
      <c r="B299" s="12" t="str">
        <f aca="false">parametros_recargas!B60</f>
        <v>CO₂</v>
      </c>
      <c r="C299" s="24" t="n">
        <f aca="false">parametros_recargas!C60</f>
        <v>1</v>
      </c>
      <c r="D299" s="25" t="n">
        <f aca="false">datos_base!$K$11*parametros_recargas!$F$46+sobrestock_sustitutos!$K$184/12</f>
        <v>1306.04239426773</v>
      </c>
      <c r="E299" s="25" t="n">
        <f aca="false">datos_base!$K$11*parametros_recargas!$G$46+sobrestock_sustitutos!$K$184/12</f>
        <v>1313.60772519985</v>
      </c>
      <c r="F299" s="25" t="n">
        <f aca="false">datos_base!$K$11*parametros_recargas!$H$46+sobrestock_sustitutos!$K$184/12</f>
        <v>1321.21687877689</v>
      </c>
      <c r="G299" s="25" t="n">
        <f aca="false">datos_base!$K$11*parametros_recargas!$I$46+sobrestock_sustitutos!$K$184/12</f>
        <v>1328.87010884424</v>
      </c>
      <c r="H299" s="25" t="n">
        <f aca="false">datos_base!$K$11*parametros_recargas!$J$46+sobrestock_sustitutos!$K$184/12</f>
        <v>1336.56767071767</v>
      </c>
      <c r="I299" s="25" t="n">
        <f aca="false">datos_base!$K$11*parametros_recargas!$K$46+sobrestock_sustitutos!$K$184/12</f>
        <v>1344.3098211919</v>
      </c>
      <c r="J299" s="25" t="n">
        <f aca="false">datos_base!$K$11*parametros_recargas!$L$46+sobrestock_sustitutos!$K$184/12</f>
        <v>1352.09681854913</v>
      </c>
      <c r="K299" s="25" t="n">
        <f aca="false">datos_base!$K$11*parametros_recargas!$M$46+sobrestock_sustitutos!$K$184/12</f>
        <v>1359.92892256771</v>
      </c>
      <c r="L299" s="25" t="n">
        <f aca="false">datos_base!$K$11*parametros_recargas!$N$46+sobrestock_sustitutos!$K$184/12</f>
        <v>1367.80639453075</v>
      </c>
      <c r="M299" s="25" t="n">
        <f aca="false">datos_base!$K$11*parametros_recargas!$O$46+sobrestock_sustitutos!$K$184/12</f>
        <v>1375.72949723484</v>
      </c>
      <c r="N299" s="25" t="n">
        <f aca="false">datos_base!$K$11*parametros_recargas!$P$46+sobrestock_sustitutos!$K$184/12</f>
        <v>1383.69849499887</v>
      </c>
      <c r="O299" s="25" t="n">
        <f aca="false">datos_base!$K$11*parametros_recargas!$Q$46+sobrestock_sustitutos!$K$184/12</f>
        <v>1391.7136536728</v>
      </c>
      <c r="P299" s="7" t="n">
        <f aca="false">SUM(D299:O299)</f>
        <v>16181.5883805524</v>
      </c>
      <c r="Q299" s="13" t="n">
        <f aca="false">sobrestock_sustitutos!$K$184</f>
        <v>0</v>
      </c>
    </row>
    <row r="300" customFormat="false" ht="15" hidden="false" customHeight="false" outlineLevel="0" collapsed="false">
      <c r="A300" s="12" t="str">
        <f aca="false">parametros_recargas!A61</f>
        <v>CO₂ 5 kg</v>
      </c>
      <c r="B300" s="12" t="str">
        <f aca="false">parametros_recargas!B61</f>
        <v>CO₂</v>
      </c>
      <c r="C300" s="24" t="n">
        <f aca="false">parametros_recargas!C61</f>
        <v>1</v>
      </c>
      <c r="D300" s="25" t="n">
        <f aca="false">datos_base!$K$12*parametros_recargas!$F$46+sobrestock_sustitutos!$K$185/12</f>
        <v>897.510168839467</v>
      </c>
      <c r="E300" s="25" t="n">
        <f aca="false">datos_base!$K$12*parametros_recargas!$G$46+sobrestock_sustitutos!$K$185/12</f>
        <v>900.095641040182</v>
      </c>
      <c r="F300" s="25" t="n">
        <f aca="false">datos_base!$K$12*parametros_recargas!$H$46+sobrestock_sustitutos!$K$185/12</f>
        <v>902.696089747709</v>
      </c>
      <c r="G300" s="25" t="n">
        <f aca="false">datos_base!$K$12*parametros_recargas!$I$46+sobrestock_sustitutos!$K$185/12</f>
        <v>905.311601714385</v>
      </c>
      <c r="H300" s="25" t="n">
        <f aca="false">datos_base!$K$12*parametros_recargas!$J$46+sobrestock_sustitutos!$K$185/12</f>
        <v>907.942264195066</v>
      </c>
      <c r="I300" s="25" t="n">
        <f aca="false">datos_base!$K$12*parametros_recargas!$K$46+sobrestock_sustitutos!$K$185/12</f>
        <v>910.588164950036</v>
      </c>
      <c r="J300" s="25" t="n">
        <f aca="false">datos_base!$K$12*parametros_recargas!$L$46+sobrestock_sustitutos!$K$185/12</f>
        <v>913.249392247936</v>
      </c>
      <c r="K300" s="25" t="n">
        <f aca="false">datos_base!$K$12*parametros_recargas!$M$46+sobrestock_sustitutos!$K$185/12</f>
        <v>915.92603486871</v>
      </c>
      <c r="L300" s="25" t="n">
        <f aca="false">datos_base!$K$12*parametros_recargas!$N$46+sobrestock_sustitutos!$K$185/12</f>
        <v>918.618182106563</v>
      </c>
      <c r="M300" s="25" t="n">
        <f aca="false">datos_base!$K$12*parametros_recargas!$O$46+sobrestock_sustitutos!$K$185/12</f>
        <v>921.325923772945</v>
      </c>
      <c r="N300" s="25" t="n">
        <f aca="false">datos_base!$K$12*parametros_recargas!$P$46+sobrestock_sustitutos!$K$185/12</f>
        <v>924.049350199542</v>
      </c>
      <c r="O300" s="25" t="n">
        <f aca="false">datos_base!$K$12*parametros_recargas!$Q$46+sobrestock_sustitutos!$K$185/12</f>
        <v>926.788552241293</v>
      </c>
      <c r="P300" s="7" t="n">
        <f aca="false">SUM(D300:O300)</f>
        <v>10944.1013659238</v>
      </c>
      <c r="Q300" s="13" t="n">
        <f aca="false">sobrestock_sustitutos!$K$185</f>
        <v>5414</v>
      </c>
    </row>
    <row r="301" customFormat="false" ht="15" hidden="false" customHeight="false" outlineLevel="0" collapsed="false">
      <c r="A301" s="12" t="str">
        <f aca="false">parametros_recargas!A62</f>
        <v>HCFC/HFC 5 kg</v>
      </c>
      <c r="B301" s="12" t="str">
        <f aca="false">parametros_recargas!B62</f>
        <v>Halogenado</v>
      </c>
      <c r="C301" s="24" t="n">
        <f aca="false">parametros_recargas!C62</f>
        <v>1</v>
      </c>
      <c r="D301" s="25" t="n">
        <f aca="false">datos_base!$K$13*parametros_recargas!$F$46+sobrestock_sustitutos!$K$186/12</f>
        <v>91.7366208488951</v>
      </c>
      <c r="E301" s="25" t="n">
        <f aca="false">datos_base!$K$13*parametros_recargas!$G$46+sobrestock_sustitutos!$K$186/12</f>
        <v>92.1598830546313</v>
      </c>
      <c r="F301" s="25" t="n">
        <f aca="false">datos_base!$K$13*parametros_recargas!$H$46+sobrestock_sustitutos!$K$186/12</f>
        <v>92.5855970327384</v>
      </c>
      <c r="G301" s="25" t="n">
        <f aca="false">datos_base!$K$13*parametros_recargas!$I$46+sobrestock_sustitutos!$K$186/12</f>
        <v>93.0137769852587</v>
      </c>
      <c r="H301" s="25" t="n">
        <f aca="false">datos_base!$K$13*parametros_recargas!$J$46+sobrestock_sustitutos!$K$186/12</f>
        <v>93.4444371965007</v>
      </c>
      <c r="I301" s="25" t="n">
        <f aca="false">datos_base!$K$13*parametros_recargas!$K$46+sobrestock_sustitutos!$K$186/12</f>
        <v>93.8775920335158</v>
      </c>
      <c r="J301" s="25" t="n">
        <f aca="false">datos_base!$K$13*parametros_recargas!$L$46+sobrestock_sustitutos!$K$186/12</f>
        <v>94.313255946577</v>
      </c>
      <c r="K301" s="25" t="n">
        <f aca="false">datos_base!$K$13*parametros_recargas!$M$46+sobrestock_sustitutos!$K$186/12</f>
        <v>94.7514434696619</v>
      </c>
      <c r="L301" s="25" t="n">
        <f aca="false">datos_base!$K$13*parametros_recargas!$N$46+sobrestock_sustitutos!$K$186/12</f>
        <v>95.1921692209368</v>
      </c>
      <c r="M301" s="25" t="n">
        <f aca="false">datos_base!$K$13*parametros_recargas!$O$46+sobrestock_sustitutos!$K$186/12</f>
        <v>95.6354479032447</v>
      </c>
      <c r="N301" s="25" t="n">
        <f aca="false">datos_base!$K$13*parametros_recargas!$P$46+sobrestock_sustitutos!$K$186/12</f>
        <v>96.0812943045956</v>
      </c>
      <c r="O301" s="25" t="n">
        <f aca="false">datos_base!$K$13*parametros_recargas!$Q$46+sobrestock_sustitutos!$K$186/12</f>
        <v>96.5297232986602</v>
      </c>
      <c r="P301" s="7" t="n">
        <f aca="false">SUM(D301:O301)</f>
        <v>1129.32124129522</v>
      </c>
      <c r="Q301" s="13" t="n">
        <f aca="false">sobrestock_sustitutos!$K$186</f>
        <v>224</v>
      </c>
    </row>
    <row r="302" customFormat="false" ht="15" hidden="false" customHeight="false" outlineLevel="0" collapsed="false">
      <c r="A302" s="12" t="str">
        <f aca="false">parametros_recargas!A63</f>
        <v>Clase D 9 l</v>
      </c>
      <c r="B302" s="12" t="str">
        <f aca="false">parametros_recargas!B63</f>
        <v>Clase D</v>
      </c>
      <c r="C302" s="24" t="n">
        <f aca="false">parametros_recargas!C63</f>
        <v>1</v>
      </c>
      <c r="D302" s="25" t="n">
        <f aca="false">datos_base!$K$14*parametros_recargas!$F$46+sobrestock_sustitutos!$K$187/12</f>
        <v>32.7532710525233</v>
      </c>
      <c r="E302" s="25" t="n">
        <f aca="false">datos_base!$K$14*parametros_recargas!$G$46+sobrestock_sustitutos!$K$187/12</f>
        <v>32.8985867520557</v>
      </c>
      <c r="F302" s="25" t="n">
        <f aca="false">datos_base!$K$14*parametros_recargas!$H$46+sobrestock_sustitutos!$K$187/12</f>
        <v>33.0447442017192</v>
      </c>
      <c r="G302" s="25" t="n">
        <f aca="false">datos_base!$K$14*parametros_recargas!$I$46+sobrestock_sustitutos!$K$187/12</f>
        <v>33.1917482774032</v>
      </c>
      <c r="H302" s="25" t="n">
        <f aca="false">datos_base!$K$14*parametros_recargas!$J$46+sobrestock_sustitutos!$K$187/12</f>
        <v>33.3396038832411</v>
      </c>
      <c r="I302" s="25" t="n">
        <f aca="false">datos_base!$K$14*parametros_recargas!$K$46+sobrestock_sustitutos!$K$187/12</f>
        <v>33.4883159517736</v>
      </c>
      <c r="J302" s="25" t="n">
        <f aca="false">datos_base!$K$14*parametros_recargas!$L$46+sobrestock_sustitutos!$K$187/12</f>
        <v>33.6378894441137</v>
      </c>
      <c r="K302" s="25" t="n">
        <f aca="false">datos_base!$K$14*parametros_recargas!$M$46+sobrestock_sustitutos!$K$187/12</f>
        <v>33.7883293501116</v>
      </c>
      <c r="L302" s="25" t="n">
        <f aca="false">datos_base!$K$14*parametros_recargas!$N$46+sobrestock_sustitutos!$K$187/12</f>
        <v>33.9396406885219</v>
      </c>
      <c r="M302" s="25" t="n">
        <f aca="false">datos_base!$K$14*parametros_recargas!$O$46+sobrestock_sustitutos!$K$187/12</f>
        <v>34.0918285071705</v>
      </c>
      <c r="N302" s="25" t="n">
        <f aca="false">datos_base!$K$14*parametros_recargas!$P$46+sobrestock_sustitutos!$K$187/12</f>
        <v>34.2448978831229</v>
      </c>
      <c r="O302" s="25" t="n">
        <f aca="false">datos_base!$K$14*parametros_recargas!$Q$46+sobrestock_sustitutos!$K$187/12</f>
        <v>34.3988539228542</v>
      </c>
      <c r="P302" s="7" t="n">
        <f aca="false">SUM(D302:O302)</f>
        <v>402.817709914611</v>
      </c>
      <c r="Q302" s="13" t="n">
        <f aca="false">sobrestock_sustitutos!$K$187</f>
        <v>92</v>
      </c>
    </row>
    <row r="303" customFormat="false" ht="15" hidden="false" customHeight="false" outlineLevel="0" collapsed="false">
      <c r="A303" s="12" t="str">
        <f aca="false">parametros_recargas!A64</f>
        <v>ABC 25 kg s/ruedas</v>
      </c>
      <c r="B303" s="12" t="str">
        <f aca="false">parametros_recargas!B64</f>
        <v>ABC</v>
      </c>
      <c r="C303" s="24" t="n">
        <f aca="false">parametros_recargas!C64</f>
        <v>3</v>
      </c>
      <c r="D303" s="25" t="n">
        <f aca="false">datos_base!$K$15*parametros_recargas!$F$46+sobrestock_sustitutos!$K$188/12</f>
        <v>59.8569276090235</v>
      </c>
      <c r="E303" s="25" t="n">
        <f aca="false">datos_base!$K$15*parametros_recargas!$G$46+sobrestock_sustitutos!$K$188/12</f>
        <v>60.2036525453113</v>
      </c>
      <c r="F303" s="25" t="n">
        <f aca="false">datos_base!$K$15*parametros_recargas!$H$46+sobrestock_sustitutos!$K$188/12</f>
        <v>60.5523859071273</v>
      </c>
      <c r="G303" s="25" t="n">
        <f aca="false">datos_base!$K$15*parametros_recargas!$I$46+sobrestock_sustitutos!$K$188/12</f>
        <v>60.9031393283998</v>
      </c>
      <c r="H303" s="25" t="n">
        <f aca="false">datos_base!$K$15*parametros_recargas!$J$46+sobrestock_sustitutos!$K$188/12</f>
        <v>61.2559245104476</v>
      </c>
      <c r="I303" s="25" t="n">
        <f aca="false">datos_base!$K$15*parametros_recargas!$K$46+sobrestock_sustitutos!$K$188/12</f>
        <v>61.6107532223699</v>
      </c>
      <c r="J303" s="25" t="n">
        <f aca="false">datos_base!$K$15*parametros_recargas!$L$46+sobrestock_sustitutos!$K$188/12</f>
        <v>61.9676373014394</v>
      </c>
      <c r="K303" s="25" t="n">
        <f aca="false">datos_base!$K$15*parametros_recargas!$M$46+sobrestock_sustitutos!$K$188/12</f>
        <v>62.3265886534966</v>
      </c>
      <c r="L303" s="25" t="n">
        <f aca="false">datos_base!$K$15*parametros_recargas!$N$46+sobrestock_sustitutos!$K$188/12</f>
        <v>62.6876192533476</v>
      </c>
      <c r="M303" s="25" t="n">
        <f aca="false">datos_base!$K$15*parametros_recargas!$O$46+sobrestock_sustitutos!$K$188/12</f>
        <v>63.0507411451631</v>
      </c>
      <c r="N303" s="25" t="n">
        <f aca="false">datos_base!$K$15*parametros_recargas!$P$46+sobrestock_sustitutos!$K$188/12</f>
        <v>63.4159664428806</v>
      </c>
      <c r="O303" s="25" t="n">
        <f aca="false">datos_base!$K$15*parametros_recargas!$Q$46+sobrestock_sustitutos!$K$188/12</f>
        <v>63.7833073306081</v>
      </c>
      <c r="P303" s="7" t="n">
        <f aca="false">SUM(D303:O303)</f>
        <v>741.614643249615</v>
      </c>
      <c r="Q303" s="13" t="n">
        <f aca="false">sobrestock_sustitutos!$K$188</f>
        <v>0</v>
      </c>
    </row>
    <row r="304" customFormat="false" ht="15" hidden="false" customHeight="false" outlineLevel="0" collapsed="false">
      <c r="A304" s="12" t="str">
        <f aca="false">parametros_recargas!A65</f>
        <v>ABC 50 kg s/ruedas</v>
      </c>
      <c r="B304" s="12" t="str">
        <f aca="false">parametros_recargas!B65</f>
        <v>ABC</v>
      </c>
      <c r="C304" s="24" t="n">
        <f aca="false">parametros_recargas!C65</f>
        <v>3</v>
      </c>
      <c r="D304" s="25" t="n">
        <f aca="false">datos_base!$K$16*parametros_recargas!$F$46+sobrestock_sustitutos!$K$189/12</f>
        <v>190.518573992758</v>
      </c>
      <c r="E304" s="25" t="n">
        <f aca="false">datos_base!$K$16*parametros_recargas!$G$46+sobrestock_sustitutos!$K$189/12</f>
        <v>191.281368852126</v>
      </c>
      <c r="F304" s="25" t="n">
        <f aca="false">datos_base!$K$16*parametros_recargas!$H$46+sobrestock_sustitutos!$K$189/12</f>
        <v>192.048582247652</v>
      </c>
      <c r="G304" s="25" t="n">
        <f aca="false">datos_base!$K$16*parametros_recargas!$I$46+sobrestock_sustitutos!$K$189/12</f>
        <v>192.820239773981</v>
      </c>
      <c r="H304" s="25" t="n">
        <f aca="false">datos_base!$K$16*parametros_recargas!$J$46+sobrestock_sustitutos!$K$189/12</f>
        <v>193.596367174012</v>
      </c>
      <c r="I304" s="25" t="n">
        <f aca="false">datos_base!$K$16*parametros_recargas!$K$46+sobrestock_sustitutos!$K$189/12</f>
        <v>194.376990339764</v>
      </c>
      <c r="J304" s="25" t="n">
        <f aca="false">datos_base!$K$16*parametros_recargas!$L$46+sobrestock_sustitutos!$K$189/12</f>
        <v>195.162135313237</v>
      </c>
      <c r="K304" s="25" t="n">
        <f aca="false">datos_base!$K$16*parametros_recargas!$M$46+sobrestock_sustitutos!$K$189/12</f>
        <v>195.951828287281</v>
      </c>
      <c r="L304" s="25" t="n">
        <f aca="false">datos_base!$K$16*parametros_recargas!$N$46+sobrestock_sustitutos!$K$189/12</f>
        <v>196.746095606468</v>
      </c>
      <c r="M304" s="25" t="n">
        <f aca="false">datos_base!$K$16*parametros_recargas!$O$46+sobrestock_sustitutos!$K$189/12</f>
        <v>197.544963767974</v>
      </c>
      <c r="N304" s="25" t="n">
        <f aca="false">datos_base!$K$16*parametros_recargas!$P$46+sobrestock_sustitutos!$K$189/12</f>
        <v>198.348459422462</v>
      </c>
      <c r="O304" s="25" t="n">
        <f aca="false">datos_base!$K$16*parametros_recargas!$Q$46+sobrestock_sustitutos!$K$189/12</f>
        <v>199.156609374969</v>
      </c>
      <c r="P304" s="7" t="n">
        <f aca="false">SUM(D304:O304)</f>
        <v>2337.55221415268</v>
      </c>
      <c r="Q304" s="13" t="n">
        <f aca="false">sobrestock_sustitutos!$K$189</f>
        <v>706</v>
      </c>
    </row>
    <row r="305" customFormat="false" ht="15" hidden="false" customHeight="false" outlineLevel="0" collapsed="false">
      <c r="A305" s="12" t="str">
        <f aca="false">parametros_recargas!A66</f>
        <v>ABC 70 kg s/ruedas</v>
      </c>
      <c r="B305" s="12" t="str">
        <f aca="false">parametros_recargas!B66</f>
        <v>ABC</v>
      </c>
      <c r="C305" s="24" t="n">
        <f aca="false">parametros_recargas!C66</f>
        <v>3</v>
      </c>
      <c r="D305" s="25" t="n">
        <f aca="false">datos_base!$K$17*parametros_recargas!$F$46+sobrestock_sustitutos!$K$190/12</f>
        <v>28.7313252546292</v>
      </c>
      <c r="E305" s="25" t="n">
        <f aca="false">datos_base!$K$17*parametros_recargas!$G$46+sobrestock_sustitutos!$K$190/12</f>
        <v>28.8977532240606</v>
      </c>
      <c r="F305" s="25" t="n">
        <f aca="false">datos_base!$K$17*parametros_recargas!$H$46+sobrestock_sustitutos!$K$190/12</f>
        <v>29.0651452377457</v>
      </c>
      <c r="G305" s="25" t="n">
        <f aca="false">datos_base!$K$17*parametros_recargas!$I$46+sobrestock_sustitutos!$K$190/12</f>
        <v>29.23350687997</v>
      </c>
      <c r="H305" s="25" t="n">
        <f aca="false">datos_base!$K$17*parametros_recargas!$J$46+sobrestock_sustitutos!$K$190/12</f>
        <v>29.4028437673664</v>
      </c>
      <c r="I305" s="25" t="n">
        <f aca="false">datos_base!$K$17*parametros_recargas!$K$46+sobrestock_sustitutos!$K$190/12</f>
        <v>29.5731615491028</v>
      </c>
      <c r="J305" s="25" t="n">
        <f aca="false">datos_base!$K$17*parametros_recargas!$L$46+sobrestock_sustitutos!$K$190/12</f>
        <v>29.7444659070698</v>
      </c>
      <c r="K305" s="25" t="n">
        <f aca="false">datos_base!$K$17*parametros_recargas!$M$46+sobrestock_sustitutos!$K$190/12</f>
        <v>29.9167625560711</v>
      </c>
      <c r="L305" s="25" t="n">
        <f aca="false">datos_base!$K$17*parametros_recargas!$N$46+sobrestock_sustitutos!$K$190/12</f>
        <v>30.0900572440134</v>
      </c>
      <c r="M305" s="25" t="n">
        <f aca="false">datos_base!$K$17*parametros_recargas!$O$46+sobrestock_sustitutos!$K$190/12</f>
        <v>30.2643557520988</v>
      </c>
      <c r="N305" s="25" t="n">
        <f aca="false">datos_base!$K$17*parametros_recargas!$P$46+sobrestock_sustitutos!$K$190/12</f>
        <v>30.4396638950172</v>
      </c>
      <c r="O305" s="25" t="n">
        <f aca="false">datos_base!$K$17*parametros_recargas!$Q$46+sobrestock_sustitutos!$K$190/12</f>
        <v>30.6159875211405</v>
      </c>
      <c r="P305" s="7" t="n">
        <f aca="false">SUM(D305:O305)</f>
        <v>355.975028788286</v>
      </c>
      <c r="Q305" s="13" t="n">
        <f aca="false">sobrestock_sustitutos!$K$190</f>
        <v>0</v>
      </c>
    </row>
    <row r="306" customFormat="false" ht="15" hidden="false" customHeight="false" outlineLevel="0" collapsed="false">
      <c r="A306" s="12" t="str">
        <f aca="false">parametros_recargas!A67</f>
        <v>ABC 100 kg s/ruedas</v>
      </c>
      <c r="B306" s="12" t="str">
        <f aca="false">parametros_recargas!B67</f>
        <v>ABC</v>
      </c>
      <c r="C306" s="24" t="n">
        <f aca="false">parametros_recargas!C67</f>
        <v>3</v>
      </c>
      <c r="D306" s="25" t="n">
        <f aca="false">datos_base!$K$18*parametros_recargas!$F$46+sobrestock_sustitutos!$K$191/12</f>
        <v>33.9042167981211</v>
      </c>
      <c r="E306" s="25" t="n">
        <f aca="false">datos_base!$K$18*parametros_recargas!$G$46+sobrestock_sustitutos!$K$191/12</f>
        <v>34.0151687775202</v>
      </c>
      <c r="F306" s="25" t="n">
        <f aca="false">datos_base!$K$18*parametros_recargas!$H$46+sobrestock_sustitutos!$K$191/12</f>
        <v>34.1267634530871</v>
      </c>
      <c r="G306" s="25" t="n">
        <f aca="false">datos_base!$K$18*parametros_recargas!$I$46+sobrestock_sustitutos!$K$191/12</f>
        <v>34.2390045476788</v>
      </c>
      <c r="H306" s="25" t="n">
        <f aca="false">datos_base!$K$18*parametros_recargas!$J$46+sobrestock_sustitutos!$K$191/12</f>
        <v>34.3518958057174</v>
      </c>
      <c r="I306" s="25" t="n">
        <f aca="false">datos_base!$K$18*parametros_recargas!$K$46+sobrestock_sustitutos!$K$191/12</f>
        <v>34.4654409933146</v>
      </c>
      <c r="J306" s="25" t="n">
        <f aca="false">datos_base!$K$18*parametros_recargas!$L$46+sobrestock_sustitutos!$K$191/12</f>
        <v>34.5796438983977</v>
      </c>
      <c r="K306" s="25" t="n">
        <f aca="false">datos_base!$K$18*parametros_recargas!$M$46+sobrestock_sustitutos!$K$191/12</f>
        <v>34.6945083308355</v>
      </c>
      <c r="L306" s="25" t="n">
        <f aca="false">datos_base!$K$18*parametros_recargas!$N$46+sobrestock_sustitutos!$K$191/12</f>
        <v>34.810038122566</v>
      </c>
      <c r="M306" s="25" t="n">
        <f aca="false">datos_base!$K$18*parametros_recargas!$O$46+sobrestock_sustitutos!$K$191/12</f>
        <v>34.926237127724</v>
      </c>
      <c r="N306" s="25" t="n">
        <f aca="false">datos_base!$K$18*parametros_recargas!$P$46+sobrestock_sustitutos!$K$191/12</f>
        <v>35.0431092227692</v>
      </c>
      <c r="O306" s="25" t="n">
        <f aca="false">datos_base!$K$18*parametros_recargas!$Q$46+sobrestock_sustitutos!$K$191/12</f>
        <v>35.1606583066164</v>
      </c>
      <c r="P306" s="7" t="n">
        <f aca="false">SUM(D306:O306)</f>
        <v>414.316685384348</v>
      </c>
      <c r="Q306" s="13" t="n">
        <f aca="false">sobrestock_sustitutos!$K$191</f>
        <v>177</v>
      </c>
    </row>
    <row r="307" customFormat="false" ht="15" hidden="false" customHeight="false" outlineLevel="0" collapsed="false">
      <c r="A307" s="6" t="s">
        <v>273</v>
      </c>
      <c r="D307" s="7" t="n">
        <f aca="false">SUM(D290:D306)</f>
        <v>24339.2848030715</v>
      </c>
      <c r="E307" s="7" t="n">
        <f aca="false">SUM(E290:E306)</f>
        <v>24463.0440472271</v>
      </c>
      <c r="F307" s="7" t="n">
        <f aca="false">SUM(F290:F306)</f>
        <v>24587.5201744197</v>
      </c>
      <c r="G307" s="7" t="n">
        <f aca="false">SUM(G290:G306)</f>
        <v>24712.7173372383</v>
      </c>
      <c r="H307" s="7" t="n">
        <f aca="false">SUM(H290:H306)</f>
        <v>24838.6397123261</v>
      </c>
      <c r="I307" s="7" t="n">
        <f aca="false">SUM(I290:I306)</f>
        <v>24965.2915005199</v>
      </c>
      <c r="J307" s="7" t="n">
        <f aca="false">SUM(J290:J306)</f>
        <v>25092.6769269899</v>
      </c>
      <c r="K307" s="7" t="n">
        <f aca="false">SUM(K290:K306)</f>
        <v>25220.8002413811</v>
      </c>
      <c r="L307" s="7" t="n">
        <f aca="false">SUM(L290:L306)</f>
        <v>25349.6657179545</v>
      </c>
      <c r="M307" s="7" t="n">
        <f aca="false">SUM(M290:M306)</f>
        <v>25479.2776557303</v>
      </c>
      <c r="N307" s="7" t="n">
        <f aca="false">SUM(N290:N306)</f>
        <v>25609.6403786309</v>
      </c>
      <c r="O307" s="7" t="n">
        <f aca="false">SUM(O290:O306)</f>
        <v>25740.7582356254</v>
      </c>
      <c r="P307" s="7" t="n">
        <f aca="false">SUM(P290:P306)</f>
        <v>300399.316731115</v>
      </c>
    </row>
    <row r="308" customFormat="false" ht="15" hidden="false" customHeight="false" outlineLevel="0" collapsed="false">
      <c r="A308" s="6" t="s">
        <v>274</v>
      </c>
    </row>
    <row r="309" customFormat="false" ht="15" hidden="false" customHeight="false" outlineLevel="0" collapsed="false">
      <c r="A309" s="4" t="s">
        <v>143</v>
      </c>
      <c r="D309" s="25" t="n">
        <f aca="false">SUMPRODUCT(($B$290:$B$306=$A309)*D$290:D$306*$C$290:$C$306)</f>
        <v>21513.2102217647</v>
      </c>
      <c r="E309" s="25" t="n">
        <f aca="false">SUMPRODUCT(($B$290:$B$306=$A309)*E$290:E$306*$C$290:$C$306)</f>
        <v>21623.8517783145</v>
      </c>
      <c r="F309" s="25" t="n">
        <f aca="false">SUMPRODUCT(($B$290:$B$306=$A309)*F$290:F$306*$C$290:$C$306)</f>
        <v>21735.1342328886</v>
      </c>
      <c r="G309" s="25" t="n">
        <f aca="false">SUMPRODUCT(($B$290:$B$306=$A309)*G$290:G$306*$C$290:$C$306)</f>
        <v>21847.0612979282</v>
      </c>
      <c r="H309" s="25" t="n">
        <f aca="false">SUMPRODUCT(($B$290:$B$306=$A309)*H$290:H$306*$C$290:$C$306)</f>
        <v>21959.6367073792</v>
      </c>
      <c r="I309" s="25" t="n">
        <f aca="false">SUMPRODUCT(($B$290:$B$306=$A309)*I$290:I$306*$C$290:$C$306)</f>
        <v>22072.8642168164</v>
      </c>
      <c r="J309" s="25" t="n">
        <f aca="false">SUMPRODUCT(($B$290:$B$306=$A309)*J$290:J$306*$C$290:$C$306)</f>
        <v>22186.7476035691</v>
      </c>
      <c r="K309" s="25" t="n">
        <f aca="false">SUMPRODUCT(($B$290:$B$306=$A309)*K$290:K$306*$C$290:$C$306)</f>
        <v>22301.290666847</v>
      </c>
      <c r="L309" s="25" t="n">
        <f aca="false">SUMPRODUCT(($B$290:$B$306=$A309)*L$290:L$306*$C$290:$C$306)</f>
        <v>22416.497227867</v>
      </c>
      <c r="M309" s="25" t="n">
        <f aca="false">SUMPRODUCT(($B$290:$B$306=$A309)*M$290:M$306*$C$290:$C$306)</f>
        <v>22532.3711299806</v>
      </c>
      <c r="N309" s="25" t="n">
        <f aca="false">SUMPRODUCT(($B$290:$B$306=$A309)*N$290:N$306*$C$290:$C$306)</f>
        <v>22648.9162388022</v>
      </c>
      <c r="O309" s="25" t="n">
        <f aca="false">SUMPRODUCT(($B$290:$B$306=$A309)*O$290:O$306*$C$290:$C$306)</f>
        <v>22766.1364423379</v>
      </c>
      <c r="P309" s="25" t="n">
        <f aca="false">SUMPRODUCT(($B$290:$B$306=$A309)*P$290:P$306*$C$290:$C$306)</f>
        <v>265603.717764495</v>
      </c>
    </row>
    <row r="310" customFormat="false" ht="15" hidden="false" customHeight="false" outlineLevel="0" collapsed="false">
      <c r="A310" s="4" t="s">
        <v>149</v>
      </c>
      <c r="D310" s="25" t="n">
        <f aca="false">SUMPRODUCT(($B$290:$B$306=$A310)*D$290:D$306*$C$290:$C$306)</f>
        <v>36.274716328488</v>
      </c>
      <c r="E310" s="25" t="n">
        <f aca="false">SUMPRODUCT(($B$290:$B$306=$A310)*E$290:E$306*$C$290:$C$306)</f>
        <v>36.4356030818528</v>
      </c>
      <c r="F310" s="25" t="n">
        <f aca="false">SUMPRODUCT(($B$290:$B$306=$A310)*F$290:F$306*$C$290:$C$306)</f>
        <v>36.5974217816362</v>
      </c>
      <c r="G310" s="25" t="n">
        <f aca="false">SUMPRODUCT(($B$290:$B$306=$A310)*G$290:G$306*$C$290:$C$306)</f>
        <v>36.7601778261951</v>
      </c>
      <c r="H310" s="25" t="n">
        <f aca="false">SUMPRODUCT(($B$290:$B$306=$A310)*H$290:H$306*$C$290:$C$306)</f>
        <v>36.9238766451567</v>
      </c>
      <c r="I310" s="25" t="n">
        <f aca="false">SUMPRODUCT(($B$290:$B$306=$A310)*I$290:I$306*$C$290:$C$306)</f>
        <v>37.0885236995999</v>
      </c>
      <c r="J310" s="25" t="n">
        <f aca="false">SUMPRODUCT(($B$290:$B$306=$A310)*J$290:J$306*$C$290:$C$306)</f>
        <v>37.254124482237</v>
      </c>
      <c r="K310" s="25" t="n">
        <f aca="false">SUMPRODUCT(($B$290:$B$306=$A310)*K$290:K$306*$C$290:$C$306)</f>
        <v>37.4206845175973</v>
      </c>
      <c r="L310" s="25" t="n">
        <f aca="false">SUMPRODUCT(($B$290:$B$306=$A310)*L$290:L$306*$C$290:$C$306)</f>
        <v>37.5882093622112</v>
      </c>
      <c r="M310" s="25" t="n">
        <f aca="false">SUMPRODUCT(($B$290:$B$306=$A310)*M$290:M$306*$C$290:$C$306)</f>
        <v>37.7567046047956</v>
      </c>
      <c r="N310" s="25" t="n">
        <f aca="false">SUMPRODUCT(($B$290:$B$306=$A310)*N$290:N$306*$C$290:$C$306)</f>
        <v>37.9261758664406</v>
      </c>
      <c r="O310" s="25" t="n">
        <f aca="false">SUMPRODUCT(($B$290:$B$306=$A310)*O$290:O$306*$C$290:$C$306)</f>
        <v>38.0966288007965</v>
      </c>
      <c r="P310" s="25" t="n">
        <f aca="false">SUMPRODUCT(($B$290:$B$306=$A310)*P$290:P$306*$C$290:$C$306)</f>
        <v>446.122846997007</v>
      </c>
    </row>
    <row r="311" customFormat="false" ht="15" hidden="false" customHeight="false" outlineLevel="0" collapsed="false">
      <c r="A311" s="4" t="s">
        <v>155</v>
      </c>
      <c r="D311" s="25" t="n">
        <f aca="false">SUMPRODUCT(($B$290:$B$306=$A311)*D$290:D$306*$C$290:$C$306)</f>
        <v>32.7532710525233</v>
      </c>
      <c r="E311" s="25" t="n">
        <f aca="false">SUMPRODUCT(($B$290:$B$306=$A311)*E$290:E$306*$C$290:$C$306)</f>
        <v>32.8985867520557</v>
      </c>
      <c r="F311" s="25" t="n">
        <f aca="false">SUMPRODUCT(($B$290:$B$306=$A311)*F$290:F$306*$C$290:$C$306)</f>
        <v>33.0447442017192</v>
      </c>
      <c r="G311" s="25" t="n">
        <f aca="false">SUMPRODUCT(($B$290:$B$306=$A311)*G$290:G$306*$C$290:$C$306)</f>
        <v>33.1917482774032</v>
      </c>
      <c r="H311" s="25" t="n">
        <f aca="false">SUMPRODUCT(($B$290:$B$306=$A311)*H$290:H$306*$C$290:$C$306)</f>
        <v>33.3396038832411</v>
      </c>
      <c r="I311" s="25" t="n">
        <f aca="false">SUMPRODUCT(($B$290:$B$306=$A311)*I$290:I$306*$C$290:$C$306)</f>
        <v>33.4883159517736</v>
      </c>
      <c r="J311" s="25" t="n">
        <f aca="false">SUMPRODUCT(($B$290:$B$306=$A311)*J$290:J$306*$C$290:$C$306)</f>
        <v>33.6378894441137</v>
      </c>
      <c r="K311" s="25" t="n">
        <f aca="false">SUMPRODUCT(($B$290:$B$306=$A311)*K$290:K$306*$C$290:$C$306)</f>
        <v>33.7883293501116</v>
      </c>
      <c r="L311" s="25" t="n">
        <f aca="false">SUMPRODUCT(($B$290:$B$306=$A311)*L$290:L$306*$C$290:$C$306)</f>
        <v>33.9396406885219</v>
      </c>
      <c r="M311" s="25" t="n">
        <f aca="false">SUMPRODUCT(($B$290:$B$306=$A311)*M$290:M$306*$C$290:$C$306)</f>
        <v>34.0918285071705</v>
      </c>
      <c r="N311" s="25" t="n">
        <f aca="false">SUMPRODUCT(($B$290:$B$306=$A311)*N$290:N$306*$C$290:$C$306)</f>
        <v>34.2448978831229</v>
      </c>
      <c r="O311" s="25" t="n">
        <f aca="false">SUMPRODUCT(($B$290:$B$306=$A311)*O$290:O$306*$C$290:$C$306)</f>
        <v>34.3988539228542</v>
      </c>
      <c r="P311" s="25" t="n">
        <f aca="false">SUMPRODUCT(($B$290:$B$306=$A311)*P$290:P$306*$C$290:$C$306)</f>
        <v>402.817709914611</v>
      </c>
    </row>
    <row r="312" customFormat="false" ht="15" hidden="false" customHeight="false" outlineLevel="0" collapsed="false">
      <c r="A312" s="4" t="s">
        <v>146</v>
      </c>
      <c r="D312" s="25" t="n">
        <f aca="false">SUMPRODUCT(($B$290:$B$306=$A312)*D$290:D$306*$C$290:$C$306)</f>
        <v>610.562258565547</v>
      </c>
      <c r="E312" s="25" t="n">
        <f aca="false">SUMPRODUCT(($B$290:$B$306=$A312)*E$290:E$306*$C$290:$C$306)</f>
        <v>613.374425112412</v>
      </c>
      <c r="F312" s="25" t="n">
        <f aca="false">SUMPRODUCT(($B$290:$B$306=$A312)*F$290:F$306*$C$290:$C$306)</f>
        <v>616.202881307039</v>
      </c>
      <c r="G312" s="25" t="n">
        <f aca="false">SUMPRODUCT(($B$290:$B$306=$A312)*G$290:G$306*$C$290:$C$306)</f>
        <v>619.047721508212</v>
      </c>
      <c r="H312" s="25" t="n">
        <f aca="false">SUMPRODUCT(($B$290:$B$306=$A312)*H$290:H$306*$C$290:$C$306)</f>
        <v>621.9090406213</v>
      </c>
      <c r="I312" s="25" t="n">
        <f aca="false">SUMPRODUCT(($B$290:$B$306=$A312)*I$290:I$306*$C$290:$C$306)</f>
        <v>624.786934101413</v>
      </c>
      <c r="J312" s="25" t="n">
        <f aca="false">SUMPRODUCT(($B$290:$B$306=$A312)*J$290:J$306*$C$290:$C$306)</f>
        <v>627.681497956592</v>
      </c>
      <c r="K312" s="25" t="n">
        <f aca="false">SUMPRODUCT(($B$290:$B$306=$A312)*K$290:K$306*$C$290:$C$306)</f>
        <v>630.59282875101</v>
      </c>
      <c r="L312" s="25" t="n">
        <f aca="false">SUMPRODUCT(($B$290:$B$306=$A312)*L$290:L$306*$C$290:$C$306)</f>
        <v>633.521023608194</v>
      </c>
      <c r="M312" s="25" t="n">
        <f aca="false">SUMPRODUCT(($B$290:$B$306=$A312)*M$290:M$306*$C$290:$C$306)</f>
        <v>636.466180214266</v>
      </c>
      <c r="N312" s="25" t="n">
        <f aca="false">SUMPRODUCT(($B$290:$B$306=$A312)*N$290:N$306*$C$290:$C$306)</f>
        <v>639.4283968212</v>
      </c>
      <c r="O312" s="25" t="n">
        <f aca="false">SUMPRODUCT(($B$290:$B$306=$A312)*O$290:O$306*$C$290:$C$306)</f>
        <v>642.407772250101</v>
      </c>
      <c r="P312" s="25" t="n">
        <f aca="false">SUMPRODUCT(($B$290:$B$306=$A312)*P$290:P$306*$C$290:$C$306)</f>
        <v>7515.98096081729</v>
      </c>
    </row>
    <row r="313" customFormat="false" ht="15" hidden="false" customHeight="false" outlineLevel="0" collapsed="false">
      <c r="A313" s="4" t="s">
        <v>147</v>
      </c>
      <c r="D313" s="25" t="n">
        <f aca="false">SUMPRODUCT(($B$290:$B$306=$A313)*D$290:D$306*$C$290:$C$306)</f>
        <v>296.893651818033</v>
      </c>
      <c r="E313" s="25" t="n">
        <f aca="false">SUMPRODUCT(($B$290:$B$306=$A313)*E$290:E$306*$C$290:$C$306)</f>
        <v>298.262493878487</v>
      </c>
      <c r="F313" s="25" t="n">
        <f aca="false">SUMPRODUCT(($B$290:$B$306=$A313)*F$290:F$306*$C$290:$C$306)</f>
        <v>299.639265040803</v>
      </c>
      <c r="G313" s="25" t="n">
        <f aca="false">SUMPRODUCT(($B$290:$B$306=$A313)*G$290:G$306*$C$290:$C$306)</f>
        <v>301.024011234793</v>
      </c>
      <c r="H313" s="25" t="n">
        <f aca="false">SUMPRODUCT(($B$290:$B$306=$A313)*H$290:H$306*$C$290:$C$306)</f>
        <v>302.416778656317</v>
      </c>
      <c r="I313" s="25" t="n">
        <f aca="false">SUMPRODUCT(($B$290:$B$306=$A313)*I$290:I$306*$C$290:$C$306)</f>
        <v>303.817613768831</v>
      </c>
      <c r="J313" s="25" t="n">
        <f aca="false">SUMPRODUCT(($B$290:$B$306=$A313)*J$290:J$306*$C$290:$C$306)</f>
        <v>305.226563304929</v>
      </c>
      <c r="K313" s="25" t="n">
        <f aca="false">SUMPRODUCT(($B$290:$B$306=$A313)*K$290:K$306*$C$290:$C$306)</f>
        <v>306.643674267911</v>
      </c>
      <c r="L313" s="25" t="n">
        <f aca="false">SUMPRODUCT(($B$290:$B$306=$A313)*L$290:L$306*$C$290:$C$306)</f>
        <v>308.068993933344</v>
      </c>
      <c r="M313" s="25" t="n">
        <f aca="false">SUMPRODUCT(($B$290:$B$306=$A313)*M$290:M$306*$C$290:$C$306)</f>
        <v>309.502569850641</v>
      </c>
      <c r="N313" s="25" t="n">
        <f aca="false">SUMPRODUCT(($B$290:$B$306=$A313)*N$290:N$306*$C$290:$C$306)</f>
        <v>310.94444984465</v>
      </c>
      <c r="O313" s="25" t="n">
        <f aca="false">SUMPRODUCT(($B$290:$B$306=$A313)*O$290:O$306*$C$290:$C$306)</f>
        <v>312.394682017245</v>
      </c>
      <c r="P313" s="25" t="n">
        <f aca="false">SUMPRODUCT(($B$290:$B$306=$A313)*P$290:P$306*$C$290:$C$306)</f>
        <v>3654.83474761598</v>
      </c>
    </row>
    <row r="314" customFormat="false" ht="15" hidden="false" customHeight="false" outlineLevel="0" collapsed="false">
      <c r="A314" s="4" t="s">
        <v>150</v>
      </c>
      <c r="D314" s="25" t="n">
        <f aca="false">SUMPRODUCT(($B$290:$B$306=$A314)*D$290:D$306*$C$290:$C$306)</f>
        <v>301.082934346563</v>
      </c>
      <c r="E314" s="25" t="n">
        <f aca="false">SUMPRODUCT(($B$290:$B$306=$A314)*E$290:E$306*$C$290:$C$306)</f>
        <v>302.469767808845</v>
      </c>
      <c r="F314" s="25" t="n">
        <f aca="false">SUMPRODUCT(($B$290:$B$306=$A314)*F$290:F$306*$C$290:$C$306)</f>
        <v>303.864634589292</v>
      </c>
      <c r="G314" s="25" t="n">
        <f aca="false">SUMPRODUCT(($B$290:$B$306=$A314)*G$290:G$306*$C$290:$C$306)</f>
        <v>305.267581221393</v>
      </c>
      <c r="H314" s="25" t="n">
        <f aca="false">SUMPRODUCT(($B$290:$B$306=$A314)*H$290:H$306*$C$290:$C$306)</f>
        <v>306.678654508187</v>
      </c>
      <c r="I314" s="25" t="n">
        <f aca="false">SUMPRODUCT(($B$290:$B$306=$A314)*I$290:I$306*$C$290:$C$306)</f>
        <v>308.097901523821</v>
      </c>
      <c r="J314" s="25" t="n">
        <f aca="false">SUMPRODUCT(($B$290:$B$306=$A314)*J$290:J$306*$C$290:$C$306)</f>
        <v>309.525369615122</v>
      </c>
      <c r="K314" s="25" t="n">
        <f aca="false">SUMPRODUCT(($B$290:$B$306=$A314)*K$290:K$306*$C$290:$C$306)</f>
        <v>310.961106403176</v>
      </c>
      <c r="L314" s="25" t="n">
        <f aca="false">SUMPRODUCT(($B$290:$B$306=$A314)*L$290:L$306*$C$290:$C$306)</f>
        <v>312.405159784919</v>
      </c>
      <c r="M314" s="25" t="n">
        <f aca="false">SUMPRODUCT(($B$290:$B$306=$A314)*M$290:M$306*$C$290:$C$306)</f>
        <v>313.857577934731</v>
      </c>
      <c r="N314" s="25" t="n">
        <f aca="false">SUMPRODUCT(($B$290:$B$306=$A314)*N$290:N$306*$C$290:$C$306)</f>
        <v>315.318409306047</v>
      </c>
      <c r="O314" s="25" t="n">
        <f aca="false">SUMPRODUCT(($B$290:$B$306=$A314)*O$290:O$306*$C$290:$C$306)</f>
        <v>316.787702632968</v>
      </c>
      <c r="P314" s="25" t="n">
        <f aca="false">SUMPRODUCT(($B$290:$B$306=$A314)*P$290:P$306*$C$290:$C$306)</f>
        <v>3706.31679967506</v>
      </c>
    </row>
    <row r="315" customFormat="false" ht="15" hidden="false" customHeight="false" outlineLevel="0" collapsed="false">
      <c r="A315" s="4" t="s">
        <v>151</v>
      </c>
      <c r="D315" s="25" t="n">
        <f aca="false">SUMPRODUCT(($B$290:$B$306=$A315)*D$290:D$306*$C$290:$C$306)</f>
        <v>2203.5525631072</v>
      </c>
      <c r="E315" s="25" t="n">
        <f aca="false">SUMPRODUCT(($B$290:$B$306=$A315)*E$290:E$306*$C$290:$C$306)</f>
        <v>2213.70336624003</v>
      </c>
      <c r="F315" s="25" t="n">
        <f aca="false">SUMPRODUCT(($B$290:$B$306=$A315)*F$290:F$306*$C$290:$C$306)</f>
        <v>2223.9129685246</v>
      </c>
      <c r="G315" s="25" t="n">
        <f aca="false">SUMPRODUCT(($B$290:$B$306=$A315)*G$290:G$306*$C$290:$C$306)</f>
        <v>2234.18171055862</v>
      </c>
      <c r="H315" s="25" t="n">
        <f aca="false">SUMPRODUCT(($B$290:$B$306=$A315)*H$290:H$306*$C$290:$C$306)</f>
        <v>2244.50993491273</v>
      </c>
      <c r="I315" s="25" t="n">
        <f aca="false">SUMPRODUCT(($B$290:$B$306=$A315)*I$290:I$306*$C$290:$C$306)</f>
        <v>2254.89798614193</v>
      </c>
      <c r="J315" s="25" t="n">
        <f aca="false">SUMPRODUCT(($B$290:$B$306=$A315)*J$290:J$306*$C$290:$C$306)</f>
        <v>2265.34621079707</v>
      </c>
      <c r="K315" s="25" t="n">
        <f aca="false">SUMPRODUCT(($B$290:$B$306=$A315)*K$290:K$306*$C$290:$C$306)</f>
        <v>2275.85495743642</v>
      </c>
      <c r="L315" s="25" t="n">
        <f aca="false">SUMPRODUCT(($B$290:$B$306=$A315)*L$290:L$306*$C$290:$C$306)</f>
        <v>2286.42457663731</v>
      </c>
      <c r="M315" s="25" t="n">
        <f aca="false">SUMPRODUCT(($B$290:$B$306=$A315)*M$290:M$306*$C$290:$C$306)</f>
        <v>2297.05542100779</v>
      </c>
      <c r="N315" s="25" t="n">
        <f aca="false">SUMPRODUCT(($B$290:$B$306=$A315)*N$290:N$306*$C$290:$C$306)</f>
        <v>2307.74784519841</v>
      </c>
      <c r="O315" s="25" t="n">
        <f aca="false">SUMPRODUCT(($B$290:$B$306=$A315)*O$290:O$306*$C$290:$C$306)</f>
        <v>2318.50220591409</v>
      </c>
      <c r="P315" s="25" t="n">
        <f aca="false">SUMPRODUCT(($B$290:$B$306=$A315)*P$290:P$306*$C$290:$C$306)</f>
        <v>27125.6897464762</v>
      </c>
    </row>
    <row r="316" customFormat="false" ht="15" hidden="false" customHeight="false" outlineLevel="0" collapsed="false">
      <c r="A316" s="4" t="s">
        <v>154</v>
      </c>
      <c r="D316" s="25" t="n">
        <f aca="false">SUMPRODUCT(($B$290:$B$306=$A316)*D$290:D$306*$C$290:$C$306)</f>
        <v>91.7366208488951</v>
      </c>
      <c r="E316" s="25" t="n">
        <f aca="false">SUMPRODUCT(($B$290:$B$306=$A316)*E$290:E$306*$C$290:$C$306)</f>
        <v>92.1598830546313</v>
      </c>
      <c r="F316" s="25" t="n">
        <f aca="false">SUMPRODUCT(($B$290:$B$306=$A316)*F$290:F$306*$C$290:$C$306)</f>
        <v>92.5855970327384</v>
      </c>
      <c r="G316" s="25" t="n">
        <f aca="false">SUMPRODUCT(($B$290:$B$306=$A316)*G$290:G$306*$C$290:$C$306)</f>
        <v>93.0137769852587</v>
      </c>
      <c r="H316" s="25" t="n">
        <f aca="false">SUMPRODUCT(($B$290:$B$306=$A316)*H$290:H$306*$C$290:$C$306)</f>
        <v>93.4444371965007</v>
      </c>
      <c r="I316" s="25" t="n">
        <f aca="false">SUMPRODUCT(($B$290:$B$306=$A316)*I$290:I$306*$C$290:$C$306)</f>
        <v>93.8775920335158</v>
      </c>
      <c r="J316" s="25" t="n">
        <f aca="false">SUMPRODUCT(($B$290:$B$306=$A316)*J$290:J$306*$C$290:$C$306)</f>
        <v>94.313255946577</v>
      </c>
      <c r="K316" s="25" t="n">
        <f aca="false">SUMPRODUCT(($B$290:$B$306=$A316)*K$290:K$306*$C$290:$C$306)</f>
        <v>94.7514434696619</v>
      </c>
      <c r="L316" s="25" t="n">
        <f aca="false">SUMPRODUCT(($B$290:$B$306=$A316)*L$290:L$306*$C$290:$C$306)</f>
        <v>95.1921692209368</v>
      </c>
      <c r="M316" s="25" t="n">
        <f aca="false">SUMPRODUCT(($B$290:$B$306=$A316)*M$290:M$306*$C$290:$C$306)</f>
        <v>95.6354479032447</v>
      </c>
      <c r="N316" s="25" t="n">
        <f aca="false">SUMPRODUCT(($B$290:$B$306=$A316)*N$290:N$306*$C$290:$C$306)</f>
        <v>96.0812943045956</v>
      </c>
      <c r="O316" s="25" t="n">
        <f aca="false">SUMPRODUCT(($B$290:$B$306=$A316)*O$290:O$306*$C$290:$C$306)</f>
        <v>96.5297232986602</v>
      </c>
      <c r="P316" s="25" t="n">
        <f aca="false">SUMPRODUCT(($B$290:$B$306=$A316)*P$290:P$306*$C$290:$C$306)</f>
        <v>1129.32124129522</v>
      </c>
    </row>
    <row r="317" customFormat="false" ht="15" hidden="false" customHeight="false" outlineLevel="0" collapsed="false">
      <c r="A317" s="6" t="s">
        <v>275</v>
      </c>
      <c r="D317" s="26" t="n">
        <f aca="false">SUMPRODUCT(D$290:D$306*parametros_recargas!$D$51:$D$67)</f>
        <v>1270.90088621972</v>
      </c>
      <c r="E317" s="26" t="n">
        <f aca="false">SUMPRODUCT(E$290:E$306*parametros_recargas!$D$51:$D$67)</f>
        <v>1275.15156954803</v>
      </c>
      <c r="F317" s="26" t="n">
        <f aca="false">SUMPRODUCT(F$290:F$306*parametros_recargas!$D$51:$D$67)</f>
        <v>1279.42687522107</v>
      </c>
      <c r="G317" s="26" t="n">
        <f aca="false">SUMPRODUCT(G$290:G$306*parametros_recargas!$D$51:$D$67)</f>
        <v>1283.72694586529</v>
      </c>
      <c r="H317" s="26" t="n">
        <f aca="false">SUMPRODUCT(H$290:H$306*parametros_recargas!$D$51:$D$67)</f>
        <v>1288.0519249333</v>
      </c>
      <c r="I317" s="26" t="n">
        <f aca="false">SUMPRODUCT(I$290:I$306*parametros_recargas!$D$51:$D$67)</f>
        <v>1292.4019567087</v>
      </c>
      <c r="J317" s="26" t="n">
        <f aca="false">SUMPRODUCT(J$290:J$306*parametros_recargas!$D$51:$D$67)</f>
        <v>1296.77718631082</v>
      </c>
      <c r="K317" s="26" t="n">
        <f aca="false">SUMPRODUCT(K$290:K$306*parametros_recargas!$D$51:$D$67)</f>
        <v>1301.17775969962</v>
      </c>
      <c r="L317" s="26" t="n">
        <f aca="false">SUMPRODUCT(L$290:L$306*parametros_recargas!$D$51:$D$67)</f>
        <v>1305.60382368056</v>
      </c>
      <c r="M317" s="26" t="n">
        <f aca="false">SUMPRODUCT(M$290:M$306*parametros_recargas!$D$51:$D$67)</f>
        <v>1310.05552590945</v>
      </c>
      <c r="N317" s="26" t="n">
        <f aca="false">SUMPRODUCT(N$290:N$306*parametros_recargas!$D$51:$D$67)</f>
        <v>1314.53301489742</v>
      </c>
      <c r="O317" s="26" t="n">
        <f aca="false">SUMPRODUCT(O$290:O$306*parametros_recargas!$D$51:$D$67)</f>
        <v>1319.03644001586</v>
      </c>
      <c r="P317" s="26" t="n">
        <f aca="false">SUMPRODUCT(P$290:P$306*parametros_recargas!$D$51:$D$67)</f>
        <v>15536.8439090098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3" min="2" style="0" width="9"/>
    <col collapsed="false" customWidth="true" hidden="false" outlineLevel="0" max="14" min="14" style="0" width="11"/>
    <col collapsed="false" customWidth="true" hidden="false" outlineLevel="0" max="15" min="15" style="0" width="13"/>
    <col collapsed="false" customWidth="true" hidden="false" outlineLevel="0" max="16" min="16" style="0" width="12"/>
  </cols>
  <sheetData>
    <row r="1" customFormat="false" ht="23.85" hidden="false" customHeight="false" outlineLevel="0" collapsed="false">
      <c r="A1" s="3" t="s">
        <v>276</v>
      </c>
      <c r="B1" s="3" t="s">
        <v>124</v>
      </c>
      <c r="C1" s="3" t="s">
        <v>125</v>
      </c>
      <c r="D1" s="3" t="s">
        <v>126</v>
      </c>
      <c r="E1" s="3" t="s">
        <v>127</v>
      </c>
      <c r="F1" s="3" t="s">
        <v>128</v>
      </c>
      <c r="G1" s="3" t="s">
        <v>129</v>
      </c>
      <c r="H1" s="3" t="s">
        <v>130</v>
      </c>
      <c r="I1" s="3" t="s">
        <v>131</v>
      </c>
      <c r="J1" s="3" t="s">
        <v>132</v>
      </c>
      <c r="K1" s="3" t="s">
        <v>133</v>
      </c>
      <c r="L1" s="3" t="s">
        <v>134</v>
      </c>
      <c r="M1" s="3" t="s">
        <v>135</v>
      </c>
      <c r="N1" s="3" t="s">
        <v>277</v>
      </c>
      <c r="O1" s="3" t="s">
        <v>278</v>
      </c>
      <c r="P1" s="3" t="s">
        <v>279</v>
      </c>
    </row>
    <row r="2" customFormat="false" ht="15" hidden="false" customHeight="false" outlineLevel="0" collapsed="false">
      <c r="A2" s="12" t="str">
        <f aca="false">parametros_recargas!$B$72</f>
        <v>Recepción y registro</v>
      </c>
      <c r="B2" s="25" t="n">
        <f aca="false">parametros_recargas!$E$72*'Plan mensual'!D21+parametros_recargas!$F$72*'Plan mensual'!D22+parametros_recargas!$G$72*'Plan mensual'!D23+parametros_recargas!$H$72*'Plan mensual'!D24+parametros_recargas!$I$72*'Plan mensual'!D25+parametros_recargas!$J$72*'Plan mensual'!D26+parametros_recargas!$K$72*'Plan mensual'!D27+parametros_recargas!$L$72*'Plan mensual'!D28</f>
        <v>190.171804724951</v>
      </c>
      <c r="C2" s="25" t="n">
        <f aca="false">parametros_recargas!$E$72*'Plan mensual'!E21+parametros_recargas!$F$72*'Plan mensual'!E22+parametros_recargas!$G$72*'Plan mensual'!E23+parametros_recargas!$H$72*'Plan mensual'!E24+parametros_recargas!$I$72*'Plan mensual'!E25+parametros_recargas!$J$72*'Plan mensual'!E26+parametros_recargas!$K$72*'Plan mensual'!E27+parametros_recargas!$L$72*'Plan mensual'!E28</f>
        <v>215.524349339857</v>
      </c>
      <c r="D2" s="25" t="n">
        <f aca="false">parametros_recargas!$E$72*'Plan mensual'!F21+parametros_recargas!$F$72*'Plan mensual'!F22+parametros_recargas!$G$72*'Plan mensual'!F23+parametros_recargas!$H$72*'Plan mensual'!F24+parametros_recargas!$I$72*'Plan mensual'!F25+parametros_recargas!$J$72*'Plan mensual'!F26+parametros_recargas!$K$72*'Plan mensual'!F27+parametros_recargas!$L$72*'Plan mensual'!F28</f>
        <v>244.256740506572</v>
      </c>
      <c r="E2" s="25" t="n">
        <f aca="false">parametros_recargas!$E$72*'Plan mensual'!G21+parametros_recargas!$F$72*'Plan mensual'!G22+parametros_recargas!$G$72*'Plan mensual'!G23+parametros_recargas!$H$72*'Plan mensual'!G24+parametros_recargas!$I$72*'Plan mensual'!G25+parametros_recargas!$J$72*'Plan mensual'!G26+parametros_recargas!$K$72*'Plan mensual'!G27+parametros_recargas!$L$72*'Plan mensual'!G28</f>
        <v>276.819558744222</v>
      </c>
      <c r="F2" s="25" t="n">
        <f aca="false">parametros_recargas!$E$72*'Plan mensual'!H21+parametros_recargas!$F$72*'Plan mensual'!H22+parametros_recargas!$G$72*'Plan mensual'!H23+parametros_recargas!$H$72*'Plan mensual'!H24+parametros_recargas!$I$72*'Plan mensual'!H25+parametros_recargas!$J$72*'Plan mensual'!H26+parametros_recargas!$K$72*'Plan mensual'!H27+parametros_recargas!$L$72*'Plan mensual'!H28</f>
        <v>313.72345321739</v>
      </c>
      <c r="G2" s="25" t="n">
        <f aca="false">parametros_recargas!$E$72*'Plan mensual'!I21+parametros_recargas!$F$72*'Plan mensual'!I22+parametros_recargas!$G$72*'Plan mensual'!I23+parametros_recargas!$H$72*'Plan mensual'!I24+parametros_recargas!$I$72*'Plan mensual'!I25+parametros_recargas!$J$72*'Plan mensual'!I26+parametros_recargas!$K$72*'Plan mensual'!I27+parametros_recargas!$L$72*'Plan mensual'!I28</f>
        <v>355.547149721401</v>
      </c>
      <c r="H2" s="25" t="n">
        <f aca="false">parametros_recargas!$E$72*'Plan mensual'!J21+parametros_recargas!$F$72*'Plan mensual'!J22+parametros_recargas!$G$72*'Plan mensual'!J23+parametros_recargas!$H$72*'Plan mensual'!J24+parametros_recargas!$I$72*'Plan mensual'!J25+parametros_recargas!$J$72*'Plan mensual'!J26+parametros_recargas!$K$72*'Plan mensual'!J27+parametros_recargas!$L$72*'Plan mensual'!J28</f>
        <v>402.94652624334</v>
      </c>
      <c r="I2" s="25" t="n">
        <f aca="false">parametros_recargas!$E$72*'Plan mensual'!K21+parametros_recargas!$F$72*'Plan mensual'!K22+parametros_recargas!$G$72*'Plan mensual'!K23+parametros_recargas!$H$72*'Plan mensual'!K24+parametros_recargas!$I$72*'Plan mensual'!K25+parametros_recargas!$J$72*'Plan mensual'!K26+parametros_recargas!$K$72*'Plan mensual'!K27+parametros_recargas!$L$72*'Plan mensual'!K28</f>
        <v>456.664898421492</v>
      </c>
      <c r="J2" s="25" t="n">
        <f aca="false">parametros_recargas!$E$72*'Plan mensual'!L21+parametros_recargas!$F$72*'Plan mensual'!L22+parametros_recargas!$G$72*'Plan mensual'!L23+parametros_recargas!$H$72*'Plan mensual'!L24+parametros_recargas!$I$72*'Plan mensual'!L25+parametros_recargas!$J$72*'Plan mensual'!L26+parametros_recargas!$K$72*'Plan mensual'!L27+parametros_recargas!$L$72*'Plan mensual'!L28</f>
        <v>517.544676199473</v>
      </c>
      <c r="K2" s="25" t="n">
        <f aca="false">parametros_recargas!$E$72*'Plan mensual'!M21+parametros_recargas!$F$72*'Plan mensual'!M22+parametros_recargas!$G$72*'Plan mensual'!M23+parametros_recargas!$H$72*'Plan mensual'!M24+parametros_recargas!$I$72*'Plan mensual'!M25+parametros_recargas!$J$72*'Plan mensual'!M26+parametros_recargas!$K$72*'Plan mensual'!M27+parametros_recargas!$L$72*'Plan mensual'!M28</f>
        <v>586.54057447436</v>
      </c>
      <c r="L2" s="25" t="n">
        <f aca="false">parametros_recargas!$E$72*'Plan mensual'!N21+parametros_recargas!$F$72*'Plan mensual'!N22+parametros_recargas!$G$72*'Plan mensual'!N23+parametros_recargas!$H$72*'Plan mensual'!N24+parametros_recargas!$I$72*'Plan mensual'!N25+parametros_recargas!$J$72*'Plan mensual'!N26+parametros_recargas!$K$72*'Plan mensual'!N27+parametros_recargas!$L$72*'Plan mensual'!N28</f>
        <v>664.734584907826</v>
      </c>
      <c r="M2" s="25" t="n">
        <f aca="false">parametros_recargas!$E$72*'Plan mensual'!O21+parametros_recargas!$F$72*'Plan mensual'!O22+parametros_recargas!$G$72*'Plan mensual'!O23+parametros_recargas!$H$72*'Plan mensual'!O24+parametros_recargas!$I$72*'Plan mensual'!O25+parametros_recargas!$J$72*'Plan mensual'!O26+parametros_recargas!$K$72*'Plan mensual'!O27+parametros_recargas!$L$72*'Plan mensual'!O28</f>
        <v>753.35294368778</v>
      </c>
      <c r="N2" s="7" t="n">
        <f aca="false">SUM(B2:M2)</f>
        <v>4977.82726018866</v>
      </c>
      <c r="O2" s="26" t="n">
        <f aca="false">MAX(B2:M2)</f>
        <v>753.35294368778</v>
      </c>
      <c r="P2" s="15" t="n">
        <f aca="false">O2/parametros_recargas!$B$6</f>
        <v>5.02235295791853</v>
      </c>
    </row>
    <row r="3" customFormat="false" ht="15" hidden="false" customHeight="false" outlineLevel="0" collapsed="false">
      <c r="A3" s="12" t="str">
        <f aca="false">parametros_recargas!$B$73</f>
        <v>Inspección visual</v>
      </c>
      <c r="B3" s="25" t="n">
        <f aca="false">parametros_recargas!$E$73*'Plan mensual'!D21+parametros_recargas!$F$73*'Plan mensual'!D22+parametros_recargas!$G$73*'Plan mensual'!D23+parametros_recargas!$H$73*'Plan mensual'!D24+parametros_recargas!$I$73*'Plan mensual'!D25+parametros_recargas!$J$73*'Plan mensual'!D26+parametros_recargas!$K$73*'Plan mensual'!D27+parametros_recargas!$L$73*'Plan mensual'!D28</f>
        <v>190.171804724951</v>
      </c>
      <c r="C3" s="25" t="n">
        <f aca="false">parametros_recargas!$E$73*'Plan mensual'!E21+parametros_recargas!$F$73*'Plan mensual'!E22+parametros_recargas!$G$73*'Plan mensual'!E23+parametros_recargas!$H$73*'Plan mensual'!E24+parametros_recargas!$I$73*'Plan mensual'!E25+parametros_recargas!$J$73*'Plan mensual'!E26+parametros_recargas!$K$73*'Plan mensual'!E27+parametros_recargas!$L$73*'Plan mensual'!E28</f>
        <v>215.524349339857</v>
      </c>
      <c r="D3" s="25" t="n">
        <f aca="false">parametros_recargas!$E$73*'Plan mensual'!F21+parametros_recargas!$F$73*'Plan mensual'!F22+parametros_recargas!$G$73*'Plan mensual'!F23+parametros_recargas!$H$73*'Plan mensual'!F24+parametros_recargas!$I$73*'Plan mensual'!F25+parametros_recargas!$J$73*'Plan mensual'!F26+parametros_recargas!$K$73*'Plan mensual'!F27+parametros_recargas!$L$73*'Plan mensual'!F28</f>
        <v>244.256740506572</v>
      </c>
      <c r="E3" s="25" t="n">
        <f aca="false">parametros_recargas!$E$73*'Plan mensual'!G21+parametros_recargas!$F$73*'Plan mensual'!G22+parametros_recargas!$G$73*'Plan mensual'!G23+parametros_recargas!$H$73*'Plan mensual'!G24+parametros_recargas!$I$73*'Plan mensual'!G25+parametros_recargas!$J$73*'Plan mensual'!G26+parametros_recargas!$K$73*'Plan mensual'!G27+parametros_recargas!$L$73*'Plan mensual'!G28</f>
        <v>276.819558744222</v>
      </c>
      <c r="F3" s="25" t="n">
        <f aca="false">parametros_recargas!$E$73*'Plan mensual'!H21+parametros_recargas!$F$73*'Plan mensual'!H22+parametros_recargas!$G$73*'Plan mensual'!H23+parametros_recargas!$H$73*'Plan mensual'!H24+parametros_recargas!$I$73*'Plan mensual'!H25+parametros_recargas!$J$73*'Plan mensual'!H26+parametros_recargas!$K$73*'Plan mensual'!H27+parametros_recargas!$L$73*'Plan mensual'!H28</f>
        <v>313.72345321739</v>
      </c>
      <c r="G3" s="25" t="n">
        <f aca="false">parametros_recargas!$E$73*'Plan mensual'!I21+parametros_recargas!$F$73*'Plan mensual'!I22+parametros_recargas!$G$73*'Plan mensual'!I23+parametros_recargas!$H$73*'Plan mensual'!I24+parametros_recargas!$I$73*'Plan mensual'!I25+parametros_recargas!$J$73*'Plan mensual'!I26+parametros_recargas!$K$73*'Plan mensual'!I27+parametros_recargas!$L$73*'Plan mensual'!I28</f>
        <v>355.547149721401</v>
      </c>
      <c r="H3" s="25" t="n">
        <f aca="false">parametros_recargas!$E$73*'Plan mensual'!J21+parametros_recargas!$F$73*'Plan mensual'!J22+parametros_recargas!$G$73*'Plan mensual'!J23+parametros_recargas!$H$73*'Plan mensual'!J24+parametros_recargas!$I$73*'Plan mensual'!J25+parametros_recargas!$J$73*'Plan mensual'!J26+parametros_recargas!$K$73*'Plan mensual'!J27+parametros_recargas!$L$73*'Plan mensual'!J28</f>
        <v>402.94652624334</v>
      </c>
      <c r="I3" s="25" t="n">
        <f aca="false">parametros_recargas!$E$73*'Plan mensual'!K21+parametros_recargas!$F$73*'Plan mensual'!K22+parametros_recargas!$G$73*'Plan mensual'!K23+parametros_recargas!$H$73*'Plan mensual'!K24+parametros_recargas!$I$73*'Plan mensual'!K25+parametros_recargas!$J$73*'Plan mensual'!K26+parametros_recargas!$K$73*'Plan mensual'!K27+parametros_recargas!$L$73*'Plan mensual'!K28</f>
        <v>456.664898421492</v>
      </c>
      <c r="J3" s="25" t="n">
        <f aca="false">parametros_recargas!$E$73*'Plan mensual'!L21+parametros_recargas!$F$73*'Plan mensual'!L22+parametros_recargas!$G$73*'Plan mensual'!L23+parametros_recargas!$H$73*'Plan mensual'!L24+parametros_recargas!$I$73*'Plan mensual'!L25+parametros_recargas!$J$73*'Plan mensual'!L26+parametros_recargas!$K$73*'Plan mensual'!L27+parametros_recargas!$L$73*'Plan mensual'!L28</f>
        <v>517.544676199473</v>
      </c>
      <c r="K3" s="25" t="n">
        <f aca="false">parametros_recargas!$E$73*'Plan mensual'!M21+parametros_recargas!$F$73*'Plan mensual'!M22+parametros_recargas!$G$73*'Plan mensual'!M23+parametros_recargas!$H$73*'Plan mensual'!M24+parametros_recargas!$I$73*'Plan mensual'!M25+parametros_recargas!$J$73*'Plan mensual'!M26+parametros_recargas!$K$73*'Plan mensual'!M27+parametros_recargas!$L$73*'Plan mensual'!M28</f>
        <v>586.54057447436</v>
      </c>
      <c r="L3" s="25" t="n">
        <f aca="false">parametros_recargas!$E$73*'Plan mensual'!N21+parametros_recargas!$F$73*'Plan mensual'!N22+parametros_recargas!$G$73*'Plan mensual'!N23+parametros_recargas!$H$73*'Plan mensual'!N24+parametros_recargas!$I$73*'Plan mensual'!N25+parametros_recargas!$J$73*'Plan mensual'!N26+parametros_recargas!$K$73*'Plan mensual'!N27+parametros_recargas!$L$73*'Plan mensual'!N28</f>
        <v>664.734584907826</v>
      </c>
      <c r="M3" s="25" t="n">
        <f aca="false">parametros_recargas!$E$73*'Plan mensual'!O21+parametros_recargas!$F$73*'Plan mensual'!O22+parametros_recargas!$G$73*'Plan mensual'!O23+parametros_recargas!$H$73*'Plan mensual'!O24+parametros_recargas!$I$73*'Plan mensual'!O25+parametros_recargas!$J$73*'Plan mensual'!O26+parametros_recargas!$K$73*'Plan mensual'!O27+parametros_recargas!$L$73*'Plan mensual'!O28</f>
        <v>753.35294368778</v>
      </c>
      <c r="N3" s="7" t="n">
        <f aca="false">SUM(B3:M3)</f>
        <v>4977.82726018866</v>
      </c>
      <c r="O3" s="26" t="n">
        <f aca="false">MAX(B3:M3)</f>
        <v>753.35294368778</v>
      </c>
      <c r="P3" s="15" t="n">
        <f aca="false">O3/parametros_recargas!$B$6</f>
        <v>5.02235295791853</v>
      </c>
    </row>
    <row r="4" customFormat="false" ht="15" hidden="false" customHeight="false" outlineLevel="0" collapsed="false">
      <c r="A4" s="12" t="str">
        <f aca="false">parametros_recargas!$B$74</f>
        <v>Descarga ABC — ruta recuperable</v>
      </c>
      <c r="B4" s="25" t="n">
        <f aca="false">parametros_recargas!$E$74*'Plan mensual'!D21+parametros_recargas!$F$74*'Plan mensual'!D22+parametros_recargas!$G$74*'Plan mensual'!D23+parametros_recargas!$H$74*'Plan mensual'!D24+parametros_recargas!$I$74*'Plan mensual'!D25+parametros_recargas!$J$74*'Plan mensual'!D26+parametros_recargas!$K$74*'Plan mensual'!D27+parametros_recargas!$L$74*'Plan mensual'!D28</f>
        <v>140.710426638341</v>
      </c>
      <c r="C4" s="25" t="n">
        <f aca="false">parametros_recargas!$E$74*'Plan mensual'!E21+parametros_recargas!$F$74*'Plan mensual'!E22+parametros_recargas!$G$74*'Plan mensual'!E23+parametros_recargas!$H$74*'Plan mensual'!E24+parametros_recargas!$I$74*'Plan mensual'!E25+parametros_recargas!$J$74*'Plan mensual'!E26+parametros_recargas!$K$74*'Plan mensual'!E27+parametros_recargas!$L$74*'Plan mensual'!E28</f>
        <v>159.469082130361</v>
      </c>
      <c r="D4" s="25" t="n">
        <f aca="false">parametros_recargas!$E$74*'Plan mensual'!F21+parametros_recargas!$F$74*'Plan mensual'!F22+parametros_recargas!$G$74*'Plan mensual'!F23+parametros_recargas!$H$74*'Plan mensual'!F24+parametros_recargas!$I$74*'Plan mensual'!F25+parametros_recargas!$J$74*'Plan mensual'!F26+parametros_recargas!$K$74*'Plan mensual'!F27+parametros_recargas!$L$74*'Plan mensual'!F28</f>
        <v>180.728527110943</v>
      </c>
      <c r="E4" s="25" t="n">
        <f aca="false">parametros_recargas!$E$74*'Plan mensual'!G21+parametros_recargas!$F$74*'Plan mensual'!G22+parametros_recargas!$G$74*'Plan mensual'!G23+parametros_recargas!$H$74*'Plan mensual'!G24+parametros_recargas!$I$74*'Plan mensual'!G25+parametros_recargas!$J$74*'Plan mensual'!G26+parametros_recargas!$K$74*'Plan mensual'!G27+parametros_recargas!$L$74*'Plan mensual'!G28</f>
        <v>204.822151575377</v>
      </c>
      <c r="F4" s="25" t="n">
        <f aca="false">parametros_recargas!$E$74*'Plan mensual'!H21+parametros_recargas!$F$74*'Plan mensual'!H22+parametros_recargas!$G$74*'Plan mensual'!H23+parametros_recargas!$H$74*'Plan mensual'!H24+parametros_recargas!$I$74*'Plan mensual'!H25+parametros_recargas!$J$74*'Plan mensual'!H26+parametros_recargas!$K$74*'Plan mensual'!H27+parametros_recargas!$L$74*'Plan mensual'!H28</f>
        <v>232.127791038841</v>
      </c>
      <c r="G4" s="25" t="n">
        <f aca="false">parametros_recargas!$E$74*'Plan mensual'!I21+parametros_recargas!$F$74*'Plan mensual'!I22+parametros_recargas!$G$74*'Plan mensual'!I23+parametros_recargas!$H$74*'Plan mensual'!I24+parametros_recargas!$I$74*'Plan mensual'!I25+parametros_recargas!$J$74*'Plan mensual'!I26+parametros_recargas!$K$74*'Plan mensual'!I27+parametros_recargas!$L$74*'Plan mensual'!I28</f>
        <v>263.073651741922</v>
      </c>
      <c r="H4" s="25" t="n">
        <f aca="false">parametros_recargas!$E$74*'Plan mensual'!J21+parametros_recargas!$F$74*'Plan mensual'!J22+parametros_recargas!$G$74*'Plan mensual'!J23+parametros_recargas!$H$74*'Plan mensual'!J24+parametros_recargas!$I$74*'Plan mensual'!J25+parametros_recargas!$J$74*'Plan mensual'!J26+parametros_recargas!$K$74*'Plan mensual'!J27+parametros_recargas!$L$74*'Plan mensual'!J28</f>
        <v>298.14502576837</v>
      </c>
      <c r="I4" s="25" t="n">
        <f aca="false">parametros_recargas!$E$74*'Plan mensual'!K21+parametros_recargas!$F$74*'Plan mensual'!K22+parametros_recargas!$G$74*'Plan mensual'!K23+parametros_recargas!$H$74*'Plan mensual'!K24+parametros_recargas!$I$74*'Plan mensual'!K25+parametros_recargas!$J$74*'Plan mensual'!K26+parametros_recargas!$K$74*'Plan mensual'!K27+parametros_recargas!$L$74*'Plan mensual'!K28</f>
        <v>337.891901381384</v>
      </c>
      <c r="J4" s="25" t="n">
        <f aca="false">parametros_recargas!$E$74*'Plan mensual'!L21+parametros_recargas!$F$74*'Plan mensual'!L22+parametros_recargas!$G$74*'Plan mensual'!L23+parametros_recargas!$H$74*'Plan mensual'!L24+parametros_recargas!$I$74*'Plan mensual'!L25+parametros_recargas!$J$74*'Plan mensual'!L26+parametros_recargas!$K$74*'Plan mensual'!L27+parametros_recargas!$L$74*'Plan mensual'!L28</f>
        <v>382.937587923492</v>
      </c>
      <c r="K4" s="25" t="n">
        <f aca="false">parametros_recargas!$E$74*'Plan mensual'!M21+parametros_recargas!$F$74*'Plan mensual'!M22+parametros_recargas!$G$74*'Plan mensual'!M23+parametros_recargas!$H$74*'Plan mensual'!M24+parametros_recargas!$I$74*'Plan mensual'!M25+parametros_recargas!$J$74*'Plan mensual'!M26+parametros_recargas!$K$74*'Plan mensual'!M27+parametros_recargas!$L$74*'Plan mensual'!M28</f>
        <v>433.988490535456</v>
      </c>
      <c r="L4" s="25" t="n">
        <f aca="false">parametros_recargas!$E$74*'Plan mensual'!N21+parametros_recargas!$F$74*'Plan mensual'!N22+parametros_recargas!$G$74*'Plan mensual'!N23+parametros_recargas!$H$74*'Plan mensual'!N24+parametros_recargas!$I$74*'Plan mensual'!N25+parametros_recargas!$J$74*'Plan mensual'!N26+parametros_recargas!$K$74*'Plan mensual'!N27+parametros_recargas!$L$74*'Plan mensual'!N28</f>
        <v>491.84518798106</v>
      </c>
      <c r="M4" s="25" t="n">
        <f aca="false">parametros_recargas!$E$74*'Plan mensual'!O21+parametros_recargas!$F$74*'Plan mensual'!O22+parametros_recargas!$G$74*'Plan mensual'!O23+parametros_recargas!$H$74*'Plan mensual'!O24+parametros_recargas!$I$74*'Plan mensual'!O25+parametros_recargas!$J$74*'Plan mensual'!O26+parametros_recargas!$K$74*'Plan mensual'!O27+parametros_recargas!$L$74*'Plan mensual'!O28</f>
        <v>557.414987299901</v>
      </c>
      <c r="N4" s="7" t="n">
        <f aca="false">SUM(B4:M4)</f>
        <v>3683.15481112545</v>
      </c>
      <c r="O4" s="26" t="n">
        <f aca="false">MAX(B4:M4)</f>
        <v>557.414987299901</v>
      </c>
      <c r="P4" s="15" t="n">
        <f aca="false">O4/parametros_recargas!$B$6</f>
        <v>3.71609991533267</v>
      </c>
    </row>
    <row r="5" customFormat="false" ht="15" hidden="false" customHeight="false" outlineLevel="0" collapsed="false">
      <c r="A5" s="12" t="str">
        <f aca="false">parametros_recargas!$B$75</f>
        <v>Descarga ABC — ruta descarte</v>
      </c>
      <c r="B5" s="25" t="n">
        <f aca="false">parametros_recargas!$E$75*'Plan mensual'!D21+parametros_recargas!$F$75*'Plan mensual'!D22+parametros_recargas!$G$75*'Plan mensual'!D23+parametros_recargas!$H$75*'Plan mensual'!D24+parametros_recargas!$I$75*'Plan mensual'!D25+parametros_recargas!$J$75*'Plan mensual'!D26+parametros_recargas!$K$75*'Plan mensual'!D27+parametros_recargas!$L$75*'Plan mensual'!D28</f>
        <v>16.5541678398048</v>
      </c>
      <c r="C5" s="25" t="n">
        <f aca="false">parametros_recargas!$E$75*'Plan mensual'!E21+parametros_recargas!$F$75*'Plan mensual'!E22+parametros_recargas!$G$75*'Plan mensual'!E23+parametros_recargas!$H$75*'Plan mensual'!E24+parametros_recargas!$I$75*'Plan mensual'!E25+parametros_recargas!$J$75*'Plan mensual'!E26+parametros_recargas!$K$75*'Plan mensual'!E27+parametros_recargas!$L$75*'Plan mensual'!E28</f>
        <v>18.7610684859248</v>
      </c>
      <c r="D5" s="25" t="n">
        <f aca="false">parametros_recargas!$E$75*'Plan mensual'!F21+parametros_recargas!$F$75*'Plan mensual'!F22+parametros_recargas!$G$75*'Plan mensual'!F23+parametros_recargas!$H$75*'Plan mensual'!F24+parametros_recargas!$I$75*'Plan mensual'!F25+parametros_recargas!$J$75*'Plan mensual'!F26+parametros_recargas!$K$75*'Plan mensual'!F27+parametros_recargas!$L$75*'Plan mensual'!F28</f>
        <v>21.262179660111</v>
      </c>
      <c r="E5" s="25" t="n">
        <f aca="false">parametros_recargas!$E$75*'Plan mensual'!G21+parametros_recargas!$F$75*'Plan mensual'!G22+parametros_recargas!$G$75*'Plan mensual'!G23+parametros_recargas!$H$75*'Plan mensual'!G24+parametros_recargas!$I$75*'Plan mensual'!G25+parametros_recargas!$J$75*'Plan mensual'!G26+parametros_recargas!$K$75*'Plan mensual'!G27+parametros_recargas!$L$75*'Plan mensual'!G28</f>
        <v>24.0967237147502</v>
      </c>
      <c r="F5" s="25" t="n">
        <f aca="false">parametros_recargas!$E$75*'Plan mensual'!H21+parametros_recargas!$F$75*'Plan mensual'!H22+parametros_recargas!$G$75*'Plan mensual'!H23+parametros_recargas!$H$75*'Plan mensual'!H24+parametros_recargas!$I$75*'Plan mensual'!H25+parametros_recargas!$J$75*'Plan mensual'!H26+parametros_recargas!$K$75*'Plan mensual'!H27+parametros_recargas!$L$75*'Plan mensual'!H28</f>
        <v>27.3091518869225</v>
      </c>
      <c r="G5" s="25" t="n">
        <f aca="false">parametros_recargas!$E$75*'Plan mensual'!I21+parametros_recargas!$F$75*'Plan mensual'!I22+parametros_recargas!$G$75*'Plan mensual'!I23+parametros_recargas!$H$75*'Plan mensual'!I24+parametros_recargas!$I$75*'Plan mensual'!I25+parametros_recargas!$J$75*'Plan mensual'!I26+parametros_recargas!$K$75*'Plan mensual'!I27+parametros_recargas!$L$75*'Plan mensual'!I28</f>
        <v>30.9498413814026</v>
      </c>
      <c r="H5" s="25" t="n">
        <f aca="false">parametros_recargas!$E$75*'Plan mensual'!J21+parametros_recargas!$F$75*'Plan mensual'!J22+parametros_recargas!$G$75*'Plan mensual'!J23+parametros_recargas!$H$75*'Plan mensual'!J24+parametros_recargas!$I$75*'Plan mensual'!J25+parametros_recargas!$J$75*'Plan mensual'!J26+parametros_recargas!$K$75*'Plan mensual'!J27+parametros_recargas!$L$75*'Plan mensual'!J28</f>
        <v>35.0758853845141</v>
      </c>
      <c r="I5" s="25" t="n">
        <f aca="false">parametros_recargas!$E$75*'Plan mensual'!K21+parametros_recargas!$F$75*'Plan mensual'!K22+parametros_recargas!$G$75*'Plan mensual'!K23+parametros_recargas!$H$75*'Plan mensual'!K24+parametros_recargas!$I$75*'Plan mensual'!K25+parametros_recargas!$J$75*'Plan mensual'!K26+parametros_recargas!$K$75*'Plan mensual'!K27+parametros_recargas!$L$75*'Plan mensual'!K28</f>
        <v>39.7519883978099</v>
      </c>
      <c r="J5" s="25" t="n">
        <f aca="false">parametros_recargas!$E$75*'Plan mensual'!L21+parametros_recargas!$F$75*'Plan mensual'!L22+parametros_recargas!$G$75*'Plan mensual'!L23+parametros_recargas!$H$75*'Plan mensual'!L24+parametros_recargas!$I$75*'Plan mensual'!L25+parametros_recargas!$J$75*'Plan mensual'!L26+parametros_recargas!$K$75*'Plan mensual'!L27+parametros_recargas!$L$75*'Plan mensual'!L28</f>
        <v>45.0514809321755</v>
      </c>
      <c r="K5" s="25" t="n">
        <f aca="false">parametros_recargas!$E$75*'Plan mensual'!M21+parametros_recargas!$F$75*'Plan mensual'!M22+parametros_recargas!$G$75*'Plan mensual'!M23+parametros_recargas!$H$75*'Plan mensual'!M24+parametros_recargas!$I$75*'Plan mensual'!M25+parametros_recargas!$J$75*'Plan mensual'!M26+parametros_recargas!$K$75*'Plan mensual'!M27+parametros_recargas!$L$75*'Plan mensual'!M28</f>
        <v>51.0574694747595</v>
      </c>
      <c r="L5" s="25" t="n">
        <f aca="false">parametros_recargas!$E$75*'Plan mensual'!N21+parametros_recargas!$F$75*'Plan mensual'!N22+parametros_recargas!$G$75*'Plan mensual'!N23+parametros_recargas!$H$75*'Plan mensual'!N24+parametros_recargas!$I$75*'Plan mensual'!N25+parametros_recargas!$J$75*'Plan mensual'!N26+parametros_recargas!$K$75*'Plan mensual'!N27+parametros_recargas!$L$75*'Plan mensual'!N28</f>
        <v>57.8641397624777</v>
      </c>
      <c r="M5" s="25" t="n">
        <f aca="false">parametros_recargas!$E$75*'Plan mensual'!O21+parametros_recargas!$F$75*'Plan mensual'!O22+parametros_recargas!$G$75*'Plan mensual'!O23+parametros_recargas!$H$75*'Plan mensual'!O24+parametros_recargas!$I$75*'Plan mensual'!O25+parametros_recargas!$J$75*'Plan mensual'!O26+parametros_recargas!$K$75*'Plan mensual'!O27+parametros_recargas!$L$75*'Plan mensual'!O28</f>
        <v>65.5782337999884</v>
      </c>
      <c r="N5" s="7" t="n">
        <f aca="false">SUM(B5:M5)</f>
        <v>433.312330720641</v>
      </c>
      <c r="O5" s="26" t="n">
        <f aca="false">MAX(B5:M5)</f>
        <v>65.5782337999884</v>
      </c>
      <c r="P5" s="15" t="n">
        <f aca="false">O5/parametros_recargas!$B$6</f>
        <v>0.437188225333256</v>
      </c>
    </row>
    <row r="6" customFormat="false" ht="15" hidden="false" customHeight="false" outlineLevel="0" collapsed="false">
      <c r="A6" s="12" t="str">
        <f aca="false">parametros_recargas!$B$76</f>
        <v>Descarga BC</v>
      </c>
      <c r="B6" s="25" t="n">
        <f aca="false">parametros_recargas!$E$76*'Plan mensual'!D21+parametros_recargas!$F$76*'Plan mensual'!D22+parametros_recargas!$G$76*'Plan mensual'!D23+parametros_recargas!$H$76*'Plan mensual'!D24+parametros_recargas!$I$76*'Plan mensual'!D25+parametros_recargas!$J$76*'Plan mensual'!D26+parametros_recargas!$K$76*'Plan mensual'!D27+parametros_recargas!$L$76*'Plan mensual'!D28</f>
        <v>0.185654211780637</v>
      </c>
      <c r="C6" s="25" t="n">
        <f aca="false">parametros_recargas!$E$76*'Plan mensual'!E21+parametros_recargas!$F$76*'Plan mensual'!E22+parametros_recargas!$G$76*'Plan mensual'!E23+parametros_recargas!$H$76*'Plan mensual'!E24+parametros_recargas!$I$76*'Plan mensual'!E25+parametros_recargas!$J$76*'Plan mensual'!E26+parametros_recargas!$K$76*'Plan mensual'!E27+parametros_recargas!$L$76*'Plan mensual'!E28</f>
        <v>0.210404498469673</v>
      </c>
      <c r="D6" s="25" t="n">
        <f aca="false">parametros_recargas!$E$76*'Plan mensual'!F21+parametros_recargas!$F$76*'Plan mensual'!F22+parametros_recargas!$G$76*'Plan mensual'!F23+parametros_recargas!$H$76*'Plan mensual'!F24+parametros_recargas!$I$76*'Plan mensual'!F25+parametros_recargas!$J$76*'Plan mensual'!F26+parametros_recargas!$K$76*'Plan mensual'!F27+parametros_recargas!$L$76*'Plan mensual'!F28</f>
        <v>0.238454342358699</v>
      </c>
      <c r="E6" s="25" t="n">
        <f aca="false">parametros_recargas!$E$76*'Plan mensual'!G21+parametros_recargas!$F$76*'Plan mensual'!G22+parametros_recargas!$G$76*'Plan mensual'!G23+parametros_recargas!$H$76*'Plan mensual'!G24+parametros_recargas!$I$76*'Plan mensual'!G25+parametros_recargas!$J$76*'Plan mensual'!G26+parametros_recargas!$K$76*'Plan mensual'!G27+parametros_recargas!$L$76*'Plan mensual'!G28</f>
        <v>0.27024362028037</v>
      </c>
      <c r="F6" s="25" t="n">
        <f aca="false">parametros_recargas!$E$76*'Plan mensual'!H21+parametros_recargas!$F$76*'Plan mensual'!H22+parametros_recargas!$G$76*'Plan mensual'!H23+parametros_recargas!$H$76*'Plan mensual'!H24+parametros_recargas!$I$76*'Plan mensual'!H25+parametros_recargas!$J$76*'Plan mensual'!H26+parametros_recargas!$K$76*'Plan mensual'!H27+parametros_recargas!$L$76*'Plan mensual'!H28</f>
        <v>0.306270850762623</v>
      </c>
      <c r="G6" s="25" t="n">
        <f aca="false">parametros_recargas!$E$76*'Plan mensual'!I21+parametros_recargas!$F$76*'Plan mensual'!I22+parametros_recargas!$G$76*'Plan mensual'!I23+parametros_recargas!$H$76*'Plan mensual'!I24+parametros_recargas!$I$76*'Plan mensual'!I25+parametros_recargas!$J$76*'Plan mensual'!I26+parametros_recargas!$K$76*'Plan mensual'!I27+parametros_recargas!$L$76*'Plan mensual'!I28</f>
        <v>0.347101011781682</v>
      </c>
      <c r="H6" s="25" t="n">
        <f aca="false">parametros_recargas!$E$76*'Plan mensual'!J21+parametros_recargas!$F$76*'Plan mensual'!J22+parametros_recargas!$G$76*'Plan mensual'!J23+parametros_recargas!$H$76*'Plan mensual'!J24+parametros_recargas!$I$76*'Plan mensual'!J25+parametros_recargas!$J$76*'Plan mensual'!J26+parametros_recargas!$K$76*'Plan mensual'!J27+parametros_recargas!$L$76*'Plan mensual'!J28</f>
        <v>0.393374400730173</v>
      </c>
      <c r="I6" s="25" t="n">
        <f aca="false">parametros_recargas!$E$76*'Plan mensual'!K21+parametros_recargas!$F$76*'Plan mensual'!K22+parametros_recargas!$G$76*'Plan mensual'!K23+parametros_recargas!$H$76*'Plan mensual'!K24+parametros_recargas!$I$76*'Plan mensual'!K25+parametros_recargas!$J$76*'Plan mensual'!K26+parametros_recargas!$K$76*'Plan mensual'!K27+parametros_recargas!$L$76*'Plan mensual'!K28</f>
        <v>0.445816675542141</v>
      </c>
      <c r="J6" s="25" t="n">
        <f aca="false">parametros_recargas!$E$76*'Plan mensual'!L21+parametros_recargas!$F$76*'Plan mensual'!L22+parametros_recargas!$G$76*'Plan mensual'!L23+parametros_recargas!$H$76*'Plan mensual'!L24+parametros_recargas!$I$76*'Plan mensual'!L25+parametros_recargas!$J$76*'Plan mensual'!L26+parametros_recargas!$K$76*'Plan mensual'!L27+parametros_recargas!$L$76*'Plan mensual'!L28</f>
        <v>0.505250234439573</v>
      </c>
      <c r="K6" s="25" t="n">
        <f aca="false">parametros_recargas!$E$76*'Plan mensual'!M21+parametros_recargas!$F$76*'Plan mensual'!M22+parametros_recargas!$G$76*'Plan mensual'!M23+parametros_recargas!$H$76*'Plan mensual'!M24+parametros_recargas!$I$76*'Plan mensual'!M25+parametros_recargas!$J$76*'Plan mensual'!M26+parametros_recargas!$K$76*'Plan mensual'!M27+parametros_recargas!$L$76*'Plan mensual'!M28</f>
        <v>0.572607112757301</v>
      </c>
      <c r="L6" s="25" t="n">
        <f aca="false">parametros_recargas!$E$76*'Plan mensual'!N21+parametros_recargas!$F$76*'Plan mensual'!N22+parametros_recargas!$G$76*'Plan mensual'!N23+parametros_recargas!$H$76*'Plan mensual'!N24+parametros_recargas!$I$76*'Plan mensual'!N25+parametros_recargas!$J$76*'Plan mensual'!N26+parametros_recargas!$K$76*'Plan mensual'!N27+parametros_recargas!$L$76*'Plan mensual'!N28</f>
        <v>0.648943599093898</v>
      </c>
      <c r="M6" s="25" t="n">
        <f aca="false">parametros_recargas!$E$76*'Plan mensual'!O21+parametros_recargas!$F$76*'Plan mensual'!O22+parametros_recargas!$G$76*'Plan mensual'!O23+parametros_recargas!$H$76*'Plan mensual'!O24+parametros_recargas!$I$76*'Plan mensual'!O25+parametros_recargas!$J$76*'Plan mensual'!O26+parametros_recargas!$K$76*'Plan mensual'!O27+parametros_recargas!$L$76*'Plan mensual'!O28</f>
        <v>0.735456799998634</v>
      </c>
      <c r="N6" s="7" t="n">
        <f aca="false">SUM(B6:M6)</f>
        <v>4.8595773579954</v>
      </c>
      <c r="O6" s="26" t="n">
        <f aca="false">MAX(B6:M6)</f>
        <v>0.735456799998634</v>
      </c>
      <c r="P6" s="15" t="n">
        <f aca="false">O6/parametros_recargas!$B$6</f>
        <v>0.00490304533332423</v>
      </c>
    </row>
    <row r="7" customFormat="false" ht="15" hidden="false" customHeight="false" outlineLevel="0" collapsed="false">
      <c r="A7" s="12" t="str">
        <f aca="false">parametros_recargas!$B$77</f>
        <v>Descarga de agua / AFFF / sales K</v>
      </c>
      <c r="B7" s="25" t="n">
        <f aca="false">parametros_recargas!$E$77*'Plan mensual'!D21+parametros_recargas!$F$77*'Plan mensual'!D22+parametros_recargas!$G$77*'Plan mensual'!D23+parametros_recargas!$H$77*'Plan mensual'!D24+parametros_recargas!$I$77*'Plan mensual'!D25+parametros_recargas!$J$77*'Plan mensual'!D26+parametros_recargas!$K$77*'Plan mensual'!D27+parametros_recargas!$L$77*'Plan mensual'!D28</f>
        <v>8.10690085300835</v>
      </c>
      <c r="C7" s="25" t="n">
        <f aca="false">parametros_recargas!$E$77*'Plan mensual'!E21+parametros_recargas!$F$77*'Plan mensual'!E22+parametros_recargas!$G$77*'Plan mensual'!E23+parametros_recargas!$H$77*'Plan mensual'!E24+parametros_recargas!$I$77*'Plan mensual'!E25+parametros_recargas!$J$77*'Plan mensual'!E26+parametros_recargas!$K$77*'Plan mensual'!E27+parametros_recargas!$L$77*'Plan mensual'!E28</f>
        <v>9.1876634080137</v>
      </c>
      <c r="D7" s="25" t="n">
        <f aca="false">parametros_recargas!$E$77*'Plan mensual'!F21+parametros_recargas!$F$77*'Plan mensual'!F22+parametros_recargas!$G$77*'Plan mensual'!F23+parametros_recargas!$H$77*'Plan mensual'!F24+parametros_recargas!$I$77*'Plan mensual'!F25+parametros_recargas!$J$77*'Plan mensual'!F26+parametros_recargas!$K$77*'Plan mensual'!F27+parametros_recargas!$L$77*'Plan mensual'!F28</f>
        <v>10.4125066322514</v>
      </c>
      <c r="E7" s="25" t="n">
        <f aca="false">parametros_recargas!$E$77*'Plan mensual'!G21+parametros_recargas!$F$77*'Plan mensual'!G22+parametros_recargas!$G$77*'Plan mensual'!G23+parametros_recargas!$H$77*'Plan mensual'!G24+parametros_recargas!$I$77*'Plan mensual'!G25+parametros_recargas!$J$77*'Plan mensual'!G26+parametros_recargas!$K$77*'Plan mensual'!G27+parametros_recargas!$L$77*'Plan mensual'!G28</f>
        <v>11.8006384813915</v>
      </c>
      <c r="F7" s="25" t="n">
        <f aca="false">parametros_recargas!$E$77*'Plan mensual'!H21+parametros_recargas!$F$77*'Plan mensual'!H22+parametros_recargas!$G$77*'Plan mensual'!H23+parametros_recargas!$H$77*'Plan mensual'!H24+parametros_recargas!$I$77*'Plan mensual'!H25+parametros_recargas!$J$77*'Plan mensual'!H26+parametros_recargas!$K$77*'Plan mensual'!H27+parametros_recargas!$L$77*'Plan mensual'!H28</f>
        <v>13.3738275985509</v>
      </c>
      <c r="G7" s="25" t="n">
        <f aca="false">parametros_recargas!$E$77*'Plan mensual'!I21+parametros_recargas!$F$77*'Plan mensual'!I22+parametros_recargas!$G$77*'Plan mensual'!I23+parametros_recargas!$H$77*'Plan mensual'!I24+parametros_recargas!$I$77*'Plan mensual'!I25+parametros_recargas!$J$77*'Plan mensual'!I26+parametros_recargas!$K$77*'Plan mensual'!I27+parametros_recargas!$L$77*'Plan mensual'!I28</f>
        <v>15.1567446895189</v>
      </c>
      <c r="H7" s="25" t="n">
        <f aca="false">parametros_recargas!$E$77*'Plan mensual'!J21+parametros_recargas!$F$77*'Plan mensual'!J22+parametros_recargas!$G$77*'Plan mensual'!J23+parametros_recargas!$H$77*'Plan mensual'!J24+parametros_recargas!$I$77*'Plan mensual'!J25+parametros_recargas!$J$77*'Plan mensual'!J26+parametros_recargas!$K$77*'Plan mensual'!J27+parametros_recargas!$L$77*'Plan mensual'!J28</f>
        <v>17.1773494080445</v>
      </c>
      <c r="I7" s="25" t="n">
        <f aca="false">parametros_recargas!$E$77*'Plan mensual'!K21+parametros_recargas!$F$77*'Plan mensual'!K22+parametros_recargas!$G$77*'Plan mensual'!K23+parametros_recargas!$H$77*'Plan mensual'!K24+parametros_recargas!$I$77*'Plan mensual'!K25+parametros_recargas!$J$77*'Plan mensual'!K26+parametros_recargas!$K$77*'Plan mensual'!K27+parametros_recargas!$L$77*'Plan mensual'!K28</f>
        <v>19.4673288183106</v>
      </c>
      <c r="J7" s="25" t="n">
        <f aca="false">parametros_recargas!$E$77*'Plan mensual'!L21+parametros_recargas!$F$77*'Plan mensual'!L22+parametros_recargas!$G$77*'Plan mensual'!L23+parametros_recargas!$H$77*'Plan mensual'!L24+parametros_recargas!$I$77*'Plan mensual'!L25+parametros_recargas!$J$77*'Plan mensual'!L26+parametros_recargas!$K$77*'Plan mensual'!L27+parametros_recargas!$L$77*'Plan mensual'!L28</f>
        <v>22.0625943105485</v>
      </c>
      <c r="K7" s="25" t="n">
        <f aca="false">parametros_recargas!$E$77*'Plan mensual'!M21+parametros_recargas!$F$77*'Plan mensual'!M22+parametros_recargas!$G$77*'Plan mensual'!M23+parametros_recargas!$H$77*'Plan mensual'!M24+parametros_recargas!$I$77*'Plan mensual'!M25+parametros_recargas!$J$77*'Plan mensual'!M26+parametros_recargas!$K$77*'Plan mensual'!M27+parametros_recargas!$L$77*'Plan mensual'!M28</f>
        <v>25.003844762411</v>
      </c>
      <c r="L7" s="25" t="n">
        <f aca="false">parametros_recargas!$E$77*'Plan mensual'!N21+parametros_recargas!$F$77*'Plan mensual'!N22+parametros_recargas!$G$77*'Plan mensual'!N23+parametros_recargas!$H$77*'Plan mensual'!N24+parametros_recargas!$I$77*'Plan mensual'!N25+parametros_recargas!$J$77*'Plan mensual'!N26+parametros_recargas!$K$77*'Plan mensual'!N27+parametros_recargas!$L$77*'Plan mensual'!N28</f>
        <v>28.3372047775828</v>
      </c>
      <c r="M7" s="25" t="n">
        <f aca="false">parametros_recargas!$E$77*'Plan mensual'!O21+parametros_recargas!$F$77*'Plan mensual'!O22+parametros_recargas!$G$77*'Plan mensual'!O23+parametros_recargas!$H$77*'Plan mensual'!O24+parametros_recargas!$I$77*'Plan mensual'!O25+parametros_recargas!$J$77*'Plan mensual'!O26+parametros_recargas!$K$77*'Plan mensual'!O27+parametros_recargas!$L$77*'Plan mensual'!O28</f>
        <v>32.1149480104688</v>
      </c>
      <c r="N7" s="7" t="n">
        <f aca="false">SUM(B7:M7)</f>
        <v>212.201551750101</v>
      </c>
      <c r="O7" s="26" t="n">
        <f aca="false">MAX(B7:M7)</f>
        <v>32.1149480104688</v>
      </c>
      <c r="P7" s="15" t="n">
        <f aca="false">O7/parametros_recargas!$B$6</f>
        <v>0.214099653403125</v>
      </c>
    </row>
    <row r="8" customFormat="false" ht="15" hidden="false" customHeight="false" outlineLevel="0" collapsed="false">
      <c r="A8" s="12" t="str">
        <f aca="false">parametros_recargas!$B$78</f>
        <v>Recuperación de CO₂</v>
      </c>
      <c r="B8" s="25" t="n">
        <f aca="false">parametros_recargas!$E$78*'Plan mensual'!D21+parametros_recargas!$F$78*'Plan mensual'!D22+parametros_recargas!$G$78*'Plan mensual'!D23+parametros_recargas!$H$78*'Plan mensual'!D24+parametros_recargas!$I$78*'Plan mensual'!D25+parametros_recargas!$J$78*'Plan mensual'!D26+parametros_recargas!$K$78*'Plan mensual'!D27+parametros_recargas!$L$78*'Plan mensual'!D28</f>
        <v>3.91420978126472</v>
      </c>
      <c r="C8" s="25" t="n">
        <f aca="false">parametros_recargas!$E$78*'Plan mensual'!E21+parametros_recargas!$F$78*'Plan mensual'!E22+parametros_recargas!$G$78*'Plan mensual'!E23+parametros_recargas!$H$78*'Plan mensual'!E24+parametros_recargas!$I$78*'Plan mensual'!E25+parametros_recargas!$J$78*'Plan mensual'!E26+parametros_recargas!$K$78*'Plan mensual'!E27+parametros_recargas!$L$78*'Plan mensual'!E28</f>
        <v>4.43602834556316</v>
      </c>
      <c r="D8" s="25" t="n">
        <f aca="false">parametros_recargas!$E$78*'Plan mensual'!F21+parametros_recargas!$F$78*'Plan mensual'!F22+parametros_recargas!$G$78*'Plan mensual'!F23+parametros_recargas!$H$78*'Plan mensual'!F24+parametros_recargas!$I$78*'Plan mensual'!F25+parametros_recargas!$J$78*'Plan mensual'!F26+parametros_recargas!$K$78*'Plan mensual'!F27+parametros_recargas!$L$78*'Plan mensual'!F28</f>
        <v>5.02741257681941</v>
      </c>
      <c r="E8" s="25" t="n">
        <f aca="false">parametros_recargas!$E$78*'Plan mensual'!G21+parametros_recargas!$F$78*'Plan mensual'!G22+parametros_recargas!$G$78*'Plan mensual'!G23+parametros_recargas!$H$78*'Plan mensual'!G24+parametros_recargas!$I$78*'Plan mensual'!G25+parametros_recargas!$J$78*'Plan mensual'!G26+parametros_recargas!$K$78*'Plan mensual'!G27+parametros_recargas!$L$78*'Plan mensual'!G28</f>
        <v>5.69763654527625</v>
      </c>
      <c r="F8" s="25" t="n">
        <f aca="false">parametros_recargas!$E$78*'Plan mensual'!H21+parametros_recargas!$F$78*'Plan mensual'!H22+parametros_recargas!$G$78*'Plan mensual'!H23+parametros_recargas!$H$78*'Plan mensual'!H24+parametros_recargas!$I$78*'Plan mensual'!H25+parametros_recargas!$J$78*'Plan mensual'!H26+parametros_recargas!$K$78*'Plan mensual'!H27+parametros_recargas!$L$78*'Plan mensual'!H28</f>
        <v>6.45721068363266</v>
      </c>
      <c r="G8" s="25" t="n">
        <f aca="false">parametros_recargas!$E$78*'Plan mensual'!I21+parametros_recargas!$F$78*'Plan mensual'!I22+parametros_recargas!$G$78*'Plan mensual'!I23+parametros_recargas!$H$78*'Plan mensual'!I24+parametros_recargas!$I$78*'Plan mensual'!I25+parametros_recargas!$J$78*'Plan mensual'!I26+parametros_recargas!$K$78*'Plan mensual'!I27+parametros_recargas!$L$78*'Plan mensual'!I28</f>
        <v>7.31804661134244</v>
      </c>
      <c r="H8" s="25" t="n">
        <f aca="false">parametros_recargas!$E$78*'Plan mensual'!J21+parametros_recargas!$F$78*'Plan mensual'!J22+parametros_recargas!$G$78*'Plan mensual'!J23+parametros_recargas!$H$78*'Plan mensual'!J24+parametros_recargas!$I$78*'Plan mensual'!J25+parametros_recargas!$J$78*'Plan mensual'!J26+parametros_recargas!$K$78*'Plan mensual'!J27+parametros_recargas!$L$78*'Plan mensual'!J28</f>
        <v>8.29364393228263</v>
      </c>
      <c r="I8" s="25" t="n">
        <f aca="false">parametros_recargas!$E$78*'Plan mensual'!K21+parametros_recargas!$F$78*'Plan mensual'!K22+parametros_recargas!$G$78*'Plan mensual'!K23+parametros_recargas!$H$78*'Plan mensual'!K24+parametros_recargas!$I$78*'Plan mensual'!K25+parametros_recargas!$J$78*'Plan mensual'!K26+parametros_recargas!$K$78*'Plan mensual'!K27+parametros_recargas!$L$78*'Plan mensual'!K28</f>
        <v>9.39930193514721</v>
      </c>
      <c r="J8" s="25" t="n">
        <f aca="false">parametros_recargas!$E$78*'Plan mensual'!L21+parametros_recargas!$F$78*'Plan mensual'!L22+parametros_recargas!$G$78*'Plan mensual'!L23+parametros_recargas!$H$78*'Plan mensual'!L24+parametros_recargas!$I$78*'Plan mensual'!L25+parametros_recargas!$J$78*'Plan mensual'!L26+parametros_recargas!$K$78*'Plan mensual'!L27+parametros_recargas!$L$78*'Plan mensual'!L28</f>
        <v>10.6523595164456</v>
      </c>
      <c r="K8" s="25" t="n">
        <f aca="false">parametros_recargas!$E$78*'Plan mensual'!M21+parametros_recargas!$F$78*'Plan mensual'!M22+parametros_recargas!$G$78*'Plan mensual'!M23+parametros_recargas!$H$78*'Plan mensual'!M24+parametros_recargas!$I$78*'Plan mensual'!M25+parametros_recargas!$J$78*'Plan mensual'!M26+parametros_recargas!$K$78*'Plan mensual'!M27+parametros_recargas!$L$78*'Plan mensual'!M28</f>
        <v>12.0724670885713</v>
      </c>
      <c r="L8" s="25" t="n">
        <f aca="false">parametros_recargas!$E$78*'Plan mensual'!N21+parametros_recargas!$F$78*'Plan mensual'!N22+parametros_recargas!$G$78*'Plan mensual'!N23+parametros_recargas!$H$78*'Plan mensual'!N24+parametros_recargas!$I$78*'Plan mensual'!N25+parametros_recargas!$J$78*'Plan mensual'!N26+parametros_recargas!$K$78*'Plan mensual'!N27+parametros_recargas!$L$78*'Plan mensual'!N28</f>
        <v>13.6818947369951</v>
      </c>
      <c r="M8" s="25" t="n">
        <f aca="false">parametros_recargas!$E$78*'Plan mensual'!O21+parametros_recargas!$F$78*'Plan mensual'!O22+parametros_recargas!$G$78*'Plan mensual'!O23+parametros_recargas!$H$78*'Plan mensual'!O24+parametros_recargas!$I$78*'Plan mensual'!O25+parametros_recargas!$J$78*'Plan mensual'!O26+parametros_recargas!$K$78*'Plan mensual'!O27+parametros_recargas!$L$78*'Plan mensual'!O28</f>
        <v>15.5058814590952</v>
      </c>
      <c r="N8" s="7" t="n">
        <f aca="false">SUM(B8:M8)</f>
        <v>102.456093212436</v>
      </c>
      <c r="O8" s="26" t="n">
        <f aca="false">MAX(B8:M8)</f>
        <v>15.5058814590952</v>
      </c>
      <c r="P8" s="15" t="n">
        <f aca="false">O8/parametros_recargas!$B$6</f>
        <v>0.103372543060635</v>
      </c>
    </row>
    <row r="9" customFormat="false" ht="15" hidden="false" customHeight="false" outlineLevel="0" collapsed="false">
      <c r="A9" s="12" t="str">
        <f aca="false">parametros_recargas!$B$79</f>
        <v>Recuperación de halogenado</v>
      </c>
      <c r="B9" s="25" t="n">
        <f aca="false">parametros_recargas!$E$79*'Plan mensual'!D21+parametros_recargas!$F$79*'Plan mensual'!D22+parametros_recargas!$G$79*'Plan mensual'!D23+parametros_recargas!$H$79*'Plan mensual'!D24+parametros_recargas!$I$79*'Plan mensual'!D25+parametros_recargas!$J$79*'Plan mensual'!D26+parametros_recargas!$K$79*'Plan mensual'!D27+parametros_recargas!$L$79*'Plan mensual'!D28</f>
        <v>0.123769481318438</v>
      </c>
      <c r="C9" s="25" t="n">
        <f aca="false">parametros_recargas!$E$79*'Plan mensual'!E21+parametros_recargas!$F$79*'Plan mensual'!E22+parametros_recargas!$G$79*'Plan mensual'!E23+parametros_recargas!$H$79*'Plan mensual'!E24+parametros_recargas!$I$79*'Plan mensual'!E25+parametros_recargas!$J$79*'Plan mensual'!E26+parametros_recargas!$K$79*'Plan mensual'!E27+parametros_recargas!$L$79*'Plan mensual'!E28</f>
        <v>0.140269673350732</v>
      </c>
      <c r="D9" s="25" t="n">
        <f aca="false">parametros_recargas!$E$79*'Plan mensual'!F21+parametros_recargas!$F$79*'Plan mensual'!F22+parametros_recargas!$G$79*'Plan mensual'!F23+parametros_recargas!$H$79*'Plan mensual'!F24+parametros_recargas!$I$79*'Plan mensual'!F25+parametros_recargas!$J$79*'Plan mensual'!F26+parametros_recargas!$K$79*'Plan mensual'!F27+parametros_recargas!$L$79*'Plan mensual'!F28</f>
        <v>0.158969570303838</v>
      </c>
      <c r="E9" s="25" t="n">
        <f aca="false">parametros_recargas!$E$79*'Plan mensual'!G21+parametros_recargas!$F$79*'Plan mensual'!G22+parametros_recargas!$G$79*'Plan mensual'!G23+parametros_recargas!$H$79*'Plan mensual'!G24+parametros_recargas!$I$79*'Plan mensual'!G25+parametros_recargas!$J$79*'Plan mensual'!G26+parametros_recargas!$K$79*'Plan mensual'!G27+parametros_recargas!$L$79*'Plan mensual'!G28</f>
        <v>0.180162423415631</v>
      </c>
      <c r="F9" s="25" t="n">
        <f aca="false">parametros_recargas!$E$79*'Plan mensual'!H21+parametros_recargas!$F$79*'Plan mensual'!H22+parametros_recargas!$G$79*'Plan mensual'!H23+parametros_recargas!$H$79*'Plan mensual'!H24+parametros_recargas!$I$79*'Plan mensual'!H25+parametros_recargas!$J$79*'Plan mensual'!H26+parametros_recargas!$K$79*'Plan mensual'!H27+parametros_recargas!$L$79*'Plan mensual'!H28</f>
        <v>0.204180578389659</v>
      </c>
      <c r="G9" s="25" t="n">
        <f aca="false">parametros_recargas!$E$79*'Plan mensual'!I21+parametros_recargas!$F$79*'Plan mensual'!I22+parametros_recargas!$G$79*'Plan mensual'!I23+parametros_recargas!$H$79*'Plan mensual'!I24+parametros_recargas!$I$79*'Plan mensual'!I25+parametros_recargas!$J$79*'Plan mensual'!I26+parametros_recargas!$K$79*'Plan mensual'!I27+parametros_recargas!$L$79*'Plan mensual'!I28</f>
        <v>0.231400687230757</v>
      </c>
      <c r="H9" s="25" t="n">
        <f aca="false">parametros_recargas!$E$79*'Plan mensual'!J21+parametros_recargas!$F$79*'Plan mensual'!J22+parametros_recargas!$G$79*'Plan mensual'!J23+parametros_recargas!$H$79*'Plan mensual'!J24+parametros_recargas!$I$79*'Plan mensual'!J25+parametros_recargas!$J$79*'Plan mensual'!J26+parametros_recargas!$K$79*'Plan mensual'!J27+parametros_recargas!$L$79*'Plan mensual'!J28</f>
        <v>0.262249614890789</v>
      </c>
      <c r="I9" s="25" t="n">
        <f aca="false">parametros_recargas!$E$79*'Plan mensual'!K21+parametros_recargas!$F$79*'Plan mensual'!K22+parametros_recargas!$G$79*'Plan mensual'!K23+parametros_recargas!$H$79*'Plan mensual'!K24+parametros_recargas!$I$79*'Plan mensual'!K25+parametros_recargas!$J$79*'Plan mensual'!K26+parametros_recargas!$K$79*'Plan mensual'!K27+parametros_recargas!$L$79*'Plan mensual'!K28</f>
        <v>0.297211133352355</v>
      </c>
      <c r="J9" s="25" t="n">
        <f aca="false">parametros_recargas!$E$79*'Plan mensual'!L21+parametros_recargas!$F$79*'Plan mensual'!L22+parametros_recargas!$G$79*'Plan mensual'!L23+parametros_recargas!$H$79*'Plan mensual'!L24+parametros_recargas!$I$79*'Plan mensual'!L25+parametros_recargas!$J$79*'Plan mensual'!L26+parametros_recargas!$K$79*'Plan mensual'!L27+parametros_recargas!$L$79*'Plan mensual'!L28</f>
        <v>0.336833508126894</v>
      </c>
      <c r="K9" s="25" t="n">
        <f aca="false">parametros_recargas!$E$79*'Plan mensual'!M21+parametros_recargas!$F$79*'Plan mensual'!M22+parametros_recargas!$G$79*'Plan mensual'!M23+parametros_recargas!$H$79*'Plan mensual'!M24+parametros_recargas!$I$79*'Plan mensual'!M25+parametros_recargas!$J$79*'Plan mensual'!M26+parametros_recargas!$K$79*'Plan mensual'!M27+parametros_recargas!$L$79*'Plan mensual'!M28</f>
        <v>0.381738096138421</v>
      </c>
      <c r="L9" s="25" t="n">
        <f aca="false">parametros_recargas!$E$79*'Plan mensual'!N21+parametros_recargas!$F$79*'Plan mensual'!N22+parametros_recargas!$G$79*'Plan mensual'!N23+parametros_recargas!$H$79*'Plan mensual'!N24+parametros_recargas!$I$79*'Plan mensual'!N25+parametros_recargas!$J$79*'Plan mensual'!N26+parametros_recargas!$K$79*'Plan mensual'!N27+parametros_recargas!$L$79*'Plan mensual'!N28</f>
        <v>0.432629089824663</v>
      </c>
      <c r="M9" s="25" t="n">
        <f aca="false">parametros_recargas!$E$79*'Plan mensual'!O21+parametros_recargas!$F$79*'Plan mensual'!O22+parametros_recargas!$G$79*'Plan mensual'!O23+parametros_recargas!$H$79*'Plan mensual'!O24+parametros_recargas!$I$79*'Plan mensual'!O25+parametros_recargas!$J$79*'Plan mensual'!O26+parametros_recargas!$K$79*'Plan mensual'!O27+parametros_recargas!$L$79*'Plan mensual'!O28</f>
        <v>0.490304560262301</v>
      </c>
      <c r="N9" s="7" t="n">
        <f aca="false">SUM(B9:M9)</f>
        <v>3.23971841660448</v>
      </c>
      <c r="O9" s="26" t="n">
        <f aca="false">MAX(B9:M9)</f>
        <v>0.490304560262301</v>
      </c>
      <c r="P9" s="15" t="n">
        <f aca="false">O9/parametros_recargas!$B$6</f>
        <v>0.00326869706841534</v>
      </c>
    </row>
    <row r="10" customFormat="false" ht="15" hidden="false" customHeight="false" outlineLevel="0" collapsed="false">
      <c r="A10" s="12" t="str">
        <f aca="false">parametros_recargas!$B$80</f>
        <v>Desarme y limpieza — recinto</v>
      </c>
      <c r="B10" s="25" t="n">
        <f aca="false">parametros_recargas!$E$80*'Plan mensual'!D21+parametros_recargas!$F$80*'Plan mensual'!D22+parametros_recargas!$G$80*'Plan mensual'!D23+parametros_recargas!$H$80*'Plan mensual'!D24+parametros_recargas!$I$80*'Plan mensual'!D25+parametros_recargas!$J$80*'Plan mensual'!D26+parametros_recargas!$K$80*'Plan mensual'!D27+parametros_recargas!$L$80*'Plan mensual'!D28</f>
        <v>165.91298682161</v>
      </c>
      <c r="C10" s="25" t="n">
        <f aca="false">parametros_recargas!$E$80*'Plan mensual'!E21+parametros_recargas!$F$80*'Plan mensual'!E22+parametros_recargas!$G$80*'Plan mensual'!E23+parametros_recargas!$H$80*'Plan mensual'!E24+parametros_recargas!$I$80*'Plan mensual'!E25+parametros_recargas!$J$80*'Plan mensual'!E26+parametros_recargas!$K$80*'Plan mensual'!E27+parametros_recargas!$L$80*'Plan mensual'!E28</f>
        <v>188.031493856188</v>
      </c>
      <c r="D10" s="25" t="n">
        <f aca="false">parametros_recargas!$E$80*'Plan mensual'!F21+parametros_recargas!$F$80*'Plan mensual'!F22+parametros_recargas!$G$80*'Plan mensual'!F23+parametros_recargas!$H$80*'Plan mensual'!F24+parametros_recargas!$I$80*'Plan mensual'!F25+parametros_recargas!$J$80*'Plan mensual'!F26+parametros_recargas!$K$80*'Plan mensual'!F27+parametros_recargas!$L$80*'Plan mensual'!F28</f>
        <v>213.098705285827</v>
      </c>
      <c r="E10" s="25" t="n">
        <f aca="false">parametros_recargas!$E$80*'Plan mensual'!G21+parametros_recargas!$F$80*'Plan mensual'!G22+parametros_recargas!$G$80*'Plan mensual'!G23+parametros_recargas!$H$80*'Plan mensual'!G24+parametros_recargas!$I$80*'Plan mensual'!G25+parametros_recargas!$J$80*'Plan mensual'!G26+parametros_recargas!$K$80*'Plan mensual'!G27+parametros_recargas!$L$80*'Plan mensual'!G28</f>
        <v>241.507724388063</v>
      </c>
      <c r="F10" s="25" t="n">
        <f aca="false">parametros_recargas!$E$80*'Plan mensual'!H21+parametros_recargas!$F$80*'Plan mensual'!H22+parametros_recargas!$G$80*'Plan mensual'!H23+parametros_recargas!$H$80*'Plan mensual'!H24+parametros_recargas!$I$80*'Plan mensual'!H25+parametros_recargas!$J$80*'Plan mensual'!H26+parametros_recargas!$K$80*'Plan mensual'!H27+parametros_recargas!$L$80*'Plan mensual'!H28</f>
        <v>273.70406057075</v>
      </c>
      <c r="G10" s="25" t="n">
        <f aca="false">parametros_recargas!$E$80*'Plan mensual'!I21+parametros_recargas!$F$80*'Plan mensual'!I22+parametros_recargas!$G$80*'Plan mensual'!I23+parametros_recargas!$H$80*'Plan mensual'!I24+parametros_recargas!$I$80*'Plan mensual'!I25+parametros_recargas!$J$80*'Plan mensual'!I26+parametros_recargas!$K$80*'Plan mensual'!I27+parametros_recargas!$L$80*'Plan mensual'!I28</f>
        <v>310.192615837589</v>
      </c>
      <c r="H10" s="25" t="n">
        <f aca="false">parametros_recargas!$E$80*'Plan mensual'!J21+parametros_recargas!$F$80*'Plan mensual'!J22+parametros_recargas!$G$80*'Plan mensual'!J23+parametros_recargas!$H$80*'Plan mensual'!J24+parametros_recargas!$I$80*'Plan mensual'!J25+parametros_recargas!$J$80*'Plan mensual'!J26+parametros_recargas!$K$80*'Plan mensual'!J27+parametros_recargas!$L$80*'Plan mensual'!J28</f>
        <v>351.545602646602</v>
      </c>
      <c r="I10" s="25" t="n">
        <f aca="false">parametros_recargas!$E$80*'Plan mensual'!K21+parametros_recargas!$F$80*'Plan mensual'!K22+parametros_recargas!$G$80*'Plan mensual'!K23+parametros_recargas!$H$80*'Plan mensual'!K24+parametros_recargas!$I$80*'Plan mensual'!K25+parametros_recargas!$J$80*'Plan mensual'!K26+parametros_recargas!$K$80*'Plan mensual'!K27+parametros_recargas!$L$80*'Plan mensual'!K28</f>
        <v>398.411517329183</v>
      </c>
      <c r="J10" s="25" t="n">
        <f aca="false">parametros_recargas!$E$80*'Plan mensual'!L21+parametros_recargas!$F$80*'Plan mensual'!L22+parametros_recargas!$G$80*'Plan mensual'!L23+parametros_recargas!$H$80*'Plan mensual'!L24+parametros_recargas!$I$80*'Plan mensual'!L25+parametros_recargas!$J$80*'Plan mensual'!L26+parametros_recargas!$K$80*'Plan mensual'!L27+parametros_recargas!$L$80*'Plan mensual'!L28</f>
        <v>451.525309790634</v>
      </c>
      <c r="K10" s="25" t="n">
        <f aca="false">parametros_recargas!$E$80*'Plan mensual'!M21+parametros_recargas!$F$80*'Plan mensual'!M22+parametros_recargas!$G$80*'Plan mensual'!M23+parametros_recargas!$H$80*'Plan mensual'!M24+parametros_recargas!$I$80*'Plan mensual'!M25+parametros_recargas!$J$80*'Plan mensual'!M26+parametros_recargas!$K$80*'Plan mensual'!M27+parametros_recargas!$L$80*'Plan mensual'!M28</f>
        <v>511.71990897311</v>
      </c>
      <c r="L10" s="25" t="n">
        <f aca="false">parametros_recargas!$E$80*'Plan mensual'!N21+parametros_recargas!$F$80*'Plan mensual'!N22+parametros_recargas!$G$80*'Plan mensual'!N23+parametros_recargas!$H$80*'Plan mensual'!N24+parametros_recargas!$I$80*'Plan mensual'!N25+parametros_recargas!$J$80*'Plan mensual'!N26+parametros_recargas!$K$80*'Plan mensual'!N27+parametros_recargas!$L$80*'Plan mensual'!N28</f>
        <v>579.939284822964</v>
      </c>
      <c r="M10" s="25" t="n">
        <f aca="false">parametros_recargas!$E$80*'Plan mensual'!O21+parametros_recargas!$F$80*'Plan mensual'!O22+parametros_recargas!$G$80*'Plan mensual'!O23+parametros_recargas!$H$80*'Plan mensual'!O24+parametros_recargas!$I$80*'Plan mensual'!O25+parametros_recargas!$J$80*'Plan mensual'!O26+parametros_recargas!$K$80*'Plan mensual'!O27+parametros_recargas!$L$80*'Plan mensual'!O28</f>
        <v>657.253251599881</v>
      </c>
      <c r="N10" s="7" t="n">
        <f aca="false">SUM(B10:M10)</f>
        <v>4342.8424619224</v>
      </c>
      <c r="O10" s="26" t="n">
        <f aca="false">MAX(B10:M10)</f>
        <v>657.253251599881</v>
      </c>
      <c r="P10" s="15" t="n">
        <f aca="false">O10/parametros_recargas!$B$6</f>
        <v>4.38168834399921</v>
      </c>
    </row>
    <row r="11" customFormat="false" ht="15" hidden="false" customHeight="false" outlineLevel="0" collapsed="false">
      <c r="A11" s="12" t="str">
        <f aca="false">parametros_recargas!$B$81</f>
        <v>Desarme e inspección interior — zona general</v>
      </c>
      <c r="B11" s="25" t="n">
        <f aca="false">parametros_recargas!$E$81*'Plan mensual'!D21+parametros_recargas!$F$81*'Plan mensual'!D22+parametros_recargas!$G$81*'Plan mensual'!D23+parametros_recargas!$H$81*'Plan mensual'!D24+parametros_recargas!$I$81*'Plan mensual'!D25+parametros_recargas!$J$81*'Plan mensual'!D26+parametros_recargas!$K$81*'Plan mensual'!D27+parametros_recargas!$L$81*'Plan mensual'!D28</f>
        <v>12.1448801155915</v>
      </c>
      <c r="C11" s="25" t="n">
        <f aca="false">parametros_recargas!$E$81*'Plan mensual'!E21+parametros_recargas!$F$81*'Plan mensual'!E22+parametros_recargas!$G$81*'Plan mensual'!E23+parametros_recargas!$H$81*'Plan mensual'!E24+parametros_recargas!$I$81*'Plan mensual'!E25+parametros_recargas!$J$81*'Plan mensual'!E26+parametros_recargas!$K$81*'Plan mensual'!E27+parametros_recargas!$L$81*'Plan mensual'!E28</f>
        <v>13.7639614269276</v>
      </c>
      <c r="D11" s="25" t="n">
        <f aca="false">parametros_recargas!$E$81*'Plan mensual'!F21+parametros_recargas!$F$81*'Plan mensual'!F22+parametros_recargas!$G$81*'Plan mensual'!F23+parametros_recargas!$H$81*'Plan mensual'!F24+parametros_recargas!$I$81*'Plan mensual'!F25+parametros_recargas!$J$81*'Plan mensual'!F26+parametros_recargas!$K$81*'Plan mensual'!F27+parametros_recargas!$L$81*'Plan mensual'!F28</f>
        <v>15.5988887793746</v>
      </c>
      <c r="E11" s="25" t="n">
        <f aca="false">parametros_recargas!$E$81*'Plan mensual'!G21+parametros_recargas!$F$81*'Plan mensual'!G22+parametros_recargas!$G$81*'Plan mensual'!G23+parametros_recargas!$H$81*'Plan mensual'!G24+parametros_recargas!$I$81*'Plan mensual'!G25+parametros_recargas!$J$81*'Plan mensual'!G26+parametros_recargas!$K$81*'Plan mensual'!G27+parametros_recargas!$L$81*'Plan mensual'!G28</f>
        <v>17.6784374500834</v>
      </c>
      <c r="F11" s="25" t="n">
        <f aca="false">parametros_recargas!$E$81*'Plan mensual'!H21+parametros_recargas!$F$81*'Plan mensual'!H22+parametros_recargas!$G$81*'Plan mensual'!H23+parametros_recargas!$H$81*'Plan mensual'!H24+parametros_recargas!$I$81*'Plan mensual'!H25+parametros_recargas!$J$81*'Plan mensual'!H26+parametros_recargas!$K$81*'Plan mensual'!H27+parametros_recargas!$L$81*'Plan mensual'!H28</f>
        <v>20.0352188605733</v>
      </c>
      <c r="G11" s="25" t="n">
        <f aca="false">parametros_recargas!$E$81*'Plan mensual'!I21+parametros_recargas!$F$81*'Plan mensual'!I22+parametros_recargas!$G$81*'Plan mensual'!I23+parametros_recargas!$H$81*'Plan mensual'!I24+parametros_recargas!$I$81*'Plan mensual'!I25+parametros_recargas!$J$81*'Plan mensual'!I26+parametros_recargas!$K$81*'Plan mensual'!I27+parametros_recargas!$L$81*'Plan mensual'!I28</f>
        <v>22.7061919880921</v>
      </c>
      <c r="H11" s="25" t="n">
        <f aca="false">parametros_recargas!$E$81*'Plan mensual'!J21+parametros_recargas!$F$81*'Plan mensual'!J22+parametros_recargas!$G$81*'Plan mensual'!J23+parametros_recargas!$H$81*'Plan mensual'!J24+parametros_recargas!$I$81*'Plan mensual'!J25+parametros_recargas!$J$81*'Plan mensual'!J26+parametros_recargas!$K$81*'Plan mensual'!J27+parametros_recargas!$L$81*'Plan mensual'!J28</f>
        <v>25.7332429552179</v>
      </c>
      <c r="I11" s="25" t="n">
        <f aca="false">parametros_recargas!$E$81*'Plan mensual'!K21+parametros_recargas!$F$81*'Plan mensual'!K22+parametros_recargas!$G$81*'Plan mensual'!K23+parametros_recargas!$H$81*'Plan mensual'!K24+parametros_recargas!$I$81*'Plan mensual'!K25+parametros_recargas!$J$81*'Plan mensual'!K26+parametros_recargas!$K$81*'Plan mensual'!K27+parametros_recargas!$L$81*'Plan mensual'!K28</f>
        <v>29.1638418868102</v>
      </c>
      <c r="J11" s="25" t="n">
        <f aca="false">parametros_recargas!$E$81*'Plan mensual'!L21+parametros_recargas!$F$81*'Plan mensual'!L22+parametros_recargas!$G$81*'Plan mensual'!L23+parametros_recargas!$H$81*'Plan mensual'!L24+parametros_recargas!$I$81*'Plan mensual'!L25+parametros_recargas!$J$81*'Plan mensual'!L26+parametros_recargas!$K$81*'Plan mensual'!L27+parametros_recargas!$L$81*'Plan mensual'!L28</f>
        <v>33.051787335121</v>
      </c>
      <c r="K11" s="25" t="n">
        <f aca="false">parametros_recargas!$E$81*'Plan mensual'!M21+parametros_recargas!$F$81*'Plan mensual'!M22+parametros_recargas!$G$81*'Plan mensual'!M23+parametros_recargas!$H$81*'Plan mensual'!M24+parametros_recargas!$I$81*'Plan mensual'!M25+parametros_recargas!$J$81*'Plan mensual'!M26+parametros_recargas!$K$81*'Plan mensual'!M27+parametros_recargas!$L$81*'Plan mensual'!M28</f>
        <v>37.4580499471207</v>
      </c>
      <c r="L11" s="25" t="n">
        <f aca="false">parametros_recargas!$E$81*'Plan mensual'!N21+parametros_recargas!$F$81*'Plan mensual'!N22+parametros_recargas!$G$81*'Plan mensual'!N23+parametros_recargas!$H$81*'Plan mensual'!N24+parametros_recargas!$I$81*'Plan mensual'!N25+parametros_recargas!$J$81*'Plan mensual'!N26+parametros_recargas!$K$81*'Plan mensual'!N27+parametros_recargas!$L$81*'Plan mensual'!N28</f>
        <v>42.4517286044026</v>
      </c>
      <c r="M11" s="25" t="n">
        <f aca="false">parametros_recargas!$E$81*'Plan mensual'!O21+parametros_recargas!$F$81*'Plan mensual'!O22+parametros_recargas!$G$81*'Plan mensual'!O23+parametros_recargas!$H$81*'Plan mensual'!O24+parametros_recargas!$I$81*'Plan mensual'!O25+parametros_recargas!$J$81*'Plan mensual'!O26+parametros_recargas!$K$81*'Plan mensual'!O27+parametros_recargas!$L$81*'Plan mensual'!O28</f>
        <v>48.1111340298263</v>
      </c>
      <c r="N11" s="7" t="n">
        <f aca="false">SUM(B11:M11)</f>
        <v>317.897363379141</v>
      </c>
      <c r="O11" s="26" t="n">
        <f aca="false">MAX(B11:M11)</f>
        <v>48.1111340298263</v>
      </c>
      <c r="P11" s="15" t="n">
        <f aca="false">O11/parametros_recargas!$B$6</f>
        <v>0.320740893532175</v>
      </c>
    </row>
    <row r="12" customFormat="false" ht="15" hidden="false" customHeight="false" outlineLevel="0" collapsed="false">
      <c r="A12" s="12" t="str">
        <f aca="false">parametros_recargas!$B$82</f>
        <v>Laboratorio — Puffer y mufla</v>
      </c>
      <c r="B12" s="25" t="n">
        <f aca="false">parametros_recargas!$E$82*'Plan mensual'!D21+parametros_recargas!$F$82*'Plan mensual'!D22+parametros_recargas!$G$82*'Plan mensual'!D23+parametros_recargas!$H$82*'Plan mensual'!D24+parametros_recargas!$I$82*'Plan mensual'!D25+parametros_recargas!$J$82*'Plan mensual'!D26+parametros_recargas!$K$82*'Plan mensual'!D27+parametros_recargas!$L$82*'Plan mensual'!D28</f>
        <v>0.165727332609829</v>
      </c>
      <c r="C12" s="25" t="n">
        <f aca="false">parametros_recargas!$E$82*'Plan mensual'!E21+parametros_recargas!$F$82*'Plan mensual'!E22+parametros_recargas!$G$82*'Plan mensual'!E23+parametros_recargas!$H$82*'Plan mensual'!E24+parametros_recargas!$I$82*'Plan mensual'!E25+parametros_recargas!$J$82*'Plan mensual'!E26+parametros_recargas!$K$82*'Plan mensual'!E27+parametros_recargas!$L$82*'Plan mensual'!E28</f>
        <v>0.187821089357718</v>
      </c>
      <c r="D12" s="25" t="n">
        <f aca="false">parametros_recargas!$E$82*'Plan mensual'!F21+parametros_recargas!$F$82*'Plan mensual'!F22+parametros_recargas!$G$82*'Plan mensual'!F23+parametros_recargas!$H$82*'Plan mensual'!F24+parametros_recargas!$I$82*'Plan mensual'!F25+parametros_recargas!$J$82*'Plan mensual'!F26+parametros_recargas!$K$82*'Plan mensual'!F27+parametros_recargas!$L$82*'Plan mensual'!F28</f>
        <v>0.212860250943468</v>
      </c>
      <c r="E12" s="25" t="n">
        <f aca="false">parametros_recargas!$E$82*'Plan mensual'!G21+parametros_recargas!$F$82*'Plan mensual'!G22+parametros_recargas!$G$82*'Plan mensual'!G23+parametros_recargas!$H$82*'Plan mensual'!G24+parametros_recargas!$I$82*'Plan mensual'!G25+parametros_recargas!$J$82*'Plan mensual'!G26+parametros_recargas!$K$82*'Plan mensual'!G27+parametros_recargas!$L$82*'Plan mensual'!G28</f>
        <v>0.241237480767782</v>
      </c>
      <c r="F12" s="25" t="n">
        <f aca="false">parametros_recargas!$E$82*'Plan mensual'!H21+parametros_recargas!$F$82*'Plan mensual'!H22+parametros_recargas!$G$82*'Plan mensual'!H23+parametros_recargas!$H$82*'Plan mensual'!H24+parametros_recargas!$I$82*'Plan mensual'!H25+parametros_recargas!$J$82*'Plan mensual'!H26+parametros_recargas!$K$82*'Plan mensual'!H27+parametros_recargas!$L$82*'Plan mensual'!H28</f>
        <v>0.273397789719987</v>
      </c>
      <c r="G12" s="25" t="n">
        <f aca="false">parametros_recargas!$E$82*'Plan mensual'!I21+parametros_recargas!$F$82*'Plan mensual'!I22+parametros_recargas!$G$82*'Plan mensual'!I23+parametros_recargas!$H$82*'Plan mensual'!I24+parametros_recargas!$I$82*'Plan mensual'!I25+parametros_recargas!$J$82*'Plan mensual'!I26+parametros_recargas!$K$82*'Plan mensual'!I27+parametros_recargas!$L$82*'Plan mensual'!I28</f>
        <v>0.309845514825808</v>
      </c>
      <c r="H12" s="25" t="n">
        <f aca="false">parametros_recargas!$E$82*'Plan mensual'!J21+parametros_recargas!$F$82*'Plan mensual'!J22+parametros_recargas!$G$82*'Plan mensual'!J23+parametros_recargas!$H$82*'Plan mensual'!J24+parametros_recargas!$I$82*'Plan mensual'!J25+parametros_recargas!$J$82*'Plan mensual'!J26+parametros_recargas!$K$82*'Plan mensual'!J27+parametros_recargas!$L$82*'Plan mensual'!J28</f>
        <v>0.351152228245871</v>
      </c>
      <c r="I12" s="25" t="n">
        <f aca="false">parametros_recargas!$E$82*'Plan mensual'!K21+parametros_recargas!$F$82*'Plan mensual'!K22+parametros_recargas!$G$82*'Plan mensual'!K23+parametros_recargas!$H$82*'Plan mensual'!K24+parametros_recargas!$I$82*'Plan mensual'!K25+parametros_recargas!$J$82*'Plan mensual'!K26+parametros_recargas!$K$82*'Plan mensual'!K27+parametros_recargas!$L$82*'Plan mensual'!K28</f>
        <v>0.397965700653641</v>
      </c>
      <c r="J12" s="25" t="n">
        <f aca="false">parametros_recargas!$E$82*'Plan mensual'!L21+parametros_recargas!$F$82*'Plan mensual'!L22+parametros_recargas!$G$82*'Plan mensual'!L23+parametros_recargas!$H$82*'Plan mensual'!L24+parametros_recargas!$I$82*'Plan mensual'!L25+parametros_recargas!$J$82*'Plan mensual'!L26+parametros_recargas!$K$82*'Plan mensual'!L27+parametros_recargas!$L$82*'Plan mensual'!L28</f>
        <v>0.451020059556195</v>
      </c>
      <c r="K12" s="25" t="n">
        <f aca="false">parametros_recargas!$E$82*'Plan mensual'!M21+parametros_recargas!$F$82*'Plan mensual'!M22+parametros_recargas!$G$82*'Plan mensual'!M23+parametros_recargas!$H$82*'Plan mensual'!M24+parametros_recargas!$I$82*'Plan mensual'!M25+parametros_recargas!$J$82*'Plan mensual'!M26+parametros_recargas!$K$82*'Plan mensual'!M27+parametros_recargas!$L$82*'Plan mensual'!M28</f>
        <v>0.511147301860353</v>
      </c>
      <c r="L12" s="25" t="n">
        <f aca="false">parametros_recargas!$E$82*'Plan mensual'!N21+parametros_recargas!$F$82*'Plan mensual'!N22+parametros_recargas!$G$82*'Plan mensual'!N23+parametros_recargas!$H$82*'Plan mensual'!N24+parametros_recargas!$I$82*'Plan mensual'!N25+parametros_recargas!$J$82*'Plan mensual'!N26+parametros_recargas!$K$82*'Plan mensual'!N27+parametros_recargas!$L$82*'Plan mensual'!N28</f>
        <v>0.579290341223871</v>
      </c>
      <c r="M12" s="25" t="n">
        <f aca="false">parametros_recargas!$E$82*'Plan mensual'!O21+parametros_recargas!$F$82*'Plan mensual'!O22+parametros_recargas!$G$82*'Plan mensual'!O23+parametros_recargas!$H$82*'Plan mensual'!O24+parametros_recargas!$I$82*'Plan mensual'!O25+parametros_recargas!$J$82*'Plan mensual'!O26+parametros_recargas!$K$82*'Plan mensual'!O27+parametros_recargas!$L$82*'Plan mensual'!O28</f>
        <v>0.656517794799882</v>
      </c>
      <c r="N12" s="7" t="n">
        <f aca="false">SUM(B12:M12)</f>
        <v>4.3379828845644</v>
      </c>
      <c r="O12" s="26" t="n">
        <f aca="false">MAX(B12:M12)</f>
        <v>0.656517794799882</v>
      </c>
      <c r="P12" s="15" t="n">
        <f aca="false">O12/parametros_recargas!$B$6</f>
        <v>0.00437678529866588</v>
      </c>
    </row>
    <row r="13" customFormat="false" ht="15" hidden="false" customHeight="false" outlineLevel="0" collapsed="false">
      <c r="A13" s="12" t="str">
        <f aca="false">parametros_recargas!$B$83</f>
        <v>Prueba hidráulica</v>
      </c>
      <c r="B13" s="25" t="n">
        <f aca="false">parametros_recargas!$E$83*'Plan mensual'!D21+parametros_recargas!$F$83*'Plan mensual'!D22+parametros_recargas!$G$83*'Plan mensual'!D23+parametros_recargas!$H$83*'Plan mensual'!D24+parametros_recargas!$I$83*'Plan mensual'!D25+parametros_recargas!$J$83*'Plan mensual'!D26+parametros_recargas!$K$83*'Plan mensual'!D27+parametros_recargas!$L$83*'Plan mensual'!D28</f>
        <v>40.4664312008926</v>
      </c>
      <c r="C13" s="25" t="n">
        <f aca="false">parametros_recargas!$E$83*'Plan mensual'!E21+parametros_recargas!$F$83*'Plan mensual'!E22+parametros_recargas!$G$83*'Plan mensual'!E23+parametros_recargas!$H$83*'Plan mensual'!E24+parametros_recargas!$I$83*'Plan mensual'!E25+parametros_recargas!$J$83*'Plan mensual'!E26+parametros_recargas!$K$83*'Plan mensual'!E27+parametros_recargas!$L$83*'Plan mensual'!E28</f>
        <v>45.8611688903755</v>
      </c>
      <c r="D13" s="25" t="n">
        <f aca="false">parametros_recargas!$E$83*'Plan mensual'!F21+parametros_recargas!$F$83*'Plan mensual'!F22+parametros_recargas!$G$83*'Plan mensual'!F23+parametros_recargas!$H$83*'Plan mensual'!F24+parametros_recargas!$I$83*'Plan mensual'!F25+parametros_recargas!$J$83*'Plan mensual'!F26+parametros_recargas!$K$83*'Plan mensual'!F27+parametros_recargas!$L$83*'Plan mensual'!F28</f>
        <v>51.9751000909897</v>
      </c>
      <c r="E13" s="25" t="n">
        <f aca="false">parametros_recargas!$E$83*'Plan mensual'!G21+parametros_recargas!$F$83*'Plan mensual'!G22+parametros_recargas!$G$83*'Plan mensual'!G23+parametros_recargas!$H$83*'Plan mensual'!G24+parametros_recargas!$I$83*'Plan mensual'!G25+parametros_recargas!$J$83*'Plan mensual'!G26+parametros_recargas!$K$83*'Plan mensual'!G27+parametros_recargas!$L$83*'Plan mensual'!G28</f>
        <v>58.9041032932618</v>
      </c>
      <c r="F13" s="25" t="n">
        <f aca="false">parametros_recargas!$E$83*'Plan mensual'!H21+parametros_recargas!$F$83*'Plan mensual'!H22+parametros_recargas!$G$83*'Plan mensual'!H23+parametros_recargas!$H$83*'Plan mensual'!H24+parametros_recargas!$I$83*'Plan mensual'!H25+parametros_recargas!$J$83*'Plan mensual'!H26+parametros_recargas!$K$83*'Plan mensual'!H27+parametros_recargas!$L$83*'Plan mensual'!H28</f>
        <v>66.7568389230433</v>
      </c>
      <c r="G13" s="25" t="n">
        <f aca="false">parametros_recargas!$E$83*'Plan mensual'!I21+parametros_recargas!$F$83*'Plan mensual'!I22+parametros_recargas!$G$83*'Plan mensual'!I23+parametros_recargas!$H$83*'Plan mensual'!I24+parametros_recargas!$I$83*'Plan mensual'!I25+parametros_recargas!$J$83*'Plan mensual'!I26+parametros_recargas!$K$83*'Plan mensual'!I27+parametros_recargas!$L$83*'Plan mensual'!I28</f>
        <v>75.6564533511358</v>
      </c>
      <c r="H13" s="25" t="n">
        <f aca="false">parametros_recargas!$E$83*'Plan mensual'!J21+parametros_recargas!$F$83*'Plan mensual'!J22+parametros_recargas!$G$83*'Plan mensual'!J23+parametros_recargas!$H$83*'Plan mensual'!J24+parametros_recargas!$I$83*'Plan mensual'!J25+parametros_recargas!$J$83*'Plan mensual'!J26+parametros_recargas!$K$83*'Plan mensual'!J27+parametros_recargas!$L$83*'Plan mensual'!J28</f>
        <v>85.7425100710813</v>
      </c>
      <c r="I13" s="25" t="n">
        <f aca="false">parametros_recargas!$E$83*'Plan mensual'!K21+parametros_recargas!$F$83*'Plan mensual'!K22+parametros_recargas!$G$83*'Plan mensual'!K23+parametros_recargas!$H$83*'Plan mensual'!K24+parametros_recargas!$I$83*'Plan mensual'!K25+parametros_recargas!$J$83*'Plan mensual'!K26+parametros_recargas!$K$83*'Plan mensual'!K27+parametros_recargas!$L$83*'Plan mensual'!K28</f>
        <v>97.1731783297916</v>
      </c>
      <c r="J13" s="25" t="n">
        <f aca="false">parametros_recargas!$E$83*'Plan mensual'!L21+parametros_recargas!$F$83*'Plan mensual'!L22+parametros_recargas!$G$83*'Plan mensual'!L23+parametros_recargas!$H$83*'Plan mensual'!L24+parametros_recargas!$I$83*'Plan mensual'!L25+parametros_recargas!$J$83*'Plan mensual'!L26+parametros_recargas!$K$83*'Plan mensual'!L27+parametros_recargas!$L$83*'Plan mensual'!L28</f>
        <v>110.127713533059</v>
      </c>
      <c r="K13" s="25" t="n">
        <f aca="false">parametros_recargas!$E$83*'Plan mensual'!M21+parametros_recargas!$F$83*'Plan mensual'!M22+parametros_recargas!$G$83*'Plan mensual'!M23+parametros_recargas!$H$83*'Plan mensual'!M24+parametros_recargas!$I$83*'Plan mensual'!M25+parametros_recargas!$J$83*'Plan mensual'!M26+parametros_recargas!$K$83*'Plan mensual'!M27+parametros_recargas!$L$83*'Plan mensual'!M28</f>
        <v>124.809268323595</v>
      </c>
      <c r="L13" s="25" t="n">
        <f aca="false">parametros_recargas!$E$83*'Plan mensual'!N21+parametros_recargas!$F$83*'Plan mensual'!N22+parametros_recargas!$G$83*'Plan mensual'!N23+parametros_recargas!$H$83*'Plan mensual'!N24+parametros_recargas!$I$83*'Plan mensual'!N25+parametros_recargas!$J$83*'Plan mensual'!N26+parametros_recargas!$K$83*'Plan mensual'!N27+parametros_recargas!$L$83*'Plan mensual'!N28</f>
        <v>141.44807841484</v>
      </c>
      <c r="M13" s="25" t="n">
        <f aca="false">parametros_recargas!$E$83*'Plan mensual'!O21+parametros_recargas!$F$83*'Plan mensual'!O22+parametros_recargas!$G$83*'Plan mensual'!O23+parametros_recargas!$H$83*'Plan mensual'!O24+parametros_recargas!$I$83*'Plan mensual'!O25+parametros_recargas!$J$83*'Plan mensual'!O26+parametros_recargas!$K$83*'Plan mensual'!O27+parametros_recargas!$L$83*'Plan mensual'!O28</f>
        <v>160.305073140697</v>
      </c>
      <c r="N13" s="7" t="n">
        <f aca="false">SUM(B13:M13)</f>
        <v>1059.22591756276</v>
      </c>
      <c r="O13" s="26" t="n">
        <f aca="false">MAX(B13:M13)</f>
        <v>160.305073140697</v>
      </c>
      <c r="P13" s="15" t="n">
        <f aca="false">O13/parametros_recargas!$B$6</f>
        <v>1.06870048760464</v>
      </c>
    </row>
    <row r="14" customFormat="false" ht="15" hidden="false" customHeight="false" outlineLevel="0" collapsed="false">
      <c r="A14" s="12" t="str">
        <f aca="false">parametros_recargas!$B$84</f>
        <v>Secado</v>
      </c>
      <c r="B14" s="25" t="n">
        <f aca="false">parametros_recargas!$E$84*'Plan mensual'!D21+parametros_recargas!$F$84*'Plan mensual'!D22+parametros_recargas!$G$84*'Plan mensual'!D23+parametros_recargas!$H$84*'Plan mensual'!D24+parametros_recargas!$I$84*'Plan mensual'!D25+parametros_recargas!$J$84*'Plan mensual'!D26+parametros_recargas!$K$84*'Plan mensual'!D27+parametros_recargas!$L$84*'Plan mensual'!D28</f>
        <v>38.0721106426045</v>
      </c>
      <c r="C14" s="25" t="n">
        <f aca="false">parametros_recargas!$E$84*'Plan mensual'!E21+parametros_recargas!$F$84*'Plan mensual'!E22+parametros_recargas!$G$84*'Plan mensual'!E23+parametros_recargas!$H$84*'Plan mensual'!E24+parametros_recargas!$I$84*'Plan mensual'!E25+parametros_recargas!$J$84*'Plan mensual'!E26+parametros_recargas!$K$84*'Plan mensual'!E27+parametros_recargas!$L$84*'Plan mensual'!E28</f>
        <v>43.1476521249305</v>
      </c>
      <c r="D14" s="25" t="n">
        <f aca="false">parametros_recargas!$E$84*'Plan mensual'!F21+parametros_recargas!$F$84*'Plan mensual'!F22+parametros_recargas!$G$84*'Plan mensual'!F23+parametros_recargas!$H$84*'Plan mensual'!F24+parametros_recargas!$I$84*'Plan mensual'!F25+parametros_recargas!$J$84*'Plan mensual'!F26+parametros_recargas!$K$84*'Plan mensual'!F27+parametros_recargas!$L$84*'Plan mensual'!F28</f>
        <v>48.8998338277223</v>
      </c>
      <c r="E14" s="25" t="n">
        <f aca="false">parametros_recargas!$E$84*'Plan mensual'!G21+parametros_recargas!$F$84*'Plan mensual'!G22+parametros_recargas!$G$84*'Plan mensual'!G23+parametros_recargas!$H$84*'Plan mensual'!G24+parametros_recargas!$I$84*'Plan mensual'!G25+parametros_recargas!$J$84*'Plan mensual'!G26+parametros_recargas!$K$84*'Plan mensual'!G27+parametros_recargas!$L$84*'Plan mensual'!G28</f>
        <v>55.4188612964466</v>
      </c>
      <c r="F14" s="25" t="n">
        <f aca="false">parametros_recargas!$E$84*'Plan mensual'!H21+parametros_recargas!$F$84*'Plan mensual'!H22+parametros_recargas!$G$84*'Plan mensual'!H23+parametros_recargas!$H$84*'Plan mensual'!H24+parametros_recargas!$I$84*'Plan mensual'!H25+parametros_recargas!$J$84*'Plan mensual'!H26+parametros_recargas!$K$84*'Plan mensual'!H27+parametros_recargas!$L$84*'Plan mensual'!H28</f>
        <v>62.8069657294753</v>
      </c>
      <c r="G14" s="25" t="n">
        <f aca="false">parametros_recargas!$E$84*'Plan mensual'!I21+parametros_recargas!$F$84*'Plan mensual'!I22+parametros_recargas!$G$84*'Plan mensual'!I23+parametros_recargas!$H$84*'Plan mensual'!I24+parametros_recargas!$I$84*'Plan mensual'!I25+parametros_recargas!$J$84*'Plan mensual'!I26+parametros_recargas!$K$84*'Plan mensual'!I27+parametros_recargas!$L$84*'Plan mensual'!I28</f>
        <v>71.1800071647523</v>
      </c>
      <c r="H14" s="25" t="n">
        <f aca="false">parametros_recargas!$E$84*'Plan mensual'!J21+parametros_recargas!$F$84*'Plan mensual'!J22+parametros_recargas!$G$84*'Plan mensual'!J23+parametros_recargas!$H$84*'Plan mensual'!J24+parametros_recargas!$I$84*'Plan mensual'!J25+parametros_recargas!$J$84*'Plan mensual'!J26+parametros_recargas!$K$84*'Plan mensual'!J27+parametros_recargas!$L$84*'Plan mensual'!J28</f>
        <v>80.6692913935251</v>
      </c>
      <c r="I14" s="25" t="n">
        <f aca="false">parametros_recargas!$E$84*'Plan mensual'!K21+parametros_recargas!$F$84*'Plan mensual'!K22+parametros_recargas!$G$84*'Plan mensual'!K23+parametros_recargas!$H$84*'Plan mensual'!K24+parametros_recargas!$I$84*'Plan mensual'!K25+parametros_recargas!$J$84*'Plan mensual'!K26+parametros_recargas!$K$84*'Plan mensual'!K27+parametros_recargas!$L$84*'Plan mensual'!K28</f>
        <v>91.4236290939281</v>
      </c>
      <c r="J14" s="25" t="n">
        <f aca="false">parametros_recargas!$E$84*'Plan mensual'!L21+parametros_recargas!$F$84*'Plan mensual'!L22+parametros_recargas!$G$84*'Plan mensual'!L23+parametros_recargas!$H$84*'Plan mensual'!L24+parametros_recargas!$I$84*'Plan mensual'!L25+parametros_recargas!$J$84*'Plan mensual'!L26+parametros_recargas!$K$84*'Plan mensual'!L27+parametros_recargas!$L$84*'Plan mensual'!L28</f>
        <v>103.611669475691</v>
      </c>
      <c r="K14" s="25" t="n">
        <f aca="false">parametros_recargas!$E$84*'Plan mensual'!M21+parametros_recargas!$F$84*'Plan mensual'!M22+parametros_recargas!$G$84*'Plan mensual'!M23+parametros_recargas!$H$84*'Plan mensual'!M24+parametros_recargas!$I$84*'Plan mensual'!M25+parametros_recargas!$J$84*'Plan mensual'!M26+parametros_recargas!$K$84*'Plan mensual'!M27+parametros_recargas!$L$84*'Plan mensual'!M28</f>
        <v>117.424545032121</v>
      </c>
      <c r="L14" s="25" t="n">
        <f aca="false">parametros_recargas!$E$84*'Plan mensual'!N21+parametros_recargas!$F$84*'Plan mensual'!N22+parametros_recargas!$G$84*'Plan mensual'!N23+parametros_recargas!$H$84*'Plan mensual'!N24+parametros_recargas!$I$84*'Plan mensual'!N25+parametros_recargas!$J$84*'Plan mensual'!N26+parametros_recargas!$K$84*'Plan mensual'!N27+parametros_recargas!$L$84*'Plan mensual'!N28</f>
        <v>133.078868874278</v>
      </c>
      <c r="M14" s="25" t="n">
        <f aca="false">parametros_recargas!$E$84*'Plan mensual'!O21+parametros_recargas!$F$84*'Plan mensual'!O22+parametros_recargas!$G$84*'Plan mensual'!O23+parametros_recargas!$H$84*'Plan mensual'!O24+parametros_recargas!$I$84*'Plan mensual'!O25+parametros_recargas!$J$84*'Plan mensual'!O26+parametros_recargas!$K$84*'Plan mensual'!O27+parametros_recargas!$L$84*'Plan mensual'!O28</f>
        <v>150.820131651461</v>
      </c>
      <c r="N14" s="7" t="n">
        <f aca="false">SUM(B14:M14)</f>
        <v>996.553566306936</v>
      </c>
      <c r="O14" s="26" t="n">
        <f aca="false">MAX(B14:M14)</f>
        <v>150.820131651461</v>
      </c>
      <c r="P14" s="15" t="n">
        <f aca="false">O14/parametros_recargas!$B$6</f>
        <v>1.00546754434307</v>
      </c>
    </row>
    <row r="15" customFormat="false" ht="15" hidden="false" customHeight="false" outlineLevel="0" collapsed="false">
      <c r="A15" s="12" t="str">
        <f aca="false">parametros_recargas!$B$85</f>
        <v>Inspección interior con videoscopio</v>
      </c>
      <c r="B15" s="25" t="n">
        <f aca="false">parametros_recargas!$E$85*'Plan mensual'!D21+parametros_recargas!$F$85*'Plan mensual'!D22+parametros_recargas!$G$85*'Plan mensual'!D23+parametros_recargas!$H$85*'Plan mensual'!D24+parametros_recargas!$I$85*'Plan mensual'!D25+parametros_recargas!$J$85*'Plan mensual'!D26+parametros_recargas!$K$85*'Plan mensual'!D27+parametros_recargas!$L$85*'Plan mensual'!D28</f>
        <v>38.0721106426045</v>
      </c>
      <c r="C15" s="25" t="n">
        <f aca="false">parametros_recargas!$E$85*'Plan mensual'!E21+parametros_recargas!$F$85*'Plan mensual'!E22+parametros_recargas!$G$85*'Plan mensual'!E23+parametros_recargas!$H$85*'Plan mensual'!E24+parametros_recargas!$I$85*'Plan mensual'!E25+parametros_recargas!$J$85*'Plan mensual'!E26+parametros_recargas!$K$85*'Plan mensual'!E27+parametros_recargas!$L$85*'Plan mensual'!E28</f>
        <v>43.1476521249305</v>
      </c>
      <c r="D15" s="25" t="n">
        <f aca="false">parametros_recargas!$E$85*'Plan mensual'!F21+parametros_recargas!$F$85*'Plan mensual'!F22+parametros_recargas!$G$85*'Plan mensual'!F23+parametros_recargas!$H$85*'Plan mensual'!F24+parametros_recargas!$I$85*'Plan mensual'!F25+parametros_recargas!$J$85*'Plan mensual'!F26+parametros_recargas!$K$85*'Plan mensual'!F27+parametros_recargas!$L$85*'Plan mensual'!F28</f>
        <v>48.8998338277223</v>
      </c>
      <c r="E15" s="25" t="n">
        <f aca="false">parametros_recargas!$E$85*'Plan mensual'!G21+parametros_recargas!$F$85*'Plan mensual'!G22+parametros_recargas!$G$85*'Plan mensual'!G23+parametros_recargas!$H$85*'Plan mensual'!G24+parametros_recargas!$I$85*'Plan mensual'!G25+parametros_recargas!$J$85*'Plan mensual'!G26+parametros_recargas!$K$85*'Plan mensual'!G27+parametros_recargas!$L$85*'Plan mensual'!G28</f>
        <v>55.4188612964466</v>
      </c>
      <c r="F15" s="25" t="n">
        <f aca="false">parametros_recargas!$E$85*'Plan mensual'!H21+parametros_recargas!$F$85*'Plan mensual'!H22+parametros_recargas!$G$85*'Plan mensual'!H23+parametros_recargas!$H$85*'Plan mensual'!H24+parametros_recargas!$I$85*'Plan mensual'!H25+parametros_recargas!$J$85*'Plan mensual'!H26+parametros_recargas!$K$85*'Plan mensual'!H27+parametros_recargas!$L$85*'Plan mensual'!H28</f>
        <v>62.8069657294753</v>
      </c>
      <c r="G15" s="25" t="n">
        <f aca="false">parametros_recargas!$E$85*'Plan mensual'!I21+parametros_recargas!$F$85*'Plan mensual'!I22+parametros_recargas!$G$85*'Plan mensual'!I23+parametros_recargas!$H$85*'Plan mensual'!I24+parametros_recargas!$I$85*'Plan mensual'!I25+parametros_recargas!$J$85*'Plan mensual'!I26+parametros_recargas!$K$85*'Plan mensual'!I27+parametros_recargas!$L$85*'Plan mensual'!I28</f>
        <v>71.1800071647523</v>
      </c>
      <c r="H15" s="25" t="n">
        <f aca="false">parametros_recargas!$E$85*'Plan mensual'!J21+parametros_recargas!$F$85*'Plan mensual'!J22+parametros_recargas!$G$85*'Plan mensual'!J23+parametros_recargas!$H$85*'Plan mensual'!J24+parametros_recargas!$I$85*'Plan mensual'!J25+parametros_recargas!$J$85*'Plan mensual'!J26+parametros_recargas!$K$85*'Plan mensual'!J27+parametros_recargas!$L$85*'Plan mensual'!J28</f>
        <v>80.6692913935251</v>
      </c>
      <c r="I15" s="25" t="n">
        <f aca="false">parametros_recargas!$E$85*'Plan mensual'!K21+parametros_recargas!$F$85*'Plan mensual'!K22+parametros_recargas!$G$85*'Plan mensual'!K23+parametros_recargas!$H$85*'Plan mensual'!K24+parametros_recargas!$I$85*'Plan mensual'!K25+parametros_recargas!$J$85*'Plan mensual'!K26+parametros_recargas!$K$85*'Plan mensual'!K27+parametros_recargas!$L$85*'Plan mensual'!K28</f>
        <v>91.4236290939281</v>
      </c>
      <c r="J15" s="25" t="n">
        <f aca="false">parametros_recargas!$E$85*'Plan mensual'!L21+parametros_recargas!$F$85*'Plan mensual'!L22+parametros_recargas!$G$85*'Plan mensual'!L23+parametros_recargas!$H$85*'Plan mensual'!L24+parametros_recargas!$I$85*'Plan mensual'!L25+parametros_recargas!$J$85*'Plan mensual'!L26+parametros_recargas!$K$85*'Plan mensual'!L27+parametros_recargas!$L$85*'Plan mensual'!L28</f>
        <v>103.611669475691</v>
      </c>
      <c r="K15" s="25" t="n">
        <f aca="false">parametros_recargas!$E$85*'Plan mensual'!M21+parametros_recargas!$F$85*'Plan mensual'!M22+parametros_recargas!$G$85*'Plan mensual'!M23+parametros_recargas!$H$85*'Plan mensual'!M24+parametros_recargas!$I$85*'Plan mensual'!M25+parametros_recargas!$J$85*'Plan mensual'!M26+parametros_recargas!$K$85*'Plan mensual'!M27+parametros_recargas!$L$85*'Plan mensual'!M28</f>
        <v>117.424545032121</v>
      </c>
      <c r="L15" s="25" t="n">
        <f aca="false">parametros_recargas!$E$85*'Plan mensual'!N21+parametros_recargas!$F$85*'Plan mensual'!N22+parametros_recargas!$G$85*'Plan mensual'!N23+parametros_recargas!$H$85*'Plan mensual'!N24+parametros_recargas!$I$85*'Plan mensual'!N25+parametros_recargas!$J$85*'Plan mensual'!N26+parametros_recargas!$K$85*'Plan mensual'!N27+parametros_recargas!$L$85*'Plan mensual'!N28</f>
        <v>133.078868874278</v>
      </c>
      <c r="M15" s="25" t="n">
        <f aca="false">parametros_recargas!$E$85*'Plan mensual'!O21+parametros_recargas!$F$85*'Plan mensual'!O22+parametros_recargas!$G$85*'Plan mensual'!O23+parametros_recargas!$H$85*'Plan mensual'!O24+parametros_recargas!$I$85*'Plan mensual'!O25+parametros_recargas!$J$85*'Plan mensual'!O26+parametros_recargas!$K$85*'Plan mensual'!O27+parametros_recargas!$L$85*'Plan mensual'!O28</f>
        <v>150.820131651461</v>
      </c>
      <c r="N15" s="7" t="n">
        <f aca="false">SUM(B15:M15)</f>
        <v>996.553566306936</v>
      </c>
      <c r="O15" s="26" t="n">
        <f aca="false">MAX(B15:M15)</f>
        <v>150.820131651461</v>
      </c>
      <c r="P15" s="15" t="n">
        <f aca="false">O15/parametros_recargas!$B$6</f>
        <v>1.00546754434307</v>
      </c>
    </row>
    <row r="16" customFormat="false" ht="15" hidden="false" customHeight="false" outlineLevel="0" collapsed="false">
      <c r="A16" s="12" t="str">
        <f aca="false">parametros_recargas!$B$86</f>
        <v>Pintura</v>
      </c>
      <c r="B16" s="25" t="n">
        <f aca="false">parametros_recargas!$E$86*'Plan mensual'!D21+parametros_recargas!$F$86*'Plan mensual'!D22+parametros_recargas!$G$86*'Plan mensual'!D23+parametros_recargas!$H$86*'Plan mensual'!D24+parametros_recargas!$I$86*'Plan mensual'!D25+parametros_recargas!$J$86*'Plan mensual'!D26+parametros_recargas!$K$86*'Plan mensual'!D27+parametros_recargas!$L$86*'Plan mensual'!D28</f>
        <v>19.0171804724951</v>
      </c>
      <c r="C16" s="25" t="n">
        <f aca="false">parametros_recargas!$E$86*'Plan mensual'!E21+parametros_recargas!$F$86*'Plan mensual'!E22+parametros_recargas!$G$86*'Plan mensual'!E23+parametros_recargas!$H$86*'Plan mensual'!E24+parametros_recargas!$I$86*'Plan mensual'!E25+parametros_recargas!$J$86*'Plan mensual'!E26+parametros_recargas!$K$86*'Plan mensual'!E27+parametros_recargas!$L$86*'Plan mensual'!E28</f>
        <v>21.5524349339857</v>
      </c>
      <c r="D16" s="25" t="n">
        <f aca="false">parametros_recargas!$E$86*'Plan mensual'!F21+parametros_recargas!$F$86*'Plan mensual'!F22+parametros_recargas!$G$86*'Plan mensual'!F23+parametros_recargas!$H$86*'Plan mensual'!F24+parametros_recargas!$I$86*'Plan mensual'!F25+parametros_recargas!$J$86*'Plan mensual'!F26+parametros_recargas!$K$86*'Plan mensual'!F27+parametros_recargas!$L$86*'Plan mensual'!F28</f>
        <v>24.4256740506572</v>
      </c>
      <c r="E16" s="25" t="n">
        <f aca="false">parametros_recargas!$E$86*'Plan mensual'!G21+parametros_recargas!$F$86*'Plan mensual'!G22+parametros_recargas!$G$86*'Plan mensual'!G23+parametros_recargas!$H$86*'Plan mensual'!G24+parametros_recargas!$I$86*'Plan mensual'!G25+parametros_recargas!$J$86*'Plan mensual'!G26+parametros_recargas!$K$86*'Plan mensual'!G27+parametros_recargas!$L$86*'Plan mensual'!G28</f>
        <v>27.6819558744222</v>
      </c>
      <c r="F16" s="25" t="n">
        <f aca="false">parametros_recargas!$E$86*'Plan mensual'!H21+parametros_recargas!$F$86*'Plan mensual'!H22+parametros_recargas!$G$86*'Plan mensual'!H23+parametros_recargas!$H$86*'Plan mensual'!H24+parametros_recargas!$I$86*'Plan mensual'!H25+parametros_recargas!$J$86*'Plan mensual'!H26+parametros_recargas!$K$86*'Plan mensual'!H27+parametros_recargas!$L$86*'Plan mensual'!H28</f>
        <v>31.372345321739</v>
      </c>
      <c r="G16" s="25" t="n">
        <f aca="false">parametros_recargas!$E$86*'Plan mensual'!I21+parametros_recargas!$F$86*'Plan mensual'!I22+parametros_recargas!$G$86*'Plan mensual'!I23+parametros_recargas!$H$86*'Plan mensual'!I24+parametros_recargas!$I$86*'Plan mensual'!I25+parametros_recargas!$J$86*'Plan mensual'!I26+parametros_recargas!$K$86*'Plan mensual'!I27+parametros_recargas!$L$86*'Plan mensual'!I28</f>
        <v>35.5547149721401</v>
      </c>
      <c r="H16" s="25" t="n">
        <f aca="false">parametros_recargas!$E$86*'Plan mensual'!J21+parametros_recargas!$F$86*'Plan mensual'!J22+parametros_recargas!$G$86*'Plan mensual'!J23+parametros_recargas!$H$86*'Plan mensual'!J24+parametros_recargas!$I$86*'Plan mensual'!J25+parametros_recargas!$J$86*'Plan mensual'!J26+parametros_recargas!$K$86*'Plan mensual'!J27+parametros_recargas!$L$86*'Plan mensual'!J28</f>
        <v>40.294652624334</v>
      </c>
      <c r="I16" s="25" t="n">
        <f aca="false">parametros_recargas!$E$86*'Plan mensual'!K21+parametros_recargas!$F$86*'Plan mensual'!K22+parametros_recargas!$G$86*'Plan mensual'!K23+parametros_recargas!$H$86*'Plan mensual'!K24+parametros_recargas!$I$86*'Plan mensual'!K25+parametros_recargas!$J$86*'Plan mensual'!K26+parametros_recargas!$K$86*'Plan mensual'!K27+parametros_recargas!$L$86*'Plan mensual'!K28</f>
        <v>45.6664898421492</v>
      </c>
      <c r="J16" s="25" t="n">
        <f aca="false">parametros_recargas!$E$86*'Plan mensual'!L21+parametros_recargas!$F$86*'Plan mensual'!L22+parametros_recargas!$G$86*'Plan mensual'!L23+parametros_recargas!$H$86*'Plan mensual'!L24+parametros_recargas!$I$86*'Plan mensual'!L25+parametros_recargas!$J$86*'Plan mensual'!L26+parametros_recargas!$K$86*'Plan mensual'!L27+parametros_recargas!$L$86*'Plan mensual'!L28</f>
        <v>51.7544676199473</v>
      </c>
      <c r="K16" s="25" t="n">
        <f aca="false">parametros_recargas!$E$86*'Plan mensual'!M21+parametros_recargas!$F$86*'Plan mensual'!M22+parametros_recargas!$G$86*'Plan mensual'!M23+parametros_recargas!$H$86*'Plan mensual'!M24+parametros_recargas!$I$86*'Plan mensual'!M25+parametros_recargas!$J$86*'Plan mensual'!M26+parametros_recargas!$K$86*'Plan mensual'!M27+parametros_recargas!$L$86*'Plan mensual'!M28</f>
        <v>58.654057447436</v>
      </c>
      <c r="L16" s="25" t="n">
        <f aca="false">parametros_recargas!$E$86*'Plan mensual'!N21+parametros_recargas!$F$86*'Plan mensual'!N22+parametros_recargas!$G$86*'Plan mensual'!N23+parametros_recargas!$H$86*'Plan mensual'!N24+parametros_recargas!$I$86*'Plan mensual'!N25+parametros_recargas!$J$86*'Plan mensual'!N26+parametros_recargas!$K$86*'Plan mensual'!N27+parametros_recargas!$L$86*'Plan mensual'!N28</f>
        <v>66.4734584907826</v>
      </c>
      <c r="M16" s="25" t="n">
        <f aca="false">parametros_recargas!$E$86*'Plan mensual'!O21+parametros_recargas!$F$86*'Plan mensual'!O22+parametros_recargas!$G$86*'Plan mensual'!O23+parametros_recargas!$H$86*'Plan mensual'!O24+parametros_recargas!$I$86*'Plan mensual'!O25+parametros_recargas!$J$86*'Plan mensual'!O26+parametros_recargas!$K$86*'Plan mensual'!O27+parametros_recargas!$L$86*'Plan mensual'!O28</f>
        <v>75.335294368778</v>
      </c>
      <c r="N16" s="7" t="n">
        <f aca="false">SUM(B16:M16)</f>
        <v>497.782726018866</v>
      </c>
      <c r="O16" s="26" t="n">
        <f aca="false">MAX(B16:M16)</f>
        <v>75.335294368778</v>
      </c>
      <c r="P16" s="15" t="n">
        <f aca="false">O16/parametros_recargas!$B$6</f>
        <v>0.502235295791853</v>
      </c>
    </row>
    <row r="17" customFormat="false" ht="15" hidden="false" customHeight="false" outlineLevel="0" collapsed="false">
      <c r="A17" s="12" t="str">
        <f aca="false">parametros_recargas!$B$87</f>
        <v>Carga de polvo ABC</v>
      </c>
      <c r="B17" s="25" t="n">
        <f aca="false">parametros_recargas!$E$87*'Plan mensual'!D21+parametros_recargas!$F$87*'Plan mensual'!D22+parametros_recargas!$G$87*'Plan mensual'!D23+parametros_recargas!$H$87*'Plan mensual'!D24+parametros_recargas!$I$87*'Plan mensual'!D25+parametros_recargas!$J$87*'Plan mensual'!D26+parametros_recargas!$K$87*'Plan mensual'!D27+parametros_recargas!$L$87*'Plan mensual'!D28</f>
        <v>165.541678398048</v>
      </c>
      <c r="C17" s="25" t="n">
        <f aca="false">parametros_recargas!$E$87*'Plan mensual'!E21+parametros_recargas!$F$87*'Plan mensual'!E22+parametros_recargas!$G$87*'Plan mensual'!E23+parametros_recargas!$H$87*'Plan mensual'!E24+parametros_recargas!$I$87*'Plan mensual'!E25+parametros_recargas!$J$87*'Plan mensual'!E26+parametros_recargas!$K$87*'Plan mensual'!E27+parametros_recargas!$L$87*'Plan mensual'!E28</f>
        <v>187.610684859248</v>
      </c>
      <c r="D17" s="25" t="n">
        <f aca="false">parametros_recargas!$E$87*'Plan mensual'!F21+parametros_recargas!$F$87*'Plan mensual'!F22+parametros_recargas!$G$87*'Plan mensual'!F23+parametros_recargas!$H$87*'Plan mensual'!F24+parametros_recargas!$I$87*'Plan mensual'!F25+parametros_recargas!$J$87*'Plan mensual'!F26+parametros_recargas!$K$87*'Plan mensual'!F27+parametros_recargas!$L$87*'Plan mensual'!F28</f>
        <v>212.62179660111</v>
      </c>
      <c r="E17" s="25" t="n">
        <f aca="false">parametros_recargas!$E$87*'Plan mensual'!G21+parametros_recargas!$F$87*'Plan mensual'!G22+parametros_recargas!$G$87*'Plan mensual'!G23+parametros_recargas!$H$87*'Plan mensual'!G24+parametros_recargas!$I$87*'Plan mensual'!G25+parametros_recargas!$J$87*'Plan mensual'!G26+parametros_recargas!$K$87*'Plan mensual'!G27+parametros_recargas!$L$87*'Plan mensual'!G28</f>
        <v>240.967237147502</v>
      </c>
      <c r="F17" s="25" t="n">
        <f aca="false">parametros_recargas!$E$87*'Plan mensual'!H21+parametros_recargas!$F$87*'Plan mensual'!H22+parametros_recargas!$G$87*'Plan mensual'!H23+parametros_recargas!$H$87*'Plan mensual'!H24+parametros_recargas!$I$87*'Plan mensual'!H25+parametros_recargas!$J$87*'Plan mensual'!H26+parametros_recargas!$K$87*'Plan mensual'!H27+parametros_recargas!$L$87*'Plan mensual'!H28</f>
        <v>273.091518869225</v>
      </c>
      <c r="G17" s="25" t="n">
        <f aca="false">parametros_recargas!$E$87*'Plan mensual'!I21+parametros_recargas!$F$87*'Plan mensual'!I22+parametros_recargas!$G$87*'Plan mensual'!I23+parametros_recargas!$H$87*'Plan mensual'!I24+parametros_recargas!$I$87*'Plan mensual'!I25+parametros_recargas!$J$87*'Plan mensual'!I26+parametros_recargas!$K$87*'Plan mensual'!I27+parametros_recargas!$L$87*'Plan mensual'!I28</f>
        <v>309.498413814026</v>
      </c>
      <c r="H17" s="25" t="n">
        <f aca="false">parametros_recargas!$E$87*'Plan mensual'!J21+parametros_recargas!$F$87*'Plan mensual'!J22+parametros_recargas!$G$87*'Plan mensual'!J23+parametros_recargas!$H$87*'Plan mensual'!J24+parametros_recargas!$I$87*'Plan mensual'!J25+parametros_recargas!$J$87*'Plan mensual'!J26+parametros_recargas!$K$87*'Plan mensual'!J27+parametros_recargas!$L$87*'Plan mensual'!J28</f>
        <v>350.758853845141</v>
      </c>
      <c r="I17" s="25" t="n">
        <f aca="false">parametros_recargas!$E$87*'Plan mensual'!K21+parametros_recargas!$F$87*'Plan mensual'!K22+parametros_recargas!$G$87*'Plan mensual'!K23+parametros_recargas!$H$87*'Plan mensual'!K24+parametros_recargas!$I$87*'Plan mensual'!K25+parametros_recargas!$J$87*'Plan mensual'!K26+parametros_recargas!$K$87*'Plan mensual'!K27+parametros_recargas!$L$87*'Plan mensual'!K28</f>
        <v>397.519883978099</v>
      </c>
      <c r="J17" s="25" t="n">
        <f aca="false">parametros_recargas!$E$87*'Plan mensual'!L21+parametros_recargas!$F$87*'Plan mensual'!L22+parametros_recargas!$G$87*'Plan mensual'!L23+parametros_recargas!$H$87*'Plan mensual'!L24+parametros_recargas!$I$87*'Plan mensual'!L25+parametros_recargas!$J$87*'Plan mensual'!L26+parametros_recargas!$K$87*'Plan mensual'!L27+parametros_recargas!$L$87*'Plan mensual'!L28</f>
        <v>450.514809321755</v>
      </c>
      <c r="K17" s="25" t="n">
        <f aca="false">parametros_recargas!$E$87*'Plan mensual'!M21+parametros_recargas!$F$87*'Plan mensual'!M22+parametros_recargas!$G$87*'Plan mensual'!M23+parametros_recargas!$H$87*'Plan mensual'!M24+parametros_recargas!$I$87*'Plan mensual'!M25+parametros_recargas!$J$87*'Plan mensual'!M26+parametros_recargas!$K$87*'Plan mensual'!M27+parametros_recargas!$L$87*'Plan mensual'!M28</f>
        <v>510.574694747595</v>
      </c>
      <c r="L17" s="25" t="n">
        <f aca="false">parametros_recargas!$E$87*'Plan mensual'!N21+parametros_recargas!$F$87*'Plan mensual'!N22+parametros_recargas!$G$87*'Plan mensual'!N23+parametros_recargas!$H$87*'Plan mensual'!N24+parametros_recargas!$I$87*'Plan mensual'!N25+parametros_recargas!$J$87*'Plan mensual'!N26+parametros_recargas!$K$87*'Plan mensual'!N27+parametros_recargas!$L$87*'Plan mensual'!N28</f>
        <v>578.641397624777</v>
      </c>
      <c r="M17" s="25" t="n">
        <f aca="false">parametros_recargas!$E$87*'Plan mensual'!O21+parametros_recargas!$F$87*'Plan mensual'!O22+parametros_recargas!$G$87*'Plan mensual'!O23+parametros_recargas!$H$87*'Plan mensual'!O24+parametros_recargas!$I$87*'Plan mensual'!O25+parametros_recargas!$J$87*'Plan mensual'!O26+parametros_recargas!$K$87*'Plan mensual'!O27+parametros_recargas!$L$87*'Plan mensual'!O28</f>
        <v>655.782337999884</v>
      </c>
      <c r="N17" s="7" t="n">
        <f aca="false">SUM(B17:M17)</f>
        <v>4333.12330720641</v>
      </c>
      <c r="O17" s="26" t="n">
        <f aca="false">MAX(B17:M17)</f>
        <v>655.782337999884</v>
      </c>
      <c r="P17" s="15" t="n">
        <f aca="false">O17/parametros_recargas!$B$6</f>
        <v>4.37188225333256</v>
      </c>
    </row>
    <row r="18" customFormat="false" ht="15" hidden="false" customHeight="false" outlineLevel="0" collapsed="false">
      <c r="A18" s="12" t="str">
        <f aca="false">parametros_recargas!$B$88</f>
        <v>Carga de polvo BC</v>
      </c>
      <c r="B18" s="25" t="n">
        <f aca="false">parametros_recargas!$E$88*'Plan mensual'!D21+parametros_recargas!$F$88*'Plan mensual'!D22+parametros_recargas!$G$88*'Plan mensual'!D23+parametros_recargas!$H$88*'Plan mensual'!D24+parametros_recargas!$I$88*'Plan mensual'!D25+parametros_recargas!$J$88*'Plan mensual'!D26+parametros_recargas!$K$88*'Plan mensual'!D27+parametros_recargas!$L$88*'Plan mensual'!D28</f>
        <v>0.185654211780637</v>
      </c>
      <c r="C18" s="25" t="n">
        <f aca="false">parametros_recargas!$E$88*'Plan mensual'!E21+parametros_recargas!$F$88*'Plan mensual'!E22+parametros_recargas!$G$88*'Plan mensual'!E23+parametros_recargas!$H$88*'Plan mensual'!E24+parametros_recargas!$I$88*'Plan mensual'!E25+parametros_recargas!$J$88*'Plan mensual'!E26+parametros_recargas!$K$88*'Plan mensual'!E27+parametros_recargas!$L$88*'Plan mensual'!E28</f>
        <v>0.210404498469673</v>
      </c>
      <c r="D18" s="25" t="n">
        <f aca="false">parametros_recargas!$E$88*'Plan mensual'!F21+parametros_recargas!$F$88*'Plan mensual'!F22+parametros_recargas!$G$88*'Plan mensual'!F23+parametros_recargas!$H$88*'Plan mensual'!F24+parametros_recargas!$I$88*'Plan mensual'!F25+parametros_recargas!$J$88*'Plan mensual'!F26+parametros_recargas!$K$88*'Plan mensual'!F27+parametros_recargas!$L$88*'Plan mensual'!F28</f>
        <v>0.238454342358699</v>
      </c>
      <c r="E18" s="25" t="n">
        <f aca="false">parametros_recargas!$E$88*'Plan mensual'!G21+parametros_recargas!$F$88*'Plan mensual'!G22+parametros_recargas!$G$88*'Plan mensual'!G23+parametros_recargas!$H$88*'Plan mensual'!G24+parametros_recargas!$I$88*'Plan mensual'!G25+parametros_recargas!$J$88*'Plan mensual'!G26+parametros_recargas!$K$88*'Plan mensual'!G27+parametros_recargas!$L$88*'Plan mensual'!G28</f>
        <v>0.27024362028037</v>
      </c>
      <c r="F18" s="25" t="n">
        <f aca="false">parametros_recargas!$E$88*'Plan mensual'!H21+parametros_recargas!$F$88*'Plan mensual'!H22+parametros_recargas!$G$88*'Plan mensual'!H23+parametros_recargas!$H$88*'Plan mensual'!H24+parametros_recargas!$I$88*'Plan mensual'!H25+parametros_recargas!$J$88*'Plan mensual'!H26+parametros_recargas!$K$88*'Plan mensual'!H27+parametros_recargas!$L$88*'Plan mensual'!H28</f>
        <v>0.306270850762623</v>
      </c>
      <c r="G18" s="25" t="n">
        <f aca="false">parametros_recargas!$E$88*'Plan mensual'!I21+parametros_recargas!$F$88*'Plan mensual'!I22+parametros_recargas!$G$88*'Plan mensual'!I23+parametros_recargas!$H$88*'Plan mensual'!I24+parametros_recargas!$I$88*'Plan mensual'!I25+parametros_recargas!$J$88*'Plan mensual'!I26+parametros_recargas!$K$88*'Plan mensual'!I27+parametros_recargas!$L$88*'Plan mensual'!I28</f>
        <v>0.347101011781682</v>
      </c>
      <c r="H18" s="25" t="n">
        <f aca="false">parametros_recargas!$E$88*'Plan mensual'!J21+parametros_recargas!$F$88*'Plan mensual'!J22+parametros_recargas!$G$88*'Plan mensual'!J23+parametros_recargas!$H$88*'Plan mensual'!J24+parametros_recargas!$I$88*'Plan mensual'!J25+parametros_recargas!$J$88*'Plan mensual'!J26+parametros_recargas!$K$88*'Plan mensual'!J27+parametros_recargas!$L$88*'Plan mensual'!J28</f>
        <v>0.393374400730173</v>
      </c>
      <c r="I18" s="25" t="n">
        <f aca="false">parametros_recargas!$E$88*'Plan mensual'!K21+parametros_recargas!$F$88*'Plan mensual'!K22+parametros_recargas!$G$88*'Plan mensual'!K23+parametros_recargas!$H$88*'Plan mensual'!K24+parametros_recargas!$I$88*'Plan mensual'!K25+parametros_recargas!$J$88*'Plan mensual'!K26+parametros_recargas!$K$88*'Plan mensual'!K27+parametros_recargas!$L$88*'Plan mensual'!K28</f>
        <v>0.445816675542141</v>
      </c>
      <c r="J18" s="25" t="n">
        <f aca="false">parametros_recargas!$E$88*'Plan mensual'!L21+parametros_recargas!$F$88*'Plan mensual'!L22+parametros_recargas!$G$88*'Plan mensual'!L23+parametros_recargas!$H$88*'Plan mensual'!L24+parametros_recargas!$I$88*'Plan mensual'!L25+parametros_recargas!$J$88*'Plan mensual'!L26+parametros_recargas!$K$88*'Plan mensual'!L27+parametros_recargas!$L$88*'Plan mensual'!L28</f>
        <v>0.505250234439573</v>
      </c>
      <c r="K18" s="25" t="n">
        <f aca="false">parametros_recargas!$E$88*'Plan mensual'!M21+parametros_recargas!$F$88*'Plan mensual'!M22+parametros_recargas!$G$88*'Plan mensual'!M23+parametros_recargas!$H$88*'Plan mensual'!M24+parametros_recargas!$I$88*'Plan mensual'!M25+parametros_recargas!$J$88*'Plan mensual'!M26+parametros_recargas!$K$88*'Plan mensual'!M27+parametros_recargas!$L$88*'Plan mensual'!M28</f>
        <v>0.572607112757301</v>
      </c>
      <c r="L18" s="25" t="n">
        <f aca="false">parametros_recargas!$E$88*'Plan mensual'!N21+parametros_recargas!$F$88*'Plan mensual'!N22+parametros_recargas!$G$88*'Plan mensual'!N23+parametros_recargas!$H$88*'Plan mensual'!N24+parametros_recargas!$I$88*'Plan mensual'!N25+parametros_recargas!$J$88*'Plan mensual'!N26+parametros_recargas!$K$88*'Plan mensual'!N27+parametros_recargas!$L$88*'Plan mensual'!N28</f>
        <v>0.648943599093898</v>
      </c>
      <c r="M18" s="25" t="n">
        <f aca="false">parametros_recargas!$E$88*'Plan mensual'!O21+parametros_recargas!$F$88*'Plan mensual'!O22+parametros_recargas!$G$88*'Plan mensual'!O23+parametros_recargas!$H$88*'Plan mensual'!O24+parametros_recargas!$I$88*'Plan mensual'!O25+parametros_recargas!$J$88*'Plan mensual'!O26+parametros_recargas!$K$88*'Plan mensual'!O27+parametros_recargas!$L$88*'Plan mensual'!O28</f>
        <v>0.735456799998634</v>
      </c>
      <c r="N18" s="7" t="n">
        <f aca="false">SUM(B18:M18)</f>
        <v>4.8595773579954</v>
      </c>
      <c r="O18" s="26" t="n">
        <f aca="false">MAX(B18:M18)</f>
        <v>0.735456799998634</v>
      </c>
      <c r="P18" s="15" t="n">
        <f aca="false">O18/parametros_recargas!$B$6</f>
        <v>0.00490304533332423</v>
      </c>
    </row>
    <row r="19" customFormat="false" ht="15" hidden="false" customHeight="false" outlineLevel="0" collapsed="false">
      <c r="A19" s="12" t="str">
        <f aca="false">parametros_recargas!$B$89</f>
        <v>Descarga y carga Clase D</v>
      </c>
      <c r="B19" s="25" t="n">
        <f aca="false">parametros_recargas!$E$89*'Plan mensual'!D21+parametros_recargas!$F$89*'Plan mensual'!D22+parametros_recargas!$G$89*'Plan mensual'!D23+parametros_recargas!$H$89*'Plan mensual'!D24+parametros_recargas!$I$89*'Plan mensual'!D25+parametros_recargas!$J$89*'Plan mensual'!D26+parametros_recargas!$K$89*'Plan mensual'!D27+parametros_recargas!$L$89*'Plan mensual'!D28</f>
        <v>0.185654211780637</v>
      </c>
      <c r="C19" s="25" t="n">
        <f aca="false">parametros_recargas!$E$89*'Plan mensual'!E21+parametros_recargas!$F$89*'Plan mensual'!E22+parametros_recargas!$G$89*'Plan mensual'!E23+parametros_recargas!$H$89*'Plan mensual'!E24+parametros_recargas!$I$89*'Plan mensual'!E25+parametros_recargas!$J$89*'Plan mensual'!E26+parametros_recargas!$K$89*'Plan mensual'!E27+parametros_recargas!$L$89*'Plan mensual'!E28</f>
        <v>0.210404498469673</v>
      </c>
      <c r="D19" s="25" t="n">
        <f aca="false">parametros_recargas!$E$89*'Plan mensual'!F21+parametros_recargas!$F$89*'Plan mensual'!F22+parametros_recargas!$G$89*'Plan mensual'!F23+parametros_recargas!$H$89*'Plan mensual'!F24+parametros_recargas!$I$89*'Plan mensual'!F25+parametros_recargas!$J$89*'Plan mensual'!F26+parametros_recargas!$K$89*'Plan mensual'!F27+parametros_recargas!$L$89*'Plan mensual'!F28</f>
        <v>0.238454342358699</v>
      </c>
      <c r="E19" s="25" t="n">
        <f aca="false">parametros_recargas!$E$89*'Plan mensual'!G21+parametros_recargas!$F$89*'Plan mensual'!G22+parametros_recargas!$G$89*'Plan mensual'!G23+parametros_recargas!$H$89*'Plan mensual'!G24+parametros_recargas!$I$89*'Plan mensual'!G25+parametros_recargas!$J$89*'Plan mensual'!G26+parametros_recargas!$K$89*'Plan mensual'!G27+parametros_recargas!$L$89*'Plan mensual'!G28</f>
        <v>0.27024362028037</v>
      </c>
      <c r="F19" s="25" t="n">
        <f aca="false">parametros_recargas!$E$89*'Plan mensual'!H21+parametros_recargas!$F$89*'Plan mensual'!H22+parametros_recargas!$G$89*'Plan mensual'!H23+parametros_recargas!$H$89*'Plan mensual'!H24+parametros_recargas!$I$89*'Plan mensual'!H25+parametros_recargas!$J$89*'Plan mensual'!H26+parametros_recargas!$K$89*'Plan mensual'!H27+parametros_recargas!$L$89*'Plan mensual'!H28</f>
        <v>0.306270850762623</v>
      </c>
      <c r="G19" s="25" t="n">
        <f aca="false">parametros_recargas!$E$89*'Plan mensual'!I21+parametros_recargas!$F$89*'Plan mensual'!I22+parametros_recargas!$G$89*'Plan mensual'!I23+parametros_recargas!$H$89*'Plan mensual'!I24+parametros_recargas!$I$89*'Plan mensual'!I25+parametros_recargas!$J$89*'Plan mensual'!I26+parametros_recargas!$K$89*'Plan mensual'!I27+parametros_recargas!$L$89*'Plan mensual'!I28</f>
        <v>0.347101011781682</v>
      </c>
      <c r="H19" s="25" t="n">
        <f aca="false">parametros_recargas!$E$89*'Plan mensual'!J21+parametros_recargas!$F$89*'Plan mensual'!J22+parametros_recargas!$G$89*'Plan mensual'!J23+parametros_recargas!$H$89*'Plan mensual'!J24+parametros_recargas!$I$89*'Plan mensual'!J25+parametros_recargas!$J$89*'Plan mensual'!J26+parametros_recargas!$K$89*'Plan mensual'!J27+parametros_recargas!$L$89*'Plan mensual'!J28</f>
        <v>0.393374400730173</v>
      </c>
      <c r="I19" s="25" t="n">
        <f aca="false">parametros_recargas!$E$89*'Plan mensual'!K21+parametros_recargas!$F$89*'Plan mensual'!K22+parametros_recargas!$G$89*'Plan mensual'!K23+parametros_recargas!$H$89*'Plan mensual'!K24+parametros_recargas!$I$89*'Plan mensual'!K25+parametros_recargas!$J$89*'Plan mensual'!K26+parametros_recargas!$K$89*'Plan mensual'!K27+parametros_recargas!$L$89*'Plan mensual'!K28</f>
        <v>0.445816675542141</v>
      </c>
      <c r="J19" s="25" t="n">
        <f aca="false">parametros_recargas!$E$89*'Plan mensual'!L21+parametros_recargas!$F$89*'Plan mensual'!L22+parametros_recargas!$G$89*'Plan mensual'!L23+parametros_recargas!$H$89*'Plan mensual'!L24+parametros_recargas!$I$89*'Plan mensual'!L25+parametros_recargas!$J$89*'Plan mensual'!L26+parametros_recargas!$K$89*'Plan mensual'!L27+parametros_recargas!$L$89*'Plan mensual'!L28</f>
        <v>0.505250234439573</v>
      </c>
      <c r="K19" s="25" t="n">
        <f aca="false">parametros_recargas!$E$89*'Plan mensual'!M21+parametros_recargas!$F$89*'Plan mensual'!M22+parametros_recargas!$G$89*'Plan mensual'!M23+parametros_recargas!$H$89*'Plan mensual'!M24+parametros_recargas!$I$89*'Plan mensual'!M25+parametros_recargas!$J$89*'Plan mensual'!M26+parametros_recargas!$K$89*'Plan mensual'!M27+parametros_recargas!$L$89*'Plan mensual'!M28</f>
        <v>0.572607112757301</v>
      </c>
      <c r="L19" s="25" t="n">
        <f aca="false">parametros_recargas!$E$89*'Plan mensual'!N21+parametros_recargas!$F$89*'Plan mensual'!N22+parametros_recargas!$G$89*'Plan mensual'!N23+parametros_recargas!$H$89*'Plan mensual'!N24+parametros_recargas!$I$89*'Plan mensual'!N25+parametros_recargas!$J$89*'Plan mensual'!N26+parametros_recargas!$K$89*'Plan mensual'!N27+parametros_recargas!$L$89*'Plan mensual'!N28</f>
        <v>0.648943599093898</v>
      </c>
      <c r="M19" s="25" t="n">
        <f aca="false">parametros_recargas!$E$89*'Plan mensual'!O21+parametros_recargas!$F$89*'Plan mensual'!O22+parametros_recargas!$G$89*'Plan mensual'!O23+parametros_recargas!$H$89*'Plan mensual'!O24+parametros_recargas!$I$89*'Plan mensual'!O25+parametros_recargas!$J$89*'Plan mensual'!O26+parametros_recargas!$K$89*'Plan mensual'!O27+parametros_recargas!$L$89*'Plan mensual'!O28</f>
        <v>0.735456799998634</v>
      </c>
      <c r="N19" s="7" t="n">
        <f aca="false">SUM(B19:M19)</f>
        <v>4.8595773579954</v>
      </c>
      <c r="O19" s="26" t="n">
        <f aca="false">MAX(B19:M19)</f>
        <v>0.735456799998634</v>
      </c>
      <c r="P19" s="15" t="n">
        <f aca="false">O19/parametros_recargas!$B$6</f>
        <v>0.00490304533332423</v>
      </c>
    </row>
    <row r="20" customFormat="false" ht="15" hidden="false" customHeight="false" outlineLevel="0" collapsed="false">
      <c r="A20" s="12" t="str">
        <f aca="false">parametros_recargas!$B$90</f>
        <v>Carga de agua / AFFF / sales K</v>
      </c>
      <c r="B20" s="25" t="n">
        <f aca="false">parametros_recargas!$E$90*'Plan mensual'!D21+parametros_recargas!$F$90*'Plan mensual'!D22+parametros_recargas!$G$90*'Plan mensual'!D23+parametros_recargas!$H$90*'Plan mensual'!D24+parametros_recargas!$I$90*'Plan mensual'!D25+parametros_recargas!$J$90*'Plan mensual'!D26+parametros_recargas!$K$90*'Plan mensual'!D27+parametros_recargas!$L$90*'Plan mensual'!D28</f>
        <v>8.10690085300835</v>
      </c>
      <c r="C20" s="25" t="n">
        <f aca="false">parametros_recargas!$E$90*'Plan mensual'!E21+parametros_recargas!$F$90*'Plan mensual'!E22+parametros_recargas!$G$90*'Plan mensual'!E23+parametros_recargas!$H$90*'Plan mensual'!E24+parametros_recargas!$I$90*'Plan mensual'!E25+parametros_recargas!$J$90*'Plan mensual'!E26+parametros_recargas!$K$90*'Plan mensual'!E27+parametros_recargas!$L$90*'Plan mensual'!E28</f>
        <v>9.1876634080137</v>
      </c>
      <c r="D20" s="25" t="n">
        <f aca="false">parametros_recargas!$E$90*'Plan mensual'!F21+parametros_recargas!$F$90*'Plan mensual'!F22+parametros_recargas!$G$90*'Plan mensual'!F23+parametros_recargas!$H$90*'Plan mensual'!F24+parametros_recargas!$I$90*'Plan mensual'!F25+parametros_recargas!$J$90*'Plan mensual'!F26+parametros_recargas!$K$90*'Plan mensual'!F27+parametros_recargas!$L$90*'Plan mensual'!F28</f>
        <v>10.4125066322514</v>
      </c>
      <c r="E20" s="25" t="n">
        <f aca="false">parametros_recargas!$E$90*'Plan mensual'!G21+parametros_recargas!$F$90*'Plan mensual'!G22+parametros_recargas!$G$90*'Plan mensual'!G23+parametros_recargas!$H$90*'Plan mensual'!G24+parametros_recargas!$I$90*'Plan mensual'!G25+parametros_recargas!$J$90*'Plan mensual'!G26+parametros_recargas!$K$90*'Plan mensual'!G27+parametros_recargas!$L$90*'Plan mensual'!G28</f>
        <v>11.8006384813915</v>
      </c>
      <c r="F20" s="25" t="n">
        <f aca="false">parametros_recargas!$E$90*'Plan mensual'!H21+parametros_recargas!$F$90*'Plan mensual'!H22+parametros_recargas!$G$90*'Plan mensual'!H23+parametros_recargas!$H$90*'Plan mensual'!H24+parametros_recargas!$I$90*'Plan mensual'!H25+parametros_recargas!$J$90*'Plan mensual'!H26+parametros_recargas!$K$90*'Plan mensual'!H27+parametros_recargas!$L$90*'Plan mensual'!H28</f>
        <v>13.3738275985509</v>
      </c>
      <c r="G20" s="25" t="n">
        <f aca="false">parametros_recargas!$E$90*'Plan mensual'!I21+parametros_recargas!$F$90*'Plan mensual'!I22+parametros_recargas!$G$90*'Plan mensual'!I23+parametros_recargas!$H$90*'Plan mensual'!I24+parametros_recargas!$I$90*'Plan mensual'!I25+parametros_recargas!$J$90*'Plan mensual'!I26+parametros_recargas!$K$90*'Plan mensual'!I27+parametros_recargas!$L$90*'Plan mensual'!I28</f>
        <v>15.1567446895189</v>
      </c>
      <c r="H20" s="25" t="n">
        <f aca="false">parametros_recargas!$E$90*'Plan mensual'!J21+parametros_recargas!$F$90*'Plan mensual'!J22+parametros_recargas!$G$90*'Plan mensual'!J23+parametros_recargas!$H$90*'Plan mensual'!J24+parametros_recargas!$I$90*'Plan mensual'!J25+parametros_recargas!$J$90*'Plan mensual'!J26+parametros_recargas!$K$90*'Plan mensual'!J27+parametros_recargas!$L$90*'Plan mensual'!J28</f>
        <v>17.1773494080445</v>
      </c>
      <c r="I20" s="25" t="n">
        <f aca="false">parametros_recargas!$E$90*'Plan mensual'!K21+parametros_recargas!$F$90*'Plan mensual'!K22+parametros_recargas!$G$90*'Plan mensual'!K23+parametros_recargas!$H$90*'Plan mensual'!K24+parametros_recargas!$I$90*'Plan mensual'!K25+parametros_recargas!$J$90*'Plan mensual'!K26+parametros_recargas!$K$90*'Plan mensual'!K27+parametros_recargas!$L$90*'Plan mensual'!K28</f>
        <v>19.4673288183106</v>
      </c>
      <c r="J20" s="25" t="n">
        <f aca="false">parametros_recargas!$E$90*'Plan mensual'!L21+parametros_recargas!$F$90*'Plan mensual'!L22+parametros_recargas!$G$90*'Plan mensual'!L23+parametros_recargas!$H$90*'Plan mensual'!L24+parametros_recargas!$I$90*'Plan mensual'!L25+parametros_recargas!$J$90*'Plan mensual'!L26+parametros_recargas!$K$90*'Plan mensual'!L27+parametros_recargas!$L$90*'Plan mensual'!L28</f>
        <v>22.0625943105485</v>
      </c>
      <c r="K20" s="25" t="n">
        <f aca="false">parametros_recargas!$E$90*'Plan mensual'!M21+parametros_recargas!$F$90*'Plan mensual'!M22+parametros_recargas!$G$90*'Plan mensual'!M23+parametros_recargas!$H$90*'Plan mensual'!M24+parametros_recargas!$I$90*'Plan mensual'!M25+parametros_recargas!$J$90*'Plan mensual'!M26+parametros_recargas!$K$90*'Plan mensual'!M27+parametros_recargas!$L$90*'Plan mensual'!M28</f>
        <v>25.003844762411</v>
      </c>
      <c r="L20" s="25" t="n">
        <f aca="false">parametros_recargas!$E$90*'Plan mensual'!N21+parametros_recargas!$F$90*'Plan mensual'!N22+parametros_recargas!$G$90*'Plan mensual'!N23+parametros_recargas!$H$90*'Plan mensual'!N24+parametros_recargas!$I$90*'Plan mensual'!N25+parametros_recargas!$J$90*'Plan mensual'!N26+parametros_recargas!$K$90*'Plan mensual'!N27+parametros_recargas!$L$90*'Plan mensual'!N28</f>
        <v>28.3372047775828</v>
      </c>
      <c r="M20" s="25" t="n">
        <f aca="false">parametros_recargas!$E$90*'Plan mensual'!O21+parametros_recargas!$F$90*'Plan mensual'!O22+parametros_recargas!$G$90*'Plan mensual'!O23+parametros_recargas!$H$90*'Plan mensual'!O24+parametros_recargas!$I$90*'Plan mensual'!O25+parametros_recargas!$J$90*'Plan mensual'!O26+parametros_recargas!$K$90*'Plan mensual'!O27+parametros_recargas!$L$90*'Plan mensual'!O28</f>
        <v>32.1149480104688</v>
      </c>
      <c r="N20" s="7" t="n">
        <f aca="false">SUM(B20:M20)</f>
        <v>212.201551750101</v>
      </c>
      <c r="O20" s="26" t="n">
        <f aca="false">MAX(B20:M20)</f>
        <v>32.1149480104688</v>
      </c>
      <c r="P20" s="15" t="n">
        <f aca="false">O20/parametros_recargas!$B$6</f>
        <v>0.214099653403125</v>
      </c>
    </row>
    <row r="21" customFormat="false" ht="15" hidden="false" customHeight="false" outlineLevel="0" collapsed="false">
      <c r="A21" s="12" t="str">
        <f aca="false">parametros_recargas!$B$91</f>
        <v>Carga de CO₂</v>
      </c>
      <c r="B21" s="25" t="n">
        <f aca="false">parametros_recargas!$E$91*'Plan mensual'!D21+parametros_recargas!$F$91*'Plan mensual'!D22+parametros_recargas!$G$91*'Plan mensual'!D23+parametros_recargas!$H$91*'Plan mensual'!D24+parametros_recargas!$I$91*'Plan mensual'!D25+parametros_recargas!$J$91*'Plan mensual'!D26+parametros_recargas!$K$91*'Plan mensual'!D27+parametros_recargas!$L$91*'Plan mensual'!D28</f>
        <v>4.69705173751767</v>
      </c>
      <c r="C21" s="25" t="n">
        <f aca="false">parametros_recargas!$E$91*'Plan mensual'!E21+parametros_recargas!$F$91*'Plan mensual'!E22+parametros_recargas!$G$91*'Plan mensual'!E23+parametros_recargas!$H$91*'Plan mensual'!E24+parametros_recargas!$I$91*'Plan mensual'!E25+parametros_recargas!$J$91*'Plan mensual'!E26+parametros_recargas!$K$91*'Plan mensual'!E27+parametros_recargas!$L$91*'Plan mensual'!E28</f>
        <v>5.32323401467579</v>
      </c>
      <c r="D21" s="25" t="n">
        <f aca="false">parametros_recargas!$E$91*'Plan mensual'!F21+parametros_recargas!$F$91*'Plan mensual'!F22+parametros_recargas!$G$91*'Plan mensual'!F23+parametros_recargas!$H$91*'Plan mensual'!F24+parametros_recargas!$I$91*'Plan mensual'!F25+parametros_recargas!$J$91*'Plan mensual'!F26+parametros_recargas!$K$91*'Plan mensual'!F27+parametros_recargas!$L$91*'Plan mensual'!F28</f>
        <v>6.0328950921833</v>
      </c>
      <c r="E21" s="25" t="n">
        <f aca="false">parametros_recargas!$E$91*'Plan mensual'!G21+parametros_recargas!$F$91*'Plan mensual'!G22+parametros_recargas!$G$91*'Plan mensual'!G23+parametros_recargas!$H$91*'Plan mensual'!G24+parametros_recargas!$I$91*'Plan mensual'!G25+parametros_recargas!$J$91*'Plan mensual'!G26+parametros_recargas!$K$91*'Plan mensual'!G27+parametros_recargas!$L$91*'Plan mensual'!G28</f>
        <v>6.8371638543315</v>
      </c>
      <c r="F21" s="25" t="n">
        <f aca="false">parametros_recargas!$E$91*'Plan mensual'!H21+parametros_recargas!$F$91*'Plan mensual'!H22+parametros_recargas!$G$91*'Plan mensual'!H23+parametros_recargas!$H$91*'Plan mensual'!H24+parametros_recargas!$I$91*'Plan mensual'!H25+parametros_recargas!$J$91*'Plan mensual'!H26+parametros_recargas!$K$91*'Plan mensual'!H27+parametros_recargas!$L$91*'Plan mensual'!H28</f>
        <v>7.74865282035919</v>
      </c>
      <c r="G21" s="25" t="n">
        <f aca="false">parametros_recargas!$E$91*'Plan mensual'!I21+parametros_recargas!$F$91*'Plan mensual'!I22+parametros_recargas!$G$91*'Plan mensual'!I23+parametros_recargas!$H$91*'Plan mensual'!I24+parametros_recargas!$I$91*'Plan mensual'!I25+parametros_recargas!$J$91*'Plan mensual'!I26+parametros_recargas!$K$91*'Plan mensual'!I27+parametros_recargas!$L$91*'Plan mensual'!I28</f>
        <v>8.78165593361093</v>
      </c>
      <c r="H21" s="25" t="n">
        <f aca="false">parametros_recargas!$E$91*'Plan mensual'!J21+parametros_recargas!$F$91*'Plan mensual'!J22+parametros_recargas!$G$91*'Plan mensual'!J23+parametros_recargas!$H$91*'Plan mensual'!J24+parametros_recargas!$I$91*'Plan mensual'!J25+parametros_recargas!$J$91*'Plan mensual'!J26+parametros_recargas!$K$91*'Plan mensual'!J27+parametros_recargas!$L$91*'Plan mensual'!J28</f>
        <v>9.95237271873916</v>
      </c>
      <c r="I21" s="25" t="n">
        <f aca="false">parametros_recargas!$E$91*'Plan mensual'!K21+parametros_recargas!$F$91*'Plan mensual'!K22+parametros_recargas!$G$91*'Plan mensual'!K23+parametros_recargas!$H$91*'Plan mensual'!K24+parametros_recargas!$I$91*'Plan mensual'!K25+parametros_recargas!$J$91*'Plan mensual'!K26+parametros_recargas!$K$91*'Plan mensual'!K27+parametros_recargas!$L$91*'Plan mensual'!K28</f>
        <v>11.2791623221767</v>
      </c>
      <c r="J21" s="25" t="n">
        <f aca="false">parametros_recargas!$E$91*'Plan mensual'!L21+parametros_recargas!$F$91*'Plan mensual'!L22+parametros_recargas!$G$91*'Plan mensual'!L23+parametros_recargas!$H$91*'Plan mensual'!L24+parametros_recargas!$I$91*'Plan mensual'!L25+parametros_recargas!$J$91*'Plan mensual'!L26+parametros_recargas!$K$91*'Plan mensual'!L27+parametros_recargas!$L$91*'Plan mensual'!L28</f>
        <v>12.7828314197347</v>
      </c>
      <c r="K21" s="25" t="n">
        <f aca="false">parametros_recargas!$E$91*'Plan mensual'!M21+parametros_recargas!$F$91*'Plan mensual'!M22+parametros_recargas!$G$91*'Plan mensual'!M23+parametros_recargas!$H$91*'Plan mensual'!M24+parametros_recargas!$I$91*'Plan mensual'!M25+parametros_recargas!$J$91*'Plan mensual'!M26+parametros_recargas!$K$91*'Plan mensual'!M27+parametros_recargas!$L$91*'Plan mensual'!M28</f>
        <v>14.4869605062855</v>
      </c>
      <c r="L21" s="25" t="n">
        <f aca="false">parametros_recargas!$E$91*'Plan mensual'!N21+parametros_recargas!$F$91*'Plan mensual'!N22+parametros_recargas!$G$91*'Plan mensual'!N23+parametros_recargas!$H$91*'Plan mensual'!N24+parametros_recargas!$I$91*'Plan mensual'!N25+parametros_recargas!$J$91*'Plan mensual'!N26+parametros_recargas!$K$91*'Plan mensual'!N27+parametros_recargas!$L$91*'Plan mensual'!N28</f>
        <v>16.4182736843941</v>
      </c>
      <c r="M21" s="25" t="n">
        <f aca="false">parametros_recargas!$E$91*'Plan mensual'!O21+parametros_recargas!$F$91*'Plan mensual'!O22+parametros_recargas!$G$91*'Plan mensual'!O23+parametros_recargas!$H$91*'Plan mensual'!O24+parametros_recargas!$I$91*'Plan mensual'!O25+parametros_recargas!$J$91*'Plan mensual'!O26+parametros_recargas!$K$91*'Plan mensual'!O27+parametros_recargas!$L$91*'Plan mensual'!O28</f>
        <v>18.6070577509142</v>
      </c>
      <c r="N21" s="7" t="n">
        <f aca="false">SUM(B21:M21)</f>
        <v>122.947311854923</v>
      </c>
      <c r="O21" s="26" t="n">
        <f aca="false">MAX(B21:M21)</f>
        <v>18.6070577509142</v>
      </c>
      <c r="P21" s="15" t="n">
        <f aca="false">O21/parametros_recargas!$B$6</f>
        <v>0.124047051672761</v>
      </c>
    </row>
    <row r="22" customFormat="false" ht="15" hidden="false" customHeight="false" outlineLevel="0" collapsed="false">
      <c r="A22" s="12" t="str">
        <f aca="false">parametros_recargas!$B$92</f>
        <v>Ensamblaje y marbete — recinto</v>
      </c>
      <c r="B22" s="25" t="n">
        <f aca="false">parametros_recargas!$E$92*'Plan mensual'!D21+parametros_recargas!$F$92*'Plan mensual'!D22+parametros_recargas!$G$92*'Plan mensual'!D23+parametros_recargas!$H$92*'Plan mensual'!D24+parametros_recargas!$I$92*'Plan mensual'!D25+parametros_recargas!$J$92*'Plan mensual'!D26+parametros_recargas!$K$92*'Plan mensual'!D27+parametros_recargas!$L$92*'Plan mensual'!D28</f>
        <v>165.91298682161</v>
      </c>
      <c r="C22" s="25" t="n">
        <f aca="false">parametros_recargas!$E$92*'Plan mensual'!E21+parametros_recargas!$F$92*'Plan mensual'!E22+parametros_recargas!$G$92*'Plan mensual'!E23+parametros_recargas!$H$92*'Plan mensual'!E24+parametros_recargas!$I$92*'Plan mensual'!E25+parametros_recargas!$J$92*'Plan mensual'!E26+parametros_recargas!$K$92*'Plan mensual'!E27+parametros_recargas!$L$92*'Plan mensual'!E28</f>
        <v>188.031493856188</v>
      </c>
      <c r="D22" s="25" t="n">
        <f aca="false">parametros_recargas!$E$92*'Plan mensual'!F21+parametros_recargas!$F$92*'Plan mensual'!F22+parametros_recargas!$G$92*'Plan mensual'!F23+parametros_recargas!$H$92*'Plan mensual'!F24+parametros_recargas!$I$92*'Plan mensual'!F25+parametros_recargas!$J$92*'Plan mensual'!F26+parametros_recargas!$K$92*'Plan mensual'!F27+parametros_recargas!$L$92*'Plan mensual'!F28</f>
        <v>213.098705285827</v>
      </c>
      <c r="E22" s="25" t="n">
        <f aca="false">parametros_recargas!$E$92*'Plan mensual'!G21+parametros_recargas!$F$92*'Plan mensual'!G22+parametros_recargas!$G$92*'Plan mensual'!G23+parametros_recargas!$H$92*'Plan mensual'!G24+parametros_recargas!$I$92*'Plan mensual'!G25+parametros_recargas!$J$92*'Plan mensual'!G26+parametros_recargas!$K$92*'Plan mensual'!G27+parametros_recargas!$L$92*'Plan mensual'!G28</f>
        <v>241.507724388063</v>
      </c>
      <c r="F22" s="25" t="n">
        <f aca="false">parametros_recargas!$E$92*'Plan mensual'!H21+parametros_recargas!$F$92*'Plan mensual'!H22+parametros_recargas!$G$92*'Plan mensual'!H23+parametros_recargas!$H$92*'Plan mensual'!H24+parametros_recargas!$I$92*'Plan mensual'!H25+parametros_recargas!$J$92*'Plan mensual'!H26+parametros_recargas!$K$92*'Plan mensual'!H27+parametros_recargas!$L$92*'Plan mensual'!H28</f>
        <v>273.70406057075</v>
      </c>
      <c r="G22" s="25" t="n">
        <f aca="false">parametros_recargas!$E$92*'Plan mensual'!I21+parametros_recargas!$F$92*'Plan mensual'!I22+parametros_recargas!$G$92*'Plan mensual'!I23+parametros_recargas!$H$92*'Plan mensual'!I24+parametros_recargas!$I$92*'Plan mensual'!I25+parametros_recargas!$J$92*'Plan mensual'!I26+parametros_recargas!$K$92*'Plan mensual'!I27+parametros_recargas!$L$92*'Plan mensual'!I28</f>
        <v>310.192615837589</v>
      </c>
      <c r="H22" s="25" t="n">
        <f aca="false">parametros_recargas!$E$92*'Plan mensual'!J21+parametros_recargas!$F$92*'Plan mensual'!J22+parametros_recargas!$G$92*'Plan mensual'!J23+parametros_recargas!$H$92*'Plan mensual'!J24+parametros_recargas!$I$92*'Plan mensual'!J25+parametros_recargas!$J$92*'Plan mensual'!J26+parametros_recargas!$K$92*'Plan mensual'!J27+parametros_recargas!$L$92*'Plan mensual'!J28</f>
        <v>351.545602646602</v>
      </c>
      <c r="I22" s="25" t="n">
        <f aca="false">parametros_recargas!$E$92*'Plan mensual'!K21+parametros_recargas!$F$92*'Plan mensual'!K22+parametros_recargas!$G$92*'Plan mensual'!K23+parametros_recargas!$H$92*'Plan mensual'!K24+parametros_recargas!$I$92*'Plan mensual'!K25+parametros_recargas!$J$92*'Plan mensual'!K26+parametros_recargas!$K$92*'Plan mensual'!K27+parametros_recargas!$L$92*'Plan mensual'!K28</f>
        <v>398.411517329183</v>
      </c>
      <c r="J22" s="25" t="n">
        <f aca="false">parametros_recargas!$E$92*'Plan mensual'!L21+parametros_recargas!$F$92*'Plan mensual'!L22+parametros_recargas!$G$92*'Plan mensual'!L23+parametros_recargas!$H$92*'Plan mensual'!L24+parametros_recargas!$I$92*'Plan mensual'!L25+parametros_recargas!$J$92*'Plan mensual'!L26+parametros_recargas!$K$92*'Plan mensual'!L27+parametros_recargas!$L$92*'Plan mensual'!L28</f>
        <v>451.525309790634</v>
      </c>
      <c r="K22" s="25" t="n">
        <f aca="false">parametros_recargas!$E$92*'Plan mensual'!M21+parametros_recargas!$F$92*'Plan mensual'!M22+parametros_recargas!$G$92*'Plan mensual'!M23+parametros_recargas!$H$92*'Plan mensual'!M24+parametros_recargas!$I$92*'Plan mensual'!M25+parametros_recargas!$J$92*'Plan mensual'!M26+parametros_recargas!$K$92*'Plan mensual'!M27+parametros_recargas!$L$92*'Plan mensual'!M28</f>
        <v>511.71990897311</v>
      </c>
      <c r="L22" s="25" t="n">
        <f aca="false">parametros_recargas!$E$92*'Plan mensual'!N21+parametros_recargas!$F$92*'Plan mensual'!N22+parametros_recargas!$G$92*'Plan mensual'!N23+parametros_recargas!$H$92*'Plan mensual'!N24+parametros_recargas!$I$92*'Plan mensual'!N25+parametros_recargas!$J$92*'Plan mensual'!N26+parametros_recargas!$K$92*'Plan mensual'!N27+parametros_recargas!$L$92*'Plan mensual'!N28</f>
        <v>579.939284822964</v>
      </c>
      <c r="M22" s="25" t="n">
        <f aca="false">parametros_recargas!$E$92*'Plan mensual'!O21+parametros_recargas!$F$92*'Plan mensual'!O22+parametros_recargas!$G$92*'Plan mensual'!O23+parametros_recargas!$H$92*'Plan mensual'!O24+parametros_recargas!$I$92*'Plan mensual'!O25+parametros_recargas!$J$92*'Plan mensual'!O26+parametros_recargas!$K$92*'Plan mensual'!O27+parametros_recargas!$L$92*'Plan mensual'!O28</f>
        <v>657.253251599881</v>
      </c>
      <c r="N22" s="7" t="n">
        <f aca="false">SUM(B22:M22)</f>
        <v>4342.8424619224</v>
      </c>
      <c r="O22" s="26" t="n">
        <f aca="false">MAX(B22:M22)</f>
        <v>657.253251599881</v>
      </c>
      <c r="P22" s="15" t="n">
        <f aca="false">O22/parametros_recargas!$B$6</f>
        <v>4.38168834399921</v>
      </c>
    </row>
    <row r="23" customFormat="false" ht="15" hidden="false" customHeight="false" outlineLevel="0" collapsed="false">
      <c r="A23" s="12" t="str">
        <f aca="false">parametros_recargas!$B$93</f>
        <v>Presurización — recinto</v>
      </c>
      <c r="B23" s="25" t="n">
        <f aca="false">parametros_recargas!$E$93*'Plan mensual'!D21+parametros_recargas!$F$93*'Plan mensual'!D22+parametros_recargas!$G$93*'Plan mensual'!D23+parametros_recargas!$H$93*'Plan mensual'!D24+parametros_recargas!$I$93*'Plan mensual'!D25+parametros_recargas!$J$93*'Plan mensual'!D26+parametros_recargas!$K$93*'Plan mensual'!D27+parametros_recargas!$L$93*'Plan mensual'!D28</f>
        <v>165.91298682161</v>
      </c>
      <c r="C23" s="25" t="n">
        <f aca="false">parametros_recargas!$E$93*'Plan mensual'!E21+parametros_recargas!$F$93*'Plan mensual'!E22+parametros_recargas!$G$93*'Plan mensual'!E23+parametros_recargas!$H$93*'Plan mensual'!E24+parametros_recargas!$I$93*'Plan mensual'!E25+parametros_recargas!$J$93*'Plan mensual'!E26+parametros_recargas!$K$93*'Plan mensual'!E27+parametros_recargas!$L$93*'Plan mensual'!E28</f>
        <v>188.031493856188</v>
      </c>
      <c r="D23" s="25" t="n">
        <f aca="false">parametros_recargas!$E$93*'Plan mensual'!F21+parametros_recargas!$F$93*'Plan mensual'!F22+parametros_recargas!$G$93*'Plan mensual'!F23+parametros_recargas!$H$93*'Plan mensual'!F24+parametros_recargas!$I$93*'Plan mensual'!F25+parametros_recargas!$J$93*'Plan mensual'!F26+parametros_recargas!$K$93*'Plan mensual'!F27+parametros_recargas!$L$93*'Plan mensual'!F28</f>
        <v>213.098705285827</v>
      </c>
      <c r="E23" s="25" t="n">
        <f aca="false">parametros_recargas!$E$93*'Plan mensual'!G21+parametros_recargas!$F$93*'Plan mensual'!G22+parametros_recargas!$G$93*'Plan mensual'!G23+parametros_recargas!$H$93*'Plan mensual'!G24+parametros_recargas!$I$93*'Plan mensual'!G25+parametros_recargas!$J$93*'Plan mensual'!G26+parametros_recargas!$K$93*'Plan mensual'!G27+parametros_recargas!$L$93*'Plan mensual'!G28</f>
        <v>241.507724388063</v>
      </c>
      <c r="F23" s="25" t="n">
        <f aca="false">parametros_recargas!$E$93*'Plan mensual'!H21+parametros_recargas!$F$93*'Plan mensual'!H22+parametros_recargas!$G$93*'Plan mensual'!H23+parametros_recargas!$H$93*'Plan mensual'!H24+parametros_recargas!$I$93*'Plan mensual'!H25+parametros_recargas!$J$93*'Plan mensual'!H26+parametros_recargas!$K$93*'Plan mensual'!H27+parametros_recargas!$L$93*'Plan mensual'!H28</f>
        <v>273.70406057075</v>
      </c>
      <c r="G23" s="25" t="n">
        <f aca="false">parametros_recargas!$E$93*'Plan mensual'!I21+parametros_recargas!$F$93*'Plan mensual'!I22+parametros_recargas!$G$93*'Plan mensual'!I23+parametros_recargas!$H$93*'Plan mensual'!I24+parametros_recargas!$I$93*'Plan mensual'!I25+parametros_recargas!$J$93*'Plan mensual'!I26+parametros_recargas!$K$93*'Plan mensual'!I27+parametros_recargas!$L$93*'Plan mensual'!I28</f>
        <v>310.192615837589</v>
      </c>
      <c r="H23" s="25" t="n">
        <f aca="false">parametros_recargas!$E$93*'Plan mensual'!J21+parametros_recargas!$F$93*'Plan mensual'!J22+parametros_recargas!$G$93*'Plan mensual'!J23+parametros_recargas!$H$93*'Plan mensual'!J24+parametros_recargas!$I$93*'Plan mensual'!J25+parametros_recargas!$J$93*'Plan mensual'!J26+parametros_recargas!$K$93*'Plan mensual'!J27+parametros_recargas!$L$93*'Plan mensual'!J28</f>
        <v>351.545602646602</v>
      </c>
      <c r="I23" s="25" t="n">
        <f aca="false">parametros_recargas!$E$93*'Plan mensual'!K21+parametros_recargas!$F$93*'Plan mensual'!K22+parametros_recargas!$G$93*'Plan mensual'!K23+parametros_recargas!$H$93*'Plan mensual'!K24+parametros_recargas!$I$93*'Plan mensual'!K25+parametros_recargas!$J$93*'Plan mensual'!K26+parametros_recargas!$K$93*'Plan mensual'!K27+parametros_recargas!$L$93*'Plan mensual'!K28</f>
        <v>398.411517329183</v>
      </c>
      <c r="J23" s="25" t="n">
        <f aca="false">parametros_recargas!$E$93*'Plan mensual'!L21+parametros_recargas!$F$93*'Plan mensual'!L22+parametros_recargas!$G$93*'Plan mensual'!L23+parametros_recargas!$H$93*'Plan mensual'!L24+parametros_recargas!$I$93*'Plan mensual'!L25+parametros_recargas!$J$93*'Plan mensual'!L26+parametros_recargas!$K$93*'Plan mensual'!L27+parametros_recargas!$L$93*'Plan mensual'!L28</f>
        <v>451.525309790634</v>
      </c>
      <c r="K23" s="25" t="n">
        <f aca="false">parametros_recargas!$E$93*'Plan mensual'!M21+parametros_recargas!$F$93*'Plan mensual'!M22+parametros_recargas!$G$93*'Plan mensual'!M23+parametros_recargas!$H$93*'Plan mensual'!M24+parametros_recargas!$I$93*'Plan mensual'!M25+parametros_recargas!$J$93*'Plan mensual'!M26+parametros_recargas!$K$93*'Plan mensual'!M27+parametros_recargas!$L$93*'Plan mensual'!M28</f>
        <v>511.71990897311</v>
      </c>
      <c r="L23" s="25" t="n">
        <f aca="false">parametros_recargas!$E$93*'Plan mensual'!N21+parametros_recargas!$F$93*'Plan mensual'!N22+parametros_recargas!$G$93*'Plan mensual'!N23+parametros_recargas!$H$93*'Plan mensual'!N24+parametros_recargas!$I$93*'Plan mensual'!N25+parametros_recargas!$J$93*'Plan mensual'!N26+parametros_recargas!$K$93*'Plan mensual'!N27+parametros_recargas!$L$93*'Plan mensual'!N28</f>
        <v>579.939284822964</v>
      </c>
      <c r="M23" s="25" t="n">
        <f aca="false">parametros_recargas!$E$93*'Plan mensual'!O21+parametros_recargas!$F$93*'Plan mensual'!O22+parametros_recargas!$G$93*'Plan mensual'!O23+parametros_recargas!$H$93*'Plan mensual'!O24+parametros_recargas!$I$93*'Plan mensual'!O25+parametros_recargas!$J$93*'Plan mensual'!O26+parametros_recargas!$K$93*'Plan mensual'!O27+parametros_recargas!$L$93*'Plan mensual'!O28</f>
        <v>657.253251599881</v>
      </c>
      <c r="N23" s="7" t="n">
        <f aca="false">SUM(B23:M23)</f>
        <v>4342.8424619224</v>
      </c>
      <c r="O23" s="26" t="n">
        <f aca="false">MAX(B23:M23)</f>
        <v>657.253251599881</v>
      </c>
      <c r="P23" s="15" t="n">
        <f aca="false">O23/parametros_recargas!$B$6</f>
        <v>4.38168834399921</v>
      </c>
    </row>
    <row r="24" customFormat="false" ht="15" hidden="false" customHeight="false" outlineLevel="0" collapsed="false">
      <c r="A24" s="12" t="str">
        <f aca="false">parametros_recargas!$B$94</f>
        <v>Ensamblaje y presurización — zona general</v>
      </c>
      <c r="B24" s="25" t="n">
        <f aca="false">parametros_recargas!$E$94*'Plan mensual'!D21+parametros_recargas!$F$94*'Plan mensual'!D22+parametros_recargas!$G$94*'Plan mensual'!D23+parametros_recargas!$H$94*'Plan mensual'!D24+parametros_recargas!$I$94*'Plan mensual'!D25+parametros_recargas!$J$94*'Plan mensual'!D26+parametros_recargas!$K$94*'Plan mensual'!D27+parametros_recargas!$L$94*'Plan mensual'!D28</f>
        <v>12.1448801155915</v>
      </c>
      <c r="C24" s="25" t="n">
        <f aca="false">parametros_recargas!$E$94*'Plan mensual'!E21+parametros_recargas!$F$94*'Plan mensual'!E22+parametros_recargas!$G$94*'Plan mensual'!E23+parametros_recargas!$H$94*'Plan mensual'!E24+parametros_recargas!$I$94*'Plan mensual'!E25+parametros_recargas!$J$94*'Plan mensual'!E26+parametros_recargas!$K$94*'Plan mensual'!E27+parametros_recargas!$L$94*'Plan mensual'!E28</f>
        <v>13.7639614269276</v>
      </c>
      <c r="D24" s="25" t="n">
        <f aca="false">parametros_recargas!$E$94*'Plan mensual'!F21+parametros_recargas!$F$94*'Plan mensual'!F22+parametros_recargas!$G$94*'Plan mensual'!F23+parametros_recargas!$H$94*'Plan mensual'!F24+parametros_recargas!$I$94*'Plan mensual'!F25+parametros_recargas!$J$94*'Plan mensual'!F26+parametros_recargas!$K$94*'Plan mensual'!F27+parametros_recargas!$L$94*'Plan mensual'!F28</f>
        <v>15.5988887793746</v>
      </c>
      <c r="E24" s="25" t="n">
        <f aca="false">parametros_recargas!$E$94*'Plan mensual'!G21+parametros_recargas!$F$94*'Plan mensual'!G22+parametros_recargas!$G$94*'Plan mensual'!G23+parametros_recargas!$H$94*'Plan mensual'!G24+parametros_recargas!$I$94*'Plan mensual'!G25+parametros_recargas!$J$94*'Plan mensual'!G26+parametros_recargas!$K$94*'Plan mensual'!G27+parametros_recargas!$L$94*'Plan mensual'!G28</f>
        <v>17.6784374500834</v>
      </c>
      <c r="F24" s="25" t="n">
        <f aca="false">parametros_recargas!$E$94*'Plan mensual'!H21+parametros_recargas!$F$94*'Plan mensual'!H22+parametros_recargas!$G$94*'Plan mensual'!H23+parametros_recargas!$H$94*'Plan mensual'!H24+parametros_recargas!$I$94*'Plan mensual'!H25+parametros_recargas!$J$94*'Plan mensual'!H26+parametros_recargas!$K$94*'Plan mensual'!H27+parametros_recargas!$L$94*'Plan mensual'!H28</f>
        <v>20.0352188605733</v>
      </c>
      <c r="G24" s="25" t="n">
        <f aca="false">parametros_recargas!$E$94*'Plan mensual'!I21+parametros_recargas!$F$94*'Plan mensual'!I22+parametros_recargas!$G$94*'Plan mensual'!I23+parametros_recargas!$H$94*'Plan mensual'!I24+parametros_recargas!$I$94*'Plan mensual'!I25+parametros_recargas!$J$94*'Plan mensual'!I26+parametros_recargas!$K$94*'Plan mensual'!I27+parametros_recargas!$L$94*'Plan mensual'!I28</f>
        <v>22.7061919880921</v>
      </c>
      <c r="H24" s="25" t="n">
        <f aca="false">parametros_recargas!$E$94*'Plan mensual'!J21+parametros_recargas!$F$94*'Plan mensual'!J22+parametros_recargas!$G$94*'Plan mensual'!J23+parametros_recargas!$H$94*'Plan mensual'!J24+parametros_recargas!$I$94*'Plan mensual'!J25+parametros_recargas!$J$94*'Plan mensual'!J26+parametros_recargas!$K$94*'Plan mensual'!J27+parametros_recargas!$L$94*'Plan mensual'!J28</f>
        <v>25.7332429552179</v>
      </c>
      <c r="I24" s="25" t="n">
        <f aca="false">parametros_recargas!$E$94*'Plan mensual'!K21+parametros_recargas!$F$94*'Plan mensual'!K22+parametros_recargas!$G$94*'Plan mensual'!K23+parametros_recargas!$H$94*'Plan mensual'!K24+parametros_recargas!$I$94*'Plan mensual'!K25+parametros_recargas!$J$94*'Plan mensual'!K26+parametros_recargas!$K$94*'Plan mensual'!K27+parametros_recargas!$L$94*'Plan mensual'!K28</f>
        <v>29.1638418868102</v>
      </c>
      <c r="J24" s="25" t="n">
        <f aca="false">parametros_recargas!$E$94*'Plan mensual'!L21+parametros_recargas!$F$94*'Plan mensual'!L22+parametros_recargas!$G$94*'Plan mensual'!L23+parametros_recargas!$H$94*'Plan mensual'!L24+parametros_recargas!$I$94*'Plan mensual'!L25+parametros_recargas!$J$94*'Plan mensual'!L26+parametros_recargas!$K$94*'Plan mensual'!L27+parametros_recargas!$L$94*'Plan mensual'!L28</f>
        <v>33.051787335121</v>
      </c>
      <c r="K24" s="25" t="n">
        <f aca="false">parametros_recargas!$E$94*'Plan mensual'!M21+parametros_recargas!$F$94*'Plan mensual'!M22+parametros_recargas!$G$94*'Plan mensual'!M23+parametros_recargas!$H$94*'Plan mensual'!M24+parametros_recargas!$I$94*'Plan mensual'!M25+parametros_recargas!$J$94*'Plan mensual'!M26+parametros_recargas!$K$94*'Plan mensual'!M27+parametros_recargas!$L$94*'Plan mensual'!M28</f>
        <v>37.4580499471207</v>
      </c>
      <c r="L24" s="25" t="n">
        <f aca="false">parametros_recargas!$E$94*'Plan mensual'!N21+parametros_recargas!$F$94*'Plan mensual'!N22+parametros_recargas!$G$94*'Plan mensual'!N23+parametros_recargas!$H$94*'Plan mensual'!N24+parametros_recargas!$I$94*'Plan mensual'!N25+parametros_recargas!$J$94*'Plan mensual'!N26+parametros_recargas!$K$94*'Plan mensual'!N27+parametros_recargas!$L$94*'Plan mensual'!N28</f>
        <v>42.4517286044026</v>
      </c>
      <c r="M24" s="25" t="n">
        <f aca="false">parametros_recargas!$E$94*'Plan mensual'!O21+parametros_recargas!$F$94*'Plan mensual'!O22+parametros_recargas!$G$94*'Plan mensual'!O23+parametros_recargas!$H$94*'Plan mensual'!O24+parametros_recargas!$I$94*'Plan mensual'!O25+parametros_recargas!$J$94*'Plan mensual'!O26+parametros_recargas!$K$94*'Plan mensual'!O27+parametros_recargas!$L$94*'Plan mensual'!O28</f>
        <v>48.1111340298263</v>
      </c>
      <c r="N24" s="7" t="n">
        <f aca="false">SUM(B24:M24)</f>
        <v>317.897363379141</v>
      </c>
      <c r="O24" s="26" t="n">
        <f aca="false">MAX(B24:M24)</f>
        <v>48.1111340298263</v>
      </c>
      <c r="P24" s="15" t="n">
        <f aca="false">O24/parametros_recargas!$B$6</f>
        <v>0.320740893532175</v>
      </c>
    </row>
    <row r="25" customFormat="false" ht="15" hidden="false" customHeight="false" outlineLevel="0" collapsed="false">
      <c r="A25" s="12" t="str">
        <f aca="false">parametros_recargas!$B$95</f>
        <v>Carga y presurización de halogenado</v>
      </c>
      <c r="B25" s="25" t="n">
        <f aca="false">parametros_recargas!$E$95*'Plan mensual'!D21+parametros_recargas!$F$95*'Plan mensual'!D22+parametros_recargas!$G$95*'Plan mensual'!D23+parametros_recargas!$H$95*'Plan mensual'!D24+parametros_recargas!$I$95*'Plan mensual'!D25+parametros_recargas!$J$95*'Plan mensual'!D26+parametros_recargas!$K$95*'Plan mensual'!D27+parametros_recargas!$L$95*'Plan mensual'!D28</f>
        <v>0.123769481318438</v>
      </c>
      <c r="C25" s="25" t="n">
        <f aca="false">parametros_recargas!$E$95*'Plan mensual'!E21+parametros_recargas!$F$95*'Plan mensual'!E22+parametros_recargas!$G$95*'Plan mensual'!E23+parametros_recargas!$H$95*'Plan mensual'!E24+parametros_recargas!$I$95*'Plan mensual'!E25+parametros_recargas!$J$95*'Plan mensual'!E26+parametros_recargas!$K$95*'Plan mensual'!E27+parametros_recargas!$L$95*'Plan mensual'!E28</f>
        <v>0.140269673350732</v>
      </c>
      <c r="D25" s="25" t="n">
        <f aca="false">parametros_recargas!$E$95*'Plan mensual'!F21+parametros_recargas!$F$95*'Plan mensual'!F22+parametros_recargas!$G$95*'Plan mensual'!F23+parametros_recargas!$H$95*'Plan mensual'!F24+parametros_recargas!$I$95*'Plan mensual'!F25+parametros_recargas!$J$95*'Plan mensual'!F26+parametros_recargas!$K$95*'Plan mensual'!F27+parametros_recargas!$L$95*'Plan mensual'!F28</f>
        <v>0.158969570303838</v>
      </c>
      <c r="E25" s="25" t="n">
        <f aca="false">parametros_recargas!$E$95*'Plan mensual'!G21+parametros_recargas!$F$95*'Plan mensual'!G22+parametros_recargas!$G$95*'Plan mensual'!G23+parametros_recargas!$H$95*'Plan mensual'!G24+parametros_recargas!$I$95*'Plan mensual'!G25+parametros_recargas!$J$95*'Plan mensual'!G26+parametros_recargas!$K$95*'Plan mensual'!G27+parametros_recargas!$L$95*'Plan mensual'!G28</f>
        <v>0.180162423415631</v>
      </c>
      <c r="F25" s="25" t="n">
        <f aca="false">parametros_recargas!$E$95*'Plan mensual'!H21+parametros_recargas!$F$95*'Plan mensual'!H22+parametros_recargas!$G$95*'Plan mensual'!H23+parametros_recargas!$H$95*'Plan mensual'!H24+parametros_recargas!$I$95*'Plan mensual'!H25+parametros_recargas!$J$95*'Plan mensual'!H26+parametros_recargas!$K$95*'Plan mensual'!H27+parametros_recargas!$L$95*'Plan mensual'!H28</f>
        <v>0.204180578389659</v>
      </c>
      <c r="G25" s="25" t="n">
        <f aca="false">parametros_recargas!$E$95*'Plan mensual'!I21+parametros_recargas!$F$95*'Plan mensual'!I22+parametros_recargas!$G$95*'Plan mensual'!I23+parametros_recargas!$H$95*'Plan mensual'!I24+parametros_recargas!$I$95*'Plan mensual'!I25+parametros_recargas!$J$95*'Plan mensual'!I26+parametros_recargas!$K$95*'Plan mensual'!I27+parametros_recargas!$L$95*'Plan mensual'!I28</f>
        <v>0.231400687230757</v>
      </c>
      <c r="H25" s="25" t="n">
        <f aca="false">parametros_recargas!$E$95*'Plan mensual'!J21+parametros_recargas!$F$95*'Plan mensual'!J22+parametros_recargas!$G$95*'Plan mensual'!J23+parametros_recargas!$H$95*'Plan mensual'!J24+parametros_recargas!$I$95*'Plan mensual'!J25+parametros_recargas!$J$95*'Plan mensual'!J26+parametros_recargas!$K$95*'Plan mensual'!J27+parametros_recargas!$L$95*'Plan mensual'!J28</f>
        <v>0.262249614890789</v>
      </c>
      <c r="I25" s="25" t="n">
        <f aca="false">parametros_recargas!$E$95*'Plan mensual'!K21+parametros_recargas!$F$95*'Plan mensual'!K22+parametros_recargas!$G$95*'Plan mensual'!K23+parametros_recargas!$H$95*'Plan mensual'!K24+parametros_recargas!$I$95*'Plan mensual'!K25+parametros_recargas!$J$95*'Plan mensual'!K26+parametros_recargas!$K$95*'Plan mensual'!K27+parametros_recargas!$L$95*'Plan mensual'!K28</f>
        <v>0.297211133352355</v>
      </c>
      <c r="J25" s="25" t="n">
        <f aca="false">parametros_recargas!$E$95*'Plan mensual'!L21+parametros_recargas!$F$95*'Plan mensual'!L22+parametros_recargas!$G$95*'Plan mensual'!L23+parametros_recargas!$H$95*'Plan mensual'!L24+parametros_recargas!$I$95*'Plan mensual'!L25+parametros_recargas!$J$95*'Plan mensual'!L26+parametros_recargas!$K$95*'Plan mensual'!L27+parametros_recargas!$L$95*'Plan mensual'!L28</f>
        <v>0.336833508126894</v>
      </c>
      <c r="K25" s="25" t="n">
        <f aca="false">parametros_recargas!$E$95*'Plan mensual'!M21+parametros_recargas!$F$95*'Plan mensual'!M22+parametros_recargas!$G$95*'Plan mensual'!M23+parametros_recargas!$H$95*'Plan mensual'!M24+parametros_recargas!$I$95*'Plan mensual'!M25+parametros_recargas!$J$95*'Plan mensual'!M26+parametros_recargas!$K$95*'Plan mensual'!M27+parametros_recargas!$L$95*'Plan mensual'!M28</f>
        <v>0.381738096138421</v>
      </c>
      <c r="L25" s="25" t="n">
        <f aca="false">parametros_recargas!$E$95*'Plan mensual'!N21+parametros_recargas!$F$95*'Plan mensual'!N22+parametros_recargas!$G$95*'Plan mensual'!N23+parametros_recargas!$H$95*'Plan mensual'!N24+parametros_recargas!$I$95*'Plan mensual'!N25+parametros_recargas!$J$95*'Plan mensual'!N26+parametros_recargas!$K$95*'Plan mensual'!N27+parametros_recargas!$L$95*'Plan mensual'!N28</f>
        <v>0.432629089824663</v>
      </c>
      <c r="M25" s="25" t="n">
        <f aca="false">parametros_recargas!$E$95*'Plan mensual'!O21+parametros_recargas!$F$95*'Plan mensual'!O22+parametros_recargas!$G$95*'Plan mensual'!O23+parametros_recargas!$H$95*'Plan mensual'!O24+parametros_recargas!$I$95*'Plan mensual'!O25+parametros_recargas!$J$95*'Plan mensual'!O26+parametros_recargas!$K$95*'Plan mensual'!O27+parametros_recargas!$L$95*'Plan mensual'!O28</f>
        <v>0.490304560262301</v>
      </c>
      <c r="N25" s="7" t="n">
        <f aca="false">SUM(B25:M25)</f>
        <v>3.23971841660448</v>
      </c>
      <c r="O25" s="26" t="n">
        <f aca="false">MAX(B25:M25)</f>
        <v>0.490304560262301</v>
      </c>
      <c r="P25" s="15" t="n">
        <f aca="false">O25/parametros_recargas!$B$6</f>
        <v>0.00326869706841534</v>
      </c>
    </row>
    <row r="26" customFormat="false" ht="15" hidden="false" customHeight="false" outlineLevel="0" collapsed="false">
      <c r="A26" s="12" t="str">
        <f aca="false">parametros_recargas!$B$96</f>
        <v>Control de peso (CO₂ y halogenados sin recarga)</v>
      </c>
      <c r="B26" s="25" t="n">
        <f aca="false">parametros_recargas!$E$96*'Plan mensual'!D21+parametros_recargas!$F$96*'Plan mensual'!D22+parametros_recargas!$G$96*'Plan mensual'!D23+parametros_recargas!$H$96*'Plan mensual'!D24+parametros_recargas!$I$96*'Plan mensual'!D25+parametros_recargas!$J$96*'Plan mensual'!D26+parametros_recargas!$K$96*'Plan mensual'!D27+parametros_recargas!$L$96*'Plan mensual'!D28</f>
        <v>11.3310958314965</v>
      </c>
      <c r="C26" s="25" t="n">
        <f aca="false">parametros_recargas!$E$96*'Plan mensual'!E21+parametros_recargas!$F$96*'Plan mensual'!E22+parametros_recargas!$G$96*'Plan mensual'!E23+parametros_recargas!$H$96*'Plan mensual'!E24+parametros_recargas!$I$96*'Plan mensual'!E25+parametros_recargas!$J$96*'Plan mensual'!E26+parametros_recargas!$K$96*'Plan mensual'!E27+parametros_recargas!$L$96*'Plan mensual'!E28</f>
        <v>12.841688387629</v>
      </c>
      <c r="D26" s="25" t="n">
        <f aca="false">parametros_recargas!$E$96*'Plan mensual'!F21+parametros_recargas!$F$96*'Plan mensual'!F22+parametros_recargas!$G$96*'Plan mensual'!F23+parametros_recargas!$H$96*'Plan mensual'!F24+parametros_recargas!$I$96*'Plan mensual'!F25+parametros_recargas!$J$96*'Plan mensual'!F26+parametros_recargas!$K$96*'Plan mensual'!F27+parametros_recargas!$L$96*'Plan mensual'!F28</f>
        <v>14.5536639260059</v>
      </c>
      <c r="E26" s="25" t="n">
        <f aca="false">parametros_recargas!$E$96*'Plan mensual'!G21+parametros_recargas!$F$96*'Plan mensual'!G22+parametros_recargas!$G$96*'Plan mensual'!G23+parametros_recargas!$H$96*'Plan mensual'!G24+parametros_recargas!$I$96*'Plan mensual'!G25+parametros_recargas!$J$96*'Plan mensual'!G26+parametros_recargas!$K$96*'Plan mensual'!G27+parametros_recargas!$L$96*'Plan mensual'!G28</f>
        <v>16.4938695970204</v>
      </c>
      <c r="F26" s="25" t="n">
        <f aca="false">parametros_recargas!$E$96*'Plan mensual'!H21+parametros_recargas!$F$96*'Plan mensual'!H22+parametros_recargas!$G$96*'Plan mensual'!H23+parametros_recargas!$H$96*'Plan mensual'!H24+parametros_recargas!$I$96*'Plan mensual'!H25+parametros_recargas!$J$96*'Plan mensual'!H26+parametros_recargas!$K$96*'Plan mensual'!H27+parametros_recargas!$L$96*'Plan mensual'!H28</f>
        <v>18.6927316493404</v>
      </c>
      <c r="G26" s="25" t="n">
        <f aca="false">parametros_recargas!$E$96*'Plan mensual'!I21+parametros_recargas!$F$96*'Plan mensual'!I22+parametros_recargas!$G$96*'Plan mensual'!I23+parametros_recargas!$H$96*'Plan mensual'!I24+parametros_recargas!$I$96*'Plan mensual'!I25+parametros_recargas!$J$96*'Plan mensual'!I26+parametros_recargas!$K$96*'Plan mensual'!I27+parametros_recargas!$L$96*'Plan mensual'!I28</f>
        <v>21.1847325734511</v>
      </c>
      <c r="H26" s="25" t="n">
        <f aca="false">parametros_recargas!$E$96*'Plan mensual'!J21+parametros_recargas!$F$96*'Plan mensual'!J22+parametros_recargas!$G$96*'Plan mensual'!J23+parametros_recargas!$H$96*'Plan mensual'!J24+parametros_recargas!$I$96*'Plan mensual'!J25+parametros_recargas!$J$96*'Plan mensual'!J26+parametros_recargas!$K$96*'Plan mensual'!J27+parametros_recargas!$L$96*'Plan mensual'!J28</f>
        <v>24.0089518550637</v>
      </c>
      <c r="I26" s="25" t="n">
        <f aca="false">parametros_recargas!$E$96*'Plan mensual'!K21+parametros_recargas!$F$96*'Plan mensual'!K22+parametros_recargas!$G$96*'Plan mensual'!K23+parametros_recargas!$H$96*'Plan mensual'!K24+parametros_recargas!$I$96*'Plan mensual'!K25+parametros_recargas!$J$96*'Plan mensual'!K26+parametros_recargas!$K$96*'Plan mensual'!K27+parametros_recargas!$L$96*'Plan mensual'!K28</f>
        <v>27.2096788184693</v>
      </c>
      <c r="J26" s="25" t="n">
        <f aca="false">parametros_recargas!$E$96*'Plan mensual'!L21+parametros_recargas!$F$96*'Plan mensual'!L22+parametros_recargas!$G$96*'Plan mensual'!L23+parametros_recargas!$H$96*'Plan mensual'!L24+parametros_recargas!$I$96*'Plan mensual'!L25+parametros_recargas!$J$96*'Plan mensual'!L26+parametros_recargas!$K$96*'Plan mensual'!L27+parametros_recargas!$L$96*'Plan mensual'!L28</f>
        <v>30.8371071704284</v>
      </c>
      <c r="K26" s="25" t="n">
        <f aca="false">parametros_recargas!$E$96*'Plan mensual'!M21+parametros_recargas!$F$96*'Plan mensual'!M22+parametros_recargas!$G$96*'Plan mensual'!M23+parametros_recargas!$H$96*'Plan mensual'!M24+parametros_recargas!$I$96*'Plan mensual'!M25+parametros_recargas!$J$96*'Plan mensual'!M26+parametros_recargas!$K$96*'Plan mensual'!M27+parametros_recargas!$L$96*'Plan mensual'!M28</f>
        <v>34.9481221364148</v>
      </c>
      <c r="L26" s="25" t="n">
        <f aca="false">parametros_recargas!$E$96*'Plan mensual'!N21+parametros_recargas!$F$96*'Plan mensual'!N22+parametros_recargas!$G$96*'Plan mensual'!N23+parametros_recargas!$H$96*'Plan mensual'!N24+parametros_recargas!$I$96*'Plan mensual'!N25+parametros_recargas!$J$96*'Plan mensual'!N26+parametros_recargas!$K$96*'Plan mensual'!N27+parametros_recargas!$L$96*'Plan mensual'!N28</f>
        <v>39.6071925330603</v>
      </c>
      <c r="M26" s="25" t="n">
        <f aca="false">parametros_recargas!$E$96*'Plan mensual'!O21+parametros_recargas!$F$96*'Plan mensual'!O22+parametros_recargas!$G$96*'Plan mensual'!O23+parametros_recargas!$H$96*'Plan mensual'!O24+parametros_recargas!$I$96*'Plan mensual'!O25+parametros_recargas!$J$96*'Plan mensual'!O26+parametros_recargas!$K$96*'Plan mensual'!O27+parametros_recargas!$L$96*'Plan mensual'!O28</f>
        <v>44.8873817662534</v>
      </c>
      <c r="N26" s="7" t="n">
        <f aca="false">SUM(B26:M26)</f>
        <v>296.596216244633</v>
      </c>
      <c r="O26" s="26" t="n">
        <f aca="false">MAX(B26:M26)</f>
        <v>44.8873817662534</v>
      </c>
      <c r="P26" s="15" t="n">
        <f aca="false">O26/parametros_recargas!$B$6</f>
        <v>0.299249211775023</v>
      </c>
    </row>
    <row r="27" customFormat="false" ht="15" hidden="false" customHeight="false" outlineLevel="0" collapsed="false">
      <c r="A27" s="12" t="str">
        <f aca="false">parametros_recargas!$B$97</f>
        <v>Ensayo de pérdidas</v>
      </c>
      <c r="B27" s="25" t="n">
        <f aca="false">parametros_recargas!$E$97*'Plan mensual'!D21+parametros_recargas!$F$97*'Plan mensual'!D22+parametros_recargas!$G$97*'Plan mensual'!D23+parametros_recargas!$H$97*'Plan mensual'!D24+parametros_recargas!$I$97*'Plan mensual'!D25+parametros_recargas!$J$97*'Plan mensual'!D26+parametros_recargas!$K$97*'Plan mensual'!D27+parametros_recargas!$L$97*'Plan mensual'!D28</f>
        <v>190.171804724951</v>
      </c>
      <c r="C27" s="25" t="n">
        <f aca="false">parametros_recargas!$E$97*'Plan mensual'!E21+parametros_recargas!$F$97*'Plan mensual'!E22+parametros_recargas!$G$97*'Plan mensual'!E23+parametros_recargas!$H$97*'Plan mensual'!E24+parametros_recargas!$I$97*'Plan mensual'!E25+parametros_recargas!$J$97*'Plan mensual'!E26+parametros_recargas!$K$97*'Plan mensual'!E27+parametros_recargas!$L$97*'Plan mensual'!E28</f>
        <v>215.524349339857</v>
      </c>
      <c r="D27" s="25" t="n">
        <f aca="false">parametros_recargas!$E$97*'Plan mensual'!F21+parametros_recargas!$F$97*'Plan mensual'!F22+parametros_recargas!$G$97*'Plan mensual'!F23+parametros_recargas!$H$97*'Plan mensual'!F24+parametros_recargas!$I$97*'Plan mensual'!F25+parametros_recargas!$J$97*'Plan mensual'!F26+parametros_recargas!$K$97*'Plan mensual'!F27+parametros_recargas!$L$97*'Plan mensual'!F28</f>
        <v>244.256740506572</v>
      </c>
      <c r="E27" s="25" t="n">
        <f aca="false">parametros_recargas!$E$97*'Plan mensual'!G21+parametros_recargas!$F$97*'Plan mensual'!G22+parametros_recargas!$G$97*'Plan mensual'!G23+parametros_recargas!$H$97*'Plan mensual'!G24+parametros_recargas!$I$97*'Plan mensual'!G25+parametros_recargas!$J$97*'Plan mensual'!G26+parametros_recargas!$K$97*'Plan mensual'!G27+parametros_recargas!$L$97*'Plan mensual'!G28</f>
        <v>276.819558744222</v>
      </c>
      <c r="F27" s="25" t="n">
        <f aca="false">parametros_recargas!$E$97*'Plan mensual'!H21+parametros_recargas!$F$97*'Plan mensual'!H22+parametros_recargas!$G$97*'Plan mensual'!H23+parametros_recargas!$H$97*'Plan mensual'!H24+parametros_recargas!$I$97*'Plan mensual'!H25+parametros_recargas!$J$97*'Plan mensual'!H26+parametros_recargas!$K$97*'Plan mensual'!H27+parametros_recargas!$L$97*'Plan mensual'!H28</f>
        <v>313.72345321739</v>
      </c>
      <c r="G27" s="25" t="n">
        <f aca="false">parametros_recargas!$E$97*'Plan mensual'!I21+parametros_recargas!$F$97*'Plan mensual'!I22+parametros_recargas!$G$97*'Plan mensual'!I23+parametros_recargas!$H$97*'Plan mensual'!I24+parametros_recargas!$I$97*'Plan mensual'!I25+parametros_recargas!$J$97*'Plan mensual'!I26+parametros_recargas!$K$97*'Plan mensual'!I27+parametros_recargas!$L$97*'Plan mensual'!I28</f>
        <v>355.547149721401</v>
      </c>
      <c r="H27" s="25" t="n">
        <f aca="false">parametros_recargas!$E$97*'Plan mensual'!J21+parametros_recargas!$F$97*'Plan mensual'!J22+parametros_recargas!$G$97*'Plan mensual'!J23+parametros_recargas!$H$97*'Plan mensual'!J24+parametros_recargas!$I$97*'Plan mensual'!J25+parametros_recargas!$J$97*'Plan mensual'!J26+parametros_recargas!$K$97*'Plan mensual'!J27+parametros_recargas!$L$97*'Plan mensual'!J28</f>
        <v>402.94652624334</v>
      </c>
      <c r="I27" s="25" t="n">
        <f aca="false">parametros_recargas!$E$97*'Plan mensual'!K21+parametros_recargas!$F$97*'Plan mensual'!K22+parametros_recargas!$G$97*'Plan mensual'!K23+parametros_recargas!$H$97*'Plan mensual'!K24+parametros_recargas!$I$97*'Plan mensual'!K25+parametros_recargas!$J$97*'Plan mensual'!K26+parametros_recargas!$K$97*'Plan mensual'!K27+parametros_recargas!$L$97*'Plan mensual'!K28</f>
        <v>456.664898421492</v>
      </c>
      <c r="J27" s="25" t="n">
        <f aca="false">parametros_recargas!$E$97*'Plan mensual'!L21+parametros_recargas!$F$97*'Plan mensual'!L22+parametros_recargas!$G$97*'Plan mensual'!L23+parametros_recargas!$H$97*'Plan mensual'!L24+parametros_recargas!$I$97*'Plan mensual'!L25+parametros_recargas!$J$97*'Plan mensual'!L26+parametros_recargas!$K$97*'Plan mensual'!L27+parametros_recargas!$L$97*'Plan mensual'!L28</f>
        <v>517.544676199473</v>
      </c>
      <c r="K27" s="25" t="n">
        <f aca="false">parametros_recargas!$E$97*'Plan mensual'!M21+parametros_recargas!$F$97*'Plan mensual'!M22+parametros_recargas!$G$97*'Plan mensual'!M23+parametros_recargas!$H$97*'Plan mensual'!M24+parametros_recargas!$I$97*'Plan mensual'!M25+parametros_recargas!$J$97*'Plan mensual'!M26+parametros_recargas!$K$97*'Plan mensual'!M27+parametros_recargas!$L$97*'Plan mensual'!M28</f>
        <v>586.54057447436</v>
      </c>
      <c r="L27" s="25" t="n">
        <f aca="false">parametros_recargas!$E$97*'Plan mensual'!N21+parametros_recargas!$F$97*'Plan mensual'!N22+parametros_recargas!$G$97*'Plan mensual'!N23+parametros_recargas!$H$97*'Plan mensual'!N24+parametros_recargas!$I$97*'Plan mensual'!N25+parametros_recargas!$J$97*'Plan mensual'!N26+parametros_recargas!$K$97*'Plan mensual'!N27+parametros_recargas!$L$97*'Plan mensual'!N28</f>
        <v>664.734584907826</v>
      </c>
      <c r="M27" s="25" t="n">
        <f aca="false">parametros_recargas!$E$97*'Plan mensual'!O21+parametros_recargas!$F$97*'Plan mensual'!O22+parametros_recargas!$G$97*'Plan mensual'!O23+parametros_recargas!$H$97*'Plan mensual'!O24+parametros_recargas!$I$97*'Plan mensual'!O25+parametros_recargas!$J$97*'Plan mensual'!O26+parametros_recargas!$K$97*'Plan mensual'!O27+parametros_recargas!$L$97*'Plan mensual'!O28</f>
        <v>753.35294368778</v>
      </c>
      <c r="N27" s="7" t="n">
        <f aca="false">SUM(B27:M27)</f>
        <v>4977.82726018866</v>
      </c>
      <c r="O27" s="26" t="n">
        <f aca="false">MAX(B27:M27)</f>
        <v>753.35294368778</v>
      </c>
      <c r="P27" s="15" t="n">
        <f aca="false">O27/parametros_recargas!$B$6</f>
        <v>5.02235295791853</v>
      </c>
    </row>
    <row r="28" customFormat="false" ht="15" hidden="false" customHeight="false" outlineLevel="0" collapsed="false">
      <c r="A28" s="12" t="str">
        <f aca="false">parametros_recargas!$B$98</f>
        <v>Precinto, etiqueta y despacho</v>
      </c>
      <c r="B28" s="25" t="n">
        <f aca="false">parametros_recargas!$E$98*'Plan mensual'!D21+parametros_recargas!$F$98*'Plan mensual'!D22+parametros_recargas!$G$98*'Plan mensual'!D23+parametros_recargas!$H$98*'Plan mensual'!D24+parametros_recargas!$I$98*'Plan mensual'!D25+parametros_recargas!$J$98*'Plan mensual'!D26+parametros_recargas!$K$98*'Plan mensual'!D27+parametros_recargas!$L$98*'Plan mensual'!D28</f>
        <v>190.171804724951</v>
      </c>
      <c r="C28" s="25" t="n">
        <f aca="false">parametros_recargas!$E$98*'Plan mensual'!E21+parametros_recargas!$F$98*'Plan mensual'!E22+parametros_recargas!$G$98*'Plan mensual'!E23+parametros_recargas!$H$98*'Plan mensual'!E24+parametros_recargas!$I$98*'Plan mensual'!E25+parametros_recargas!$J$98*'Plan mensual'!E26+parametros_recargas!$K$98*'Plan mensual'!E27+parametros_recargas!$L$98*'Plan mensual'!E28</f>
        <v>215.524349339857</v>
      </c>
      <c r="D28" s="25" t="n">
        <f aca="false">parametros_recargas!$E$98*'Plan mensual'!F21+parametros_recargas!$F$98*'Plan mensual'!F22+parametros_recargas!$G$98*'Plan mensual'!F23+parametros_recargas!$H$98*'Plan mensual'!F24+parametros_recargas!$I$98*'Plan mensual'!F25+parametros_recargas!$J$98*'Plan mensual'!F26+parametros_recargas!$K$98*'Plan mensual'!F27+parametros_recargas!$L$98*'Plan mensual'!F28</f>
        <v>244.256740506572</v>
      </c>
      <c r="E28" s="25" t="n">
        <f aca="false">parametros_recargas!$E$98*'Plan mensual'!G21+parametros_recargas!$F$98*'Plan mensual'!G22+parametros_recargas!$G$98*'Plan mensual'!G23+parametros_recargas!$H$98*'Plan mensual'!G24+parametros_recargas!$I$98*'Plan mensual'!G25+parametros_recargas!$J$98*'Plan mensual'!G26+parametros_recargas!$K$98*'Plan mensual'!G27+parametros_recargas!$L$98*'Plan mensual'!G28</f>
        <v>276.819558744222</v>
      </c>
      <c r="F28" s="25" t="n">
        <f aca="false">parametros_recargas!$E$98*'Plan mensual'!H21+parametros_recargas!$F$98*'Plan mensual'!H22+parametros_recargas!$G$98*'Plan mensual'!H23+parametros_recargas!$H$98*'Plan mensual'!H24+parametros_recargas!$I$98*'Plan mensual'!H25+parametros_recargas!$J$98*'Plan mensual'!H26+parametros_recargas!$K$98*'Plan mensual'!H27+parametros_recargas!$L$98*'Plan mensual'!H28</f>
        <v>313.72345321739</v>
      </c>
      <c r="G28" s="25" t="n">
        <f aca="false">parametros_recargas!$E$98*'Plan mensual'!I21+parametros_recargas!$F$98*'Plan mensual'!I22+parametros_recargas!$G$98*'Plan mensual'!I23+parametros_recargas!$H$98*'Plan mensual'!I24+parametros_recargas!$I$98*'Plan mensual'!I25+parametros_recargas!$J$98*'Plan mensual'!I26+parametros_recargas!$K$98*'Plan mensual'!I27+parametros_recargas!$L$98*'Plan mensual'!I28</f>
        <v>355.547149721401</v>
      </c>
      <c r="H28" s="25" t="n">
        <f aca="false">parametros_recargas!$E$98*'Plan mensual'!J21+parametros_recargas!$F$98*'Plan mensual'!J22+parametros_recargas!$G$98*'Plan mensual'!J23+parametros_recargas!$H$98*'Plan mensual'!J24+parametros_recargas!$I$98*'Plan mensual'!J25+parametros_recargas!$J$98*'Plan mensual'!J26+parametros_recargas!$K$98*'Plan mensual'!J27+parametros_recargas!$L$98*'Plan mensual'!J28</f>
        <v>402.94652624334</v>
      </c>
      <c r="I28" s="25" t="n">
        <f aca="false">parametros_recargas!$E$98*'Plan mensual'!K21+parametros_recargas!$F$98*'Plan mensual'!K22+parametros_recargas!$G$98*'Plan mensual'!K23+parametros_recargas!$H$98*'Plan mensual'!K24+parametros_recargas!$I$98*'Plan mensual'!K25+parametros_recargas!$J$98*'Plan mensual'!K26+parametros_recargas!$K$98*'Plan mensual'!K27+parametros_recargas!$L$98*'Plan mensual'!K28</f>
        <v>456.664898421492</v>
      </c>
      <c r="J28" s="25" t="n">
        <f aca="false">parametros_recargas!$E$98*'Plan mensual'!L21+parametros_recargas!$F$98*'Plan mensual'!L22+parametros_recargas!$G$98*'Plan mensual'!L23+parametros_recargas!$H$98*'Plan mensual'!L24+parametros_recargas!$I$98*'Plan mensual'!L25+parametros_recargas!$J$98*'Plan mensual'!L26+parametros_recargas!$K$98*'Plan mensual'!L27+parametros_recargas!$L$98*'Plan mensual'!L28</f>
        <v>517.544676199473</v>
      </c>
      <c r="K28" s="25" t="n">
        <f aca="false">parametros_recargas!$E$98*'Plan mensual'!M21+parametros_recargas!$F$98*'Plan mensual'!M22+parametros_recargas!$G$98*'Plan mensual'!M23+parametros_recargas!$H$98*'Plan mensual'!M24+parametros_recargas!$I$98*'Plan mensual'!M25+parametros_recargas!$J$98*'Plan mensual'!M26+parametros_recargas!$K$98*'Plan mensual'!M27+parametros_recargas!$L$98*'Plan mensual'!M28</f>
        <v>586.54057447436</v>
      </c>
      <c r="L28" s="25" t="n">
        <f aca="false">parametros_recargas!$E$98*'Plan mensual'!N21+parametros_recargas!$F$98*'Plan mensual'!N22+parametros_recargas!$G$98*'Plan mensual'!N23+parametros_recargas!$H$98*'Plan mensual'!N24+parametros_recargas!$I$98*'Plan mensual'!N25+parametros_recargas!$J$98*'Plan mensual'!N26+parametros_recargas!$K$98*'Plan mensual'!N27+parametros_recargas!$L$98*'Plan mensual'!N28</f>
        <v>664.734584907826</v>
      </c>
      <c r="M28" s="25" t="n">
        <f aca="false">parametros_recargas!$E$98*'Plan mensual'!O21+parametros_recargas!$F$98*'Plan mensual'!O22+parametros_recargas!$G$98*'Plan mensual'!O23+parametros_recargas!$H$98*'Plan mensual'!O24+parametros_recargas!$I$98*'Plan mensual'!O25+parametros_recargas!$J$98*'Plan mensual'!O26+parametros_recargas!$K$98*'Plan mensual'!O27+parametros_recargas!$L$98*'Plan mensual'!O28</f>
        <v>753.35294368778</v>
      </c>
      <c r="N28" s="7" t="n">
        <f aca="false">SUM(B28:M28)</f>
        <v>4977.82726018866</v>
      </c>
      <c r="O28" s="26" t="n">
        <f aca="false">MAX(B28:M28)</f>
        <v>753.35294368778</v>
      </c>
      <c r="P28" s="15" t="n">
        <f aca="false">O28/parametros_recargas!$B$6</f>
        <v>5.02235295791853</v>
      </c>
    </row>
    <row r="29" customFormat="false" ht="15" hidden="false" customHeight="false" outlineLevel="0" collapsed="false">
      <c r="A29" s="12" t="str">
        <f aca="false">parametros_recargas!$B$99</f>
        <v>Inutilización y disposición final</v>
      </c>
      <c r="B29" s="25" t="n">
        <f aca="false">parametros_recargas!$E$99*'Plan mensual'!D21+parametros_recargas!$F$99*'Plan mensual'!D22+parametros_recargas!$G$99*'Plan mensual'!D23+parametros_recargas!$H$99*'Plan mensual'!D24+parametros_recargas!$I$99*'Plan mensual'!D25+parametros_recargas!$J$99*'Plan mensual'!D26+parametros_recargas!$K$99*'Plan mensual'!D27+parametros_recargas!$L$99*'Plan mensual'!D28</f>
        <v>14.9527970592451</v>
      </c>
      <c r="C29" s="25" t="n">
        <f aca="false">parametros_recargas!$E$99*'Plan mensual'!E21+parametros_recargas!$F$99*'Plan mensual'!E22+parametros_recargas!$G$99*'Plan mensual'!E23+parametros_recargas!$H$99*'Plan mensual'!E24+parametros_recargas!$I$99*'Plan mensual'!E25+parametros_recargas!$J$99*'Plan mensual'!E26+parametros_recargas!$K$99*'Plan mensual'!E27+parametros_recargas!$L$99*'Plan mensual'!E28</f>
        <v>16.946212724151</v>
      </c>
      <c r="D29" s="25" t="n">
        <f aca="false">parametros_recargas!$E$99*'Plan mensual'!F21+parametros_recargas!$F$99*'Plan mensual'!F22+parametros_recargas!$G$99*'Plan mensual'!F23+parametros_recargas!$H$99*'Plan mensual'!F24+parametros_recargas!$I$99*'Plan mensual'!F25+parametros_recargas!$J$99*'Plan mensual'!F26+parametros_recargas!$K$99*'Plan mensual'!F27+parametros_recargas!$L$99*'Plan mensual'!F28</f>
        <v>19.2053784020711</v>
      </c>
      <c r="E29" s="25" t="n">
        <f aca="false">parametros_recargas!$E$99*'Plan mensual'!G21+parametros_recargas!$F$99*'Plan mensual'!G22+parametros_recargas!$G$99*'Plan mensual'!G23+parametros_recargas!$H$99*'Plan mensual'!G24+parametros_recargas!$I$99*'Plan mensual'!G25+parametros_recargas!$J$99*'Plan mensual'!G26+parametros_recargas!$K$99*'Plan mensual'!G27+parametros_recargas!$L$99*'Plan mensual'!G28</f>
        <v>21.765722263186</v>
      </c>
      <c r="F29" s="25" t="n">
        <f aca="false">parametros_recargas!$E$99*'Plan mensual'!H21+parametros_recargas!$F$99*'Plan mensual'!H22+parametros_recargas!$G$99*'Plan mensual'!H23+parametros_recargas!$H$99*'Plan mensual'!H24+parametros_recargas!$I$99*'Plan mensual'!H25+parametros_recargas!$J$99*'Plan mensual'!H26+parametros_recargas!$K$99*'Plan mensual'!H27+parametros_recargas!$L$99*'Plan mensual'!H28</f>
        <v>24.667395545149</v>
      </c>
      <c r="G29" s="25" t="n">
        <f aca="false">parametros_recargas!$E$99*'Plan mensual'!I21+parametros_recargas!$F$99*'Plan mensual'!I22+parametros_recargas!$G$99*'Plan mensual'!I23+parametros_recargas!$H$99*'Plan mensual'!I24+parametros_recargas!$I$99*'Plan mensual'!I25+parametros_recargas!$J$99*'Plan mensual'!I26+parametros_recargas!$K$99*'Plan mensual'!I27+parametros_recargas!$L$99*'Plan mensual'!I28</f>
        <v>27.9559022036226</v>
      </c>
      <c r="H29" s="25" t="n">
        <f aca="false">parametros_recargas!$E$99*'Plan mensual'!J21+parametros_recargas!$F$99*'Plan mensual'!J22+parametros_recargas!$G$99*'Plan mensual'!J23+parametros_recargas!$H$99*'Plan mensual'!J24+parametros_recargas!$I$99*'Plan mensual'!J25+parametros_recargas!$J$99*'Plan mensual'!J26+parametros_recargas!$K$99*'Plan mensual'!J27+parametros_recargas!$L$99*'Plan mensual'!J28</f>
        <v>31.6828125039817</v>
      </c>
      <c r="I29" s="25" t="n">
        <f aca="false">parametros_recargas!$E$99*'Plan mensual'!K21+parametros_recargas!$F$99*'Plan mensual'!K22+parametros_recargas!$G$99*'Plan mensual'!K23+parametros_recargas!$H$99*'Plan mensual'!K24+parametros_recargas!$I$99*'Plan mensual'!K25+parametros_recargas!$J$99*'Plan mensual'!K26+parametros_recargas!$K$99*'Plan mensual'!K27+parametros_recargas!$L$99*'Plan mensual'!K28</f>
        <v>35.9065717447095</v>
      </c>
      <c r="J29" s="25" t="n">
        <f aca="false">parametros_recargas!$E$99*'Plan mensual'!L21+parametros_recargas!$F$99*'Plan mensual'!L22+parametros_recargas!$G$99*'Plan mensual'!L23+parametros_recargas!$H$99*'Plan mensual'!L24+parametros_recargas!$I$99*'Plan mensual'!L25+parametros_recargas!$J$99*'Plan mensual'!L26+parametros_recargas!$K$99*'Plan mensual'!L27+parametros_recargas!$L$99*'Plan mensual'!L28</f>
        <v>40.6934167948614</v>
      </c>
      <c r="K29" s="25" t="n">
        <f aca="false">parametros_recargas!$E$99*'Plan mensual'!M21+parametros_recargas!$F$99*'Plan mensual'!M22+parametros_recargas!$G$99*'Plan mensual'!M23+parametros_recargas!$H$99*'Plan mensual'!M24+parametros_recargas!$I$99*'Plan mensual'!M25+parametros_recargas!$J$99*'Plan mensual'!M26+parametros_recargas!$K$99*'Plan mensual'!M27+parametros_recargas!$L$99*'Plan mensual'!M28</f>
        <v>46.1184148187107</v>
      </c>
      <c r="L29" s="25" t="n">
        <f aca="false">parametros_recargas!$E$99*'Plan mensual'!N21+parametros_recargas!$F$99*'Plan mensual'!N22+parametros_recargas!$G$99*'Plan mensual'!N23+parametros_recargas!$H$99*'Plan mensual'!N24+parametros_recargas!$I$99*'Plan mensual'!N25+parametros_recargas!$J$99*'Plan mensual'!N26+parametros_recargas!$K$99*'Plan mensual'!N27+parametros_recargas!$L$99*'Plan mensual'!N28</f>
        <v>52.2666404768264</v>
      </c>
      <c r="M29" s="25" t="n">
        <f aca="false">parametros_recargas!$E$99*'Plan mensual'!O21+parametros_recargas!$F$99*'Plan mensual'!O22+parametros_recargas!$G$99*'Plan mensual'!O23+parametros_recargas!$H$99*'Plan mensual'!O24+parametros_recargas!$I$99*'Plan mensual'!O25+parametros_recargas!$J$99*'Plan mensual'!O26+parametros_recargas!$K$99*'Plan mensual'!O27+parametros_recargas!$L$99*'Plan mensual'!O28</f>
        <v>59.234510064416</v>
      </c>
      <c r="N29" s="7" t="n">
        <f aca="false">SUM(B29:M29)</f>
        <v>391.395774600931</v>
      </c>
      <c r="O29" s="26" t="n">
        <f aca="false">MAX(B29:M29)</f>
        <v>59.234510064416</v>
      </c>
      <c r="P29" s="15" t="n">
        <f aca="false">O29/parametros_recargas!$B$6</f>
        <v>0.394896733762774</v>
      </c>
    </row>
    <row r="30" customFormat="false" ht="15" hidden="false" customHeight="false" outlineLevel="0" collapsed="false">
      <c r="A30" s="12" t="str">
        <f aca="false">parametros_recargas!$B$100</f>
        <v>PH de mangueras (CO₂ y rodantes)</v>
      </c>
      <c r="B30" s="25" t="n">
        <f aca="false">'Plan mensual'!D29</f>
        <v>5.6315112810237</v>
      </c>
      <c r="C30" s="25" t="n">
        <f aca="false">'Plan mensual'!E29</f>
        <v>6.38227000263333</v>
      </c>
      <c r="D30" s="25" t="n">
        <f aca="false">'Plan mensual'!F29</f>
        <v>7.23311529602561</v>
      </c>
      <c r="E30" s="25" t="n">
        <f aca="false">'Plan mensual'!G29</f>
        <v>8.19739009224198</v>
      </c>
      <c r="F30" s="25" t="n">
        <f aca="false">'Plan mensual'!H29</f>
        <v>9.29021612047438</v>
      </c>
      <c r="G30" s="25" t="n">
        <f aca="false">'Plan mensual'!I29</f>
        <v>10.5287310465808</v>
      </c>
      <c r="H30" s="25" t="n">
        <f aca="false">'Plan mensual'!J29</f>
        <v>11.9323572254608</v>
      </c>
      <c r="I30" s="25" t="n">
        <f aca="false">'Plan mensual'!K29</f>
        <v>13.5231062818576</v>
      </c>
      <c r="J30" s="25" t="n">
        <f aca="false">'Plan mensual'!L29</f>
        <v>15.3259242960147</v>
      </c>
      <c r="K30" s="25" t="n">
        <f aca="false">'Plan mensual'!M29</f>
        <v>17.3690830073776</v>
      </c>
      <c r="L30" s="25" t="n">
        <f aca="false">'Plan mensual'!N29</f>
        <v>19.684623171186</v>
      </c>
      <c r="M30" s="25" t="n">
        <f aca="false">'Plan mensual'!O29</f>
        <v>22.3088570206618</v>
      </c>
      <c r="N30" s="7" t="n">
        <f aca="false">SUM(B30:M30)</f>
        <v>147.407184841538</v>
      </c>
      <c r="O30" s="26" t="n">
        <f aca="false">MAX(B30:M30)</f>
        <v>22.3088570206618</v>
      </c>
      <c r="P30" s="15" t="n">
        <f aca="false">O30/parametros_recargas!$B$6</f>
        <v>0.148725713471079</v>
      </c>
    </row>
    <row r="33" customFormat="false" ht="23.85" hidden="false" customHeight="false" outlineLevel="0" collapsed="false">
      <c r="A33" s="3" t="s">
        <v>280</v>
      </c>
      <c r="B33" s="3" t="s">
        <v>124</v>
      </c>
      <c r="C33" s="3" t="s">
        <v>125</v>
      </c>
      <c r="D33" s="3" t="s">
        <v>126</v>
      </c>
      <c r="E33" s="3" t="s">
        <v>127</v>
      </c>
      <c r="F33" s="3" t="s">
        <v>128</v>
      </c>
      <c r="G33" s="3" t="s">
        <v>129</v>
      </c>
      <c r="H33" s="3" t="s">
        <v>130</v>
      </c>
      <c r="I33" s="3" t="s">
        <v>131</v>
      </c>
      <c r="J33" s="3" t="s">
        <v>132</v>
      </c>
      <c r="K33" s="3" t="s">
        <v>133</v>
      </c>
      <c r="L33" s="3" t="s">
        <v>134</v>
      </c>
      <c r="M33" s="3" t="s">
        <v>135</v>
      </c>
      <c r="N33" s="3" t="s">
        <v>277</v>
      </c>
      <c r="O33" s="3" t="s">
        <v>278</v>
      </c>
      <c r="P33" s="3" t="s">
        <v>279</v>
      </c>
    </row>
    <row r="34" customFormat="false" ht="15" hidden="false" customHeight="false" outlineLevel="0" collapsed="false">
      <c r="A34" s="12" t="str">
        <f aca="false">parametros_recargas!$B$72</f>
        <v>Recepción y registro</v>
      </c>
      <c r="B34" s="25" t="n">
        <f aca="false">parametros_recargas!$E$72*'Plan mensual'!D53+parametros_recargas!$F$72*'Plan mensual'!D54+parametros_recargas!$G$72*'Plan mensual'!D55+parametros_recargas!$H$72*'Plan mensual'!D56+parametros_recargas!$I$72*'Plan mensual'!D57+parametros_recargas!$J$72*'Plan mensual'!D58+parametros_recargas!$K$72*'Plan mensual'!D59+parametros_recargas!$L$72*'Plan mensual'!D60</f>
        <v>1334.90183253731</v>
      </c>
      <c r="C34" s="25" t="n">
        <f aca="false">parametros_recargas!$E$72*'Plan mensual'!E53+parametros_recargas!$F$72*'Plan mensual'!E54+parametros_recargas!$G$72*'Plan mensual'!E55+parametros_recargas!$H$72*'Plan mensual'!E56+parametros_recargas!$I$72*'Plan mensual'!E57+parametros_recargas!$J$72*'Plan mensual'!E58+parametros_recargas!$K$72*'Plan mensual'!E59+parametros_recargas!$L$72*'Plan mensual'!E60</f>
        <v>1414.4177868671</v>
      </c>
      <c r="D34" s="25" t="n">
        <f aca="false">parametros_recargas!$E$72*'Plan mensual'!F53+parametros_recargas!$F$72*'Plan mensual'!F54+parametros_recargas!$G$72*'Plan mensual'!F55+parametros_recargas!$H$72*'Plan mensual'!F56+parametros_recargas!$I$72*'Plan mensual'!F57+parametros_recargas!$J$72*'Plan mensual'!F58+parametros_recargas!$K$72*'Plan mensual'!F59+parametros_recargas!$L$72*'Plan mensual'!F60</f>
        <v>1498.68003725607</v>
      </c>
      <c r="E34" s="25" t="n">
        <f aca="false">parametros_recargas!$E$72*'Plan mensual'!G53+parametros_recargas!$F$72*'Plan mensual'!G54+parametros_recargas!$G$72*'Plan mensual'!G55+parametros_recargas!$H$72*'Plan mensual'!G56+parametros_recargas!$I$72*'Plan mensual'!G57+parametros_recargas!$J$72*'Plan mensual'!G58+parametros_recargas!$K$72*'Plan mensual'!G59+parametros_recargas!$L$72*'Plan mensual'!G60</f>
        <v>1587.97188944417</v>
      </c>
      <c r="F34" s="25" t="n">
        <f aca="false">parametros_recargas!$E$72*'Plan mensual'!H53+parametros_recargas!$F$72*'Plan mensual'!H54+parametros_recargas!$G$72*'Plan mensual'!H55+parametros_recargas!$H$72*'Plan mensual'!H56+parametros_recargas!$I$72*'Plan mensual'!H57+parametros_recargas!$J$72*'Plan mensual'!H58+parametros_recargas!$K$72*'Plan mensual'!H59+parametros_recargas!$L$72*'Plan mensual'!H60</f>
        <v>1682.5935596509</v>
      </c>
      <c r="G34" s="25" t="n">
        <f aca="false">parametros_recargas!$E$72*'Plan mensual'!I53+parametros_recargas!$F$72*'Plan mensual'!I54+parametros_recargas!$G$72*'Plan mensual'!I55+parametros_recargas!$H$72*'Plan mensual'!I56+parametros_recargas!$I$72*'Plan mensual'!I57+parametros_recargas!$J$72*'Plan mensual'!I58+parametros_recargas!$K$72*'Plan mensual'!I59+parametros_recargas!$L$72*'Plan mensual'!I60</f>
        <v>1782.86318395941</v>
      </c>
      <c r="H34" s="25" t="n">
        <f aca="false">parametros_recargas!$E$72*'Plan mensual'!J53+parametros_recargas!$F$72*'Plan mensual'!J54+parametros_recargas!$G$72*'Plan mensual'!J55+parametros_recargas!$H$72*'Plan mensual'!J56+parametros_recargas!$I$72*'Plan mensual'!J57+parametros_recargas!$J$72*'Plan mensual'!J58+parametros_recargas!$K$72*'Plan mensual'!J59+parametros_recargas!$L$72*'Plan mensual'!J60</f>
        <v>1889.11788795061</v>
      </c>
      <c r="I34" s="25" t="n">
        <f aca="false">parametros_recargas!$E$72*'Plan mensual'!K53+parametros_recargas!$F$72*'Plan mensual'!K54+parametros_recargas!$G$72*'Plan mensual'!K55+parametros_recargas!$H$72*'Plan mensual'!K56+parametros_recargas!$I$72*'Plan mensual'!K57+parametros_recargas!$J$72*'Plan mensual'!K58+parametros_recargas!$K$72*'Plan mensual'!K59+parametros_recargas!$L$72*'Plan mensual'!K60</f>
        <v>2001.71492018363</v>
      </c>
      <c r="J34" s="25" t="n">
        <f aca="false">parametros_recargas!$E$72*'Plan mensual'!L53+parametros_recargas!$F$72*'Plan mensual'!L54+parametros_recargas!$G$72*'Plan mensual'!L55+parametros_recargas!$H$72*'Plan mensual'!L56+parametros_recargas!$I$72*'Plan mensual'!L57+parametros_recargas!$J$72*'Plan mensual'!L58+parametros_recargas!$K$72*'Plan mensual'!L59+parametros_recargas!$L$72*'Plan mensual'!L60</f>
        <v>2121.03285333352</v>
      </c>
      <c r="K34" s="25" t="n">
        <f aca="false">parametros_recargas!$E$72*'Plan mensual'!M53+parametros_recargas!$F$72*'Plan mensual'!M54+parametros_recargas!$G$72*'Plan mensual'!M55+parametros_recargas!$H$72*'Plan mensual'!M56+parametros_recargas!$I$72*'Plan mensual'!M57+parametros_recargas!$J$72*'Plan mensual'!M58+parametros_recargas!$K$72*'Plan mensual'!M59+parametros_recargas!$L$72*'Plan mensual'!M60</f>
        <v>2247.47285702473</v>
      </c>
      <c r="L34" s="25" t="n">
        <f aca="false">parametros_recargas!$E$72*'Plan mensual'!N53+parametros_recargas!$F$72*'Plan mensual'!N54+parametros_recargas!$G$72*'Plan mensual'!N55+parametros_recargas!$H$72*'Plan mensual'!N56+parametros_recargas!$I$72*'Plan mensual'!N57+parametros_recargas!$J$72*'Plan mensual'!N58+parametros_recargas!$K$72*'Plan mensual'!N59+parametros_recargas!$L$72*'Plan mensual'!N60</f>
        <v>2381.46004663979</v>
      </c>
      <c r="M34" s="25" t="n">
        <f aca="false">parametros_recargas!$E$72*'Plan mensual'!O53+parametros_recargas!$F$72*'Plan mensual'!O54+parametros_recargas!$G$72*'Plan mensual'!O55+parametros_recargas!$H$72*'Plan mensual'!O56+parametros_recargas!$I$72*'Plan mensual'!O57+parametros_recargas!$J$72*'Plan mensual'!O58+parametros_recargas!$K$72*'Plan mensual'!O59+parametros_recargas!$L$72*'Plan mensual'!O60</f>
        <v>2523.44491263827</v>
      </c>
      <c r="N34" s="7" t="n">
        <f aca="false">SUM(B34:M34)</f>
        <v>22465.6717674855</v>
      </c>
      <c r="O34" s="26" t="n">
        <f aca="false">MAX(B34:M34)</f>
        <v>2523.44491263827</v>
      </c>
      <c r="P34" s="15" t="n">
        <f aca="false">O34/parametros_recargas!$B$6</f>
        <v>16.8229660842552</v>
      </c>
    </row>
    <row r="35" customFormat="false" ht="15" hidden="false" customHeight="false" outlineLevel="0" collapsed="false">
      <c r="A35" s="12" t="str">
        <f aca="false">parametros_recargas!$B$73</f>
        <v>Inspección visual</v>
      </c>
      <c r="B35" s="25" t="n">
        <f aca="false">parametros_recargas!$E$73*'Plan mensual'!D53+parametros_recargas!$F$73*'Plan mensual'!D54+parametros_recargas!$G$73*'Plan mensual'!D55+parametros_recargas!$H$73*'Plan mensual'!D56+parametros_recargas!$I$73*'Plan mensual'!D57+parametros_recargas!$J$73*'Plan mensual'!D58+parametros_recargas!$K$73*'Plan mensual'!D59+parametros_recargas!$L$73*'Plan mensual'!D60</f>
        <v>1334.90183253731</v>
      </c>
      <c r="C35" s="25" t="n">
        <f aca="false">parametros_recargas!$E$73*'Plan mensual'!E53+parametros_recargas!$F$73*'Plan mensual'!E54+parametros_recargas!$G$73*'Plan mensual'!E55+parametros_recargas!$H$73*'Plan mensual'!E56+parametros_recargas!$I$73*'Plan mensual'!E57+parametros_recargas!$J$73*'Plan mensual'!E58+parametros_recargas!$K$73*'Plan mensual'!E59+parametros_recargas!$L$73*'Plan mensual'!E60</f>
        <v>1414.4177868671</v>
      </c>
      <c r="D35" s="25" t="n">
        <f aca="false">parametros_recargas!$E$73*'Plan mensual'!F53+parametros_recargas!$F$73*'Plan mensual'!F54+parametros_recargas!$G$73*'Plan mensual'!F55+parametros_recargas!$H$73*'Plan mensual'!F56+parametros_recargas!$I$73*'Plan mensual'!F57+parametros_recargas!$J$73*'Plan mensual'!F58+parametros_recargas!$K$73*'Plan mensual'!F59+parametros_recargas!$L$73*'Plan mensual'!F60</f>
        <v>1498.68003725607</v>
      </c>
      <c r="E35" s="25" t="n">
        <f aca="false">parametros_recargas!$E$73*'Plan mensual'!G53+parametros_recargas!$F$73*'Plan mensual'!G54+parametros_recargas!$G$73*'Plan mensual'!G55+parametros_recargas!$H$73*'Plan mensual'!G56+parametros_recargas!$I$73*'Plan mensual'!G57+parametros_recargas!$J$73*'Plan mensual'!G58+parametros_recargas!$K$73*'Plan mensual'!G59+parametros_recargas!$L$73*'Plan mensual'!G60</f>
        <v>1587.97188944417</v>
      </c>
      <c r="F35" s="25" t="n">
        <f aca="false">parametros_recargas!$E$73*'Plan mensual'!H53+parametros_recargas!$F$73*'Plan mensual'!H54+parametros_recargas!$G$73*'Plan mensual'!H55+parametros_recargas!$H$73*'Plan mensual'!H56+parametros_recargas!$I$73*'Plan mensual'!H57+parametros_recargas!$J$73*'Plan mensual'!H58+parametros_recargas!$K$73*'Plan mensual'!H59+parametros_recargas!$L$73*'Plan mensual'!H60</f>
        <v>1682.5935596509</v>
      </c>
      <c r="G35" s="25" t="n">
        <f aca="false">parametros_recargas!$E$73*'Plan mensual'!I53+parametros_recargas!$F$73*'Plan mensual'!I54+parametros_recargas!$G$73*'Plan mensual'!I55+parametros_recargas!$H$73*'Plan mensual'!I56+parametros_recargas!$I$73*'Plan mensual'!I57+parametros_recargas!$J$73*'Plan mensual'!I58+parametros_recargas!$K$73*'Plan mensual'!I59+parametros_recargas!$L$73*'Plan mensual'!I60</f>
        <v>1782.86318395941</v>
      </c>
      <c r="H35" s="25" t="n">
        <f aca="false">parametros_recargas!$E$73*'Plan mensual'!J53+parametros_recargas!$F$73*'Plan mensual'!J54+parametros_recargas!$G$73*'Plan mensual'!J55+parametros_recargas!$H$73*'Plan mensual'!J56+parametros_recargas!$I$73*'Plan mensual'!J57+parametros_recargas!$J$73*'Plan mensual'!J58+parametros_recargas!$K$73*'Plan mensual'!J59+parametros_recargas!$L$73*'Plan mensual'!J60</f>
        <v>1889.11788795061</v>
      </c>
      <c r="I35" s="25" t="n">
        <f aca="false">parametros_recargas!$E$73*'Plan mensual'!K53+parametros_recargas!$F$73*'Plan mensual'!K54+parametros_recargas!$G$73*'Plan mensual'!K55+parametros_recargas!$H$73*'Plan mensual'!K56+parametros_recargas!$I$73*'Plan mensual'!K57+parametros_recargas!$J$73*'Plan mensual'!K58+parametros_recargas!$K$73*'Plan mensual'!K59+parametros_recargas!$L$73*'Plan mensual'!K60</f>
        <v>2001.71492018363</v>
      </c>
      <c r="J35" s="25" t="n">
        <f aca="false">parametros_recargas!$E$73*'Plan mensual'!L53+parametros_recargas!$F$73*'Plan mensual'!L54+parametros_recargas!$G$73*'Plan mensual'!L55+parametros_recargas!$H$73*'Plan mensual'!L56+parametros_recargas!$I$73*'Plan mensual'!L57+parametros_recargas!$J$73*'Plan mensual'!L58+parametros_recargas!$K$73*'Plan mensual'!L59+parametros_recargas!$L$73*'Plan mensual'!L60</f>
        <v>2121.03285333352</v>
      </c>
      <c r="K35" s="25" t="n">
        <f aca="false">parametros_recargas!$E$73*'Plan mensual'!M53+parametros_recargas!$F$73*'Plan mensual'!M54+parametros_recargas!$G$73*'Plan mensual'!M55+parametros_recargas!$H$73*'Plan mensual'!M56+parametros_recargas!$I$73*'Plan mensual'!M57+parametros_recargas!$J$73*'Plan mensual'!M58+parametros_recargas!$K$73*'Plan mensual'!M59+parametros_recargas!$L$73*'Plan mensual'!M60</f>
        <v>2247.47285702473</v>
      </c>
      <c r="L35" s="25" t="n">
        <f aca="false">parametros_recargas!$E$73*'Plan mensual'!N53+parametros_recargas!$F$73*'Plan mensual'!N54+parametros_recargas!$G$73*'Plan mensual'!N55+parametros_recargas!$H$73*'Plan mensual'!N56+parametros_recargas!$I$73*'Plan mensual'!N57+parametros_recargas!$J$73*'Plan mensual'!N58+parametros_recargas!$K$73*'Plan mensual'!N59+parametros_recargas!$L$73*'Plan mensual'!N60</f>
        <v>2381.46004663979</v>
      </c>
      <c r="M35" s="25" t="n">
        <f aca="false">parametros_recargas!$E$73*'Plan mensual'!O53+parametros_recargas!$F$73*'Plan mensual'!O54+parametros_recargas!$G$73*'Plan mensual'!O55+parametros_recargas!$H$73*'Plan mensual'!O56+parametros_recargas!$I$73*'Plan mensual'!O57+parametros_recargas!$J$73*'Plan mensual'!O58+parametros_recargas!$K$73*'Plan mensual'!O59+parametros_recargas!$L$73*'Plan mensual'!O60</f>
        <v>2523.44491263827</v>
      </c>
      <c r="N35" s="7" t="n">
        <f aca="false">SUM(B35:M35)</f>
        <v>22465.6717674855</v>
      </c>
      <c r="O35" s="26" t="n">
        <f aca="false">MAX(B35:M35)</f>
        <v>2523.44491263827</v>
      </c>
      <c r="P35" s="15" t="n">
        <f aca="false">O35/parametros_recargas!$B$6</f>
        <v>16.8229660842552</v>
      </c>
    </row>
    <row r="36" customFormat="false" ht="15" hidden="false" customHeight="false" outlineLevel="0" collapsed="false">
      <c r="A36" s="12" t="str">
        <f aca="false">parametros_recargas!$B$74</f>
        <v>Descarga ABC — ruta recuperable</v>
      </c>
      <c r="B36" s="25" t="n">
        <f aca="false">parametros_recargas!$E$74*'Plan mensual'!D53+parametros_recargas!$F$74*'Plan mensual'!D54+parametros_recargas!$G$74*'Plan mensual'!D55+parametros_recargas!$H$74*'Plan mensual'!D56+parametros_recargas!$I$74*'Plan mensual'!D57+parametros_recargas!$J$74*'Plan mensual'!D58+parametros_recargas!$K$74*'Plan mensual'!D59+parametros_recargas!$L$74*'Plan mensual'!D60</f>
        <v>992.304718495627</v>
      </c>
      <c r="C36" s="25" t="n">
        <f aca="false">parametros_recargas!$E$74*'Plan mensual'!E53+parametros_recargas!$F$74*'Plan mensual'!E54+parametros_recargas!$G$74*'Plan mensual'!E55+parametros_recargas!$H$74*'Plan mensual'!E56+parametros_recargas!$I$74*'Plan mensual'!E57+parametros_recargas!$J$74*'Plan mensual'!E58+parametros_recargas!$K$74*'Plan mensual'!E59+parametros_recargas!$L$74*'Plan mensual'!E60</f>
        <v>1051.45068605783</v>
      </c>
      <c r="D36" s="25" t="n">
        <f aca="false">parametros_recargas!$E$74*'Plan mensual'!F53+parametros_recargas!$F$74*'Plan mensual'!F54+parametros_recargas!$G$74*'Plan mensual'!F55+parametros_recargas!$H$74*'Plan mensual'!F56+parametros_recargas!$I$74*'Plan mensual'!F57+parametros_recargas!$J$74*'Plan mensual'!F58+parametros_recargas!$K$74*'Plan mensual'!F59+parametros_recargas!$L$74*'Plan mensual'!F60</f>
        <v>1114.12706805222</v>
      </c>
      <c r="E36" s="25" t="n">
        <f aca="false">parametros_recargas!$E$74*'Plan mensual'!G53+parametros_recargas!$F$74*'Plan mensual'!G54+parametros_recargas!$G$74*'Plan mensual'!G55+parametros_recargas!$H$74*'Plan mensual'!G56+parametros_recargas!$I$74*'Plan mensual'!G57+parametros_recargas!$J$74*'Plan mensual'!G58+parametros_recargas!$K$74*'Plan mensual'!G59+parametros_recargas!$L$74*'Plan mensual'!G60</f>
        <v>1180.54459441657</v>
      </c>
      <c r="F36" s="25" t="n">
        <f aca="false">parametros_recargas!$E$74*'Plan mensual'!H53+parametros_recargas!$F$74*'Plan mensual'!H54+parametros_recargas!$G$74*'Plan mensual'!H55+parametros_recargas!$H$74*'Plan mensual'!H56+parametros_recargas!$I$74*'Plan mensual'!H57+parametros_recargas!$J$74*'Plan mensual'!H58+parametros_recargas!$K$74*'Plan mensual'!H59+parametros_recargas!$L$74*'Plan mensual'!H60</f>
        <v>1250.9265735288</v>
      </c>
      <c r="G36" s="25" t="n">
        <f aca="false">parametros_recargas!$E$74*'Plan mensual'!I53+parametros_recargas!$F$74*'Plan mensual'!I54+parametros_recargas!$G$74*'Plan mensual'!I55+parametros_recargas!$H$74*'Plan mensual'!I56+parametros_recargas!$I$74*'Plan mensual'!I57+parametros_recargas!$J$74*'Plan mensual'!I58+parametros_recargas!$K$74*'Plan mensual'!I59+parametros_recargas!$L$74*'Plan mensual'!I60</f>
        <v>1325.50964301228</v>
      </c>
      <c r="H36" s="25" t="n">
        <f aca="false">parametros_recargas!$E$74*'Plan mensual'!J53+parametros_recargas!$F$74*'Plan mensual'!J54+parametros_recargas!$G$74*'Plan mensual'!J55+parametros_recargas!$H$74*'Plan mensual'!J56+parametros_recargas!$I$74*'Plan mensual'!J57+parametros_recargas!$J$74*'Plan mensual'!J58+parametros_recargas!$K$74*'Plan mensual'!J59+parametros_recargas!$L$74*'Plan mensual'!J60</f>
        <v>1404.54456535666</v>
      </c>
      <c r="I36" s="25" t="n">
        <f aca="false">parametros_recargas!$E$74*'Plan mensual'!K53+parametros_recargas!$F$74*'Plan mensual'!K54+parametros_recargas!$G$74*'Plan mensual'!K55+parametros_recargas!$H$74*'Plan mensual'!K56+parametros_recargas!$I$74*'Plan mensual'!K57+parametros_recargas!$J$74*'Plan mensual'!K58+parametros_recargas!$K$74*'Plan mensual'!K59+parametros_recargas!$L$74*'Plan mensual'!K60</f>
        <v>1488.29707102907</v>
      </c>
      <c r="J36" s="25" t="n">
        <f aca="false">parametros_recargas!$E$74*'Plan mensual'!L53+parametros_recargas!$F$74*'Plan mensual'!L54+parametros_recargas!$G$74*'Plan mensual'!L55+parametros_recargas!$H$74*'Plan mensual'!L56+parametros_recargas!$I$74*'Plan mensual'!L57+parametros_recargas!$J$74*'Plan mensual'!L58+parametros_recargas!$K$74*'Plan mensual'!L59+parametros_recargas!$L$74*'Plan mensual'!L60</f>
        <v>1577.04875191065</v>
      </c>
      <c r="K36" s="25" t="n">
        <f aca="false">parametros_recargas!$E$74*'Plan mensual'!M53+parametros_recargas!$F$74*'Plan mensual'!M54+parametros_recargas!$G$74*'Plan mensual'!M55+parametros_recargas!$H$74*'Plan mensual'!M56+parametros_recargas!$I$74*'Plan mensual'!M57+parametros_recargas!$J$74*'Plan mensual'!M58+parametros_recargas!$K$74*'Plan mensual'!M59+parametros_recargas!$L$74*'Plan mensual'!M60</f>
        <v>1671.09800806202</v>
      </c>
      <c r="L36" s="25" t="n">
        <f aca="false">parametros_recargas!$E$74*'Plan mensual'!N53+parametros_recargas!$F$74*'Plan mensual'!N54+parametros_recargas!$G$74*'Plan mensual'!N55+parametros_recargas!$H$74*'Plan mensual'!N56+parametros_recargas!$I$74*'Plan mensual'!N57+parametros_recargas!$J$74*'Plan mensual'!N58+parametros_recargas!$K$74*'Plan mensual'!N59+parametros_recargas!$L$74*'Plan mensual'!N60</f>
        <v>1770.76105100123</v>
      </c>
      <c r="M36" s="25" t="n">
        <f aca="false">parametros_recargas!$E$74*'Plan mensual'!O53+parametros_recargas!$F$74*'Plan mensual'!O54+parametros_recargas!$G$74*'Plan mensual'!O55+parametros_recargas!$H$74*'Plan mensual'!O56+parametros_recargas!$I$74*'Plan mensual'!O57+parametros_recargas!$J$74*'Plan mensual'!O58+parametros_recargas!$K$74*'Plan mensual'!O59+parametros_recargas!$L$74*'Plan mensual'!O60</f>
        <v>1876.37296686705</v>
      </c>
      <c r="N36" s="7" t="n">
        <f aca="false">SUM(B36:M36)</f>
        <v>16702.98569779</v>
      </c>
      <c r="O36" s="26" t="n">
        <f aca="false">MAX(B36:M36)</f>
        <v>1876.37296686705</v>
      </c>
      <c r="P36" s="15" t="n">
        <f aca="false">O36/parametros_recargas!$B$6</f>
        <v>12.509153112447</v>
      </c>
    </row>
    <row r="37" customFormat="false" ht="15" hidden="false" customHeight="false" outlineLevel="0" collapsed="false">
      <c r="A37" s="12" t="str">
        <f aca="false">parametros_recargas!$B$75</f>
        <v>Descarga ABC — ruta descarte</v>
      </c>
      <c r="B37" s="25" t="n">
        <f aca="false">parametros_recargas!$E$75*'Plan mensual'!D53+parametros_recargas!$F$75*'Plan mensual'!D54+parametros_recargas!$G$75*'Plan mensual'!D55+parametros_recargas!$H$75*'Plan mensual'!D56+parametros_recargas!$I$75*'Plan mensual'!D57+parametros_recargas!$J$75*'Plan mensual'!D58+parametros_recargas!$K$75*'Plan mensual'!D59+parametros_recargas!$L$75*'Plan mensual'!D60</f>
        <v>116.741731587721</v>
      </c>
      <c r="C37" s="25" t="n">
        <f aca="false">parametros_recargas!$E$75*'Plan mensual'!E53+parametros_recargas!$F$75*'Plan mensual'!E54+parametros_recargas!$G$75*'Plan mensual'!E55+parametros_recargas!$H$75*'Plan mensual'!E56+parametros_recargas!$I$75*'Plan mensual'!E57+parametros_recargas!$J$75*'Plan mensual'!E58+parametros_recargas!$K$75*'Plan mensual'!E59+parametros_recargas!$L$75*'Plan mensual'!E60</f>
        <v>123.700080712685</v>
      </c>
      <c r="D37" s="25" t="n">
        <f aca="false">parametros_recargas!$E$75*'Plan mensual'!F53+parametros_recargas!$F$75*'Plan mensual'!F54+parametros_recargas!$G$75*'Plan mensual'!F55+parametros_recargas!$H$75*'Plan mensual'!F56+parametros_recargas!$I$75*'Plan mensual'!F57+parametros_recargas!$J$75*'Plan mensual'!F58+parametros_recargas!$K$75*'Plan mensual'!F59+parametros_recargas!$L$75*'Plan mensual'!F60</f>
        <v>131.073772712026</v>
      </c>
      <c r="E37" s="25" t="n">
        <f aca="false">parametros_recargas!$E$75*'Plan mensual'!G53+parametros_recargas!$F$75*'Plan mensual'!G54+parametros_recargas!$G$75*'Plan mensual'!G55+parametros_recargas!$H$75*'Plan mensual'!G56+parametros_recargas!$I$75*'Plan mensual'!G57+parametros_recargas!$J$75*'Plan mensual'!G58+parametros_recargas!$K$75*'Plan mensual'!G59+parametros_recargas!$L$75*'Plan mensual'!G60</f>
        <v>138.887599343126</v>
      </c>
      <c r="F37" s="25" t="n">
        <f aca="false">parametros_recargas!$E$75*'Plan mensual'!H53+parametros_recargas!$F$75*'Plan mensual'!H54+parametros_recargas!$G$75*'Plan mensual'!H55+parametros_recargas!$H$75*'Plan mensual'!H56+parametros_recargas!$I$75*'Plan mensual'!H57+parametros_recargas!$J$75*'Plan mensual'!H58+parametros_recargas!$K$75*'Plan mensual'!H59+parametros_recargas!$L$75*'Plan mensual'!H60</f>
        <v>147.167832179858</v>
      </c>
      <c r="G37" s="25" t="n">
        <f aca="false">parametros_recargas!$E$75*'Plan mensual'!I53+parametros_recargas!$F$75*'Plan mensual'!I54+parametros_recargas!$G$75*'Plan mensual'!I55+parametros_recargas!$H$75*'Plan mensual'!I56+parametros_recargas!$I$75*'Plan mensual'!I57+parametros_recargas!$J$75*'Plan mensual'!I58+parametros_recargas!$K$75*'Plan mensual'!I59+parametros_recargas!$L$75*'Plan mensual'!I60</f>
        <v>155.942310942621</v>
      </c>
      <c r="H37" s="25" t="n">
        <f aca="false">parametros_recargas!$E$75*'Plan mensual'!J53+parametros_recargas!$F$75*'Plan mensual'!J54+parametros_recargas!$G$75*'Plan mensual'!J55+parametros_recargas!$H$75*'Plan mensual'!J56+parametros_recargas!$I$75*'Plan mensual'!J57+parametros_recargas!$J$75*'Plan mensual'!J58+parametros_recargas!$K$75*'Plan mensual'!J59+parametros_recargas!$L$75*'Plan mensual'!J60</f>
        <v>165.240537100783</v>
      </c>
      <c r="I37" s="25" t="n">
        <f aca="false">parametros_recargas!$E$75*'Plan mensual'!K53+parametros_recargas!$F$75*'Plan mensual'!K54+parametros_recargas!$G$75*'Plan mensual'!K55+parametros_recargas!$H$75*'Plan mensual'!K56+parametros_recargas!$I$75*'Plan mensual'!K57+parametros_recargas!$J$75*'Plan mensual'!K58+parametros_recargas!$K$75*'Plan mensual'!K59+parametros_recargas!$L$75*'Plan mensual'!K60</f>
        <v>175.093773062244</v>
      </c>
      <c r="J37" s="25" t="n">
        <f aca="false">parametros_recargas!$E$75*'Plan mensual'!L53+parametros_recargas!$F$75*'Plan mensual'!L54+parametros_recargas!$G$75*'Plan mensual'!L55+parametros_recargas!$H$75*'Plan mensual'!L56+parametros_recargas!$I$75*'Plan mensual'!L57+parametros_recargas!$J$75*'Plan mensual'!L58+parametros_recargas!$K$75*'Plan mensual'!L59+parametros_recargas!$L$75*'Plan mensual'!L60</f>
        <v>185.535147283605</v>
      </c>
      <c r="K37" s="25" t="n">
        <f aca="false">parametros_recargas!$E$75*'Plan mensual'!M53+parametros_recargas!$F$75*'Plan mensual'!M54+parametros_recargas!$G$75*'Plan mensual'!M55+parametros_recargas!$H$75*'Plan mensual'!M56+parametros_recargas!$I$75*'Plan mensual'!M57+parametros_recargas!$J$75*'Plan mensual'!M58+parametros_recargas!$K$75*'Plan mensual'!M59+parametros_recargas!$L$75*'Plan mensual'!M60</f>
        <v>196.599765654355</v>
      </c>
      <c r="L37" s="25" t="n">
        <f aca="false">parametros_recargas!$E$75*'Plan mensual'!N53+parametros_recargas!$F$75*'Plan mensual'!N54+parametros_recargas!$G$75*'Plan mensual'!N55+parametros_recargas!$H$75*'Plan mensual'!N56+parametros_recargas!$I$75*'Plan mensual'!N57+parametros_recargas!$J$75*'Plan mensual'!N58+parametros_recargas!$K$75*'Plan mensual'!N59+parametros_recargas!$L$75*'Plan mensual'!N60</f>
        <v>208.324829529556</v>
      </c>
      <c r="M37" s="25" t="n">
        <f aca="false">parametros_recargas!$E$75*'Plan mensual'!O53+parametros_recargas!$F$75*'Plan mensual'!O54+parametros_recargas!$G$75*'Plan mensual'!O55+parametros_recargas!$H$75*'Plan mensual'!O56+parametros_recargas!$I$75*'Plan mensual'!O57+parametros_recargas!$J$75*'Plan mensual'!O58+parametros_recargas!$K$75*'Plan mensual'!O59+parametros_recargas!$L$75*'Plan mensual'!O60</f>
        <v>220.749760807889</v>
      </c>
      <c r="N37" s="7" t="n">
        <f aca="false">SUM(B37:M37)</f>
        <v>1965.05714091647</v>
      </c>
      <c r="O37" s="26" t="n">
        <f aca="false">MAX(B37:M37)</f>
        <v>220.749760807889</v>
      </c>
      <c r="P37" s="15" t="n">
        <f aca="false">O37/parametros_recargas!$B$6</f>
        <v>1.47166507205259</v>
      </c>
    </row>
    <row r="38" customFormat="false" ht="15" hidden="false" customHeight="false" outlineLevel="0" collapsed="false">
      <c r="A38" s="12" t="str">
        <f aca="false">parametros_recargas!$B$76</f>
        <v>Descarga BC</v>
      </c>
      <c r="B38" s="25" t="n">
        <f aca="false">parametros_recargas!$E$76*'Plan mensual'!D53+parametros_recargas!$F$76*'Plan mensual'!D54+parametros_recargas!$G$76*'Plan mensual'!D55+parametros_recargas!$H$76*'Plan mensual'!D56+parametros_recargas!$I$76*'Plan mensual'!D57+parametros_recargas!$J$76*'Plan mensual'!D58+parametros_recargas!$K$76*'Plan mensual'!D59+parametros_recargas!$L$76*'Plan mensual'!D60</f>
        <v>2.07300467620037</v>
      </c>
      <c r="C38" s="25" t="n">
        <f aca="false">parametros_recargas!$E$76*'Plan mensual'!E53+parametros_recargas!$F$76*'Plan mensual'!E54+parametros_recargas!$G$76*'Plan mensual'!E55+parametros_recargas!$H$76*'Plan mensual'!E56+parametros_recargas!$I$76*'Plan mensual'!E57+parametros_recargas!$J$76*'Plan mensual'!E58+parametros_recargas!$K$76*'Plan mensual'!E59+parametros_recargas!$L$76*'Plan mensual'!E60</f>
        <v>2.19176787703566</v>
      </c>
      <c r="D38" s="25" t="n">
        <f aca="false">parametros_recargas!$E$76*'Plan mensual'!F53+parametros_recargas!$F$76*'Plan mensual'!F54+parametros_recargas!$G$76*'Plan mensual'!F55+parametros_recargas!$H$76*'Plan mensual'!F56+parametros_recargas!$I$76*'Plan mensual'!F57+parametros_recargas!$J$76*'Plan mensual'!F58+parametros_recargas!$K$76*'Plan mensual'!F59+parametros_recargas!$L$76*'Plan mensual'!F60</f>
        <v>2.31762003651892</v>
      </c>
      <c r="E38" s="25" t="n">
        <f aca="false">parametros_recargas!$E$76*'Plan mensual'!G53+parametros_recargas!$F$76*'Plan mensual'!G54+parametros_recargas!$G$76*'Plan mensual'!G55+parametros_recargas!$H$76*'Plan mensual'!G56+parametros_recargas!$I$76*'Plan mensual'!G57+parametros_recargas!$J$76*'Plan mensual'!G58+parametros_recargas!$K$76*'Plan mensual'!G59+parametros_recargas!$L$76*'Plan mensual'!G60</f>
        <v>2.45098429358848</v>
      </c>
      <c r="F38" s="25" t="n">
        <f aca="false">parametros_recargas!$E$76*'Plan mensual'!H53+parametros_recargas!$F$76*'Plan mensual'!H54+parametros_recargas!$G$76*'Plan mensual'!H55+parametros_recargas!$H$76*'Plan mensual'!H56+parametros_recargas!$I$76*'Plan mensual'!H57+parametros_recargas!$J$76*'Plan mensual'!H58+parametros_recargas!$K$76*'Plan mensual'!H59+parametros_recargas!$L$76*'Plan mensual'!H60</f>
        <v>2.59230904428598</v>
      </c>
      <c r="G38" s="25" t="n">
        <f aca="false">parametros_recargas!$E$76*'Plan mensual'!I53+parametros_recargas!$F$76*'Plan mensual'!I54+parametros_recargas!$G$76*'Plan mensual'!I55+parametros_recargas!$H$76*'Plan mensual'!I56+parametros_recargas!$I$76*'Plan mensual'!I57+parametros_recargas!$J$76*'Plan mensual'!I58+parametros_recargas!$K$76*'Plan mensual'!I59+parametros_recargas!$L$76*'Plan mensual'!I60</f>
        <v>2.74206944934934</v>
      </c>
      <c r="H38" s="25" t="n">
        <f aca="false">parametros_recargas!$E$76*'Plan mensual'!J53+parametros_recargas!$F$76*'Plan mensual'!J54+parametros_recargas!$G$76*'Plan mensual'!J55+parametros_recargas!$H$76*'Plan mensual'!J56+parametros_recargas!$I$76*'Plan mensual'!J57+parametros_recargas!$J$76*'Plan mensual'!J58+parametros_recargas!$K$76*'Plan mensual'!J59+parametros_recargas!$L$76*'Plan mensual'!J60</f>
        <v>2.90076903179366</v>
      </c>
      <c r="I38" s="25" t="n">
        <f aca="false">parametros_recargas!$E$76*'Plan mensual'!K53+parametros_recargas!$F$76*'Plan mensual'!K54+parametros_recargas!$G$76*'Plan mensual'!K55+parametros_recargas!$H$76*'Plan mensual'!K56+parametros_recargas!$I$76*'Plan mensual'!K57+parametros_recargas!$J$76*'Plan mensual'!K58+parametros_recargas!$K$76*'Plan mensual'!K59+parametros_recargas!$L$76*'Plan mensual'!K60</f>
        <v>3.06894136985156</v>
      </c>
      <c r="J38" s="25" t="n">
        <f aca="false">parametros_recargas!$E$76*'Plan mensual'!L53+parametros_recargas!$F$76*'Plan mensual'!L54+parametros_recargas!$G$76*'Plan mensual'!L55+parametros_recargas!$H$76*'Plan mensual'!L56+parametros_recargas!$I$76*'Plan mensual'!L57+parametros_recargas!$J$76*'Plan mensual'!L58+parametros_recargas!$K$76*'Plan mensual'!L59+parametros_recargas!$L$76*'Plan mensual'!L60</f>
        <v>3.24715189096483</v>
      </c>
      <c r="K38" s="25" t="n">
        <f aca="false">parametros_recargas!$E$76*'Plan mensual'!M53+parametros_recargas!$F$76*'Plan mensual'!M54+parametros_recargas!$G$76*'Plan mensual'!M55+parametros_recargas!$H$76*'Plan mensual'!M56+parametros_recargas!$I$76*'Plan mensual'!M57+parametros_recargas!$J$76*'Plan mensual'!M58+parametros_recargas!$K$76*'Plan mensual'!M59+parametros_recargas!$L$76*'Plan mensual'!M60</f>
        <v>3.43599977285921</v>
      </c>
      <c r="L38" s="25" t="n">
        <f aca="false">parametros_recargas!$E$76*'Plan mensual'!N53+parametros_recargas!$F$76*'Plan mensual'!N54+parametros_recargas!$G$76*'Plan mensual'!N55+parametros_recargas!$H$76*'Plan mensual'!N56+parametros_recargas!$I$76*'Plan mensual'!N57+parametros_recargas!$J$76*'Plan mensual'!N58+parametros_recargas!$K$76*'Plan mensual'!N59+parametros_recargas!$L$76*'Plan mensual'!N60</f>
        <v>3.63611995809412</v>
      </c>
      <c r="M38" s="25" t="n">
        <f aca="false">parametros_recargas!$E$76*'Plan mensual'!O53+parametros_recargas!$F$76*'Plan mensual'!O54+parametros_recargas!$G$76*'Plan mensual'!O55+parametros_recargas!$H$76*'Plan mensual'!O56+parametros_recargas!$I$76*'Plan mensual'!O57+parametros_recargas!$J$76*'Plan mensual'!O58+parametros_recargas!$K$76*'Plan mensual'!O59+parametros_recargas!$L$76*'Plan mensual'!O60</f>
        <v>3.84818528886045</v>
      </c>
      <c r="N38" s="7" t="n">
        <f aca="false">SUM(B38:M38)</f>
        <v>34.5049226894026</v>
      </c>
      <c r="O38" s="26" t="n">
        <f aca="false">MAX(B38:M38)</f>
        <v>3.84818528886045</v>
      </c>
      <c r="P38" s="15" t="n">
        <f aca="false">O38/parametros_recargas!$B$6</f>
        <v>0.025654568592403</v>
      </c>
    </row>
    <row r="39" customFormat="false" ht="15" hidden="false" customHeight="false" outlineLevel="0" collapsed="false">
      <c r="A39" s="12" t="str">
        <f aca="false">parametros_recargas!$B$77</f>
        <v>Descarga de agua / AFFF / sales K</v>
      </c>
      <c r="B39" s="25" t="n">
        <f aca="false">parametros_recargas!$E$77*'Plan mensual'!D53+parametros_recargas!$F$77*'Plan mensual'!D54+parametros_recargas!$G$77*'Plan mensual'!D55+parametros_recargas!$H$77*'Plan mensual'!D56+parametros_recargas!$I$77*'Plan mensual'!D57+parametros_recargas!$J$77*'Plan mensual'!D58+parametros_recargas!$K$77*'Plan mensual'!D59+parametros_recargas!$L$77*'Plan mensual'!D60</f>
        <v>59.2439929268892</v>
      </c>
      <c r="C39" s="25" t="n">
        <f aca="false">parametros_recargas!$E$77*'Plan mensual'!E53+parametros_recargas!$F$77*'Plan mensual'!E54+parametros_recargas!$G$77*'Plan mensual'!E55+parametros_recargas!$H$77*'Plan mensual'!E56+parametros_recargas!$I$77*'Plan mensual'!E57+parametros_recargas!$J$77*'Plan mensual'!E58+parametros_recargas!$K$77*'Plan mensual'!E59+parametros_recargas!$L$77*'Plan mensual'!E60</f>
        <v>62.7504135500007</v>
      </c>
      <c r="D39" s="25" t="n">
        <f aca="false">parametros_recargas!$E$77*'Plan mensual'!F53+parametros_recargas!$F$77*'Plan mensual'!F54+parametros_recargas!$G$77*'Plan mensual'!F55+parametros_recargas!$H$77*'Plan mensual'!F56+parametros_recargas!$I$77*'Plan mensual'!F57+parametros_recargas!$J$77*'Plan mensual'!F58+parametros_recargas!$K$77*'Plan mensual'!F59+parametros_recargas!$L$77*'Plan mensual'!F60</f>
        <v>66.4661319238028</v>
      </c>
      <c r="E39" s="25" t="n">
        <f aca="false">parametros_recargas!$E$77*'Plan mensual'!G53+parametros_recargas!$F$77*'Plan mensual'!G54+parametros_recargas!$G$77*'Plan mensual'!G55+parametros_recargas!$H$77*'Plan mensual'!G56+parametros_recargas!$I$77*'Plan mensual'!G57+parametros_recargas!$J$77*'Plan mensual'!G58+parametros_recargas!$K$77*'Plan mensual'!G59+parametros_recargas!$L$77*'Plan mensual'!G60</f>
        <v>70.4036410014099</v>
      </c>
      <c r="F39" s="25" t="n">
        <f aca="false">parametros_recargas!$E$77*'Plan mensual'!H53+parametros_recargas!$F$77*'Plan mensual'!H54+parametros_recargas!$G$77*'Plan mensual'!H55+parametros_recargas!$H$77*'Plan mensual'!H56+parametros_recargas!$I$77*'Plan mensual'!H57+parametros_recargas!$J$77*'Plan mensual'!H58+parametros_recargas!$K$77*'Plan mensual'!H59+parametros_recargas!$L$77*'Plan mensual'!H60</f>
        <v>74.5761794385396</v>
      </c>
      <c r="G39" s="25" t="n">
        <f aca="false">parametros_recargas!$E$77*'Plan mensual'!I53+parametros_recargas!$F$77*'Plan mensual'!I54+parametros_recargas!$G$77*'Plan mensual'!I55+parametros_recargas!$H$77*'Plan mensual'!I56+parametros_recargas!$I$77*'Plan mensual'!I57+parametros_recargas!$J$77*'Plan mensual'!I58+parametros_recargas!$K$77*'Plan mensual'!I59+parametros_recargas!$L$77*'Plan mensual'!I60</f>
        <v>78.9977761043956</v>
      </c>
      <c r="H39" s="25" t="n">
        <f aca="false">parametros_recargas!$E$77*'Plan mensual'!J53+parametros_recargas!$F$77*'Plan mensual'!J54+parametros_recargas!$G$77*'Plan mensual'!J55+parametros_recargas!$H$77*'Plan mensual'!J56+parametros_recargas!$I$77*'Plan mensual'!J57+parametros_recargas!$J$77*'Plan mensual'!J58+parametros_recargas!$K$77*'Plan mensual'!J59+parametros_recargas!$L$77*'Plan mensual'!J60</f>
        <v>83.6832972493985</v>
      </c>
      <c r="I39" s="25" t="n">
        <f aca="false">parametros_recargas!$E$77*'Plan mensual'!K53+parametros_recargas!$F$77*'Plan mensual'!K54+parametros_recargas!$G$77*'Plan mensual'!K55+parametros_recargas!$H$77*'Plan mensual'!K56+parametros_recargas!$I$77*'Plan mensual'!K57+parametros_recargas!$J$77*'Plan mensual'!K58+parametros_recargas!$K$77*'Plan mensual'!K59+parametros_recargas!$L$77*'Plan mensual'!K60</f>
        <v>88.6484964883524</v>
      </c>
      <c r="J39" s="25" t="n">
        <f aca="false">parametros_recargas!$E$77*'Plan mensual'!L53+parametros_recargas!$F$77*'Plan mensual'!L54+parametros_recargas!$G$77*'Plan mensual'!L55+parametros_recargas!$H$77*'Plan mensual'!L56+parametros_recargas!$I$77*'Plan mensual'!L57+parametros_recargas!$J$77*'Plan mensual'!L58+parametros_recargas!$K$77*'Plan mensual'!L59+parametros_recargas!$L$77*'Plan mensual'!L60</f>
        <v>93.9100677670992</v>
      </c>
      <c r="K39" s="25" t="n">
        <f aca="false">parametros_recargas!$E$77*'Plan mensual'!M53+parametros_recargas!$F$77*'Plan mensual'!M54+parametros_recargas!$G$77*'Plan mensual'!M55+parametros_recargas!$H$77*'Plan mensual'!M56+parametros_recargas!$I$77*'Plan mensual'!M57+parametros_recargas!$J$77*'Plan mensual'!M58+parametros_recargas!$K$77*'Plan mensual'!M59+parametros_recargas!$L$77*'Plan mensual'!M60</f>
        <v>99.4857014907453</v>
      </c>
      <c r="L39" s="25" t="n">
        <f aca="false">parametros_recargas!$E$77*'Plan mensual'!N53+parametros_recargas!$F$77*'Plan mensual'!N54+parametros_recargas!$G$77*'Plan mensual'!N55+parametros_recargas!$H$77*'Plan mensual'!N56+parametros_recargas!$I$77*'Plan mensual'!N57+parametros_recargas!$J$77*'Plan mensual'!N58+parametros_recargas!$K$77*'Plan mensual'!N59+parametros_recargas!$L$77*'Plan mensual'!N60</f>
        <v>105.394144002174</v>
      </c>
      <c r="M39" s="25" t="n">
        <f aca="false">parametros_recargas!$E$77*'Plan mensual'!O53+parametros_recargas!$F$77*'Plan mensual'!O54+parametros_recargas!$G$77*'Plan mensual'!O55+parametros_recargas!$H$77*'Plan mensual'!O56+parametros_recargas!$I$77*'Plan mensual'!O57+parametros_recargas!$J$77*'Plan mensual'!O58+parametros_recargas!$K$77*'Plan mensual'!O59+parametros_recargas!$L$77*'Plan mensual'!O60</f>
        <v>111.655260610822</v>
      </c>
      <c r="N39" s="7" t="n">
        <f aca="false">SUM(B39:M39)</f>
        <v>995.215102553629</v>
      </c>
      <c r="O39" s="26" t="n">
        <f aca="false">MAX(B39:M39)</f>
        <v>111.655260610822</v>
      </c>
      <c r="P39" s="15" t="n">
        <f aca="false">O39/parametros_recargas!$B$6</f>
        <v>0.744368404072148</v>
      </c>
    </row>
    <row r="40" customFormat="false" ht="15" hidden="false" customHeight="false" outlineLevel="0" collapsed="false">
      <c r="A40" s="12" t="str">
        <f aca="false">parametros_recargas!$B$78</f>
        <v>Recuperación de CO₂</v>
      </c>
      <c r="B40" s="25" t="n">
        <f aca="false">parametros_recargas!$E$78*'Plan mensual'!D53+parametros_recargas!$F$78*'Plan mensual'!D54+parametros_recargas!$G$78*'Plan mensual'!D55+parametros_recargas!$H$78*'Plan mensual'!D56+parametros_recargas!$I$78*'Plan mensual'!D57+parametros_recargas!$J$78*'Plan mensual'!D58+parametros_recargas!$K$78*'Plan mensual'!D59+parametros_recargas!$L$78*'Plan mensual'!D60</f>
        <v>24.8185063492737</v>
      </c>
      <c r="C40" s="25" t="n">
        <f aca="false">parametros_recargas!$E$78*'Plan mensual'!E53+parametros_recargas!$F$78*'Plan mensual'!E54+parametros_recargas!$G$78*'Plan mensual'!E55+parametros_recargas!$H$78*'Plan mensual'!E56+parametros_recargas!$I$78*'Plan mensual'!E57+parametros_recargas!$J$78*'Plan mensual'!E58+parametros_recargas!$K$78*'Plan mensual'!E59+parametros_recargas!$L$78*'Plan mensual'!E60</f>
        <v>26.2949453255495</v>
      </c>
      <c r="D40" s="25" t="n">
        <f aca="false">parametros_recargas!$E$78*'Plan mensual'!F53+parametros_recargas!$F$78*'Plan mensual'!F54+parametros_recargas!$G$78*'Plan mensual'!F55+parametros_recargas!$H$78*'Plan mensual'!F56+parametros_recargas!$I$78*'Plan mensual'!F57+parametros_recargas!$J$78*'Plan mensual'!F58+parametros_recargas!$K$78*'Plan mensual'!F59+parametros_recargas!$L$78*'Plan mensual'!F60</f>
        <v>27.8595127353421</v>
      </c>
      <c r="E40" s="25" t="n">
        <f aca="false">parametros_recargas!$E$78*'Plan mensual'!G53+parametros_recargas!$F$78*'Plan mensual'!G54+parametros_recargas!$G$78*'Plan mensual'!G55+parametros_recargas!$H$78*'Plan mensual'!G56+parametros_recargas!$I$78*'Plan mensual'!G57+parametros_recargas!$J$78*'Plan mensual'!G58+parametros_recargas!$K$78*'Plan mensual'!G59+parametros_recargas!$L$78*'Plan mensual'!G60</f>
        <v>29.5174689523746</v>
      </c>
      <c r="F40" s="25" t="n">
        <f aca="false">parametros_recargas!$E$78*'Plan mensual'!H53+parametros_recargas!$F$78*'Plan mensual'!H54+parametros_recargas!$G$78*'Plan mensual'!H55+parametros_recargas!$H$78*'Plan mensual'!H56+parametros_recargas!$I$78*'Plan mensual'!H57+parametros_recargas!$J$78*'Plan mensual'!H58+parametros_recargas!$K$78*'Plan mensual'!H59+parametros_recargas!$L$78*'Plan mensual'!H60</f>
        <v>31.2743883413327</v>
      </c>
      <c r="G40" s="25" t="n">
        <f aca="false">parametros_recargas!$E$78*'Plan mensual'!I53+parametros_recargas!$F$78*'Plan mensual'!I54+parametros_recargas!$G$78*'Plan mensual'!I55+parametros_recargas!$H$78*'Plan mensual'!I56+parametros_recargas!$I$78*'Plan mensual'!I57+parametros_recargas!$J$78*'Plan mensual'!I58+parametros_recargas!$K$78*'Plan mensual'!I59+parametros_recargas!$L$78*'Plan mensual'!I60</f>
        <v>33.1361779999412</v>
      </c>
      <c r="H40" s="25" t="n">
        <f aca="false">parametros_recargas!$E$78*'Plan mensual'!J53+parametros_recargas!$F$78*'Plan mensual'!J54+parametros_recargas!$G$78*'Plan mensual'!J55+parametros_recargas!$H$78*'Plan mensual'!J56+parametros_recargas!$I$78*'Plan mensual'!J57+parametros_recargas!$J$78*'Plan mensual'!J58+parametros_recargas!$K$78*'Plan mensual'!J59+parametros_recargas!$L$78*'Plan mensual'!J60</f>
        <v>35.1090976197521</v>
      </c>
      <c r="I40" s="25" t="n">
        <f aca="false">parametros_recargas!$E$78*'Plan mensual'!K53+parametros_recargas!$F$78*'Plan mensual'!K54+parametros_recargas!$G$78*'Plan mensual'!K55+parametros_recargas!$H$78*'Plan mensual'!K56+parametros_recargas!$I$78*'Plan mensual'!K57+parametros_recargas!$J$78*'Plan mensual'!K58+parametros_recargas!$K$78*'Plan mensual'!K59+parametros_recargas!$L$78*'Plan mensual'!K60</f>
        <v>37.1997805324201</v>
      </c>
      <c r="J40" s="25" t="n">
        <f aca="false">parametros_recargas!$E$78*'Plan mensual'!L53+parametros_recargas!$F$78*'Plan mensual'!L54+parametros_recargas!$G$78*'Plan mensual'!L55+parametros_recargas!$H$78*'Plan mensual'!L56+parametros_recargas!$I$78*'Plan mensual'!L57+parametros_recargas!$J$78*'Plan mensual'!L58+parametros_recargas!$K$78*'Plan mensual'!L59+parametros_recargas!$L$78*'Plan mensual'!L60</f>
        <v>39.4152560122276</v>
      </c>
      <c r="K40" s="25" t="n">
        <f aca="false">parametros_recargas!$E$78*'Plan mensual'!M53+parametros_recargas!$F$78*'Plan mensual'!M54+parametros_recargas!$G$78*'Plan mensual'!M55+parametros_recargas!$H$78*'Plan mensual'!M56+parametros_recargas!$I$78*'Plan mensual'!M57+parametros_recargas!$J$78*'Plan mensual'!M58+parametros_recargas!$K$78*'Plan mensual'!M59+parametros_recargas!$L$78*'Plan mensual'!M60</f>
        <v>41.7629729098437</v>
      </c>
      <c r="L40" s="25" t="n">
        <f aca="false">parametros_recargas!$E$78*'Plan mensual'!N53+parametros_recargas!$F$78*'Plan mensual'!N54+parametros_recargas!$G$78*'Plan mensual'!N55+parametros_recargas!$H$78*'Plan mensual'!N56+parametros_recargas!$I$78*'Plan mensual'!N57+parametros_recargas!$J$78*'Plan mensual'!N58+parametros_recargas!$K$78*'Plan mensual'!N59+parametros_recargas!$L$78*'Plan mensual'!N60</f>
        <v>44.2508246967799</v>
      </c>
      <c r="M40" s="25" t="n">
        <f aca="false">parametros_recargas!$E$78*'Plan mensual'!O53+parametros_recargas!$F$78*'Plan mensual'!O54+parametros_recargas!$G$78*'Plan mensual'!O55+parametros_recargas!$H$78*'Plan mensual'!O56+parametros_recargas!$I$78*'Plan mensual'!O57+parametros_recargas!$J$78*'Plan mensual'!O58+parametros_recargas!$K$78*'Plan mensual'!O59+parametros_recargas!$L$78*'Plan mensual'!O60</f>
        <v>46.8871760047448</v>
      </c>
      <c r="N40" s="7" t="n">
        <f aca="false">SUM(B40:M40)</f>
        <v>417.526107479582</v>
      </c>
      <c r="O40" s="26" t="n">
        <f aca="false">MAX(B40:M40)</f>
        <v>46.8871760047448</v>
      </c>
      <c r="P40" s="15" t="n">
        <f aca="false">O40/parametros_recargas!$B$6</f>
        <v>0.312581173364965</v>
      </c>
    </row>
    <row r="41" customFormat="false" ht="15" hidden="false" customHeight="false" outlineLevel="0" collapsed="false">
      <c r="A41" s="12" t="str">
        <f aca="false">parametros_recargas!$B$79</f>
        <v>Recuperación de halogenado</v>
      </c>
      <c r="B41" s="25" t="n">
        <f aca="false">parametros_recargas!$E$79*'Plan mensual'!D53+parametros_recargas!$F$79*'Plan mensual'!D54+parametros_recargas!$G$79*'Plan mensual'!D55+parametros_recargas!$H$79*'Plan mensual'!D56+parametros_recargas!$I$79*'Plan mensual'!D57+parametros_recargas!$J$79*'Plan mensual'!D58+parametros_recargas!$K$79*'Plan mensual'!D59+parametros_recargas!$L$79*'Plan mensual'!D60</f>
        <v>1.2051222459281</v>
      </c>
      <c r="C41" s="25" t="n">
        <f aca="false">parametros_recargas!$E$79*'Plan mensual'!E53+parametros_recargas!$F$79*'Plan mensual'!E54+parametros_recargas!$G$79*'Plan mensual'!E55+parametros_recargas!$H$79*'Plan mensual'!E56+parametros_recargas!$I$79*'Plan mensual'!E57+parametros_recargas!$J$79*'Plan mensual'!E58+parametros_recargas!$K$79*'Plan mensual'!E59+parametros_recargas!$L$79*'Plan mensual'!E60</f>
        <v>1.27581228349523</v>
      </c>
      <c r="D41" s="25" t="n">
        <f aca="false">parametros_recargas!$E$79*'Plan mensual'!F53+parametros_recargas!$F$79*'Plan mensual'!F54+parametros_recargas!$G$79*'Plan mensual'!F55+parametros_recargas!$H$79*'Plan mensual'!F56+parametros_recargas!$I$79*'Plan mensual'!F57+parametros_recargas!$J$79*'Plan mensual'!F58+parametros_recargas!$K$79*'Plan mensual'!F59+parametros_recargas!$L$79*'Plan mensual'!F60</f>
        <v>1.35072179939918</v>
      </c>
      <c r="E41" s="25" t="n">
        <f aca="false">parametros_recargas!$E$79*'Plan mensual'!G53+parametros_recargas!$F$79*'Plan mensual'!G54+parametros_recargas!$G$79*'Plan mensual'!G55+parametros_recargas!$H$79*'Plan mensual'!G56+parametros_recargas!$I$79*'Plan mensual'!G57+parametros_recargas!$J$79*'Plan mensual'!G58+parametros_recargas!$K$79*'Plan mensual'!G59+parametros_recargas!$L$79*'Plan mensual'!G60</f>
        <v>1.43010265370465</v>
      </c>
      <c r="F41" s="25" t="n">
        <f aca="false">parametros_recargas!$E$79*'Plan mensual'!H53+parametros_recargas!$F$79*'Plan mensual'!H54+parametros_recargas!$G$79*'Plan mensual'!H55+parametros_recargas!$H$79*'Plan mensual'!H56+parametros_recargas!$I$79*'Plan mensual'!H57+parametros_recargas!$J$79*'Plan mensual'!H58+parametros_recargas!$K$79*'Plan mensual'!H59+parametros_recargas!$L$79*'Plan mensual'!H60</f>
        <v>1.51422173996796</v>
      </c>
      <c r="G41" s="25" t="n">
        <f aca="false">parametros_recargas!$E$79*'Plan mensual'!I53+parametros_recargas!$F$79*'Plan mensual'!I54+parametros_recargas!$G$79*'Plan mensual'!I55+parametros_recargas!$H$79*'Plan mensual'!I56+parametros_recargas!$I$79*'Plan mensual'!I57+parametros_recargas!$J$79*'Plan mensual'!I58+parametros_recargas!$K$79*'Plan mensual'!I59+parametros_recargas!$L$79*'Plan mensual'!I60</f>
        <v>1.60336188258402</v>
      </c>
      <c r="H41" s="25" t="n">
        <f aca="false">parametros_recargas!$E$79*'Plan mensual'!J53+parametros_recargas!$F$79*'Plan mensual'!J54+parametros_recargas!$G$79*'Plan mensual'!J55+parametros_recargas!$H$79*'Plan mensual'!J56+parametros_recargas!$I$79*'Plan mensual'!J57+parametros_recargas!$J$79*'Plan mensual'!J58+parametros_recargas!$K$79*'Plan mensual'!J59+parametros_recargas!$L$79*'Plan mensual'!J60</f>
        <v>1.69782278769582</v>
      </c>
      <c r="I41" s="25" t="n">
        <f aca="false">parametros_recargas!$E$79*'Plan mensual'!K53+parametros_recargas!$F$79*'Plan mensual'!K54+parametros_recargas!$G$79*'Plan mensual'!K55+parametros_recargas!$H$79*'Plan mensual'!K56+parametros_recargas!$I$79*'Plan mensual'!K57+parametros_recargas!$J$79*'Plan mensual'!K58+parametros_recargas!$K$79*'Plan mensual'!K59+parametros_recargas!$L$79*'Plan mensual'!K60</f>
        <v>1.79792205086363</v>
      </c>
      <c r="J41" s="25" t="n">
        <f aca="false">parametros_recargas!$E$79*'Plan mensual'!L53+parametros_recargas!$F$79*'Plan mensual'!L54+parametros_recargas!$G$79*'Plan mensual'!L55+parametros_recargas!$H$79*'Plan mensual'!L56+parametros_recargas!$I$79*'Plan mensual'!L57+parametros_recargas!$J$79*'Plan mensual'!L58+parametros_recargas!$K$79*'Plan mensual'!L59+parametros_recargas!$L$79*'Plan mensual'!L60</f>
        <v>1.90399622488177</v>
      </c>
      <c r="K41" s="25" t="n">
        <f aca="false">parametros_recargas!$E$79*'Plan mensual'!M53+parametros_recargas!$F$79*'Plan mensual'!M54+parametros_recargas!$G$79*'Plan mensual'!M55+parametros_recargas!$H$79*'Plan mensual'!M56+parametros_recargas!$I$79*'Plan mensual'!M57+parametros_recargas!$J$79*'Plan mensual'!M58+parametros_recargas!$K$79*'Plan mensual'!M59+parametros_recargas!$L$79*'Plan mensual'!M60</f>
        <v>2.01640195133318</v>
      </c>
      <c r="L41" s="25" t="n">
        <f aca="false">parametros_recargas!$E$79*'Plan mensual'!N53+parametros_recargas!$F$79*'Plan mensual'!N54+parametros_recargas!$G$79*'Plan mensual'!N55+parametros_recargas!$H$79*'Plan mensual'!N56+parametros_recargas!$I$79*'Plan mensual'!N57+parametros_recargas!$J$79*'Plan mensual'!N58+parametros_recargas!$K$79*'Plan mensual'!N59+parametros_recargas!$L$79*'Plan mensual'!N60</f>
        <v>2.13551715968644</v>
      </c>
      <c r="M41" s="25" t="n">
        <f aca="false">parametros_recargas!$E$79*'Plan mensual'!O53+parametros_recargas!$F$79*'Plan mensual'!O54+parametros_recargas!$G$79*'Plan mensual'!O55+parametros_recargas!$H$79*'Plan mensual'!O56+parametros_recargas!$I$79*'Plan mensual'!O57+parametros_recargas!$J$79*'Plan mensual'!O58+parametros_recargas!$K$79*'Plan mensual'!O59+parametros_recargas!$L$79*'Plan mensual'!O60</f>
        <v>2.2617423379666</v>
      </c>
      <c r="N41" s="7" t="n">
        <f aca="false">SUM(B41:M41)</f>
        <v>20.1927451175066</v>
      </c>
      <c r="O41" s="26" t="n">
        <f aca="false">MAX(B41:M41)</f>
        <v>2.2617423379666</v>
      </c>
      <c r="P41" s="15" t="n">
        <f aca="false">O41/parametros_recargas!$B$6</f>
        <v>0.0150782822531106</v>
      </c>
    </row>
    <row r="42" customFormat="false" ht="15" hidden="false" customHeight="false" outlineLevel="0" collapsed="false">
      <c r="A42" s="12" t="str">
        <f aca="false">parametros_recargas!$B$80</f>
        <v>Desarme y limpieza — recinto</v>
      </c>
      <c r="B42" s="25" t="n">
        <f aca="false">parametros_recargas!$E$80*'Plan mensual'!D53+parametros_recargas!$F$80*'Plan mensual'!D54+parametros_recargas!$G$80*'Plan mensual'!D55+parametros_recargas!$H$80*'Plan mensual'!D56+parametros_recargas!$I$80*'Plan mensual'!D57+parametros_recargas!$J$80*'Plan mensual'!D58+parametros_recargas!$K$80*'Plan mensual'!D59+parametros_recargas!$L$80*'Plan mensual'!D60</f>
        <v>1171.56332522961</v>
      </c>
      <c r="C42" s="25" t="n">
        <f aca="false">parametros_recargas!$E$80*'Plan mensual'!E53+parametros_recargas!$F$80*'Plan mensual'!E54+parametros_recargas!$G$80*'Plan mensual'!E55+parametros_recargas!$H$80*'Plan mensual'!E56+parametros_recargas!$I$80*'Plan mensual'!E57+parametros_recargas!$J$80*'Plan mensual'!E58+parametros_recargas!$K$80*'Plan mensual'!E59+parametros_recargas!$L$80*'Plan mensual'!E60</f>
        <v>1241.38434288092</v>
      </c>
      <c r="D42" s="25" t="n">
        <f aca="false">parametros_recargas!$E$80*'Plan mensual'!F53+parametros_recargas!$F$80*'Plan mensual'!F54+parametros_recargas!$G$80*'Plan mensual'!F55+parametros_recargas!$H$80*'Plan mensual'!F56+parametros_recargas!$I$80*'Plan mensual'!F57+parametros_recargas!$J$80*'Plan mensual'!F58+parametros_recargas!$K$80*'Plan mensual'!F59+parametros_recargas!$L$80*'Plan mensual'!F60</f>
        <v>1315.3729671933</v>
      </c>
      <c r="E42" s="25" t="n">
        <f aca="false">parametros_recargas!$E$80*'Plan mensual'!G53+parametros_recargas!$F$80*'Plan mensual'!G54+parametros_recargas!$G$80*'Plan mensual'!G55+parametros_recargas!$H$80*'Plan mensual'!G56+parametros_recargas!$I$80*'Plan mensual'!G57+parametros_recargas!$J$80*'Plan mensual'!G58+parametros_recargas!$K$80*'Plan mensual'!G59+parametros_recargas!$L$80*'Plan mensual'!G60</f>
        <v>1393.77796201844</v>
      </c>
      <c r="F42" s="25" t="n">
        <f aca="false">parametros_recargas!$E$80*'Plan mensual'!H53+parametros_recargas!$F$80*'Plan mensual'!H54+parametros_recargas!$G$80*'Plan mensual'!H55+parametros_recargas!$H$80*'Plan mensual'!H56+parametros_recargas!$I$80*'Plan mensual'!H57+parametros_recargas!$J$80*'Plan mensual'!H58+parametros_recargas!$K$80*'Plan mensual'!H59+parametros_recargas!$L$80*'Plan mensual'!H60</f>
        <v>1476.86293988716</v>
      </c>
      <c r="G42" s="25" t="n">
        <f aca="false">parametros_recargas!$E$80*'Plan mensual'!I53+parametros_recargas!$F$80*'Plan mensual'!I54+parametros_recargas!$G$80*'Plan mensual'!I55+parametros_recargas!$H$80*'Plan mensual'!I56+parametros_recargas!$I$80*'Plan mensual'!I57+parametros_recargas!$J$80*'Plan mensual'!I58+parametros_recargas!$K$80*'Plan mensual'!I59+parametros_recargas!$L$80*'Plan mensual'!I60</f>
        <v>1564.90724832491</v>
      </c>
      <c r="H42" s="25" t="n">
        <f aca="false">parametros_recargas!$E$80*'Plan mensual'!J53+parametros_recargas!$F$80*'Plan mensual'!J54+parametros_recargas!$G$80*'Plan mensual'!J55+parametros_recargas!$H$80*'Plan mensual'!J56+parametros_recargas!$I$80*'Plan mensual'!J57+parametros_recargas!$J$80*'Plan mensual'!J58+parametros_recargas!$K$80*'Plan mensual'!J59+parametros_recargas!$L$80*'Plan mensual'!J60</f>
        <v>1658.20690907142</v>
      </c>
      <c r="I42" s="25" t="n">
        <f aca="false">parametros_recargas!$E$80*'Plan mensual'!K53+parametros_recargas!$F$80*'Plan mensual'!K54+parametros_recargas!$G$80*'Plan mensual'!K55+parametros_recargas!$H$80*'Plan mensual'!K56+parametros_recargas!$I$80*'Plan mensual'!K57+parametros_recargas!$J$80*'Plan mensual'!K58+parametros_recargas!$K$80*'Plan mensual'!K59+parametros_recargas!$L$80*'Plan mensual'!K60</f>
        <v>1757.07561336214</v>
      </c>
      <c r="J42" s="25" t="n">
        <f aca="false">parametros_recargas!$E$80*'Plan mensual'!L53+parametros_recargas!$F$80*'Plan mensual'!L54+parametros_recargas!$G$80*'Plan mensual'!L55+parametros_recargas!$H$80*'Plan mensual'!L56+parametros_recargas!$I$80*'Plan mensual'!L57+parametros_recargas!$J$80*'Plan mensual'!L58+parametros_recargas!$K$80*'Plan mensual'!L59+parametros_recargas!$L$80*'Plan mensual'!L60</f>
        <v>1861.84577661798</v>
      </c>
      <c r="K42" s="25" t="n">
        <f aca="false">parametros_recargas!$E$80*'Plan mensual'!M53+parametros_recargas!$F$80*'Plan mensual'!M54+parametros_recargas!$G$80*'Plan mensual'!M55+parametros_recargas!$H$80*'Plan mensual'!M56+parametros_recargas!$I$80*'Plan mensual'!M57+parametros_recargas!$J$80*'Plan mensual'!M58+parametros_recargas!$K$80*'Plan mensual'!M59+parametros_recargas!$L$80*'Plan mensual'!M60</f>
        <v>1972.86965608927</v>
      </c>
      <c r="L42" s="25" t="n">
        <f aca="false">parametros_recargas!$E$80*'Plan mensual'!N53+parametros_recargas!$F$80*'Plan mensual'!N54+parametros_recargas!$G$80*'Plan mensual'!N55+parametros_recargas!$H$80*'Plan mensual'!N56+parametros_recargas!$I$80*'Plan mensual'!N57+parametros_recargas!$J$80*'Plan mensual'!N58+parametros_recargas!$K$80*'Plan mensual'!N59+parametros_recargas!$L$80*'Plan mensual'!N60</f>
        <v>2090.52053521175</v>
      </c>
      <c r="M42" s="25" t="n">
        <f aca="false">parametros_recargas!$E$80*'Plan mensual'!O53+parametros_recargas!$F$80*'Plan mensual'!O54+parametros_recargas!$G$80*'Plan mensual'!O55+parametros_recargas!$H$80*'Plan mensual'!O56+parametros_recargas!$I$80*'Plan mensual'!O57+parametros_recargas!$J$80*'Plan mensual'!O58+parametros_recargas!$K$80*'Plan mensual'!O59+parametros_recargas!$L$80*'Plan mensual'!O60</f>
        <v>2215.19397865661</v>
      </c>
      <c r="N42" s="7" t="n">
        <f aca="false">SUM(B42:M42)</f>
        <v>19719.5812545435</v>
      </c>
      <c r="O42" s="26" t="n">
        <f aca="false">MAX(B42:M42)</f>
        <v>2215.19397865661</v>
      </c>
      <c r="P42" s="15" t="n">
        <f aca="false">O42/parametros_recargas!$B$6</f>
        <v>14.7679598577107</v>
      </c>
    </row>
    <row r="43" customFormat="false" ht="15" hidden="false" customHeight="false" outlineLevel="0" collapsed="false">
      <c r="A43" s="12" t="str">
        <f aca="false">parametros_recargas!$B$81</f>
        <v>Desarme e inspección interior — zona general</v>
      </c>
      <c r="B43" s="25" t="n">
        <f aca="false">parametros_recargas!$E$81*'Plan mensual'!D53+parametros_recargas!$F$81*'Plan mensual'!D54+parametros_recargas!$G$81*'Plan mensual'!D55+parametros_recargas!$H$81*'Plan mensual'!D56+parametros_recargas!$I$81*'Plan mensual'!D57+parametros_recargas!$J$81*'Plan mensual'!D58+parametros_recargas!$K$81*'Plan mensual'!D59+parametros_recargas!$L$81*'Plan mensual'!D60</f>
        <v>85.2676215220911</v>
      </c>
      <c r="C43" s="25" t="n">
        <f aca="false">parametros_recargas!$E$81*'Plan mensual'!E53+parametros_recargas!$F$81*'Plan mensual'!E54+parametros_recargas!$G$81*'Plan mensual'!E55+parametros_recargas!$H$81*'Plan mensual'!E56+parametros_recargas!$I$81*'Plan mensual'!E57+parametros_recargas!$J$81*'Plan mensual'!E58+parametros_recargas!$K$81*'Plan mensual'!E59+parametros_recargas!$L$81*'Plan mensual'!E60</f>
        <v>90.3211711590454</v>
      </c>
      <c r="D43" s="25" t="n">
        <f aca="false">parametros_recargas!$E$81*'Plan mensual'!F53+parametros_recargas!$F$81*'Plan mensual'!F54+parametros_recargas!$G$81*'Plan mensual'!F55+parametros_recargas!$H$81*'Plan mensual'!F56+parametros_recargas!$I$81*'Plan mensual'!F57+parametros_recargas!$J$81*'Plan mensual'!F58+parametros_recargas!$K$81*'Plan mensual'!F59+parametros_recargas!$L$81*'Plan mensual'!F60</f>
        <v>95.6763664585441</v>
      </c>
      <c r="E43" s="25" t="n">
        <f aca="false">parametros_recargas!$E$81*'Plan mensual'!G53+parametros_recargas!$F$81*'Plan mensual'!G54+parametros_recargas!$G$81*'Plan mensual'!G55+parametros_recargas!$H$81*'Plan mensual'!G56+parametros_recargas!$I$81*'Plan mensual'!G57+parametros_recargas!$J$81*'Plan mensual'!G58+parametros_recargas!$K$81*'Plan mensual'!G59+parametros_recargas!$L$81*'Plan mensual'!G60</f>
        <v>101.351212607489</v>
      </c>
      <c r="F43" s="25" t="n">
        <f aca="false">parametros_recargas!$E$81*'Plan mensual'!H53+parametros_recargas!$F$81*'Plan mensual'!H54+parametros_recargas!$G$81*'Plan mensual'!H55+parametros_recargas!$H$81*'Plan mensual'!H56+parametros_recargas!$I$81*'Plan mensual'!H57+parametros_recargas!$J$81*'Plan mensual'!H58+parametros_recargas!$K$81*'Plan mensual'!H59+parametros_recargas!$L$81*'Plan mensual'!H60</f>
        <v>107.36478951984</v>
      </c>
      <c r="G43" s="25" t="n">
        <f aca="false">parametros_recargas!$E$81*'Plan mensual'!I53+parametros_recargas!$F$81*'Plan mensual'!I54+parametros_recargas!$G$81*'Plan mensual'!I55+parametros_recargas!$H$81*'Plan mensual'!I56+parametros_recargas!$I$81*'Plan mensual'!I57+parametros_recargas!$J$81*'Plan mensual'!I58+parametros_recargas!$K$81*'Plan mensual'!I59+parametros_recargas!$L$81*'Plan mensual'!I60</f>
        <v>113.737315986921</v>
      </c>
      <c r="H43" s="25" t="n">
        <f aca="false">parametros_recargas!$E$81*'Plan mensual'!J53+parametros_recargas!$F$81*'Plan mensual'!J54+parametros_recargas!$G$81*'Plan mensual'!J55+parametros_recargas!$H$81*'Plan mensual'!J56+parametros_recargas!$I$81*'Plan mensual'!J57+parametros_recargas!$J$81*'Plan mensual'!J58+parametros_recargas!$K$81*'Plan mensual'!J59+parametros_recargas!$L$81*'Plan mensual'!J60</f>
        <v>120.490217656846</v>
      </c>
      <c r="I43" s="25" t="n">
        <f aca="false">parametros_recargas!$E$81*'Plan mensual'!K53+parametros_recargas!$F$81*'Plan mensual'!K54+parametros_recargas!$G$81*'Plan mensual'!K55+parametros_recargas!$H$81*'Plan mensual'!K56+parametros_recargas!$I$81*'Plan mensual'!K57+parametros_recargas!$J$81*'Plan mensual'!K58+parametros_recargas!$K$81*'Plan mensual'!K59+parametros_recargas!$L$81*'Plan mensual'!K60</f>
        <v>127.646199071636</v>
      </c>
      <c r="J43" s="25" t="n">
        <f aca="false">parametros_recargas!$E$81*'Plan mensual'!L53+parametros_recargas!$F$81*'Plan mensual'!L54+parametros_recargas!$G$81*'Plan mensual'!L55+parametros_recargas!$H$81*'Plan mensual'!L56+parametros_recargas!$I$81*'Plan mensual'!L57+parametros_recargas!$J$81*'Plan mensual'!L58+parametros_recargas!$K$81*'Plan mensual'!L59+parametros_recargas!$L$81*'Plan mensual'!L60</f>
        <v>135.229320004209</v>
      </c>
      <c r="K43" s="25" t="n">
        <f aca="false">parametros_recargas!$E$81*'Plan mensual'!M53+parametros_recargas!$F$81*'Plan mensual'!M54+parametros_recargas!$G$81*'Plan mensual'!M55+parametros_recargas!$H$81*'Plan mensual'!M56+parametros_recargas!$I$81*'Plan mensual'!M57+parametros_recargas!$J$81*'Plan mensual'!M58+parametros_recargas!$K$81*'Plan mensual'!M59+parametros_recargas!$L$81*'Plan mensual'!M60</f>
        <v>143.265076351922</v>
      </c>
      <c r="L43" s="25" t="n">
        <f aca="false">parametros_recargas!$E$81*'Plan mensual'!N53+parametros_recargas!$F$81*'Plan mensual'!N54+parametros_recargas!$G$81*'Plan mensual'!N55+parametros_recargas!$H$81*'Plan mensual'!N56+parametros_recargas!$I$81*'Plan mensual'!N57+parametros_recargas!$J$81*'Plan mensual'!N58+parametros_recargas!$K$81*'Plan mensual'!N59+parametros_recargas!$L$81*'Plan mensual'!N60</f>
        <v>151.78048585864</v>
      </c>
      <c r="M43" s="25" t="n">
        <f aca="false">parametros_recargas!$E$81*'Plan mensual'!O53+parametros_recargas!$F$81*'Plan mensual'!O54+parametros_recargas!$G$81*'Plan mensual'!O55+parametros_recargas!$H$81*'Plan mensual'!O56+parametros_recargas!$I$81*'Plan mensual'!O57+parametros_recargas!$J$81*'Plan mensual'!O58+parametros_recargas!$K$81*'Plan mensual'!O59+parametros_recargas!$L$81*'Plan mensual'!O60</f>
        <v>160.804178953534</v>
      </c>
      <c r="N43" s="7" t="n">
        <f aca="false">SUM(B43:M43)</f>
        <v>1432.93395515072</v>
      </c>
      <c r="O43" s="26" t="n">
        <f aca="false">MAX(B43:M43)</f>
        <v>160.804178953534</v>
      </c>
      <c r="P43" s="15" t="n">
        <f aca="false">O43/parametros_recargas!$B$6</f>
        <v>1.07202785969022</v>
      </c>
    </row>
    <row r="44" customFormat="false" ht="15" hidden="false" customHeight="false" outlineLevel="0" collapsed="false">
      <c r="A44" s="12" t="str">
        <f aca="false">parametros_recargas!$B$82</f>
        <v>Laboratorio — Puffer y mufla</v>
      </c>
      <c r="B44" s="25" t="n">
        <f aca="false">parametros_recargas!$E$82*'Plan mensual'!D53+parametros_recargas!$F$82*'Plan mensual'!D54+parametros_recargas!$G$82*'Plan mensual'!D55+parametros_recargas!$H$82*'Plan mensual'!D56+parametros_recargas!$I$82*'Plan mensual'!D57+parametros_recargas!$J$82*'Plan mensual'!D58+parametros_recargas!$K$82*'Plan mensual'!D59+parametros_recargas!$L$82*'Plan mensual'!D60</f>
        <v>1.16949032055341</v>
      </c>
      <c r="C44" s="25" t="n">
        <f aca="false">parametros_recargas!$E$82*'Plan mensual'!E53+parametros_recargas!$F$82*'Plan mensual'!E54+parametros_recargas!$G$82*'Plan mensual'!E55+parametros_recargas!$H$82*'Plan mensual'!E56+parametros_recargas!$I$82*'Plan mensual'!E57+parametros_recargas!$J$82*'Plan mensual'!E58+parametros_recargas!$K$82*'Plan mensual'!E59+parametros_recargas!$L$82*'Plan mensual'!E60</f>
        <v>1.23919257500389</v>
      </c>
      <c r="D44" s="25" t="n">
        <f aca="false">parametros_recargas!$E$82*'Plan mensual'!F53+parametros_recargas!$F$82*'Plan mensual'!F54+parametros_recargas!$G$82*'Plan mensual'!F55+parametros_recargas!$H$82*'Plan mensual'!F56+parametros_recargas!$I$82*'Plan mensual'!F57+parametros_recargas!$J$82*'Plan mensual'!F58+parametros_recargas!$K$82*'Plan mensual'!F59+parametros_recargas!$L$82*'Plan mensual'!F60</f>
        <v>1.31305534715678</v>
      </c>
      <c r="E44" s="25" t="n">
        <f aca="false">parametros_recargas!$E$82*'Plan mensual'!G53+parametros_recargas!$F$82*'Plan mensual'!G54+parametros_recargas!$G$82*'Plan mensual'!G55+parametros_recargas!$H$82*'Plan mensual'!G56+parametros_recargas!$I$82*'Plan mensual'!G57+parametros_recargas!$J$82*'Plan mensual'!G58+parametros_recargas!$K$82*'Plan mensual'!G59+parametros_recargas!$L$82*'Plan mensual'!G60</f>
        <v>1.39132697772485</v>
      </c>
      <c r="F44" s="25" t="n">
        <f aca="false">parametros_recargas!$E$82*'Plan mensual'!H53+parametros_recargas!$F$82*'Plan mensual'!H54+parametros_recargas!$G$82*'Plan mensual'!H55+parametros_recargas!$H$82*'Plan mensual'!H56+parametros_recargas!$I$82*'Plan mensual'!H57+parametros_recargas!$J$82*'Plan mensual'!H58+parametros_recargas!$K$82*'Plan mensual'!H59+parametros_recargas!$L$82*'Plan mensual'!H60</f>
        <v>1.47427063084287</v>
      </c>
      <c r="G44" s="25" t="n">
        <f aca="false">parametros_recargas!$E$82*'Plan mensual'!I53+parametros_recargas!$F$82*'Plan mensual'!I54+parametros_recargas!$G$82*'Plan mensual'!I55+parametros_recargas!$H$82*'Plan mensual'!I56+parametros_recargas!$I$82*'Plan mensual'!I57+parametros_recargas!$J$82*'Plan mensual'!I58+parametros_recargas!$K$82*'Plan mensual'!I59+parametros_recargas!$L$82*'Plan mensual'!I60</f>
        <v>1.56216517887556</v>
      </c>
      <c r="H44" s="25" t="n">
        <f aca="false">parametros_recargas!$E$82*'Plan mensual'!J53+parametros_recargas!$F$82*'Plan mensual'!J54+parametros_recargas!$G$82*'Plan mensual'!J55+parametros_recargas!$H$82*'Plan mensual'!J56+parametros_recargas!$I$82*'Plan mensual'!J57+parametros_recargas!$J$82*'Plan mensual'!J58+parametros_recargas!$K$82*'Plan mensual'!J59+parametros_recargas!$L$82*'Plan mensual'!J60</f>
        <v>1.65530614003963</v>
      </c>
      <c r="I44" s="25" t="n">
        <f aca="false">parametros_recargas!$E$82*'Plan mensual'!K53+parametros_recargas!$F$82*'Plan mensual'!K54+parametros_recargas!$G$82*'Plan mensual'!K55+parametros_recargas!$H$82*'Plan mensual'!K56+parametros_recargas!$I$82*'Plan mensual'!K57+parametros_recargas!$J$82*'Plan mensual'!K58+parametros_recargas!$K$82*'Plan mensual'!K59+parametros_recargas!$L$82*'Plan mensual'!K60</f>
        <v>1.75400667199229</v>
      </c>
      <c r="J44" s="25" t="n">
        <f aca="false">parametros_recargas!$E$82*'Plan mensual'!L53+parametros_recargas!$F$82*'Plan mensual'!L54+parametros_recargas!$G$82*'Plan mensual'!L55+parametros_recargas!$H$82*'Plan mensual'!L56+parametros_recargas!$I$82*'Plan mensual'!L57+parametros_recargas!$J$82*'Plan mensual'!L58+parametros_recargas!$K$82*'Plan mensual'!L59+parametros_recargas!$L$82*'Plan mensual'!L60</f>
        <v>1.85859862472702</v>
      </c>
      <c r="K44" s="25" t="n">
        <f aca="false">parametros_recargas!$E$82*'Plan mensual'!M53+parametros_recargas!$F$82*'Plan mensual'!M54+parametros_recargas!$G$82*'Plan mensual'!M55+parametros_recargas!$H$82*'Plan mensual'!M56+parametros_recargas!$I$82*'Plan mensual'!M57+parametros_recargas!$J$82*'Plan mensual'!M58+parametros_recargas!$K$82*'Plan mensual'!M59+parametros_recargas!$L$82*'Plan mensual'!M60</f>
        <v>1.96943365631641</v>
      </c>
      <c r="L44" s="25" t="n">
        <f aca="false">parametros_recargas!$E$82*'Plan mensual'!N53+parametros_recargas!$F$82*'Plan mensual'!N54+parametros_recargas!$G$82*'Plan mensual'!N55+parametros_recargas!$H$82*'Plan mensual'!N56+parametros_recargas!$I$82*'Plan mensual'!N57+parametros_recargas!$J$82*'Plan mensual'!N58+parametros_recargas!$K$82*'Plan mensual'!N59+parametros_recargas!$L$82*'Plan mensual'!N60</f>
        <v>2.08688441525366</v>
      </c>
      <c r="M44" s="25" t="n">
        <f aca="false">parametros_recargas!$E$82*'Plan mensual'!O53+parametros_recargas!$F$82*'Plan mensual'!O54+parametros_recargas!$G$82*'Plan mensual'!O55+parametros_recargas!$H$82*'Plan mensual'!O56+parametros_recargas!$I$82*'Plan mensual'!O57+parametros_recargas!$J$82*'Plan mensual'!O58+parametros_recargas!$K$82*'Plan mensual'!O59+parametros_recargas!$L$82*'Plan mensual'!O60</f>
        <v>2.21134579336775</v>
      </c>
      <c r="N44" s="7" t="n">
        <f aca="false">SUM(B44:M44)</f>
        <v>19.6850763318541</v>
      </c>
      <c r="O44" s="26" t="n">
        <f aca="false">MAX(B44:M44)</f>
        <v>2.21134579336775</v>
      </c>
      <c r="P44" s="15" t="n">
        <f aca="false">O44/parametros_recargas!$B$6</f>
        <v>0.0147423052891183</v>
      </c>
    </row>
    <row r="45" customFormat="false" ht="15" hidden="false" customHeight="false" outlineLevel="0" collapsed="false">
      <c r="A45" s="12" t="str">
        <f aca="false">parametros_recargas!$B$83</f>
        <v>Prueba hidráulica</v>
      </c>
      <c r="B45" s="25" t="n">
        <f aca="false">parametros_recargas!$E$83*'Plan mensual'!D53+parametros_recargas!$F$83*'Plan mensual'!D54+parametros_recargas!$G$83*'Plan mensual'!D55+parametros_recargas!$H$83*'Plan mensual'!D56+parametros_recargas!$I$83*'Plan mensual'!D57+parametros_recargas!$J$83*'Plan mensual'!D58+parametros_recargas!$K$83*'Plan mensual'!D59+parametros_recargas!$L$83*'Plan mensual'!D60</f>
        <v>284.753564385528</v>
      </c>
      <c r="C45" s="25" t="n">
        <f aca="false">parametros_recargas!$E$83*'Plan mensual'!E53+parametros_recargas!$F$83*'Plan mensual'!E54+parametros_recargas!$G$83*'Plan mensual'!E55+parametros_recargas!$H$83*'Plan mensual'!E56+parametros_recargas!$I$83*'Plan mensual'!E57+parametros_recargas!$J$83*'Plan mensual'!E58+parametros_recargas!$K$83*'Plan mensual'!E59+parametros_recargas!$L$83*'Plan mensual'!E60</f>
        <v>301.708681438421</v>
      </c>
      <c r="D45" s="25" t="n">
        <f aca="false">parametros_recargas!$E$83*'Plan mensual'!F53+parametros_recargas!$F$83*'Plan mensual'!F54+parametros_recargas!$G$83*'Plan mensual'!F55+parametros_recargas!$H$83*'Plan mensual'!F56+parametros_recargas!$I$83*'Plan mensual'!F57+parametros_recargas!$J$83*'Plan mensual'!F58+parametros_recargas!$K$83*'Plan mensual'!F59+parametros_recargas!$L$83*'Plan mensual'!F60</f>
        <v>319.675847028354</v>
      </c>
      <c r="E45" s="25" t="n">
        <f aca="false">parametros_recargas!$E$83*'Plan mensual'!G53+parametros_recargas!$F$83*'Plan mensual'!G54+parametros_recargas!$G$83*'Plan mensual'!G55+parametros_recargas!$H$83*'Plan mensual'!G56+parametros_recargas!$I$83*'Plan mensual'!G57+parametros_recargas!$J$83*'Plan mensual'!G58+parametros_recargas!$K$83*'Plan mensual'!G59+parametros_recargas!$L$83*'Plan mensual'!G60</f>
        <v>338.715470189256</v>
      </c>
      <c r="F45" s="25" t="n">
        <f aca="false">parametros_recargas!$E$83*'Plan mensual'!H53+parametros_recargas!$F$83*'Plan mensual'!H54+parametros_recargas!$G$83*'Plan mensual'!H55+parametros_recargas!$H$83*'Plan mensual'!H56+parametros_recargas!$I$83*'Plan mensual'!H57+parametros_recargas!$J$83*'Plan mensual'!H58+parametros_recargas!$K$83*'Plan mensual'!H59+parametros_recargas!$L$83*'Plan mensual'!H60</f>
        <v>358.891565761742</v>
      </c>
      <c r="G45" s="25" t="n">
        <f aca="false">parametros_recargas!$E$83*'Plan mensual'!I53+parametros_recargas!$F$83*'Plan mensual'!I54+parametros_recargas!$G$83*'Plan mensual'!I55+parametros_recargas!$H$83*'Plan mensual'!I56+parametros_recargas!$I$83*'Plan mensual'!I57+parametros_recargas!$J$83*'Plan mensual'!I58+parametros_recargas!$K$83*'Plan mensual'!I59+parametros_recargas!$L$83*'Plan mensual'!I60</f>
        <v>380.2719696232</v>
      </c>
      <c r="H45" s="25" t="n">
        <f aca="false">parametros_recargas!$E$83*'Plan mensual'!J53+parametros_recargas!$F$83*'Plan mensual'!J54+parametros_recargas!$G$83*'Plan mensual'!J55+parametros_recargas!$H$83*'Plan mensual'!J56+parametros_recargas!$I$83*'Plan mensual'!J57+parametros_recargas!$J$83*'Plan mensual'!J58+parametros_recargas!$K$83*'Plan mensual'!J59+parametros_recargas!$L$83*'Plan mensual'!J60</f>
        <v>402.928566764941</v>
      </c>
      <c r="I45" s="25" t="n">
        <f aca="false">parametros_recargas!$E$83*'Plan mensual'!K53+parametros_recargas!$F$83*'Plan mensual'!K54+parametros_recargas!$G$83*'Plan mensual'!K55+parametros_recargas!$H$83*'Plan mensual'!K56+parametros_recargas!$I$83*'Plan mensual'!K57+parametros_recargas!$J$83*'Plan mensual'!K58+parametros_recargas!$K$83*'Plan mensual'!K59+parametros_recargas!$L$83*'Plan mensual'!K60</f>
        <v>426.937532983231</v>
      </c>
      <c r="J45" s="25" t="n">
        <f aca="false">parametros_recargas!$E$83*'Plan mensual'!L53+parametros_recargas!$F$83*'Plan mensual'!L54+parametros_recargas!$G$83*'Plan mensual'!L55+parametros_recargas!$H$83*'Plan mensual'!L56+parametros_recargas!$I$83*'Plan mensual'!L57+parametros_recargas!$J$83*'Plan mensual'!L58+parametros_recargas!$K$83*'Plan mensual'!L59+parametros_recargas!$L$83*'Plan mensual'!L60</f>
        <v>452.379590996834</v>
      </c>
      <c r="K45" s="25" t="n">
        <f aca="false">parametros_recargas!$E$83*'Plan mensual'!M53+parametros_recargas!$F$83*'Plan mensual'!M54+parametros_recargas!$G$83*'Plan mensual'!M55+parametros_recargas!$H$83*'Plan mensual'!M56+parametros_recargas!$I$83*'Plan mensual'!M57+parametros_recargas!$J$83*'Plan mensual'!M58+parametros_recargas!$K$83*'Plan mensual'!M59+parametros_recargas!$L$83*'Plan mensual'!M60</f>
        <v>479.340281852169</v>
      </c>
      <c r="L45" s="25" t="n">
        <f aca="false">parametros_recargas!$E$83*'Plan mensual'!N53+parametros_recargas!$F$83*'Plan mensual'!N54+parametros_recargas!$G$83*'Plan mensual'!N55+parametros_recargas!$H$83*'Plan mensual'!N56+parametros_recargas!$I$83*'Plan mensual'!N57+parametros_recargas!$J$83*'Plan mensual'!N58+parametros_recargas!$K$83*'Plan mensual'!N59+parametros_recargas!$L$83*'Plan mensual'!N60</f>
        <v>507.910252528611</v>
      </c>
      <c r="M45" s="25" t="n">
        <f aca="false">parametros_recargas!$E$83*'Plan mensual'!O53+parametros_recargas!$F$83*'Plan mensual'!O54+parametros_recargas!$G$83*'Plan mensual'!O55+parametros_recargas!$H$83*'Plan mensual'!O56+parametros_recargas!$I$83*'Plan mensual'!O57+parametros_recargas!$J$83*'Plan mensual'!O58+parametros_recargas!$K$83*'Plan mensual'!O59+parametros_recargas!$L$83*'Plan mensual'!O60</f>
        <v>538.185560710902</v>
      </c>
      <c r="N45" s="7" t="n">
        <f aca="false">SUM(B45:M45)</f>
        <v>4791.69888426319</v>
      </c>
      <c r="O45" s="26" t="n">
        <f aca="false">MAX(B45:M45)</f>
        <v>538.185560710902</v>
      </c>
      <c r="P45" s="15" t="n">
        <f aca="false">O45/parametros_recargas!$B$6</f>
        <v>3.58790373807268</v>
      </c>
    </row>
    <row r="46" customFormat="false" ht="15" hidden="false" customHeight="false" outlineLevel="0" collapsed="false">
      <c r="A46" s="12" t="str">
        <f aca="false">parametros_recargas!$B$84</f>
        <v>Secado</v>
      </c>
      <c r="B46" s="25" t="n">
        <f aca="false">parametros_recargas!$E$84*'Plan mensual'!D53+parametros_recargas!$F$84*'Plan mensual'!D54+parametros_recargas!$G$84*'Plan mensual'!D55+parametros_recargas!$H$84*'Plan mensual'!D56+parametros_recargas!$I$84*'Plan mensual'!D57+parametros_recargas!$J$84*'Plan mensual'!D58+parametros_recargas!$K$84*'Plan mensual'!D59+parametros_recargas!$L$84*'Plan mensual'!D60</f>
        <v>266.847201174379</v>
      </c>
      <c r="C46" s="25" t="n">
        <f aca="false">parametros_recargas!$E$84*'Plan mensual'!E53+parametros_recargas!$F$84*'Plan mensual'!E54+parametros_recargas!$G$84*'Plan mensual'!E55+parametros_recargas!$H$84*'Plan mensual'!E56+parametros_recargas!$I$84*'Plan mensual'!E57+parametros_recargas!$J$84*'Plan mensual'!E58+parametros_recargas!$K$84*'Plan mensual'!E59+parametros_recargas!$L$84*'Plan mensual'!E60</f>
        <v>282.74731809223</v>
      </c>
      <c r="D46" s="25" t="n">
        <f aca="false">parametros_recargas!$E$84*'Plan mensual'!F53+parametros_recargas!$F$84*'Plan mensual'!F54+parametros_recargas!$G$84*'Plan mensual'!F55+parametros_recargas!$H$84*'Plan mensual'!F56+parametros_recargas!$I$84*'Plan mensual'!F57+parametros_recargas!$J$84*'Plan mensual'!F58+parametros_recargas!$K$84*'Plan mensual'!F59+parametros_recargas!$L$84*'Plan mensual'!F60</f>
        <v>299.596510738385</v>
      </c>
      <c r="E46" s="25" t="n">
        <f aca="false">parametros_recargas!$E$84*'Plan mensual'!G53+parametros_recargas!$F$84*'Plan mensual'!G54+parametros_recargas!$G$84*'Plan mensual'!G55+parametros_recargas!$H$84*'Plan mensual'!G56+parametros_recargas!$I$84*'Plan mensual'!G57+parametros_recargas!$J$84*'Plan mensual'!G58+parametros_recargas!$K$84*'Plan mensual'!G59+parametros_recargas!$L$84*'Plan mensual'!G60</f>
        <v>317.451429308736</v>
      </c>
      <c r="F46" s="25" t="n">
        <f aca="false">parametros_recargas!$E$84*'Plan mensual'!H53+parametros_recargas!$F$84*'Plan mensual'!H54+parametros_recargas!$G$84*'Plan mensual'!H55+parametros_recargas!$H$84*'Plan mensual'!H56+parametros_recargas!$I$84*'Plan mensual'!H57+parametros_recargas!$J$84*'Plan mensual'!H58+parametros_recargas!$K$84*'Plan mensual'!H59+parametros_recargas!$L$84*'Plan mensual'!H60</f>
        <v>336.372105441343</v>
      </c>
      <c r="G46" s="25" t="n">
        <f aca="false">parametros_recargas!$E$84*'Plan mensual'!I53+parametros_recargas!$F$84*'Plan mensual'!I54+parametros_recargas!$G$84*'Plan mensual'!I55+parametros_recargas!$H$84*'Plan mensual'!I56+parametros_recargas!$I$84*'Plan mensual'!I57+parametros_recargas!$J$84*'Plan mensual'!I58+parametros_recargas!$K$84*'Plan mensual'!I59+parametros_recargas!$L$84*'Plan mensual'!I60</f>
        <v>356.422154054251</v>
      </c>
      <c r="H46" s="25" t="n">
        <f aca="false">parametros_recargas!$E$84*'Plan mensual'!J53+parametros_recargas!$F$84*'Plan mensual'!J54+parametros_recargas!$G$84*'Plan mensual'!J55+parametros_recargas!$H$84*'Plan mensual'!J56+parametros_recargas!$I$84*'Plan mensual'!J57+parametros_recargas!$J$84*'Plan mensual'!J58+parametros_recargas!$K$84*'Plan mensual'!J59+parametros_recargas!$L$84*'Plan mensual'!J60</f>
        <v>377.668987230956</v>
      </c>
      <c r="I46" s="25" t="n">
        <f aca="false">parametros_recargas!$E$84*'Plan mensual'!K53+parametros_recargas!$F$84*'Plan mensual'!K54+parametros_recargas!$G$84*'Plan mensual'!K55+parametros_recargas!$H$84*'Plan mensual'!K56+parametros_recargas!$I$84*'Plan mensual'!K57+parametros_recargas!$J$84*'Plan mensual'!K58+parametros_recargas!$K$84*'Plan mensual'!K59+parametros_recargas!$L$84*'Plan mensual'!K60</f>
        <v>400.184040872677</v>
      </c>
      <c r="J46" s="25" t="n">
        <f aca="false">parametros_recargas!$E$84*'Plan mensual'!L53+parametros_recargas!$F$84*'Plan mensual'!L54+parametros_recargas!$G$84*'Plan mensual'!L55+parametros_recargas!$H$84*'Plan mensual'!L56+parametros_recargas!$I$84*'Plan mensual'!L57+parametros_recargas!$J$84*'Plan mensual'!L58+parametros_recargas!$K$84*'Plan mensual'!L59+parametros_recargas!$L$84*'Plan mensual'!L60</f>
        <v>424.043014879464</v>
      </c>
      <c r="K46" s="25" t="n">
        <f aca="false">parametros_recargas!$E$84*'Plan mensual'!M53+parametros_recargas!$F$84*'Plan mensual'!M54+parametros_recargas!$G$84*'Plan mensual'!M55+parametros_recargas!$H$84*'Plan mensual'!M56+parametros_recargas!$I$84*'Plan mensual'!M57+parametros_recargas!$J$84*'Plan mensual'!M58+parametros_recargas!$K$84*'Plan mensual'!M59+parametros_recargas!$L$84*'Plan mensual'!M60</f>
        <v>449.326127667689</v>
      </c>
      <c r="L46" s="25" t="n">
        <f aca="false">parametros_recargas!$E$84*'Plan mensual'!N53+parametros_recargas!$F$84*'Plan mensual'!N54+parametros_recargas!$G$84*'Plan mensual'!N55+parametros_recargas!$H$84*'Plan mensual'!N56+parametros_recargas!$I$84*'Plan mensual'!N57+parametros_recargas!$J$84*'Plan mensual'!N58+parametros_recargas!$K$84*'Plan mensual'!N59+parametros_recargas!$L$84*'Plan mensual'!N60</f>
        <v>476.118385879641</v>
      </c>
      <c r="M46" s="25" t="n">
        <f aca="false">parametros_recargas!$E$84*'Plan mensual'!O53+parametros_recargas!$F$84*'Plan mensual'!O54+parametros_recargas!$G$84*'Plan mensual'!O55+parametros_recargas!$H$84*'Plan mensual'!O56+parametros_recargas!$I$84*'Plan mensual'!O57+parametros_recargas!$J$84*'Plan mensual'!O58+parametros_recargas!$K$84*'Plan mensual'!O59+parametros_recargas!$L$84*'Plan mensual'!O60</f>
        <v>504.509870192057</v>
      </c>
      <c r="N46" s="7" t="n">
        <f aca="false">SUM(B46:M46)</f>
        <v>4491.28714553181</v>
      </c>
      <c r="O46" s="26" t="n">
        <f aca="false">MAX(B46:M46)</f>
        <v>504.509870192057</v>
      </c>
      <c r="P46" s="15" t="n">
        <f aca="false">O46/parametros_recargas!$B$6</f>
        <v>3.36339913461371</v>
      </c>
    </row>
    <row r="47" customFormat="false" ht="15" hidden="false" customHeight="false" outlineLevel="0" collapsed="false">
      <c r="A47" s="12" t="str">
        <f aca="false">parametros_recargas!$B$85</f>
        <v>Inspección interior con videoscopio</v>
      </c>
      <c r="B47" s="25" t="n">
        <f aca="false">parametros_recargas!$E$85*'Plan mensual'!D53+parametros_recargas!$F$85*'Plan mensual'!D54+parametros_recargas!$G$85*'Plan mensual'!D55+parametros_recargas!$H$85*'Plan mensual'!D56+parametros_recargas!$I$85*'Plan mensual'!D57+parametros_recargas!$J$85*'Plan mensual'!D58+parametros_recargas!$K$85*'Plan mensual'!D59+parametros_recargas!$L$85*'Plan mensual'!D60</f>
        <v>266.847201174379</v>
      </c>
      <c r="C47" s="25" t="n">
        <f aca="false">parametros_recargas!$E$85*'Plan mensual'!E53+parametros_recargas!$F$85*'Plan mensual'!E54+parametros_recargas!$G$85*'Plan mensual'!E55+parametros_recargas!$H$85*'Plan mensual'!E56+parametros_recargas!$I$85*'Plan mensual'!E57+parametros_recargas!$J$85*'Plan mensual'!E58+parametros_recargas!$K$85*'Plan mensual'!E59+parametros_recargas!$L$85*'Plan mensual'!E60</f>
        <v>282.74731809223</v>
      </c>
      <c r="D47" s="25" t="n">
        <f aca="false">parametros_recargas!$E$85*'Plan mensual'!F53+parametros_recargas!$F$85*'Plan mensual'!F54+parametros_recargas!$G$85*'Plan mensual'!F55+parametros_recargas!$H$85*'Plan mensual'!F56+parametros_recargas!$I$85*'Plan mensual'!F57+parametros_recargas!$J$85*'Plan mensual'!F58+parametros_recargas!$K$85*'Plan mensual'!F59+parametros_recargas!$L$85*'Plan mensual'!F60</f>
        <v>299.596510738385</v>
      </c>
      <c r="E47" s="25" t="n">
        <f aca="false">parametros_recargas!$E$85*'Plan mensual'!G53+parametros_recargas!$F$85*'Plan mensual'!G54+parametros_recargas!$G$85*'Plan mensual'!G55+parametros_recargas!$H$85*'Plan mensual'!G56+parametros_recargas!$I$85*'Plan mensual'!G57+parametros_recargas!$J$85*'Plan mensual'!G58+parametros_recargas!$K$85*'Plan mensual'!G59+parametros_recargas!$L$85*'Plan mensual'!G60</f>
        <v>317.451429308736</v>
      </c>
      <c r="F47" s="25" t="n">
        <f aca="false">parametros_recargas!$E$85*'Plan mensual'!H53+parametros_recargas!$F$85*'Plan mensual'!H54+parametros_recargas!$G$85*'Plan mensual'!H55+parametros_recargas!$H$85*'Plan mensual'!H56+parametros_recargas!$I$85*'Plan mensual'!H57+parametros_recargas!$J$85*'Plan mensual'!H58+parametros_recargas!$K$85*'Plan mensual'!H59+parametros_recargas!$L$85*'Plan mensual'!H60</f>
        <v>336.372105441343</v>
      </c>
      <c r="G47" s="25" t="n">
        <f aca="false">parametros_recargas!$E$85*'Plan mensual'!I53+parametros_recargas!$F$85*'Plan mensual'!I54+parametros_recargas!$G$85*'Plan mensual'!I55+parametros_recargas!$H$85*'Plan mensual'!I56+parametros_recargas!$I$85*'Plan mensual'!I57+parametros_recargas!$J$85*'Plan mensual'!I58+parametros_recargas!$K$85*'Plan mensual'!I59+parametros_recargas!$L$85*'Plan mensual'!I60</f>
        <v>356.422154054251</v>
      </c>
      <c r="H47" s="25" t="n">
        <f aca="false">parametros_recargas!$E$85*'Plan mensual'!J53+parametros_recargas!$F$85*'Plan mensual'!J54+parametros_recargas!$G$85*'Plan mensual'!J55+parametros_recargas!$H$85*'Plan mensual'!J56+parametros_recargas!$I$85*'Plan mensual'!J57+parametros_recargas!$J$85*'Plan mensual'!J58+parametros_recargas!$K$85*'Plan mensual'!J59+parametros_recargas!$L$85*'Plan mensual'!J60</f>
        <v>377.668987230956</v>
      </c>
      <c r="I47" s="25" t="n">
        <f aca="false">parametros_recargas!$E$85*'Plan mensual'!K53+parametros_recargas!$F$85*'Plan mensual'!K54+parametros_recargas!$G$85*'Plan mensual'!K55+parametros_recargas!$H$85*'Plan mensual'!K56+parametros_recargas!$I$85*'Plan mensual'!K57+parametros_recargas!$J$85*'Plan mensual'!K58+parametros_recargas!$K$85*'Plan mensual'!K59+parametros_recargas!$L$85*'Plan mensual'!K60</f>
        <v>400.184040872677</v>
      </c>
      <c r="J47" s="25" t="n">
        <f aca="false">parametros_recargas!$E$85*'Plan mensual'!L53+parametros_recargas!$F$85*'Plan mensual'!L54+parametros_recargas!$G$85*'Plan mensual'!L55+parametros_recargas!$H$85*'Plan mensual'!L56+parametros_recargas!$I$85*'Plan mensual'!L57+parametros_recargas!$J$85*'Plan mensual'!L58+parametros_recargas!$K$85*'Plan mensual'!L59+parametros_recargas!$L$85*'Plan mensual'!L60</f>
        <v>424.043014879464</v>
      </c>
      <c r="K47" s="25" t="n">
        <f aca="false">parametros_recargas!$E$85*'Plan mensual'!M53+parametros_recargas!$F$85*'Plan mensual'!M54+parametros_recargas!$G$85*'Plan mensual'!M55+parametros_recargas!$H$85*'Plan mensual'!M56+parametros_recargas!$I$85*'Plan mensual'!M57+parametros_recargas!$J$85*'Plan mensual'!M58+parametros_recargas!$K$85*'Plan mensual'!M59+parametros_recargas!$L$85*'Plan mensual'!M60</f>
        <v>449.326127667689</v>
      </c>
      <c r="L47" s="25" t="n">
        <f aca="false">parametros_recargas!$E$85*'Plan mensual'!N53+parametros_recargas!$F$85*'Plan mensual'!N54+parametros_recargas!$G$85*'Plan mensual'!N55+parametros_recargas!$H$85*'Plan mensual'!N56+parametros_recargas!$I$85*'Plan mensual'!N57+parametros_recargas!$J$85*'Plan mensual'!N58+parametros_recargas!$K$85*'Plan mensual'!N59+parametros_recargas!$L$85*'Plan mensual'!N60</f>
        <v>476.118385879641</v>
      </c>
      <c r="M47" s="25" t="n">
        <f aca="false">parametros_recargas!$E$85*'Plan mensual'!O53+parametros_recargas!$F$85*'Plan mensual'!O54+parametros_recargas!$G$85*'Plan mensual'!O55+parametros_recargas!$H$85*'Plan mensual'!O56+parametros_recargas!$I$85*'Plan mensual'!O57+parametros_recargas!$J$85*'Plan mensual'!O58+parametros_recargas!$K$85*'Plan mensual'!O59+parametros_recargas!$L$85*'Plan mensual'!O60</f>
        <v>504.509870192057</v>
      </c>
      <c r="N47" s="7" t="n">
        <f aca="false">SUM(B47:M47)</f>
        <v>4491.28714553181</v>
      </c>
      <c r="O47" s="26" t="n">
        <f aca="false">MAX(B47:M47)</f>
        <v>504.509870192057</v>
      </c>
      <c r="P47" s="15" t="n">
        <f aca="false">O47/parametros_recargas!$B$6</f>
        <v>3.36339913461371</v>
      </c>
    </row>
    <row r="48" customFormat="false" ht="15" hidden="false" customHeight="false" outlineLevel="0" collapsed="false">
      <c r="A48" s="12" t="str">
        <f aca="false">parametros_recargas!$B$86</f>
        <v>Pintura</v>
      </c>
      <c r="B48" s="25" t="n">
        <f aca="false">parametros_recargas!$E$86*'Plan mensual'!D53+parametros_recargas!$F$86*'Plan mensual'!D54+parametros_recargas!$G$86*'Plan mensual'!D55+parametros_recargas!$H$86*'Plan mensual'!D56+parametros_recargas!$I$86*'Plan mensual'!D57+parametros_recargas!$J$86*'Plan mensual'!D58+parametros_recargas!$K$86*'Plan mensual'!D59+parametros_recargas!$L$86*'Plan mensual'!D60</f>
        <v>133.490183253731</v>
      </c>
      <c r="C48" s="25" t="n">
        <f aca="false">parametros_recargas!$E$86*'Plan mensual'!E53+parametros_recargas!$F$86*'Plan mensual'!E54+parametros_recargas!$G$86*'Plan mensual'!E55+parametros_recargas!$H$86*'Plan mensual'!E56+parametros_recargas!$I$86*'Plan mensual'!E57+parametros_recargas!$J$86*'Plan mensual'!E58+parametros_recargas!$K$86*'Plan mensual'!E59+parametros_recargas!$L$86*'Plan mensual'!E60</f>
        <v>141.44177868671</v>
      </c>
      <c r="D48" s="25" t="n">
        <f aca="false">parametros_recargas!$E$86*'Plan mensual'!F53+parametros_recargas!$F$86*'Plan mensual'!F54+parametros_recargas!$G$86*'Plan mensual'!F55+parametros_recargas!$H$86*'Plan mensual'!F56+parametros_recargas!$I$86*'Plan mensual'!F57+parametros_recargas!$J$86*'Plan mensual'!F58+parametros_recargas!$K$86*'Plan mensual'!F59+parametros_recargas!$L$86*'Plan mensual'!F60</f>
        <v>149.868003725607</v>
      </c>
      <c r="E48" s="25" t="n">
        <f aca="false">parametros_recargas!$E$86*'Plan mensual'!G53+parametros_recargas!$F$86*'Plan mensual'!G54+parametros_recargas!$G$86*'Plan mensual'!G55+parametros_recargas!$H$86*'Plan mensual'!G56+parametros_recargas!$I$86*'Plan mensual'!G57+parametros_recargas!$J$86*'Plan mensual'!G58+parametros_recargas!$K$86*'Plan mensual'!G59+parametros_recargas!$L$86*'Plan mensual'!G60</f>
        <v>158.797188944417</v>
      </c>
      <c r="F48" s="25" t="n">
        <f aca="false">parametros_recargas!$E$86*'Plan mensual'!H53+parametros_recargas!$F$86*'Plan mensual'!H54+parametros_recargas!$G$86*'Plan mensual'!H55+parametros_recargas!$H$86*'Plan mensual'!H56+parametros_recargas!$I$86*'Plan mensual'!H57+parametros_recargas!$J$86*'Plan mensual'!H58+parametros_recargas!$K$86*'Plan mensual'!H59+parametros_recargas!$L$86*'Plan mensual'!H60</f>
        <v>168.25935596509</v>
      </c>
      <c r="G48" s="25" t="n">
        <f aca="false">parametros_recargas!$E$86*'Plan mensual'!I53+parametros_recargas!$F$86*'Plan mensual'!I54+parametros_recargas!$G$86*'Plan mensual'!I55+parametros_recargas!$H$86*'Plan mensual'!I56+parametros_recargas!$I$86*'Plan mensual'!I57+parametros_recargas!$J$86*'Plan mensual'!I58+parametros_recargas!$K$86*'Plan mensual'!I59+parametros_recargas!$L$86*'Plan mensual'!I60</f>
        <v>178.286318395941</v>
      </c>
      <c r="H48" s="25" t="n">
        <f aca="false">parametros_recargas!$E$86*'Plan mensual'!J53+parametros_recargas!$F$86*'Plan mensual'!J54+parametros_recargas!$G$86*'Plan mensual'!J55+parametros_recargas!$H$86*'Plan mensual'!J56+parametros_recargas!$I$86*'Plan mensual'!J57+parametros_recargas!$J$86*'Plan mensual'!J58+parametros_recargas!$K$86*'Plan mensual'!J59+parametros_recargas!$L$86*'Plan mensual'!J60</f>
        <v>188.911788795061</v>
      </c>
      <c r="I48" s="25" t="n">
        <f aca="false">parametros_recargas!$E$86*'Plan mensual'!K53+parametros_recargas!$F$86*'Plan mensual'!K54+parametros_recargas!$G$86*'Plan mensual'!K55+parametros_recargas!$H$86*'Plan mensual'!K56+parametros_recargas!$I$86*'Plan mensual'!K57+parametros_recargas!$J$86*'Plan mensual'!K58+parametros_recargas!$K$86*'Plan mensual'!K59+parametros_recargas!$L$86*'Plan mensual'!K60</f>
        <v>200.171492018363</v>
      </c>
      <c r="J48" s="25" t="n">
        <f aca="false">parametros_recargas!$E$86*'Plan mensual'!L53+parametros_recargas!$F$86*'Plan mensual'!L54+parametros_recargas!$G$86*'Plan mensual'!L55+parametros_recargas!$H$86*'Plan mensual'!L56+parametros_recargas!$I$86*'Plan mensual'!L57+parametros_recargas!$J$86*'Plan mensual'!L58+parametros_recargas!$K$86*'Plan mensual'!L59+parametros_recargas!$L$86*'Plan mensual'!L60</f>
        <v>212.103285333352</v>
      </c>
      <c r="K48" s="25" t="n">
        <f aca="false">parametros_recargas!$E$86*'Plan mensual'!M53+parametros_recargas!$F$86*'Plan mensual'!M54+parametros_recargas!$G$86*'Plan mensual'!M55+parametros_recargas!$H$86*'Plan mensual'!M56+parametros_recargas!$I$86*'Plan mensual'!M57+parametros_recargas!$J$86*'Plan mensual'!M58+parametros_recargas!$K$86*'Plan mensual'!M59+parametros_recargas!$L$86*'Plan mensual'!M60</f>
        <v>224.747285702473</v>
      </c>
      <c r="L48" s="25" t="n">
        <f aca="false">parametros_recargas!$E$86*'Plan mensual'!N53+parametros_recargas!$F$86*'Plan mensual'!N54+parametros_recargas!$G$86*'Plan mensual'!N55+parametros_recargas!$H$86*'Plan mensual'!N56+parametros_recargas!$I$86*'Plan mensual'!N57+parametros_recargas!$J$86*'Plan mensual'!N58+parametros_recargas!$K$86*'Plan mensual'!N59+parametros_recargas!$L$86*'Plan mensual'!N60</f>
        <v>238.146004663979</v>
      </c>
      <c r="M48" s="25" t="n">
        <f aca="false">parametros_recargas!$E$86*'Plan mensual'!O53+parametros_recargas!$F$86*'Plan mensual'!O54+parametros_recargas!$G$86*'Plan mensual'!O55+parametros_recargas!$H$86*'Plan mensual'!O56+parametros_recargas!$I$86*'Plan mensual'!O57+parametros_recargas!$J$86*'Plan mensual'!O58+parametros_recargas!$K$86*'Plan mensual'!O59+parametros_recargas!$L$86*'Plan mensual'!O60</f>
        <v>252.344491263828</v>
      </c>
      <c r="N48" s="7" t="n">
        <f aca="false">SUM(B48:M48)</f>
        <v>2246.56717674855</v>
      </c>
      <c r="O48" s="26" t="n">
        <f aca="false">MAX(B48:M48)</f>
        <v>252.344491263828</v>
      </c>
      <c r="P48" s="15" t="n">
        <f aca="false">O48/parametros_recargas!$B$6</f>
        <v>1.68229660842552</v>
      </c>
    </row>
    <row r="49" customFormat="false" ht="15" hidden="false" customHeight="false" outlineLevel="0" collapsed="false">
      <c r="A49" s="12" t="str">
        <f aca="false">parametros_recargas!$B$87</f>
        <v>Carga de polvo ABC</v>
      </c>
      <c r="B49" s="25" t="n">
        <f aca="false">parametros_recargas!$E$87*'Plan mensual'!D53+parametros_recargas!$F$87*'Plan mensual'!D54+parametros_recargas!$G$87*'Plan mensual'!D55+parametros_recargas!$H$87*'Plan mensual'!D56+parametros_recargas!$I$87*'Plan mensual'!D57+parametros_recargas!$J$87*'Plan mensual'!D58+parametros_recargas!$K$87*'Plan mensual'!D59+parametros_recargas!$L$87*'Plan mensual'!D60</f>
        <v>1167.41731587721</v>
      </c>
      <c r="C49" s="25" t="n">
        <f aca="false">parametros_recargas!$E$87*'Plan mensual'!E53+parametros_recargas!$F$87*'Plan mensual'!E54+parametros_recargas!$G$87*'Plan mensual'!E55+parametros_recargas!$H$87*'Plan mensual'!E56+parametros_recargas!$I$87*'Plan mensual'!E57+parametros_recargas!$J$87*'Plan mensual'!E58+parametros_recargas!$K$87*'Plan mensual'!E59+parametros_recargas!$L$87*'Plan mensual'!E60</f>
        <v>1237.00080712685</v>
      </c>
      <c r="D49" s="25" t="n">
        <f aca="false">parametros_recargas!$E$87*'Plan mensual'!F53+parametros_recargas!$F$87*'Plan mensual'!F54+parametros_recargas!$G$87*'Plan mensual'!F55+parametros_recargas!$H$87*'Plan mensual'!F56+parametros_recargas!$I$87*'Plan mensual'!F57+parametros_recargas!$J$87*'Plan mensual'!F58+parametros_recargas!$K$87*'Plan mensual'!F59+parametros_recargas!$L$87*'Plan mensual'!F60</f>
        <v>1310.73772712026</v>
      </c>
      <c r="E49" s="25" t="n">
        <f aca="false">parametros_recargas!$E$87*'Plan mensual'!G53+parametros_recargas!$F$87*'Plan mensual'!G54+parametros_recargas!$G$87*'Plan mensual'!G55+parametros_recargas!$H$87*'Plan mensual'!G56+parametros_recargas!$I$87*'Plan mensual'!G57+parametros_recargas!$J$87*'Plan mensual'!G58+parametros_recargas!$K$87*'Plan mensual'!G59+parametros_recargas!$L$87*'Plan mensual'!G60</f>
        <v>1388.87599343126</v>
      </c>
      <c r="F49" s="25" t="n">
        <f aca="false">parametros_recargas!$E$87*'Plan mensual'!H53+parametros_recargas!$F$87*'Plan mensual'!H54+parametros_recargas!$G$87*'Plan mensual'!H55+parametros_recargas!$H$87*'Plan mensual'!H56+parametros_recargas!$I$87*'Plan mensual'!H57+parametros_recargas!$J$87*'Plan mensual'!H58+parametros_recargas!$K$87*'Plan mensual'!H59+parametros_recargas!$L$87*'Plan mensual'!H60</f>
        <v>1471.67832179858</v>
      </c>
      <c r="G49" s="25" t="n">
        <f aca="false">parametros_recargas!$E$87*'Plan mensual'!I53+parametros_recargas!$F$87*'Plan mensual'!I54+parametros_recargas!$G$87*'Plan mensual'!I55+parametros_recargas!$H$87*'Plan mensual'!I56+parametros_recargas!$I$87*'Plan mensual'!I57+parametros_recargas!$J$87*'Plan mensual'!I58+parametros_recargas!$K$87*'Plan mensual'!I59+parametros_recargas!$L$87*'Plan mensual'!I60</f>
        <v>1559.42310942621</v>
      </c>
      <c r="H49" s="25" t="n">
        <f aca="false">parametros_recargas!$E$87*'Plan mensual'!J53+parametros_recargas!$F$87*'Plan mensual'!J54+parametros_recargas!$G$87*'Plan mensual'!J55+parametros_recargas!$H$87*'Plan mensual'!J56+parametros_recargas!$I$87*'Plan mensual'!J57+parametros_recargas!$J$87*'Plan mensual'!J58+parametros_recargas!$K$87*'Plan mensual'!J59+parametros_recargas!$L$87*'Plan mensual'!J60</f>
        <v>1652.40537100783</v>
      </c>
      <c r="I49" s="25" t="n">
        <f aca="false">parametros_recargas!$E$87*'Plan mensual'!K53+parametros_recargas!$F$87*'Plan mensual'!K54+parametros_recargas!$G$87*'Plan mensual'!K55+parametros_recargas!$H$87*'Plan mensual'!K56+parametros_recargas!$I$87*'Plan mensual'!K57+parametros_recargas!$J$87*'Plan mensual'!K58+parametros_recargas!$K$87*'Plan mensual'!K59+parametros_recargas!$L$87*'Plan mensual'!K60</f>
        <v>1750.93773062244</v>
      </c>
      <c r="J49" s="25" t="n">
        <f aca="false">parametros_recargas!$E$87*'Plan mensual'!L53+parametros_recargas!$F$87*'Plan mensual'!L54+parametros_recargas!$G$87*'Plan mensual'!L55+parametros_recargas!$H$87*'Plan mensual'!L56+parametros_recargas!$I$87*'Plan mensual'!L57+parametros_recargas!$J$87*'Plan mensual'!L58+parametros_recargas!$K$87*'Plan mensual'!L59+parametros_recargas!$L$87*'Plan mensual'!L60</f>
        <v>1855.35147283605</v>
      </c>
      <c r="K49" s="25" t="n">
        <f aca="false">parametros_recargas!$E$87*'Plan mensual'!M53+parametros_recargas!$F$87*'Plan mensual'!M54+parametros_recargas!$G$87*'Plan mensual'!M55+parametros_recargas!$H$87*'Plan mensual'!M56+parametros_recargas!$I$87*'Plan mensual'!M57+parametros_recargas!$J$87*'Plan mensual'!M58+parametros_recargas!$K$87*'Plan mensual'!M59+parametros_recargas!$L$87*'Plan mensual'!M60</f>
        <v>1965.99765654355</v>
      </c>
      <c r="L49" s="25" t="n">
        <f aca="false">parametros_recargas!$E$87*'Plan mensual'!N53+parametros_recargas!$F$87*'Plan mensual'!N54+parametros_recargas!$G$87*'Plan mensual'!N55+parametros_recargas!$H$87*'Plan mensual'!N56+parametros_recargas!$I$87*'Plan mensual'!N57+parametros_recargas!$J$87*'Plan mensual'!N58+parametros_recargas!$K$87*'Plan mensual'!N59+parametros_recargas!$L$87*'Plan mensual'!N60</f>
        <v>2083.24829529556</v>
      </c>
      <c r="M49" s="25" t="n">
        <f aca="false">parametros_recargas!$E$87*'Plan mensual'!O53+parametros_recargas!$F$87*'Plan mensual'!O54+parametros_recargas!$G$87*'Plan mensual'!O55+parametros_recargas!$H$87*'Plan mensual'!O56+parametros_recargas!$I$87*'Plan mensual'!O57+parametros_recargas!$J$87*'Plan mensual'!O58+parametros_recargas!$K$87*'Plan mensual'!O59+parametros_recargas!$L$87*'Plan mensual'!O60</f>
        <v>2207.49760807889</v>
      </c>
      <c r="N49" s="7" t="n">
        <f aca="false">SUM(B49:M49)</f>
        <v>19650.5714091647</v>
      </c>
      <c r="O49" s="26" t="n">
        <f aca="false">MAX(B49:M49)</f>
        <v>2207.49760807889</v>
      </c>
      <c r="P49" s="15" t="n">
        <f aca="false">O49/parametros_recargas!$B$6</f>
        <v>14.7166507205259</v>
      </c>
    </row>
    <row r="50" customFormat="false" ht="15" hidden="false" customHeight="false" outlineLevel="0" collapsed="false">
      <c r="A50" s="12" t="str">
        <f aca="false">parametros_recargas!$B$88</f>
        <v>Carga de polvo BC</v>
      </c>
      <c r="B50" s="25" t="n">
        <f aca="false">parametros_recargas!$E$88*'Plan mensual'!D53+parametros_recargas!$F$88*'Plan mensual'!D54+parametros_recargas!$G$88*'Plan mensual'!D55+parametros_recargas!$H$88*'Plan mensual'!D56+parametros_recargas!$I$88*'Plan mensual'!D57+parametros_recargas!$J$88*'Plan mensual'!D58+parametros_recargas!$K$88*'Plan mensual'!D59+parametros_recargas!$L$88*'Plan mensual'!D60</f>
        <v>2.07300467620037</v>
      </c>
      <c r="C50" s="25" t="n">
        <f aca="false">parametros_recargas!$E$88*'Plan mensual'!E53+parametros_recargas!$F$88*'Plan mensual'!E54+parametros_recargas!$G$88*'Plan mensual'!E55+parametros_recargas!$H$88*'Plan mensual'!E56+parametros_recargas!$I$88*'Plan mensual'!E57+parametros_recargas!$J$88*'Plan mensual'!E58+parametros_recargas!$K$88*'Plan mensual'!E59+parametros_recargas!$L$88*'Plan mensual'!E60</f>
        <v>2.19176787703566</v>
      </c>
      <c r="D50" s="25" t="n">
        <f aca="false">parametros_recargas!$E$88*'Plan mensual'!F53+parametros_recargas!$F$88*'Plan mensual'!F54+parametros_recargas!$G$88*'Plan mensual'!F55+parametros_recargas!$H$88*'Plan mensual'!F56+parametros_recargas!$I$88*'Plan mensual'!F57+parametros_recargas!$J$88*'Plan mensual'!F58+parametros_recargas!$K$88*'Plan mensual'!F59+parametros_recargas!$L$88*'Plan mensual'!F60</f>
        <v>2.31762003651892</v>
      </c>
      <c r="E50" s="25" t="n">
        <f aca="false">parametros_recargas!$E$88*'Plan mensual'!G53+parametros_recargas!$F$88*'Plan mensual'!G54+parametros_recargas!$G$88*'Plan mensual'!G55+parametros_recargas!$H$88*'Plan mensual'!G56+parametros_recargas!$I$88*'Plan mensual'!G57+parametros_recargas!$J$88*'Plan mensual'!G58+parametros_recargas!$K$88*'Plan mensual'!G59+parametros_recargas!$L$88*'Plan mensual'!G60</f>
        <v>2.45098429358848</v>
      </c>
      <c r="F50" s="25" t="n">
        <f aca="false">parametros_recargas!$E$88*'Plan mensual'!H53+parametros_recargas!$F$88*'Plan mensual'!H54+parametros_recargas!$G$88*'Plan mensual'!H55+parametros_recargas!$H$88*'Plan mensual'!H56+parametros_recargas!$I$88*'Plan mensual'!H57+parametros_recargas!$J$88*'Plan mensual'!H58+parametros_recargas!$K$88*'Plan mensual'!H59+parametros_recargas!$L$88*'Plan mensual'!H60</f>
        <v>2.59230904428598</v>
      </c>
      <c r="G50" s="25" t="n">
        <f aca="false">parametros_recargas!$E$88*'Plan mensual'!I53+parametros_recargas!$F$88*'Plan mensual'!I54+parametros_recargas!$G$88*'Plan mensual'!I55+parametros_recargas!$H$88*'Plan mensual'!I56+parametros_recargas!$I$88*'Plan mensual'!I57+parametros_recargas!$J$88*'Plan mensual'!I58+parametros_recargas!$K$88*'Plan mensual'!I59+parametros_recargas!$L$88*'Plan mensual'!I60</f>
        <v>2.74206944934934</v>
      </c>
      <c r="H50" s="25" t="n">
        <f aca="false">parametros_recargas!$E$88*'Plan mensual'!J53+parametros_recargas!$F$88*'Plan mensual'!J54+parametros_recargas!$G$88*'Plan mensual'!J55+parametros_recargas!$H$88*'Plan mensual'!J56+parametros_recargas!$I$88*'Plan mensual'!J57+parametros_recargas!$J$88*'Plan mensual'!J58+parametros_recargas!$K$88*'Plan mensual'!J59+parametros_recargas!$L$88*'Plan mensual'!J60</f>
        <v>2.90076903179366</v>
      </c>
      <c r="I50" s="25" t="n">
        <f aca="false">parametros_recargas!$E$88*'Plan mensual'!K53+parametros_recargas!$F$88*'Plan mensual'!K54+parametros_recargas!$G$88*'Plan mensual'!K55+parametros_recargas!$H$88*'Plan mensual'!K56+parametros_recargas!$I$88*'Plan mensual'!K57+parametros_recargas!$J$88*'Plan mensual'!K58+parametros_recargas!$K$88*'Plan mensual'!K59+parametros_recargas!$L$88*'Plan mensual'!K60</f>
        <v>3.06894136985156</v>
      </c>
      <c r="J50" s="25" t="n">
        <f aca="false">parametros_recargas!$E$88*'Plan mensual'!L53+parametros_recargas!$F$88*'Plan mensual'!L54+parametros_recargas!$G$88*'Plan mensual'!L55+parametros_recargas!$H$88*'Plan mensual'!L56+parametros_recargas!$I$88*'Plan mensual'!L57+parametros_recargas!$J$88*'Plan mensual'!L58+parametros_recargas!$K$88*'Plan mensual'!L59+parametros_recargas!$L$88*'Plan mensual'!L60</f>
        <v>3.24715189096483</v>
      </c>
      <c r="K50" s="25" t="n">
        <f aca="false">parametros_recargas!$E$88*'Plan mensual'!M53+parametros_recargas!$F$88*'Plan mensual'!M54+parametros_recargas!$G$88*'Plan mensual'!M55+parametros_recargas!$H$88*'Plan mensual'!M56+parametros_recargas!$I$88*'Plan mensual'!M57+parametros_recargas!$J$88*'Plan mensual'!M58+parametros_recargas!$K$88*'Plan mensual'!M59+parametros_recargas!$L$88*'Plan mensual'!M60</f>
        <v>3.43599977285921</v>
      </c>
      <c r="L50" s="25" t="n">
        <f aca="false">parametros_recargas!$E$88*'Plan mensual'!N53+parametros_recargas!$F$88*'Plan mensual'!N54+parametros_recargas!$G$88*'Plan mensual'!N55+parametros_recargas!$H$88*'Plan mensual'!N56+parametros_recargas!$I$88*'Plan mensual'!N57+parametros_recargas!$J$88*'Plan mensual'!N58+parametros_recargas!$K$88*'Plan mensual'!N59+parametros_recargas!$L$88*'Plan mensual'!N60</f>
        <v>3.63611995809412</v>
      </c>
      <c r="M50" s="25" t="n">
        <f aca="false">parametros_recargas!$E$88*'Plan mensual'!O53+parametros_recargas!$F$88*'Plan mensual'!O54+parametros_recargas!$G$88*'Plan mensual'!O55+parametros_recargas!$H$88*'Plan mensual'!O56+parametros_recargas!$I$88*'Plan mensual'!O57+parametros_recargas!$J$88*'Plan mensual'!O58+parametros_recargas!$K$88*'Plan mensual'!O59+parametros_recargas!$L$88*'Plan mensual'!O60</f>
        <v>3.84818528886045</v>
      </c>
      <c r="N50" s="7" t="n">
        <f aca="false">SUM(B50:M50)</f>
        <v>34.5049226894026</v>
      </c>
      <c r="O50" s="26" t="n">
        <f aca="false">MAX(B50:M50)</f>
        <v>3.84818528886045</v>
      </c>
      <c r="P50" s="15" t="n">
        <f aca="false">O50/parametros_recargas!$B$6</f>
        <v>0.025654568592403</v>
      </c>
    </row>
    <row r="51" customFormat="false" ht="15" hidden="false" customHeight="false" outlineLevel="0" collapsed="false">
      <c r="A51" s="12" t="str">
        <f aca="false">parametros_recargas!$B$89</f>
        <v>Descarga y carga Clase D</v>
      </c>
      <c r="B51" s="25" t="n">
        <f aca="false">parametros_recargas!$E$89*'Plan mensual'!D53+parametros_recargas!$F$89*'Plan mensual'!D54+parametros_recargas!$G$89*'Plan mensual'!D55+parametros_recargas!$H$89*'Plan mensual'!D56+parametros_recargas!$I$89*'Plan mensual'!D57+parametros_recargas!$J$89*'Plan mensual'!D58+parametros_recargas!$K$89*'Plan mensual'!D59+parametros_recargas!$L$89*'Plan mensual'!D60</f>
        <v>2.07300467620037</v>
      </c>
      <c r="C51" s="25" t="n">
        <f aca="false">parametros_recargas!$E$89*'Plan mensual'!E53+parametros_recargas!$F$89*'Plan mensual'!E54+parametros_recargas!$G$89*'Plan mensual'!E55+parametros_recargas!$H$89*'Plan mensual'!E56+parametros_recargas!$I$89*'Plan mensual'!E57+parametros_recargas!$J$89*'Plan mensual'!E58+parametros_recargas!$K$89*'Plan mensual'!E59+parametros_recargas!$L$89*'Plan mensual'!E60</f>
        <v>2.19176787703566</v>
      </c>
      <c r="D51" s="25" t="n">
        <f aca="false">parametros_recargas!$E$89*'Plan mensual'!F53+parametros_recargas!$F$89*'Plan mensual'!F54+parametros_recargas!$G$89*'Plan mensual'!F55+parametros_recargas!$H$89*'Plan mensual'!F56+parametros_recargas!$I$89*'Plan mensual'!F57+parametros_recargas!$J$89*'Plan mensual'!F58+parametros_recargas!$K$89*'Plan mensual'!F59+parametros_recargas!$L$89*'Plan mensual'!F60</f>
        <v>2.31762003651892</v>
      </c>
      <c r="E51" s="25" t="n">
        <f aca="false">parametros_recargas!$E$89*'Plan mensual'!G53+parametros_recargas!$F$89*'Plan mensual'!G54+parametros_recargas!$G$89*'Plan mensual'!G55+parametros_recargas!$H$89*'Plan mensual'!G56+parametros_recargas!$I$89*'Plan mensual'!G57+parametros_recargas!$J$89*'Plan mensual'!G58+parametros_recargas!$K$89*'Plan mensual'!G59+parametros_recargas!$L$89*'Plan mensual'!G60</f>
        <v>2.45098429358848</v>
      </c>
      <c r="F51" s="25" t="n">
        <f aca="false">parametros_recargas!$E$89*'Plan mensual'!H53+parametros_recargas!$F$89*'Plan mensual'!H54+parametros_recargas!$G$89*'Plan mensual'!H55+parametros_recargas!$H$89*'Plan mensual'!H56+parametros_recargas!$I$89*'Plan mensual'!H57+parametros_recargas!$J$89*'Plan mensual'!H58+parametros_recargas!$K$89*'Plan mensual'!H59+parametros_recargas!$L$89*'Plan mensual'!H60</f>
        <v>2.59230904428598</v>
      </c>
      <c r="G51" s="25" t="n">
        <f aca="false">parametros_recargas!$E$89*'Plan mensual'!I53+parametros_recargas!$F$89*'Plan mensual'!I54+parametros_recargas!$G$89*'Plan mensual'!I55+parametros_recargas!$H$89*'Plan mensual'!I56+parametros_recargas!$I$89*'Plan mensual'!I57+parametros_recargas!$J$89*'Plan mensual'!I58+parametros_recargas!$K$89*'Plan mensual'!I59+parametros_recargas!$L$89*'Plan mensual'!I60</f>
        <v>2.74206944934934</v>
      </c>
      <c r="H51" s="25" t="n">
        <f aca="false">parametros_recargas!$E$89*'Plan mensual'!J53+parametros_recargas!$F$89*'Plan mensual'!J54+parametros_recargas!$G$89*'Plan mensual'!J55+parametros_recargas!$H$89*'Plan mensual'!J56+parametros_recargas!$I$89*'Plan mensual'!J57+parametros_recargas!$J$89*'Plan mensual'!J58+parametros_recargas!$K$89*'Plan mensual'!J59+parametros_recargas!$L$89*'Plan mensual'!J60</f>
        <v>2.90076903179366</v>
      </c>
      <c r="I51" s="25" t="n">
        <f aca="false">parametros_recargas!$E$89*'Plan mensual'!K53+parametros_recargas!$F$89*'Plan mensual'!K54+parametros_recargas!$G$89*'Plan mensual'!K55+parametros_recargas!$H$89*'Plan mensual'!K56+parametros_recargas!$I$89*'Plan mensual'!K57+parametros_recargas!$J$89*'Plan mensual'!K58+parametros_recargas!$K$89*'Plan mensual'!K59+parametros_recargas!$L$89*'Plan mensual'!K60</f>
        <v>3.06894136985156</v>
      </c>
      <c r="J51" s="25" t="n">
        <f aca="false">parametros_recargas!$E$89*'Plan mensual'!L53+parametros_recargas!$F$89*'Plan mensual'!L54+parametros_recargas!$G$89*'Plan mensual'!L55+parametros_recargas!$H$89*'Plan mensual'!L56+parametros_recargas!$I$89*'Plan mensual'!L57+parametros_recargas!$J$89*'Plan mensual'!L58+parametros_recargas!$K$89*'Plan mensual'!L59+parametros_recargas!$L$89*'Plan mensual'!L60</f>
        <v>3.24715189096483</v>
      </c>
      <c r="K51" s="25" t="n">
        <f aca="false">parametros_recargas!$E$89*'Plan mensual'!M53+parametros_recargas!$F$89*'Plan mensual'!M54+parametros_recargas!$G$89*'Plan mensual'!M55+parametros_recargas!$H$89*'Plan mensual'!M56+parametros_recargas!$I$89*'Plan mensual'!M57+parametros_recargas!$J$89*'Plan mensual'!M58+parametros_recargas!$K$89*'Plan mensual'!M59+parametros_recargas!$L$89*'Plan mensual'!M60</f>
        <v>3.43599977285921</v>
      </c>
      <c r="L51" s="25" t="n">
        <f aca="false">parametros_recargas!$E$89*'Plan mensual'!N53+parametros_recargas!$F$89*'Plan mensual'!N54+parametros_recargas!$G$89*'Plan mensual'!N55+parametros_recargas!$H$89*'Plan mensual'!N56+parametros_recargas!$I$89*'Plan mensual'!N57+parametros_recargas!$J$89*'Plan mensual'!N58+parametros_recargas!$K$89*'Plan mensual'!N59+parametros_recargas!$L$89*'Plan mensual'!N60</f>
        <v>3.63611995809412</v>
      </c>
      <c r="M51" s="25" t="n">
        <f aca="false">parametros_recargas!$E$89*'Plan mensual'!O53+parametros_recargas!$F$89*'Plan mensual'!O54+parametros_recargas!$G$89*'Plan mensual'!O55+parametros_recargas!$H$89*'Plan mensual'!O56+parametros_recargas!$I$89*'Plan mensual'!O57+parametros_recargas!$J$89*'Plan mensual'!O58+parametros_recargas!$K$89*'Plan mensual'!O59+parametros_recargas!$L$89*'Plan mensual'!O60</f>
        <v>3.84818528886045</v>
      </c>
      <c r="N51" s="7" t="n">
        <f aca="false">SUM(B51:M51)</f>
        <v>34.5049226894026</v>
      </c>
      <c r="O51" s="26" t="n">
        <f aca="false">MAX(B51:M51)</f>
        <v>3.84818528886045</v>
      </c>
      <c r="P51" s="15" t="n">
        <f aca="false">O51/parametros_recargas!$B$6</f>
        <v>0.025654568592403</v>
      </c>
    </row>
    <row r="52" customFormat="false" ht="15" hidden="false" customHeight="false" outlineLevel="0" collapsed="false">
      <c r="A52" s="12" t="str">
        <f aca="false">parametros_recargas!$B$90</f>
        <v>Carga de agua / AFFF / sales K</v>
      </c>
      <c r="B52" s="25" t="n">
        <f aca="false">parametros_recargas!$E$90*'Plan mensual'!D53+parametros_recargas!$F$90*'Plan mensual'!D54+parametros_recargas!$G$90*'Plan mensual'!D55+parametros_recargas!$H$90*'Plan mensual'!D56+parametros_recargas!$I$90*'Plan mensual'!D57+parametros_recargas!$J$90*'Plan mensual'!D58+parametros_recargas!$K$90*'Plan mensual'!D59+parametros_recargas!$L$90*'Plan mensual'!D60</f>
        <v>59.2439929268892</v>
      </c>
      <c r="C52" s="25" t="n">
        <f aca="false">parametros_recargas!$E$90*'Plan mensual'!E53+parametros_recargas!$F$90*'Plan mensual'!E54+parametros_recargas!$G$90*'Plan mensual'!E55+parametros_recargas!$H$90*'Plan mensual'!E56+parametros_recargas!$I$90*'Plan mensual'!E57+parametros_recargas!$J$90*'Plan mensual'!E58+parametros_recargas!$K$90*'Plan mensual'!E59+parametros_recargas!$L$90*'Plan mensual'!E60</f>
        <v>62.7504135500007</v>
      </c>
      <c r="D52" s="25" t="n">
        <f aca="false">parametros_recargas!$E$90*'Plan mensual'!F53+parametros_recargas!$F$90*'Plan mensual'!F54+parametros_recargas!$G$90*'Plan mensual'!F55+parametros_recargas!$H$90*'Plan mensual'!F56+parametros_recargas!$I$90*'Plan mensual'!F57+parametros_recargas!$J$90*'Plan mensual'!F58+parametros_recargas!$K$90*'Plan mensual'!F59+parametros_recargas!$L$90*'Plan mensual'!F60</f>
        <v>66.4661319238028</v>
      </c>
      <c r="E52" s="25" t="n">
        <f aca="false">parametros_recargas!$E$90*'Plan mensual'!G53+parametros_recargas!$F$90*'Plan mensual'!G54+parametros_recargas!$G$90*'Plan mensual'!G55+parametros_recargas!$H$90*'Plan mensual'!G56+parametros_recargas!$I$90*'Plan mensual'!G57+parametros_recargas!$J$90*'Plan mensual'!G58+parametros_recargas!$K$90*'Plan mensual'!G59+parametros_recargas!$L$90*'Plan mensual'!G60</f>
        <v>70.4036410014099</v>
      </c>
      <c r="F52" s="25" t="n">
        <f aca="false">parametros_recargas!$E$90*'Plan mensual'!H53+parametros_recargas!$F$90*'Plan mensual'!H54+parametros_recargas!$G$90*'Plan mensual'!H55+parametros_recargas!$H$90*'Plan mensual'!H56+parametros_recargas!$I$90*'Plan mensual'!H57+parametros_recargas!$J$90*'Plan mensual'!H58+parametros_recargas!$K$90*'Plan mensual'!H59+parametros_recargas!$L$90*'Plan mensual'!H60</f>
        <v>74.5761794385396</v>
      </c>
      <c r="G52" s="25" t="n">
        <f aca="false">parametros_recargas!$E$90*'Plan mensual'!I53+parametros_recargas!$F$90*'Plan mensual'!I54+parametros_recargas!$G$90*'Plan mensual'!I55+parametros_recargas!$H$90*'Plan mensual'!I56+parametros_recargas!$I$90*'Plan mensual'!I57+parametros_recargas!$J$90*'Plan mensual'!I58+parametros_recargas!$K$90*'Plan mensual'!I59+parametros_recargas!$L$90*'Plan mensual'!I60</f>
        <v>78.9977761043956</v>
      </c>
      <c r="H52" s="25" t="n">
        <f aca="false">parametros_recargas!$E$90*'Plan mensual'!J53+parametros_recargas!$F$90*'Plan mensual'!J54+parametros_recargas!$G$90*'Plan mensual'!J55+parametros_recargas!$H$90*'Plan mensual'!J56+parametros_recargas!$I$90*'Plan mensual'!J57+parametros_recargas!$J$90*'Plan mensual'!J58+parametros_recargas!$K$90*'Plan mensual'!J59+parametros_recargas!$L$90*'Plan mensual'!J60</f>
        <v>83.6832972493985</v>
      </c>
      <c r="I52" s="25" t="n">
        <f aca="false">parametros_recargas!$E$90*'Plan mensual'!K53+parametros_recargas!$F$90*'Plan mensual'!K54+parametros_recargas!$G$90*'Plan mensual'!K55+parametros_recargas!$H$90*'Plan mensual'!K56+parametros_recargas!$I$90*'Plan mensual'!K57+parametros_recargas!$J$90*'Plan mensual'!K58+parametros_recargas!$K$90*'Plan mensual'!K59+parametros_recargas!$L$90*'Plan mensual'!K60</f>
        <v>88.6484964883524</v>
      </c>
      <c r="J52" s="25" t="n">
        <f aca="false">parametros_recargas!$E$90*'Plan mensual'!L53+parametros_recargas!$F$90*'Plan mensual'!L54+parametros_recargas!$G$90*'Plan mensual'!L55+parametros_recargas!$H$90*'Plan mensual'!L56+parametros_recargas!$I$90*'Plan mensual'!L57+parametros_recargas!$J$90*'Plan mensual'!L58+parametros_recargas!$K$90*'Plan mensual'!L59+parametros_recargas!$L$90*'Plan mensual'!L60</f>
        <v>93.9100677670992</v>
      </c>
      <c r="K52" s="25" t="n">
        <f aca="false">parametros_recargas!$E$90*'Plan mensual'!M53+parametros_recargas!$F$90*'Plan mensual'!M54+parametros_recargas!$G$90*'Plan mensual'!M55+parametros_recargas!$H$90*'Plan mensual'!M56+parametros_recargas!$I$90*'Plan mensual'!M57+parametros_recargas!$J$90*'Plan mensual'!M58+parametros_recargas!$K$90*'Plan mensual'!M59+parametros_recargas!$L$90*'Plan mensual'!M60</f>
        <v>99.4857014907453</v>
      </c>
      <c r="L52" s="25" t="n">
        <f aca="false">parametros_recargas!$E$90*'Plan mensual'!N53+parametros_recargas!$F$90*'Plan mensual'!N54+parametros_recargas!$G$90*'Plan mensual'!N55+parametros_recargas!$H$90*'Plan mensual'!N56+parametros_recargas!$I$90*'Plan mensual'!N57+parametros_recargas!$J$90*'Plan mensual'!N58+parametros_recargas!$K$90*'Plan mensual'!N59+parametros_recargas!$L$90*'Plan mensual'!N60</f>
        <v>105.394144002174</v>
      </c>
      <c r="M52" s="25" t="n">
        <f aca="false">parametros_recargas!$E$90*'Plan mensual'!O53+parametros_recargas!$F$90*'Plan mensual'!O54+parametros_recargas!$G$90*'Plan mensual'!O55+parametros_recargas!$H$90*'Plan mensual'!O56+parametros_recargas!$I$90*'Plan mensual'!O57+parametros_recargas!$J$90*'Plan mensual'!O58+parametros_recargas!$K$90*'Plan mensual'!O59+parametros_recargas!$L$90*'Plan mensual'!O60</f>
        <v>111.655260610822</v>
      </c>
      <c r="N52" s="7" t="n">
        <f aca="false">SUM(B52:M52)</f>
        <v>995.215102553629</v>
      </c>
      <c r="O52" s="26" t="n">
        <f aca="false">MAX(B52:M52)</f>
        <v>111.655260610822</v>
      </c>
      <c r="P52" s="15" t="n">
        <f aca="false">O52/parametros_recargas!$B$6</f>
        <v>0.744368404072148</v>
      </c>
    </row>
    <row r="53" customFormat="false" ht="15" hidden="false" customHeight="false" outlineLevel="0" collapsed="false">
      <c r="A53" s="12" t="str">
        <f aca="false">parametros_recargas!$B$91</f>
        <v>Carga de CO₂</v>
      </c>
      <c r="B53" s="25" t="n">
        <f aca="false">parametros_recargas!$E$91*'Plan mensual'!D53+parametros_recargas!$F$91*'Plan mensual'!D54+parametros_recargas!$G$91*'Plan mensual'!D55+parametros_recargas!$H$91*'Plan mensual'!D56+parametros_recargas!$I$91*'Plan mensual'!D57+parametros_recargas!$J$91*'Plan mensual'!D58+parametros_recargas!$K$91*'Plan mensual'!D59+parametros_recargas!$L$91*'Plan mensual'!D60</f>
        <v>29.7822076191285</v>
      </c>
      <c r="C53" s="25" t="n">
        <f aca="false">parametros_recargas!$E$91*'Plan mensual'!E53+parametros_recargas!$F$91*'Plan mensual'!E54+parametros_recargas!$G$91*'Plan mensual'!E55+parametros_recargas!$H$91*'Plan mensual'!E56+parametros_recargas!$I$91*'Plan mensual'!E57+parametros_recargas!$J$91*'Plan mensual'!E58+parametros_recargas!$K$91*'Plan mensual'!E59+parametros_recargas!$L$91*'Plan mensual'!E60</f>
        <v>31.5539343906593</v>
      </c>
      <c r="D53" s="25" t="n">
        <f aca="false">parametros_recargas!$E$91*'Plan mensual'!F53+parametros_recargas!$F$91*'Plan mensual'!F54+parametros_recargas!$G$91*'Plan mensual'!F55+parametros_recargas!$H$91*'Plan mensual'!F56+parametros_recargas!$I$91*'Plan mensual'!F57+parametros_recargas!$J$91*'Plan mensual'!F58+parametros_recargas!$K$91*'Plan mensual'!F59+parametros_recargas!$L$91*'Plan mensual'!F60</f>
        <v>33.4314152824106</v>
      </c>
      <c r="E53" s="25" t="n">
        <f aca="false">parametros_recargas!$E$91*'Plan mensual'!G53+parametros_recargas!$F$91*'Plan mensual'!G54+parametros_recargas!$G$91*'Plan mensual'!G55+parametros_recargas!$H$91*'Plan mensual'!G56+parametros_recargas!$I$91*'Plan mensual'!G57+parametros_recargas!$J$91*'Plan mensual'!G58+parametros_recargas!$K$91*'Plan mensual'!G59+parametros_recargas!$L$91*'Plan mensual'!G60</f>
        <v>35.4209627428495</v>
      </c>
      <c r="F53" s="25" t="n">
        <f aca="false">parametros_recargas!$E$91*'Plan mensual'!H53+parametros_recargas!$F$91*'Plan mensual'!H54+parametros_recargas!$G$91*'Plan mensual'!H55+parametros_recargas!$H$91*'Plan mensual'!H56+parametros_recargas!$I$91*'Plan mensual'!H57+parametros_recargas!$J$91*'Plan mensual'!H58+parametros_recargas!$K$91*'Plan mensual'!H59+parametros_recargas!$L$91*'Plan mensual'!H60</f>
        <v>37.5292660095992</v>
      </c>
      <c r="G53" s="25" t="n">
        <f aca="false">parametros_recargas!$E$91*'Plan mensual'!I53+parametros_recargas!$F$91*'Plan mensual'!I54+parametros_recargas!$G$91*'Plan mensual'!I55+parametros_recargas!$H$91*'Plan mensual'!I56+parametros_recargas!$I$91*'Plan mensual'!I57+parametros_recargas!$J$91*'Plan mensual'!I58+parametros_recargas!$K$91*'Plan mensual'!I59+parametros_recargas!$L$91*'Plan mensual'!I60</f>
        <v>39.7634135999294</v>
      </c>
      <c r="H53" s="25" t="n">
        <f aca="false">parametros_recargas!$E$91*'Plan mensual'!J53+parametros_recargas!$F$91*'Plan mensual'!J54+parametros_recargas!$G$91*'Plan mensual'!J55+parametros_recargas!$H$91*'Plan mensual'!J56+parametros_recargas!$I$91*'Plan mensual'!J57+parametros_recargas!$J$91*'Plan mensual'!J58+parametros_recargas!$K$91*'Plan mensual'!J59+parametros_recargas!$L$91*'Plan mensual'!J60</f>
        <v>42.1309171437025</v>
      </c>
      <c r="I53" s="25" t="n">
        <f aca="false">parametros_recargas!$E$91*'Plan mensual'!K53+parametros_recargas!$F$91*'Plan mensual'!K54+parametros_recargas!$G$91*'Plan mensual'!K55+parametros_recargas!$H$91*'Plan mensual'!K56+parametros_recargas!$I$91*'Plan mensual'!K57+parametros_recargas!$J$91*'Plan mensual'!K58+parametros_recargas!$K$91*'Plan mensual'!K59+parametros_recargas!$L$91*'Plan mensual'!K60</f>
        <v>44.6397366389041</v>
      </c>
      <c r="J53" s="25" t="n">
        <f aca="false">parametros_recargas!$E$91*'Plan mensual'!L53+parametros_recargas!$F$91*'Plan mensual'!L54+parametros_recargas!$G$91*'Plan mensual'!L55+parametros_recargas!$H$91*'Plan mensual'!L56+parametros_recargas!$I$91*'Plan mensual'!L57+parametros_recargas!$J$91*'Plan mensual'!L58+parametros_recargas!$K$91*'Plan mensual'!L59+parametros_recargas!$L$91*'Plan mensual'!L60</f>
        <v>47.2983072146731</v>
      </c>
      <c r="K53" s="25" t="n">
        <f aca="false">parametros_recargas!$E$91*'Plan mensual'!M53+parametros_recargas!$F$91*'Plan mensual'!M54+parametros_recargas!$G$91*'Plan mensual'!M55+parametros_recargas!$H$91*'Plan mensual'!M56+parametros_recargas!$I$91*'Plan mensual'!M57+parametros_recargas!$J$91*'Plan mensual'!M58+parametros_recargas!$K$91*'Plan mensual'!M59+parametros_recargas!$L$91*'Plan mensual'!M60</f>
        <v>50.1155674918124</v>
      </c>
      <c r="L53" s="25" t="n">
        <f aca="false">parametros_recargas!$E$91*'Plan mensual'!N53+parametros_recargas!$F$91*'Plan mensual'!N54+parametros_recargas!$G$91*'Plan mensual'!N55+parametros_recargas!$H$91*'Plan mensual'!N56+parametros_recargas!$I$91*'Plan mensual'!N57+parametros_recargas!$J$91*'Plan mensual'!N58+parametros_recargas!$K$91*'Plan mensual'!N59+parametros_recargas!$L$91*'Plan mensual'!N60</f>
        <v>53.1009896361359</v>
      </c>
      <c r="M53" s="25" t="n">
        <f aca="false">parametros_recargas!$E$91*'Plan mensual'!O53+parametros_recargas!$F$91*'Plan mensual'!O54+parametros_recargas!$G$91*'Plan mensual'!O55+parametros_recargas!$H$91*'Plan mensual'!O56+parametros_recargas!$I$91*'Plan mensual'!O57+parametros_recargas!$J$91*'Plan mensual'!O58+parametros_recargas!$K$91*'Plan mensual'!O59+parametros_recargas!$L$91*'Plan mensual'!O60</f>
        <v>56.2646112056938</v>
      </c>
      <c r="N53" s="7" t="n">
        <f aca="false">SUM(B53:M53)</f>
        <v>501.031328975498</v>
      </c>
      <c r="O53" s="26" t="n">
        <f aca="false">MAX(B53:M53)</f>
        <v>56.2646112056938</v>
      </c>
      <c r="P53" s="15" t="n">
        <f aca="false">O53/parametros_recargas!$B$6</f>
        <v>0.375097408037959</v>
      </c>
    </row>
    <row r="54" customFormat="false" ht="15" hidden="false" customHeight="false" outlineLevel="0" collapsed="false">
      <c r="A54" s="12" t="str">
        <f aca="false">parametros_recargas!$B$92</f>
        <v>Ensamblaje y marbete — recinto</v>
      </c>
      <c r="B54" s="25" t="n">
        <f aca="false">parametros_recargas!$E$92*'Plan mensual'!D53+parametros_recargas!$F$92*'Plan mensual'!D54+parametros_recargas!$G$92*'Plan mensual'!D55+parametros_recargas!$H$92*'Plan mensual'!D56+parametros_recargas!$I$92*'Plan mensual'!D57+parametros_recargas!$J$92*'Plan mensual'!D58+parametros_recargas!$K$92*'Plan mensual'!D59+parametros_recargas!$L$92*'Plan mensual'!D60</f>
        <v>1171.56332522961</v>
      </c>
      <c r="C54" s="25" t="n">
        <f aca="false">parametros_recargas!$E$92*'Plan mensual'!E53+parametros_recargas!$F$92*'Plan mensual'!E54+parametros_recargas!$G$92*'Plan mensual'!E55+parametros_recargas!$H$92*'Plan mensual'!E56+parametros_recargas!$I$92*'Plan mensual'!E57+parametros_recargas!$J$92*'Plan mensual'!E58+parametros_recargas!$K$92*'Plan mensual'!E59+parametros_recargas!$L$92*'Plan mensual'!E60</f>
        <v>1241.38434288092</v>
      </c>
      <c r="D54" s="25" t="n">
        <f aca="false">parametros_recargas!$E$92*'Plan mensual'!F53+parametros_recargas!$F$92*'Plan mensual'!F54+parametros_recargas!$G$92*'Plan mensual'!F55+parametros_recargas!$H$92*'Plan mensual'!F56+parametros_recargas!$I$92*'Plan mensual'!F57+parametros_recargas!$J$92*'Plan mensual'!F58+parametros_recargas!$K$92*'Plan mensual'!F59+parametros_recargas!$L$92*'Plan mensual'!F60</f>
        <v>1315.3729671933</v>
      </c>
      <c r="E54" s="25" t="n">
        <f aca="false">parametros_recargas!$E$92*'Plan mensual'!G53+parametros_recargas!$F$92*'Plan mensual'!G54+parametros_recargas!$G$92*'Plan mensual'!G55+parametros_recargas!$H$92*'Plan mensual'!G56+parametros_recargas!$I$92*'Plan mensual'!G57+parametros_recargas!$J$92*'Plan mensual'!G58+parametros_recargas!$K$92*'Plan mensual'!G59+parametros_recargas!$L$92*'Plan mensual'!G60</f>
        <v>1393.77796201844</v>
      </c>
      <c r="F54" s="25" t="n">
        <f aca="false">parametros_recargas!$E$92*'Plan mensual'!H53+parametros_recargas!$F$92*'Plan mensual'!H54+parametros_recargas!$G$92*'Plan mensual'!H55+parametros_recargas!$H$92*'Plan mensual'!H56+parametros_recargas!$I$92*'Plan mensual'!H57+parametros_recargas!$J$92*'Plan mensual'!H58+parametros_recargas!$K$92*'Plan mensual'!H59+parametros_recargas!$L$92*'Plan mensual'!H60</f>
        <v>1476.86293988716</v>
      </c>
      <c r="G54" s="25" t="n">
        <f aca="false">parametros_recargas!$E$92*'Plan mensual'!I53+parametros_recargas!$F$92*'Plan mensual'!I54+parametros_recargas!$G$92*'Plan mensual'!I55+parametros_recargas!$H$92*'Plan mensual'!I56+parametros_recargas!$I$92*'Plan mensual'!I57+parametros_recargas!$J$92*'Plan mensual'!I58+parametros_recargas!$K$92*'Plan mensual'!I59+parametros_recargas!$L$92*'Plan mensual'!I60</f>
        <v>1564.90724832491</v>
      </c>
      <c r="H54" s="25" t="n">
        <f aca="false">parametros_recargas!$E$92*'Plan mensual'!J53+parametros_recargas!$F$92*'Plan mensual'!J54+parametros_recargas!$G$92*'Plan mensual'!J55+parametros_recargas!$H$92*'Plan mensual'!J56+parametros_recargas!$I$92*'Plan mensual'!J57+parametros_recargas!$J$92*'Plan mensual'!J58+parametros_recargas!$K$92*'Plan mensual'!J59+parametros_recargas!$L$92*'Plan mensual'!J60</f>
        <v>1658.20690907142</v>
      </c>
      <c r="I54" s="25" t="n">
        <f aca="false">parametros_recargas!$E$92*'Plan mensual'!K53+parametros_recargas!$F$92*'Plan mensual'!K54+parametros_recargas!$G$92*'Plan mensual'!K55+parametros_recargas!$H$92*'Plan mensual'!K56+parametros_recargas!$I$92*'Plan mensual'!K57+parametros_recargas!$J$92*'Plan mensual'!K58+parametros_recargas!$K$92*'Plan mensual'!K59+parametros_recargas!$L$92*'Plan mensual'!K60</f>
        <v>1757.07561336214</v>
      </c>
      <c r="J54" s="25" t="n">
        <f aca="false">parametros_recargas!$E$92*'Plan mensual'!L53+parametros_recargas!$F$92*'Plan mensual'!L54+parametros_recargas!$G$92*'Plan mensual'!L55+parametros_recargas!$H$92*'Plan mensual'!L56+parametros_recargas!$I$92*'Plan mensual'!L57+parametros_recargas!$J$92*'Plan mensual'!L58+parametros_recargas!$K$92*'Plan mensual'!L59+parametros_recargas!$L$92*'Plan mensual'!L60</f>
        <v>1861.84577661798</v>
      </c>
      <c r="K54" s="25" t="n">
        <f aca="false">parametros_recargas!$E$92*'Plan mensual'!M53+parametros_recargas!$F$92*'Plan mensual'!M54+parametros_recargas!$G$92*'Plan mensual'!M55+parametros_recargas!$H$92*'Plan mensual'!M56+parametros_recargas!$I$92*'Plan mensual'!M57+parametros_recargas!$J$92*'Plan mensual'!M58+parametros_recargas!$K$92*'Plan mensual'!M59+parametros_recargas!$L$92*'Plan mensual'!M60</f>
        <v>1972.86965608927</v>
      </c>
      <c r="L54" s="25" t="n">
        <f aca="false">parametros_recargas!$E$92*'Plan mensual'!N53+parametros_recargas!$F$92*'Plan mensual'!N54+parametros_recargas!$G$92*'Plan mensual'!N55+parametros_recargas!$H$92*'Plan mensual'!N56+parametros_recargas!$I$92*'Plan mensual'!N57+parametros_recargas!$J$92*'Plan mensual'!N58+parametros_recargas!$K$92*'Plan mensual'!N59+parametros_recargas!$L$92*'Plan mensual'!N60</f>
        <v>2090.52053521175</v>
      </c>
      <c r="M54" s="25" t="n">
        <f aca="false">parametros_recargas!$E$92*'Plan mensual'!O53+parametros_recargas!$F$92*'Plan mensual'!O54+parametros_recargas!$G$92*'Plan mensual'!O55+parametros_recargas!$H$92*'Plan mensual'!O56+parametros_recargas!$I$92*'Plan mensual'!O57+parametros_recargas!$J$92*'Plan mensual'!O58+parametros_recargas!$K$92*'Plan mensual'!O59+parametros_recargas!$L$92*'Plan mensual'!O60</f>
        <v>2215.19397865661</v>
      </c>
      <c r="N54" s="7" t="n">
        <f aca="false">SUM(B54:M54)</f>
        <v>19719.5812545435</v>
      </c>
      <c r="O54" s="26" t="n">
        <f aca="false">MAX(B54:M54)</f>
        <v>2215.19397865661</v>
      </c>
      <c r="P54" s="15" t="n">
        <f aca="false">O54/parametros_recargas!$B$6</f>
        <v>14.7679598577107</v>
      </c>
    </row>
    <row r="55" customFormat="false" ht="15" hidden="false" customHeight="false" outlineLevel="0" collapsed="false">
      <c r="A55" s="12" t="str">
        <f aca="false">parametros_recargas!$B$93</f>
        <v>Presurización — recinto</v>
      </c>
      <c r="B55" s="25" t="n">
        <f aca="false">parametros_recargas!$E$93*'Plan mensual'!D53+parametros_recargas!$F$93*'Plan mensual'!D54+parametros_recargas!$G$93*'Plan mensual'!D55+parametros_recargas!$H$93*'Plan mensual'!D56+parametros_recargas!$I$93*'Plan mensual'!D57+parametros_recargas!$J$93*'Plan mensual'!D58+parametros_recargas!$K$93*'Plan mensual'!D59+parametros_recargas!$L$93*'Plan mensual'!D60</f>
        <v>1171.56332522961</v>
      </c>
      <c r="C55" s="25" t="n">
        <f aca="false">parametros_recargas!$E$93*'Plan mensual'!E53+parametros_recargas!$F$93*'Plan mensual'!E54+parametros_recargas!$G$93*'Plan mensual'!E55+parametros_recargas!$H$93*'Plan mensual'!E56+parametros_recargas!$I$93*'Plan mensual'!E57+parametros_recargas!$J$93*'Plan mensual'!E58+parametros_recargas!$K$93*'Plan mensual'!E59+parametros_recargas!$L$93*'Plan mensual'!E60</f>
        <v>1241.38434288092</v>
      </c>
      <c r="D55" s="25" t="n">
        <f aca="false">parametros_recargas!$E$93*'Plan mensual'!F53+parametros_recargas!$F$93*'Plan mensual'!F54+parametros_recargas!$G$93*'Plan mensual'!F55+parametros_recargas!$H$93*'Plan mensual'!F56+parametros_recargas!$I$93*'Plan mensual'!F57+parametros_recargas!$J$93*'Plan mensual'!F58+parametros_recargas!$K$93*'Plan mensual'!F59+parametros_recargas!$L$93*'Plan mensual'!F60</f>
        <v>1315.3729671933</v>
      </c>
      <c r="E55" s="25" t="n">
        <f aca="false">parametros_recargas!$E$93*'Plan mensual'!G53+parametros_recargas!$F$93*'Plan mensual'!G54+parametros_recargas!$G$93*'Plan mensual'!G55+parametros_recargas!$H$93*'Plan mensual'!G56+parametros_recargas!$I$93*'Plan mensual'!G57+parametros_recargas!$J$93*'Plan mensual'!G58+parametros_recargas!$K$93*'Plan mensual'!G59+parametros_recargas!$L$93*'Plan mensual'!G60</f>
        <v>1393.77796201844</v>
      </c>
      <c r="F55" s="25" t="n">
        <f aca="false">parametros_recargas!$E$93*'Plan mensual'!H53+parametros_recargas!$F$93*'Plan mensual'!H54+parametros_recargas!$G$93*'Plan mensual'!H55+parametros_recargas!$H$93*'Plan mensual'!H56+parametros_recargas!$I$93*'Plan mensual'!H57+parametros_recargas!$J$93*'Plan mensual'!H58+parametros_recargas!$K$93*'Plan mensual'!H59+parametros_recargas!$L$93*'Plan mensual'!H60</f>
        <v>1476.86293988716</v>
      </c>
      <c r="G55" s="25" t="n">
        <f aca="false">parametros_recargas!$E$93*'Plan mensual'!I53+parametros_recargas!$F$93*'Plan mensual'!I54+parametros_recargas!$G$93*'Plan mensual'!I55+parametros_recargas!$H$93*'Plan mensual'!I56+parametros_recargas!$I$93*'Plan mensual'!I57+parametros_recargas!$J$93*'Plan mensual'!I58+parametros_recargas!$K$93*'Plan mensual'!I59+parametros_recargas!$L$93*'Plan mensual'!I60</f>
        <v>1564.90724832491</v>
      </c>
      <c r="H55" s="25" t="n">
        <f aca="false">parametros_recargas!$E$93*'Plan mensual'!J53+parametros_recargas!$F$93*'Plan mensual'!J54+parametros_recargas!$G$93*'Plan mensual'!J55+parametros_recargas!$H$93*'Plan mensual'!J56+parametros_recargas!$I$93*'Plan mensual'!J57+parametros_recargas!$J$93*'Plan mensual'!J58+parametros_recargas!$K$93*'Plan mensual'!J59+parametros_recargas!$L$93*'Plan mensual'!J60</f>
        <v>1658.20690907142</v>
      </c>
      <c r="I55" s="25" t="n">
        <f aca="false">parametros_recargas!$E$93*'Plan mensual'!K53+parametros_recargas!$F$93*'Plan mensual'!K54+parametros_recargas!$G$93*'Plan mensual'!K55+parametros_recargas!$H$93*'Plan mensual'!K56+parametros_recargas!$I$93*'Plan mensual'!K57+parametros_recargas!$J$93*'Plan mensual'!K58+parametros_recargas!$K$93*'Plan mensual'!K59+parametros_recargas!$L$93*'Plan mensual'!K60</f>
        <v>1757.07561336214</v>
      </c>
      <c r="J55" s="25" t="n">
        <f aca="false">parametros_recargas!$E$93*'Plan mensual'!L53+parametros_recargas!$F$93*'Plan mensual'!L54+parametros_recargas!$G$93*'Plan mensual'!L55+parametros_recargas!$H$93*'Plan mensual'!L56+parametros_recargas!$I$93*'Plan mensual'!L57+parametros_recargas!$J$93*'Plan mensual'!L58+parametros_recargas!$K$93*'Plan mensual'!L59+parametros_recargas!$L$93*'Plan mensual'!L60</f>
        <v>1861.84577661798</v>
      </c>
      <c r="K55" s="25" t="n">
        <f aca="false">parametros_recargas!$E$93*'Plan mensual'!M53+parametros_recargas!$F$93*'Plan mensual'!M54+parametros_recargas!$G$93*'Plan mensual'!M55+parametros_recargas!$H$93*'Plan mensual'!M56+parametros_recargas!$I$93*'Plan mensual'!M57+parametros_recargas!$J$93*'Plan mensual'!M58+parametros_recargas!$K$93*'Plan mensual'!M59+parametros_recargas!$L$93*'Plan mensual'!M60</f>
        <v>1972.86965608927</v>
      </c>
      <c r="L55" s="25" t="n">
        <f aca="false">parametros_recargas!$E$93*'Plan mensual'!N53+parametros_recargas!$F$93*'Plan mensual'!N54+parametros_recargas!$G$93*'Plan mensual'!N55+parametros_recargas!$H$93*'Plan mensual'!N56+parametros_recargas!$I$93*'Plan mensual'!N57+parametros_recargas!$J$93*'Plan mensual'!N58+parametros_recargas!$K$93*'Plan mensual'!N59+parametros_recargas!$L$93*'Plan mensual'!N60</f>
        <v>2090.52053521175</v>
      </c>
      <c r="M55" s="25" t="n">
        <f aca="false">parametros_recargas!$E$93*'Plan mensual'!O53+parametros_recargas!$F$93*'Plan mensual'!O54+parametros_recargas!$G$93*'Plan mensual'!O55+parametros_recargas!$H$93*'Plan mensual'!O56+parametros_recargas!$I$93*'Plan mensual'!O57+parametros_recargas!$J$93*'Plan mensual'!O58+parametros_recargas!$K$93*'Plan mensual'!O59+parametros_recargas!$L$93*'Plan mensual'!O60</f>
        <v>2215.19397865661</v>
      </c>
      <c r="N55" s="7" t="n">
        <f aca="false">SUM(B55:M55)</f>
        <v>19719.5812545435</v>
      </c>
      <c r="O55" s="26" t="n">
        <f aca="false">MAX(B55:M55)</f>
        <v>2215.19397865661</v>
      </c>
      <c r="P55" s="15" t="n">
        <f aca="false">O55/parametros_recargas!$B$6</f>
        <v>14.7679598577107</v>
      </c>
    </row>
    <row r="56" customFormat="false" ht="15" hidden="false" customHeight="false" outlineLevel="0" collapsed="false">
      <c r="A56" s="12" t="str">
        <f aca="false">parametros_recargas!$B$94</f>
        <v>Ensamblaje y presurización — zona general</v>
      </c>
      <c r="B56" s="25" t="n">
        <f aca="false">parametros_recargas!$E$94*'Plan mensual'!D53+parametros_recargas!$F$94*'Plan mensual'!D54+parametros_recargas!$G$94*'Plan mensual'!D55+parametros_recargas!$H$94*'Plan mensual'!D56+parametros_recargas!$I$94*'Plan mensual'!D57+parametros_recargas!$J$94*'Plan mensual'!D58+parametros_recargas!$K$94*'Plan mensual'!D59+parametros_recargas!$L$94*'Plan mensual'!D60</f>
        <v>85.2676215220911</v>
      </c>
      <c r="C56" s="25" t="n">
        <f aca="false">parametros_recargas!$E$94*'Plan mensual'!E53+parametros_recargas!$F$94*'Plan mensual'!E54+parametros_recargas!$G$94*'Plan mensual'!E55+parametros_recargas!$H$94*'Plan mensual'!E56+parametros_recargas!$I$94*'Plan mensual'!E57+parametros_recargas!$J$94*'Plan mensual'!E58+parametros_recargas!$K$94*'Plan mensual'!E59+parametros_recargas!$L$94*'Plan mensual'!E60</f>
        <v>90.3211711590454</v>
      </c>
      <c r="D56" s="25" t="n">
        <f aca="false">parametros_recargas!$E$94*'Plan mensual'!F53+parametros_recargas!$F$94*'Plan mensual'!F54+parametros_recargas!$G$94*'Plan mensual'!F55+parametros_recargas!$H$94*'Plan mensual'!F56+parametros_recargas!$I$94*'Plan mensual'!F57+parametros_recargas!$J$94*'Plan mensual'!F58+parametros_recargas!$K$94*'Plan mensual'!F59+parametros_recargas!$L$94*'Plan mensual'!F60</f>
        <v>95.6763664585441</v>
      </c>
      <c r="E56" s="25" t="n">
        <f aca="false">parametros_recargas!$E$94*'Plan mensual'!G53+parametros_recargas!$F$94*'Plan mensual'!G54+parametros_recargas!$G$94*'Plan mensual'!G55+parametros_recargas!$H$94*'Plan mensual'!G56+parametros_recargas!$I$94*'Plan mensual'!G57+parametros_recargas!$J$94*'Plan mensual'!G58+parametros_recargas!$K$94*'Plan mensual'!G59+parametros_recargas!$L$94*'Plan mensual'!G60</f>
        <v>101.351212607489</v>
      </c>
      <c r="F56" s="25" t="n">
        <f aca="false">parametros_recargas!$E$94*'Plan mensual'!H53+parametros_recargas!$F$94*'Plan mensual'!H54+parametros_recargas!$G$94*'Plan mensual'!H55+parametros_recargas!$H$94*'Plan mensual'!H56+parametros_recargas!$I$94*'Plan mensual'!H57+parametros_recargas!$J$94*'Plan mensual'!H58+parametros_recargas!$K$94*'Plan mensual'!H59+parametros_recargas!$L$94*'Plan mensual'!H60</f>
        <v>107.36478951984</v>
      </c>
      <c r="G56" s="25" t="n">
        <f aca="false">parametros_recargas!$E$94*'Plan mensual'!I53+parametros_recargas!$F$94*'Plan mensual'!I54+parametros_recargas!$G$94*'Plan mensual'!I55+parametros_recargas!$H$94*'Plan mensual'!I56+parametros_recargas!$I$94*'Plan mensual'!I57+parametros_recargas!$J$94*'Plan mensual'!I58+parametros_recargas!$K$94*'Plan mensual'!I59+parametros_recargas!$L$94*'Plan mensual'!I60</f>
        <v>113.737315986921</v>
      </c>
      <c r="H56" s="25" t="n">
        <f aca="false">parametros_recargas!$E$94*'Plan mensual'!J53+parametros_recargas!$F$94*'Plan mensual'!J54+parametros_recargas!$G$94*'Plan mensual'!J55+parametros_recargas!$H$94*'Plan mensual'!J56+parametros_recargas!$I$94*'Plan mensual'!J57+parametros_recargas!$J$94*'Plan mensual'!J58+parametros_recargas!$K$94*'Plan mensual'!J59+parametros_recargas!$L$94*'Plan mensual'!J60</f>
        <v>120.490217656846</v>
      </c>
      <c r="I56" s="25" t="n">
        <f aca="false">parametros_recargas!$E$94*'Plan mensual'!K53+parametros_recargas!$F$94*'Plan mensual'!K54+parametros_recargas!$G$94*'Plan mensual'!K55+parametros_recargas!$H$94*'Plan mensual'!K56+parametros_recargas!$I$94*'Plan mensual'!K57+parametros_recargas!$J$94*'Plan mensual'!K58+parametros_recargas!$K$94*'Plan mensual'!K59+parametros_recargas!$L$94*'Plan mensual'!K60</f>
        <v>127.646199071636</v>
      </c>
      <c r="J56" s="25" t="n">
        <f aca="false">parametros_recargas!$E$94*'Plan mensual'!L53+parametros_recargas!$F$94*'Plan mensual'!L54+parametros_recargas!$G$94*'Plan mensual'!L55+parametros_recargas!$H$94*'Plan mensual'!L56+parametros_recargas!$I$94*'Plan mensual'!L57+parametros_recargas!$J$94*'Plan mensual'!L58+parametros_recargas!$K$94*'Plan mensual'!L59+parametros_recargas!$L$94*'Plan mensual'!L60</f>
        <v>135.229320004209</v>
      </c>
      <c r="K56" s="25" t="n">
        <f aca="false">parametros_recargas!$E$94*'Plan mensual'!M53+parametros_recargas!$F$94*'Plan mensual'!M54+parametros_recargas!$G$94*'Plan mensual'!M55+parametros_recargas!$H$94*'Plan mensual'!M56+parametros_recargas!$I$94*'Plan mensual'!M57+parametros_recargas!$J$94*'Plan mensual'!M58+parametros_recargas!$K$94*'Plan mensual'!M59+parametros_recargas!$L$94*'Plan mensual'!M60</f>
        <v>143.265076351922</v>
      </c>
      <c r="L56" s="25" t="n">
        <f aca="false">parametros_recargas!$E$94*'Plan mensual'!N53+parametros_recargas!$F$94*'Plan mensual'!N54+parametros_recargas!$G$94*'Plan mensual'!N55+parametros_recargas!$H$94*'Plan mensual'!N56+parametros_recargas!$I$94*'Plan mensual'!N57+parametros_recargas!$J$94*'Plan mensual'!N58+parametros_recargas!$K$94*'Plan mensual'!N59+parametros_recargas!$L$94*'Plan mensual'!N60</f>
        <v>151.78048585864</v>
      </c>
      <c r="M56" s="25" t="n">
        <f aca="false">parametros_recargas!$E$94*'Plan mensual'!O53+parametros_recargas!$F$94*'Plan mensual'!O54+parametros_recargas!$G$94*'Plan mensual'!O55+parametros_recargas!$H$94*'Plan mensual'!O56+parametros_recargas!$I$94*'Plan mensual'!O57+parametros_recargas!$J$94*'Plan mensual'!O58+parametros_recargas!$K$94*'Plan mensual'!O59+parametros_recargas!$L$94*'Plan mensual'!O60</f>
        <v>160.804178953534</v>
      </c>
      <c r="N56" s="7" t="n">
        <f aca="false">SUM(B56:M56)</f>
        <v>1432.93395515072</v>
      </c>
      <c r="O56" s="26" t="n">
        <f aca="false">MAX(B56:M56)</f>
        <v>160.804178953534</v>
      </c>
      <c r="P56" s="15" t="n">
        <f aca="false">O56/parametros_recargas!$B$6</f>
        <v>1.07202785969022</v>
      </c>
    </row>
    <row r="57" customFormat="false" ht="15" hidden="false" customHeight="false" outlineLevel="0" collapsed="false">
      <c r="A57" s="12" t="str">
        <f aca="false">parametros_recargas!$B$95</f>
        <v>Carga y presurización de halogenado</v>
      </c>
      <c r="B57" s="25" t="n">
        <f aca="false">parametros_recargas!$E$95*'Plan mensual'!D53+parametros_recargas!$F$95*'Plan mensual'!D54+parametros_recargas!$G$95*'Plan mensual'!D55+parametros_recargas!$H$95*'Plan mensual'!D56+parametros_recargas!$I$95*'Plan mensual'!D57+parametros_recargas!$J$95*'Plan mensual'!D58+parametros_recargas!$K$95*'Plan mensual'!D59+parametros_recargas!$L$95*'Plan mensual'!D60</f>
        <v>1.2051222459281</v>
      </c>
      <c r="C57" s="25" t="n">
        <f aca="false">parametros_recargas!$E$95*'Plan mensual'!E53+parametros_recargas!$F$95*'Plan mensual'!E54+parametros_recargas!$G$95*'Plan mensual'!E55+parametros_recargas!$H$95*'Plan mensual'!E56+parametros_recargas!$I$95*'Plan mensual'!E57+parametros_recargas!$J$95*'Plan mensual'!E58+parametros_recargas!$K$95*'Plan mensual'!E59+parametros_recargas!$L$95*'Plan mensual'!E60</f>
        <v>1.27581228349523</v>
      </c>
      <c r="D57" s="25" t="n">
        <f aca="false">parametros_recargas!$E$95*'Plan mensual'!F53+parametros_recargas!$F$95*'Plan mensual'!F54+parametros_recargas!$G$95*'Plan mensual'!F55+parametros_recargas!$H$95*'Plan mensual'!F56+parametros_recargas!$I$95*'Plan mensual'!F57+parametros_recargas!$J$95*'Plan mensual'!F58+parametros_recargas!$K$95*'Plan mensual'!F59+parametros_recargas!$L$95*'Plan mensual'!F60</f>
        <v>1.35072179939918</v>
      </c>
      <c r="E57" s="25" t="n">
        <f aca="false">parametros_recargas!$E$95*'Plan mensual'!G53+parametros_recargas!$F$95*'Plan mensual'!G54+parametros_recargas!$G$95*'Plan mensual'!G55+parametros_recargas!$H$95*'Plan mensual'!G56+parametros_recargas!$I$95*'Plan mensual'!G57+parametros_recargas!$J$95*'Plan mensual'!G58+parametros_recargas!$K$95*'Plan mensual'!G59+parametros_recargas!$L$95*'Plan mensual'!G60</f>
        <v>1.43010265370465</v>
      </c>
      <c r="F57" s="25" t="n">
        <f aca="false">parametros_recargas!$E$95*'Plan mensual'!H53+parametros_recargas!$F$95*'Plan mensual'!H54+parametros_recargas!$G$95*'Plan mensual'!H55+parametros_recargas!$H$95*'Plan mensual'!H56+parametros_recargas!$I$95*'Plan mensual'!H57+parametros_recargas!$J$95*'Plan mensual'!H58+parametros_recargas!$K$95*'Plan mensual'!H59+parametros_recargas!$L$95*'Plan mensual'!H60</f>
        <v>1.51422173996796</v>
      </c>
      <c r="G57" s="25" t="n">
        <f aca="false">parametros_recargas!$E$95*'Plan mensual'!I53+parametros_recargas!$F$95*'Plan mensual'!I54+parametros_recargas!$G$95*'Plan mensual'!I55+parametros_recargas!$H$95*'Plan mensual'!I56+parametros_recargas!$I$95*'Plan mensual'!I57+parametros_recargas!$J$95*'Plan mensual'!I58+parametros_recargas!$K$95*'Plan mensual'!I59+parametros_recargas!$L$95*'Plan mensual'!I60</f>
        <v>1.60336188258402</v>
      </c>
      <c r="H57" s="25" t="n">
        <f aca="false">parametros_recargas!$E$95*'Plan mensual'!J53+parametros_recargas!$F$95*'Plan mensual'!J54+parametros_recargas!$G$95*'Plan mensual'!J55+parametros_recargas!$H$95*'Plan mensual'!J56+parametros_recargas!$I$95*'Plan mensual'!J57+parametros_recargas!$J$95*'Plan mensual'!J58+parametros_recargas!$K$95*'Plan mensual'!J59+parametros_recargas!$L$95*'Plan mensual'!J60</f>
        <v>1.69782278769582</v>
      </c>
      <c r="I57" s="25" t="n">
        <f aca="false">parametros_recargas!$E$95*'Plan mensual'!K53+parametros_recargas!$F$95*'Plan mensual'!K54+parametros_recargas!$G$95*'Plan mensual'!K55+parametros_recargas!$H$95*'Plan mensual'!K56+parametros_recargas!$I$95*'Plan mensual'!K57+parametros_recargas!$J$95*'Plan mensual'!K58+parametros_recargas!$K$95*'Plan mensual'!K59+parametros_recargas!$L$95*'Plan mensual'!K60</f>
        <v>1.79792205086363</v>
      </c>
      <c r="J57" s="25" t="n">
        <f aca="false">parametros_recargas!$E$95*'Plan mensual'!L53+parametros_recargas!$F$95*'Plan mensual'!L54+parametros_recargas!$G$95*'Plan mensual'!L55+parametros_recargas!$H$95*'Plan mensual'!L56+parametros_recargas!$I$95*'Plan mensual'!L57+parametros_recargas!$J$95*'Plan mensual'!L58+parametros_recargas!$K$95*'Plan mensual'!L59+parametros_recargas!$L$95*'Plan mensual'!L60</f>
        <v>1.90399622488177</v>
      </c>
      <c r="K57" s="25" t="n">
        <f aca="false">parametros_recargas!$E$95*'Plan mensual'!M53+parametros_recargas!$F$95*'Plan mensual'!M54+parametros_recargas!$G$95*'Plan mensual'!M55+parametros_recargas!$H$95*'Plan mensual'!M56+parametros_recargas!$I$95*'Plan mensual'!M57+parametros_recargas!$J$95*'Plan mensual'!M58+parametros_recargas!$K$95*'Plan mensual'!M59+parametros_recargas!$L$95*'Plan mensual'!M60</f>
        <v>2.01640195133318</v>
      </c>
      <c r="L57" s="25" t="n">
        <f aca="false">parametros_recargas!$E$95*'Plan mensual'!N53+parametros_recargas!$F$95*'Plan mensual'!N54+parametros_recargas!$G$95*'Plan mensual'!N55+parametros_recargas!$H$95*'Plan mensual'!N56+parametros_recargas!$I$95*'Plan mensual'!N57+parametros_recargas!$J$95*'Plan mensual'!N58+parametros_recargas!$K$95*'Plan mensual'!N59+parametros_recargas!$L$95*'Plan mensual'!N60</f>
        <v>2.13551715968644</v>
      </c>
      <c r="M57" s="25" t="n">
        <f aca="false">parametros_recargas!$E$95*'Plan mensual'!O53+parametros_recargas!$F$95*'Plan mensual'!O54+parametros_recargas!$G$95*'Plan mensual'!O55+parametros_recargas!$H$95*'Plan mensual'!O56+parametros_recargas!$I$95*'Plan mensual'!O57+parametros_recargas!$J$95*'Plan mensual'!O58+parametros_recargas!$K$95*'Plan mensual'!O59+parametros_recargas!$L$95*'Plan mensual'!O60</f>
        <v>2.2617423379666</v>
      </c>
      <c r="N57" s="7" t="n">
        <f aca="false">SUM(B57:M57)</f>
        <v>20.1927451175066</v>
      </c>
      <c r="O57" s="26" t="n">
        <f aca="false">MAX(B57:M57)</f>
        <v>2.2617423379666</v>
      </c>
      <c r="P57" s="15" t="n">
        <f aca="false">O57/parametros_recargas!$B$6</f>
        <v>0.0150782822531106</v>
      </c>
    </row>
    <row r="58" customFormat="false" ht="15" hidden="false" customHeight="false" outlineLevel="0" collapsed="false">
      <c r="A58" s="12" t="str">
        <f aca="false">parametros_recargas!$B$96</f>
        <v>Control de peso (CO₂ y halogenados sin recarga)</v>
      </c>
      <c r="B58" s="25" t="n">
        <f aca="false">parametros_recargas!$E$96*'Plan mensual'!D53+parametros_recargas!$F$96*'Plan mensual'!D54+parametros_recargas!$G$96*'Plan mensual'!D55+parametros_recargas!$H$96*'Plan mensual'!D56+parametros_recargas!$I$96*'Plan mensual'!D57+parametros_recargas!$J$96*'Plan mensual'!D58+parametros_recargas!$K$96*'Plan mensual'!D59+parametros_recargas!$L$96*'Plan mensual'!D60</f>
        <v>73.1071845157508</v>
      </c>
      <c r="C58" s="25" t="n">
        <f aca="false">parametros_recargas!$E$96*'Plan mensual'!E53+parametros_recargas!$F$96*'Plan mensual'!E54+parametros_recargas!$G$96*'Plan mensual'!E55+parametros_recargas!$H$96*'Plan mensual'!E56+parametros_recargas!$I$96*'Plan mensual'!E57+parametros_recargas!$J$96*'Plan mensual'!E58+parametros_recargas!$K$96*'Plan mensual'!E59+parametros_recargas!$L$96*'Plan mensual'!E60</f>
        <v>77.4532837620241</v>
      </c>
      <c r="D58" s="25" t="n">
        <f aca="false">parametros_recargas!$E$96*'Plan mensual'!F53+parametros_recargas!$F$96*'Plan mensual'!F54+parametros_recargas!$G$96*'Plan mensual'!F55+parametros_recargas!$H$96*'Plan mensual'!F56+parametros_recargas!$I$96*'Plan mensual'!F57+parametros_recargas!$J$96*'Plan mensual'!F58+parametros_recargas!$K$96*'Plan mensual'!F59+parametros_recargas!$L$96*'Plan mensual'!F60</f>
        <v>82.0588010571555</v>
      </c>
      <c r="E58" s="25" t="n">
        <f aca="false">parametros_recargas!$E$96*'Plan mensual'!G53+parametros_recargas!$F$96*'Plan mensual'!G54+parametros_recargas!$G$96*'Plan mensual'!G55+parametros_recargas!$H$96*'Plan mensual'!G56+parametros_recargas!$I$96*'Plan mensual'!G57+parametros_recargas!$J$96*'Plan mensual'!G58+parametros_recargas!$K$96*'Plan mensual'!G59+parametros_recargas!$L$96*'Plan mensual'!G60</f>
        <v>86.9392210277629</v>
      </c>
      <c r="F58" s="25" t="n">
        <f aca="false">parametros_recargas!$E$96*'Plan mensual'!H53+parametros_recargas!$F$96*'Plan mensual'!H54+parametros_recargas!$G$96*'Plan mensual'!H55+parametros_recargas!$H$96*'Plan mensual'!H56+parametros_recargas!$I$96*'Plan mensual'!H57+parametros_recargas!$J$96*'Plan mensual'!H58+parametros_recargas!$K$96*'Plan mensual'!H59+parametros_recargas!$L$96*'Plan mensual'!H60</f>
        <v>92.1109525756353</v>
      </c>
      <c r="G58" s="25" t="n">
        <f aca="false">parametros_recargas!$E$96*'Plan mensual'!I53+parametros_recargas!$F$96*'Plan mensual'!I54+parametros_recargas!$G$96*'Plan mensual'!I55+parametros_recargas!$H$96*'Plan mensual'!I56+parametros_recargas!$I$96*'Plan mensual'!I57+parametros_recargas!$J$96*'Plan mensual'!I58+parametros_recargas!$K$96*'Plan mensual'!I59+parametros_recargas!$L$96*'Plan mensual'!I60</f>
        <v>97.5913840475873</v>
      </c>
      <c r="H58" s="25" t="n">
        <f aca="false">parametros_recargas!$E$96*'Plan mensual'!J53+parametros_recargas!$F$96*'Plan mensual'!J54+parametros_recargas!$G$96*'Plan mensual'!J55+parametros_recargas!$H$96*'Plan mensual'!J56+parametros_recargas!$I$96*'Plan mensual'!J57+parametros_recargas!$J$96*'Plan mensual'!J58+parametros_recargas!$K$96*'Plan mensual'!J59+parametros_recargas!$L$96*'Plan mensual'!J60</f>
        <v>103.398941698393</v>
      </c>
      <c r="I58" s="25" t="n">
        <f aca="false">parametros_recargas!$E$96*'Plan mensual'!K53+parametros_recargas!$F$96*'Plan mensual'!K54+parametros_recargas!$G$96*'Plan mensual'!K55+parametros_recargas!$H$96*'Plan mensual'!K56+parametros_recargas!$I$96*'Plan mensual'!K57+parametros_recargas!$J$96*'Plan mensual'!K58+parametros_recargas!$K$96*'Plan mensual'!K59+parametros_recargas!$L$96*'Plan mensual'!K60</f>
        <v>109.553151643367</v>
      </c>
      <c r="J58" s="25" t="n">
        <f aca="false">parametros_recargas!$E$96*'Plan mensual'!L53+parametros_recargas!$F$96*'Plan mensual'!L54+parametros_recargas!$G$96*'Plan mensual'!L55+parametros_recargas!$H$96*'Plan mensual'!L56+parametros_recargas!$I$96*'Plan mensual'!L57+parametros_recargas!$J$96*'Plan mensual'!L58+parametros_recargas!$K$96*'Plan mensual'!L59+parametros_recargas!$L$96*'Plan mensual'!L60</f>
        <v>116.074705508882</v>
      </c>
      <c r="K58" s="25" t="n">
        <f aca="false">parametros_recargas!$E$96*'Plan mensual'!M53+parametros_recargas!$F$96*'Plan mensual'!M54+parametros_recargas!$G$96*'Plan mensual'!M55+parametros_recargas!$H$96*'Plan mensual'!M56+parametros_recargas!$I$96*'Plan mensual'!M57+parametros_recargas!$J$96*'Plan mensual'!M58+parametros_recargas!$K$96*'Plan mensual'!M59+parametros_recargas!$L$96*'Plan mensual'!M60</f>
        <v>122.985530001562</v>
      </c>
      <c r="L58" s="25" t="n">
        <f aca="false">parametros_recargas!$E$96*'Plan mensual'!N53+parametros_recargas!$F$96*'Plan mensual'!N54+parametros_recargas!$G$96*'Plan mensual'!N55+parametros_recargas!$H$96*'Plan mensual'!N56+parametros_recargas!$I$96*'Plan mensual'!N57+parametros_recargas!$J$96*'Plan mensual'!N58+parametros_recargas!$K$96*'Plan mensual'!N59+parametros_recargas!$L$96*'Plan mensual'!N60</f>
        <v>130.308860630043</v>
      </c>
      <c r="M58" s="25" t="n">
        <f aca="false">parametros_recargas!$E$96*'Plan mensual'!O53+parametros_recargas!$F$96*'Plan mensual'!O54+parametros_recargas!$G$96*'Plan mensual'!O55+parametros_recargas!$H$96*'Plan mensual'!O56+parametros_recargas!$I$96*'Plan mensual'!O57+parametros_recargas!$J$96*'Plan mensual'!O58+parametros_recargas!$K$96*'Plan mensual'!O59+parametros_recargas!$L$96*'Plan mensual'!O60</f>
        <v>138.069319827185</v>
      </c>
      <c r="N58" s="7" t="n">
        <f aca="false">SUM(B58:M58)</f>
        <v>1229.65133629535</v>
      </c>
      <c r="O58" s="26" t="n">
        <f aca="false">MAX(B58:M58)</f>
        <v>138.069319827185</v>
      </c>
      <c r="P58" s="15" t="n">
        <f aca="false">O58/parametros_recargas!$B$6</f>
        <v>0.920462132181235</v>
      </c>
    </row>
    <row r="59" customFormat="false" ht="15" hidden="false" customHeight="false" outlineLevel="0" collapsed="false">
      <c r="A59" s="12" t="str">
        <f aca="false">parametros_recargas!$B$97</f>
        <v>Ensayo de pérdidas</v>
      </c>
      <c r="B59" s="25" t="n">
        <f aca="false">parametros_recargas!$E$97*'Plan mensual'!D53+parametros_recargas!$F$97*'Plan mensual'!D54+parametros_recargas!$G$97*'Plan mensual'!D55+parametros_recargas!$H$97*'Plan mensual'!D56+parametros_recargas!$I$97*'Plan mensual'!D57+parametros_recargas!$J$97*'Plan mensual'!D58+parametros_recargas!$K$97*'Plan mensual'!D59+parametros_recargas!$L$97*'Plan mensual'!D60</f>
        <v>1334.90183253731</v>
      </c>
      <c r="C59" s="25" t="n">
        <f aca="false">parametros_recargas!$E$97*'Plan mensual'!E53+parametros_recargas!$F$97*'Plan mensual'!E54+parametros_recargas!$G$97*'Plan mensual'!E55+parametros_recargas!$H$97*'Plan mensual'!E56+parametros_recargas!$I$97*'Plan mensual'!E57+parametros_recargas!$J$97*'Plan mensual'!E58+parametros_recargas!$K$97*'Plan mensual'!E59+parametros_recargas!$L$97*'Plan mensual'!E60</f>
        <v>1414.4177868671</v>
      </c>
      <c r="D59" s="25" t="n">
        <f aca="false">parametros_recargas!$E$97*'Plan mensual'!F53+parametros_recargas!$F$97*'Plan mensual'!F54+parametros_recargas!$G$97*'Plan mensual'!F55+parametros_recargas!$H$97*'Plan mensual'!F56+parametros_recargas!$I$97*'Plan mensual'!F57+parametros_recargas!$J$97*'Plan mensual'!F58+parametros_recargas!$K$97*'Plan mensual'!F59+parametros_recargas!$L$97*'Plan mensual'!F60</f>
        <v>1498.68003725607</v>
      </c>
      <c r="E59" s="25" t="n">
        <f aca="false">parametros_recargas!$E$97*'Plan mensual'!G53+parametros_recargas!$F$97*'Plan mensual'!G54+parametros_recargas!$G$97*'Plan mensual'!G55+parametros_recargas!$H$97*'Plan mensual'!G56+parametros_recargas!$I$97*'Plan mensual'!G57+parametros_recargas!$J$97*'Plan mensual'!G58+parametros_recargas!$K$97*'Plan mensual'!G59+parametros_recargas!$L$97*'Plan mensual'!G60</f>
        <v>1587.97188944417</v>
      </c>
      <c r="F59" s="25" t="n">
        <f aca="false">parametros_recargas!$E$97*'Plan mensual'!H53+parametros_recargas!$F$97*'Plan mensual'!H54+parametros_recargas!$G$97*'Plan mensual'!H55+parametros_recargas!$H$97*'Plan mensual'!H56+parametros_recargas!$I$97*'Plan mensual'!H57+parametros_recargas!$J$97*'Plan mensual'!H58+parametros_recargas!$K$97*'Plan mensual'!H59+parametros_recargas!$L$97*'Plan mensual'!H60</f>
        <v>1682.5935596509</v>
      </c>
      <c r="G59" s="25" t="n">
        <f aca="false">parametros_recargas!$E$97*'Plan mensual'!I53+parametros_recargas!$F$97*'Plan mensual'!I54+parametros_recargas!$G$97*'Plan mensual'!I55+parametros_recargas!$H$97*'Plan mensual'!I56+parametros_recargas!$I$97*'Plan mensual'!I57+parametros_recargas!$J$97*'Plan mensual'!I58+parametros_recargas!$K$97*'Plan mensual'!I59+parametros_recargas!$L$97*'Plan mensual'!I60</f>
        <v>1782.86318395941</v>
      </c>
      <c r="H59" s="25" t="n">
        <f aca="false">parametros_recargas!$E$97*'Plan mensual'!J53+parametros_recargas!$F$97*'Plan mensual'!J54+parametros_recargas!$G$97*'Plan mensual'!J55+parametros_recargas!$H$97*'Plan mensual'!J56+parametros_recargas!$I$97*'Plan mensual'!J57+parametros_recargas!$J$97*'Plan mensual'!J58+parametros_recargas!$K$97*'Plan mensual'!J59+parametros_recargas!$L$97*'Plan mensual'!J60</f>
        <v>1889.11788795061</v>
      </c>
      <c r="I59" s="25" t="n">
        <f aca="false">parametros_recargas!$E$97*'Plan mensual'!K53+parametros_recargas!$F$97*'Plan mensual'!K54+parametros_recargas!$G$97*'Plan mensual'!K55+parametros_recargas!$H$97*'Plan mensual'!K56+parametros_recargas!$I$97*'Plan mensual'!K57+parametros_recargas!$J$97*'Plan mensual'!K58+parametros_recargas!$K$97*'Plan mensual'!K59+parametros_recargas!$L$97*'Plan mensual'!K60</f>
        <v>2001.71492018363</v>
      </c>
      <c r="J59" s="25" t="n">
        <f aca="false">parametros_recargas!$E$97*'Plan mensual'!L53+parametros_recargas!$F$97*'Plan mensual'!L54+parametros_recargas!$G$97*'Plan mensual'!L55+parametros_recargas!$H$97*'Plan mensual'!L56+parametros_recargas!$I$97*'Plan mensual'!L57+parametros_recargas!$J$97*'Plan mensual'!L58+parametros_recargas!$K$97*'Plan mensual'!L59+parametros_recargas!$L$97*'Plan mensual'!L60</f>
        <v>2121.03285333352</v>
      </c>
      <c r="K59" s="25" t="n">
        <f aca="false">parametros_recargas!$E$97*'Plan mensual'!M53+parametros_recargas!$F$97*'Plan mensual'!M54+parametros_recargas!$G$97*'Plan mensual'!M55+parametros_recargas!$H$97*'Plan mensual'!M56+parametros_recargas!$I$97*'Plan mensual'!M57+parametros_recargas!$J$97*'Plan mensual'!M58+parametros_recargas!$K$97*'Plan mensual'!M59+parametros_recargas!$L$97*'Plan mensual'!M60</f>
        <v>2247.47285702473</v>
      </c>
      <c r="L59" s="25" t="n">
        <f aca="false">parametros_recargas!$E$97*'Plan mensual'!N53+parametros_recargas!$F$97*'Plan mensual'!N54+parametros_recargas!$G$97*'Plan mensual'!N55+parametros_recargas!$H$97*'Plan mensual'!N56+parametros_recargas!$I$97*'Plan mensual'!N57+parametros_recargas!$J$97*'Plan mensual'!N58+parametros_recargas!$K$97*'Plan mensual'!N59+parametros_recargas!$L$97*'Plan mensual'!N60</f>
        <v>2381.46004663979</v>
      </c>
      <c r="M59" s="25" t="n">
        <f aca="false">parametros_recargas!$E$97*'Plan mensual'!O53+parametros_recargas!$F$97*'Plan mensual'!O54+parametros_recargas!$G$97*'Plan mensual'!O55+parametros_recargas!$H$97*'Plan mensual'!O56+parametros_recargas!$I$97*'Plan mensual'!O57+parametros_recargas!$J$97*'Plan mensual'!O58+parametros_recargas!$K$97*'Plan mensual'!O59+parametros_recargas!$L$97*'Plan mensual'!O60</f>
        <v>2523.44491263827</v>
      </c>
      <c r="N59" s="7" t="n">
        <f aca="false">SUM(B59:M59)</f>
        <v>22465.6717674855</v>
      </c>
      <c r="O59" s="26" t="n">
        <f aca="false">MAX(B59:M59)</f>
        <v>2523.44491263827</v>
      </c>
      <c r="P59" s="15" t="n">
        <f aca="false">O59/parametros_recargas!$B$6</f>
        <v>16.8229660842552</v>
      </c>
    </row>
    <row r="60" customFormat="false" ht="15" hidden="false" customHeight="false" outlineLevel="0" collapsed="false">
      <c r="A60" s="12" t="str">
        <f aca="false">parametros_recargas!$B$98</f>
        <v>Precinto, etiqueta y despacho</v>
      </c>
      <c r="B60" s="25" t="n">
        <f aca="false">parametros_recargas!$E$98*'Plan mensual'!D53+parametros_recargas!$F$98*'Plan mensual'!D54+parametros_recargas!$G$98*'Plan mensual'!D55+parametros_recargas!$H$98*'Plan mensual'!D56+parametros_recargas!$I$98*'Plan mensual'!D57+parametros_recargas!$J$98*'Plan mensual'!D58+parametros_recargas!$K$98*'Plan mensual'!D59+parametros_recargas!$L$98*'Plan mensual'!D60</f>
        <v>1334.90183253731</v>
      </c>
      <c r="C60" s="25" t="n">
        <f aca="false">parametros_recargas!$E$98*'Plan mensual'!E53+parametros_recargas!$F$98*'Plan mensual'!E54+parametros_recargas!$G$98*'Plan mensual'!E55+parametros_recargas!$H$98*'Plan mensual'!E56+parametros_recargas!$I$98*'Plan mensual'!E57+parametros_recargas!$J$98*'Plan mensual'!E58+parametros_recargas!$K$98*'Plan mensual'!E59+parametros_recargas!$L$98*'Plan mensual'!E60</f>
        <v>1414.4177868671</v>
      </c>
      <c r="D60" s="25" t="n">
        <f aca="false">parametros_recargas!$E$98*'Plan mensual'!F53+parametros_recargas!$F$98*'Plan mensual'!F54+parametros_recargas!$G$98*'Plan mensual'!F55+parametros_recargas!$H$98*'Plan mensual'!F56+parametros_recargas!$I$98*'Plan mensual'!F57+parametros_recargas!$J$98*'Plan mensual'!F58+parametros_recargas!$K$98*'Plan mensual'!F59+parametros_recargas!$L$98*'Plan mensual'!F60</f>
        <v>1498.68003725607</v>
      </c>
      <c r="E60" s="25" t="n">
        <f aca="false">parametros_recargas!$E$98*'Plan mensual'!G53+parametros_recargas!$F$98*'Plan mensual'!G54+parametros_recargas!$G$98*'Plan mensual'!G55+parametros_recargas!$H$98*'Plan mensual'!G56+parametros_recargas!$I$98*'Plan mensual'!G57+parametros_recargas!$J$98*'Plan mensual'!G58+parametros_recargas!$K$98*'Plan mensual'!G59+parametros_recargas!$L$98*'Plan mensual'!G60</f>
        <v>1587.97188944417</v>
      </c>
      <c r="F60" s="25" t="n">
        <f aca="false">parametros_recargas!$E$98*'Plan mensual'!H53+parametros_recargas!$F$98*'Plan mensual'!H54+parametros_recargas!$G$98*'Plan mensual'!H55+parametros_recargas!$H$98*'Plan mensual'!H56+parametros_recargas!$I$98*'Plan mensual'!H57+parametros_recargas!$J$98*'Plan mensual'!H58+parametros_recargas!$K$98*'Plan mensual'!H59+parametros_recargas!$L$98*'Plan mensual'!H60</f>
        <v>1682.5935596509</v>
      </c>
      <c r="G60" s="25" t="n">
        <f aca="false">parametros_recargas!$E$98*'Plan mensual'!I53+parametros_recargas!$F$98*'Plan mensual'!I54+parametros_recargas!$G$98*'Plan mensual'!I55+parametros_recargas!$H$98*'Plan mensual'!I56+parametros_recargas!$I$98*'Plan mensual'!I57+parametros_recargas!$J$98*'Plan mensual'!I58+parametros_recargas!$K$98*'Plan mensual'!I59+parametros_recargas!$L$98*'Plan mensual'!I60</f>
        <v>1782.86318395941</v>
      </c>
      <c r="H60" s="25" t="n">
        <f aca="false">parametros_recargas!$E$98*'Plan mensual'!J53+parametros_recargas!$F$98*'Plan mensual'!J54+parametros_recargas!$G$98*'Plan mensual'!J55+parametros_recargas!$H$98*'Plan mensual'!J56+parametros_recargas!$I$98*'Plan mensual'!J57+parametros_recargas!$J$98*'Plan mensual'!J58+parametros_recargas!$K$98*'Plan mensual'!J59+parametros_recargas!$L$98*'Plan mensual'!J60</f>
        <v>1889.11788795061</v>
      </c>
      <c r="I60" s="25" t="n">
        <f aca="false">parametros_recargas!$E$98*'Plan mensual'!K53+parametros_recargas!$F$98*'Plan mensual'!K54+parametros_recargas!$G$98*'Plan mensual'!K55+parametros_recargas!$H$98*'Plan mensual'!K56+parametros_recargas!$I$98*'Plan mensual'!K57+parametros_recargas!$J$98*'Plan mensual'!K58+parametros_recargas!$K$98*'Plan mensual'!K59+parametros_recargas!$L$98*'Plan mensual'!K60</f>
        <v>2001.71492018363</v>
      </c>
      <c r="J60" s="25" t="n">
        <f aca="false">parametros_recargas!$E$98*'Plan mensual'!L53+parametros_recargas!$F$98*'Plan mensual'!L54+parametros_recargas!$G$98*'Plan mensual'!L55+parametros_recargas!$H$98*'Plan mensual'!L56+parametros_recargas!$I$98*'Plan mensual'!L57+parametros_recargas!$J$98*'Plan mensual'!L58+parametros_recargas!$K$98*'Plan mensual'!L59+parametros_recargas!$L$98*'Plan mensual'!L60</f>
        <v>2121.03285333352</v>
      </c>
      <c r="K60" s="25" t="n">
        <f aca="false">parametros_recargas!$E$98*'Plan mensual'!M53+parametros_recargas!$F$98*'Plan mensual'!M54+parametros_recargas!$G$98*'Plan mensual'!M55+parametros_recargas!$H$98*'Plan mensual'!M56+parametros_recargas!$I$98*'Plan mensual'!M57+parametros_recargas!$J$98*'Plan mensual'!M58+parametros_recargas!$K$98*'Plan mensual'!M59+parametros_recargas!$L$98*'Plan mensual'!M60</f>
        <v>2247.47285702473</v>
      </c>
      <c r="L60" s="25" t="n">
        <f aca="false">parametros_recargas!$E$98*'Plan mensual'!N53+parametros_recargas!$F$98*'Plan mensual'!N54+parametros_recargas!$G$98*'Plan mensual'!N55+parametros_recargas!$H$98*'Plan mensual'!N56+parametros_recargas!$I$98*'Plan mensual'!N57+parametros_recargas!$J$98*'Plan mensual'!N58+parametros_recargas!$K$98*'Plan mensual'!N59+parametros_recargas!$L$98*'Plan mensual'!N60</f>
        <v>2381.46004663979</v>
      </c>
      <c r="M60" s="25" t="n">
        <f aca="false">parametros_recargas!$E$98*'Plan mensual'!O53+parametros_recargas!$F$98*'Plan mensual'!O54+parametros_recargas!$G$98*'Plan mensual'!O55+parametros_recargas!$H$98*'Plan mensual'!O56+parametros_recargas!$I$98*'Plan mensual'!O57+parametros_recargas!$J$98*'Plan mensual'!O58+parametros_recargas!$K$98*'Plan mensual'!O59+parametros_recargas!$L$98*'Plan mensual'!O60</f>
        <v>2523.44491263827</v>
      </c>
      <c r="N60" s="7" t="n">
        <f aca="false">SUM(B60:M60)</f>
        <v>22465.6717674855</v>
      </c>
      <c r="O60" s="26" t="n">
        <f aca="false">MAX(B60:M60)</f>
        <v>2523.44491263827</v>
      </c>
      <c r="P60" s="15" t="n">
        <f aca="false">O60/parametros_recargas!$B$6</f>
        <v>16.8229660842552</v>
      </c>
    </row>
    <row r="61" customFormat="false" ht="15" hidden="false" customHeight="false" outlineLevel="0" collapsed="false">
      <c r="A61" s="12" t="str">
        <f aca="false">parametros_recargas!$B$99</f>
        <v>Inutilización y disposición final</v>
      </c>
      <c r="B61" s="25" t="n">
        <f aca="false">parametros_recargas!$E$99*'Plan mensual'!D53+parametros_recargas!$F$99*'Plan mensual'!D54+parametros_recargas!$G$99*'Plan mensual'!D55+parametros_recargas!$H$99*'Plan mensual'!D56+parametros_recargas!$I$99*'Plan mensual'!D57+parametros_recargas!$J$99*'Plan mensual'!D58+parametros_recargas!$K$99*'Plan mensual'!D59+parametros_recargas!$L$99*'Plan mensual'!D60</f>
        <v>105.137579513033</v>
      </c>
      <c r="C61" s="25" t="n">
        <f aca="false">parametros_recargas!$E$99*'Plan mensual'!E53+parametros_recargas!$F$99*'Plan mensual'!E54+parametros_recargas!$G$99*'Plan mensual'!E55+parametros_recargas!$H$99*'Plan mensual'!E56+parametros_recargas!$I$99*'Plan mensual'!E57+parametros_recargas!$J$99*'Plan mensual'!E58+parametros_recargas!$K$99*'Plan mensual'!E59+parametros_recargas!$L$99*'Plan mensual'!E60</f>
        <v>111.400426594332</v>
      </c>
      <c r="D61" s="25" t="n">
        <f aca="false">parametros_recargas!$E$99*'Plan mensual'!F53+parametros_recargas!$F$99*'Plan mensual'!F54+parametros_recargas!$G$99*'Plan mensual'!F55+parametros_recargas!$H$99*'Plan mensual'!F56+parametros_recargas!$I$99*'Plan mensual'!F57+parametros_recargas!$J$99*'Plan mensual'!F58+parametros_recargas!$K$99*'Plan mensual'!F59+parametros_recargas!$L$99*'Plan mensual'!F60</f>
        <v>118.037102131462</v>
      </c>
      <c r="E61" s="25" t="n">
        <f aca="false">parametros_recargas!$E$99*'Plan mensual'!G53+parametros_recargas!$F$99*'Plan mensual'!G54+parametros_recargas!$G$99*'Plan mensual'!G55+parametros_recargas!$H$99*'Plan mensual'!G56+parametros_recargas!$I$99*'Plan mensual'!G57+parametros_recargas!$J$99*'Plan mensual'!G58+parametros_recargas!$K$99*'Plan mensual'!G59+parametros_recargas!$L$99*'Plan mensual'!G60</f>
        <v>125.069919892042</v>
      </c>
      <c r="F61" s="25" t="n">
        <f aca="false">parametros_recargas!$E$99*'Plan mensual'!H53+parametros_recargas!$F$99*'Plan mensual'!H54+parametros_recargas!$G$99*'Plan mensual'!H55+parametros_recargas!$H$99*'Plan mensual'!H56+parametros_recargas!$I$99*'Plan mensual'!H57+parametros_recargas!$J$99*'Plan mensual'!H58+parametros_recargas!$K$99*'Plan mensual'!H59+parametros_recargas!$L$99*'Plan mensual'!H60</f>
        <v>132.522525549316</v>
      </c>
      <c r="G61" s="25" t="n">
        <f aca="false">parametros_recargas!$E$99*'Plan mensual'!I53+parametros_recargas!$F$99*'Plan mensual'!I54+parametros_recargas!$G$99*'Plan mensual'!I55+parametros_recargas!$H$99*'Plan mensual'!I56+parametros_recargas!$I$99*'Plan mensual'!I57+parametros_recargas!$J$99*'Plan mensual'!I58+parametros_recargas!$K$99*'Plan mensual'!I59+parametros_recargas!$L$99*'Plan mensual'!I60</f>
        <v>140.419976183423</v>
      </c>
      <c r="H61" s="25" t="n">
        <f aca="false">parametros_recargas!$E$99*'Plan mensual'!J53+parametros_recargas!$F$99*'Plan mensual'!J54+parametros_recargas!$G$99*'Plan mensual'!J55+parametros_recargas!$H$99*'Plan mensual'!J56+parametros_recargas!$I$99*'Plan mensual'!J57+parametros_recargas!$J$99*'Plan mensual'!J58+parametros_recargas!$K$99*'Plan mensual'!J59+parametros_recargas!$L$99*'Plan mensual'!J60</f>
        <v>148.788824528065</v>
      </c>
      <c r="I61" s="25" t="n">
        <f aca="false">parametros_recargas!$E$99*'Plan mensual'!K53+parametros_recargas!$F$99*'Plan mensual'!K54+parametros_recargas!$G$99*'Plan mensual'!K55+parametros_recargas!$H$99*'Plan mensual'!K56+parametros_recargas!$I$99*'Plan mensual'!K57+parametros_recargas!$J$99*'Plan mensual'!K58+parametros_recargas!$K$99*'Plan mensual'!K59+parametros_recargas!$L$99*'Plan mensual'!K60</f>
        <v>157.657208245862</v>
      </c>
      <c r="J61" s="25" t="n">
        <f aca="false">parametros_recargas!$E$99*'Plan mensual'!L53+parametros_recargas!$F$99*'Plan mensual'!L54+parametros_recargas!$G$99*'Plan mensual'!L55+parametros_recargas!$H$99*'Plan mensual'!L56+parametros_recargas!$I$99*'Plan mensual'!L57+parametros_recargas!$J$99*'Plan mensual'!L58+parametros_recargas!$K$99*'Plan mensual'!L59+parametros_recargas!$L$99*'Plan mensual'!L60</f>
        <v>167.054944532533</v>
      </c>
      <c r="K61" s="25" t="n">
        <f aca="false">parametros_recargas!$E$99*'Plan mensual'!M53+parametros_recargas!$F$99*'Plan mensual'!M54+parametros_recargas!$G$99*'Plan mensual'!M55+parametros_recargas!$H$99*'Plan mensual'!M56+parametros_recargas!$I$99*'Plan mensual'!M57+parametros_recargas!$J$99*'Plan mensual'!M58+parametros_recargas!$K$99*'Plan mensual'!M59+parametros_recargas!$L$99*'Plan mensual'!M60</f>
        <v>177.013630367988</v>
      </c>
      <c r="L61" s="25" t="n">
        <f aca="false">parametros_recargas!$E$99*'Plan mensual'!N53+parametros_recargas!$F$99*'Plan mensual'!N54+parametros_recargas!$G$99*'Plan mensual'!N55+parametros_recargas!$H$99*'Plan mensual'!N56+parametros_recargas!$I$99*'Plan mensual'!N57+parametros_recargas!$J$99*'Plan mensual'!N58+parametros_recargas!$K$99*'Plan mensual'!N59+parametros_recargas!$L$99*'Plan mensual'!N60</f>
        <v>187.566748751398</v>
      </c>
      <c r="M61" s="25" t="n">
        <f aca="false">parametros_recargas!$E$99*'Plan mensual'!O53+parametros_recargas!$F$99*'Plan mensual'!O54+parametros_recargas!$G$99*'Plan mensual'!O55+parametros_recargas!$H$99*'Plan mensual'!O56+parametros_recargas!$I$99*'Plan mensual'!O57+parametros_recargas!$J$99*'Plan mensual'!O58+parametros_recargas!$K$99*'Plan mensual'!O59+parametros_recargas!$L$99*'Plan mensual'!O60</f>
        <v>198.749781277412</v>
      </c>
      <c r="N61" s="7" t="n">
        <f aca="false">SUM(B61:M61)</f>
        <v>1769.41866756687</v>
      </c>
      <c r="O61" s="26" t="n">
        <f aca="false">MAX(B61:M61)</f>
        <v>198.749781277412</v>
      </c>
      <c r="P61" s="15" t="n">
        <f aca="false">O61/parametros_recargas!$B$6</f>
        <v>1.32499854184942</v>
      </c>
    </row>
    <row r="62" customFormat="false" ht="15" hidden="false" customHeight="false" outlineLevel="0" collapsed="false">
      <c r="A62" s="12" t="str">
        <f aca="false">parametros_recargas!$B$100</f>
        <v>PH de mangueras (CO₂ y rodantes)</v>
      </c>
      <c r="B62" s="25" t="n">
        <f aca="false">'Plan mensual'!D61</f>
        <v>45.8437859790714</v>
      </c>
      <c r="C62" s="25" t="n">
        <f aca="false">'Plan mensual'!E61</f>
        <v>48.5453759912773</v>
      </c>
      <c r="D62" s="25" t="n">
        <f aca="false">'Plan mensual'!F61</f>
        <v>51.4082235289255</v>
      </c>
      <c r="E62" s="25" t="n">
        <f aca="false">'Plan mensual'!G61</f>
        <v>54.441954030885</v>
      </c>
      <c r="F62" s="25" t="n">
        <f aca="false">'Plan mensual'!H61</f>
        <v>57.6567674771087</v>
      </c>
      <c r="G62" s="25" t="n">
        <f aca="false">'Plan mensual'!I61</f>
        <v>61.063472682909</v>
      </c>
      <c r="H62" s="25" t="n">
        <f aca="false">'Plan mensual'!J61</f>
        <v>64.6735236402544</v>
      </c>
      <c r="I62" s="25" t="n">
        <f aca="false">'Plan mensual'!K61</f>
        <v>68.4990580282728</v>
      </c>
      <c r="J62" s="25" t="n">
        <f aca="false">'Plan mensual'!L61</f>
        <v>72.5529380224414</v>
      </c>
      <c r="K62" s="25" t="n">
        <f aca="false">'Plan mensual'!M61</f>
        <v>76.8487935396709</v>
      </c>
      <c r="L62" s="25" t="n">
        <f aca="false">'Plan mensual'!N61</f>
        <v>81.4010680646833</v>
      </c>
      <c r="M62" s="25" t="n">
        <f aca="false">'Plan mensual'!O61</f>
        <v>86.2250672117595</v>
      </c>
      <c r="N62" s="7" t="n">
        <f aca="false">SUM(B62:M62)</f>
        <v>769.160028197259</v>
      </c>
      <c r="O62" s="26" t="n">
        <f aca="false">MAX(B62:M62)</f>
        <v>86.2250672117595</v>
      </c>
      <c r="P62" s="15" t="n">
        <f aca="false">O62/parametros_recargas!$B$6</f>
        <v>0.57483378141173</v>
      </c>
    </row>
    <row r="65" customFormat="false" ht="23.85" hidden="false" customHeight="false" outlineLevel="0" collapsed="false">
      <c r="A65" s="3" t="s">
        <v>281</v>
      </c>
      <c r="B65" s="3" t="s">
        <v>124</v>
      </c>
      <c r="C65" s="3" t="s">
        <v>125</v>
      </c>
      <c r="D65" s="3" t="s">
        <v>126</v>
      </c>
      <c r="E65" s="3" t="s">
        <v>127</v>
      </c>
      <c r="F65" s="3" t="s">
        <v>128</v>
      </c>
      <c r="G65" s="3" t="s">
        <v>129</v>
      </c>
      <c r="H65" s="3" t="s">
        <v>130</v>
      </c>
      <c r="I65" s="3" t="s">
        <v>131</v>
      </c>
      <c r="J65" s="3" t="s">
        <v>132</v>
      </c>
      <c r="K65" s="3" t="s">
        <v>133</v>
      </c>
      <c r="L65" s="3" t="s">
        <v>134</v>
      </c>
      <c r="M65" s="3" t="s">
        <v>135</v>
      </c>
      <c r="N65" s="3" t="s">
        <v>277</v>
      </c>
      <c r="O65" s="3" t="s">
        <v>278</v>
      </c>
      <c r="P65" s="3" t="s">
        <v>279</v>
      </c>
    </row>
    <row r="66" customFormat="false" ht="15" hidden="false" customHeight="false" outlineLevel="0" collapsed="false">
      <c r="A66" s="12" t="str">
        <f aca="false">parametros_recargas!$B$72</f>
        <v>Recepción y registro</v>
      </c>
      <c r="B66" s="25" t="n">
        <f aca="false">parametros_recargas!$E$72*'Plan mensual'!D85+parametros_recargas!$F$72*'Plan mensual'!D86+parametros_recargas!$G$72*'Plan mensual'!D87+parametros_recargas!$H$72*'Plan mensual'!D88+parametros_recargas!$I$72*'Plan mensual'!D89+parametros_recargas!$J$72*'Plan mensual'!D90+parametros_recargas!$K$72*'Plan mensual'!D91+parametros_recargas!$L$72*'Plan mensual'!D92</f>
        <v>2790.521911845</v>
      </c>
      <c r="C66" s="25" t="n">
        <f aca="false">parametros_recargas!$E$72*'Plan mensual'!E85+parametros_recargas!$F$72*'Plan mensual'!E86+parametros_recargas!$G$72*'Plan mensual'!E87+parametros_recargas!$H$72*'Plan mensual'!E88+parametros_recargas!$I$72*'Plan mensual'!E89+parametros_recargas!$J$72*'Plan mensual'!E90+parametros_recargas!$K$72*'Plan mensual'!E91+parametros_recargas!$L$72*'Plan mensual'!E92</f>
        <v>2937.66167249104</v>
      </c>
      <c r="D66" s="25" t="n">
        <f aca="false">parametros_recargas!$E$72*'Plan mensual'!F85+parametros_recargas!$F$72*'Plan mensual'!F86+parametros_recargas!$G$72*'Plan mensual'!F87+parametros_recargas!$H$72*'Plan mensual'!F88+parametros_recargas!$I$72*'Plan mensual'!F89+parametros_recargas!$J$72*'Plan mensual'!F90+parametros_recargas!$K$72*'Plan mensual'!F91+parametros_recargas!$L$72*'Plan mensual'!F92</f>
        <v>3092.57612985903</v>
      </c>
      <c r="E66" s="25" t="n">
        <f aca="false">parametros_recargas!$E$72*'Plan mensual'!G85+parametros_recargas!$F$72*'Plan mensual'!G86+parametros_recargas!$G$72*'Plan mensual'!G87+parametros_recargas!$H$72*'Plan mensual'!G88+parametros_recargas!$I$72*'Plan mensual'!G89+parametros_recargas!$J$72*'Plan mensual'!G90+parametros_recargas!$K$72*'Plan mensual'!G91+parametros_recargas!$L$72*'Plan mensual'!G92</f>
        <v>3255.67609003462</v>
      </c>
      <c r="F66" s="25" t="n">
        <f aca="false">parametros_recargas!$E$72*'Plan mensual'!H85+parametros_recargas!$F$72*'Plan mensual'!H86+parametros_recargas!$G$72*'Plan mensual'!H87+parametros_recargas!$H$72*'Plan mensual'!H88+parametros_recargas!$I$72*'Plan mensual'!H89+parametros_recargas!$J$72*'Plan mensual'!H90+parametros_recargas!$K$72*'Plan mensual'!H91+parametros_recargas!$L$72*'Plan mensual'!H92</f>
        <v>3427.39406562738</v>
      </c>
      <c r="G66" s="25" t="n">
        <f aca="false">parametros_recargas!$E$72*'Plan mensual'!I85+parametros_recargas!$F$72*'Plan mensual'!I86+parametros_recargas!$G$72*'Plan mensual'!I87+parametros_recargas!$H$72*'Plan mensual'!I88+parametros_recargas!$I$72*'Plan mensual'!I89+parametros_recargas!$J$72*'Plan mensual'!I90+parametros_recargas!$K$72*'Plan mensual'!I91+parametros_recargas!$L$72*'Plan mensual'!I92</f>
        <v>3608.18542271864</v>
      </c>
      <c r="H66" s="25" t="n">
        <f aca="false">parametros_recargas!$E$72*'Plan mensual'!J85+parametros_recargas!$F$72*'Plan mensual'!J86+parametros_recargas!$G$72*'Plan mensual'!J87+parametros_recargas!$H$72*'Plan mensual'!J88+parametros_recargas!$I$72*'Plan mensual'!J89+parametros_recargas!$J$72*'Plan mensual'!J90+parametros_recargas!$K$72*'Plan mensual'!J91+parametros_recargas!$L$72*'Plan mensual'!J92</f>
        <v>3798.52958841282</v>
      </c>
      <c r="I66" s="25" t="n">
        <f aca="false">parametros_recargas!$E$72*'Plan mensual'!K85+parametros_recargas!$F$72*'Plan mensual'!K86+parametros_recargas!$G$72*'Plan mensual'!K87+parametros_recargas!$H$72*'Plan mensual'!K88+parametros_recargas!$I$72*'Plan mensual'!K89+parametros_recargas!$J$72*'Plan mensual'!K90+parametros_recargas!$K$72*'Plan mensual'!K91+parametros_recargas!$L$72*'Plan mensual'!K92</f>
        <v>3998.93132219442</v>
      </c>
      <c r="J66" s="25" t="n">
        <f aca="false">parametros_recargas!$E$72*'Plan mensual'!L85+parametros_recargas!$F$72*'Plan mensual'!L86+parametros_recargas!$G$72*'Plan mensual'!L87+parametros_recargas!$H$72*'Plan mensual'!L88+parametros_recargas!$I$72*'Plan mensual'!L89+parametros_recargas!$J$72*'Plan mensual'!L90+parametros_recargas!$K$72*'Plan mensual'!L91+parametros_recargas!$L$72*'Plan mensual'!L92</f>
        <v>4209.92205446196</v>
      </c>
      <c r="K66" s="25" t="n">
        <f aca="false">parametros_recargas!$E$72*'Plan mensual'!M85+parametros_recargas!$F$72*'Plan mensual'!M86+parametros_recargas!$G$72*'Plan mensual'!M87+parametros_recargas!$H$72*'Plan mensual'!M88+parametros_recargas!$I$72*'Plan mensual'!M89+parametros_recargas!$J$72*'Plan mensual'!M90+parametros_recargas!$K$72*'Plan mensual'!M91+parametros_recargas!$L$72*'Plan mensual'!M92</f>
        <v>4432.06129578862</v>
      </c>
      <c r="L66" s="25" t="n">
        <f aca="false">parametros_recargas!$E$72*'Plan mensual'!N85+parametros_recargas!$F$72*'Plan mensual'!N86+parametros_recargas!$G$72*'Plan mensual'!N87+parametros_recargas!$H$72*'Plan mensual'!N88+parametros_recargas!$I$72*'Plan mensual'!N89+parametros_recargas!$J$72*'Plan mensual'!N90+parametros_recargas!$K$72*'Plan mensual'!N91+parametros_recargas!$L$72*'Plan mensual'!N92</f>
        <v>4665.93812064656</v>
      </c>
      <c r="M66" s="25" t="n">
        <f aca="false">parametros_recargas!$E$72*'Plan mensual'!O85+parametros_recargas!$F$72*'Plan mensual'!O86+parametros_recargas!$G$72*'Plan mensual'!O87+parametros_recargas!$H$72*'Plan mensual'!O88+parametros_recargas!$I$72*'Plan mensual'!O89+parametros_recargas!$J$72*'Plan mensual'!O90+parametros_recargas!$K$72*'Plan mensual'!O91+parametros_recargas!$L$72*'Plan mensual'!O92</f>
        <v>4912.17272952955</v>
      </c>
      <c r="N66" s="7" t="n">
        <f aca="false">SUM(B66:M66)</f>
        <v>45129.5704036096</v>
      </c>
      <c r="O66" s="26" t="n">
        <f aca="false">MAX(B66:M66)</f>
        <v>4912.17272952955</v>
      </c>
      <c r="P66" s="15" t="n">
        <f aca="false">O66/parametros_recargas!$B$6</f>
        <v>32.7478181968637</v>
      </c>
    </row>
    <row r="67" customFormat="false" ht="15" hidden="false" customHeight="false" outlineLevel="0" collapsed="false">
      <c r="A67" s="12" t="str">
        <f aca="false">parametros_recargas!$B$73</f>
        <v>Inspección visual</v>
      </c>
      <c r="B67" s="25" t="n">
        <f aca="false">parametros_recargas!$E$73*'Plan mensual'!D85+parametros_recargas!$F$73*'Plan mensual'!D86+parametros_recargas!$G$73*'Plan mensual'!D87+parametros_recargas!$H$73*'Plan mensual'!D88+parametros_recargas!$I$73*'Plan mensual'!D89+parametros_recargas!$J$73*'Plan mensual'!D90+parametros_recargas!$K$73*'Plan mensual'!D91+parametros_recargas!$L$73*'Plan mensual'!D92</f>
        <v>2790.521911845</v>
      </c>
      <c r="C67" s="25" t="n">
        <f aca="false">parametros_recargas!$E$73*'Plan mensual'!E85+parametros_recargas!$F$73*'Plan mensual'!E86+parametros_recargas!$G$73*'Plan mensual'!E87+parametros_recargas!$H$73*'Plan mensual'!E88+parametros_recargas!$I$73*'Plan mensual'!E89+parametros_recargas!$J$73*'Plan mensual'!E90+parametros_recargas!$K$73*'Plan mensual'!E91+parametros_recargas!$L$73*'Plan mensual'!E92</f>
        <v>2937.66167249104</v>
      </c>
      <c r="D67" s="25" t="n">
        <f aca="false">parametros_recargas!$E$73*'Plan mensual'!F85+parametros_recargas!$F$73*'Plan mensual'!F86+parametros_recargas!$G$73*'Plan mensual'!F87+parametros_recargas!$H$73*'Plan mensual'!F88+parametros_recargas!$I$73*'Plan mensual'!F89+parametros_recargas!$J$73*'Plan mensual'!F90+parametros_recargas!$K$73*'Plan mensual'!F91+parametros_recargas!$L$73*'Plan mensual'!F92</f>
        <v>3092.57612985903</v>
      </c>
      <c r="E67" s="25" t="n">
        <f aca="false">parametros_recargas!$E$73*'Plan mensual'!G85+parametros_recargas!$F$73*'Plan mensual'!G86+parametros_recargas!$G$73*'Plan mensual'!G87+parametros_recargas!$H$73*'Plan mensual'!G88+parametros_recargas!$I$73*'Plan mensual'!G89+parametros_recargas!$J$73*'Plan mensual'!G90+parametros_recargas!$K$73*'Plan mensual'!G91+parametros_recargas!$L$73*'Plan mensual'!G92</f>
        <v>3255.67609003462</v>
      </c>
      <c r="F67" s="25" t="n">
        <f aca="false">parametros_recargas!$E$73*'Plan mensual'!H85+parametros_recargas!$F$73*'Plan mensual'!H86+parametros_recargas!$G$73*'Plan mensual'!H87+parametros_recargas!$H$73*'Plan mensual'!H88+parametros_recargas!$I$73*'Plan mensual'!H89+parametros_recargas!$J$73*'Plan mensual'!H90+parametros_recargas!$K$73*'Plan mensual'!H91+parametros_recargas!$L$73*'Plan mensual'!H92</f>
        <v>3427.39406562738</v>
      </c>
      <c r="G67" s="25" t="n">
        <f aca="false">parametros_recargas!$E$73*'Plan mensual'!I85+parametros_recargas!$F$73*'Plan mensual'!I86+parametros_recargas!$G$73*'Plan mensual'!I87+parametros_recargas!$H$73*'Plan mensual'!I88+parametros_recargas!$I$73*'Plan mensual'!I89+parametros_recargas!$J$73*'Plan mensual'!I90+parametros_recargas!$K$73*'Plan mensual'!I91+parametros_recargas!$L$73*'Plan mensual'!I92</f>
        <v>3608.18542271864</v>
      </c>
      <c r="H67" s="25" t="n">
        <f aca="false">parametros_recargas!$E$73*'Plan mensual'!J85+parametros_recargas!$F$73*'Plan mensual'!J86+parametros_recargas!$G$73*'Plan mensual'!J87+parametros_recargas!$H$73*'Plan mensual'!J88+parametros_recargas!$I$73*'Plan mensual'!J89+parametros_recargas!$J$73*'Plan mensual'!J90+parametros_recargas!$K$73*'Plan mensual'!J91+parametros_recargas!$L$73*'Plan mensual'!J92</f>
        <v>3798.52958841282</v>
      </c>
      <c r="I67" s="25" t="n">
        <f aca="false">parametros_recargas!$E$73*'Plan mensual'!K85+parametros_recargas!$F$73*'Plan mensual'!K86+parametros_recargas!$G$73*'Plan mensual'!K87+parametros_recargas!$H$73*'Plan mensual'!K88+parametros_recargas!$I$73*'Plan mensual'!K89+parametros_recargas!$J$73*'Plan mensual'!K90+parametros_recargas!$K$73*'Plan mensual'!K91+parametros_recargas!$L$73*'Plan mensual'!K92</f>
        <v>3998.93132219442</v>
      </c>
      <c r="J67" s="25" t="n">
        <f aca="false">parametros_recargas!$E$73*'Plan mensual'!L85+parametros_recargas!$F$73*'Plan mensual'!L86+parametros_recargas!$G$73*'Plan mensual'!L87+parametros_recargas!$H$73*'Plan mensual'!L88+parametros_recargas!$I$73*'Plan mensual'!L89+parametros_recargas!$J$73*'Plan mensual'!L90+parametros_recargas!$K$73*'Plan mensual'!L91+parametros_recargas!$L$73*'Plan mensual'!L92</f>
        <v>4209.92205446196</v>
      </c>
      <c r="K67" s="25" t="n">
        <f aca="false">parametros_recargas!$E$73*'Plan mensual'!M85+parametros_recargas!$F$73*'Plan mensual'!M86+parametros_recargas!$G$73*'Plan mensual'!M87+parametros_recargas!$H$73*'Plan mensual'!M88+parametros_recargas!$I$73*'Plan mensual'!M89+parametros_recargas!$J$73*'Plan mensual'!M90+parametros_recargas!$K$73*'Plan mensual'!M91+parametros_recargas!$L$73*'Plan mensual'!M92</f>
        <v>4432.06129578862</v>
      </c>
      <c r="L67" s="25" t="n">
        <f aca="false">parametros_recargas!$E$73*'Plan mensual'!N85+parametros_recargas!$F$73*'Plan mensual'!N86+parametros_recargas!$G$73*'Plan mensual'!N87+parametros_recargas!$H$73*'Plan mensual'!N88+parametros_recargas!$I$73*'Plan mensual'!N89+parametros_recargas!$J$73*'Plan mensual'!N90+parametros_recargas!$K$73*'Plan mensual'!N91+parametros_recargas!$L$73*'Plan mensual'!N92</f>
        <v>4665.93812064656</v>
      </c>
      <c r="M67" s="25" t="n">
        <f aca="false">parametros_recargas!$E$73*'Plan mensual'!O85+parametros_recargas!$F$73*'Plan mensual'!O86+parametros_recargas!$G$73*'Plan mensual'!O87+parametros_recargas!$H$73*'Plan mensual'!O88+parametros_recargas!$I$73*'Plan mensual'!O89+parametros_recargas!$J$73*'Plan mensual'!O90+parametros_recargas!$K$73*'Plan mensual'!O91+parametros_recargas!$L$73*'Plan mensual'!O92</f>
        <v>4912.17272952955</v>
      </c>
      <c r="N67" s="7" t="n">
        <f aca="false">SUM(B67:M67)</f>
        <v>45129.5704036096</v>
      </c>
      <c r="O67" s="26" t="n">
        <f aca="false">MAX(B67:M67)</f>
        <v>4912.17272952955</v>
      </c>
      <c r="P67" s="15" t="n">
        <f aca="false">O67/parametros_recargas!$B$6</f>
        <v>32.7478181968637</v>
      </c>
    </row>
    <row r="68" customFormat="false" ht="15" hidden="false" customHeight="false" outlineLevel="0" collapsed="false">
      <c r="A68" s="12" t="str">
        <f aca="false">parametros_recargas!$B$74</f>
        <v>Descarga ABC — ruta recuperable</v>
      </c>
      <c r="B68" s="25" t="n">
        <f aca="false">parametros_recargas!$E$74*'Plan mensual'!D85+parametros_recargas!$F$74*'Plan mensual'!D86+parametros_recargas!$G$74*'Plan mensual'!D87+parametros_recargas!$H$74*'Plan mensual'!D88+parametros_recargas!$I$74*'Plan mensual'!D89+parametros_recargas!$J$74*'Plan mensual'!D90+parametros_recargas!$K$74*'Plan mensual'!D91+parametros_recargas!$L$74*'Plan mensual'!D92</f>
        <v>2042.4678952856</v>
      </c>
      <c r="C68" s="25" t="n">
        <f aca="false">parametros_recargas!$E$74*'Plan mensual'!E85+parametros_recargas!$F$74*'Plan mensual'!E86+parametros_recargas!$G$74*'Plan mensual'!E87+parametros_recargas!$H$74*'Plan mensual'!E88+parametros_recargas!$I$74*'Plan mensual'!E89+parametros_recargas!$J$74*'Plan mensual'!E90+parametros_recargas!$K$74*'Plan mensual'!E91+parametros_recargas!$L$74*'Plan mensual'!E92</f>
        <v>2150.20991152704</v>
      </c>
      <c r="D68" s="25" t="n">
        <f aca="false">parametros_recargas!$E$74*'Plan mensual'!F85+parametros_recargas!$F$74*'Plan mensual'!F86+parametros_recargas!$G$74*'Plan mensual'!F87+parametros_recargas!$H$74*'Plan mensual'!F88+parametros_recargas!$I$74*'Plan mensual'!F89+parametros_recargas!$J$74*'Plan mensual'!F90+parametros_recargas!$K$74*'Plan mensual'!F91+parametros_recargas!$L$74*'Plan mensual'!F92</f>
        <v>2263.64489272104</v>
      </c>
      <c r="E68" s="25" t="n">
        <f aca="false">parametros_recargas!$E$74*'Plan mensual'!G85+parametros_recargas!$F$74*'Plan mensual'!G86+parametros_recargas!$G$74*'Plan mensual'!G87+parametros_recargas!$H$74*'Plan mensual'!G88+parametros_recargas!$I$74*'Plan mensual'!G89+parametros_recargas!$J$74*'Plan mensual'!G90+parametros_recargas!$K$74*'Plan mensual'!G91+parametros_recargas!$L$74*'Plan mensual'!G92</f>
        <v>2383.07364862673</v>
      </c>
      <c r="F68" s="25" t="n">
        <f aca="false">parametros_recargas!$E$74*'Plan mensual'!H85+parametros_recargas!$F$74*'Plan mensual'!H86+parametros_recargas!$G$74*'Plan mensual'!H87+parametros_recargas!$H$74*'Plan mensual'!H88+parametros_recargas!$I$74*'Plan mensual'!H89+parametros_recargas!$J$74*'Plan mensual'!H90+parametros_recargas!$K$74*'Plan mensual'!H91+parametros_recargas!$L$74*'Plan mensual'!H92</f>
        <v>2508.81288344694</v>
      </c>
      <c r="G68" s="25" t="n">
        <f aca="false">parametros_recargas!$E$74*'Plan mensual'!I85+parametros_recargas!$F$74*'Plan mensual'!I86+parametros_recargas!$G$74*'Plan mensual'!I87+parametros_recargas!$H$74*'Plan mensual'!I88+parametros_recargas!$I$74*'Plan mensual'!I89+parametros_recargas!$J$74*'Plan mensual'!I90+parametros_recargas!$K$74*'Plan mensual'!I91+parametros_recargas!$L$74*'Plan mensual'!I92</f>
        <v>2641.1960356725</v>
      </c>
      <c r="H68" s="25" t="n">
        <f aca="false">parametros_recargas!$E$74*'Plan mensual'!J85+parametros_recargas!$F$74*'Plan mensual'!J86+parametros_recargas!$G$74*'Plan mensual'!J87+parametros_recargas!$H$74*'Plan mensual'!J88+parametros_recargas!$I$74*'Plan mensual'!J89+parametros_recargas!$J$74*'Plan mensual'!J90+parametros_recargas!$K$74*'Plan mensual'!J91+parametros_recargas!$L$74*'Plan mensual'!J92</f>
        <v>2780.57416230287</v>
      </c>
      <c r="I68" s="25" t="n">
        <f aca="false">parametros_recargas!$E$74*'Plan mensual'!K85+parametros_recargas!$F$74*'Plan mensual'!K86+parametros_recargas!$G$74*'Plan mensual'!K87+parametros_recargas!$H$74*'Plan mensual'!K88+parametros_recargas!$I$74*'Plan mensual'!K89+parametros_recargas!$J$74*'Plan mensual'!K90+parametros_recargas!$K$74*'Plan mensual'!K91+parametros_recargas!$L$74*'Plan mensual'!K92</f>
        <v>2927.31686978796</v>
      </c>
      <c r="J68" s="25" t="n">
        <f aca="false">parametros_recargas!$E$74*'Plan mensual'!L85+parametros_recargas!$F$74*'Plan mensual'!L86+parametros_recargas!$G$74*'Plan mensual'!L87+parametros_recargas!$H$74*'Plan mensual'!L88+parametros_recargas!$I$74*'Plan mensual'!L89+parametros_recargas!$J$74*'Plan mensual'!L90+parametros_recargas!$K$74*'Plan mensual'!L91+parametros_recargas!$L$74*'Plan mensual'!L92</f>
        <v>3081.81329415994</v>
      </c>
      <c r="K68" s="25" t="n">
        <f aca="false">parametros_recargas!$E$74*'Plan mensual'!M85+parametros_recargas!$F$74*'Plan mensual'!M86+parametros_recargas!$G$74*'Plan mensual'!M87+parametros_recargas!$H$74*'Plan mensual'!M88+parametros_recargas!$I$74*'Plan mensual'!M89+parametros_recargas!$J$74*'Plan mensual'!M90+parametros_recargas!$K$74*'Plan mensual'!M91+parametros_recargas!$L$74*'Plan mensual'!M92</f>
        <v>3244.47313295397</v>
      </c>
      <c r="L68" s="25" t="n">
        <f aca="false">parametros_recargas!$E$74*'Plan mensual'!N85+parametros_recargas!$F$74*'Plan mensual'!N86+parametros_recargas!$G$74*'Plan mensual'!N87+parametros_recargas!$H$74*'Plan mensual'!N88+parametros_recargas!$I$74*'Plan mensual'!N89+parametros_recargas!$J$74*'Plan mensual'!N90+parametros_recargas!$K$74*'Plan mensual'!N91+parametros_recargas!$L$74*'Plan mensual'!N92</f>
        <v>3415.72773165457</v>
      </c>
      <c r="M68" s="25" t="n">
        <f aca="false">parametros_recargas!$E$74*'Plan mensual'!O85+parametros_recargas!$F$74*'Plan mensual'!O86+parametros_recargas!$G$74*'Plan mensual'!O87+parametros_recargas!$H$74*'Plan mensual'!O88+parametros_recargas!$I$74*'Plan mensual'!O89+parametros_recargas!$J$74*'Plan mensual'!O90+parametros_recargas!$K$74*'Plan mensual'!O91+parametros_recargas!$L$74*'Plan mensual'!O92</f>
        <v>3596.03122754849</v>
      </c>
      <c r="N68" s="7" t="n">
        <f aca="false">SUM(B68:M68)</f>
        <v>33035.3416856876</v>
      </c>
      <c r="O68" s="26" t="n">
        <f aca="false">MAX(B68:M68)</f>
        <v>3596.03122754849</v>
      </c>
      <c r="P68" s="15" t="n">
        <f aca="false">O68/parametros_recargas!$B$6</f>
        <v>23.9735415169899</v>
      </c>
    </row>
    <row r="69" customFormat="false" ht="15" hidden="false" customHeight="false" outlineLevel="0" collapsed="false">
      <c r="A69" s="12" t="str">
        <f aca="false">parametros_recargas!$B$75</f>
        <v>Descarga ABC — ruta descarte</v>
      </c>
      <c r="B69" s="25" t="n">
        <f aca="false">parametros_recargas!$E$75*'Plan mensual'!D85+parametros_recargas!$F$75*'Plan mensual'!D86+parametros_recargas!$G$75*'Plan mensual'!D87+parametros_recargas!$H$75*'Plan mensual'!D88+parametros_recargas!$I$75*'Plan mensual'!D89+parametros_recargas!$J$75*'Plan mensual'!D90+parametros_recargas!$K$75*'Plan mensual'!D91+parametros_recargas!$L$75*'Plan mensual'!D92</f>
        <v>240.290340621835</v>
      </c>
      <c r="C69" s="25" t="n">
        <f aca="false">parametros_recargas!$E$75*'Plan mensual'!E85+parametros_recargas!$F$75*'Plan mensual'!E86+parametros_recargas!$G$75*'Plan mensual'!E87+parametros_recargas!$H$75*'Plan mensual'!E88+parametros_recargas!$I$75*'Plan mensual'!E89+parametros_recargas!$J$75*'Plan mensual'!E90+parametros_recargas!$K$75*'Plan mensual'!E91+parametros_recargas!$L$75*'Plan mensual'!E92</f>
        <v>252.965871944357</v>
      </c>
      <c r="D69" s="25" t="n">
        <f aca="false">parametros_recargas!$E$75*'Plan mensual'!F85+parametros_recargas!$F$75*'Plan mensual'!F86+parametros_recargas!$G$75*'Plan mensual'!F87+parametros_recargas!$H$75*'Plan mensual'!F88+parametros_recargas!$I$75*'Plan mensual'!F89+parametros_recargas!$J$75*'Plan mensual'!F90+parametros_recargas!$K$75*'Plan mensual'!F91+parametros_recargas!$L$75*'Plan mensual'!F92</f>
        <v>266.311163849535</v>
      </c>
      <c r="E69" s="25" t="n">
        <f aca="false">parametros_recargas!$E$75*'Plan mensual'!G85+parametros_recargas!$F$75*'Plan mensual'!G86+parametros_recargas!$G$75*'Plan mensual'!G87+parametros_recargas!$H$75*'Plan mensual'!G88+parametros_recargas!$I$75*'Plan mensual'!G89+parametros_recargas!$J$75*'Plan mensual'!G90+parametros_recargas!$K$75*'Plan mensual'!G91+parametros_recargas!$L$75*'Plan mensual'!G92</f>
        <v>280.361605720792</v>
      </c>
      <c r="F69" s="25" t="n">
        <f aca="false">parametros_recargas!$E$75*'Plan mensual'!H85+parametros_recargas!$F$75*'Plan mensual'!H86+parametros_recargas!$G$75*'Plan mensual'!H87+parametros_recargas!$H$75*'Plan mensual'!H88+parametros_recargas!$I$75*'Plan mensual'!H89+parametros_recargas!$J$75*'Plan mensual'!H90+parametros_recargas!$K$75*'Plan mensual'!H91+parametros_recargas!$L$75*'Plan mensual'!H92</f>
        <v>295.15445687611</v>
      </c>
      <c r="G69" s="25" t="n">
        <f aca="false">parametros_recargas!$E$75*'Plan mensual'!I85+parametros_recargas!$F$75*'Plan mensual'!I86+parametros_recargas!$G$75*'Plan mensual'!I87+parametros_recargas!$H$75*'Plan mensual'!I88+parametros_recargas!$I$75*'Plan mensual'!I89+parametros_recargas!$J$75*'Plan mensual'!I90+parametros_recargas!$K$75*'Plan mensual'!I91+parametros_recargas!$L$75*'Plan mensual'!I92</f>
        <v>310.728945373235</v>
      </c>
      <c r="H69" s="25" t="n">
        <f aca="false">parametros_recargas!$E$75*'Plan mensual'!J85+parametros_recargas!$F$75*'Plan mensual'!J86+parametros_recargas!$G$75*'Plan mensual'!J87+parametros_recargas!$H$75*'Plan mensual'!J88+parametros_recargas!$I$75*'Plan mensual'!J89+parametros_recargas!$J$75*'Plan mensual'!J90+parametros_recargas!$K$75*'Plan mensual'!J91+parametros_recargas!$L$75*'Plan mensual'!J92</f>
        <v>327.126372035631</v>
      </c>
      <c r="I69" s="25" t="n">
        <f aca="false">parametros_recargas!$E$75*'Plan mensual'!K85+parametros_recargas!$F$75*'Plan mensual'!K86+parametros_recargas!$G$75*'Plan mensual'!K87+parametros_recargas!$H$75*'Plan mensual'!K88+parametros_recargas!$I$75*'Plan mensual'!K89+parametros_recargas!$J$75*'Plan mensual'!K90+parametros_recargas!$K$75*'Plan mensual'!K91+parametros_recargas!$L$75*'Plan mensual'!K92</f>
        <v>344.390219975054</v>
      </c>
      <c r="J69" s="25" t="n">
        <f aca="false">parametros_recargas!$E$75*'Plan mensual'!L85+parametros_recargas!$F$75*'Plan mensual'!L86+parametros_recargas!$G$75*'Plan mensual'!L87+parametros_recargas!$H$75*'Plan mensual'!L88+parametros_recargas!$I$75*'Plan mensual'!L89+parametros_recargas!$J$75*'Plan mensual'!L90+parametros_recargas!$K$75*'Plan mensual'!L91+parametros_recargas!$L$75*'Plan mensual'!L92</f>
        <v>362.566269901169</v>
      </c>
      <c r="K69" s="25" t="n">
        <f aca="false">parametros_recargas!$E$75*'Plan mensual'!M85+parametros_recargas!$F$75*'Plan mensual'!M86+parametros_recargas!$G$75*'Plan mensual'!M87+parametros_recargas!$H$75*'Plan mensual'!M88+parametros_recargas!$I$75*'Plan mensual'!M89+parametros_recargas!$J$75*'Plan mensual'!M90+parametros_recargas!$K$75*'Plan mensual'!M91+parametros_recargas!$L$75*'Plan mensual'!M92</f>
        <v>381.702721523996</v>
      </c>
      <c r="L69" s="25" t="n">
        <f aca="false">parametros_recargas!$E$75*'Plan mensual'!N85+parametros_recargas!$F$75*'Plan mensual'!N86+parametros_recargas!$G$75*'Plan mensual'!N87+parametros_recargas!$H$75*'Plan mensual'!N88+parametros_recargas!$I$75*'Plan mensual'!N89+parametros_recargas!$J$75*'Plan mensual'!N90+parametros_recargas!$K$75*'Plan mensual'!N91+parametros_recargas!$L$75*'Plan mensual'!N92</f>
        <v>401.850321371126</v>
      </c>
      <c r="M69" s="25" t="n">
        <f aca="false">parametros_recargas!$E$75*'Plan mensual'!O85+parametros_recargas!$F$75*'Plan mensual'!O86+parametros_recargas!$G$75*'Plan mensual'!O87+parametros_recargas!$H$75*'Plan mensual'!O88+parametros_recargas!$I$75*'Plan mensual'!O89+parametros_recargas!$J$75*'Plan mensual'!O90+parametros_recargas!$K$75*'Plan mensual'!O91+parametros_recargas!$L$75*'Plan mensual'!O92</f>
        <v>423.062497358646</v>
      </c>
      <c r="N69" s="7" t="n">
        <f aca="false">SUM(B69:M69)</f>
        <v>3886.51078655149</v>
      </c>
      <c r="O69" s="26" t="n">
        <f aca="false">MAX(B69:M69)</f>
        <v>423.062497358646</v>
      </c>
      <c r="P69" s="15" t="n">
        <f aca="false">O69/parametros_recargas!$B$6</f>
        <v>2.82041664905764</v>
      </c>
    </row>
    <row r="70" customFormat="false" ht="15" hidden="false" customHeight="false" outlineLevel="0" collapsed="false">
      <c r="A70" s="12" t="str">
        <f aca="false">parametros_recargas!$B$76</f>
        <v>Descarga BC</v>
      </c>
      <c r="B70" s="25" t="n">
        <f aca="false">parametros_recargas!$E$76*'Plan mensual'!D85+parametros_recargas!$F$76*'Plan mensual'!D86+parametros_recargas!$G$76*'Plan mensual'!D87+parametros_recargas!$H$76*'Plan mensual'!D88+parametros_recargas!$I$76*'Plan mensual'!D89+parametros_recargas!$J$76*'Plan mensual'!D90+parametros_recargas!$K$76*'Plan mensual'!D91+parametros_recargas!$L$76*'Plan mensual'!D92</f>
        <v>3.9933320930784</v>
      </c>
      <c r="C70" s="25" t="n">
        <f aca="false">parametros_recargas!$E$76*'Plan mensual'!E85+parametros_recargas!$F$76*'Plan mensual'!E86+parametros_recargas!$G$76*'Plan mensual'!E87+parametros_recargas!$H$76*'Plan mensual'!E88+parametros_recargas!$I$76*'Plan mensual'!E89+parametros_recargas!$J$76*'Plan mensual'!E90+parametros_recargas!$K$76*'Plan mensual'!E91+parametros_recargas!$L$76*'Plan mensual'!E92</f>
        <v>4.19993195709002</v>
      </c>
      <c r="D70" s="25" t="n">
        <f aca="false">parametros_recargas!$E$76*'Plan mensual'!F85+parametros_recargas!$F$76*'Plan mensual'!F86+parametros_recargas!$G$76*'Plan mensual'!F87+parametros_recargas!$H$76*'Plan mensual'!F88+parametros_recargas!$I$76*'Plan mensual'!F89+parametros_recargas!$J$76*'Plan mensual'!F90+parametros_recargas!$K$76*'Plan mensual'!F91+parametros_recargas!$L$76*'Plan mensual'!F92</f>
        <v>4.41744832170237</v>
      </c>
      <c r="E70" s="25" t="n">
        <f aca="false">parametros_recargas!$E$76*'Plan mensual'!G85+parametros_recargas!$F$76*'Plan mensual'!G86+parametros_recargas!$G$76*'Plan mensual'!G87+parametros_recargas!$H$76*'Plan mensual'!G88+parametros_recargas!$I$76*'Plan mensual'!G89+parametros_recargas!$J$76*'Plan mensual'!G90+parametros_recargas!$K$76*'Plan mensual'!G91+parametros_recargas!$L$76*'Plan mensual'!G92</f>
        <v>4.64645800232593</v>
      </c>
      <c r="F70" s="25" t="n">
        <f aca="false">parametros_recargas!$E$76*'Plan mensual'!H85+parametros_recargas!$F$76*'Plan mensual'!H86+parametros_recargas!$G$76*'Plan mensual'!H87+parametros_recargas!$H$76*'Plan mensual'!H88+parametros_recargas!$I$76*'Plan mensual'!H89+parametros_recargas!$J$76*'Plan mensual'!H90+parametros_recargas!$K$76*'Plan mensual'!H91+parametros_recargas!$L$76*'Plan mensual'!H92</f>
        <v>4.88756829263799</v>
      </c>
      <c r="G70" s="25" t="n">
        <f aca="false">parametros_recargas!$E$76*'Plan mensual'!I85+parametros_recargas!$F$76*'Plan mensual'!I86+parametros_recargas!$G$76*'Plan mensual'!I87+parametros_recargas!$H$76*'Plan mensual'!I88+parametros_recargas!$I$76*'Plan mensual'!I89+parametros_recargas!$J$76*'Plan mensual'!I90+parametros_recargas!$K$76*'Plan mensual'!I91+parametros_recargas!$L$76*'Plan mensual'!I92</f>
        <v>5.14141857501939</v>
      </c>
      <c r="H70" s="25" t="n">
        <f aca="false">parametros_recargas!$E$76*'Plan mensual'!J85+parametros_recargas!$F$76*'Plan mensual'!J86+parametros_recargas!$G$76*'Plan mensual'!J87+parametros_recargas!$H$76*'Plan mensual'!J88+parametros_recargas!$I$76*'Plan mensual'!J89+parametros_recargas!$J$76*'Plan mensual'!J90+parametros_recargas!$K$76*'Plan mensual'!J91+parametros_recargas!$L$76*'Plan mensual'!J92</f>
        <v>5.40868201608495</v>
      </c>
      <c r="I70" s="25" t="n">
        <f aca="false">parametros_recargas!$E$76*'Plan mensual'!K85+parametros_recargas!$F$76*'Plan mensual'!K86+parametros_recargas!$G$76*'Plan mensual'!K87+parametros_recargas!$H$76*'Plan mensual'!K88+parametros_recargas!$I$76*'Plan mensual'!K89+parametros_recargas!$J$76*'Plan mensual'!K90+parametros_recargas!$K$76*'Plan mensual'!K91+parametros_recargas!$L$76*'Plan mensual'!K92</f>
        <v>5.69006735180374</v>
      </c>
      <c r="J70" s="25" t="n">
        <f aca="false">parametros_recargas!$E$76*'Plan mensual'!L85+parametros_recargas!$F$76*'Plan mensual'!L86+parametros_recargas!$G$76*'Plan mensual'!L87+parametros_recargas!$H$76*'Plan mensual'!L88+parametros_recargas!$I$76*'Plan mensual'!L89+parametros_recargas!$J$76*'Plan mensual'!L90+parametros_recargas!$K$76*'Plan mensual'!L91+parametros_recargas!$L$76*'Plan mensual'!L92</f>
        <v>5.98632076694314</v>
      </c>
      <c r="K70" s="25" t="n">
        <f aca="false">parametros_recargas!$E$76*'Plan mensual'!M85+parametros_recargas!$F$76*'Plan mensual'!M86+parametros_recargas!$G$76*'Plan mensual'!M87+parametros_recargas!$H$76*'Plan mensual'!M88+parametros_recargas!$I$76*'Plan mensual'!M89+parametros_recargas!$J$76*'Plan mensual'!M90+parametros_recargas!$K$76*'Plan mensual'!M91+parametros_recargas!$L$76*'Plan mensual'!M92</f>
        <v>6.29822787382048</v>
      </c>
      <c r="L70" s="25" t="n">
        <f aca="false">parametros_recargas!$E$76*'Plan mensual'!N85+parametros_recargas!$F$76*'Plan mensual'!N86+parametros_recargas!$G$76*'Plan mensual'!N87+parametros_recargas!$H$76*'Plan mensual'!N88+parametros_recargas!$I$76*'Plan mensual'!N89+parametros_recargas!$J$76*'Plan mensual'!N90+parametros_recargas!$K$76*'Plan mensual'!N91+parametros_recargas!$L$76*'Plan mensual'!N92</f>
        <v>6.62661579560973</v>
      </c>
      <c r="M70" s="25" t="n">
        <f aca="false">parametros_recargas!$E$76*'Plan mensual'!O85+parametros_recargas!$F$76*'Plan mensual'!O86+parametros_recargas!$G$76*'Plan mensual'!O87+parametros_recargas!$H$76*'Plan mensual'!O88+parametros_recargas!$I$76*'Plan mensual'!O89+parametros_recargas!$J$76*'Plan mensual'!O90+parametros_recargas!$K$76*'Plan mensual'!O91+parametros_recargas!$L$76*'Plan mensual'!O92</f>
        <v>6.97235535972766</v>
      </c>
      <c r="N70" s="7" t="n">
        <f aca="false">SUM(B70:M70)</f>
        <v>64.2684264058438</v>
      </c>
      <c r="O70" s="26" t="n">
        <f aca="false">MAX(B70:M70)</f>
        <v>6.97235535972766</v>
      </c>
      <c r="P70" s="15" t="n">
        <f aca="false">O70/parametros_recargas!$B$6</f>
        <v>0.046482369064851</v>
      </c>
    </row>
    <row r="71" customFormat="false" ht="15" hidden="false" customHeight="false" outlineLevel="0" collapsed="false">
      <c r="A71" s="12" t="str">
        <f aca="false">parametros_recargas!$B$77</f>
        <v>Descarga de agua / AFFF / sales K</v>
      </c>
      <c r="B71" s="25" t="n">
        <f aca="false">parametros_recargas!$E$77*'Plan mensual'!D85+parametros_recargas!$F$77*'Plan mensual'!D86+parametros_recargas!$G$77*'Plan mensual'!D87+parametros_recargas!$H$77*'Plan mensual'!D88+parametros_recargas!$I$77*'Plan mensual'!D89+parametros_recargas!$J$77*'Plan mensual'!D90+parametros_recargas!$K$77*'Plan mensual'!D91+parametros_recargas!$L$77*'Plan mensual'!D92</f>
        <v>134.073124458762</v>
      </c>
      <c r="C71" s="25" t="n">
        <f aca="false">parametros_recargas!$E$77*'Plan mensual'!E85+parametros_recargas!$F$77*'Plan mensual'!E86+parametros_recargas!$G$77*'Plan mensual'!E87+parametros_recargas!$H$77*'Plan mensual'!E88+parametros_recargas!$I$77*'Plan mensual'!E89+parametros_recargas!$J$77*'Plan mensual'!E90+parametros_recargas!$K$77*'Plan mensual'!E91+parametros_recargas!$L$77*'Plan mensual'!E92</f>
        <v>141.117765921662</v>
      </c>
      <c r="D71" s="25" t="n">
        <f aca="false">parametros_recargas!$E$77*'Plan mensual'!F85+parametros_recargas!$F$77*'Plan mensual'!F86+parametros_recargas!$G$77*'Plan mensual'!F87+parametros_recargas!$H$77*'Plan mensual'!F88+parametros_recargas!$I$77*'Plan mensual'!F89+parametros_recargas!$J$77*'Plan mensual'!F90+parametros_recargas!$K$77*'Plan mensual'!F91+parametros_recargas!$L$77*'Plan mensual'!F92</f>
        <v>148.534638185048</v>
      </c>
      <c r="E71" s="25" t="n">
        <f aca="false">parametros_recargas!$E$77*'Plan mensual'!G85+parametros_recargas!$F$77*'Plan mensual'!G86+parametros_recargas!$G$77*'Plan mensual'!G87+parametros_recargas!$H$77*'Plan mensual'!G88+parametros_recargas!$I$77*'Plan mensual'!G89+parametros_recargas!$J$77*'Plan mensual'!G90+parametros_recargas!$K$77*'Plan mensual'!G91+parametros_recargas!$L$77*'Plan mensual'!G92</f>
        <v>156.343409498835</v>
      </c>
      <c r="F71" s="25" t="n">
        <f aca="false">parametros_recargas!$E$77*'Plan mensual'!H85+parametros_recargas!$F$77*'Plan mensual'!H86+parametros_recargas!$G$77*'Plan mensual'!H87+parametros_recargas!$H$77*'Plan mensual'!H88+parametros_recargas!$I$77*'Plan mensual'!H89+parametros_recargas!$J$77*'Plan mensual'!H90+parametros_recargas!$K$77*'Plan mensual'!H91+parametros_recargas!$L$77*'Plan mensual'!H92</f>
        <v>164.56478736077</v>
      </c>
      <c r="G71" s="25" t="n">
        <f aca="false">parametros_recargas!$E$77*'Plan mensual'!I85+parametros_recargas!$F$77*'Plan mensual'!I86+parametros_recargas!$G$77*'Plan mensual'!I87+parametros_recargas!$H$77*'Plan mensual'!I88+parametros_recargas!$I$77*'Plan mensual'!I89+parametros_recargas!$J$77*'Plan mensual'!I90+parametros_recargas!$K$77*'Plan mensual'!I91+parametros_recargas!$L$77*'Plan mensual'!I92</f>
        <v>173.22057342911</v>
      </c>
      <c r="H71" s="25" t="n">
        <f aca="false">parametros_recargas!$E$77*'Plan mensual'!J85+parametros_recargas!$F$77*'Plan mensual'!J86+parametros_recargas!$G$77*'Plan mensual'!J87+parametros_recargas!$H$77*'Plan mensual'!J88+parametros_recargas!$I$77*'Plan mensual'!J89+parametros_recargas!$J$77*'Plan mensual'!J90+parametros_recargas!$K$77*'Plan mensual'!J91+parametros_recargas!$L$77*'Plan mensual'!J92</f>
        <v>182.333721336805</v>
      </c>
      <c r="I71" s="25" t="n">
        <f aca="false">parametros_recargas!$E$77*'Plan mensual'!K85+parametros_recargas!$F$77*'Plan mensual'!K86+parametros_recargas!$G$77*'Plan mensual'!K87+parametros_recargas!$H$77*'Plan mensual'!K88+parametros_recargas!$I$77*'Plan mensual'!K89+parametros_recargas!$J$77*'Plan mensual'!K90+parametros_recargas!$K$77*'Plan mensual'!K91+parametros_recargas!$L$77*'Plan mensual'!K92</f>
        <v>191.928397560526</v>
      </c>
      <c r="J71" s="25" t="n">
        <f aca="false">parametros_recargas!$E$77*'Plan mensual'!L85+parametros_recargas!$F$77*'Plan mensual'!L86+parametros_recargas!$G$77*'Plan mensual'!L87+parametros_recargas!$H$77*'Plan mensual'!L88+parametros_recargas!$I$77*'Plan mensual'!L89+parametros_recargas!$J$77*'Plan mensual'!L90+parametros_recargas!$K$77*'Plan mensual'!L91+parametros_recargas!$L$77*'Plan mensual'!L92</f>
        <v>202.030045505944</v>
      </c>
      <c r="K71" s="25" t="n">
        <f aca="false">parametros_recargas!$E$77*'Plan mensual'!M85+parametros_recargas!$F$77*'Plan mensual'!M86+parametros_recargas!$G$77*'Plan mensual'!M87+parametros_recargas!$H$77*'Plan mensual'!M88+parametros_recargas!$I$77*'Plan mensual'!M89+parametros_recargas!$J$77*'Plan mensual'!M90+parametros_recargas!$K$77*'Plan mensual'!M91+parametros_recargas!$L$77*'Plan mensual'!M92</f>
        <v>212.665452979191</v>
      </c>
      <c r="L71" s="25" t="n">
        <f aca="false">parametros_recargas!$E$77*'Plan mensual'!N85+parametros_recargas!$F$77*'Plan mensual'!N86+parametros_recargas!$G$77*'Plan mensual'!N87+parametros_recargas!$H$77*'Plan mensual'!N88+parametros_recargas!$I$77*'Plan mensual'!N89+parametros_recargas!$J$77*'Plan mensual'!N90+parametros_recargas!$K$77*'Plan mensual'!N91+parametros_recargas!$L$77*'Plan mensual'!N92</f>
        <v>223.862823223451</v>
      </c>
      <c r="M71" s="25" t="n">
        <f aca="false">parametros_recargas!$E$77*'Plan mensual'!O85+parametros_recargas!$F$77*'Plan mensual'!O86+parametros_recargas!$G$77*'Plan mensual'!O87+parametros_recargas!$H$77*'Plan mensual'!O88+parametros_recargas!$I$77*'Plan mensual'!O89+parametros_recargas!$J$77*'Plan mensual'!O90+parametros_recargas!$K$77*'Plan mensual'!O91+parametros_recargas!$L$77*'Plan mensual'!O92</f>
        <v>235.651849709029</v>
      </c>
      <c r="N71" s="7" t="n">
        <f aca="false">SUM(B71:M71)</f>
        <v>2166.32658916913</v>
      </c>
      <c r="O71" s="26" t="n">
        <f aca="false">MAX(B71:M71)</f>
        <v>235.651849709029</v>
      </c>
      <c r="P71" s="15" t="n">
        <f aca="false">O71/parametros_recargas!$B$6</f>
        <v>1.57101233139353</v>
      </c>
    </row>
    <row r="72" customFormat="false" ht="15" hidden="false" customHeight="false" outlineLevel="0" collapsed="false">
      <c r="A72" s="12" t="str">
        <f aca="false">parametros_recargas!$B$78</f>
        <v>Recuperación de CO₂</v>
      </c>
      <c r="B72" s="25" t="n">
        <f aca="false">parametros_recargas!$E$78*'Plan mensual'!D85+parametros_recargas!$F$78*'Plan mensual'!D86+parametros_recargas!$G$78*'Plan mensual'!D87+parametros_recargas!$H$78*'Plan mensual'!D88+parametros_recargas!$I$78*'Plan mensual'!D89+parametros_recargas!$J$78*'Plan mensual'!D90+parametros_recargas!$K$78*'Plan mensual'!D91+parametros_recargas!$L$78*'Plan mensual'!D92</f>
        <v>58.8301961649904</v>
      </c>
      <c r="C72" s="25" t="n">
        <f aca="false">parametros_recargas!$E$78*'Plan mensual'!E85+parametros_recargas!$F$78*'Plan mensual'!E86+parametros_recargas!$G$78*'Plan mensual'!E87+parametros_recargas!$H$78*'Plan mensual'!E88+parametros_recargas!$I$78*'Plan mensual'!E89+parametros_recargas!$J$78*'Plan mensual'!E90+parametros_recargas!$K$78*'Plan mensual'!E91+parametros_recargas!$L$78*'Plan mensual'!E92</f>
        <v>61.9277083723645</v>
      </c>
      <c r="D72" s="25" t="n">
        <f aca="false">parametros_recargas!$E$78*'Plan mensual'!F85+parametros_recargas!$F$78*'Plan mensual'!F86+parametros_recargas!$G$78*'Plan mensual'!F87+parametros_recargas!$H$78*'Plan mensual'!F88+parametros_recargas!$I$78*'Plan mensual'!F89+parametros_recargas!$J$78*'Plan mensual'!F90+parametros_recargas!$K$78*'Plan mensual'!F91+parametros_recargas!$L$78*'Plan mensual'!F92</f>
        <v>65.1888895832704</v>
      </c>
      <c r="E72" s="25" t="n">
        <f aca="false">parametros_recargas!$E$78*'Plan mensual'!G85+parametros_recargas!$F$78*'Plan mensual'!G86+parametros_recargas!$G$78*'Plan mensual'!G87+parametros_recargas!$H$78*'Plan mensual'!G88+parametros_recargas!$I$78*'Plan mensual'!G89+parametros_recargas!$J$78*'Plan mensual'!G90+parametros_recargas!$K$78*'Plan mensual'!G91+parametros_recargas!$L$78*'Plan mensual'!G92</f>
        <v>68.6223878807255</v>
      </c>
      <c r="F72" s="25" t="n">
        <f aca="false">parametros_recargas!$E$78*'Plan mensual'!H85+parametros_recargas!$F$78*'Plan mensual'!H86+parametros_recargas!$G$78*'Plan mensual'!H87+parametros_recargas!$H$78*'Plan mensual'!H88+parametros_recargas!$I$78*'Plan mensual'!H89+parametros_recargas!$J$78*'Plan mensual'!H90+parametros_recargas!$K$78*'Plan mensual'!H91+parametros_recargas!$L$78*'Plan mensual'!H92</f>
        <v>72.2373083025663</v>
      </c>
      <c r="G72" s="25" t="n">
        <f aca="false">parametros_recargas!$E$78*'Plan mensual'!I85+parametros_recargas!$F$78*'Plan mensual'!I86+parametros_recargas!$G$78*'Plan mensual'!I87+parametros_recargas!$H$78*'Plan mensual'!I88+parametros_recargas!$I$78*'Plan mensual'!I89+parametros_recargas!$J$78*'Plan mensual'!I90+parametros_recargas!$K$78*'Plan mensual'!I91+parametros_recargas!$L$78*'Plan mensual'!I92</f>
        <v>76.0432369864184</v>
      </c>
      <c r="H72" s="25" t="n">
        <f aca="false">parametros_recargas!$E$78*'Plan mensual'!J85+parametros_recargas!$F$78*'Plan mensual'!J86+parametros_recargas!$G$78*'Plan mensual'!J87+parametros_recargas!$H$78*'Plan mensual'!J88+parametros_recargas!$I$78*'Plan mensual'!J89+parametros_recargas!$J$78*'Plan mensual'!J90+parametros_recargas!$K$78*'Plan mensual'!J91+parametros_recargas!$L$78*'Plan mensual'!J92</f>
        <v>80.0502665904593</v>
      </c>
      <c r="I72" s="25" t="n">
        <f aca="false">parametros_recargas!$E$78*'Plan mensual'!K85+parametros_recargas!$F$78*'Plan mensual'!K86+parametros_recargas!$G$78*'Plan mensual'!K87+parametros_recargas!$H$78*'Plan mensual'!K88+parametros_recargas!$I$78*'Plan mensual'!K89+parametros_recargas!$J$78*'Plan mensual'!K90+parametros_recargas!$K$78*'Plan mensual'!K91+parametros_recargas!$L$78*'Plan mensual'!K92</f>
        <v>84.2690230573852</v>
      </c>
      <c r="J72" s="25" t="n">
        <f aca="false">parametros_recargas!$E$78*'Plan mensual'!L85+parametros_recargas!$F$78*'Plan mensual'!L86+parametros_recargas!$G$78*'Plan mensual'!L87+parametros_recargas!$H$78*'Plan mensual'!L88+parametros_recargas!$I$78*'Plan mensual'!L89+parametros_recargas!$J$78*'Plan mensual'!L90+parametros_recargas!$K$78*'Plan mensual'!L91+parametros_recargas!$L$78*'Plan mensual'!L92</f>
        <v>88.7106937925556</v>
      </c>
      <c r="K72" s="25" t="n">
        <f aca="false">parametros_recargas!$E$78*'Plan mensual'!M85+parametros_recargas!$F$78*'Plan mensual'!M86+parametros_recargas!$G$78*'Plan mensual'!M87+parametros_recargas!$H$78*'Plan mensual'!M88+parametros_recargas!$I$78*'Plan mensual'!M89+parametros_recargas!$J$78*'Plan mensual'!M90+parametros_recargas!$K$78*'Plan mensual'!M91+parametros_recargas!$L$78*'Plan mensual'!M92</f>
        <v>93.3870573310378</v>
      </c>
      <c r="L72" s="25" t="n">
        <f aca="false">parametros_recargas!$E$78*'Plan mensual'!N85+parametros_recargas!$F$78*'Plan mensual'!N86+parametros_recargas!$G$78*'Plan mensual'!N87+parametros_recargas!$H$78*'Plan mensual'!N88+parametros_recargas!$I$78*'Plan mensual'!N89+parametros_recargas!$J$78*'Plan mensual'!N90+parametros_recargas!$K$78*'Plan mensual'!N91+parametros_recargas!$L$78*'Plan mensual'!N92</f>
        <v>98.3105145722255</v>
      </c>
      <c r="M72" s="25" t="n">
        <f aca="false">parametros_recargas!$E$78*'Plan mensual'!O85+parametros_recargas!$F$78*'Plan mensual'!O86+parametros_recargas!$G$78*'Plan mensual'!O87+parametros_recargas!$H$78*'Plan mensual'!O88+parametros_recargas!$I$78*'Plan mensual'!O89+parametros_recargas!$J$78*'Plan mensual'!O90+parametros_recargas!$K$78*'Plan mensual'!O91+parametros_recargas!$L$78*'Plan mensual'!O92</f>
        <v>103.494121664858</v>
      </c>
      <c r="N72" s="7" t="n">
        <f aca="false">SUM(B72:M72)</f>
        <v>951.071404298857</v>
      </c>
      <c r="O72" s="26" t="n">
        <f aca="false">MAX(B72:M72)</f>
        <v>103.494121664858</v>
      </c>
      <c r="P72" s="15" t="n">
        <f aca="false">O72/parametros_recargas!$B$6</f>
        <v>0.689960811099052</v>
      </c>
    </row>
    <row r="73" customFormat="false" ht="15" hidden="false" customHeight="false" outlineLevel="0" collapsed="false">
      <c r="A73" s="12" t="str">
        <f aca="false">parametros_recargas!$B$79</f>
        <v>Recuperación de halogenado</v>
      </c>
      <c r="B73" s="25" t="n">
        <f aca="false">parametros_recargas!$E$79*'Plan mensual'!D85+parametros_recargas!$F$79*'Plan mensual'!D86+parametros_recargas!$G$79*'Plan mensual'!D87+parametros_recargas!$H$79*'Plan mensual'!D88+parametros_recargas!$I$79*'Plan mensual'!D89+parametros_recargas!$J$79*'Plan mensual'!D90+parametros_recargas!$K$79*'Plan mensual'!D91+parametros_recargas!$L$79*'Plan mensual'!D92</f>
        <v>2.55948308044271</v>
      </c>
      <c r="C73" s="25" t="n">
        <f aca="false">parametros_recargas!$E$79*'Plan mensual'!E85+parametros_recargas!$F$79*'Plan mensual'!E86+parametros_recargas!$G$79*'Plan mensual'!E87+parametros_recargas!$H$79*'Plan mensual'!E88+parametros_recargas!$I$79*'Plan mensual'!E89+parametros_recargas!$J$79*'Plan mensual'!E90+parametros_recargas!$K$79*'Plan mensual'!E91+parametros_recargas!$L$79*'Plan mensual'!E92</f>
        <v>2.6936224305432</v>
      </c>
      <c r="D73" s="25" t="n">
        <f aca="false">parametros_recargas!$E$79*'Plan mensual'!F85+parametros_recargas!$F$79*'Plan mensual'!F86+parametros_recargas!$G$79*'Plan mensual'!F87+parametros_recargas!$H$79*'Plan mensual'!F88+parametros_recargas!$I$79*'Plan mensual'!F89+parametros_recargas!$J$79*'Plan mensual'!F90+parametros_recargas!$K$79*'Plan mensual'!F91+parametros_recargas!$L$79*'Plan mensual'!F92</f>
        <v>2.83484955053627</v>
      </c>
      <c r="E73" s="25" t="n">
        <f aca="false">parametros_recargas!$E$79*'Plan mensual'!G85+parametros_recargas!$F$79*'Plan mensual'!G86+parametros_recargas!$G$79*'Plan mensual'!G87+parametros_recargas!$H$79*'Plan mensual'!G88+parametros_recargas!$I$79*'Plan mensual'!G89+parametros_recargas!$J$79*'Plan mensual'!G90+parametros_recargas!$K$79*'Plan mensual'!G91+parametros_recargas!$L$79*'Plan mensual'!G92</f>
        <v>2.98353895007934</v>
      </c>
      <c r="F73" s="25" t="n">
        <f aca="false">parametros_recargas!$E$79*'Plan mensual'!H85+parametros_recargas!$F$79*'Plan mensual'!H86+parametros_recargas!$G$79*'Plan mensual'!H87+parametros_recargas!$H$79*'Plan mensual'!H88+parametros_recargas!$I$79*'Plan mensual'!H89+parametros_recargas!$J$79*'Plan mensual'!H90+parametros_recargas!$K$79*'Plan mensual'!H91+parametros_recargas!$L$79*'Plan mensual'!H92</f>
        <v>3.14008492749189</v>
      </c>
      <c r="G73" s="25" t="n">
        <f aca="false">parametros_recargas!$E$79*'Plan mensual'!I85+parametros_recargas!$F$79*'Plan mensual'!I86+parametros_recargas!$G$79*'Plan mensual'!I87+parametros_recargas!$H$79*'Plan mensual'!I88+parametros_recargas!$I$79*'Plan mensual'!I89+parametros_recargas!$J$79*'Plan mensual'!I90+parametros_recargas!$K$79*'Plan mensual'!I91+parametros_recargas!$L$79*'Plan mensual'!I92</f>
        <v>3.30490261536584</v>
      </c>
      <c r="H73" s="25" t="n">
        <f aca="false">parametros_recargas!$E$79*'Plan mensual'!J85+parametros_recargas!$F$79*'Plan mensual'!J86+parametros_recargas!$G$79*'Plan mensual'!J87+parametros_recargas!$H$79*'Plan mensual'!J88+parametros_recargas!$I$79*'Plan mensual'!J89+parametros_recargas!$J$79*'Plan mensual'!J90+parametros_recargas!$K$79*'Plan mensual'!J91+parametros_recargas!$L$79*'Plan mensual'!J92</f>
        <v>3.47842908142459</v>
      </c>
      <c r="I73" s="25" t="n">
        <f aca="false">parametros_recargas!$E$79*'Plan mensual'!K85+parametros_recargas!$F$79*'Plan mensual'!K86+parametros_recargas!$G$79*'Plan mensual'!K87+parametros_recargas!$H$79*'Plan mensual'!K88+parametros_recargas!$I$79*'Plan mensual'!K89+parametros_recargas!$J$79*'Plan mensual'!K90+parametros_recargas!$K$79*'Plan mensual'!K91+parametros_recargas!$L$79*'Plan mensual'!K92</f>
        <v>3.66112448755034</v>
      </c>
      <c r="J73" s="25" t="n">
        <f aca="false">parametros_recargas!$E$79*'Plan mensual'!L85+parametros_recargas!$F$79*'Plan mensual'!L86+parametros_recargas!$G$79*'Plan mensual'!L87+parametros_recargas!$H$79*'Plan mensual'!L88+parametros_recargas!$I$79*'Plan mensual'!L89+parametros_recargas!$J$79*'Plan mensual'!L90+parametros_recargas!$K$79*'Plan mensual'!L91+parametros_recargas!$L$79*'Plan mensual'!L92</f>
        <v>3.85347331005303</v>
      </c>
      <c r="K73" s="25" t="n">
        <f aca="false">parametros_recargas!$E$79*'Plan mensual'!M85+parametros_recargas!$F$79*'Plan mensual'!M86+parametros_recargas!$G$79*'Plan mensual'!M87+parametros_recargas!$H$79*'Plan mensual'!M88+parametros_recargas!$I$79*'Plan mensual'!M89+parametros_recargas!$J$79*'Plan mensual'!M90+parametros_recargas!$K$79*'Plan mensual'!M91+parametros_recargas!$L$79*'Plan mensual'!M92</f>
        <v>4.05598562441688</v>
      </c>
      <c r="L73" s="25" t="n">
        <f aca="false">parametros_recargas!$E$79*'Plan mensual'!N85+parametros_recargas!$F$79*'Plan mensual'!N86+parametros_recargas!$G$79*'Plan mensual'!N87+parametros_recargas!$H$79*'Plan mensual'!N88+parametros_recargas!$I$79*'Plan mensual'!N89+parametros_recargas!$J$79*'Plan mensual'!N90+parametros_recargas!$K$79*'Plan mensual'!N91+parametros_recargas!$L$79*'Plan mensual'!N92</f>
        <v>4.26919845793154</v>
      </c>
      <c r="M73" s="25" t="n">
        <f aca="false">parametros_recargas!$E$79*'Plan mensual'!O85+parametros_recargas!$F$79*'Plan mensual'!O86+parametros_recargas!$G$79*'Plan mensual'!O87+parametros_recargas!$H$79*'Plan mensual'!O88+parametros_recargas!$I$79*'Plan mensual'!O89+parametros_recargas!$J$79*'Plan mensual'!O90+parametros_recargas!$K$79*'Plan mensual'!O91+parametros_recargas!$L$79*'Plan mensual'!O92</f>
        <v>4.4936772137946</v>
      </c>
      <c r="N73" s="7" t="n">
        <f aca="false">SUM(B73:M73)</f>
        <v>41.3283697296302</v>
      </c>
      <c r="O73" s="26" t="n">
        <f aca="false">MAX(B73:M73)</f>
        <v>4.4936772137946</v>
      </c>
      <c r="P73" s="15" t="n">
        <f aca="false">O73/parametros_recargas!$B$6</f>
        <v>0.029957848091964</v>
      </c>
    </row>
    <row r="74" customFormat="false" ht="15" hidden="false" customHeight="false" outlineLevel="0" collapsed="false">
      <c r="A74" s="12" t="str">
        <f aca="false">parametros_recargas!$B$80</f>
        <v>Desarme y limpieza — recinto</v>
      </c>
      <c r="B74" s="25" t="n">
        <f aca="false">parametros_recargas!$E$80*'Plan mensual'!D85+parametros_recargas!$F$80*'Plan mensual'!D86+parametros_recargas!$G$80*'Plan mensual'!D87+parametros_recargas!$H$80*'Plan mensual'!D88+parametros_recargas!$I$80*'Plan mensual'!D89+parametros_recargas!$J$80*'Plan mensual'!D90+parametros_recargas!$K$80*'Plan mensual'!D91+parametros_recargas!$L$80*'Plan mensual'!D92</f>
        <v>2410.89007040451</v>
      </c>
      <c r="C74" s="25" t="n">
        <f aca="false">parametros_recargas!$E$80*'Plan mensual'!E85+parametros_recargas!$F$80*'Plan mensual'!E86+parametros_recargas!$G$80*'Plan mensual'!E87+parametros_recargas!$H$80*'Plan mensual'!E88+parametros_recargas!$I$80*'Plan mensual'!E89+parametros_recargas!$J$80*'Plan mensual'!E90+parametros_recargas!$K$80*'Plan mensual'!E91+parametros_recargas!$L$80*'Plan mensual'!E92</f>
        <v>2538.05858335775</v>
      </c>
      <c r="D74" s="25" t="n">
        <f aca="false">parametros_recargas!$E$80*'Plan mensual'!F85+parametros_recargas!$F$80*'Plan mensual'!F86+parametros_recargas!$G$80*'Plan mensual'!F87+parametros_recargas!$H$80*'Plan mensual'!F88+parametros_recargas!$I$80*'Plan mensual'!F89+parametros_recargas!$J$80*'Plan mensual'!F90+parametros_recargas!$K$80*'Plan mensual'!F91+parametros_recargas!$L$80*'Plan mensual'!F92</f>
        <v>2671.94653513875</v>
      </c>
      <c r="E74" s="25" t="n">
        <f aca="false">parametros_recargas!$E$80*'Plan mensual'!G85+parametros_recargas!$F$80*'Plan mensual'!G86+parametros_recargas!$G$80*'Plan mensual'!G87+parametros_recargas!$H$80*'Plan mensual'!G88+parametros_recargas!$I$80*'Plan mensual'!G89+parametros_recargas!$J$80*'Plan mensual'!G90+parametros_recargas!$K$80*'Plan mensual'!G91+parametros_recargas!$L$80*'Plan mensual'!G92</f>
        <v>2812.90897321257</v>
      </c>
      <c r="F74" s="25" t="n">
        <f aca="false">parametros_recargas!$E$80*'Plan mensual'!H85+parametros_recargas!$F$80*'Plan mensual'!H86+parametros_recargas!$G$80*'Plan mensual'!H87+parametros_recargas!$H$80*'Plan mensual'!H88+parametros_recargas!$I$80*'Plan mensual'!H89+parametros_recargas!$J$80*'Plan mensual'!H90+parametros_recargas!$K$80*'Plan mensual'!H91+parametros_recargas!$L$80*'Plan mensual'!H92</f>
        <v>2961.31970534638</v>
      </c>
      <c r="G74" s="25" t="n">
        <f aca="false">parametros_recargas!$E$80*'Plan mensual'!I85+parametros_recargas!$F$80*'Plan mensual'!I86+parametros_recargas!$G$80*'Plan mensual'!I87+parametros_recargas!$H$80*'Plan mensual'!I88+parametros_recargas!$I$80*'Plan mensual'!I89+parametros_recargas!$J$80*'Plan mensual'!I90+parametros_recargas!$K$80*'Plan mensual'!I91+parametros_recargas!$L$80*'Plan mensual'!I92</f>
        <v>3117.57229088239</v>
      </c>
      <c r="H74" s="25" t="n">
        <f aca="false">parametros_recargas!$E$80*'Plan mensual'!J85+parametros_recargas!$F$80*'Plan mensual'!J86+parametros_recargas!$G$80*'Plan mensual'!J87+parametros_recargas!$H$80*'Plan mensual'!J88+parametros_recargas!$I$80*'Plan mensual'!J89+parametros_recargas!$J$80*'Plan mensual'!J90+parametros_recargas!$K$80*'Plan mensual'!J91+parametros_recargas!$L$80*'Plan mensual'!J92</f>
        <v>3282.08108438848</v>
      </c>
      <c r="I74" s="25" t="n">
        <f aca="false">parametros_recargas!$E$80*'Plan mensual'!K85+parametros_recargas!$F$80*'Plan mensual'!K86+parametros_recargas!$G$80*'Plan mensual'!K87+parametros_recargas!$H$80*'Plan mensual'!K88+parametros_recargas!$I$80*'Plan mensual'!K89+parametros_recargas!$J$80*'Plan mensual'!K90+parametros_recargas!$K$80*'Plan mensual'!K91+parametros_recargas!$L$80*'Plan mensual'!K92</f>
        <v>3455.28233445415</v>
      </c>
      <c r="J74" s="25" t="n">
        <f aca="false">parametros_recargas!$E$80*'Plan mensual'!L85+parametros_recargas!$F$80*'Plan mensual'!L86+parametros_recargas!$G$80*'Plan mensual'!L87+parametros_recargas!$H$80*'Plan mensual'!L88+parametros_recargas!$I$80*'Plan mensual'!L89+parametros_recargas!$J$80*'Plan mensual'!L90+parametros_recargas!$K$80*'Plan mensual'!L91+parametros_recargas!$L$80*'Plan mensual'!L92</f>
        <v>3637.63534054558</v>
      </c>
      <c r="K74" s="25" t="n">
        <f aca="false">parametros_recargas!$E$80*'Plan mensual'!M85+parametros_recargas!$F$80*'Plan mensual'!M86+parametros_recargas!$G$80*'Plan mensual'!M87+parametros_recargas!$H$80*'Plan mensual'!M88+parametros_recargas!$I$80*'Plan mensual'!M89+parametros_recargas!$J$80*'Plan mensual'!M90+parametros_recargas!$K$80*'Plan mensual'!M91+parametros_recargas!$L$80*'Plan mensual'!M92</f>
        <v>3829.62367098761</v>
      </c>
      <c r="L74" s="25" t="n">
        <f aca="false">parametros_recargas!$E$80*'Plan mensual'!N85+parametros_recargas!$F$80*'Plan mensual'!N86+parametros_recargas!$G$80*'Plan mensual'!N87+parametros_recargas!$H$80*'Plan mensual'!N88+parametros_recargas!$I$80*'Plan mensual'!N89+parametros_recargas!$J$80*'Plan mensual'!N90+parametros_recargas!$K$80*'Plan mensual'!N91+parametros_recargas!$L$80*'Plan mensual'!N92</f>
        <v>4031.75644530248</v>
      </c>
      <c r="M74" s="25" t="n">
        <f aca="false">parametros_recargas!$E$80*'Plan mensual'!O85+parametros_recargas!$F$80*'Plan mensual'!O86+parametros_recargas!$G$80*'Plan mensual'!O87+parametros_recargas!$H$80*'Plan mensual'!O88+parametros_recargas!$I$80*'Plan mensual'!O89+parametros_recargas!$J$80*'Plan mensual'!O90+parametros_recargas!$K$80*'Plan mensual'!O91+parametros_recargas!$L$80*'Plan mensual'!O92</f>
        <v>4244.56968430591</v>
      </c>
      <c r="N74" s="7" t="n">
        <f aca="false">SUM(B74:M74)</f>
        <v>38993.6447183266</v>
      </c>
      <c r="O74" s="26" t="n">
        <f aca="false">MAX(B74:M74)</f>
        <v>4244.56968430591</v>
      </c>
      <c r="P74" s="15" t="n">
        <f aca="false">O74/parametros_recargas!$B$6</f>
        <v>28.2971312287061</v>
      </c>
    </row>
    <row r="75" customFormat="false" ht="15" hidden="false" customHeight="false" outlineLevel="0" collapsed="false">
      <c r="A75" s="12" t="str">
        <f aca="false">parametros_recargas!$B$81</f>
        <v>Desarme e inspección interior — zona general</v>
      </c>
      <c r="B75" s="25" t="n">
        <f aca="false">parametros_recargas!$E$81*'Plan mensual'!D85+parametros_recargas!$F$81*'Plan mensual'!D86+parametros_recargas!$G$81*'Plan mensual'!D87+parametros_recargas!$H$81*'Plan mensual'!D88+parametros_recargas!$I$81*'Plan mensual'!D89+parametros_recargas!$J$81*'Plan mensual'!D90+parametros_recargas!$K$81*'Plan mensual'!D91+parametros_recargas!$L$81*'Plan mensual'!D92</f>
        <v>195.462803704196</v>
      </c>
      <c r="C75" s="25" t="n">
        <f aca="false">parametros_recargas!$E$81*'Plan mensual'!E85+parametros_recargas!$F$81*'Plan mensual'!E86+parametros_recargas!$G$81*'Plan mensual'!E87+parametros_recargas!$H$81*'Plan mensual'!E88+parametros_recargas!$I$81*'Plan mensual'!E89+parametros_recargas!$J$81*'Plan mensual'!E90+parametros_recargas!$K$81*'Plan mensual'!E91+parametros_recargas!$L$81*'Plan mensual'!E92</f>
        <v>205.739096724569</v>
      </c>
      <c r="D75" s="25" t="n">
        <f aca="false">parametros_recargas!$E$81*'Plan mensual'!F85+parametros_recargas!$F$81*'Plan mensual'!F86+parametros_recargas!$G$81*'Plan mensual'!F87+parametros_recargas!$H$81*'Plan mensual'!F88+parametros_recargas!$I$81*'Plan mensual'!F89+parametros_recargas!$J$81*'Plan mensual'!F90+parametros_recargas!$K$81*'Plan mensual'!F91+parametros_recargas!$L$81*'Plan mensual'!F92</f>
        <v>216.558377318855</v>
      </c>
      <c r="E75" s="25" t="n">
        <f aca="false">parametros_recargas!$E$81*'Plan mensual'!G85+parametros_recargas!$F$81*'Plan mensual'!G86+parametros_recargas!$G$81*'Plan mensual'!G87+parametros_recargas!$H$81*'Plan mensual'!G88+parametros_recargas!$I$81*'Plan mensual'!G89+parametros_recargas!$J$81*'Plan mensual'!G90+parametros_recargas!$K$81*'Plan mensual'!G91+parametros_recargas!$L$81*'Plan mensual'!G92</f>
        <v>227.949336329639</v>
      </c>
      <c r="F75" s="25" t="n">
        <f aca="false">parametros_recargas!$E$81*'Plan mensual'!H85+parametros_recargas!$F$81*'Plan mensual'!H86+parametros_recargas!$G$81*'Plan mensual'!H87+parametros_recargas!$H$81*'Plan mensual'!H88+parametros_recargas!$I$81*'Plan mensual'!H89+parametros_recargas!$J$81*'Plan mensual'!H90+parametros_recargas!$K$81*'Plan mensual'!H91+parametros_recargas!$L$81*'Plan mensual'!H92</f>
        <v>239.942180590828</v>
      </c>
      <c r="G75" s="25" t="n">
        <f aca="false">parametros_recargas!$E$81*'Plan mensual'!I85+parametros_recargas!$F$81*'Plan mensual'!I86+parametros_recargas!$G$81*'Plan mensual'!I87+parametros_recargas!$H$81*'Plan mensual'!I88+parametros_recargas!$I$81*'Plan mensual'!I89+parametros_recargas!$J$81*'Plan mensual'!I90+parametros_recargas!$K$81*'Plan mensual'!I91+parametros_recargas!$L$81*'Plan mensual'!I92</f>
        <v>252.568713030894</v>
      </c>
      <c r="H75" s="25" t="n">
        <f aca="false">parametros_recargas!$E$81*'Plan mensual'!J85+parametros_recargas!$F$81*'Plan mensual'!J86+parametros_recargas!$G$81*'Plan mensual'!J87+parametros_recargas!$H$81*'Plan mensual'!J88+parametros_recargas!$I$81*'Plan mensual'!J89+parametros_recargas!$J$81*'Plan mensual'!J90+parametros_recargas!$K$81*'Plan mensual'!J91+parametros_recargas!$L$81*'Plan mensual'!J92</f>
        <v>265.862417008689</v>
      </c>
      <c r="I75" s="25" t="n">
        <f aca="false">parametros_recargas!$E$81*'Plan mensual'!K85+parametros_recargas!$F$81*'Plan mensual'!K86+parametros_recargas!$G$81*'Plan mensual'!K87+parametros_recargas!$H$81*'Plan mensual'!K88+parametros_recargas!$I$81*'Plan mensual'!K89+parametros_recargas!$J$81*'Plan mensual'!K90+parametros_recargas!$K$81*'Plan mensual'!K91+parametros_recargas!$L$81*'Plan mensual'!K92</f>
        <v>279.858545105462</v>
      </c>
      <c r="J75" s="25" t="n">
        <f aca="false">parametros_recargas!$E$81*'Plan mensual'!L85+parametros_recargas!$F$81*'Plan mensual'!L86+parametros_recargas!$G$81*'Plan mensual'!L87+parametros_recargas!$H$81*'Plan mensual'!L88+parametros_recargas!$I$81*'Plan mensual'!L89+parametros_recargas!$J$81*'Plan mensual'!L90+parametros_recargas!$K$81*'Plan mensual'!L91+parametros_recargas!$L$81*'Plan mensual'!L92</f>
        <v>294.594212608553</v>
      </c>
      <c r="K75" s="25" t="n">
        <f aca="false">parametros_recargas!$E$81*'Plan mensual'!M85+parametros_recargas!$F$81*'Plan mensual'!M86+parametros_recargas!$G$81*'Plan mensual'!M87+parametros_recargas!$H$81*'Plan mensual'!M88+parametros_recargas!$I$81*'Plan mensual'!M89+parametros_recargas!$J$81*'Plan mensual'!M90+parametros_recargas!$K$81*'Plan mensual'!M91+parametros_recargas!$L$81*'Plan mensual'!M92</f>
        <v>310.108495934646</v>
      </c>
      <c r="L75" s="25" t="n">
        <f aca="false">parametros_recargas!$E$81*'Plan mensual'!N85+parametros_recargas!$F$81*'Plan mensual'!N86+parametros_recargas!$G$81*'Plan mensual'!N87+parametros_recargas!$H$81*'Plan mensual'!N88+parametros_recargas!$I$81*'Plan mensual'!N89+parametros_recargas!$J$81*'Plan mensual'!N90+parametros_recargas!$K$81*'Plan mensual'!N91+parametros_recargas!$L$81*'Plan mensual'!N92</f>
        <v>326.442536253608</v>
      </c>
      <c r="M75" s="25" t="n">
        <f aca="false">parametros_recargas!$E$81*'Plan mensual'!O85+parametros_recargas!$F$81*'Plan mensual'!O86+parametros_recargas!$G$81*'Plan mensual'!O87+parametros_recargas!$H$81*'Plan mensual'!O88+parametros_recargas!$I$81*'Plan mensual'!O89+parametros_recargas!$J$81*'Plan mensual'!O90+parametros_recargas!$K$81*'Plan mensual'!O91+parametros_recargas!$L$81*'Plan mensual'!O92</f>
        <v>343.639648587682</v>
      </c>
      <c r="N75" s="7" t="n">
        <f aca="false">SUM(B75:M75)</f>
        <v>3158.72636319762</v>
      </c>
      <c r="O75" s="26" t="n">
        <f aca="false">MAX(B75:M75)</f>
        <v>343.639648587682</v>
      </c>
      <c r="P75" s="15" t="n">
        <f aca="false">O75/parametros_recargas!$B$6</f>
        <v>2.29093099058454</v>
      </c>
    </row>
    <row r="76" customFormat="false" ht="15" hidden="false" customHeight="false" outlineLevel="0" collapsed="false">
      <c r="A76" s="12" t="str">
        <f aca="false">parametros_recargas!$B$82</f>
        <v>Laboratorio — Puffer y mufla</v>
      </c>
      <c r="B76" s="25" t="n">
        <f aca="false">parametros_recargas!$E$82*'Plan mensual'!D85+parametros_recargas!$F$82*'Plan mensual'!D86+parametros_recargas!$G$82*'Plan mensual'!D87+parametros_recargas!$H$82*'Plan mensual'!D88+parametros_recargas!$I$82*'Plan mensual'!D89+parametros_recargas!$J$82*'Plan mensual'!D90+parametros_recargas!$K$82*'Plan mensual'!D91+parametros_recargas!$L$82*'Plan mensual'!D92</f>
        <v>2.40689673831143</v>
      </c>
      <c r="C76" s="25" t="n">
        <f aca="false">parametros_recargas!$E$82*'Plan mensual'!E85+parametros_recargas!$F$82*'Plan mensual'!E86+parametros_recargas!$G$82*'Plan mensual'!E87+parametros_recargas!$H$82*'Plan mensual'!E88+parametros_recargas!$I$82*'Plan mensual'!E89+parametros_recargas!$J$82*'Plan mensual'!E90+parametros_recargas!$K$82*'Plan mensual'!E91+parametros_recargas!$L$82*'Plan mensual'!E92</f>
        <v>2.53385865140066</v>
      </c>
      <c r="D76" s="25" t="n">
        <f aca="false">parametros_recargas!$E$82*'Plan mensual'!F85+parametros_recargas!$F$82*'Plan mensual'!F86+parametros_recargas!$G$82*'Plan mensual'!F87+parametros_recargas!$H$82*'Plan mensual'!F88+parametros_recargas!$I$82*'Plan mensual'!F89+parametros_recargas!$J$82*'Plan mensual'!F90+parametros_recargas!$K$82*'Plan mensual'!F91+parametros_recargas!$L$82*'Plan mensual'!F92</f>
        <v>2.66752908681705</v>
      </c>
      <c r="E76" s="25" t="n">
        <f aca="false">parametros_recargas!$E$82*'Plan mensual'!G85+parametros_recargas!$F$82*'Plan mensual'!G86+parametros_recargas!$G$82*'Plan mensual'!G87+parametros_recargas!$H$82*'Plan mensual'!G88+parametros_recargas!$I$82*'Plan mensual'!G89+parametros_recargas!$J$82*'Plan mensual'!G90+parametros_recargas!$K$82*'Plan mensual'!G91+parametros_recargas!$L$82*'Plan mensual'!G92</f>
        <v>2.80826251521024</v>
      </c>
      <c r="F76" s="25" t="n">
        <f aca="false">parametros_recargas!$E$82*'Plan mensual'!H85+parametros_recargas!$F$82*'Plan mensual'!H86+parametros_recargas!$G$82*'Plan mensual'!H87+parametros_recargas!$H$82*'Plan mensual'!H88+parametros_recargas!$I$82*'Plan mensual'!H89+parametros_recargas!$J$82*'Plan mensual'!H90+parametros_recargas!$K$82*'Plan mensual'!H91+parametros_recargas!$L$82*'Plan mensual'!H92</f>
        <v>2.95643213705374</v>
      </c>
      <c r="G76" s="25" t="n">
        <f aca="false">parametros_recargas!$E$82*'Plan mensual'!I85+parametros_recargas!$F$82*'Plan mensual'!I86+parametros_recargas!$G$82*'Plan mensual'!I87+parametros_recargas!$H$82*'Plan mensual'!I88+parametros_recargas!$I$82*'Plan mensual'!I89+parametros_recargas!$J$82*'Plan mensual'!I90+parametros_recargas!$K$82*'Plan mensual'!I91+parametros_recargas!$L$82*'Plan mensual'!I92</f>
        <v>3.11243087230737</v>
      </c>
      <c r="H76" s="25" t="n">
        <f aca="false">parametros_recargas!$E$82*'Plan mensual'!J85+parametros_recargas!$F$82*'Plan mensual'!J86+parametros_recargas!$G$82*'Plan mensual'!J87+parametros_recargas!$H$82*'Plan mensual'!J88+parametros_recargas!$I$82*'Plan mensual'!J89+parametros_recargas!$J$82*'Plan mensual'!J90+parametros_recargas!$K$82*'Plan mensual'!J91+parametros_recargas!$L$82*'Plan mensual'!J92</f>
        <v>3.2766724023724</v>
      </c>
      <c r="I76" s="25" t="n">
        <f aca="false">parametros_recargas!$E$82*'Plan mensual'!K85+parametros_recargas!$F$82*'Plan mensual'!K86+parametros_recargas!$G$82*'Plan mensual'!K87+parametros_recargas!$H$82*'Plan mensual'!K88+parametros_recargas!$I$82*'Plan mensual'!K89+parametros_recargas!$J$82*'Plan mensual'!K90+parametros_recargas!$K$82*'Plan mensual'!K91+parametros_recargas!$L$82*'Plan mensual'!K92</f>
        <v>3.44959226710235</v>
      </c>
      <c r="J76" s="25" t="n">
        <f aca="false">parametros_recargas!$E$82*'Plan mensual'!L85+parametros_recargas!$F$82*'Plan mensual'!L86+parametros_recargas!$G$82*'Plan mensual'!L87+parametros_recargas!$H$82*'Plan mensual'!L88+parametros_recargas!$I$82*'Plan mensual'!L89+parametros_recargas!$J$82*'Plan mensual'!L90+parametros_recargas!$K$82*'Plan mensual'!L91+parametros_recargas!$L$82*'Plan mensual'!L92</f>
        <v>3.63164901977863</v>
      </c>
      <c r="K76" s="25" t="n">
        <f aca="false">parametros_recargas!$E$82*'Plan mensual'!M85+parametros_recargas!$F$82*'Plan mensual'!M86+parametros_recargas!$G$82*'Plan mensual'!M87+parametros_recargas!$H$82*'Plan mensual'!M88+parametros_recargas!$I$82*'Plan mensual'!M89+parametros_recargas!$J$82*'Plan mensual'!M90+parametros_recargas!$K$82*'Plan mensual'!M91+parametros_recargas!$L$82*'Plan mensual'!M92</f>
        <v>3.82332544311378</v>
      </c>
      <c r="L76" s="25" t="n">
        <f aca="false">parametros_recargas!$E$82*'Plan mensual'!N85+parametros_recargas!$F$82*'Plan mensual'!N86+parametros_recargas!$G$82*'Plan mensual'!N87+parametros_recargas!$H$82*'Plan mensual'!N88+parametros_recargas!$I$82*'Plan mensual'!N89+parametros_recargas!$J$82*'Plan mensual'!N90+parametros_recargas!$K$82*'Plan mensual'!N91+parametros_recargas!$L$82*'Plan mensual'!N92</f>
        <v>4.02512982950687</v>
      </c>
      <c r="M76" s="25" t="n">
        <f aca="false">parametros_recargas!$E$82*'Plan mensual'!O85+parametros_recargas!$F$82*'Plan mensual'!O86+parametros_recargas!$G$82*'Plan mensual'!O87+parametros_recargas!$H$82*'Plan mensual'!O88+parametros_recargas!$I$82*'Plan mensual'!O89+parametros_recargas!$J$82*'Plan mensual'!O90+parametros_recargas!$K$82*'Plan mensual'!O91+parametros_recargas!$L$82*'Plan mensual'!O92</f>
        <v>4.23759732894618</v>
      </c>
      <c r="N76" s="7" t="n">
        <f aca="false">SUM(B76:M76)</f>
        <v>38.9293762919207</v>
      </c>
      <c r="O76" s="26" t="n">
        <f aca="false">MAX(B76:M76)</f>
        <v>4.23759732894618</v>
      </c>
      <c r="P76" s="15" t="n">
        <f aca="false">O76/parametros_recargas!$B$6</f>
        <v>0.0282506488596412</v>
      </c>
    </row>
    <row r="77" customFormat="false" ht="15" hidden="false" customHeight="false" outlineLevel="0" collapsed="false">
      <c r="A77" s="12" t="str">
        <f aca="false">parametros_recargas!$B$83</f>
        <v>Prueba hidráulica</v>
      </c>
      <c r="B77" s="25" t="n">
        <f aca="false">parametros_recargas!$E$83*'Plan mensual'!D85+parametros_recargas!$F$83*'Plan mensual'!D86+parametros_recargas!$G$83*'Plan mensual'!D87+parametros_recargas!$H$83*'Plan mensual'!D88+parametros_recargas!$I$83*'Plan mensual'!D89+parametros_recargas!$J$83*'Plan mensual'!D90+parametros_recargas!$K$83*'Plan mensual'!D91+parametros_recargas!$L$83*'Plan mensual'!D92</f>
        <v>598.326319706629</v>
      </c>
      <c r="C77" s="25" t="n">
        <f aca="false">parametros_recargas!$E$83*'Plan mensual'!E85+parametros_recargas!$F$83*'Plan mensual'!E86+parametros_recargas!$G$83*'Plan mensual'!E87+parametros_recargas!$H$83*'Plan mensual'!E88+parametros_recargas!$I$83*'Plan mensual'!E89+parametros_recargas!$J$83*'Plan mensual'!E90+parametros_recargas!$K$83*'Plan mensual'!E91+parametros_recargas!$L$83*'Plan mensual'!E92</f>
        <v>629.867664274707</v>
      </c>
      <c r="D77" s="25" t="n">
        <f aca="false">parametros_recargas!$E$83*'Plan mensual'!F85+parametros_recargas!$F$83*'Plan mensual'!F86+parametros_recargas!$G$83*'Plan mensual'!F87+parametros_recargas!$H$83*'Plan mensual'!F88+parametros_recargas!$I$83*'Plan mensual'!F89+parametros_recargas!$J$83*'Plan mensual'!F90+parametros_recargas!$K$83*'Plan mensual'!F91+parametros_recargas!$L$83*'Plan mensual'!F92</f>
        <v>663.07561742732</v>
      </c>
      <c r="E77" s="25" t="n">
        <f aca="false">parametros_recargas!$E$83*'Plan mensual'!G85+parametros_recargas!$F$83*'Plan mensual'!G86+parametros_recargas!$G$83*'Plan mensual'!G87+parametros_recargas!$H$83*'Plan mensual'!G88+parametros_recargas!$I$83*'Plan mensual'!G89+parametros_recargas!$J$83*'Plan mensual'!G90+parametros_recargas!$K$83*'Plan mensual'!G91+parametros_recargas!$L$83*'Plan mensual'!G92</f>
        <v>698.038240856575</v>
      </c>
      <c r="F77" s="25" t="n">
        <f aca="false">parametros_recargas!$E$83*'Plan mensual'!H85+parametros_recargas!$F$83*'Plan mensual'!H86+parametros_recargas!$G$83*'Plan mensual'!H87+parametros_recargas!$H$83*'Plan mensual'!H88+parametros_recargas!$I$83*'Plan mensual'!H89+parametros_recargas!$J$83*'Plan mensual'!H90+parametros_recargas!$K$83*'Plan mensual'!H91+parametros_recargas!$L$83*'Plan mensual'!H92</f>
        <v>734.848249333708</v>
      </c>
      <c r="G77" s="25" t="n">
        <f aca="false">parametros_recargas!$E$83*'Plan mensual'!I85+parametros_recargas!$F$83*'Plan mensual'!I86+parametros_recargas!$G$83*'Plan mensual'!I87+parametros_recargas!$H$83*'Plan mensual'!I88+parametros_recargas!$I$83*'Plan mensual'!I89+parametros_recargas!$J$83*'Plan mensual'!I90+parametros_recargas!$K$83*'Plan mensual'!I91+parametros_recargas!$L$83*'Plan mensual'!I92</f>
        <v>773.603256572461</v>
      </c>
      <c r="H77" s="25" t="n">
        <f aca="false">parametros_recargas!$E$83*'Plan mensual'!J85+parametros_recargas!$F$83*'Plan mensual'!J86+parametros_recargas!$G$83*'Plan mensual'!J87+parametros_recargas!$H$83*'Plan mensual'!J88+parametros_recargas!$I$83*'Plan mensual'!J89+parametros_recargas!$J$83*'Plan mensual'!J90+parametros_recargas!$K$83*'Plan mensual'!J91+parametros_recargas!$L$83*'Plan mensual'!J92</f>
        <v>814.406034083606</v>
      </c>
      <c r="I77" s="25" t="n">
        <f aca="false">parametros_recargas!$E$83*'Plan mensual'!K85+parametros_recargas!$F$83*'Plan mensual'!K86+parametros_recargas!$G$83*'Plan mensual'!K87+parametros_recargas!$H$83*'Plan mensual'!K88+parametros_recargas!$I$83*'Plan mensual'!K89+parametros_recargas!$J$83*'Plan mensual'!K90+parametros_recargas!$K$83*'Plan mensual'!K91+parametros_recargas!$L$83*'Plan mensual'!K92</f>
        <v>857.364783707042</v>
      </c>
      <c r="J77" s="25" t="n">
        <f aca="false">parametros_recargas!$E$83*'Plan mensual'!L85+parametros_recargas!$F$83*'Plan mensual'!L86+parametros_recargas!$G$83*'Plan mensual'!L87+parametros_recargas!$H$83*'Plan mensual'!L88+parametros_recargas!$I$83*'Plan mensual'!L89+parametros_recargas!$J$83*'Plan mensual'!L90+parametros_recargas!$K$83*'Plan mensual'!L91+parametros_recargas!$L$83*'Plan mensual'!L92</f>
        <v>902.593424544174</v>
      </c>
      <c r="K77" s="25" t="n">
        <f aca="false">parametros_recargas!$E$83*'Plan mensual'!M85+parametros_recargas!$F$83*'Plan mensual'!M86+parametros_recargas!$G$83*'Plan mensual'!M87+parametros_recargas!$H$83*'Plan mensual'!M88+parametros_recargas!$I$83*'Plan mensual'!M89+parametros_recargas!$J$83*'Plan mensual'!M90+parametros_recargas!$K$83*'Plan mensual'!M91+parametros_recargas!$L$83*'Plan mensual'!M92</f>
        <v>950.21189505148</v>
      </c>
      <c r="L77" s="25" t="n">
        <f aca="false">parametros_recargas!$E$83*'Plan mensual'!N85+parametros_recargas!$F$83*'Plan mensual'!N86+parametros_recargas!$G$83*'Plan mensual'!N87+parametros_recargas!$H$83*'Plan mensual'!N88+parametros_recargas!$I$83*'Plan mensual'!N89+parametros_recargas!$J$83*'Plan mensual'!N90+parametros_recargas!$K$83*'Plan mensual'!N91+parametros_recargas!$L$83*'Plan mensual'!N92</f>
        <v>1000.34647109635</v>
      </c>
      <c r="M77" s="25" t="n">
        <f aca="false">parametros_recargas!$E$83*'Plan mensual'!O85+parametros_recargas!$F$83*'Plan mensual'!O86+parametros_recargas!$G$83*'Plan mensual'!O87+parametros_recargas!$H$83*'Plan mensual'!O88+parametros_recargas!$I$83*'Plan mensual'!O89+parametros_recargas!$J$83*'Plan mensual'!O90+parametros_recargas!$K$83*'Plan mensual'!O91+parametros_recargas!$L$83*'Plan mensual'!O92</f>
        <v>1053.13010081862</v>
      </c>
      <c r="N77" s="7" t="n">
        <f aca="false">SUM(B77:M77)</f>
        <v>9675.81205747267</v>
      </c>
      <c r="O77" s="26" t="n">
        <f aca="false">MAX(B77:M77)</f>
        <v>1053.13010081862</v>
      </c>
      <c r="P77" s="15" t="n">
        <f aca="false">O77/parametros_recargas!$B$6</f>
        <v>7.02086733879079</v>
      </c>
    </row>
    <row r="78" customFormat="false" ht="15" hidden="false" customHeight="false" outlineLevel="0" collapsed="false">
      <c r="A78" s="12" t="str">
        <f aca="false">parametros_recargas!$B$84</f>
        <v>Secado</v>
      </c>
      <c r="B78" s="25" t="n">
        <f aca="false">parametros_recargas!$E$84*'Plan mensual'!D85+parametros_recargas!$F$84*'Plan mensual'!D86+parametros_recargas!$G$84*'Plan mensual'!D87+parametros_recargas!$H$84*'Plan mensual'!D88+parametros_recargas!$I$84*'Plan mensual'!D89+parametros_recargas!$J$84*'Plan mensual'!D90+parametros_recargas!$K$84*'Plan mensual'!D91+parametros_recargas!$L$84*'Plan mensual'!D92</f>
        <v>555.398658181292</v>
      </c>
      <c r="C78" s="25" t="n">
        <f aca="false">parametros_recargas!$E$84*'Plan mensual'!E85+parametros_recargas!$F$84*'Plan mensual'!E86+parametros_recargas!$G$84*'Plan mensual'!E87+parametros_recargas!$H$84*'Plan mensual'!E88+parametros_recargas!$I$84*'Plan mensual'!E89+parametros_recargas!$J$84*'Plan mensual'!E90+parametros_recargas!$K$84*'Plan mensual'!E91+parametros_recargas!$L$84*'Plan mensual'!E92</f>
        <v>584.689367147454</v>
      </c>
      <c r="D78" s="25" t="n">
        <f aca="false">parametros_recargas!$E$84*'Plan mensual'!F85+parametros_recargas!$F$84*'Plan mensual'!F86+parametros_recargas!$G$84*'Plan mensual'!F87+parametros_recargas!$H$84*'Plan mensual'!F88+parametros_recargas!$I$84*'Plan mensual'!F89+parametros_recargas!$J$84*'Plan mensual'!F90+parametros_recargas!$K$84*'Plan mensual'!F91+parametros_recargas!$L$84*'Plan mensual'!F92</f>
        <v>615.527763686183</v>
      </c>
      <c r="E78" s="25" t="n">
        <f aca="false">parametros_recargas!$E$84*'Plan mensual'!G85+parametros_recargas!$F$84*'Plan mensual'!G86+parametros_recargas!$G$84*'Plan mensual'!G87+parametros_recargas!$H$84*'Plan mensual'!G88+parametros_recargas!$I$84*'Plan mensual'!G89+parametros_recargas!$J$84*'Plan mensual'!G90+parametros_recargas!$K$84*'Plan mensual'!G91+parametros_recargas!$L$84*'Plan mensual'!G92</f>
        <v>647.995625839283</v>
      </c>
      <c r="F78" s="25" t="n">
        <f aca="false">parametros_recargas!$E$84*'Plan mensual'!H85+parametros_recargas!$F$84*'Plan mensual'!H86+parametros_recargas!$G$84*'Plan mensual'!H87+parametros_recargas!$H$84*'Plan mensual'!H88+parametros_recargas!$I$84*'Plan mensual'!H89+parametros_recargas!$J$84*'Plan mensual'!H90+parametros_recargas!$K$84*'Plan mensual'!H91+parametros_recargas!$L$84*'Plan mensual'!H92</f>
        <v>682.179052706786</v>
      </c>
      <c r="G78" s="25" t="n">
        <f aca="false">parametros_recargas!$E$84*'Plan mensual'!I85+parametros_recargas!$F$84*'Plan mensual'!I86+parametros_recargas!$G$84*'Plan mensual'!I87+parametros_recargas!$H$84*'Plan mensual'!I88+parametros_recargas!$I$84*'Plan mensual'!I89+parametros_recargas!$J$84*'Plan mensual'!I90+parametros_recargas!$K$84*'Plan mensual'!I91+parametros_recargas!$L$84*'Plan mensual'!I92</f>
        <v>718.16869276673</v>
      </c>
      <c r="H78" s="25" t="n">
        <f aca="false">parametros_recargas!$E$84*'Plan mensual'!J85+parametros_recargas!$F$84*'Plan mensual'!J86+parametros_recargas!$G$84*'Plan mensual'!J87+parametros_recargas!$H$84*'Plan mensual'!J88+parametros_recargas!$I$84*'Plan mensual'!J89+parametros_recargas!$J$84*'Plan mensual'!J90+parametros_recargas!$K$84*'Plan mensual'!J91+parametros_recargas!$L$84*'Plan mensual'!J92</f>
        <v>756.059984259089</v>
      </c>
      <c r="I78" s="25" t="n">
        <f aca="false">parametros_recargas!$E$84*'Plan mensual'!K85+parametros_recargas!$F$84*'Plan mensual'!K86+parametros_recargas!$G$84*'Plan mensual'!K87+parametros_recargas!$H$84*'Plan mensual'!K88+parametros_recargas!$I$84*'Plan mensual'!K89+parametros_recargas!$J$84*'Plan mensual'!K90+parametros_recargas!$K$84*'Plan mensual'!K91+parametros_recargas!$L$84*'Plan mensual'!K92</f>
        <v>795.95340827132</v>
      </c>
      <c r="J78" s="25" t="n">
        <f aca="false">parametros_recargas!$E$84*'Plan mensual'!L85+parametros_recargas!$F$84*'Plan mensual'!L86+parametros_recargas!$G$84*'Plan mensual'!L87+parametros_recargas!$H$84*'Plan mensual'!L88+parametros_recargas!$I$84*'Plan mensual'!L89+parametros_recargas!$J$84*'Plan mensual'!L90+parametros_recargas!$K$84*'Plan mensual'!L91+parametros_recargas!$L$84*'Plan mensual'!L92</f>
        <v>837.954755196658</v>
      </c>
      <c r="K78" s="25" t="n">
        <f aca="false">parametros_recargas!$E$84*'Plan mensual'!M85+parametros_recargas!$F$84*'Plan mensual'!M86+parametros_recargas!$G$84*'Plan mensual'!M87+parametros_recargas!$H$84*'Plan mensual'!M88+parametros_recargas!$I$84*'Plan mensual'!M89+parametros_recargas!$J$84*'Plan mensual'!M90+parametros_recargas!$K$84*'Plan mensual'!M91+parametros_recargas!$L$84*'Plan mensual'!M92</f>
        <v>882.175405271761</v>
      </c>
      <c r="L78" s="25" t="n">
        <f aca="false">parametros_recargas!$E$84*'Plan mensual'!N85+parametros_recargas!$F$84*'Plan mensual'!N86+parametros_recargas!$G$84*'Plan mensual'!N87+parametros_recargas!$H$84*'Plan mensual'!N88+parametros_recargas!$I$84*'Plan mensual'!N89+parametros_recargas!$J$84*'Plan mensual'!N90+parametros_recargas!$K$84*'Plan mensual'!N91+parametros_recargas!$L$84*'Plan mensual'!N92</f>
        <v>928.732623937647</v>
      </c>
      <c r="M78" s="25" t="n">
        <f aca="false">parametros_recargas!$E$84*'Plan mensual'!O85+parametros_recargas!$F$84*'Plan mensual'!O86+parametros_recargas!$G$84*'Plan mensual'!O87+parametros_recargas!$H$84*'Plan mensual'!O88+parametros_recargas!$I$84*'Plan mensual'!O89+parametros_recargas!$J$84*'Plan mensual'!O90+parametros_recargas!$K$84*'Plan mensual'!O91+parametros_recargas!$L$84*'Plan mensual'!O92</f>
        <v>977.749872807164</v>
      </c>
      <c r="N78" s="7" t="n">
        <f aca="false">SUM(B78:M78)</f>
        <v>8982.58521007137</v>
      </c>
      <c r="O78" s="26" t="n">
        <f aca="false">MAX(B78:M78)</f>
        <v>977.749872807164</v>
      </c>
      <c r="P78" s="15" t="n">
        <f aca="false">O78/parametros_recargas!$B$6</f>
        <v>6.51833248538109</v>
      </c>
    </row>
    <row r="79" customFormat="false" ht="15" hidden="false" customHeight="false" outlineLevel="0" collapsed="false">
      <c r="A79" s="12" t="str">
        <f aca="false">parametros_recargas!$B$85</f>
        <v>Inspección interior con videoscopio</v>
      </c>
      <c r="B79" s="25" t="n">
        <f aca="false">parametros_recargas!$E$85*'Plan mensual'!D85+parametros_recargas!$F$85*'Plan mensual'!D86+parametros_recargas!$G$85*'Plan mensual'!D87+parametros_recargas!$H$85*'Plan mensual'!D88+parametros_recargas!$I$85*'Plan mensual'!D89+parametros_recargas!$J$85*'Plan mensual'!D90+parametros_recargas!$K$85*'Plan mensual'!D91+parametros_recargas!$L$85*'Plan mensual'!D92</f>
        <v>555.398658181292</v>
      </c>
      <c r="C79" s="25" t="n">
        <f aca="false">parametros_recargas!$E$85*'Plan mensual'!E85+parametros_recargas!$F$85*'Plan mensual'!E86+parametros_recargas!$G$85*'Plan mensual'!E87+parametros_recargas!$H$85*'Plan mensual'!E88+parametros_recargas!$I$85*'Plan mensual'!E89+parametros_recargas!$J$85*'Plan mensual'!E90+parametros_recargas!$K$85*'Plan mensual'!E91+parametros_recargas!$L$85*'Plan mensual'!E92</f>
        <v>584.689367147454</v>
      </c>
      <c r="D79" s="25" t="n">
        <f aca="false">parametros_recargas!$E$85*'Plan mensual'!F85+parametros_recargas!$F$85*'Plan mensual'!F86+parametros_recargas!$G$85*'Plan mensual'!F87+parametros_recargas!$H$85*'Plan mensual'!F88+parametros_recargas!$I$85*'Plan mensual'!F89+parametros_recargas!$J$85*'Plan mensual'!F90+parametros_recargas!$K$85*'Plan mensual'!F91+parametros_recargas!$L$85*'Plan mensual'!F92</f>
        <v>615.527763686183</v>
      </c>
      <c r="E79" s="25" t="n">
        <f aca="false">parametros_recargas!$E$85*'Plan mensual'!G85+parametros_recargas!$F$85*'Plan mensual'!G86+parametros_recargas!$G$85*'Plan mensual'!G87+parametros_recargas!$H$85*'Plan mensual'!G88+parametros_recargas!$I$85*'Plan mensual'!G89+parametros_recargas!$J$85*'Plan mensual'!G90+parametros_recargas!$K$85*'Plan mensual'!G91+parametros_recargas!$L$85*'Plan mensual'!G92</f>
        <v>647.995625839283</v>
      </c>
      <c r="F79" s="25" t="n">
        <f aca="false">parametros_recargas!$E$85*'Plan mensual'!H85+parametros_recargas!$F$85*'Plan mensual'!H86+parametros_recargas!$G$85*'Plan mensual'!H87+parametros_recargas!$H$85*'Plan mensual'!H88+parametros_recargas!$I$85*'Plan mensual'!H89+parametros_recargas!$J$85*'Plan mensual'!H90+parametros_recargas!$K$85*'Plan mensual'!H91+parametros_recargas!$L$85*'Plan mensual'!H92</f>
        <v>682.179052706786</v>
      </c>
      <c r="G79" s="25" t="n">
        <f aca="false">parametros_recargas!$E$85*'Plan mensual'!I85+parametros_recargas!$F$85*'Plan mensual'!I86+parametros_recargas!$G$85*'Plan mensual'!I87+parametros_recargas!$H$85*'Plan mensual'!I88+parametros_recargas!$I$85*'Plan mensual'!I89+parametros_recargas!$J$85*'Plan mensual'!I90+parametros_recargas!$K$85*'Plan mensual'!I91+parametros_recargas!$L$85*'Plan mensual'!I92</f>
        <v>718.16869276673</v>
      </c>
      <c r="H79" s="25" t="n">
        <f aca="false">parametros_recargas!$E$85*'Plan mensual'!J85+parametros_recargas!$F$85*'Plan mensual'!J86+parametros_recargas!$G$85*'Plan mensual'!J87+parametros_recargas!$H$85*'Plan mensual'!J88+parametros_recargas!$I$85*'Plan mensual'!J89+parametros_recargas!$J$85*'Plan mensual'!J90+parametros_recargas!$K$85*'Plan mensual'!J91+parametros_recargas!$L$85*'Plan mensual'!J92</f>
        <v>756.059984259089</v>
      </c>
      <c r="I79" s="25" t="n">
        <f aca="false">parametros_recargas!$E$85*'Plan mensual'!K85+parametros_recargas!$F$85*'Plan mensual'!K86+parametros_recargas!$G$85*'Plan mensual'!K87+parametros_recargas!$H$85*'Plan mensual'!K88+parametros_recargas!$I$85*'Plan mensual'!K89+parametros_recargas!$J$85*'Plan mensual'!K90+parametros_recargas!$K$85*'Plan mensual'!K91+parametros_recargas!$L$85*'Plan mensual'!K92</f>
        <v>795.95340827132</v>
      </c>
      <c r="J79" s="25" t="n">
        <f aca="false">parametros_recargas!$E$85*'Plan mensual'!L85+parametros_recargas!$F$85*'Plan mensual'!L86+parametros_recargas!$G$85*'Plan mensual'!L87+parametros_recargas!$H$85*'Plan mensual'!L88+parametros_recargas!$I$85*'Plan mensual'!L89+parametros_recargas!$J$85*'Plan mensual'!L90+parametros_recargas!$K$85*'Plan mensual'!L91+parametros_recargas!$L$85*'Plan mensual'!L92</f>
        <v>837.954755196658</v>
      </c>
      <c r="K79" s="25" t="n">
        <f aca="false">parametros_recargas!$E$85*'Plan mensual'!M85+parametros_recargas!$F$85*'Plan mensual'!M86+parametros_recargas!$G$85*'Plan mensual'!M87+parametros_recargas!$H$85*'Plan mensual'!M88+parametros_recargas!$I$85*'Plan mensual'!M89+parametros_recargas!$J$85*'Plan mensual'!M90+parametros_recargas!$K$85*'Plan mensual'!M91+parametros_recargas!$L$85*'Plan mensual'!M92</f>
        <v>882.175405271761</v>
      </c>
      <c r="L79" s="25" t="n">
        <f aca="false">parametros_recargas!$E$85*'Plan mensual'!N85+parametros_recargas!$F$85*'Plan mensual'!N86+parametros_recargas!$G$85*'Plan mensual'!N87+parametros_recargas!$H$85*'Plan mensual'!N88+parametros_recargas!$I$85*'Plan mensual'!N89+parametros_recargas!$J$85*'Plan mensual'!N90+parametros_recargas!$K$85*'Plan mensual'!N91+parametros_recargas!$L$85*'Plan mensual'!N92</f>
        <v>928.732623937647</v>
      </c>
      <c r="M79" s="25" t="n">
        <f aca="false">parametros_recargas!$E$85*'Plan mensual'!O85+parametros_recargas!$F$85*'Plan mensual'!O86+parametros_recargas!$G$85*'Plan mensual'!O87+parametros_recargas!$H$85*'Plan mensual'!O88+parametros_recargas!$I$85*'Plan mensual'!O89+parametros_recargas!$J$85*'Plan mensual'!O90+parametros_recargas!$K$85*'Plan mensual'!O91+parametros_recargas!$L$85*'Plan mensual'!O92</f>
        <v>977.749872807164</v>
      </c>
      <c r="N79" s="7" t="n">
        <f aca="false">SUM(B79:M79)</f>
        <v>8982.58521007137</v>
      </c>
      <c r="O79" s="26" t="n">
        <f aca="false">MAX(B79:M79)</f>
        <v>977.749872807164</v>
      </c>
      <c r="P79" s="15" t="n">
        <f aca="false">O79/parametros_recargas!$B$6</f>
        <v>6.51833248538109</v>
      </c>
    </row>
    <row r="80" customFormat="false" ht="15" hidden="false" customHeight="false" outlineLevel="0" collapsed="false">
      <c r="A80" s="12" t="str">
        <f aca="false">parametros_recargas!$B$86</f>
        <v>Pintura</v>
      </c>
      <c r="B80" s="25" t="n">
        <f aca="false">parametros_recargas!$E$86*'Plan mensual'!D85+parametros_recargas!$F$86*'Plan mensual'!D86+parametros_recargas!$G$86*'Plan mensual'!D87+parametros_recargas!$H$86*'Plan mensual'!D88+parametros_recargas!$I$86*'Plan mensual'!D89+parametros_recargas!$J$86*'Plan mensual'!D90+parametros_recargas!$K$86*'Plan mensual'!D91+parametros_recargas!$L$86*'Plan mensual'!D92</f>
        <v>279.0521911845</v>
      </c>
      <c r="C80" s="25" t="n">
        <f aca="false">parametros_recargas!$E$86*'Plan mensual'!E85+parametros_recargas!$F$86*'Plan mensual'!E86+parametros_recargas!$G$86*'Plan mensual'!E87+parametros_recargas!$H$86*'Plan mensual'!E88+parametros_recargas!$I$86*'Plan mensual'!E89+parametros_recargas!$J$86*'Plan mensual'!E90+parametros_recargas!$K$86*'Plan mensual'!E91+parametros_recargas!$L$86*'Plan mensual'!E92</f>
        <v>293.766167249104</v>
      </c>
      <c r="D80" s="25" t="n">
        <f aca="false">parametros_recargas!$E$86*'Plan mensual'!F85+parametros_recargas!$F$86*'Plan mensual'!F86+parametros_recargas!$G$86*'Plan mensual'!F87+parametros_recargas!$H$86*'Plan mensual'!F88+parametros_recargas!$I$86*'Plan mensual'!F89+parametros_recargas!$J$86*'Plan mensual'!F90+parametros_recargas!$K$86*'Plan mensual'!F91+parametros_recargas!$L$86*'Plan mensual'!F92</f>
        <v>309.257612985903</v>
      </c>
      <c r="E80" s="25" t="n">
        <f aca="false">parametros_recargas!$E$86*'Plan mensual'!G85+parametros_recargas!$F$86*'Plan mensual'!G86+parametros_recargas!$G$86*'Plan mensual'!G87+parametros_recargas!$H$86*'Plan mensual'!G88+parametros_recargas!$I$86*'Plan mensual'!G89+parametros_recargas!$J$86*'Plan mensual'!G90+parametros_recargas!$K$86*'Plan mensual'!G91+parametros_recargas!$L$86*'Plan mensual'!G92</f>
        <v>325.567609003462</v>
      </c>
      <c r="F80" s="25" t="n">
        <f aca="false">parametros_recargas!$E$86*'Plan mensual'!H85+parametros_recargas!$F$86*'Plan mensual'!H86+parametros_recargas!$G$86*'Plan mensual'!H87+parametros_recargas!$H$86*'Plan mensual'!H88+parametros_recargas!$I$86*'Plan mensual'!H89+parametros_recargas!$J$86*'Plan mensual'!H90+parametros_recargas!$K$86*'Plan mensual'!H91+parametros_recargas!$L$86*'Plan mensual'!H92</f>
        <v>342.739406562738</v>
      </c>
      <c r="G80" s="25" t="n">
        <f aca="false">parametros_recargas!$E$86*'Plan mensual'!I85+parametros_recargas!$F$86*'Plan mensual'!I86+parametros_recargas!$G$86*'Plan mensual'!I87+parametros_recargas!$H$86*'Plan mensual'!I88+parametros_recargas!$I$86*'Plan mensual'!I89+parametros_recargas!$J$86*'Plan mensual'!I90+parametros_recargas!$K$86*'Plan mensual'!I91+parametros_recargas!$L$86*'Plan mensual'!I92</f>
        <v>360.818542271864</v>
      </c>
      <c r="H80" s="25" t="n">
        <f aca="false">parametros_recargas!$E$86*'Plan mensual'!J85+parametros_recargas!$F$86*'Plan mensual'!J86+parametros_recargas!$G$86*'Plan mensual'!J87+parametros_recargas!$H$86*'Plan mensual'!J88+parametros_recargas!$I$86*'Plan mensual'!J89+parametros_recargas!$J$86*'Plan mensual'!J90+parametros_recargas!$K$86*'Plan mensual'!J91+parametros_recargas!$L$86*'Plan mensual'!J92</f>
        <v>379.852958841282</v>
      </c>
      <c r="I80" s="25" t="n">
        <f aca="false">parametros_recargas!$E$86*'Plan mensual'!K85+parametros_recargas!$F$86*'Plan mensual'!K86+parametros_recargas!$G$86*'Plan mensual'!K87+parametros_recargas!$H$86*'Plan mensual'!K88+parametros_recargas!$I$86*'Plan mensual'!K89+parametros_recargas!$J$86*'Plan mensual'!K90+parametros_recargas!$K$86*'Plan mensual'!K91+parametros_recargas!$L$86*'Plan mensual'!K92</f>
        <v>399.893132219442</v>
      </c>
      <c r="J80" s="25" t="n">
        <f aca="false">parametros_recargas!$E$86*'Plan mensual'!L85+parametros_recargas!$F$86*'Plan mensual'!L86+parametros_recargas!$G$86*'Plan mensual'!L87+parametros_recargas!$H$86*'Plan mensual'!L88+parametros_recargas!$I$86*'Plan mensual'!L89+parametros_recargas!$J$86*'Plan mensual'!L90+parametros_recargas!$K$86*'Plan mensual'!L91+parametros_recargas!$L$86*'Plan mensual'!L92</f>
        <v>420.992205446195</v>
      </c>
      <c r="K80" s="25" t="n">
        <f aca="false">parametros_recargas!$E$86*'Plan mensual'!M85+parametros_recargas!$F$86*'Plan mensual'!M86+parametros_recargas!$G$86*'Plan mensual'!M87+parametros_recargas!$H$86*'Plan mensual'!M88+parametros_recargas!$I$86*'Plan mensual'!M89+parametros_recargas!$J$86*'Plan mensual'!M90+parametros_recargas!$K$86*'Plan mensual'!M91+parametros_recargas!$L$86*'Plan mensual'!M92</f>
        <v>443.206129578862</v>
      </c>
      <c r="L80" s="25" t="n">
        <f aca="false">parametros_recargas!$E$86*'Plan mensual'!N85+parametros_recargas!$F$86*'Plan mensual'!N86+parametros_recargas!$G$86*'Plan mensual'!N87+parametros_recargas!$H$86*'Plan mensual'!N88+parametros_recargas!$I$86*'Plan mensual'!N89+parametros_recargas!$J$86*'Plan mensual'!N90+parametros_recargas!$K$86*'Plan mensual'!N91+parametros_recargas!$L$86*'Plan mensual'!N92</f>
        <v>466.593812064656</v>
      </c>
      <c r="M80" s="25" t="n">
        <f aca="false">parametros_recargas!$E$86*'Plan mensual'!O85+parametros_recargas!$F$86*'Plan mensual'!O86+parametros_recargas!$G$86*'Plan mensual'!O87+parametros_recargas!$H$86*'Plan mensual'!O88+parametros_recargas!$I$86*'Plan mensual'!O89+parametros_recargas!$J$86*'Plan mensual'!O90+parametros_recargas!$K$86*'Plan mensual'!O91+parametros_recargas!$L$86*'Plan mensual'!O92</f>
        <v>491.217272952955</v>
      </c>
      <c r="N80" s="7" t="n">
        <f aca="false">SUM(B80:M80)</f>
        <v>4512.95704036096</v>
      </c>
      <c r="O80" s="26" t="n">
        <f aca="false">MAX(B80:M80)</f>
        <v>491.217272952955</v>
      </c>
      <c r="P80" s="15" t="n">
        <f aca="false">O80/parametros_recargas!$B$6</f>
        <v>3.27478181968637</v>
      </c>
    </row>
    <row r="81" customFormat="false" ht="15" hidden="false" customHeight="false" outlineLevel="0" collapsed="false">
      <c r="A81" s="12" t="str">
        <f aca="false">parametros_recargas!$B$87</f>
        <v>Carga de polvo ABC</v>
      </c>
      <c r="B81" s="25" t="n">
        <f aca="false">parametros_recargas!$E$87*'Plan mensual'!D85+parametros_recargas!$F$87*'Plan mensual'!D86+parametros_recargas!$G$87*'Plan mensual'!D87+parametros_recargas!$H$87*'Plan mensual'!D88+parametros_recargas!$I$87*'Plan mensual'!D89+parametros_recargas!$J$87*'Plan mensual'!D90+parametros_recargas!$K$87*'Plan mensual'!D91+parametros_recargas!$L$87*'Plan mensual'!D92</f>
        <v>2402.90340621835</v>
      </c>
      <c r="C81" s="25" t="n">
        <f aca="false">parametros_recargas!$E$87*'Plan mensual'!E85+parametros_recargas!$F$87*'Plan mensual'!E86+parametros_recargas!$G$87*'Plan mensual'!E87+parametros_recargas!$H$87*'Plan mensual'!E88+parametros_recargas!$I$87*'Plan mensual'!E89+parametros_recargas!$J$87*'Plan mensual'!E90+parametros_recargas!$K$87*'Plan mensual'!E91+parametros_recargas!$L$87*'Plan mensual'!E92</f>
        <v>2529.65871944357</v>
      </c>
      <c r="D81" s="25" t="n">
        <f aca="false">parametros_recargas!$E$87*'Plan mensual'!F85+parametros_recargas!$F$87*'Plan mensual'!F86+parametros_recargas!$G$87*'Plan mensual'!F87+parametros_recargas!$H$87*'Plan mensual'!F88+parametros_recargas!$I$87*'Plan mensual'!F89+parametros_recargas!$J$87*'Plan mensual'!F90+parametros_recargas!$K$87*'Plan mensual'!F91+parametros_recargas!$L$87*'Plan mensual'!F92</f>
        <v>2663.11163849535</v>
      </c>
      <c r="E81" s="25" t="n">
        <f aca="false">parametros_recargas!$E$87*'Plan mensual'!G85+parametros_recargas!$F$87*'Plan mensual'!G86+parametros_recargas!$G$87*'Plan mensual'!G87+parametros_recargas!$H$87*'Plan mensual'!G88+parametros_recargas!$I$87*'Plan mensual'!G89+parametros_recargas!$J$87*'Plan mensual'!G90+parametros_recargas!$K$87*'Plan mensual'!G91+parametros_recargas!$L$87*'Plan mensual'!G92</f>
        <v>2803.61605720792</v>
      </c>
      <c r="F81" s="25" t="n">
        <f aca="false">parametros_recargas!$E$87*'Plan mensual'!H85+parametros_recargas!$F$87*'Plan mensual'!H86+parametros_recargas!$G$87*'Plan mensual'!H87+parametros_recargas!$H$87*'Plan mensual'!H88+parametros_recargas!$I$87*'Plan mensual'!H89+parametros_recargas!$J$87*'Plan mensual'!H90+parametros_recargas!$K$87*'Plan mensual'!H91+parametros_recargas!$L$87*'Plan mensual'!H92</f>
        <v>2951.5445687611</v>
      </c>
      <c r="G81" s="25" t="n">
        <f aca="false">parametros_recargas!$E$87*'Plan mensual'!I85+parametros_recargas!$F$87*'Plan mensual'!I86+parametros_recargas!$G$87*'Plan mensual'!I87+parametros_recargas!$H$87*'Plan mensual'!I88+parametros_recargas!$I$87*'Plan mensual'!I89+parametros_recargas!$J$87*'Plan mensual'!I90+parametros_recargas!$K$87*'Plan mensual'!I91+parametros_recargas!$L$87*'Plan mensual'!I92</f>
        <v>3107.28945373235</v>
      </c>
      <c r="H81" s="25" t="n">
        <f aca="false">parametros_recargas!$E$87*'Plan mensual'!J85+parametros_recargas!$F$87*'Plan mensual'!J86+parametros_recargas!$G$87*'Plan mensual'!J87+parametros_recargas!$H$87*'Plan mensual'!J88+parametros_recargas!$I$87*'Plan mensual'!J89+parametros_recargas!$J$87*'Plan mensual'!J90+parametros_recargas!$K$87*'Plan mensual'!J91+parametros_recargas!$L$87*'Plan mensual'!J92</f>
        <v>3271.26372035631</v>
      </c>
      <c r="I81" s="25" t="n">
        <f aca="false">parametros_recargas!$E$87*'Plan mensual'!K85+parametros_recargas!$F$87*'Plan mensual'!K86+parametros_recargas!$G$87*'Plan mensual'!K87+parametros_recargas!$H$87*'Plan mensual'!K88+parametros_recargas!$I$87*'Plan mensual'!K89+parametros_recargas!$J$87*'Plan mensual'!K90+parametros_recargas!$K$87*'Plan mensual'!K91+parametros_recargas!$L$87*'Plan mensual'!K92</f>
        <v>3443.90219975054</v>
      </c>
      <c r="J81" s="25" t="n">
        <f aca="false">parametros_recargas!$E$87*'Plan mensual'!L85+parametros_recargas!$F$87*'Plan mensual'!L86+parametros_recargas!$G$87*'Plan mensual'!L87+parametros_recargas!$H$87*'Plan mensual'!L88+parametros_recargas!$I$87*'Plan mensual'!L89+parametros_recargas!$J$87*'Plan mensual'!L90+parametros_recargas!$K$87*'Plan mensual'!L91+parametros_recargas!$L$87*'Plan mensual'!L92</f>
        <v>3625.66269901169</v>
      </c>
      <c r="K81" s="25" t="n">
        <f aca="false">parametros_recargas!$E$87*'Plan mensual'!M85+parametros_recargas!$F$87*'Plan mensual'!M86+parametros_recargas!$G$87*'Plan mensual'!M87+parametros_recargas!$H$87*'Plan mensual'!M88+parametros_recargas!$I$87*'Plan mensual'!M89+parametros_recargas!$J$87*'Plan mensual'!M90+parametros_recargas!$K$87*'Plan mensual'!M91+parametros_recargas!$L$87*'Plan mensual'!M92</f>
        <v>3817.02721523996</v>
      </c>
      <c r="L81" s="25" t="n">
        <f aca="false">parametros_recargas!$E$87*'Plan mensual'!N85+parametros_recargas!$F$87*'Plan mensual'!N86+parametros_recargas!$G$87*'Plan mensual'!N87+parametros_recargas!$H$87*'Plan mensual'!N88+parametros_recargas!$I$87*'Plan mensual'!N89+parametros_recargas!$J$87*'Plan mensual'!N90+parametros_recargas!$K$87*'Plan mensual'!N91+parametros_recargas!$L$87*'Plan mensual'!N92</f>
        <v>4018.50321371126</v>
      </c>
      <c r="M81" s="25" t="n">
        <f aca="false">parametros_recargas!$E$87*'Plan mensual'!O85+parametros_recargas!$F$87*'Plan mensual'!O86+parametros_recargas!$G$87*'Plan mensual'!O87+parametros_recargas!$H$87*'Plan mensual'!O88+parametros_recargas!$I$87*'Plan mensual'!O89+parametros_recargas!$J$87*'Plan mensual'!O90+parametros_recargas!$K$87*'Plan mensual'!O91+parametros_recargas!$L$87*'Plan mensual'!O92</f>
        <v>4230.62497358646</v>
      </c>
      <c r="N81" s="7" t="n">
        <f aca="false">SUM(B81:M81)</f>
        <v>38865.1078655149</v>
      </c>
      <c r="O81" s="26" t="n">
        <f aca="false">MAX(B81:M81)</f>
        <v>4230.62497358646</v>
      </c>
      <c r="P81" s="15" t="n">
        <f aca="false">O81/parametros_recargas!$B$6</f>
        <v>28.2041664905764</v>
      </c>
    </row>
    <row r="82" customFormat="false" ht="15" hidden="false" customHeight="false" outlineLevel="0" collapsed="false">
      <c r="A82" s="12" t="str">
        <f aca="false">parametros_recargas!$B$88</f>
        <v>Carga de polvo BC</v>
      </c>
      <c r="B82" s="25" t="n">
        <f aca="false">parametros_recargas!$E$88*'Plan mensual'!D85+parametros_recargas!$F$88*'Plan mensual'!D86+parametros_recargas!$G$88*'Plan mensual'!D87+parametros_recargas!$H$88*'Plan mensual'!D88+parametros_recargas!$I$88*'Plan mensual'!D89+parametros_recargas!$J$88*'Plan mensual'!D90+parametros_recargas!$K$88*'Plan mensual'!D91+parametros_recargas!$L$88*'Plan mensual'!D92</f>
        <v>3.9933320930784</v>
      </c>
      <c r="C82" s="25" t="n">
        <f aca="false">parametros_recargas!$E$88*'Plan mensual'!E85+parametros_recargas!$F$88*'Plan mensual'!E86+parametros_recargas!$G$88*'Plan mensual'!E87+parametros_recargas!$H$88*'Plan mensual'!E88+parametros_recargas!$I$88*'Plan mensual'!E89+parametros_recargas!$J$88*'Plan mensual'!E90+parametros_recargas!$K$88*'Plan mensual'!E91+parametros_recargas!$L$88*'Plan mensual'!E92</f>
        <v>4.19993195709002</v>
      </c>
      <c r="D82" s="25" t="n">
        <f aca="false">parametros_recargas!$E$88*'Plan mensual'!F85+parametros_recargas!$F$88*'Plan mensual'!F86+parametros_recargas!$G$88*'Plan mensual'!F87+parametros_recargas!$H$88*'Plan mensual'!F88+parametros_recargas!$I$88*'Plan mensual'!F89+parametros_recargas!$J$88*'Plan mensual'!F90+parametros_recargas!$K$88*'Plan mensual'!F91+parametros_recargas!$L$88*'Plan mensual'!F92</f>
        <v>4.41744832170237</v>
      </c>
      <c r="E82" s="25" t="n">
        <f aca="false">parametros_recargas!$E$88*'Plan mensual'!G85+parametros_recargas!$F$88*'Plan mensual'!G86+parametros_recargas!$G$88*'Plan mensual'!G87+parametros_recargas!$H$88*'Plan mensual'!G88+parametros_recargas!$I$88*'Plan mensual'!G89+parametros_recargas!$J$88*'Plan mensual'!G90+parametros_recargas!$K$88*'Plan mensual'!G91+parametros_recargas!$L$88*'Plan mensual'!G92</f>
        <v>4.64645800232593</v>
      </c>
      <c r="F82" s="25" t="n">
        <f aca="false">parametros_recargas!$E$88*'Plan mensual'!H85+parametros_recargas!$F$88*'Plan mensual'!H86+parametros_recargas!$G$88*'Plan mensual'!H87+parametros_recargas!$H$88*'Plan mensual'!H88+parametros_recargas!$I$88*'Plan mensual'!H89+parametros_recargas!$J$88*'Plan mensual'!H90+parametros_recargas!$K$88*'Plan mensual'!H91+parametros_recargas!$L$88*'Plan mensual'!H92</f>
        <v>4.88756829263799</v>
      </c>
      <c r="G82" s="25" t="n">
        <f aca="false">parametros_recargas!$E$88*'Plan mensual'!I85+parametros_recargas!$F$88*'Plan mensual'!I86+parametros_recargas!$G$88*'Plan mensual'!I87+parametros_recargas!$H$88*'Plan mensual'!I88+parametros_recargas!$I$88*'Plan mensual'!I89+parametros_recargas!$J$88*'Plan mensual'!I90+parametros_recargas!$K$88*'Plan mensual'!I91+parametros_recargas!$L$88*'Plan mensual'!I92</f>
        <v>5.14141857501939</v>
      </c>
      <c r="H82" s="25" t="n">
        <f aca="false">parametros_recargas!$E$88*'Plan mensual'!J85+parametros_recargas!$F$88*'Plan mensual'!J86+parametros_recargas!$G$88*'Plan mensual'!J87+parametros_recargas!$H$88*'Plan mensual'!J88+parametros_recargas!$I$88*'Plan mensual'!J89+parametros_recargas!$J$88*'Plan mensual'!J90+parametros_recargas!$K$88*'Plan mensual'!J91+parametros_recargas!$L$88*'Plan mensual'!J92</f>
        <v>5.40868201608495</v>
      </c>
      <c r="I82" s="25" t="n">
        <f aca="false">parametros_recargas!$E$88*'Plan mensual'!K85+parametros_recargas!$F$88*'Plan mensual'!K86+parametros_recargas!$G$88*'Plan mensual'!K87+parametros_recargas!$H$88*'Plan mensual'!K88+parametros_recargas!$I$88*'Plan mensual'!K89+parametros_recargas!$J$88*'Plan mensual'!K90+parametros_recargas!$K$88*'Plan mensual'!K91+parametros_recargas!$L$88*'Plan mensual'!K92</f>
        <v>5.69006735180374</v>
      </c>
      <c r="J82" s="25" t="n">
        <f aca="false">parametros_recargas!$E$88*'Plan mensual'!L85+parametros_recargas!$F$88*'Plan mensual'!L86+parametros_recargas!$G$88*'Plan mensual'!L87+parametros_recargas!$H$88*'Plan mensual'!L88+parametros_recargas!$I$88*'Plan mensual'!L89+parametros_recargas!$J$88*'Plan mensual'!L90+parametros_recargas!$K$88*'Plan mensual'!L91+parametros_recargas!$L$88*'Plan mensual'!L92</f>
        <v>5.98632076694314</v>
      </c>
      <c r="K82" s="25" t="n">
        <f aca="false">parametros_recargas!$E$88*'Plan mensual'!M85+parametros_recargas!$F$88*'Plan mensual'!M86+parametros_recargas!$G$88*'Plan mensual'!M87+parametros_recargas!$H$88*'Plan mensual'!M88+parametros_recargas!$I$88*'Plan mensual'!M89+parametros_recargas!$J$88*'Plan mensual'!M90+parametros_recargas!$K$88*'Plan mensual'!M91+parametros_recargas!$L$88*'Plan mensual'!M92</f>
        <v>6.29822787382048</v>
      </c>
      <c r="L82" s="25" t="n">
        <f aca="false">parametros_recargas!$E$88*'Plan mensual'!N85+parametros_recargas!$F$88*'Plan mensual'!N86+parametros_recargas!$G$88*'Plan mensual'!N87+parametros_recargas!$H$88*'Plan mensual'!N88+parametros_recargas!$I$88*'Plan mensual'!N89+parametros_recargas!$J$88*'Plan mensual'!N90+parametros_recargas!$K$88*'Plan mensual'!N91+parametros_recargas!$L$88*'Plan mensual'!N92</f>
        <v>6.62661579560973</v>
      </c>
      <c r="M82" s="25" t="n">
        <f aca="false">parametros_recargas!$E$88*'Plan mensual'!O85+parametros_recargas!$F$88*'Plan mensual'!O86+parametros_recargas!$G$88*'Plan mensual'!O87+parametros_recargas!$H$88*'Plan mensual'!O88+parametros_recargas!$I$88*'Plan mensual'!O89+parametros_recargas!$J$88*'Plan mensual'!O90+parametros_recargas!$K$88*'Plan mensual'!O91+parametros_recargas!$L$88*'Plan mensual'!O92</f>
        <v>6.97235535972766</v>
      </c>
      <c r="N82" s="7" t="n">
        <f aca="false">SUM(B82:M82)</f>
        <v>64.2684264058438</v>
      </c>
      <c r="O82" s="26" t="n">
        <f aca="false">MAX(B82:M82)</f>
        <v>6.97235535972766</v>
      </c>
      <c r="P82" s="15" t="n">
        <f aca="false">O82/parametros_recargas!$B$6</f>
        <v>0.046482369064851</v>
      </c>
    </row>
    <row r="83" customFormat="false" ht="15" hidden="false" customHeight="false" outlineLevel="0" collapsed="false">
      <c r="A83" s="12" t="str">
        <f aca="false">parametros_recargas!$B$89</f>
        <v>Descarga y carga Clase D</v>
      </c>
      <c r="B83" s="25" t="n">
        <f aca="false">parametros_recargas!$E$89*'Plan mensual'!D85+parametros_recargas!$F$89*'Plan mensual'!D86+parametros_recargas!$G$89*'Plan mensual'!D87+parametros_recargas!$H$89*'Plan mensual'!D88+parametros_recargas!$I$89*'Plan mensual'!D89+parametros_recargas!$J$89*'Plan mensual'!D90+parametros_recargas!$K$89*'Plan mensual'!D91+parametros_recargas!$L$89*'Plan mensual'!D92</f>
        <v>3.9933320930784</v>
      </c>
      <c r="C83" s="25" t="n">
        <f aca="false">parametros_recargas!$E$89*'Plan mensual'!E85+parametros_recargas!$F$89*'Plan mensual'!E86+parametros_recargas!$G$89*'Plan mensual'!E87+parametros_recargas!$H$89*'Plan mensual'!E88+parametros_recargas!$I$89*'Plan mensual'!E89+parametros_recargas!$J$89*'Plan mensual'!E90+parametros_recargas!$K$89*'Plan mensual'!E91+parametros_recargas!$L$89*'Plan mensual'!E92</f>
        <v>4.19993195709002</v>
      </c>
      <c r="D83" s="25" t="n">
        <f aca="false">parametros_recargas!$E$89*'Plan mensual'!F85+parametros_recargas!$F$89*'Plan mensual'!F86+parametros_recargas!$G$89*'Plan mensual'!F87+parametros_recargas!$H$89*'Plan mensual'!F88+parametros_recargas!$I$89*'Plan mensual'!F89+parametros_recargas!$J$89*'Plan mensual'!F90+parametros_recargas!$K$89*'Plan mensual'!F91+parametros_recargas!$L$89*'Plan mensual'!F92</f>
        <v>4.41744832170237</v>
      </c>
      <c r="E83" s="25" t="n">
        <f aca="false">parametros_recargas!$E$89*'Plan mensual'!G85+parametros_recargas!$F$89*'Plan mensual'!G86+parametros_recargas!$G$89*'Plan mensual'!G87+parametros_recargas!$H$89*'Plan mensual'!G88+parametros_recargas!$I$89*'Plan mensual'!G89+parametros_recargas!$J$89*'Plan mensual'!G90+parametros_recargas!$K$89*'Plan mensual'!G91+parametros_recargas!$L$89*'Plan mensual'!G92</f>
        <v>4.64645800232593</v>
      </c>
      <c r="F83" s="25" t="n">
        <f aca="false">parametros_recargas!$E$89*'Plan mensual'!H85+parametros_recargas!$F$89*'Plan mensual'!H86+parametros_recargas!$G$89*'Plan mensual'!H87+parametros_recargas!$H$89*'Plan mensual'!H88+parametros_recargas!$I$89*'Plan mensual'!H89+parametros_recargas!$J$89*'Plan mensual'!H90+parametros_recargas!$K$89*'Plan mensual'!H91+parametros_recargas!$L$89*'Plan mensual'!H92</f>
        <v>4.88756829263799</v>
      </c>
      <c r="G83" s="25" t="n">
        <f aca="false">parametros_recargas!$E$89*'Plan mensual'!I85+parametros_recargas!$F$89*'Plan mensual'!I86+parametros_recargas!$G$89*'Plan mensual'!I87+parametros_recargas!$H$89*'Plan mensual'!I88+parametros_recargas!$I$89*'Plan mensual'!I89+parametros_recargas!$J$89*'Plan mensual'!I90+parametros_recargas!$K$89*'Plan mensual'!I91+parametros_recargas!$L$89*'Plan mensual'!I92</f>
        <v>5.14141857501939</v>
      </c>
      <c r="H83" s="25" t="n">
        <f aca="false">parametros_recargas!$E$89*'Plan mensual'!J85+parametros_recargas!$F$89*'Plan mensual'!J86+parametros_recargas!$G$89*'Plan mensual'!J87+parametros_recargas!$H$89*'Plan mensual'!J88+parametros_recargas!$I$89*'Plan mensual'!J89+parametros_recargas!$J$89*'Plan mensual'!J90+parametros_recargas!$K$89*'Plan mensual'!J91+parametros_recargas!$L$89*'Plan mensual'!J92</f>
        <v>5.40868201608495</v>
      </c>
      <c r="I83" s="25" t="n">
        <f aca="false">parametros_recargas!$E$89*'Plan mensual'!K85+parametros_recargas!$F$89*'Plan mensual'!K86+parametros_recargas!$G$89*'Plan mensual'!K87+parametros_recargas!$H$89*'Plan mensual'!K88+parametros_recargas!$I$89*'Plan mensual'!K89+parametros_recargas!$J$89*'Plan mensual'!K90+parametros_recargas!$K$89*'Plan mensual'!K91+parametros_recargas!$L$89*'Plan mensual'!K92</f>
        <v>5.69006735180374</v>
      </c>
      <c r="J83" s="25" t="n">
        <f aca="false">parametros_recargas!$E$89*'Plan mensual'!L85+parametros_recargas!$F$89*'Plan mensual'!L86+parametros_recargas!$G$89*'Plan mensual'!L87+parametros_recargas!$H$89*'Plan mensual'!L88+parametros_recargas!$I$89*'Plan mensual'!L89+parametros_recargas!$J$89*'Plan mensual'!L90+parametros_recargas!$K$89*'Plan mensual'!L91+parametros_recargas!$L$89*'Plan mensual'!L92</f>
        <v>5.98632076694314</v>
      </c>
      <c r="K83" s="25" t="n">
        <f aca="false">parametros_recargas!$E$89*'Plan mensual'!M85+parametros_recargas!$F$89*'Plan mensual'!M86+parametros_recargas!$G$89*'Plan mensual'!M87+parametros_recargas!$H$89*'Plan mensual'!M88+parametros_recargas!$I$89*'Plan mensual'!M89+parametros_recargas!$J$89*'Plan mensual'!M90+parametros_recargas!$K$89*'Plan mensual'!M91+parametros_recargas!$L$89*'Plan mensual'!M92</f>
        <v>6.29822787382048</v>
      </c>
      <c r="L83" s="25" t="n">
        <f aca="false">parametros_recargas!$E$89*'Plan mensual'!N85+parametros_recargas!$F$89*'Plan mensual'!N86+parametros_recargas!$G$89*'Plan mensual'!N87+parametros_recargas!$H$89*'Plan mensual'!N88+parametros_recargas!$I$89*'Plan mensual'!N89+parametros_recargas!$J$89*'Plan mensual'!N90+parametros_recargas!$K$89*'Plan mensual'!N91+parametros_recargas!$L$89*'Plan mensual'!N92</f>
        <v>6.62661579560973</v>
      </c>
      <c r="M83" s="25" t="n">
        <f aca="false">parametros_recargas!$E$89*'Plan mensual'!O85+parametros_recargas!$F$89*'Plan mensual'!O86+parametros_recargas!$G$89*'Plan mensual'!O87+parametros_recargas!$H$89*'Plan mensual'!O88+parametros_recargas!$I$89*'Plan mensual'!O89+parametros_recargas!$J$89*'Plan mensual'!O90+parametros_recargas!$K$89*'Plan mensual'!O91+parametros_recargas!$L$89*'Plan mensual'!O92</f>
        <v>6.97235535972766</v>
      </c>
      <c r="N83" s="7" t="n">
        <f aca="false">SUM(B83:M83)</f>
        <v>64.2684264058438</v>
      </c>
      <c r="O83" s="26" t="n">
        <f aca="false">MAX(B83:M83)</f>
        <v>6.97235535972766</v>
      </c>
      <c r="P83" s="15" t="n">
        <f aca="false">O83/parametros_recargas!$B$6</f>
        <v>0.046482369064851</v>
      </c>
    </row>
    <row r="84" customFormat="false" ht="15" hidden="false" customHeight="false" outlineLevel="0" collapsed="false">
      <c r="A84" s="12" t="str">
        <f aca="false">parametros_recargas!$B$90</f>
        <v>Carga de agua / AFFF / sales K</v>
      </c>
      <c r="B84" s="25" t="n">
        <f aca="false">parametros_recargas!$E$90*'Plan mensual'!D85+parametros_recargas!$F$90*'Plan mensual'!D86+parametros_recargas!$G$90*'Plan mensual'!D87+parametros_recargas!$H$90*'Plan mensual'!D88+parametros_recargas!$I$90*'Plan mensual'!D89+parametros_recargas!$J$90*'Plan mensual'!D90+parametros_recargas!$K$90*'Plan mensual'!D91+parametros_recargas!$L$90*'Plan mensual'!D92</f>
        <v>134.073124458762</v>
      </c>
      <c r="C84" s="25" t="n">
        <f aca="false">parametros_recargas!$E$90*'Plan mensual'!E85+parametros_recargas!$F$90*'Plan mensual'!E86+parametros_recargas!$G$90*'Plan mensual'!E87+parametros_recargas!$H$90*'Plan mensual'!E88+parametros_recargas!$I$90*'Plan mensual'!E89+parametros_recargas!$J$90*'Plan mensual'!E90+parametros_recargas!$K$90*'Plan mensual'!E91+parametros_recargas!$L$90*'Plan mensual'!E92</f>
        <v>141.117765921662</v>
      </c>
      <c r="D84" s="25" t="n">
        <f aca="false">parametros_recargas!$E$90*'Plan mensual'!F85+parametros_recargas!$F$90*'Plan mensual'!F86+parametros_recargas!$G$90*'Plan mensual'!F87+parametros_recargas!$H$90*'Plan mensual'!F88+parametros_recargas!$I$90*'Plan mensual'!F89+parametros_recargas!$J$90*'Plan mensual'!F90+parametros_recargas!$K$90*'Plan mensual'!F91+parametros_recargas!$L$90*'Plan mensual'!F92</f>
        <v>148.534638185048</v>
      </c>
      <c r="E84" s="25" t="n">
        <f aca="false">parametros_recargas!$E$90*'Plan mensual'!G85+parametros_recargas!$F$90*'Plan mensual'!G86+parametros_recargas!$G$90*'Plan mensual'!G87+parametros_recargas!$H$90*'Plan mensual'!G88+parametros_recargas!$I$90*'Plan mensual'!G89+parametros_recargas!$J$90*'Plan mensual'!G90+parametros_recargas!$K$90*'Plan mensual'!G91+parametros_recargas!$L$90*'Plan mensual'!G92</f>
        <v>156.343409498835</v>
      </c>
      <c r="F84" s="25" t="n">
        <f aca="false">parametros_recargas!$E$90*'Plan mensual'!H85+parametros_recargas!$F$90*'Plan mensual'!H86+parametros_recargas!$G$90*'Plan mensual'!H87+parametros_recargas!$H$90*'Plan mensual'!H88+parametros_recargas!$I$90*'Plan mensual'!H89+parametros_recargas!$J$90*'Plan mensual'!H90+parametros_recargas!$K$90*'Plan mensual'!H91+parametros_recargas!$L$90*'Plan mensual'!H92</f>
        <v>164.56478736077</v>
      </c>
      <c r="G84" s="25" t="n">
        <f aca="false">parametros_recargas!$E$90*'Plan mensual'!I85+parametros_recargas!$F$90*'Plan mensual'!I86+parametros_recargas!$G$90*'Plan mensual'!I87+parametros_recargas!$H$90*'Plan mensual'!I88+parametros_recargas!$I$90*'Plan mensual'!I89+parametros_recargas!$J$90*'Plan mensual'!I90+parametros_recargas!$K$90*'Plan mensual'!I91+parametros_recargas!$L$90*'Plan mensual'!I92</f>
        <v>173.22057342911</v>
      </c>
      <c r="H84" s="25" t="n">
        <f aca="false">parametros_recargas!$E$90*'Plan mensual'!J85+parametros_recargas!$F$90*'Plan mensual'!J86+parametros_recargas!$G$90*'Plan mensual'!J87+parametros_recargas!$H$90*'Plan mensual'!J88+parametros_recargas!$I$90*'Plan mensual'!J89+parametros_recargas!$J$90*'Plan mensual'!J90+parametros_recargas!$K$90*'Plan mensual'!J91+parametros_recargas!$L$90*'Plan mensual'!J92</f>
        <v>182.333721336805</v>
      </c>
      <c r="I84" s="25" t="n">
        <f aca="false">parametros_recargas!$E$90*'Plan mensual'!K85+parametros_recargas!$F$90*'Plan mensual'!K86+parametros_recargas!$G$90*'Plan mensual'!K87+parametros_recargas!$H$90*'Plan mensual'!K88+parametros_recargas!$I$90*'Plan mensual'!K89+parametros_recargas!$J$90*'Plan mensual'!K90+parametros_recargas!$K$90*'Plan mensual'!K91+parametros_recargas!$L$90*'Plan mensual'!K92</f>
        <v>191.928397560526</v>
      </c>
      <c r="J84" s="25" t="n">
        <f aca="false">parametros_recargas!$E$90*'Plan mensual'!L85+parametros_recargas!$F$90*'Plan mensual'!L86+parametros_recargas!$G$90*'Plan mensual'!L87+parametros_recargas!$H$90*'Plan mensual'!L88+parametros_recargas!$I$90*'Plan mensual'!L89+parametros_recargas!$J$90*'Plan mensual'!L90+parametros_recargas!$K$90*'Plan mensual'!L91+parametros_recargas!$L$90*'Plan mensual'!L92</f>
        <v>202.030045505944</v>
      </c>
      <c r="K84" s="25" t="n">
        <f aca="false">parametros_recargas!$E$90*'Plan mensual'!M85+parametros_recargas!$F$90*'Plan mensual'!M86+parametros_recargas!$G$90*'Plan mensual'!M87+parametros_recargas!$H$90*'Plan mensual'!M88+parametros_recargas!$I$90*'Plan mensual'!M89+parametros_recargas!$J$90*'Plan mensual'!M90+parametros_recargas!$K$90*'Plan mensual'!M91+parametros_recargas!$L$90*'Plan mensual'!M92</f>
        <v>212.665452979191</v>
      </c>
      <c r="L84" s="25" t="n">
        <f aca="false">parametros_recargas!$E$90*'Plan mensual'!N85+parametros_recargas!$F$90*'Plan mensual'!N86+parametros_recargas!$G$90*'Plan mensual'!N87+parametros_recargas!$H$90*'Plan mensual'!N88+parametros_recargas!$I$90*'Plan mensual'!N89+parametros_recargas!$J$90*'Plan mensual'!N90+parametros_recargas!$K$90*'Plan mensual'!N91+parametros_recargas!$L$90*'Plan mensual'!N92</f>
        <v>223.862823223451</v>
      </c>
      <c r="M84" s="25" t="n">
        <f aca="false">parametros_recargas!$E$90*'Plan mensual'!O85+parametros_recargas!$F$90*'Plan mensual'!O86+parametros_recargas!$G$90*'Plan mensual'!O87+parametros_recargas!$H$90*'Plan mensual'!O88+parametros_recargas!$I$90*'Plan mensual'!O89+parametros_recargas!$J$90*'Plan mensual'!O90+parametros_recargas!$K$90*'Plan mensual'!O91+parametros_recargas!$L$90*'Plan mensual'!O92</f>
        <v>235.651849709029</v>
      </c>
      <c r="N84" s="7" t="n">
        <f aca="false">SUM(B84:M84)</f>
        <v>2166.32658916913</v>
      </c>
      <c r="O84" s="26" t="n">
        <f aca="false">MAX(B84:M84)</f>
        <v>235.651849709029</v>
      </c>
      <c r="P84" s="15" t="n">
        <f aca="false">O84/parametros_recargas!$B$6</f>
        <v>1.57101233139353</v>
      </c>
    </row>
    <row r="85" customFormat="false" ht="15" hidden="false" customHeight="false" outlineLevel="0" collapsed="false">
      <c r="A85" s="12" t="str">
        <f aca="false">parametros_recargas!$B$91</f>
        <v>Carga de CO₂</v>
      </c>
      <c r="B85" s="25" t="n">
        <f aca="false">parametros_recargas!$E$91*'Plan mensual'!D85+parametros_recargas!$F$91*'Plan mensual'!D86+parametros_recargas!$G$91*'Plan mensual'!D87+parametros_recargas!$H$91*'Plan mensual'!D88+parametros_recargas!$I$91*'Plan mensual'!D89+parametros_recargas!$J$91*'Plan mensual'!D90+parametros_recargas!$K$91*'Plan mensual'!D91+parametros_recargas!$L$91*'Plan mensual'!D92</f>
        <v>70.5962353979885</v>
      </c>
      <c r="C85" s="25" t="n">
        <f aca="false">parametros_recargas!$E$91*'Plan mensual'!E85+parametros_recargas!$F$91*'Plan mensual'!E86+parametros_recargas!$G$91*'Plan mensual'!E87+parametros_recargas!$H$91*'Plan mensual'!E88+parametros_recargas!$I$91*'Plan mensual'!E89+parametros_recargas!$J$91*'Plan mensual'!E90+parametros_recargas!$K$91*'Plan mensual'!E91+parametros_recargas!$L$91*'Plan mensual'!E92</f>
        <v>74.3132500468374</v>
      </c>
      <c r="D85" s="25" t="n">
        <f aca="false">parametros_recargas!$E$91*'Plan mensual'!F85+parametros_recargas!$F$91*'Plan mensual'!F86+parametros_recargas!$G$91*'Plan mensual'!F87+parametros_recargas!$H$91*'Plan mensual'!F88+parametros_recargas!$I$91*'Plan mensual'!F89+parametros_recargas!$J$91*'Plan mensual'!F90+parametros_recargas!$K$91*'Plan mensual'!F91+parametros_recargas!$L$91*'Plan mensual'!F92</f>
        <v>78.2266674999245</v>
      </c>
      <c r="E85" s="25" t="n">
        <f aca="false">parametros_recargas!$E$91*'Plan mensual'!G85+parametros_recargas!$F$91*'Plan mensual'!G86+parametros_recargas!$G$91*'Plan mensual'!G87+parametros_recargas!$H$91*'Plan mensual'!G88+parametros_recargas!$I$91*'Plan mensual'!G89+parametros_recargas!$J$91*'Plan mensual'!G90+parametros_recargas!$K$91*'Plan mensual'!G91+parametros_recargas!$L$91*'Plan mensual'!G92</f>
        <v>82.3468654568706</v>
      </c>
      <c r="F85" s="25" t="n">
        <f aca="false">parametros_recargas!$E$91*'Plan mensual'!H85+parametros_recargas!$F$91*'Plan mensual'!H86+parametros_recargas!$G$91*'Plan mensual'!H87+parametros_recargas!$H$91*'Plan mensual'!H88+parametros_recargas!$I$91*'Plan mensual'!H89+parametros_recargas!$J$91*'Plan mensual'!H90+parametros_recargas!$K$91*'Plan mensual'!H91+parametros_recargas!$L$91*'Plan mensual'!H92</f>
        <v>86.6847699630796</v>
      </c>
      <c r="G85" s="25" t="n">
        <f aca="false">parametros_recargas!$E$91*'Plan mensual'!I85+parametros_recargas!$F$91*'Plan mensual'!I86+parametros_recargas!$G$91*'Plan mensual'!I87+parametros_recargas!$H$91*'Plan mensual'!I88+parametros_recargas!$I$91*'Plan mensual'!I89+parametros_recargas!$J$91*'Plan mensual'!I90+parametros_recargas!$K$91*'Plan mensual'!I91+parametros_recargas!$L$91*'Plan mensual'!I92</f>
        <v>91.2518843837021</v>
      </c>
      <c r="H85" s="25" t="n">
        <f aca="false">parametros_recargas!$E$91*'Plan mensual'!J85+parametros_recargas!$F$91*'Plan mensual'!J86+parametros_recargas!$G$91*'Plan mensual'!J87+parametros_recargas!$H$91*'Plan mensual'!J88+parametros_recargas!$I$91*'Plan mensual'!J89+parametros_recargas!$J$91*'Plan mensual'!J90+parametros_recargas!$K$91*'Plan mensual'!J91+parametros_recargas!$L$91*'Plan mensual'!J92</f>
        <v>96.0603199085511</v>
      </c>
      <c r="I85" s="25" t="n">
        <f aca="false">parametros_recargas!$E$91*'Plan mensual'!K85+parametros_recargas!$F$91*'Plan mensual'!K86+parametros_recargas!$G$91*'Plan mensual'!K87+parametros_recargas!$H$91*'Plan mensual'!K88+parametros_recargas!$I$91*'Plan mensual'!K89+parametros_recargas!$J$91*'Plan mensual'!K90+parametros_recargas!$K$91*'Plan mensual'!K91+parametros_recargas!$L$91*'Plan mensual'!K92</f>
        <v>101.122827668862</v>
      </c>
      <c r="J85" s="25" t="n">
        <f aca="false">parametros_recargas!$E$91*'Plan mensual'!L85+parametros_recargas!$F$91*'Plan mensual'!L86+parametros_recargas!$G$91*'Plan mensual'!L87+parametros_recargas!$H$91*'Plan mensual'!L88+parametros_recargas!$I$91*'Plan mensual'!L89+parametros_recargas!$J$91*'Plan mensual'!L90+parametros_recargas!$K$91*'Plan mensual'!L91+parametros_recargas!$L$91*'Plan mensual'!L92</f>
        <v>106.452832551067</v>
      </c>
      <c r="K85" s="25" t="n">
        <f aca="false">parametros_recargas!$E$91*'Plan mensual'!M85+parametros_recargas!$F$91*'Plan mensual'!M86+parametros_recargas!$G$91*'Plan mensual'!M87+parametros_recargas!$H$91*'Plan mensual'!M88+parametros_recargas!$I$91*'Plan mensual'!M89+parametros_recargas!$J$91*'Plan mensual'!M90+parametros_recargas!$K$91*'Plan mensual'!M91+parametros_recargas!$L$91*'Plan mensual'!M92</f>
        <v>112.064468797245</v>
      </c>
      <c r="L85" s="25" t="n">
        <f aca="false">parametros_recargas!$E$91*'Plan mensual'!N85+parametros_recargas!$F$91*'Plan mensual'!N86+parametros_recargas!$G$91*'Plan mensual'!N87+parametros_recargas!$H$91*'Plan mensual'!N88+parametros_recargas!$I$91*'Plan mensual'!N89+parametros_recargas!$J$91*'Plan mensual'!N90+parametros_recargas!$K$91*'Plan mensual'!N91+parametros_recargas!$L$91*'Plan mensual'!N92</f>
        <v>117.972617486671</v>
      </c>
      <c r="M85" s="25" t="n">
        <f aca="false">parametros_recargas!$E$91*'Plan mensual'!O85+parametros_recargas!$F$91*'Plan mensual'!O86+parametros_recargas!$G$91*'Plan mensual'!O87+parametros_recargas!$H$91*'Plan mensual'!O88+parametros_recargas!$I$91*'Plan mensual'!O89+parametros_recargas!$J$91*'Plan mensual'!O90+parametros_recargas!$K$91*'Plan mensual'!O91+parametros_recargas!$L$91*'Plan mensual'!O92</f>
        <v>124.192945997829</v>
      </c>
      <c r="N85" s="7" t="n">
        <f aca="false">SUM(B85:M85)</f>
        <v>1141.28568515863</v>
      </c>
      <c r="O85" s="26" t="n">
        <f aca="false">MAX(B85:M85)</f>
        <v>124.192945997829</v>
      </c>
      <c r="P85" s="15" t="n">
        <f aca="false">O85/parametros_recargas!$B$6</f>
        <v>0.827952973318863</v>
      </c>
    </row>
    <row r="86" customFormat="false" ht="15" hidden="false" customHeight="false" outlineLevel="0" collapsed="false">
      <c r="A86" s="12" t="str">
        <f aca="false">parametros_recargas!$B$92</f>
        <v>Ensamblaje y marbete — recinto</v>
      </c>
      <c r="B86" s="25" t="n">
        <f aca="false">parametros_recargas!$E$92*'Plan mensual'!D85+parametros_recargas!$F$92*'Plan mensual'!D86+parametros_recargas!$G$92*'Plan mensual'!D87+parametros_recargas!$H$92*'Plan mensual'!D88+parametros_recargas!$I$92*'Plan mensual'!D89+parametros_recargas!$J$92*'Plan mensual'!D90+parametros_recargas!$K$92*'Plan mensual'!D91+parametros_recargas!$L$92*'Plan mensual'!D92</f>
        <v>2410.89007040451</v>
      </c>
      <c r="C86" s="25" t="n">
        <f aca="false">parametros_recargas!$E$92*'Plan mensual'!E85+parametros_recargas!$F$92*'Plan mensual'!E86+parametros_recargas!$G$92*'Plan mensual'!E87+parametros_recargas!$H$92*'Plan mensual'!E88+parametros_recargas!$I$92*'Plan mensual'!E89+parametros_recargas!$J$92*'Plan mensual'!E90+parametros_recargas!$K$92*'Plan mensual'!E91+parametros_recargas!$L$92*'Plan mensual'!E92</f>
        <v>2538.05858335775</v>
      </c>
      <c r="D86" s="25" t="n">
        <f aca="false">parametros_recargas!$E$92*'Plan mensual'!F85+parametros_recargas!$F$92*'Plan mensual'!F86+parametros_recargas!$G$92*'Plan mensual'!F87+parametros_recargas!$H$92*'Plan mensual'!F88+parametros_recargas!$I$92*'Plan mensual'!F89+parametros_recargas!$J$92*'Plan mensual'!F90+parametros_recargas!$K$92*'Plan mensual'!F91+parametros_recargas!$L$92*'Plan mensual'!F92</f>
        <v>2671.94653513875</v>
      </c>
      <c r="E86" s="25" t="n">
        <f aca="false">parametros_recargas!$E$92*'Plan mensual'!G85+parametros_recargas!$F$92*'Plan mensual'!G86+parametros_recargas!$G$92*'Plan mensual'!G87+parametros_recargas!$H$92*'Plan mensual'!G88+parametros_recargas!$I$92*'Plan mensual'!G89+parametros_recargas!$J$92*'Plan mensual'!G90+parametros_recargas!$K$92*'Plan mensual'!G91+parametros_recargas!$L$92*'Plan mensual'!G92</f>
        <v>2812.90897321257</v>
      </c>
      <c r="F86" s="25" t="n">
        <f aca="false">parametros_recargas!$E$92*'Plan mensual'!H85+parametros_recargas!$F$92*'Plan mensual'!H86+parametros_recargas!$G$92*'Plan mensual'!H87+parametros_recargas!$H$92*'Plan mensual'!H88+parametros_recargas!$I$92*'Plan mensual'!H89+parametros_recargas!$J$92*'Plan mensual'!H90+parametros_recargas!$K$92*'Plan mensual'!H91+parametros_recargas!$L$92*'Plan mensual'!H92</f>
        <v>2961.31970534638</v>
      </c>
      <c r="G86" s="25" t="n">
        <f aca="false">parametros_recargas!$E$92*'Plan mensual'!I85+parametros_recargas!$F$92*'Plan mensual'!I86+parametros_recargas!$G$92*'Plan mensual'!I87+parametros_recargas!$H$92*'Plan mensual'!I88+parametros_recargas!$I$92*'Plan mensual'!I89+parametros_recargas!$J$92*'Plan mensual'!I90+parametros_recargas!$K$92*'Plan mensual'!I91+parametros_recargas!$L$92*'Plan mensual'!I92</f>
        <v>3117.57229088239</v>
      </c>
      <c r="H86" s="25" t="n">
        <f aca="false">parametros_recargas!$E$92*'Plan mensual'!J85+parametros_recargas!$F$92*'Plan mensual'!J86+parametros_recargas!$G$92*'Plan mensual'!J87+parametros_recargas!$H$92*'Plan mensual'!J88+parametros_recargas!$I$92*'Plan mensual'!J89+parametros_recargas!$J$92*'Plan mensual'!J90+parametros_recargas!$K$92*'Plan mensual'!J91+parametros_recargas!$L$92*'Plan mensual'!J92</f>
        <v>3282.08108438848</v>
      </c>
      <c r="I86" s="25" t="n">
        <f aca="false">parametros_recargas!$E$92*'Plan mensual'!K85+parametros_recargas!$F$92*'Plan mensual'!K86+parametros_recargas!$G$92*'Plan mensual'!K87+parametros_recargas!$H$92*'Plan mensual'!K88+parametros_recargas!$I$92*'Plan mensual'!K89+parametros_recargas!$J$92*'Plan mensual'!K90+parametros_recargas!$K$92*'Plan mensual'!K91+parametros_recargas!$L$92*'Plan mensual'!K92</f>
        <v>3455.28233445415</v>
      </c>
      <c r="J86" s="25" t="n">
        <f aca="false">parametros_recargas!$E$92*'Plan mensual'!L85+parametros_recargas!$F$92*'Plan mensual'!L86+parametros_recargas!$G$92*'Plan mensual'!L87+parametros_recargas!$H$92*'Plan mensual'!L88+parametros_recargas!$I$92*'Plan mensual'!L89+parametros_recargas!$J$92*'Plan mensual'!L90+parametros_recargas!$K$92*'Plan mensual'!L91+parametros_recargas!$L$92*'Plan mensual'!L92</f>
        <v>3637.63534054558</v>
      </c>
      <c r="K86" s="25" t="n">
        <f aca="false">parametros_recargas!$E$92*'Plan mensual'!M85+parametros_recargas!$F$92*'Plan mensual'!M86+parametros_recargas!$G$92*'Plan mensual'!M87+parametros_recargas!$H$92*'Plan mensual'!M88+parametros_recargas!$I$92*'Plan mensual'!M89+parametros_recargas!$J$92*'Plan mensual'!M90+parametros_recargas!$K$92*'Plan mensual'!M91+parametros_recargas!$L$92*'Plan mensual'!M92</f>
        <v>3829.62367098761</v>
      </c>
      <c r="L86" s="25" t="n">
        <f aca="false">parametros_recargas!$E$92*'Plan mensual'!N85+parametros_recargas!$F$92*'Plan mensual'!N86+parametros_recargas!$G$92*'Plan mensual'!N87+parametros_recargas!$H$92*'Plan mensual'!N88+parametros_recargas!$I$92*'Plan mensual'!N89+parametros_recargas!$J$92*'Plan mensual'!N90+parametros_recargas!$K$92*'Plan mensual'!N91+parametros_recargas!$L$92*'Plan mensual'!N92</f>
        <v>4031.75644530248</v>
      </c>
      <c r="M86" s="25" t="n">
        <f aca="false">parametros_recargas!$E$92*'Plan mensual'!O85+parametros_recargas!$F$92*'Plan mensual'!O86+parametros_recargas!$G$92*'Plan mensual'!O87+parametros_recargas!$H$92*'Plan mensual'!O88+parametros_recargas!$I$92*'Plan mensual'!O89+parametros_recargas!$J$92*'Plan mensual'!O90+parametros_recargas!$K$92*'Plan mensual'!O91+parametros_recargas!$L$92*'Plan mensual'!O92</f>
        <v>4244.56968430591</v>
      </c>
      <c r="N86" s="7" t="n">
        <f aca="false">SUM(B86:M86)</f>
        <v>38993.6447183266</v>
      </c>
      <c r="O86" s="26" t="n">
        <f aca="false">MAX(B86:M86)</f>
        <v>4244.56968430591</v>
      </c>
      <c r="P86" s="15" t="n">
        <f aca="false">O86/parametros_recargas!$B$6</f>
        <v>28.2971312287061</v>
      </c>
    </row>
    <row r="87" customFormat="false" ht="15" hidden="false" customHeight="false" outlineLevel="0" collapsed="false">
      <c r="A87" s="12" t="str">
        <f aca="false">parametros_recargas!$B$93</f>
        <v>Presurización — recinto</v>
      </c>
      <c r="B87" s="25" t="n">
        <f aca="false">parametros_recargas!$E$93*'Plan mensual'!D85+parametros_recargas!$F$93*'Plan mensual'!D86+parametros_recargas!$G$93*'Plan mensual'!D87+parametros_recargas!$H$93*'Plan mensual'!D88+parametros_recargas!$I$93*'Plan mensual'!D89+parametros_recargas!$J$93*'Plan mensual'!D90+parametros_recargas!$K$93*'Plan mensual'!D91+parametros_recargas!$L$93*'Plan mensual'!D92</f>
        <v>2410.89007040451</v>
      </c>
      <c r="C87" s="25" t="n">
        <f aca="false">parametros_recargas!$E$93*'Plan mensual'!E85+parametros_recargas!$F$93*'Plan mensual'!E86+parametros_recargas!$G$93*'Plan mensual'!E87+parametros_recargas!$H$93*'Plan mensual'!E88+parametros_recargas!$I$93*'Plan mensual'!E89+parametros_recargas!$J$93*'Plan mensual'!E90+parametros_recargas!$K$93*'Plan mensual'!E91+parametros_recargas!$L$93*'Plan mensual'!E92</f>
        <v>2538.05858335775</v>
      </c>
      <c r="D87" s="25" t="n">
        <f aca="false">parametros_recargas!$E$93*'Plan mensual'!F85+parametros_recargas!$F$93*'Plan mensual'!F86+parametros_recargas!$G$93*'Plan mensual'!F87+parametros_recargas!$H$93*'Plan mensual'!F88+parametros_recargas!$I$93*'Plan mensual'!F89+parametros_recargas!$J$93*'Plan mensual'!F90+parametros_recargas!$K$93*'Plan mensual'!F91+parametros_recargas!$L$93*'Plan mensual'!F92</f>
        <v>2671.94653513875</v>
      </c>
      <c r="E87" s="25" t="n">
        <f aca="false">parametros_recargas!$E$93*'Plan mensual'!G85+parametros_recargas!$F$93*'Plan mensual'!G86+parametros_recargas!$G$93*'Plan mensual'!G87+parametros_recargas!$H$93*'Plan mensual'!G88+parametros_recargas!$I$93*'Plan mensual'!G89+parametros_recargas!$J$93*'Plan mensual'!G90+parametros_recargas!$K$93*'Plan mensual'!G91+parametros_recargas!$L$93*'Plan mensual'!G92</f>
        <v>2812.90897321257</v>
      </c>
      <c r="F87" s="25" t="n">
        <f aca="false">parametros_recargas!$E$93*'Plan mensual'!H85+parametros_recargas!$F$93*'Plan mensual'!H86+parametros_recargas!$G$93*'Plan mensual'!H87+parametros_recargas!$H$93*'Plan mensual'!H88+parametros_recargas!$I$93*'Plan mensual'!H89+parametros_recargas!$J$93*'Plan mensual'!H90+parametros_recargas!$K$93*'Plan mensual'!H91+parametros_recargas!$L$93*'Plan mensual'!H92</f>
        <v>2961.31970534638</v>
      </c>
      <c r="G87" s="25" t="n">
        <f aca="false">parametros_recargas!$E$93*'Plan mensual'!I85+parametros_recargas!$F$93*'Plan mensual'!I86+parametros_recargas!$G$93*'Plan mensual'!I87+parametros_recargas!$H$93*'Plan mensual'!I88+parametros_recargas!$I$93*'Plan mensual'!I89+parametros_recargas!$J$93*'Plan mensual'!I90+parametros_recargas!$K$93*'Plan mensual'!I91+parametros_recargas!$L$93*'Plan mensual'!I92</f>
        <v>3117.57229088239</v>
      </c>
      <c r="H87" s="25" t="n">
        <f aca="false">parametros_recargas!$E$93*'Plan mensual'!J85+parametros_recargas!$F$93*'Plan mensual'!J86+parametros_recargas!$G$93*'Plan mensual'!J87+parametros_recargas!$H$93*'Plan mensual'!J88+parametros_recargas!$I$93*'Plan mensual'!J89+parametros_recargas!$J$93*'Plan mensual'!J90+parametros_recargas!$K$93*'Plan mensual'!J91+parametros_recargas!$L$93*'Plan mensual'!J92</f>
        <v>3282.08108438848</v>
      </c>
      <c r="I87" s="25" t="n">
        <f aca="false">parametros_recargas!$E$93*'Plan mensual'!K85+parametros_recargas!$F$93*'Plan mensual'!K86+parametros_recargas!$G$93*'Plan mensual'!K87+parametros_recargas!$H$93*'Plan mensual'!K88+parametros_recargas!$I$93*'Plan mensual'!K89+parametros_recargas!$J$93*'Plan mensual'!K90+parametros_recargas!$K$93*'Plan mensual'!K91+parametros_recargas!$L$93*'Plan mensual'!K92</f>
        <v>3455.28233445415</v>
      </c>
      <c r="J87" s="25" t="n">
        <f aca="false">parametros_recargas!$E$93*'Plan mensual'!L85+parametros_recargas!$F$93*'Plan mensual'!L86+parametros_recargas!$G$93*'Plan mensual'!L87+parametros_recargas!$H$93*'Plan mensual'!L88+parametros_recargas!$I$93*'Plan mensual'!L89+parametros_recargas!$J$93*'Plan mensual'!L90+parametros_recargas!$K$93*'Plan mensual'!L91+parametros_recargas!$L$93*'Plan mensual'!L92</f>
        <v>3637.63534054558</v>
      </c>
      <c r="K87" s="25" t="n">
        <f aca="false">parametros_recargas!$E$93*'Plan mensual'!M85+parametros_recargas!$F$93*'Plan mensual'!M86+parametros_recargas!$G$93*'Plan mensual'!M87+parametros_recargas!$H$93*'Plan mensual'!M88+parametros_recargas!$I$93*'Plan mensual'!M89+parametros_recargas!$J$93*'Plan mensual'!M90+parametros_recargas!$K$93*'Plan mensual'!M91+parametros_recargas!$L$93*'Plan mensual'!M92</f>
        <v>3829.62367098761</v>
      </c>
      <c r="L87" s="25" t="n">
        <f aca="false">parametros_recargas!$E$93*'Plan mensual'!N85+parametros_recargas!$F$93*'Plan mensual'!N86+parametros_recargas!$G$93*'Plan mensual'!N87+parametros_recargas!$H$93*'Plan mensual'!N88+parametros_recargas!$I$93*'Plan mensual'!N89+parametros_recargas!$J$93*'Plan mensual'!N90+parametros_recargas!$K$93*'Plan mensual'!N91+parametros_recargas!$L$93*'Plan mensual'!N92</f>
        <v>4031.75644530248</v>
      </c>
      <c r="M87" s="25" t="n">
        <f aca="false">parametros_recargas!$E$93*'Plan mensual'!O85+parametros_recargas!$F$93*'Plan mensual'!O86+parametros_recargas!$G$93*'Plan mensual'!O87+parametros_recargas!$H$93*'Plan mensual'!O88+parametros_recargas!$I$93*'Plan mensual'!O89+parametros_recargas!$J$93*'Plan mensual'!O90+parametros_recargas!$K$93*'Plan mensual'!O91+parametros_recargas!$L$93*'Plan mensual'!O92</f>
        <v>4244.56968430591</v>
      </c>
      <c r="N87" s="7" t="n">
        <f aca="false">SUM(B87:M87)</f>
        <v>38993.6447183266</v>
      </c>
      <c r="O87" s="26" t="n">
        <f aca="false">MAX(B87:M87)</f>
        <v>4244.56968430591</v>
      </c>
      <c r="P87" s="15" t="n">
        <f aca="false">O87/parametros_recargas!$B$6</f>
        <v>28.2971312287061</v>
      </c>
    </row>
    <row r="88" customFormat="false" ht="15" hidden="false" customHeight="false" outlineLevel="0" collapsed="false">
      <c r="A88" s="12" t="str">
        <f aca="false">parametros_recargas!$B$94</f>
        <v>Ensamblaje y presurización — zona general</v>
      </c>
      <c r="B88" s="25" t="n">
        <f aca="false">parametros_recargas!$E$94*'Plan mensual'!D85+parametros_recargas!$F$94*'Plan mensual'!D86+parametros_recargas!$G$94*'Plan mensual'!D87+parametros_recargas!$H$94*'Plan mensual'!D88+parametros_recargas!$I$94*'Plan mensual'!D89+parametros_recargas!$J$94*'Plan mensual'!D90+parametros_recargas!$K$94*'Plan mensual'!D91+parametros_recargas!$L$94*'Plan mensual'!D92</f>
        <v>195.462803704196</v>
      </c>
      <c r="C88" s="25" t="n">
        <f aca="false">parametros_recargas!$E$94*'Plan mensual'!E85+parametros_recargas!$F$94*'Plan mensual'!E86+parametros_recargas!$G$94*'Plan mensual'!E87+parametros_recargas!$H$94*'Plan mensual'!E88+parametros_recargas!$I$94*'Plan mensual'!E89+parametros_recargas!$J$94*'Plan mensual'!E90+parametros_recargas!$K$94*'Plan mensual'!E91+parametros_recargas!$L$94*'Plan mensual'!E92</f>
        <v>205.739096724569</v>
      </c>
      <c r="D88" s="25" t="n">
        <f aca="false">parametros_recargas!$E$94*'Plan mensual'!F85+parametros_recargas!$F$94*'Plan mensual'!F86+parametros_recargas!$G$94*'Plan mensual'!F87+parametros_recargas!$H$94*'Plan mensual'!F88+parametros_recargas!$I$94*'Plan mensual'!F89+parametros_recargas!$J$94*'Plan mensual'!F90+parametros_recargas!$K$94*'Plan mensual'!F91+parametros_recargas!$L$94*'Plan mensual'!F92</f>
        <v>216.558377318855</v>
      </c>
      <c r="E88" s="25" t="n">
        <f aca="false">parametros_recargas!$E$94*'Plan mensual'!G85+parametros_recargas!$F$94*'Plan mensual'!G86+parametros_recargas!$G$94*'Plan mensual'!G87+parametros_recargas!$H$94*'Plan mensual'!G88+parametros_recargas!$I$94*'Plan mensual'!G89+parametros_recargas!$J$94*'Plan mensual'!G90+parametros_recargas!$K$94*'Plan mensual'!G91+parametros_recargas!$L$94*'Plan mensual'!G92</f>
        <v>227.949336329639</v>
      </c>
      <c r="F88" s="25" t="n">
        <f aca="false">parametros_recargas!$E$94*'Plan mensual'!H85+parametros_recargas!$F$94*'Plan mensual'!H86+parametros_recargas!$G$94*'Plan mensual'!H87+parametros_recargas!$H$94*'Plan mensual'!H88+parametros_recargas!$I$94*'Plan mensual'!H89+parametros_recargas!$J$94*'Plan mensual'!H90+parametros_recargas!$K$94*'Plan mensual'!H91+parametros_recargas!$L$94*'Plan mensual'!H92</f>
        <v>239.942180590828</v>
      </c>
      <c r="G88" s="25" t="n">
        <f aca="false">parametros_recargas!$E$94*'Plan mensual'!I85+parametros_recargas!$F$94*'Plan mensual'!I86+parametros_recargas!$G$94*'Plan mensual'!I87+parametros_recargas!$H$94*'Plan mensual'!I88+parametros_recargas!$I$94*'Plan mensual'!I89+parametros_recargas!$J$94*'Plan mensual'!I90+parametros_recargas!$K$94*'Plan mensual'!I91+parametros_recargas!$L$94*'Plan mensual'!I92</f>
        <v>252.568713030894</v>
      </c>
      <c r="H88" s="25" t="n">
        <f aca="false">parametros_recargas!$E$94*'Plan mensual'!J85+parametros_recargas!$F$94*'Plan mensual'!J86+parametros_recargas!$G$94*'Plan mensual'!J87+parametros_recargas!$H$94*'Plan mensual'!J88+parametros_recargas!$I$94*'Plan mensual'!J89+parametros_recargas!$J$94*'Plan mensual'!J90+parametros_recargas!$K$94*'Plan mensual'!J91+parametros_recargas!$L$94*'Plan mensual'!J92</f>
        <v>265.862417008689</v>
      </c>
      <c r="I88" s="25" t="n">
        <f aca="false">parametros_recargas!$E$94*'Plan mensual'!K85+parametros_recargas!$F$94*'Plan mensual'!K86+parametros_recargas!$G$94*'Plan mensual'!K87+parametros_recargas!$H$94*'Plan mensual'!K88+parametros_recargas!$I$94*'Plan mensual'!K89+parametros_recargas!$J$94*'Plan mensual'!K90+parametros_recargas!$K$94*'Plan mensual'!K91+parametros_recargas!$L$94*'Plan mensual'!K92</f>
        <v>279.858545105462</v>
      </c>
      <c r="J88" s="25" t="n">
        <f aca="false">parametros_recargas!$E$94*'Plan mensual'!L85+parametros_recargas!$F$94*'Plan mensual'!L86+parametros_recargas!$G$94*'Plan mensual'!L87+parametros_recargas!$H$94*'Plan mensual'!L88+parametros_recargas!$I$94*'Plan mensual'!L89+parametros_recargas!$J$94*'Plan mensual'!L90+parametros_recargas!$K$94*'Plan mensual'!L91+parametros_recargas!$L$94*'Plan mensual'!L92</f>
        <v>294.594212608553</v>
      </c>
      <c r="K88" s="25" t="n">
        <f aca="false">parametros_recargas!$E$94*'Plan mensual'!M85+parametros_recargas!$F$94*'Plan mensual'!M86+parametros_recargas!$G$94*'Plan mensual'!M87+parametros_recargas!$H$94*'Plan mensual'!M88+parametros_recargas!$I$94*'Plan mensual'!M89+parametros_recargas!$J$94*'Plan mensual'!M90+parametros_recargas!$K$94*'Plan mensual'!M91+parametros_recargas!$L$94*'Plan mensual'!M92</f>
        <v>310.108495934646</v>
      </c>
      <c r="L88" s="25" t="n">
        <f aca="false">parametros_recargas!$E$94*'Plan mensual'!N85+parametros_recargas!$F$94*'Plan mensual'!N86+parametros_recargas!$G$94*'Plan mensual'!N87+parametros_recargas!$H$94*'Plan mensual'!N88+parametros_recargas!$I$94*'Plan mensual'!N89+parametros_recargas!$J$94*'Plan mensual'!N90+parametros_recargas!$K$94*'Plan mensual'!N91+parametros_recargas!$L$94*'Plan mensual'!N92</f>
        <v>326.442536253608</v>
      </c>
      <c r="M88" s="25" t="n">
        <f aca="false">parametros_recargas!$E$94*'Plan mensual'!O85+parametros_recargas!$F$94*'Plan mensual'!O86+parametros_recargas!$G$94*'Plan mensual'!O87+parametros_recargas!$H$94*'Plan mensual'!O88+parametros_recargas!$I$94*'Plan mensual'!O89+parametros_recargas!$J$94*'Plan mensual'!O90+parametros_recargas!$K$94*'Plan mensual'!O91+parametros_recargas!$L$94*'Plan mensual'!O92</f>
        <v>343.639648587682</v>
      </c>
      <c r="N88" s="7" t="n">
        <f aca="false">SUM(B88:M88)</f>
        <v>3158.72636319762</v>
      </c>
      <c r="O88" s="26" t="n">
        <f aca="false">MAX(B88:M88)</f>
        <v>343.639648587682</v>
      </c>
      <c r="P88" s="15" t="n">
        <f aca="false">O88/parametros_recargas!$B$6</f>
        <v>2.29093099058454</v>
      </c>
    </row>
    <row r="89" customFormat="false" ht="15" hidden="false" customHeight="false" outlineLevel="0" collapsed="false">
      <c r="A89" s="12" t="str">
        <f aca="false">parametros_recargas!$B$95</f>
        <v>Carga y presurización de halogenado</v>
      </c>
      <c r="B89" s="25" t="n">
        <f aca="false">parametros_recargas!$E$95*'Plan mensual'!D85+parametros_recargas!$F$95*'Plan mensual'!D86+parametros_recargas!$G$95*'Plan mensual'!D87+parametros_recargas!$H$95*'Plan mensual'!D88+parametros_recargas!$I$95*'Plan mensual'!D89+parametros_recargas!$J$95*'Plan mensual'!D90+parametros_recargas!$K$95*'Plan mensual'!D91+parametros_recargas!$L$95*'Plan mensual'!D92</f>
        <v>2.55948308044271</v>
      </c>
      <c r="C89" s="25" t="n">
        <f aca="false">parametros_recargas!$E$95*'Plan mensual'!E85+parametros_recargas!$F$95*'Plan mensual'!E86+parametros_recargas!$G$95*'Plan mensual'!E87+parametros_recargas!$H$95*'Plan mensual'!E88+parametros_recargas!$I$95*'Plan mensual'!E89+parametros_recargas!$J$95*'Plan mensual'!E90+parametros_recargas!$K$95*'Plan mensual'!E91+parametros_recargas!$L$95*'Plan mensual'!E92</f>
        <v>2.6936224305432</v>
      </c>
      <c r="D89" s="25" t="n">
        <f aca="false">parametros_recargas!$E$95*'Plan mensual'!F85+parametros_recargas!$F$95*'Plan mensual'!F86+parametros_recargas!$G$95*'Plan mensual'!F87+parametros_recargas!$H$95*'Plan mensual'!F88+parametros_recargas!$I$95*'Plan mensual'!F89+parametros_recargas!$J$95*'Plan mensual'!F90+parametros_recargas!$K$95*'Plan mensual'!F91+parametros_recargas!$L$95*'Plan mensual'!F92</f>
        <v>2.83484955053627</v>
      </c>
      <c r="E89" s="25" t="n">
        <f aca="false">parametros_recargas!$E$95*'Plan mensual'!G85+parametros_recargas!$F$95*'Plan mensual'!G86+parametros_recargas!$G$95*'Plan mensual'!G87+parametros_recargas!$H$95*'Plan mensual'!G88+parametros_recargas!$I$95*'Plan mensual'!G89+parametros_recargas!$J$95*'Plan mensual'!G90+parametros_recargas!$K$95*'Plan mensual'!G91+parametros_recargas!$L$95*'Plan mensual'!G92</f>
        <v>2.98353895007934</v>
      </c>
      <c r="F89" s="25" t="n">
        <f aca="false">parametros_recargas!$E$95*'Plan mensual'!H85+parametros_recargas!$F$95*'Plan mensual'!H86+parametros_recargas!$G$95*'Plan mensual'!H87+parametros_recargas!$H$95*'Plan mensual'!H88+parametros_recargas!$I$95*'Plan mensual'!H89+parametros_recargas!$J$95*'Plan mensual'!H90+parametros_recargas!$K$95*'Plan mensual'!H91+parametros_recargas!$L$95*'Plan mensual'!H92</f>
        <v>3.14008492749189</v>
      </c>
      <c r="G89" s="25" t="n">
        <f aca="false">parametros_recargas!$E$95*'Plan mensual'!I85+parametros_recargas!$F$95*'Plan mensual'!I86+parametros_recargas!$G$95*'Plan mensual'!I87+parametros_recargas!$H$95*'Plan mensual'!I88+parametros_recargas!$I$95*'Plan mensual'!I89+parametros_recargas!$J$95*'Plan mensual'!I90+parametros_recargas!$K$95*'Plan mensual'!I91+parametros_recargas!$L$95*'Plan mensual'!I92</f>
        <v>3.30490261536584</v>
      </c>
      <c r="H89" s="25" t="n">
        <f aca="false">parametros_recargas!$E$95*'Plan mensual'!J85+parametros_recargas!$F$95*'Plan mensual'!J86+parametros_recargas!$G$95*'Plan mensual'!J87+parametros_recargas!$H$95*'Plan mensual'!J88+parametros_recargas!$I$95*'Plan mensual'!J89+parametros_recargas!$J$95*'Plan mensual'!J90+parametros_recargas!$K$95*'Plan mensual'!J91+parametros_recargas!$L$95*'Plan mensual'!J92</f>
        <v>3.47842908142459</v>
      </c>
      <c r="I89" s="25" t="n">
        <f aca="false">parametros_recargas!$E$95*'Plan mensual'!K85+parametros_recargas!$F$95*'Plan mensual'!K86+parametros_recargas!$G$95*'Plan mensual'!K87+parametros_recargas!$H$95*'Plan mensual'!K88+parametros_recargas!$I$95*'Plan mensual'!K89+parametros_recargas!$J$95*'Plan mensual'!K90+parametros_recargas!$K$95*'Plan mensual'!K91+parametros_recargas!$L$95*'Plan mensual'!K92</f>
        <v>3.66112448755034</v>
      </c>
      <c r="J89" s="25" t="n">
        <f aca="false">parametros_recargas!$E$95*'Plan mensual'!L85+parametros_recargas!$F$95*'Plan mensual'!L86+parametros_recargas!$G$95*'Plan mensual'!L87+parametros_recargas!$H$95*'Plan mensual'!L88+parametros_recargas!$I$95*'Plan mensual'!L89+parametros_recargas!$J$95*'Plan mensual'!L90+parametros_recargas!$K$95*'Plan mensual'!L91+parametros_recargas!$L$95*'Plan mensual'!L92</f>
        <v>3.85347331005303</v>
      </c>
      <c r="K89" s="25" t="n">
        <f aca="false">parametros_recargas!$E$95*'Plan mensual'!M85+parametros_recargas!$F$95*'Plan mensual'!M86+parametros_recargas!$G$95*'Plan mensual'!M87+parametros_recargas!$H$95*'Plan mensual'!M88+parametros_recargas!$I$95*'Plan mensual'!M89+parametros_recargas!$J$95*'Plan mensual'!M90+parametros_recargas!$K$95*'Plan mensual'!M91+parametros_recargas!$L$95*'Plan mensual'!M92</f>
        <v>4.05598562441688</v>
      </c>
      <c r="L89" s="25" t="n">
        <f aca="false">parametros_recargas!$E$95*'Plan mensual'!N85+parametros_recargas!$F$95*'Plan mensual'!N86+parametros_recargas!$G$95*'Plan mensual'!N87+parametros_recargas!$H$95*'Plan mensual'!N88+parametros_recargas!$I$95*'Plan mensual'!N89+parametros_recargas!$J$95*'Plan mensual'!N90+parametros_recargas!$K$95*'Plan mensual'!N91+parametros_recargas!$L$95*'Plan mensual'!N92</f>
        <v>4.26919845793154</v>
      </c>
      <c r="M89" s="25" t="n">
        <f aca="false">parametros_recargas!$E$95*'Plan mensual'!O85+parametros_recargas!$F$95*'Plan mensual'!O86+parametros_recargas!$G$95*'Plan mensual'!O87+parametros_recargas!$H$95*'Plan mensual'!O88+parametros_recargas!$I$95*'Plan mensual'!O89+parametros_recargas!$J$95*'Plan mensual'!O90+parametros_recargas!$K$95*'Plan mensual'!O91+parametros_recargas!$L$95*'Plan mensual'!O92</f>
        <v>4.4936772137946</v>
      </c>
      <c r="N89" s="7" t="n">
        <f aca="false">SUM(B89:M89)</f>
        <v>41.3283697296302</v>
      </c>
      <c r="O89" s="26" t="n">
        <f aca="false">MAX(B89:M89)</f>
        <v>4.4936772137946</v>
      </c>
      <c r="P89" s="15" t="n">
        <f aca="false">O89/parametros_recargas!$B$6</f>
        <v>0.029957848091964</v>
      </c>
    </row>
    <row r="90" customFormat="false" ht="15" hidden="false" customHeight="false" outlineLevel="0" collapsed="false">
      <c r="A90" s="12" t="str">
        <f aca="false">parametros_recargas!$B$96</f>
        <v>Control de peso (CO₂ y halogenados sin recarga)</v>
      </c>
      <c r="B90" s="25" t="n">
        <f aca="false">parametros_recargas!$E$96*'Plan mensual'!D85+parametros_recargas!$F$96*'Plan mensual'!D86+parametros_recargas!$G$96*'Plan mensual'!D87+parametros_recargas!$H$96*'Plan mensual'!D88+parametros_recargas!$I$96*'Plan mensual'!D89+parametros_recargas!$J$96*'Plan mensual'!D90+parametros_recargas!$K$96*'Plan mensual'!D91+parametros_recargas!$L$96*'Plan mensual'!D92</f>
        <v>172.402998503301</v>
      </c>
      <c r="C90" s="25" t="n">
        <f aca="false">parametros_recargas!$E$96*'Plan mensual'!E85+parametros_recargas!$F$96*'Plan mensual'!E86+parametros_recargas!$G$96*'Plan mensual'!E87+parametros_recargas!$H$96*'Plan mensual'!E88+parametros_recargas!$I$96*'Plan mensual'!E89+parametros_recargas!$J$96*'Plan mensual'!E90+parametros_recargas!$K$96*'Plan mensual'!E91+parametros_recargas!$L$96*'Plan mensual'!E92</f>
        <v>181.47845073425</v>
      </c>
      <c r="D90" s="25" t="n">
        <f aca="false">parametros_recargas!$E$96*'Plan mensual'!F85+parametros_recargas!$F$96*'Plan mensual'!F86+parametros_recargas!$G$96*'Plan mensual'!F87+parametros_recargas!$H$96*'Plan mensual'!F88+parametros_recargas!$I$96*'Plan mensual'!F89+parametros_recargas!$J$96*'Plan mensual'!F90+parametros_recargas!$K$96*'Plan mensual'!F91+parametros_recargas!$L$96*'Plan mensual'!F92</f>
        <v>191.033439484766</v>
      </c>
      <c r="E90" s="25" t="n">
        <f aca="false">parametros_recargas!$E$96*'Plan mensual'!G85+parametros_recargas!$F$96*'Plan mensual'!G86+parametros_recargas!$G$96*'Plan mensual'!G87+parametros_recargas!$H$96*'Plan mensual'!G88+parametros_recargas!$I$96*'Plan mensual'!G89+parametros_recargas!$J$96*'Plan mensual'!G90+parametros_recargas!$K$96*'Plan mensual'!G91+parametros_recargas!$L$96*'Plan mensual'!G92</f>
        <v>201.09330291627</v>
      </c>
      <c r="F90" s="25" t="n">
        <f aca="false">parametros_recargas!$E$96*'Plan mensual'!H85+parametros_recargas!$F$96*'Plan mensual'!H86+parametros_recargas!$G$96*'Plan mensual'!H87+parametros_recargas!$H$96*'Plan mensual'!H88+parametros_recargas!$I$96*'Plan mensual'!H89+parametros_recargas!$J$96*'Plan mensual'!H90+parametros_recargas!$K$96*'Plan mensual'!H91+parametros_recargas!$L$96*'Plan mensual'!H92</f>
        <v>211.684718029661</v>
      </c>
      <c r="G90" s="25" t="n">
        <f aca="false">parametros_recargas!$E$96*'Plan mensual'!I85+parametros_recargas!$F$96*'Plan mensual'!I86+parametros_recargas!$G$96*'Plan mensual'!I87+parametros_recargas!$H$96*'Plan mensual'!I88+parametros_recargas!$I$96*'Plan mensual'!I89+parametros_recargas!$J$96*'Plan mensual'!I90+parametros_recargas!$K$96*'Plan mensual'!I91+parametros_recargas!$L$96*'Plan mensual'!I92</f>
        <v>222.835771408069</v>
      </c>
      <c r="H90" s="25" t="n">
        <f aca="false">parametros_recargas!$E$96*'Plan mensual'!J85+parametros_recargas!$F$96*'Plan mensual'!J86+parametros_recargas!$G$96*'Plan mensual'!J87+parametros_recargas!$H$96*'Plan mensual'!J88+parametros_recargas!$I$96*'Plan mensual'!J89+parametros_recargas!$J$96*'Plan mensual'!J90+parametros_recargas!$K$96*'Plan mensual'!J91+parametros_recargas!$L$96*'Plan mensual'!J92</f>
        <v>234.57603369756</v>
      </c>
      <c r="I90" s="25" t="n">
        <f aca="false">parametros_recargas!$E$96*'Plan mensual'!K85+parametros_recargas!$F$96*'Plan mensual'!K86+parametros_recargas!$G$96*'Plan mensual'!K87+parametros_recargas!$H$96*'Plan mensual'!K88+parametros_recargas!$I$96*'Plan mensual'!K89+parametros_recargas!$J$96*'Plan mensual'!K90+parametros_recargas!$K$96*'Plan mensual'!K91+parametros_recargas!$L$96*'Plan mensual'!K92</f>
        <v>246.93663802333</v>
      </c>
      <c r="J90" s="25" t="n">
        <f aca="false">parametros_recargas!$E$96*'Plan mensual'!L85+parametros_recargas!$F$96*'Plan mensual'!L86+parametros_recargas!$G$96*'Plan mensual'!L87+parametros_recargas!$H$96*'Plan mensual'!L88+parametros_recargas!$I$96*'Plan mensual'!L89+parametros_recargas!$J$96*'Plan mensual'!L90+parametros_recargas!$K$96*'Plan mensual'!L91+parametros_recargas!$L$96*'Plan mensual'!L92</f>
        <v>259.950362549315</v>
      </c>
      <c r="K90" s="25" t="n">
        <f aca="false">parametros_recargas!$E$96*'Plan mensual'!M85+parametros_recargas!$F$96*'Plan mensual'!M86+parametros_recargas!$G$96*'Plan mensual'!M87+parametros_recargas!$H$96*'Plan mensual'!M88+parametros_recargas!$I$96*'Plan mensual'!M89+parametros_recargas!$J$96*'Plan mensual'!M90+parametros_recargas!$K$96*'Plan mensual'!M91+parametros_recargas!$L$96*'Plan mensual'!M92</f>
        <v>273.651717400156</v>
      </c>
      <c r="L90" s="25" t="n">
        <f aca="false">parametros_recargas!$E$96*'Plan mensual'!N85+parametros_recargas!$F$96*'Plan mensual'!N86+parametros_recargas!$G$96*'Plan mensual'!N87+parametros_recargas!$H$96*'Plan mensual'!N88+parametros_recargas!$I$96*'Plan mensual'!N89+parametros_recargas!$J$96*'Plan mensual'!N90+parametros_recargas!$K$96*'Plan mensual'!N91+parametros_recargas!$L$96*'Plan mensual'!N92</f>
        <v>288.077036176026</v>
      </c>
      <c r="M90" s="25" t="n">
        <f aca="false">parametros_recargas!$E$96*'Plan mensual'!O85+parametros_recargas!$F$96*'Plan mensual'!O86+parametros_recargas!$G$96*'Plan mensual'!O87+parametros_recargas!$H$96*'Plan mensual'!O88+parametros_recargas!$I$96*'Plan mensual'!O89+parametros_recargas!$J$96*'Plan mensual'!O90+parametros_recargas!$K$96*'Plan mensual'!O91+parametros_recargas!$L$96*'Plan mensual'!O92</f>
        <v>303.264572302986</v>
      </c>
      <c r="N90" s="7" t="n">
        <f aca="false">SUM(B90:M90)</f>
        <v>2786.98504122569</v>
      </c>
      <c r="O90" s="26" t="n">
        <f aca="false">MAX(B90:M90)</f>
        <v>303.264572302986</v>
      </c>
      <c r="P90" s="15" t="n">
        <f aca="false">O90/parametros_recargas!$B$6</f>
        <v>2.02176381535324</v>
      </c>
    </row>
    <row r="91" customFormat="false" ht="15" hidden="false" customHeight="false" outlineLevel="0" collapsed="false">
      <c r="A91" s="12" t="str">
        <f aca="false">parametros_recargas!$B$97</f>
        <v>Ensayo de pérdidas</v>
      </c>
      <c r="B91" s="25" t="n">
        <f aca="false">parametros_recargas!$E$97*'Plan mensual'!D85+parametros_recargas!$F$97*'Plan mensual'!D86+parametros_recargas!$G$97*'Plan mensual'!D87+parametros_recargas!$H$97*'Plan mensual'!D88+parametros_recargas!$I$97*'Plan mensual'!D89+parametros_recargas!$J$97*'Plan mensual'!D90+parametros_recargas!$K$97*'Plan mensual'!D91+parametros_recargas!$L$97*'Plan mensual'!D92</f>
        <v>2790.521911845</v>
      </c>
      <c r="C91" s="25" t="n">
        <f aca="false">parametros_recargas!$E$97*'Plan mensual'!E85+parametros_recargas!$F$97*'Plan mensual'!E86+parametros_recargas!$G$97*'Plan mensual'!E87+parametros_recargas!$H$97*'Plan mensual'!E88+parametros_recargas!$I$97*'Plan mensual'!E89+parametros_recargas!$J$97*'Plan mensual'!E90+parametros_recargas!$K$97*'Plan mensual'!E91+parametros_recargas!$L$97*'Plan mensual'!E92</f>
        <v>2937.66167249104</v>
      </c>
      <c r="D91" s="25" t="n">
        <f aca="false">parametros_recargas!$E$97*'Plan mensual'!F85+parametros_recargas!$F$97*'Plan mensual'!F86+parametros_recargas!$G$97*'Plan mensual'!F87+parametros_recargas!$H$97*'Plan mensual'!F88+parametros_recargas!$I$97*'Plan mensual'!F89+parametros_recargas!$J$97*'Plan mensual'!F90+parametros_recargas!$K$97*'Plan mensual'!F91+parametros_recargas!$L$97*'Plan mensual'!F92</f>
        <v>3092.57612985903</v>
      </c>
      <c r="E91" s="25" t="n">
        <f aca="false">parametros_recargas!$E$97*'Plan mensual'!G85+parametros_recargas!$F$97*'Plan mensual'!G86+parametros_recargas!$G$97*'Plan mensual'!G87+parametros_recargas!$H$97*'Plan mensual'!G88+parametros_recargas!$I$97*'Plan mensual'!G89+parametros_recargas!$J$97*'Plan mensual'!G90+parametros_recargas!$K$97*'Plan mensual'!G91+parametros_recargas!$L$97*'Plan mensual'!G92</f>
        <v>3255.67609003462</v>
      </c>
      <c r="F91" s="25" t="n">
        <f aca="false">parametros_recargas!$E$97*'Plan mensual'!H85+parametros_recargas!$F$97*'Plan mensual'!H86+parametros_recargas!$G$97*'Plan mensual'!H87+parametros_recargas!$H$97*'Plan mensual'!H88+parametros_recargas!$I$97*'Plan mensual'!H89+parametros_recargas!$J$97*'Plan mensual'!H90+parametros_recargas!$K$97*'Plan mensual'!H91+parametros_recargas!$L$97*'Plan mensual'!H92</f>
        <v>3427.39406562738</v>
      </c>
      <c r="G91" s="25" t="n">
        <f aca="false">parametros_recargas!$E$97*'Plan mensual'!I85+parametros_recargas!$F$97*'Plan mensual'!I86+parametros_recargas!$G$97*'Plan mensual'!I87+parametros_recargas!$H$97*'Plan mensual'!I88+parametros_recargas!$I$97*'Plan mensual'!I89+parametros_recargas!$J$97*'Plan mensual'!I90+parametros_recargas!$K$97*'Plan mensual'!I91+parametros_recargas!$L$97*'Plan mensual'!I92</f>
        <v>3608.18542271864</v>
      </c>
      <c r="H91" s="25" t="n">
        <f aca="false">parametros_recargas!$E$97*'Plan mensual'!J85+parametros_recargas!$F$97*'Plan mensual'!J86+parametros_recargas!$G$97*'Plan mensual'!J87+parametros_recargas!$H$97*'Plan mensual'!J88+parametros_recargas!$I$97*'Plan mensual'!J89+parametros_recargas!$J$97*'Plan mensual'!J90+parametros_recargas!$K$97*'Plan mensual'!J91+parametros_recargas!$L$97*'Plan mensual'!J92</f>
        <v>3798.52958841282</v>
      </c>
      <c r="I91" s="25" t="n">
        <f aca="false">parametros_recargas!$E$97*'Plan mensual'!K85+parametros_recargas!$F$97*'Plan mensual'!K86+parametros_recargas!$G$97*'Plan mensual'!K87+parametros_recargas!$H$97*'Plan mensual'!K88+parametros_recargas!$I$97*'Plan mensual'!K89+parametros_recargas!$J$97*'Plan mensual'!K90+parametros_recargas!$K$97*'Plan mensual'!K91+parametros_recargas!$L$97*'Plan mensual'!K92</f>
        <v>3998.93132219442</v>
      </c>
      <c r="J91" s="25" t="n">
        <f aca="false">parametros_recargas!$E$97*'Plan mensual'!L85+parametros_recargas!$F$97*'Plan mensual'!L86+parametros_recargas!$G$97*'Plan mensual'!L87+parametros_recargas!$H$97*'Plan mensual'!L88+parametros_recargas!$I$97*'Plan mensual'!L89+parametros_recargas!$J$97*'Plan mensual'!L90+parametros_recargas!$K$97*'Plan mensual'!L91+parametros_recargas!$L$97*'Plan mensual'!L92</f>
        <v>4209.92205446196</v>
      </c>
      <c r="K91" s="25" t="n">
        <f aca="false">parametros_recargas!$E$97*'Plan mensual'!M85+parametros_recargas!$F$97*'Plan mensual'!M86+parametros_recargas!$G$97*'Plan mensual'!M87+parametros_recargas!$H$97*'Plan mensual'!M88+parametros_recargas!$I$97*'Plan mensual'!M89+parametros_recargas!$J$97*'Plan mensual'!M90+parametros_recargas!$K$97*'Plan mensual'!M91+parametros_recargas!$L$97*'Plan mensual'!M92</f>
        <v>4432.06129578862</v>
      </c>
      <c r="L91" s="25" t="n">
        <f aca="false">parametros_recargas!$E$97*'Plan mensual'!N85+parametros_recargas!$F$97*'Plan mensual'!N86+parametros_recargas!$G$97*'Plan mensual'!N87+parametros_recargas!$H$97*'Plan mensual'!N88+parametros_recargas!$I$97*'Plan mensual'!N89+parametros_recargas!$J$97*'Plan mensual'!N90+parametros_recargas!$K$97*'Plan mensual'!N91+parametros_recargas!$L$97*'Plan mensual'!N92</f>
        <v>4665.93812064656</v>
      </c>
      <c r="M91" s="25" t="n">
        <f aca="false">parametros_recargas!$E$97*'Plan mensual'!O85+parametros_recargas!$F$97*'Plan mensual'!O86+parametros_recargas!$G$97*'Plan mensual'!O87+parametros_recargas!$H$97*'Plan mensual'!O88+parametros_recargas!$I$97*'Plan mensual'!O89+parametros_recargas!$J$97*'Plan mensual'!O90+parametros_recargas!$K$97*'Plan mensual'!O91+parametros_recargas!$L$97*'Plan mensual'!O92</f>
        <v>4912.17272952955</v>
      </c>
      <c r="N91" s="7" t="n">
        <f aca="false">SUM(B91:M91)</f>
        <v>45129.5704036096</v>
      </c>
      <c r="O91" s="26" t="n">
        <f aca="false">MAX(B91:M91)</f>
        <v>4912.17272952955</v>
      </c>
      <c r="P91" s="15" t="n">
        <f aca="false">O91/parametros_recargas!$B$6</f>
        <v>32.7478181968637</v>
      </c>
    </row>
    <row r="92" customFormat="false" ht="15" hidden="false" customHeight="false" outlineLevel="0" collapsed="false">
      <c r="A92" s="12" t="str">
        <f aca="false">parametros_recargas!$B$98</f>
        <v>Precinto, etiqueta y despacho</v>
      </c>
      <c r="B92" s="25" t="n">
        <f aca="false">parametros_recargas!$E$98*'Plan mensual'!D85+parametros_recargas!$F$98*'Plan mensual'!D86+parametros_recargas!$G$98*'Plan mensual'!D87+parametros_recargas!$H$98*'Plan mensual'!D88+parametros_recargas!$I$98*'Plan mensual'!D89+parametros_recargas!$J$98*'Plan mensual'!D90+parametros_recargas!$K$98*'Plan mensual'!D91+parametros_recargas!$L$98*'Plan mensual'!D92</f>
        <v>2790.521911845</v>
      </c>
      <c r="C92" s="25" t="n">
        <f aca="false">parametros_recargas!$E$98*'Plan mensual'!E85+parametros_recargas!$F$98*'Plan mensual'!E86+parametros_recargas!$G$98*'Plan mensual'!E87+parametros_recargas!$H$98*'Plan mensual'!E88+parametros_recargas!$I$98*'Plan mensual'!E89+parametros_recargas!$J$98*'Plan mensual'!E90+parametros_recargas!$K$98*'Plan mensual'!E91+parametros_recargas!$L$98*'Plan mensual'!E92</f>
        <v>2937.66167249104</v>
      </c>
      <c r="D92" s="25" t="n">
        <f aca="false">parametros_recargas!$E$98*'Plan mensual'!F85+parametros_recargas!$F$98*'Plan mensual'!F86+parametros_recargas!$G$98*'Plan mensual'!F87+parametros_recargas!$H$98*'Plan mensual'!F88+parametros_recargas!$I$98*'Plan mensual'!F89+parametros_recargas!$J$98*'Plan mensual'!F90+parametros_recargas!$K$98*'Plan mensual'!F91+parametros_recargas!$L$98*'Plan mensual'!F92</f>
        <v>3092.57612985903</v>
      </c>
      <c r="E92" s="25" t="n">
        <f aca="false">parametros_recargas!$E$98*'Plan mensual'!G85+parametros_recargas!$F$98*'Plan mensual'!G86+parametros_recargas!$G$98*'Plan mensual'!G87+parametros_recargas!$H$98*'Plan mensual'!G88+parametros_recargas!$I$98*'Plan mensual'!G89+parametros_recargas!$J$98*'Plan mensual'!G90+parametros_recargas!$K$98*'Plan mensual'!G91+parametros_recargas!$L$98*'Plan mensual'!G92</f>
        <v>3255.67609003462</v>
      </c>
      <c r="F92" s="25" t="n">
        <f aca="false">parametros_recargas!$E$98*'Plan mensual'!H85+parametros_recargas!$F$98*'Plan mensual'!H86+parametros_recargas!$G$98*'Plan mensual'!H87+parametros_recargas!$H$98*'Plan mensual'!H88+parametros_recargas!$I$98*'Plan mensual'!H89+parametros_recargas!$J$98*'Plan mensual'!H90+parametros_recargas!$K$98*'Plan mensual'!H91+parametros_recargas!$L$98*'Plan mensual'!H92</f>
        <v>3427.39406562738</v>
      </c>
      <c r="G92" s="25" t="n">
        <f aca="false">parametros_recargas!$E$98*'Plan mensual'!I85+parametros_recargas!$F$98*'Plan mensual'!I86+parametros_recargas!$G$98*'Plan mensual'!I87+parametros_recargas!$H$98*'Plan mensual'!I88+parametros_recargas!$I$98*'Plan mensual'!I89+parametros_recargas!$J$98*'Plan mensual'!I90+parametros_recargas!$K$98*'Plan mensual'!I91+parametros_recargas!$L$98*'Plan mensual'!I92</f>
        <v>3608.18542271864</v>
      </c>
      <c r="H92" s="25" t="n">
        <f aca="false">parametros_recargas!$E$98*'Plan mensual'!J85+parametros_recargas!$F$98*'Plan mensual'!J86+parametros_recargas!$G$98*'Plan mensual'!J87+parametros_recargas!$H$98*'Plan mensual'!J88+parametros_recargas!$I$98*'Plan mensual'!J89+parametros_recargas!$J$98*'Plan mensual'!J90+parametros_recargas!$K$98*'Plan mensual'!J91+parametros_recargas!$L$98*'Plan mensual'!J92</f>
        <v>3798.52958841282</v>
      </c>
      <c r="I92" s="25" t="n">
        <f aca="false">parametros_recargas!$E$98*'Plan mensual'!K85+parametros_recargas!$F$98*'Plan mensual'!K86+parametros_recargas!$G$98*'Plan mensual'!K87+parametros_recargas!$H$98*'Plan mensual'!K88+parametros_recargas!$I$98*'Plan mensual'!K89+parametros_recargas!$J$98*'Plan mensual'!K90+parametros_recargas!$K$98*'Plan mensual'!K91+parametros_recargas!$L$98*'Plan mensual'!K92</f>
        <v>3998.93132219442</v>
      </c>
      <c r="J92" s="25" t="n">
        <f aca="false">parametros_recargas!$E$98*'Plan mensual'!L85+parametros_recargas!$F$98*'Plan mensual'!L86+parametros_recargas!$G$98*'Plan mensual'!L87+parametros_recargas!$H$98*'Plan mensual'!L88+parametros_recargas!$I$98*'Plan mensual'!L89+parametros_recargas!$J$98*'Plan mensual'!L90+parametros_recargas!$K$98*'Plan mensual'!L91+parametros_recargas!$L$98*'Plan mensual'!L92</f>
        <v>4209.92205446196</v>
      </c>
      <c r="K92" s="25" t="n">
        <f aca="false">parametros_recargas!$E$98*'Plan mensual'!M85+parametros_recargas!$F$98*'Plan mensual'!M86+parametros_recargas!$G$98*'Plan mensual'!M87+parametros_recargas!$H$98*'Plan mensual'!M88+parametros_recargas!$I$98*'Plan mensual'!M89+parametros_recargas!$J$98*'Plan mensual'!M90+parametros_recargas!$K$98*'Plan mensual'!M91+parametros_recargas!$L$98*'Plan mensual'!M92</f>
        <v>4432.06129578862</v>
      </c>
      <c r="L92" s="25" t="n">
        <f aca="false">parametros_recargas!$E$98*'Plan mensual'!N85+parametros_recargas!$F$98*'Plan mensual'!N86+parametros_recargas!$G$98*'Plan mensual'!N87+parametros_recargas!$H$98*'Plan mensual'!N88+parametros_recargas!$I$98*'Plan mensual'!N89+parametros_recargas!$J$98*'Plan mensual'!N90+parametros_recargas!$K$98*'Plan mensual'!N91+parametros_recargas!$L$98*'Plan mensual'!N92</f>
        <v>4665.93812064656</v>
      </c>
      <c r="M92" s="25" t="n">
        <f aca="false">parametros_recargas!$E$98*'Plan mensual'!O85+parametros_recargas!$F$98*'Plan mensual'!O86+parametros_recargas!$G$98*'Plan mensual'!O87+parametros_recargas!$H$98*'Plan mensual'!O88+parametros_recargas!$I$98*'Plan mensual'!O89+parametros_recargas!$J$98*'Plan mensual'!O90+parametros_recargas!$K$98*'Plan mensual'!O91+parametros_recargas!$L$98*'Plan mensual'!O92</f>
        <v>4912.17272952955</v>
      </c>
      <c r="N92" s="7" t="n">
        <f aca="false">SUM(B92:M92)</f>
        <v>45129.5704036096</v>
      </c>
      <c r="O92" s="26" t="n">
        <f aca="false">MAX(B92:M92)</f>
        <v>4912.17272952955</v>
      </c>
      <c r="P92" s="15" t="n">
        <f aca="false">O92/parametros_recargas!$B$6</f>
        <v>32.7478181968637</v>
      </c>
    </row>
    <row r="93" customFormat="false" ht="15" hidden="false" customHeight="false" outlineLevel="0" collapsed="false">
      <c r="A93" s="12" t="str">
        <f aca="false">parametros_recargas!$B$99</f>
        <v>Inutilización y disposición final</v>
      </c>
      <c r="B93" s="25" t="n">
        <f aca="false">parametros_recargas!$E$99*'Plan mensual'!D85+parametros_recargas!$F$99*'Plan mensual'!D86+parametros_recargas!$G$99*'Plan mensual'!D87+parametros_recargas!$H$99*'Plan mensual'!D88+parametros_recargas!$I$99*'Plan mensual'!D89+parametros_recargas!$J$99*'Plan mensual'!D90+parametros_recargas!$K$99*'Plan mensual'!D91+parametros_recargas!$L$99*'Plan mensual'!D92</f>
        <v>219.319739869934</v>
      </c>
      <c r="C93" s="25" t="n">
        <f aca="false">parametros_recargas!$E$99*'Plan mensual'!E85+parametros_recargas!$F$99*'Plan mensual'!E86+parametros_recargas!$G$99*'Plan mensual'!E87+parametros_recargas!$H$99*'Plan mensual'!E88+parametros_recargas!$I$99*'Plan mensual'!E89+parametros_recargas!$J$99*'Plan mensual'!E90+parametros_recargas!$K$99*'Plan mensual'!E91+parametros_recargas!$L$99*'Plan mensual'!E92</f>
        <v>230.884419907793</v>
      </c>
      <c r="D93" s="25" t="n">
        <f aca="false">parametros_recargas!$E$99*'Plan mensual'!F85+parametros_recargas!$F$99*'Plan mensual'!F86+parametros_recargas!$G$99*'Plan mensual'!F87+parametros_recargas!$H$99*'Plan mensual'!F88+parametros_recargas!$I$99*'Plan mensual'!F89+parametros_recargas!$J$99*'Plan mensual'!F90+parametros_recargas!$K$99*'Plan mensual'!F91+parametros_recargas!$L$99*'Plan mensual'!F92</f>
        <v>243.060164416504</v>
      </c>
      <c r="E93" s="25" t="n">
        <f aca="false">parametros_recargas!$E$99*'Plan mensual'!G85+parametros_recargas!$F$99*'Plan mensual'!G86+parametros_recargas!$G$99*'Plan mensual'!G87+parametros_recargas!$H$99*'Plan mensual'!G88+parametros_recargas!$I$99*'Plan mensual'!G89+parametros_recargas!$J$99*'Plan mensual'!G90+parametros_recargas!$K$99*'Plan mensual'!G91+parametros_recargas!$L$99*'Plan mensual'!G92</f>
        <v>255.879261344055</v>
      </c>
      <c r="F93" s="25" t="n">
        <f aca="false">parametros_recargas!$E$99*'Plan mensual'!H85+parametros_recargas!$F$99*'Plan mensual'!H86+parametros_recargas!$G$99*'Plan mensual'!H87+parametros_recargas!$H$99*'Plan mensual'!H88+parametros_recargas!$I$99*'Plan mensual'!H89+parametros_recargas!$J$99*'Plan mensual'!H90+parametros_recargas!$K$99*'Plan mensual'!H91+parametros_recargas!$L$99*'Plan mensual'!H92</f>
        <v>269.375704696686</v>
      </c>
      <c r="G93" s="25" t="n">
        <f aca="false">parametros_recargas!$E$99*'Plan mensual'!I85+parametros_recargas!$F$99*'Plan mensual'!I86+parametros_recargas!$G$99*'Plan mensual'!I87+parametros_recargas!$H$99*'Plan mensual'!I88+parametros_recargas!$I$99*'Plan mensual'!I89+parametros_recargas!$J$99*'Plan mensual'!I90+parametros_recargas!$K$99*'Plan mensual'!I91+parametros_recargas!$L$99*'Plan mensual'!I92</f>
        <v>283.585284685063</v>
      </c>
      <c r="H93" s="25" t="n">
        <f aca="false">parametros_recargas!$E$99*'Plan mensual'!J85+parametros_recargas!$F$99*'Plan mensual'!J86+parametros_recargas!$G$99*'Plan mensual'!J87+parametros_recargas!$H$99*'Plan mensual'!J88+parametros_recargas!$I$99*'Plan mensual'!J89+parametros_recargas!$J$99*'Plan mensual'!J90+parametros_recargas!$K$99*'Plan mensual'!J91+parametros_recargas!$L$99*'Plan mensual'!J92</f>
        <v>298.545682633662</v>
      </c>
      <c r="I93" s="25" t="n">
        <f aca="false">parametros_recargas!$E$99*'Plan mensual'!K85+parametros_recargas!$F$99*'Plan mensual'!K86+parametros_recargas!$G$99*'Plan mensual'!K87+parametros_recargas!$H$99*'Plan mensual'!K88+parametros_recargas!$I$99*'Plan mensual'!K89+parametros_recargas!$J$99*'Plan mensual'!K90+parametros_recargas!$K$99*'Plan mensual'!K91+parametros_recargas!$L$99*'Plan mensual'!K92</f>
        <v>314.296570905061</v>
      </c>
      <c r="J93" s="25" t="n">
        <f aca="false">parametros_recargas!$E$99*'Plan mensual'!L85+parametros_recargas!$F$99*'Plan mensual'!L86+parametros_recargas!$G$99*'Plan mensual'!L87+parametros_recargas!$H$99*'Plan mensual'!L88+parametros_recargas!$I$99*'Plan mensual'!L89+parametros_recargas!$J$99*'Plan mensual'!L90+parametros_recargas!$K$99*'Plan mensual'!L91+parametros_recargas!$L$99*'Plan mensual'!L92</f>
        <v>330.879718104119</v>
      </c>
      <c r="K93" s="25" t="n">
        <f aca="false">parametros_recargas!$E$99*'Plan mensual'!M85+parametros_recargas!$F$99*'Plan mensual'!M86+parametros_recargas!$G$99*'Plan mensual'!M87+parametros_recargas!$H$99*'Plan mensual'!M88+parametros_recargas!$I$99*'Plan mensual'!M89+parametros_recargas!$J$99*'Plan mensual'!M90+parametros_recargas!$K$99*'Plan mensual'!M91+parametros_recargas!$L$99*'Plan mensual'!M92</f>
        <v>348.33909984102</v>
      </c>
      <c r="L93" s="25" t="n">
        <f aca="false">parametros_recargas!$E$99*'Plan mensual'!N85+parametros_recargas!$F$99*'Plan mensual'!N86+parametros_recargas!$G$99*'Plan mensual'!N87+parametros_recargas!$H$99*'Plan mensual'!N88+parametros_recargas!$I$99*'Plan mensual'!N89+parametros_recargas!$J$99*'Plan mensual'!N90+parametros_recargas!$K$99*'Plan mensual'!N91+parametros_recargas!$L$99*'Plan mensual'!N92</f>
        <v>366.72101534691</v>
      </c>
      <c r="M93" s="25" t="n">
        <f aca="false">parametros_recargas!$E$99*'Plan mensual'!O85+parametros_recargas!$F$99*'Plan mensual'!O86+parametros_recargas!$G$99*'Plan mensual'!O87+parametros_recargas!$H$99*'Plan mensual'!O88+parametros_recargas!$I$99*'Plan mensual'!O89+parametros_recargas!$J$99*'Plan mensual'!O90+parametros_recargas!$K$99*'Plan mensual'!O91+parametros_recargas!$L$99*'Plan mensual'!O92</f>
        <v>386.074210251374</v>
      </c>
      <c r="N93" s="7" t="n">
        <f aca="false">SUM(B93:M93)</f>
        <v>3546.96087200218</v>
      </c>
      <c r="O93" s="26" t="n">
        <f aca="false">MAX(B93:M93)</f>
        <v>386.074210251374</v>
      </c>
      <c r="P93" s="15" t="n">
        <f aca="false">O93/parametros_recargas!$B$6</f>
        <v>2.57382806834249</v>
      </c>
    </row>
    <row r="94" customFormat="false" ht="15" hidden="false" customHeight="false" outlineLevel="0" collapsed="false">
      <c r="A94" s="12" t="str">
        <f aca="false">parametros_recargas!$B$100</f>
        <v>PH de mangueras (CO₂ y rodantes)</v>
      </c>
      <c r="B94" s="25" t="n">
        <f aca="false">'Plan mensual'!D93</f>
        <v>101.790177285059</v>
      </c>
      <c r="C94" s="25" t="n">
        <f aca="false">'Plan mensual'!E93</f>
        <v>107.107008539371</v>
      </c>
      <c r="D94" s="25" t="n">
        <f aca="false">'Plan mensual'!F93</f>
        <v>112.704775078221</v>
      </c>
      <c r="E94" s="25" t="n">
        <f aca="false">'Plan mensual'!G93</f>
        <v>118.598321200839</v>
      </c>
      <c r="F94" s="25" t="n">
        <f aca="false">'Plan mensual'!H93</f>
        <v>124.803275562257</v>
      </c>
      <c r="G94" s="25" t="n">
        <f aca="false">'Plan mensual'!I93</f>
        <v>131.336092617768</v>
      </c>
      <c r="H94" s="25" t="n">
        <f aca="false">'Plan mensual'!J93</f>
        <v>138.214096257268</v>
      </c>
      <c r="I94" s="25" t="n">
        <f aca="false">'Plan mensual'!K93</f>
        <v>145.455525745191</v>
      </c>
      <c r="J94" s="25" t="n">
        <f aca="false">'Plan mensual'!L93</f>
        <v>153.079584087848</v>
      </c>
      <c r="K94" s="25" t="n">
        <f aca="false">'Plan mensual'!M93</f>
        <v>161.10648895645</v>
      </c>
      <c r="L94" s="25" t="n">
        <f aca="false">'Plan mensual'!N93</f>
        <v>169.557526300837</v>
      </c>
      <c r="M94" s="25" t="n">
        <f aca="false">'Plan mensual'!O93</f>
        <v>178.455106796102</v>
      </c>
      <c r="N94" s="7" t="n">
        <f aca="false">SUM(B94:M94)</f>
        <v>1642.20797842721</v>
      </c>
      <c r="O94" s="26" t="n">
        <f aca="false">MAX(B94:M94)</f>
        <v>178.455106796102</v>
      </c>
      <c r="P94" s="15" t="n">
        <f aca="false">O94/parametros_recargas!$B$6</f>
        <v>1.18970071197401</v>
      </c>
    </row>
    <row r="97" customFormat="false" ht="23.85" hidden="false" customHeight="false" outlineLevel="0" collapsed="false">
      <c r="A97" s="3" t="s">
        <v>282</v>
      </c>
      <c r="B97" s="3" t="s">
        <v>124</v>
      </c>
      <c r="C97" s="3" t="s">
        <v>125</v>
      </c>
      <c r="D97" s="3" t="s">
        <v>126</v>
      </c>
      <c r="E97" s="3" t="s">
        <v>127</v>
      </c>
      <c r="F97" s="3" t="s">
        <v>128</v>
      </c>
      <c r="G97" s="3" t="s">
        <v>129</v>
      </c>
      <c r="H97" s="3" t="s">
        <v>130</v>
      </c>
      <c r="I97" s="3" t="s">
        <v>131</v>
      </c>
      <c r="J97" s="3" t="s">
        <v>132</v>
      </c>
      <c r="K97" s="3" t="s">
        <v>133</v>
      </c>
      <c r="L97" s="3" t="s">
        <v>134</v>
      </c>
      <c r="M97" s="3" t="s">
        <v>135</v>
      </c>
      <c r="N97" s="3" t="s">
        <v>277</v>
      </c>
      <c r="O97" s="3" t="s">
        <v>278</v>
      </c>
      <c r="P97" s="3" t="s">
        <v>279</v>
      </c>
    </row>
    <row r="98" customFormat="false" ht="15" hidden="false" customHeight="false" outlineLevel="0" collapsed="false">
      <c r="A98" s="12" t="str">
        <f aca="false">parametros_recargas!$B$72</f>
        <v>Recepción y registro</v>
      </c>
      <c r="B98" s="25" t="n">
        <f aca="false">parametros_recargas!$E$72*'Plan mensual'!D117+parametros_recargas!$F$72*'Plan mensual'!D118+parametros_recargas!$G$72*'Plan mensual'!D119+parametros_recargas!$H$72*'Plan mensual'!D120+parametros_recargas!$I$72*'Plan mensual'!D121+parametros_recargas!$J$72*'Plan mensual'!D122+parametros_recargas!$K$72*'Plan mensual'!D123+parametros_recargas!$L$72*'Plan mensual'!D124</f>
        <v>5803.542133761</v>
      </c>
      <c r="C98" s="25" t="n">
        <f aca="false">parametros_recargas!$E$72*'Plan mensual'!E117+parametros_recargas!$F$72*'Plan mensual'!E118+parametros_recargas!$G$72*'Plan mensual'!E119+parametros_recargas!$H$72*'Plan mensual'!E120+parametros_recargas!$I$72*'Plan mensual'!E121+parametros_recargas!$J$72*'Plan mensual'!E122+parametros_recargas!$K$72*'Plan mensual'!E123+parametros_recargas!$L$72*'Plan mensual'!E124</f>
        <v>5993.16320066706</v>
      </c>
      <c r="D98" s="25" t="n">
        <f aca="false">parametros_recargas!$E$72*'Plan mensual'!F117+parametros_recargas!$F$72*'Plan mensual'!F118+parametros_recargas!$G$72*'Plan mensual'!F119+parametros_recargas!$H$72*'Plan mensual'!F120+parametros_recargas!$I$72*'Plan mensual'!F121+parametros_recargas!$J$72*'Plan mensual'!F122+parametros_recargas!$K$72*'Plan mensual'!F123+parametros_recargas!$L$72*'Plan mensual'!F124</f>
        <v>6188.99185313412</v>
      </c>
      <c r="E98" s="25" t="n">
        <f aca="false">parametros_recargas!$E$72*'Plan mensual'!G117+parametros_recargas!$F$72*'Plan mensual'!G118+parametros_recargas!$G$72*'Plan mensual'!G119+parametros_recargas!$H$72*'Plan mensual'!G120+parametros_recargas!$I$72*'Plan mensual'!G121+parametros_recargas!$J$72*'Plan mensual'!G122+parametros_recargas!$K$72*'Plan mensual'!G123+parametros_recargas!$L$72*'Plan mensual'!G124</f>
        <v>6391.23130760392</v>
      </c>
      <c r="F98" s="25" t="n">
        <f aca="false">parametros_recargas!$E$72*'Plan mensual'!H117+parametros_recargas!$F$72*'Plan mensual'!H118+parametros_recargas!$G$72*'Plan mensual'!H119+parametros_recargas!$H$72*'Plan mensual'!H120+parametros_recargas!$I$72*'Plan mensual'!H121+parametros_recargas!$J$72*'Plan mensual'!H122+parametros_recargas!$K$72*'Plan mensual'!H123+parametros_recargas!$L$72*'Plan mensual'!H124</f>
        <v>6600.09143317273</v>
      </c>
      <c r="G98" s="25" t="n">
        <f aca="false">parametros_recargas!$E$72*'Plan mensual'!I117+parametros_recargas!$F$72*'Plan mensual'!I118+parametros_recargas!$G$72*'Plan mensual'!I119+parametros_recargas!$H$72*'Plan mensual'!I120+parametros_recargas!$I$72*'Plan mensual'!I121+parametros_recargas!$J$72*'Plan mensual'!I122+parametros_recargas!$K$72*'Plan mensual'!I123+parametros_recargas!$L$72*'Plan mensual'!I124</f>
        <v>6815.78896937795</v>
      </c>
      <c r="H98" s="25" t="n">
        <f aca="false">parametros_recargas!$E$72*'Plan mensual'!J117+parametros_recargas!$F$72*'Plan mensual'!J118+parametros_recargas!$G$72*'Plan mensual'!J119+parametros_recargas!$H$72*'Plan mensual'!J120+parametros_recargas!$I$72*'Plan mensual'!J121+parametros_recargas!$J$72*'Plan mensual'!J122+parametros_recargas!$K$72*'Plan mensual'!J123+parametros_recargas!$L$72*'Plan mensual'!J124</f>
        <v>7038.54775111424</v>
      </c>
      <c r="I98" s="25" t="n">
        <f aca="false">parametros_recargas!$E$72*'Plan mensual'!K117+parametros_recargas!$F$72*'Plan mensual'!K118+parametros_recargas!$G$72*'Plan mensual'!K119+parametros_recargas!$H$72*'Plan mensual'!K120+parametros_recargas!$I$72*'Plan mensual'!K121+parametros_recargas!$J$72*'Plan mensual'!K122+parametros_recargas!$K$72*'Plan mensual'!K123+parametros_recargas!$L$72*'Plan mensual'!K124</f>
        <v>7268.59894091285</v>
      </c>
      <c r="J98" s="25" t="n">
        <f aca="false">parametros_recargas!$E$72*'Plan mensual'!L117+parametros_recargas!$F$72*'Plan mensual'!L118+parametros_recargas!$G$72*'Plan mensual'!L119+parametros_recargas!$H$72*'Plan mensual'!L120+parametros_recargas!$I$72*'Plan mensual'!L121+parametros_recargas!$J$72*'Plan mensual'!L122+parametros_recargas!$K$72*'Plan mensual'!L123+parametros_recargas!$L$72*'Plan mensual'!L124</f>
        <v>7506.18126882488</v>
      </c>
      <c r="K98" s="25" t="n">
        <f aca="false">parametros_recargas!$E$72*'Plan mensual'!M117+parametros_recargas!$F$72*'Plan mensual'!M118+parametros_recargas!$G$72*'Plan mensual'!M119+parametros_recargas!$H$72*'Plan mensual'!M120+parametros_recargas!$I$72*'Plan mensual'!M121+parametros_recargas!$J$72*'Plan mensual'!M122+parametros_recargas!$K$72*'Plan mensual'!M123+parametros_recargas!$L$72*'Plan mensual'!M124</f>
        <v>7751.54128015762</v>
      </c>
      <c r="L98" s="25" t="n">
        <f aca="false">parametros_recargas!$E$72*'Plan mensual'!N117+parametros_recargas!$F$72*'Plan mensual'!N118+parametros_recargas!$G$72*'Plan mensual'!N119+parametros_recargas!$H$72*'Plan mensual'!N120+parametros_recargas!$I$72*'Plan mensual'!N121+parametros_recargas!$J$72*'Plan mensual'!N122+parametros_recargas!$K$72*'Plan mensual'!N123+parametros_recargas!$L$72*'Plan mensual'!N124</f>
        <v>8004.93359132101</v>
      </c>
      <c r="M98" s="25" t="n">
        <f aca="false">parametros_recargas!$E$72*'Plan mensual'!O117+parametros_recargas!$F$72*'Plan mensual'!O118+parametros_recargas!$G$72*'Plan mensual'!O119+parametros_recargas!$H$72*'Plan mensual'!O120+parametros_recargas!$I$72*'Plan mensual'!O121+parametros_recargas!$J$72*'Plan mensual'!O122+parametros_recargas!$K$72*'Plan mensual'!O123+parametros_recargas!$L$72*'Plan mensual'!O124</f>
        <v>8266.62115404957</v>
      </c>
      <c r="N98" s="7" t="n">
        <f aca="false">SUM(B98:M98)</f>
        <v>83629.2328840969</v>
      </c>
      <c r="O98" s="26" t="n">
        <f aca="false">MAX(B98:M98)</f>
        <v>8266.62115404957</v>
      </c>
      <c r="P98" s="15" t="n">
        <f aca="false">O98/parametros_recargas!$B$6</f>
        <v>55.1108076936638</v>
      </c>
    </row>
    <row r="99" customFormat="false" ht="15" hidden="false" customHeight="false" outlineLevel="0" collapsed="false">
      <c r="A99" s="12" t="str">
        <f aca="false">parametros_recargas!$B$73</f>
        <v>Inspección visual</v>
      </c>
      <c r="B99" s="25" t="n">
        <f aca="false">parametros_recargas!$E$73*'Plan mensual'!D117+parametros_recargas!$F$73*'Plan mensual'!D118+parametros_recargas!$G$73*'Plan mensual'!D119+parametros_recargas!$H$73*'Plan mensual'!D120+parametros_recargas!$I$73*'Plan mensual'!D121+parametros_recargas!$J$73*'Plan mensual'!D122+parametros_recargas!$K$73*'Plan mensual'!D123+parametros_recargas!$L$73*'Plan mensual'!D124</f>
        <v>5803.542133761</v>
      </c>
      <c r="C99" s="25" t="n">
        <f aca="false">parametros_recargas!$E$73*'Plan mensual'!E117+parametros_recargas!$F$73*'Plan mensual'!E118+parametros_recargas!$G$73*'Plan mensual'!E119+parametros_recargas!$H$73*'Plan mensual'!E120+parametros_recargas!$I$73*'Plan mensual'!E121+parametros_recargas!$J$73*'Plan mensual'!E122+parametros_recargas!$K$73*'Plan mensual'!E123+parametros_recargas!$L$73*'Plan mensual'!E124</f>
        <v>5993.16320066706</v>
      </c>
      <c r="D99" s="25" t="n">
        <f aca="false">parametros_recargas!$E$73*'Plan mensual'!F117+parametros_recargas!$F$73*'Plan mensual'!F118+parametros_recargas!$G$73*'Plan mensual'!F119+parametros_recargas!$H$73*'Plan mensual'!F120+parametros_recargas!$I$73*'Plan mensual'!F121+parametros_recargas!$J$73*'Plan mensual'!F122+parametros_recargas!$K$73*'Plan mensual'!F123+parametros_recargas!$L$73*'Plan mensual'!F124</f>
        <v>6188.99185313412</v>
      </c>
      <c r="E99" s="25" t="n">
        <f aca="false">parametros_recargas!$E$73*'Plan mensual'!G117+parametros_recargas!$F$73*'Plan mensual'!G118+parametros_recargas!$G$73*'Plan mensual'!G119+parametros_recargas!$H$73*'Plan mensual'!G120+parametros_recargas!$I$73*'Plan mensual'!G121+parametros_recargas!$J$73*'Plan mensual'!G122+parametros_recargas!$K$73*'Plan mensual'!G123+parametros_recargas!$L$73*'Plan mensual'!G124</f>
        <v>6391.23130760392</v>
      </c>
      <c r="F99" s="25" t="n">
        <f aca="false">parametros_recargas!$E$73*'Plan mensual'!H117+parametros_recargas!$F$73*'Plan mensual'!H118+parametros_recargas!$G$73*'Plan mensual'!H119+parametros_recargas!$H$73*'Plan mensual'!H120+parametros_recargas!$I$73*'Plan mensual'!H121+parametros_recargas!$J$73*'Plan mensual'!H122+parametros_recargas!$K$73*'Plan mensual'!H123+parametros_recargas!$L$73*'Plan mensual'!H124</f>
        <v>6600.09143317273</v>
      </c>
      <c r="G99" s="25" t="n">
        <f aca="false">parametros_recargas!$E$73*'Plan mensual'!I117+parametros_recargas!$F$73*'Plan mensual'!I118+parametros_recargas!$G$73*'Plan mensual'!I119+parametros_recargas!$H$73*'Plan mensual'!I120+parametros_recargas!$I$73*'Plan mensual'!I121+parametros_recargas!$J$73*'Plan mensual'!I122+parametros_recargas!$K$73*'Plan mensual'!I123+parametros_recargas!$L$73*'Plan mensual'!I124</f>
        <v>6815.78896937795</v>
      </c>
      <c r="H99" s="25" t="n">
        <f aca="false">parametros_recargas!$E$73*'Plan mensual'!J117+parametros_recargas!$F$73*'Plan mensual'!J118+parametros_recargas!$G$73*'Plan mensual'!J119+parametros_recargas!$H$73*'Plan mensual'!J120+parametros_recargas!$I$73*'Plan mensual'!J121+parametros_recargas!$J$73*'Plan mensual'!J122+parametros_recargas!$K$73*'Plan mensual'!J123+parametros_recargas!$L$73*'Plan mensual'!J124</f>
        <v>7038.54775111424</v>
      </c>
      <c r="I99" s="25" t="n">
        <f aca="false">parametros_recargas!$E$73*'Plan mensual'!K117+parametros_recargas!$F$73*'Plan mensual'!K118+parametros_recargas!$G$73*'Plan mensual'!K119+parametros_recargas!$H$73*'Plan mensual'!K120+parametros_recargas!$I$73*'Plan mensual'!K121+parametros_recargas!$J$73*'Plan mensual'!K122+parametros_recargas!$K$73*'Plan mensual'!K123+parametros_recargas!$L$73*'Plan mensual'!K124</f>
        <v>7268.59894091285</v>
      </c>
      <c r="J99" s="25" t="n">
        <f aca="false">parametros_recargas!$E$73*'Plan mensual'!L117+parametros_recargas!$F$73*'Plan mensual'!L118+parametros_recargas!$G$73*'Plan mensual'!L119+parametros_recargas!$H$73*'Plan mensual'!L120+parametros_recargas!$I$73*'Plan mensual'!L121+parametros_recargas!$J$73*'Plan mensual'!L122+parametros_recargas!$K$73*'Plan mensual'!L123+parametros_recargas!$L$73*'Plan mensual'!L124</f>
        <v>7506.18126882488</v>
      </c>
      <c r="K99" s="25" t="n">
        <f aca="false">parametros_recargas!$E$73*'Plan mensual'!M117+parametros_recargas!$F$73*'Plan mensual'!M118+parametros_recargas!$G$73*'Plan mensual'!M119+parametros_recargas!$H$73*'Plan mensual'!M120+parametros_recargas!$I$73*'Plan mensual'!M121+parametros_recargas!$J$73*'Plan mensual'!M122+parametros_recargas!$K$73*'Plan mensual'!M123+parametros_recargas!$L$73*'Plan mensual'!M124</f>
        <v>7751.54128015762</v>
      </c>
      <c r="L99" s="25" t="n">
        <f aca="false">parametros_recargas!$E$73*'Plan mensual'!N117+parametros_recargas!$F$73*'Plan mensual'!N118+parametros_recargas!$G$73*'Plan mensual'!N119+parametros_recargas!$H$73*'Plan mensual'!N120+parametros_recargas!$I$73*'Plan mensual'!N121+parametros_recargas!$J$73*'Plan mensual'!N122+parametros_recargas!$K$73*'Plan mensual'!N123+parametros_recargas!$L$73*'Plan mensual'!N124</f>
        <v>8004.93359132101</v>
      </c>
      <c r="M99" s="25" t="n">
        <f aca="false">parametros_recargas!$E$73*'Plan mensual'!O117+parametros_recargas!$F$73*'Plan mensual'!O118+parametros_recargas!$G$73*'Plan mensual'!O119+parametros_recargas!$H$73*'Plan mensual'!O120+parametros_recargas!$I$73*'Plan mensual'!O121+parametros_recargas!$J$73*'Plan mensual'!O122+parametros_recargas!$K$73*'Plan mensual'!O123+parametros_recargas!$L$73*'Plan mensual'!O124</f>
        <v>8266.62115404957</v>
      </c>
      <c r="N99" s="7" t="n">
        <f aca="false">SUM(B99:M99)</f>
        <v>83629.2328840969</v>
      </c>
      <c r="O99" s="26" t="n">
        <f aca="false">MAX(B99:M99)</f>
        <v>8266.62115404957</v>
      </c>
      <c r="P99" s="15" t="n">
        <f aca="false">O99/parametros_recargas!$B$6</f>
        <v>55.1108076936638</v>
      </c>
    </row>
    <row r="100" customFormat="false" ht="15" hidden="false" customHeight="false" outlineLevel="0" collapsed="false">
      <c r="A100" s="12" t="str">
        <f aca="false">parametros_recargas!$B$74</f>
        <v>Descarga ABC — ruta recuperable</v>
      </c>
      <c r="B100" s="25" t="n">
        <f aca="false">parametros_recargas!$E$74*'Plan mensual'!D117+parametros_recargas!$F$74*'Plan mensual'!D118+parametros_recargas!$G$74*'Plan mensual'!D119+parametros_recargas!$H$74*'Plan mensual'!D120+parametros_recargas!$I$74*'Plan mensual'!D121+parametros_recargas!$J$74*'Plan mensual'!D122+parametros_recargas!$K$74*'Plan mensual'!D123+parametros_recargas!$L$74*'Plan mensual'!D124</f>
        <v>4249.26477753977</v>
      </c>
      <c r="C100" s="25" t="n">
        <f aca="false">parametros_recargas!$E$74*'Plan mensual'!E117+parametros_recargas!$F$74*'Plan mensual'!E118+parametros_recargas!$G$74*'Plan mensual'!E119+parametros_recargas!$H$74*'Plan mensual'!E120+parametros_recargas!$I$74*'Plan mensual'!E121+parametros_recargas!$J$74*'Plan mensual'!E122+parametros_recargas!$K$74*'Plan mensual'!E123+parametros_recargas!$L$74*'Plan mensual'!E124</f>
        <v>4388.14714869081</v>
      </c>
      <c r="D100" s="25" t="n">
        <f aca="false">parametros_recargas!$E$74*'Plan mensual'!F117+parametros_recargas!$F$74*'Plan mensual'!F118+parametros_recargas!$G$74*'Plan mensual'!F119+parametros_recargas!$H$74*'Plan mensual'!F120+parametros_recargas!$I$74*'Plan mensual'!F121+parametros_recargas!$J$74*'Plan mensual'!F122+parametros_recargas!$K$74*'Plan mensual'!F123+parametros_recargas!$L$74*'Plan mensual'!F124</f>
        <v>4531.57608323747</v>
      </c>
      <c r="E100" s="25" t="n">
        <f aca="false">parametros_recargas!$E$74*'Plan mensual'!G117+parametros_recargas!$F$74*'Plan mensual'!G118+parametros_recargas!$G$74*'Plan mensual'!G119+parametros_recargas!$H$74*'Plan mensual'!G120+parametros_recargas!$I$74*'Plan mensual'!G121+parametros_recargas!$J$74*'Plan mensual'!G122+parametros_recargas!$K$74*'Plan mensual'!G123+parametros_recargas!$L$74*'Plan mensual'!G124</f>
        <v>4679.70042108319</v>
      </c>
      <c r="F100" s="25" t="n">
        <f aca="false">parametros_recargas!$E$74*'Plan mensual'!H117+parametros_recargas!$F$74*'Plan mensual'!H118+parametros_recargas!$G$74*'Plan mensual'!H119+parametros_recargas!$H$74*'Plan mensual'!H120+parametros_recargas!$I$74*'Plan mensual'!H121+parametros_recargas!$J$74*'Plan mensual'!H122+parametros_recargas!$K$74*'Plan mensual'!H123+parametros_recargas!$L$74*'Plan mensual'!H124</f>
        <v>4832.67387467245</v>
      </c>
      <c r="G100" s="25" t="n">
        <f aca="false">parametros_recargas!$E$74*'Plan mensual'!I117+parametros_recargas!$F$74*'Plan mensual'!I118+parametros_recargas!$G$74*'Plan mensual'!I119+parametros_recargas!$H$74*'Plan mensual'!I120+parametros_recargas!$I$74*'Plan mensual'!I121+parametros_recargas!$J$74*'Plan mensual'!I122+parametros_recargas!$K$74*'Plan mensual'!I123+parametros_recargas!$L$74*'Plan mensual'!I124</f>
        <v>4990.65518850219</v>
      </c>
      <c r="H100" s="25" t="n">
        <f aca="false">parametros_recargas!$E$74*'Plan mensual'!J117+parametros_recargas!$F$74*'Plan mensual'!J118+parametros_recargas!$G$74*'Plan mensual'!J119+parametros_recargas!$H$74*'Plan mensual'!J120+parametros_recargas!$I$74*'Plan mensual'!J121+parametros_recargas!$J$74*'Plan mensual'!J122+parametros_recargas!$K$74*'Plan mensual'!J123+parametros_recargas!$L$74*'Plan mensual'!J124</f>
        <v>5153.80830385503</v>
      </c>
      <c r="I100" s="25" t="n">
        <f aca="false">parametros_recargas!$E$74*'Plan mensual'!K117+parametros_recargas!$F$74*'Plan mensual'!K118+parametros_recargas!$G$74*'Plan mensual'!K119+parametros_recargas!$H$74*'Plan mensual'!K120+parametros_recargas!$I$74*'Plan mensual'!K121+parametros_recargas!$J$74*'Plan mensual'!K122+parametros_recargas!$K$74*'Plan mensual'!K123+parametros_recargas!$L$74*'Plan mensual'!K124</f>
        <v>5322.30252892538</v>
      </c>
      <c r="J100" s="25" t="n">
        <f aca="false">parametros_recargas!$E$74*'Plan mensual'!L117+parametros_recargas!$F$74*'Plan mensual'!L118+parametros_recargas!$G$74*'Plan mensual'!L119+parametros_recargas!$H$74*'Plan mensual'!L120+parametros_recargas!$I$74*'Plan mensual'!L121+parametros_recargas!$J$74*'Plan mensual'!L122+parametros_recargas!$K$74*'Plan mensual'!L123+parametros_recargas!$L$74*'Plan mensual'!L124</f>
        <v>5496.3127145149</v>
      </c>
      <c r="K100" s="25" t="n">
        <f aca="false">parametros_recargas!$E$74*'Plan mensual'!M117+parametros_recargas!$F$74*'Plan mensual'!M118+parametros_recargas!$G$74*'Plan mensual'!M119+parametros_recargas!$H$74*'Plan mensual'!M120+parametros_recargas!$I$74*'Plan mensual'!M121+parametros_recargas!$J$74*'Plan mensual'!M122+parametros_recargas!$K$74*'Plan mensual'!M123+parametros_recargas!$L$74*'Plan mensual'!M124</f>
        <v>5676.01943547971</v>
      </c>
      <c r="L100" s="25" t="n">
        <f aca="false">parametros_recargas!$E$74*'Plan mensual'!N117+parametros_recargas!$F$74*'Plan mensual'!N118+parametros_recargas!$G$74*'Plan mensual'!N119+parametros_recargas!$H$74*'Plan mensual'!N120+parametros_recargas!$I$74*'Plan mensual'!N121+parametros_recargas!$J$74*'Plan mensual'!N122+parametros_recargas!$K$74*'Plan mensual'!N123+parametros_recargas!$L$74*'Plan mensual'!N124</f>
        <v>5861.60917811757</v>
      </c>
      <c r="M100" s="25" t="n">
        <f aca="false">parametros_recargas!$E$74*'Plan mensual'!O117+parametros_recargas!$F$74*'Plan mensual'!O118+parametros_recargas!$G$74*'Plan mensual'!O119+parametros_recargas!$H$74*'Plan mensual'!O120+parametros_recargas!$I$74*'Plan mensual'!O121+parametros_recargas!$J$74*'Plan mensual'!O122+parametros_recargas!$K$74*'Plan mensual'!O123+parametros_recargas!$L$74*'Plan mensual'!O124</f>
        <v>6053.2745336895</v>
      </c>
      <c r="N100" s="7" t="n">
        <f aca="false">SUM(B100:M100)</f>
        <v>61235.344188308</v>
      </c>
      <c r="O100" s="26" t="n">
        <f aca="false">MAX(B100:M100)</f>
        <v>6053.2745336895</v>
      </c>
      <c r="P100" s="15" t="n">
        <f aca="false">O100/parametros_recargas!$B$6</f>
        <v>40.35516355793</v>
      </c>
    </row>
    <row r="101" customFormat="false" ht="15" hidden="false" customHeight="false" outlineLevel="0" collapsed="false">
      <c r="A101" s="12" t="str">
        <f aca="false">parametros_recargas!$B$75</f>
        <v>Descarga ABC — ruta descarte</v>
      </c>
      <c r="B101" s="25" t="n">
        <f aca="false">parametros_recargas!$E$75*'Plan mensual'!D117+parametros_recargas!$F$75*'Plan mensual'!D118+parametros_recargas!$G$75*'Plan mensual'!D119+parametros_recargas!$H$75*'Plan mensual'!D120+parametros_recargas!$I$75*'Plan mensual'!D121+parametros_recargas!$J$75*'Plan mensual'!D122+parametros_recargas!$K$75*'Plan mensual'!D123+parametros_recargas!$L$75*'Plan mensual'!D124</f>
        <v>499.913503239974</v>
      </c>
      <c r="C101" s="25" t="n">
        <f aca="false">parametros_recargas!$E$75*'Plan mensual'!E117+parametros_recargas!$F$75*'Plan mensual'!E118+parametros_recargas!$G$75*'Plan mensual'!E119+parametros_recargas!$H$75*'Plan mensual'!E120+parametros_recargas!$I$75*'Plan mensual'!E121+parametros_recargas!$J$75*'Plan mensual'!E122+parametros_recargas!$K$75*'Plan mensual'!E123+parametros_recargas!$L$75*'Plan mensual'!E124</f>
        <v>516.252605728331</v>
      </c>
      <c r="D101" s="25" t="n">
        <f aca="false">parametros_recargas!$E$75*'Plan mensual'!F117+parametros_recargas!$F$75*'Plan mensual'!F118+parametros_recargas!$G$75*'Plan mensual'!F119+parametros_recargas!$H$75*'Plan mensual'!F120+parametros_recargas!$I$75*'Plan mensual'!F121+parametros_recargas!$J$75*'Plan mensual'!F122+parametros_recargas!$K$75*'Plan mensual'!F123+parametros_recargas!$L$75*'Plan mensual'!F124</f>
        <v>533.126598027938</v>
      </c>
      <c r="E101" s="25" t="n">
        <f aca="false">parametros_recargas!$E$75*'Plan mensual'!G117+parametros_recargas!$F$75*'Plan mensual'!G118+parametros_recargas!$G$75*'Plan mensual'!G119+parametros_recargas!$H$75*'Plan mensual'!G120+parametros_recargas!$I$75*'Plan mensual'!G121+parametros_recargas!$J$75*'Plan mensual'!G122+parametros_recargas!$K$75*'Plan mensual'!G123+parametros_recargas!$L$75*'Plan mensual'!G124</f>
        <v>550.552990715669</v>
      </c>
      <c r="F101" s="25" t="n">
        <f aca="false">parametros_recargas!$E$75*'Plan mensual'!H117+parametros_recargas!$F$75*'Plan mensual'!H118+parametros_recargas!$G$75*'Plan mensual'!H119+parametros_recargas!$H$75*'Plan mensual'!H120+parametros_recargas!$I$75*'Plan mensual'!H121+parametros_recargas!$J$75*'Plan mensual'!H122+parametros_recargas!$K$75*'Plan mensual'!H123+parametros_recargas!$L$75*'Plan mensual'!H124</f>
        <v>568.549867608524</v>
      </c>
      <c r="G101" s="25" t="n">
        <f aca="false">parametros_recargas!$E$75*'Plan mensual'!I117+parametros_recargas!$F$75*'Plan mensual'!I118+parametros_recargas!$G$75*'Plan mensual'!I119+parametros_recargas!$H$75*'Plan mensual'!I120+parametros_recargas!$I$75*'Plan mensual'!I121+parametros_recargas!$J$75*'Plan mensual'!I122+parametros_recargas!$K$75*'Plan mensual'!I123+parametros_recargas!$L$75*'Plan mensual'!I124</f>
        <v>587.13590452967</v>
      </c>
      <c r="H101" s="25" t="n">
        <f aca="false">parametros_recargas!$E$75*'Plan mensual'!J117+parametros_recargas!$F$75*'Plan mensual'!J118+parametros_recargas!$G$75*'Plan mensual'!J119+parametros_recargas!$H$75*'Plan mensual'!J120+parametros_recargas!$I$75*'Plan mensual'!J121+parametros_recargas!$J$75*'Plan mensual'!J122+parametros_recargas!$K$75*'Plan mensual'!J123+parametros_recargas!$L$75*'Plan mensual'!J124</f>
        <v>606.330388688827</v>
      </c>
      <c r="I101" s="25" t="n">
        <f aca="false">parametros_recargas!$E$75*'Plan mensual'!K117+parametros_recargas!$F$75*'Plan mensual'!K118+parametros_recargas!$G$75*'Plan mensual'!K119+parametros_recargas!$H$75*'Plan mensual'!K120+parametros_recargas!$I$75*'Plan mensual'!K121+parametros_recargas!$J$75*'Plan mensual'!K122+parametros_recargas!$K$75*'Plan mensual'!K123+parametros_recargas!$L$75*'Plan mensual'!K124</f>
        <v>626.153238697103</v>
      </c>
      <c r="J101" s="25" t="n">
        <f aca="false">parametros_recargas!$E$75*'Plan mensual'!L117+parametros_recargas!$F$75*'Plan mensual'!L118+parametros_recargas!$G$75*'Plan mensual'!L119+parametros_recargas!$H$75*'Plan mensual'!L120+parametros_recargas!$I$75*'Plan mensual'!L121+parametros_recargas!$J$75*'Plan mensual'!L122+parametros_recargas!$K$75*'Plan mensual'!L123+parametros_recargas!$L$75*'Plan mensual'!L124</f>
        <v>646.625025237047</v>
      </c>
      <c r="K101" s="25" t="n">
        <f aca="false">parametros_recargas!$E$75*'Plan mensual'!M117+parametros_recargas!$F$75*'Plan mensual'!M118+parametros_recargas!$G$75*'Plan mensual'!M119+parametros_recargas!$H$75*'Plan mensual'!M120+parametros_recargas!$I$75*'Plan mensual'!M121+parametros_recargas!$J$75*'Plan mensual'!M122+parametros_recargas!$K$75*'Plan mensual'!M123+parametros_recargas!$L$75*'Plan mensual'!M124</f>
        <v>667.766992409377</v>
      </c>
      <c r="L101" s="25" t="n">
        <f aca="false">parametros_recargas!$E$75*'Plan mensual'!N117+parametros_recargas!$F$75*'Plan mensual'!N118+parametros_recargas!$G$75*'Plan mensual'!N119+parametros_recargas!$H$75*'Plan mensual'!N120+parametros_recargas!$I$75*'Plan mensual'!N121+parametros_recargas!$J$75*'Plan mensual'!N122+parametros_recargas!$K$75*'Plan mensual'!N123+parametros_recargas!$L$75*'Plan mensual'!N124</f>
        <v>689.601079778538</v>
      </c>
      <c r="M101" s="25" t="n">
        <f aca="false">parametros_recargas!$E$75*'Plan mensual'!O117+parametros_recargas!$F$75*'Plan mensual'!O118+parametros_recargas!$G$75*'Plan mensual'!O119+parametros_recargas!$H$75*'Plan mensual'!O120+parametros_recargas!$I$75*'Plan mensual'!O121+parametros_recargas!$J$75*'Plan mensual'!O122+parametros_recargas!$K$75*'Plan mensual'!O123+parametros_recargas!$L$75*'Plan mensual'!O124</f>
        <v>712.149945139941</v>
      </c>
      <c r="N101" s="7" t="n">
        <f aca="false">SUM(B101:M101)</f>
        <v>7204.15813980094</v>
      </c>
      <c r="O101" s="26" t="n">
        <f aca="false">MAX(B101:M101)</f>
        <v>712.149945139941</v>
      </c>
      <c r="P101" s="15" t="n">
        <f aca="false">O101/parametros_recargas!$B$6</f>
        <v>4.74766630093294</v>
      </c>
    </row>
    <row r="102" customFormat="false" ht="15" hidden="false" customHeight="false" outlineLevel="0" collapsed="false">
      <c r="A102" s="12" t="str">
        <f aca="false">parametros_recargas!$B$76</f>
        <v>Descarga BC</v>
      </c>
      <c r="B102" s="25" t="n">
        <f aca="false">parametros_recargas!$E$76*'Plan mensual'!D117+parametros_recargas!$F$76*'Plan mensual'!D118+parametros_recargas!$G$76*'Plan mensual'!D119+parametros_recargas!$H$76*'Plan mensual'!D120+parametros_recargas!$I$76*'Plan mensual'!D121+parametros_recargas!$J$76*'Plan mensual'!D122+parametros_recargas!$K$76*'Plan mensual'!D123+parametros_recargas!$L$76*'Plan mensual'!D124</f>
        <v>7.95917829106044</v>
      </c>
      <c r="C102" s="25" t="n">
        <f aca="false">parametros_recargas!$E$76*'Plan mensual'!E117+parametros_recargas!$F$76*'Plan mensual'!E118+parametros_recargas!$G$76*'Plan mensual'!E119+parametros_recargas!$H$76*'Plan mensual'!E120+parametros_recargas!$I$76*'Plan mensual'!E121+parametros_recargas!$J$76*'Plan mensual'!E122+parametros_recargas!$K$76*'Plan mensual'!E123+parametros_recargas!$L$76*'Plan mensual'!E124</f>
        <v>8.21700819486767</v>
      </c>
      <c r="D102" s="25" t="n">
        <f aca="false">parametros_recargas!$E$76*'Plan mensual'!F117+parametros_recargas!$F$76*'Plan mensual'!F118+parametros_recargas!$G$76*'Plan mensual'!F119+parametros_recargas!$H$76*'Plan mensual'!F120+parametros_recargas!$I$76*'Plan mensual'!F121+parametros_recargas!$J$76*'Plan mensual'!F122+parametros_recargas!$K$76*'Plan mensual'!F123+parametros_recargas!$L$76*'Plan mensual'!F124</f>
        <v>8.4832786227906</v>
      </c>
      <c r="E102" s="25" t="n">
        <f aca="false">parametros_recargas!$E$76*'Plan mensual'!G117+parametros_recargas!$F$76*'Plan mensual'!G118+parametros_recargas!$G$76*'Plan mensual'!G119+parametros_recargas!$H$76*'Plan mensual'!G120+parametros_recargas!$I$76*'Plan mensual'!G121+parametros_recargas!$J$76*'Plan mensual'!G122+parametros_recargas!$K$76*'Plan mensual'!G123+parametros_recargas!$L$76*'Plan mensual'!G124</f>
        <v>8.75826589051758</v>
      </c>
      <c r="F102" s="25" t="n">
        <f aca="false">parametros_recargas!$E$76*'Plan mensual'!H117+parametros_recargas!$F$76*'Plan mensual'!H118+parametros_recargas!$G$76*'Plan mensual'!H119+parametros_recargas!$H$76*'Plan mensual'!H120+parametros_recargas!$I$76*'Plan mensual'!H121+parametros_recargas!$J$76*'Plan mensual'!H122+parametros_recargas!$K$76*'Plan mensual'!H123+parametros_recargas!$L$76*'Plan mensual'!H124</f>
        <v>9.04225535942638</v>
      </c>
      <c r="G102" s="25" t="n">
        <f aca="false">parametros_recargas!$E$76*'Plan mensual'!I117+parametros_recargas!$F$76*'Plan mensual'!I118+parametros_recargas!$G$76*'Plan mensual'!I119+parametros_recargas!$H$76*'Plan mensual'!I120+parametros_recargas!$I$76*'Plan mensual'!I121+parametros_recargas!$J$76*'Plan mensual'!I122+parametros_recargas!$K$76*'Plan mensual'!I123+parametros_recargas!$L$76*'Plan mensual'!I124</f>
        <v>9.33554173271103</v>
      </c>
      <c r="H102" s="25" t="n">
        <f aca="false">parametros_recargas!$E$76*'Plan mensual'!J117+parametros_recargas!$F$76*'Plan mensual'!J118+parametros_recargas!$G$76*'Plan mensual'!J119+parametros_recargas!$H$76*'Plan mensual'!J120+parametros_recargas!$I$76*'Plan mensual'!J121+parametros_recargas!$J$76*'Plan mensual'!J122+parametros_recargas!$K$76*'Plan mensual'!J123+parametros_recargas!$L$76*'Plan mensual'!J124</f>
        <v>9.63842936120294</v>
      </c>
      <c r="I102" s="25" t="n">
        <f aca="false">parametros_recargas!$E$76*'Plan mensual'!K117+parametros_recargas!$F$76*'Plan mensual'!K118+parametros_recargas!$G$76*'Plan mensual'!K119+parametros_recargas!$H$76*'Plan mensual'!K120+parametros_recargas!$I$76*'Plan mensual'!K121+parametros_recargas!$J$76*'Plan mensual'!K122+parametros_recargas!$K$76*'Plan mensual'!K123+parametros_recargas!$L$76*'Plan mensual'!K124</f>
        <v>9.9512325592036</v>
      </c>
      <c r="J102" s="25" t="n">
        <f aca="false">parametros_recargas!$E$76*'Plan mensual'!L117+parametros_recargas!$F$76*'Plan mensual'!L118+parametros_recargas!$G$76*'Plan mensual'!L119+parametros_recargas!$H$76*'Plan mensual'!L120+parametros_recargas!$I$76*'Plan mensual'!L121+parametros_recargas!$J$76*'Plan mensual'!L122+parametros_recargas!$K$76*'Plan mensual'!L123+parametros_recargas!$L$76*'Plan mensual'!L124</f>
        <v>10.2742759306566</v>
      </c>
      <c r="K102" s="25" t="n">
        <f aca="false">parametros_recargas!$E$76*'Plan mensual'!M117+parametros_recargas!$F$76*'Plan mensual'!M118+parametros_recargas!$G$76*'Plan mensual'!M119+parametros_recargas!$H$76*'Plan mensual'!M120+parametros_recargas!$I$76*'Plan mensual'!M121+parametros_recargas!$J$76*'Plan mensual'!M122+parametros_recargas!$K$76*'Plan mensual'!M123+parametros_recargas!$L$76*'Plan mensual'!M124</f>
        <v>10.6078947059977</v>
      </c>
      <c r="L102" s="25" t="n">
        <f aca="false">parametros_recargas!$E$76*'Plan mensual'!N117+parametros_recargas!$F$76*'Plan mensual'!N118+parametros_recargas!$G$76*'Plan mensual'!N119+parametros_recargas!$H$76*'Plan mensual'!N120+parametros_recargas!$I$76*'Plan mensual'!N121+parametros_recargas!$J$76*'Plan mensual'!N122+parametros_recargas!$K$76*'Plan mensual'!N123+parametros_recargas!$L$76*'Plan mensual'!N124</f>
        <v>10.9524350900316</v>
      </c>
      <c r="M102" s="25" t="n">
        <f aca="false">parametros_recargas!$E$76*'Plan mensual'!O117+parametros_recargas!$F$76*'Plan mensual'!O118+parametros_recargas!$G$76*'Plan mensual'!O119+parametros_recargas!$H$76*'Plan mensual'!O120+parametros_recargas!$I$76*'Plan mensual'!O121+parametros_recargas!$J$76*'Plan mensual'!O122+parametros_recargas!$K$76*'Plan mensual'!O123+parametros_recargas!$L$76*'Plan mensual'!O124</f>
        <v>11.3082546211984</v>
      </c>
      <c r="N102" s="7" t="n">
        <f aca="false">SUM(B102:M102)</f>
        <v>114.528050359665</v>
      </c>
      <c r="O102" s="26" t="n">
        <f aca="false">MAX(B102:M102)</f>
        <v>11.3082546211984</v>
      </c>
      <c r="P102" s="15" t="n">
        <f aca="false">O102/parametros_recargas!$B$6</f>
        <v>0.0753883641413226</v>
      </c>
    </row>
    <row r="103" customFormat="false" ht="15" hidden="false" customHeight="false" outlineLevel="0" collapsed="false">
      <c r="A103" s="12" t="str">
        <f aca="false">parametros_recargas!$B$77</f>
        <v>Descarga de agua / AFFF / sales K</v>
      </c>
      <c r="B103" s="25" t="n">
        <f aca="false">parametros_recargas!$E$77*'Plan mensual'!D117+parametros_recargas!$F$77*'Plan mensual'!D118+parametros_recargas!$G$77*'Plan mensual'!D119+parametros_recargas!$H$77*'Plan mensual'!D120+parametros_recargas!$I$77*'Plan mensual'!D121+parametros_recargas!$J$77*'Plan mensual'!D122+parametros_recargas!$K$77*'Plan mensual'!D123+parametros_recargas!$L$77*'Plan mensual'!D124</f>
        <v>272.583751785404</v>
      </c>
      <c r="C103" s="25" t="n">
        <f aca="false">parametros_recargas!$E$77*'Plan mensual'!E117+parametros_recargas!$F$77*'Plan mensual'!E118+parametros_recargas!$G$77*'Plan mensual'!E119+parametros_recargas!$H$77*'Plan mensual'!E120+parametros_recargas!$I$77*'Plan mensual'!E121+parametros_recargas!$J$77*'Plan mensual'!E122+parametros_recargas!$K$77*'Plan mensual'!E123+parametros_recargas!$L$77*'Plan mensual'!E124</f>
        <v>281.469076639234</v>
      </c>
      <c r="D103" s="25" t="n">
        <f aca="false">parametros_recargas!$E$77*'Plan mensual'!F117+parametros_recargas!$F$77*'Plan mensual'!F118+parametros_recargas!$G$77*'Plan mensual'!F119+parametros_recargas!$H$77*'Plan mensual'!F120+parametros_recargas!$I$77*'Plan mensual'!F121+parametros_recargas!$J$77*'Plan mensual'!F122+parametros_recargas!$K$77*'Plan mensual'!F123+parametros_recargas!$L$77*'Plan mensual'!F124</f>
        <v>290.645278530976</v>
      </c>
      <c r="E103" s="25" t="n">
        <f aca="false">parametros_recargas!$E$77*'Plan mensual'!G117+parametros_recargas!$F$77*'Plan mensual'!G118+parametros_recargas!$G$77*'Plan mensual'!G119+parametros_recargas!$H$77*'Plan mensual'!G120+parametros_recargas!$I$77*'Plan mensual'!G121+parametros_recargas!$J$77*'Plan mensual'!G122+parametros_recargas!$K$77*'Plan mensual'!G123+parametros_recargas!$L$77*'Plan mensual'!G124</f>
        <v>300.121879841924</v>
      </c>
      <c r="F103" s="25" t="n">
        <f aca="false">parametros_recargas!$E$77*'Plan mensual'!H117+parametros_recargas!$F$77*'Plan mensual'!H118+parametros_recargas!$G$77*'Plan mensual'!H119+parametros_recargas!$H$77*'Plan mensual'!H120+parametros_recargas!$I$77*'Plan mensual'!H121+parametros_recargas!$J$77*'Plan mensual'!H122+parametros_recargas!$K$77*'Plan mensual'!H123+parametros_recargas!$L$77*'Plan mensual'!H124</f>
        <v>309.908714685596</v>
      </c>
      <c r="G103" s="25" t="n">
        <f aca="false">parametros_recargas!$E$77*'Plan mensual'!I117+parametros_recargas!$F$77*'Plan mensual'!I118+parametros_recargas!$G$77*'Plan mensual'!I119+parametros_recargas!$H$77*'Plan mensual'!I120+parametros_recargas!$I$77*'Plan mensual'!I121+parametros_recargas!$J$77*'Plan mensual'!I122+parametros_recargas!$K$77*'Plan mensual'!I123+parametros_recargas!$L$77*'Plan mensual'!I124</f>
        <v>320.015939112845</v>
      </c>
      <c r="H103" s="25" t="n">
        <f aca="false">parametros_recargas!$E$77*'Plan mensual'!J117+parametros_recargas!$F$77*'Plan mensual'!J118+parametros_recargas!$G$77*'Plan mensual'!J119+parametros_recargas!$H$77*'Plan mensual'!J120+parametros_recargas!$I$77*'Plan mensual'!J121+parametros_recargas!$J$77*'Plan mensual'!J122+parametros_recargas!$K$77*'Plan mensual'!J123+parametros_recargas!$L$77*'Plan mensual'!J124</f>
        <v>330.454041651056</v>
      </c>
      <c r="I103" s="25" t="n">
        <f aca="false">parametros_recargas!$E$77*'Plan mensual'!K117+parametros_recargas!$F$77*'Plan mensual'!K118+parametros_recargas!$G$77*'Plan mensual'!K119+parametros_recargas!$H$77*'Plan mensual'!K120+parametros_recargas!$I$77*'Plan mensual'!K121+parametros_recargas!$J$77*'Plan mensual'!K122+parametros_recargas!$K$77*'Plan mensual'!K123+parametros_recargas!$L$77*'Plan mensual'!K124</f>
        <v>341.233854188358</v>
      </c>
      <c r="J103" s="25" t="n">
        <f aca="false">parametros_recargas!$E$77*'Plan mensual'!L117+parametros_recargas!$F$77*'Plan mensual'!L118+parametros_recargas!$G$77*'Plan mensual'!L119+parametros_recargas!$H$77*'Plan mensual'!L120+parametros_recargas!$I$77*'Plan mensual'!L121+parametros_recargas!$J$77*'Plan mensual'!L122+parametros_recargas!$K$77*'Plan mensual'!L123+parametros_recargas!$L$77*'Plan mensual'!L124</f>
        <v>352.366563214161</v>
      </c>
      <c r="K103" s="25" t="n">
        <f aca="false">parametros_recargas!$E$77*'Plan mensual'!M117+parametros_recargas!$F$77*'Plan mensual'!M118+parametros_recargas!$G$77*'Plan mensual'!M119+parametros_recargas!$H$77*'Plan mensual'!M120+parametros_recargas!$I$77*'Plan mensual'!M121+parametros_recargas!$J$77*'Plan mensual'!M122+parametros_recargas!$K$77*'Plan mensual'!M123+parametros_recargas!$L$77*'Plan mensual'!M124</f>
        <v>363.863721427656</v>
      </c>
      <c r="L103" s="25" t="n">
        <f aca="false">parametros_recargas!$E$77*'Plan mensual'!N117+parametros_recargas!$F$77*'Plan mensual'!N118+parametros_recargas!$G$77*'Plan mensual'!N119+parametros_recargas!$H$77*'Plan mensual'!N120+parametros_recargas!$I$77*'Plan mensual'!N121+parametros_recargas!$J$77*'Plan mensual'!N122+parametros_recargas!$K$77*'Plan mensual'!N123+parametros_recargas!$L$77*'Plan mensual'!N124</f>
        <v>375.737259726355</v>
      </c>
      <c r="M103" s="25" t="n">
        <f aca="false">parametros_recargas!$E$77*'Plan mensual'!O117+parametros_recargas!$F$77*'Plan mensual'!O118+parametros_recargas!$G$77*'Plan mensual'!O119+parametros_recargas!$H$77*'Plan mensual'!O120+parametros_recargas!$I$77*'Plan mensual'!O121+parametros_recargas!$J$77*'Plan mensual'!O122+parametros_recargas!$K$77*'Plan mensual'!O123+parametros_recargas!$L$77*'Plan mensual'!O124</f>
        <v>387.999499587088</v>
      </c>
      <c r="N103" s="7" t="n">
        <f aca="false">SUM(B103:M103)</f>
        <v>3926.39958039065</v>
      </c>
      <c r="O103" s="26" t="n">
        <f aca="false">MAX(B103:M103)</f>
        <v>387.999499587088</v>
      </c>
      <c r="P103" s="15" t="n">
        <f aca="false">O103/parametros_recargas!$B$6</f>
        <v>2.58666333058059</v>
      </c>
    </row>
    <row r="104" customFormat="false" ht="15" hidden="false" customHeight="false" outlineLevel="0" collapsed="false">
      <c r="A104" s="12" t="str">
        <f aca="false">parametros_recargas!$B$78</f>
        <v>Recuperación de CO₂</v>
      </c>
      <c r="B104" s="25" t="n">
        <f aca="false">parametros_recargas!$E$78*'Plan mensual'!D117+parametros_recargas!$F$78*'Plan mensual'!D118+parametros_recargas!$G$78*'Plan mensual'!D119+parametros_recargas!$H$78*'Plan mensual'!D120+parametros_recargas!$I$78*'Plan mensual'!D121+parametros_recargas!$J$78*'Plan mensual'!D122+parametros_recargas!$K$78*'Plan mensual'!D123+parametros_recargas!$L$78*'Plan mensual'!D124</f>
        <v>124.147372761749</v>
      </c>
      <c r="C104" s="25" t="n">
        <f aca="false">parametros_recargas!$E$78*'Plan mensual'!E117+parametros_recargas!$F$78*'Plan mensual'!E118+parametros_recargas!$G$78*'Plan mensual'!E119+parametros_recargas!$H$78*'Plan mensual'!E120+parametros_recargas!$I$78*'Plan mensual'!E121+parametros_recargas!$J$78*'Plan mensual'!E122+parametros_recargas!$K$78*'Plan mensual'!E123+parametros_recargas!$L$78*'Plan mensual'!E124</f>
        <v>128.197237222688</v>
      </c>
      <c r="D104" s="25" t="n">
        <f aca="false">parametros_recargas!$E$78*'Plan mensual'!F117+parametros_recargas!$F$78*'Plan mensual'!F118+parametros_recargas!$G$78*'Plan mensual'!F119+parametros_recargas!$H$78*'Plan mensual'!F120+parametros_recargas!$I$78*'Plan mensual'!F121+parametros_recargas!$J$78*'Plan mensual'!F122+parametros_recargas!$K$78*'Plan mensual'!F123+parametros_recargas!$L$78*'Plan mensual'!F124</f>
        <v>132.379681256994</v>
      </c>
      <c r="E104" s="25" t="n">
        <f aca="false">parametros_recargas!$E$78*'Plan mensual'!G117+parametros_recargas!$F$78*'Plan mensual'!G118+parametros_recargas!$G$78*'Plan mensual'!G119+parametros_recargas!$H$78*'Plan mensual'!G120+parametros_recargas!$I$78*'Plan mensual'!G121+parametros_recargas!$J$78*'Plan mensual'!G122+parametros_recargas!$K$78*'Plan mensual'!G123+parametros_recargas!$L$78*'Plan mensual'!G124</f>
        <v>136.699045094677</v>
      </c>
      <c r="F104" s="25" t="n">
        <f aca="false">parametros_recargas!$E$78*'Plan mensual'!H117+parametros_recargas!$F$78*'Plan mensual'!H118+parametros_recargas!$G$78*'Plan mensual'!H119+parametros_recargas!$H$78*'Plan mensual'!H120+parametros_recargas!$I$78*'Plan mensual'!H121+parametros_recargas!$J$78*'Plan mensual'!H122+parametros_recargas!$K$78*'Plan mensual'!H123+parametros_recargas!$L$78*'Plan mensual'!H124</f>
        <v>141.159811050959</v>
      </c>
      <c r="G104" s="25" t="n">
        <f aca="false">parametros_recargas!$E$78*'Plan mensual'!I117+parametros_recargas!$F$78*'Plan mensual'!I118+parametros_recargas!$G$78*'Plan mensual'!I119+parametros_recargas!$H$78*'Plan mensual'!I120+parametros_recargas!$I$78*'Plan mensual'!I121+parametros_recargas!$J$78*'Plan mensual'!I122+parametros_recargas!$K$78*'Plan mensual'!I123+parametros_recargas!$L$78*'Plan mensual'!I124</f>
        <v>145.766608177685</v>
      </c>
      <c r="H104" s="25" t="n">
        <f aca="false">parametros_recargas!$E$78*'Plan mensual'!J117+parametros_recargas!$F$78*'Plan mensual'!J118+parametros_recargas!$G$78*'Plan mensual'!J119+parametros_recargas!$H$78*'Plan mensual'!J120+parametros_recargas!$I$78*'Plan mensual'!J121+parametros_recargas!$J$78*'Plan mensual'!J122+parametros_recargas!$K$78*'Plan mensual'!J123+parametros_recargas!$L$78*'Plan mensual'!J124</f>
        <v>150.524217067012</v>
      </c>
      <c r="I104" s="25" t="n">
        <f aca="false">parametros_recargas!$E$78*'Plan mensual'!K117+parametros_recargas!$F$78*'Plan mensual'!K118+parametros_recargas!$G$78*'Plan mensual'!K119+parametros_recargas!$H$78*'Plan mensual'!K120+parametros_recargas!$I$78*'Plan mensual'!K121+parametros_recargas!$J$78*'Plan mensual'!K122+parametros_recargas!$K$78*'Plan mensual'!K123+parametros_recargas!$L$78*'Plan mensual'!K124</f>
        <v>155.43757481235</v>
      </c>
      <c r="J104" s="25" t="n">
        <f aca="false">parametros_recargas!$E$78*'Plan mensual'!L117+parametros_recargas!$F$78*'Plan mensual'!L118+parametros_recargas!$G$78*'Plan mensual'!L119+parametros_recargas!$H$78*'Plan mensual'!L120+parametros_recargas!$I$78*'Plan mensual'!L121+parametros_recargas!$J$78*'Plan mensual'!L122+parametros_recargas!$K$78*'Plan mensual'!L123+parametros_recargas!$L$78*'Plan mensual'!L124</f>
        <v>160.511780131714</v>
      </c>
      <c r="K104" s="25" t="n">
        <f aca="false">parametros_recargas!$E$78*'Plan mensual'!M117+parametros_recargas!$F$78*'Plan mensual'!M118+parametros_recargas!$G$78*'Plan mensual'!M119+parametros_recargas!$H$78*'Plan mensual'!M120+parametros_recargas!$I$78*'Plan mensual'!M121+parametros_recargas!$J$78*'Plan mensual'!M122+parametros_recargas!$K$78*'Plan mensual'!M123+parametros_recargas!$L$78*'Plan mensual'!M124</f>
        <v>165.752098658792</v>
      </c>
      <c r="L104" s="25" t="n">
        <f aca="false">parametros_recargas!$E$78*'Plan mensual'!N117+parametros_recargas!$F$78*'Plan mensual'!N118+parametros_recargas!$G$78*'Plan mensual'!N119+parametros_recargas!$H$78*'Plan mensual'!N120+parametros_recargas!$I$78*'Plan mensual'!N121+parametros_recargas!$J$78*'Plan mensual'!N122+parametros_recargas!$K$78*'Plan mensual'!N123+parametros_recargas!$L$78*'Plan mensual'!N124</f>
        <v>171.163968407231</v>
      </c>
      <c r="M104" s="25" t="n">
        <f aca="false">parametros_recargas!$E$78*'Plan mensual'!O117+parametros_recargas!$F$78*'Plan mensual'!O118+parametros_recargas!$G$78*'Plan mensual'!O119+parametros_recargas!$H$78*'Plan mensual'!O120+parametros_recargas!$I$78*'Plan mensual'!O121+parametros_recargas!$J$78*'Plan mensual'!O122+parametros_recargas!$K$78*'Plan mensual'!O123+parametros_recargas!$L$78*'Plan mensual'!O124</f>
        <v>176.753005413806</v>
      </c>
      <c r="N104" s="7" t="n">
        <f aca="false">SUM(B104:M104)</f>
        <v>1788.49240005566</v>
      </c>
      <c r="O104" s="26" t="n">
        <f aca="false">MAX(B104:M104)</f>
        <v>176.753005413806</v>
      </c>
      <c r="P104" s="15" t="n">
        <f aca="false">O104/parametros_recargas!$B$6</f>
        <v>1.17835336942538</v>
      </c>
    </row>
    <row r="105" customFormat="false" ht="15" hidden="false" customHeight="false" outlineLevel="0" collapsed="false">
      <c r="A105" s="12" t="str">
        <f aca="false">parametros_recargas!$B$79</f>
        <v>Recuperación de halogenado</v>
      </c>
      <c r="B105" s="25" t="n">
        <f aca="false">parametros_recargas!$E$79*'Plan mensual'!D117+parametros_recargas!$F$79*'Plan mensual'!D118+parametros_recargas!$G$79*'Plan mensual'!D119+parametros_recargas!$H$79*'Plan mensual'!D120+parametros_recargas!$I$79*'Plan mensual'!D121+parametros_recargas!$J$79*'Plan mensual'!D122+parametros_recargas!$K$79*'Plan mensual'!D123+parametros_recargas!$L$79*'Plan mensual'!D124</f>
        <v>4.96742041009541</v>
      </c>
      <c r="C105" s="25" t="n">
        <f aca="false">parametros_recargas!$E$79*'Plan mensual'!E117+parametros_recargas!$F$79*'Plan mensual'!E118+parametros_recargas!$G$79*'Plan mensual'!E119+parametros_recargas!$H$79*'Plan mensual'!E120+parametros_recargas!$I$79*'Plan mensual'!E121+parametros_recargas!$J$79*'Plan mensual'!E122+parametros_recargas!$K$79*'Plan mensual'!E123+parametros_recargas!$L$79*'Plan mensual'!E124</f>
        <v>5.12935580585562</v>
      </c>
      <c r="D105" s="25" t="n">
        <f aca="false">parametros_recargas!$E$79*'Plan mensual'!F117+parametros_recargas!$F$79*'Plan mensual'!F118+parametros_recargas!$G$79*'Plan mensual'!F119+parametros_recargas!$H$79*'Plan mensual'!F120+parametros_recargas!$I$79*'Plan mensual'!F121+parametros_recargas!$J$79*'Plan mensual'!F122+parametros_recargas!$K$79*'Plan mensual'!F123+parametros_recargas!$L$79*'Plan mensual'!F124</f>
        <v>5.29659244709945</v>
      </c>
      <c r="E105" s="25" t="n">
        <f aca="false">parametros_recargas!$E$79*'Plan mensual'!G117+parametros_recargas!$F$79*'Plan mensual'!G118+parametros_recargas!$G$79*'Plan mensual'!G119+parametros_recargas!$H$79*'Plan mensual'!G120+parametros_recargas!$I$79*'Plan mensual'!G121+parametros_recargas!$J$79*'Plan mensual'!G122+parametros_recargas!$K$79*'Plan mensual'!G123+parametros_recargas!$L$79*'Plan mensual'!G124</f>
        <v>5.46930387960141</v>
      </c>
      <c r="F105" s="25" t="n">
        <f aca="false">parametros_recargas!$E$79*'Plan mensual'!H117+parametros_recargas!$F$79*'Plan mensual'!H118+parametros_recargas!$G$79*'Plan mensual'!H119+parametros_recargas!$H$79*'Plan mensual'!H120+parametros_recargas!$I$79*'Plan mensual'!H121+parametros_recargas!$J$79*'Plan mensual'!H122+parametros_recargas!$K$79*'Plan mensual'!H123+parametros_recargas!$L$79*'Plan mensual'!H124</f>
        <v>5.64766933046806</v>
      </c>
      <c r="G105" s="25" t="n">
        <f aca="false">parametros_recargas!$E$79*'Plan mensual'!I117+parametros_recargas!$F$79*'Plan mensual'!I118+parametros_recargas!$G$79*'Plan mensual'!I119+parametros_recargas!$H$79*'Plan mensual'!I120+parametros_recargas!$I$79*'Plan mensual'!I121+parametros_recargas!$J$79*'Plan mensual'!I122+parametros_recargas!$K$79*'Plan mensual'!I123+parametros_recargas!$L$79*'Plan mensual'!I124</f>
        <v>5.83187389412658</v>
      </c>
      <c r="H105" s="25" t="n">
        <f aca="false">parametros_recargas!$E$79*'Plan mensual'!J117+parametros_recargas!$F$79*'Plan mensual'!J118+parametros_recargas!$G$79*'Plan mensual'!J119+parametros_recargas!$H$79*'Plan mensual'!J120+parametros_recargas!$I$79*'Plan mensual'!J121+parametros_recargas!$J$79*'Plan mensual'!J122+parametros_recargas!$K$79*'Plan mensual'!J123+parametros_recargas!$L$79*'Plan mensual'!J124</f>
        <v>6.02210872440206</v>
      </c>
      <c r="I105" s="25" t="n">
        <f aca="false">parametros_recargas!$E$79*'Plan mensual'!K117+parametros_recargas!$F$79*'Plan mensual'!K118+parametros_recargas!$G$79*'Plan mensual'!K119+parametros_recargas!$H$79*'Plan mensual'!K120+parametros_recargas!$I$79*'Plan mensual'!K121+parametros_recargas!$J$79*'Plan mensual'!K122+parametros_recargas!$K$79*'Plan mensual'!K123+parametros_recargas!$L$79*'Plan mensual'!K124</f>
        <v>6.21857123288273</v>
      </c>
      <c r="J105" s="25" t="n">
        <f aca="false">parametros_recargas!$E$79*'Plan mensual'!L117+parametros_recargas!$F$79*'Plan mensual'!L118+parametros_recargas!$G$79*'Plan mensual'!L119+parametros_recargas!$H$79*'Plan mensual'!L120+parametros_recargas!$I$79*'Plan mensual'!L121+parametros_recargas!$J$79*'Plan mensual'!L122+parametros_recargas!$K$79*'Plan mensual'!L123+parametros_recargas!$L$79*'Plan mensual'!L124</f>
        <v>6.42146529377907</v>
      </c>
      <c r="K105" s="25" t="n">
        <f aca="false">parametros_recargas!$E$79*'Plan mensual'!M117+parametros_recargas!$F$79*'Plan mensual'!M118+parametros_recargas!$G$79*'Plan mensual'!M119+parametros_recargas!$H$79*'Plan mensual'!M120+parametros_recargas!$I$79*'Plan mensual'!M121+parametros_recargas!$J$79*'Plan mensual'!M122+parametros_recargas!$K$79*'Plan mensual'!M123+parametros_recargas!$L$79*'Plan mensual'!M124</f>
        <v>6.63100145548932</v>
      </c>
      <c r="L105" s="25" t="n">
        <f aca="false">parametros_recargas!$E$79*'Plan mensual'!N117+parametros_recargas!$F$79*'Plan mensual'!N118+parametros_recargas!$G$79*'Plan mensual'!N119+parametros_recargas!$H$79*'Plan mensual'!N120+parametros_recargas!$I$79*'Plan mensual'!N121+parametros_recargas!$J$79*'Plan mensual'!N122+parametros_recargas!$K$79*'Plan mensual'!N123+parametros_recargas!$L$79*'Plan mensual'!N124</f>
        <v>6.84739715909099</v>
      </c>
      <c r="M105" s="25" t="n">
        <f aca="false">parametros_recargas!$E$79*'Plan mensual'!O117+parametros_recargas!$F$79*'Plan mensual'!O118+parametros_recargas!$G$79*'Plan mensual'!O119+parametros_recargas!$H$79*'Plan mensual'!O120+parametros_recargas!$I$79*'Plan mensual'!O121+parametros_recargas!$J$79*'Plan mensual'!O122+parametros_recargas!$K$79*'Plan mensual'!O123+parametros_recargas!$L$79*'Plan mensual'!O124</f>
        <v>7.07087696398509</v>
      </c>
      <c r="N105" s="7" t="n">
        <f aca="false">SUM(B105:M105)</f>
        <v>71.5536365968758</v>
      </c>
      <c r="O105" s="26" t="n">
        <f aca="false">MAX(B105:M105)</f>
        <v>7.07087696398509</v>
      </c>
      <c r="P105" s="15" t="n">
        <f aca="false">O105/parametros_recargas!$B$6</f>
        <v>0.0471391797599006</v>
      </c>
    </row>
    <row r="106" customFormat="false" ht="15" hidden="false" customHeight="false" outlineLevel="0" collapsed="false">
      <c r="A106" s="12" t="str">
        <f aca="false">parametros_recargas!$B$80</f>
        <v>Desarme y limpieza — recinto</v>
      </c>
      <c r="B106" s="25" t="n">
        <f aca="false">parametros_recargas!$E$80*'Plan mensual'!D117+parametros_recargas!$F$80*'Plan mensual'!D118+parametros_recargas!$G$80*'Plan mensual'!D119+parametros_recargas!$H$80*'Plan mensual'!D120+parametros_recargas!$I$80*'Plan mensual'!D121+parametros_recargas!$J$80*'Plan mensual'!D122+parametros_recargas!$K$80*'Plan mensual'!D123+parametros_recargas!$L$80*'Plan mensual'!D124</f>
        <v>5014.49920928822</v>
      </c>
      <c r="C106" s="25" t="n">
        <f aca="false">parametros_recargas!$E$80*'Plan mensual'!E117+parametros_recargas!$F$80*'Plan mensual'!E118+parametros_recargas!$G$80*'Plan mensual'!E119+parametros_recargas!$H$80*'Plan mensual'!E120+parametros_recargas!$I$80*'Plan mensual'!E121+parametros_recargas!$J$80*'Plan mensual'!E122+parametros_recargas!$K$80*'Plan mensual'!E123+parametros_recargas!$L$80*'Plan mensual'!E124</f>
        <v>5178.38775191365</v>
      </c>
      <c r="D106" s="25" t="n">
        <f aca="false">parametros_recargas!$E$80*'Plan mensual'!F117+parametros_recargas!$F$80*'Plan mensual'!F118+parametros_recargas!$G$80*'Plan mensual'!F119+parametros_recargas!$H$80*'Plan mensual'!F120+parametros_recargas!$I$80*'Plan mensual'!F121+parametros_recargas!$J$80*'Plan mensual'!F122+parametros_recargas!$K$80*'Plan mensual'!F123+parametros_recargas!$L$80*'Plan mensual'!F124</f>
        <v>5347.64147978677</v>
      </c>
      <c r="E106" s="25" t="n">
        <f aca="false">parametros_recargas!$E$80*'Plan mensual'!G117+parametros_recargas!$F$80*'Plan mensual'!G118+parametros_recargas!$G$80*'Plan mensual'!G119+parametros_recargas!$H$80*'Plan mensual'!G120+parametros_recargas!$I$80*'Plan mensual'!G121+parametros_recargas!$J$80*'Plan mensual'!G122+parametros_recargas!$K$80*'Plan mensual'!G123+parametros_recargas!$L$80*'Plan mensual'!G124</f>
        <v>5522.43603186488</v>
      </c>
      <c r="F106" s="25" t="n">
        <f aca="false">parametros_recargas!$E$80*'Plan mensual'!H117+parametros_recargas!$F$80*'Plan mensual'!H118+parametros_recargas!$G$80*'Plan mensual'!H119+parametros_recargas!$H$80*'Plan mensual'!H120+parametros_recargas!$I$80*'Plan mensual'!H121+parametros_recargas!$J$80*'Plan mensual'!H122+parametros_recargas!$K$80*'Plan mensual'!H123+parametros_recargas!$L$80*'Plan mensual'!H124</f>
        <v>5702.95279696143</v>
      </c>
      <c r="G106" s="25" t="n">
        <f aca="false">parametros_recargas!$E$80*'Plan mensual'!I117+parametros_recargas!$F$80*'Plan mensual'!I118+parametros_recargas!$G$80*'Plan mensual'!I119+parametros_recargas!$H$80*'Plan mensual'!I120+parametros_recargas!$I$80*'Plan mensual'!I121+parametros_recargas!$J$80*'Plan mensual'!I122+parametros_recargas!$K$80*'Plan mensual'!I123+parametros_recargas!$L$80*'Plan mensual'!I124</f>
        <v>5889.37910197785</v>
      </c>
      <c r="H106" s="25" t="n">
        <f aca="false">parametros_recargas!$E$80*'Plan mensual'!J117+parametros_recargas!$F$80*'Plan mensual'!J118+parametros_recargas!$G$80*'Plan mensual'!J119+parametros_recargas!$H$80*'Plan mensual'!J120+parametros_recargas!$I$80*'Plan mensual'!J121+parametros_recargas!$J$80*'Plan mensual'!J122+parametros_recargas!$K$80*'Plan mensual'!J123+parametros_recargas!$L$80*'Plan mensual'!J124</f>
        <v>6081.90840629752</v>
      </c>
      <c r="I106" s="25" t="n">
        <f aca="false">parametros_recargas!$E$80*'Plan mensual'!K117+parametros_recargas!$F$80*'Plan mensual'!K118+parametros_recargas!$G$80*'Plan mensual'!K119+parametros_recargas!$H$80*'Plan mensual'!K120+parametros_recargas!$I$80*'Plan mensual'!K121+parametros_recargas!$J$80*'Plan mensual'!K122+parametros_recargas!$K$80*'Plan mensual'!K123+parametros_recargas!$L$80*'Plan mensual'!K124</f>
        <v>6280.74050254356</v>
      </c>
      <c r="J106" s="25" t="n">
        <f aca="false">parametros_recargas!$E$80*'Plan mensual'!L117+parametros_recargas!$F$80*'Plan mensual'!L118+parametros_recargas!$G$80*'Plan mensual'!L119+parametros_recargas!$H$80*'Plan mensual'!L120+parametros_recargas!$I$80*'Plan mensual'!L121+parametros_recargas!$J$80*'Plan mensual'!L122+parametros_recargas!$K$80*'Plan mensual'!L123+parametros_recargas!$L$80*'Plan mensual'!L124</f>
        <v>6486.08172390875</v>
      </c>
      <c r="K106" s="25" t="n">
        <f aca="false">parametros_recargas!$E$80*'Plan mensual'!M117+parametros_recargas!$F$80*'Plan mensual'!M118+parametros_recargas!$G$80*'Plan mensual'!M119+parametros_recargas!$H$80*'Plan mensual'!M120+parametros_recargas!$I$80*'Plan mensual'!M121+parametros_recargas!$J$80*'Plan mensual'!M122+parametros_recargas!$K$80*'Plan mensual'!M123+parametros_recargas!$L$80*'Plan mensual'!M124</f>
        <v>6698.14515827284</v>
      </c>
      <c r="L106" s="25" t="n">
        <f aca="false">parametros_recargas!$E$80*'Plan mensual'!N117+parametros_recargas!$F$80*'Plan mensual'!N118+parametros_recargas!$G$80*'Plan mensual'!N119+parametros_recargas!$H$80*'Plan mensual'!N120+parametros_recargas!$I$80*'Plan mensual'!N121+parametros_recargas!$J$80*'Plan mensual'!N122+parametros_recargas!$K$80*'Plan mensual'!N123+parametros_recargas!$L$80*'Plan mensual'!N124</f>
        <v>6917.15086932936</v>
      </c>
      <c r="M106" s="25" t="n">
        <f aca="false">parametros_recargas!$E$80*'Plan mensual'!O117+parametros_recargas!$F$80*'Plan mensual'!O118+parametros_recargas!$G$80*'Plan mensual'!O119+parametros_recargas!$H$80*'Plan mensual'!O120+parametros_recargas!$I$80*'Plan mensual'!O121+parametros_recargas!$J$80*'Plan mensual'!O122+parametros_recargas!$K$80*'Plan mensual'!O123+parametros_recargas!$L$80*'Plan mensual'!O124</f>
        <v>7143.32612495132</v>
      </c>
      <c r="N106" s="7" t="n">
        <f aca="false">SUM(B106:M106)</f>
        <v>72262.6491570961</v>
      </c>
      <c r="O106" s="26" t="n">
        <f aca="false">MAX(B106:M106)</f>
        <v>7143.32612495132</v>
      </c>
      <c r="P106" s="15" t="n">
        <f aca="false">O106/parametros_recargas!$B$6</f>
        <v>47.6221741663421</v>
      </c>
    </row>
    <row r="107" customFormat="false" ht="15" hidden="false" customHeight="false" outlineLevel="0" collapsed="false">
      <c r="A107" s="12" t="str">
        <f aca="false">parametros_recargas!$B$81</f>
        <v>Desarme e inspección interior — zona general</v>
      </c>
      <c r="B107" s="25" t="n">
        <f aca="false">parametros_recargas!$E$81*'Plan mensual'!D117+parametros_recargas!$F$81*'Plan mensual'!D118+parametros_recargas!$G$81*'Plan mensual'!D119+parametros_recargas!$H$81*'Plan mensual'!D120+parametros_recargas!$I$81*'Plan mensual'!D121+parametros_recargas!$J$81*'Plan mensual'!D122+parametros_recargas!$K$81*'Plan mensual'!D123+parametros_recargas!$L$81*'Plan mensual'!D124</f>
        <v>401.698544957249</v>
      </c>
      <c r="C107" s="25" t="n">
        <f aca="false">parametros_recargas!$E$81*'Plan mensual'!E117+parametros_recargas!$F$81*'Plan mensual'!E118+parametros_recargas!$G$81*'Plan mensual'!E119+parametros_recargas!$H$81*'Plan mensual'!E120+parametros_recargas!$I$81*'Plan mensual'!E121+parametros_recargas!$J$81*'Plan mensual'!E122+parametros_recargas!$K$81*'Plan mensual'!E123+parametros_recargas!$L$81*'Plan mensual'!E124</f>
        <v>414.795669667778</v>
      </c>
      <c r="D107" s="25" t="n">
        <f aca="false">parametros_recargas!$E$81*'Plan mensual'!F117+parametros_recargas!$F$81*'Plan mensual'!F118+parametros_recargas!$G$81*'Plan mensual'!F119+parametros_recargas!$H$81*'Plan mensual'!F120+parametros_recargas!$I$81*'Plan mensual'!F121+parametros_recargas!$J$81*'Plan mensual'!F122+parametros_recargas!$K$81*'Plan mensual'!F123+parametros_recargas!$L$81*'Plan mensual'!F124</f>
        <v>428.321552235069</v>
      </c>
      <c r="E107" s="25" t="n">
        <f aca="false">parametros_recargas!$E$81*'Plan mensual'!G117+parametros_recargas!$F$81*'Plan mensual'!G118+parametros_recargas!$G$81*'Plan mensual'!G119+parametros_recargas!$H$81*'Plan mensual'!G120+parametros_recargas!$I$81*'Plan mensual'!G121+parametros_recargas!$J$81*'Plan mensual'!G122+parametros_recargas!$K$81*'Plan mensual'!G123+parametros_recargas!$L$81*'Plan mensual'!G124</f>
        <v>442.290228816202</v>
      </c>
      <c r="F107" s="25" t="n">
        <f aca="false">parametros_recargas!$E$81*'Plan mensual'!H117+parametros_recargas!$F$81*'Plan mensual'!H118+parametros_recargas!$G$81*'Plan mensual'!H119+parametros_recargas!$H$81*'Plan mensual'!H120+parametros_recargas!$I$81*'Plan mensual'!H121+parametros_recargas!$J$81*'Plan mensual'!H122+parametros_recargas!$K$81*'Plan mensual'!H123+parametros_recargas!$L$81*'Plan mensual'!H124</f>
        <v>456.716195067023</v>
      </c>
      <c r="G107" s="25" t="n">
        <f aca="false">parametros_recargas!$E$81*'Plan mensual'!I117+parametros_recargas!$F$81*'Plan mensual'!I118+parametros_recargas!$G$81*'Plan mensual'!I119+parametros_recargas!$H$81*'Plan mensual'!I120+parametros_recargas!$I$81*'Plan mensual'!I121+parametros_recargas!$J$81*'Plan mensual'!I122+parametros_recargas!$K$81*'Plan mensual'!I123+parametros_recargas!$L$81*'Plan mensual'!I124</f>
        <v>471.614421184657</v>
      </c>
      <c r="H107" s="25" t="n">
        <f aca="false">parametros_recargas!$E$81*'Plan mensual'!J117+parametros_recargas!$F$81*'Plan mensual'!J118+parametros_recargas!$G$81*'Plan mensual'!J119+parametros_recargas!$H$81*'Plan mensual'!J120+parametros_recargas!$I$81*'Plan mensual'!J121+parametros_recargas!$J$81*'Plan mensual'!J122+parametros_recargas!$K$81*'Plan mensual'!J123+parametros_recargas!$L$81*'Plan mensual'!J124</f>
        <v>487.00036744247</v>
      </c>
      <c r="I107" s="25" t="n">
        <f aca="false">parametros_recargas!$E$81*'Plan mensual'!K117+parametros_recargas!$F$81*'Plan mensual'!K118+parametros_recargas!$G$81*'Plan mensual'!K119+parametros_recargas!$H$81*'Plan mensual'!K120+parametros_recargas!$I$81*'Plan mensual'!K121+parametros_recargas!$J$81*'Plan mensual'!K122+parametros_recargas!$K$81*'Plan mensual'!K123+parametros_recargas!$L$81*'Plan mensual'!K124</f>
        <v>502.890000233591</v>
      </c>
      <c r="J107" s="25" t="n">
        <f aca="false">parametros_recargas!$E$81*'Plan mensual'!L117+parametros_recargas!$F$81*'Plan mensual'!L118+parametros_recargas!$G$81*'Plan mensual'!L119+parametros_recargas!$H$81*'Plan mensual'!L120+parametros_recargas!$I$81*'Plan mensual'!L121+parametros_recargas!$J$81*'Plan mensual'!L122+parametros_recargas!$K$81*'Plan mensual'!L123+parametros_recargas!$L$81*'Plan mensual'!L124</f>
        <v>519.299808639654</v>
      </c>
      <c r="K107" s="25" t="n">
        <f aca="false">parametros_recargas!$E$81*'Plan mensual'!M117+parametros_recargas!$F$81*'Plan mensual'!M118+parametros_recargas!$G$81*'Plan mensual'!M119+parametros_recargas!$H$81*'Plan mensual'!M120+parametros_recargas!$I$81*'Plan mensual'!M121+parametros_recargas!$J$81*'Plan mensual'!M122+parametros_recargas!$K$81*'Plan mensual'!M123+parametros_recargas!$L$81*'Plan mensual'!M124</f>
        <v>536.246821541937</v>
      </c>
      <c r="L107" s="25" t="n">
        <f aca="false">parametros_recargas!$E$81*'Plan mensual'!N117+parametros_recargas!$F$81*'Plan mensual'!N118+parametros_recargas!$G$81*'Plan mensual'!N119+parametros_recargas!$H$81*'Plan mensual'!N120+parametros_recargas!$I$81*'Plan mensual'!N121+parametros_recargas!$J$81*'Plan mensual'!N122+parametros_recargas!$K$81*'Plan mensual'!N123+parametros_recargas!$L$81*'Plan mensual'!N124</f>
        <v>553.748625292678</v>
      </c>
      <c r="M107" s="25" t="n">
        <f aca="false">parametros_recargas!$E$81*'Plan mensual'!O117+parametros_recargas!$F$81*'Plan mensual'!O118+parametros_recargas!$G$81*'Plan mensual'!O119+parametros_recargas!$H$81*'Plan mensual'!O120+parametros_recargas!$I$81*'Plan mensual'!O121+parametros_recargas!$J$81*'Plan mensual'!O122+parametros_recargas!$K$81*'Plan mensual'!O123+parametros_recargas!$L$81*'Plan mensual'!O124</f>
        <v>571.82338196488</v>
      </c>
      <c r="N107" s="7" t="n">
        <f aca="false">SUM(B107:M107)</f>
        <v>5786.44561704319</v>
      </c>
      <c r="O107" s="26" t="n">
        <f aca="false">MAX(B107:M107)</f>
        <v>571.82338196488</v>
      </c>
      <c r="P107" s="15" t="n">
        <f aca="false">O107/parametros_recargas!$B$6</f>
        <v>3.81215587976586</v>
      </c>
    </row>
    <row r="108" customFormat="false" ht="15" hidden="false" customHeight="false" outlineLevel="0" collapsed="false">
      <c r="A108" s="12" t="str">
        <f aca="false">parametros_recargas!$B$82</f>
        <v>Laboratorio — Puffer y mufla</v>
      </c>
      <c r="B108" s="25" t="n">
        <f aca="false">parametros_recargas!$E$82*'Plan mensual'!D117+parametros_recargas!$F$82*'Plan mensual'!D118+parametros_recargas!$G$82*'Plan mensual'!D119+parametros_recargas!$H$82*'Plan mensual'!D120+parametros_recargas!$I$82*'Plan mensual'!D121+parametros_recargas!$J$82*'Plan mensual'!D122+parametros_recargas!$K$82*'Plan mensual'!D123+parametros_recargas!$L$82*'Plan mensual'!D124</f>
        <v>5.0070942106908</v>
      </c>
      <c r="C108" s="25" t="n">
        <f aca="false">parametros_recargas!$E$82*'Plan mensual'!E117+parametros_recargas!$F$82*'Plan mensual'!E118+parametros_recargas!$G$82*'Plan mensual'!E119+parametros_recargas!$H$82*'Plan mensual'!E120+parametros_recargas!$I$82*'Plan mensual'!E121+parametros_recargas!$J$82*'Plan mensual'!E122+parametros_recargas!$K$82*'Plan mensual'!E123+parametros_recargas!$L$82*'Plan mensual'!E124</f>
        <v>5.17074306547818</v>
      </c>
      <c r="D108" s="25" t="n">
        <f aca="false">parametros_recargas!$E$82*'Plan mensual'!F117+parametros_recargas!$F$82*'Plan mensual'!F118+parametros_recargas!$G$82*'Plan mensual'!F119+parametros_recargas!$H$82*'Plan mensual'!F120+parametros_recargas!$I$82*'Plan mensual'!F121+parametros_recargas!$J$82*'Plan mensual'!F122+parametros_recargas!$K$82*'Plan mensual'!F123+parametros_recargas!$L$82*'Plan mensual'!F124</f>
        <v>5.33974925890217</v>
      </c>
      <c r="E108" s="25" t="n">
        <f aca="false">parametros_recargas!$E$82*'Plan mensual'!G117+parametros_recargas!$F$82*'Plan mensual'!G118+parametros_recargas!$G$82*'Plan mensual'!G119+parametros_recargas!$H$82*'Plan mensual'!G120+parametros_recargas!$I$82*'Plan mensual'!G121+parametros_recargas!$J$82*'Plan mensual'!G122+parametros_recargas!$K$82*'Plan mensual'!G123+parametros_recargas!$L$82*'Plan mensual'!G124</f>
        <v>5.51428817304721</v>
      </c>
      <c r="F108" s="25" t="n">
        <f aca="false">parametros_recargas!$E$82*'Plan mensual'!H117+parametros_recargas!$F$82*'Plan mensual'!H118+parametros_recargas!$G$82*'Plan mensual'!H119+parametros_recargas!$H$82*'Plan mensual'!H120+parametros_recargas!$I$82*'Plan mensual'!H121+parametros_recargas!$J$82*'Plan mensual'!H122+parametros_recargas!$K$82*'Plan mensual'!H123+parametros_recargas!$L$82*'Plan mensual'!H124</f>
        <v>5.69454093144466</v>
      </c>
      <c r="G108" s="25" t="n">
        <f aca="false">parametros_recargas!$E$82*'Plan mensual'!I117+parametros_recargas!$F$82*'Plan mensual'!I118+parametros_recargas!$G$82*'Plan mensual'!I119+parametros_recargas!$H$82*'Plan mensual'!I120+parametros_recargas!$I$82*'Plan mensual'!I121+parametros_recargas!$J$82*'Plan mensual'!I122+parametros_recargas!$K$82*'Plan mensual'!I123+parametros_recargas!$L$82*'Plan mensual'!I124</f>
        <v>5.88069458702941</v>
      </c>
      <c r="H108" s="25" t="n">
        <f aca="false">parametros_recargas!$E$82*'Plan mensual'!J117+parametros_recargas!$F$82*'Plan mensual'!J118+parametros_recargas!$G$82*'Plan mensual'!J119+parametros_recargas!$H$82*'Plan mensual'!J120+parametros_recargas!$I$82*'Plan mensual'!J121+parametros_recargas!$J$82*'Plan mensual'!J122+parametros_recargas!$K$82*'Plan mensual'!J123+parametros_recargas!$L$82*'Plan mensual'!J124</f>
        <v>6.07294231624948</v>
      </c>
      <c r="I108" s="25" t="n">
        <f aca="false">parametros_recargas!$E$82*'Plan mensual'!K117+parametros_recargas!$F$82*'Plan mensual'!K118+parametros_recargas!$G$82*'Plan mensual'!K119+parametros_recargas!$H$82*'Plan mensual'!K120+parametros_recargas!$I$82*'Plan mensual'!K121+parametros_recargas!$J$82*'Plan mensual'!K122+parametros_recargas!$K$82*'Plan mensual'!K123+parametros_recargas!$L$82*'Plan mensual'!K124</f>
        <v>6.27148361953024</v>
      </c>
      <c r="J108" s="25" t="n">
        <f aca="false">parametros_recargas!$E$82*'Plan mensual'!L117+parametros_recargas!$F$82*'Plan mensual'!L118+parametros_recargas!$G$82*'Plan mensual'!L119+parametros_recargas!$H$82*'Plan mensual'!L120+parametros_recargas!$I$82*'Plan mensual'!L121+parametros_recargas!$J$82*'Plan mensual'!L122+parametros_recargas!$K$82*'Plan mensual'!L123+parametros_recargas!$L$82*'Plan mensual'!L124</f>
        <v>6.47652452830112</v>
      </c>
      <c r="K108" s="25" t="n">
        <f aca="false">parametros_recargas!$E$82*'Plan mensual'!M117+parametros_recargas!$F$82*'Plan mensual'!M118+parametros_recargas!$G$82*'Plan mensual'!M119+parametros_recargas!$H$82*'Plan mensual'!M120+parametros_recargas!$I$82*'Plan mensual'!M121+parametros_recargas!$J$82*'Plan mensual'!M122+parametros_recargas!$K$82*'Plan mensual'!M123+parametros_recargas!$L$82*'Plan mensual'!M124</f>
        <v>6.68827781879977</v>
      </c>
      <c r="L108" s="25" t="n">
        <f aca="false">parametros_recargas!$E$82*'Plan mensual'!N117+parametros_recargas!$F$82*'Plan mensual'!N118+parametros_recargas!$G$82*'Plan mensual'!N119+parametros_recargas!$H$82*'Plan mensual'!N120+parametros_recargas!$I$82*'Plan mensual'!N121+parametros_recargas!$J$82*'Plan mensual'!N122+parametros_recargas!$K$82*'Plan mensual'!N123+parametros_recargas!$L$82*'Plan mensual'!N124</f>
        <v>6.90696323287541</v>
      </c>
      <c r="M108" s="25" t="n">
        <f aca="false">parametros_recargas!$E$82*'Plan mensual'!O117+parametros_recargas!$F$82*'Plan mensual'!O118+parametros_recargas!$G$82*'Plan mensual'!O119+parametros_recargas!$H$82*'Plan mensual'!O120+parametros_recargas!$I$82*'Plan mensual'!O121+parametros_recargas!$J$82*'Plan mensual'!O122+parametros_recargas!$K$82*'Plan mensual'!O123+parametros_recargas!$L$82*'Plan mensual'!O124</f>
        <v>7.13280770602061</v>
      </c>
      <c r="N108" s="7" t="n">
        <f aca="false">SUM(B108:M108)</f>
        <v>72.1561094483691</v>
      </c>
      <c r="O108" s="26" t="n">
        <f aca="false">MAX(B108:M108)</f>
        <v>7.13280770602061</v>
      </c>
      <c r="P108" s="15" t="n">
        <f aca="false">O108/parametros_recargas!$B$6</f>
        <v>0.0475520513734707</v>
      </c>
    </row>
    <row r="109" customFormat="false" ht="15" hidden="false" customHeight="false" outlineLevel="0" collapsed="false">
      <c r="A109" s="12" t="str">
        <f aca="false">parametros_recargas!$B$83</f>
        <v>Prueba hidráulica</v>
      </c>
      <c r="B109" s="25" t="n">
        <f aca="false">parametros_recargas!$E$83*'Plan mensual'!D117+parametros_recargas!$F$83*'Plan mensual'!D118+parametros_recargas!$G$83*'Plan mensual'!D119+parametros_recargas!$H$83*'Plan mensual'!D120+parametros_recargas!$I$83*'Plan mensual'!D121+parametros_recargas!$J$83*'Plan mensual'!D122+parametros_recargas!$K$83*'Plan mensual'!D123+parametros_recargas!$L$83*'Plan mensual'!D124</f>
        <v>1242.48355228782</v>
      </c>
      <c r="C109" s="25" t="n">
        <f aca="false">parametros_recargas!$E$83*'Plan mensual'!E117+parametros_recargas!$F$83*'Plan mensual'!E118+parametros_recargas!$G$83*'Plan mensual'!E119+parametros_recargas!$H$83*'Plan mensual'!E120+parametros_recargas!$I$83*'Plan mensual'!E121+parametros_recargas!$J$83*'Plan mensual'!E122+parametros_recargas!$K$83*'Plan mensual'!E123+parametros_recargas!$L$83*'Plan mensual'!E124</f>
        <v>1283.07336312518</v>
      </c>
      <c r="D109" s="25" t="n">
        <f aca="false">parametros_recargas!$E$83*'Plan mensual'!F117+parametros_recargas!$F$83*'Plan mensual'!F118+parametros_recargas!$G$83*'Plan mensual'!F119+parametros_recargas!$H$83*'Plan mensual'!F120+parametros_recargas!$I$83*'Plan mensual'!F121+parametros_recargas!$J$83*'Plan mensual'!F122+parametros_recargas!$K$83*'Plan mensual'!F123+parametros_recargas!$L$83*'Plan mensual'!F124</f>
        <v>1324.99195418612</v>
      </c>
      <c r="E109" s="25" t="n">
        <f aca="false">parametros_recargas!$E$83*'Plan mensual'!G117+parametros_recargas!$F$83*'Plan mensual'!G118+parametros_recargas!$G$83*'Plan mensual'!G119+parametros_recargas!$H$83*'Plan mensual'!G120+parametros_recargas!$I$83*'Plan mensual'!G121+parametros_recargas!$J$83*'Plan mensual'!G122+parametros_recargas!$K$83*'Plan mensual'!G123+parametros_recargas!$L$83*'Plan mensual'!G124</f>
        <v>1368.28282547336</v>
      </c>
      <c r="F109" s="25" t="n">
        <f aca="false">parametros_recargas!$E$83*'Plan mensual'!H117+parametros_recargas!$F$83*'Plan mensual'!H118+parametros_recargas!$G$83*'Plan mensual'!H119+parametros_recargas!$H$83*'Plan mensual'!H120+parametros_recargas!$I$83*'Plan mensual'!H121+parametros_recargas!$J$83*'Plan mensual'!H122+parametros_recargas!$K$83*'Plan mensual'!H123+parametros_recargas!$L$83*'Plan mensual'!H124</f>
        <v>1412.99090104022</v>
      </c>
      <c r="G109" s="25" t="n">
        <f aca="false">parametros_recargas!$E$83*'Plan mensual'!I117+parametros_recargas!$F$83*'Plan mensual'!I118+parametros_recargas!$G$83*'Plan mensual'!I119+parametros_recargas!$H$83*'Plan mensual'!I120+parametros_recargas!$I$83*'Plan mensual'!I121+parametros_recargas!$J$83*'Plan mensual'!I122+parametros_recargas!$K$83*'Plan mensual'!I123+parametros_recargas!$L$83*'Plan mensual'!I124</f>
        <v>1459.16257560944</v>
      </c>
      <c r="H109" s="25" t="n">
        <f aca="false">parametros_recargas!$E$83*'Plan mensual'!J117+parametros_recargas!$F$83*'Plan mensual'!J118+parametros_recargas!$G$83*'Plan mensual'!J119+parametros_recargas!$H$83*'Plan mensual'!J120+parametros_recargas!$I$83*'Plan mensual'!J121+parametros_recargas!$J$83*'Plan mensual'!J122+parametros_recargas!$K$83*'Plan mensual'!J123+parametros_recargas!$L$83*'Plan mensual'!J124</f>
        <v>1506.84576271816</v>
      </c>
      <c r="I109" s="25" t="n">
        <f aca="false">parametros_recargas!$E$83*'Plan mensual'!K117+parametros_recargas!$F$83*'Plan mensual'!K118+parametros_recargas!$G$83*'Plan mensual'!K119+parametros_recargas!$H$83*'Plan mensual'!K120+parametros_recargas!$I$83*'Plan mensual'!K121+parametros_recargas!$J$83*'Plan mensual'!K122+parametros_recargas!$K$83*'Plan mensual'!K123+parametros_recargas!$L$83*'Plan mensual'!K124</f>
        <v>1556.08994443908</v>
      </c>
      <c r="J109" s="25" t="n">
        <f aca="false">parametros_recargas!$E$83*'Plan mensual'!L117+parametros_recargas!$F$83*'Plan mensual'!L118+parametros_recargas!$G$83*'Plan mensual'!L119+parametros_recargas!$H$83*'Plan mensual'!L120+parametros_recargas!$I$83*'Plan mensual'!L121+parametros_recargas!$J$83*'Plan mensual'!L122+parametros_recargas!$K$83*'Plan mensual'!L123+parametros_recargas!$L$83*'Plan mensual'!L124</f>
        <v>1606.94622272922</v>
      </c>
      <c r="K109" s="25" t="n">
        <f aca="false">parametros_recargas!$E$83*'Plan mensual'!M117+parametros_recargas!$F$83*'Plan mensual'!M118+parametros_recargas!$G$83*'Plan mensual'!M119+parametros_recargas!$H$83*'Plan mensual'!M120+parametros_recargas!$I$83*'Plan mensual'!M121+parametros_recargas!$J$83*'Plan mensual'!M122+parametros_recargas!$K$83*'Plan mensual'!M123+parametros_recargas!$L$83*'Plan mensual'!M124</f>
        <v>1659.46737245982</v>
      </c>
      <c r="L109" s="25" t="n">
        <f aca="false">parametros_recargas!$E$83*'Plan mensual'!N117+parametros_recargas!$F$83*'Plan mensual'!N118+parametros_recargas!$G$83*'Plan mensual'!N119+parametros_recargas!$H$83*'Plan mensual'!N120+parametros_recargas!$I$83*'Plan mensual'!N121+parametros_recargas!$J$83*'Plan mensual'!N122+parametros_recargas!$K$83*'Plan mensual'!N123+parametros_recargas!$L$83*'Plan mensual'!N124</f>
        <v>1713.70789618211</v>
      </c>
      <c r="M109" s="25" t="n">
        <f aca="false">parametros_recargas!$E$83*'Plan mensual'!O117+parametros_recargas!$F$83*'Plan mensual'!O118+parametros_recargas!$G$83*'Plan mensual'!O119+parametros_recargas!$H$83*'Plan mensual'!O120+parametros_recargas!$I$83*'Plan mensual'!O121+parametros_recargas!$J$83*'Plan mensual'!O122+parametros_recargas!$K$83*'Plan mensual'!O123+parametros_recargas!$L$83*'Plan mensual'!O124</f>
        <v>1769.72408068604</v>
      </c>
      <c r="N109" s="7" t="n">
        <f aca="false">SUM(B109:M109)</f>
        <v>17903.7664509366</v>
      </c>
      <c r="O109" s="26" t="n">
        <f aca="false">MAX(B109:M109)</f>
        <v>1769.72408068604</v>
      </c>
      <c r="P109" s="15" t="n">
        <f aca="false">O109/parametros_recargas!$B$6</f>
        <v>11.7981605379069</v>
      </c>
    </row>
    <row r="110" customFormat="false" ht="15" hidden="false" customHeight="false" outlineLevel="0" collapsed="false">
      <c r="A110" s="12" t="str">
        <f aca="false">parametros_recargas!$B$84</f>
        <v>Secado</v>
      </c>
      <c r="B110" s="25" t="n">
        <f aca="false">parametros_recargas!$E$84*'Plan mensual'!D117+parametros_recargas!$F$84*'Plan mensual'!D118+parametros_recargas!$G$84*'Plan mensual'!D119+parametros_recargas!$H$84*'Plan mensual'!D120+parametros_recargas!$I$84*'Plan mensual'!D121+parametros_recargas!$J$84*'Plan mensual'!D122+parametros_recargas!$K$84*'Plan mensual'!D123+parametros_recargas!$L$84*'Plan mensual'!D124</f>
        <v>1156.336668488</v>
      </c>
      <c r="C110" s="25" t="n">
        <f aca="false">parametros_recargas!$E$84*'Plan mensual'!E117+parametros_recargas!$F$84*'Plan mensual'!E118+parametros_recargas!$G$84*'Plan mensual'!E119+parametros_recargas!$H$84*'Plan mensual'!E120+parametros_recargas!$I$84*'Plan mensual'!E121+parametros_recargas!$J$84*'Plan mensual'!E122+parametros_recargas!$K$84*'Plan mensual'!E123+parametros_recargas!$L$84*'Plan mensual'!E124</f>
        <v>1194.1227023247</v>
      </c>
      <c r="D110" s="25" t="n">
        <f aca="false">parametros_recargas!$E$84*'Plan mensual'!F117+parametros_recargas!$F$84*'Plan mensual'!F118+parametros_recargas!$G$84*'Plan mensual'!F119+parametros_recargas!$H$84*'Plan mensual'!F120+parametros_recargas!$I$84*'Plan mensual'!F121+parametros_recargas!$J$84*'Plan mensual'!F122+parametros_recargas!$K$84*'Plan mensual'!F123+parametros_recargas!$L$84*'Plan mensual'!F124</f>
        <v>1233.1457297185</v>
      </c>
      <c r="E110" s="25" t="n">
        <f aca="false">parametros_recargas!$E$84*'Plan mensual'!G117+parametros_recargas!$F$84*'Plan mensual'!G118+parametros_recargas!$G$84*'Plan mensual'!G119+parametros_recargas!$H$84*'Plan mensual'!G120+parametros_recargas!$I$84*'Plan mensual'!G121+parametros_recargas!$J$84*'Plan mensual'!G122+parametros_recargas!$K$84*'Plan mensual'!G123+parametros_recargas!$L$84*'Plan mensual'!G124</f>
        <v>1273.44624587105</v>
      </c>
      <c r="F110" s="25" t="n">
        <f aca="false">parametros_recargas!$E$84*'Plan mensual'!H117+parametros_recargas!$F$84*'Plan mensual'!H118+parametros_recargas!$G$84*'Plan mensual'!H119+parametros_recargas!$H$84*'Plan mensual'!H120+parametros_recargas!$I$84*'Plan mensual'!H121+parametros_recargas!$J$84*'Plan mensual'!H122+parametros_recargas!$K$84*'Plan mensual'!H123+parametros_recargas!$L$84*'Plan mensual'!H124</f>
        <v>1315.06607166704</v>
      </c>
      <c r="G110" s="25" t="n">
        <f aca="false">parametros_recargas!$E$84*'Plan mensual'!I117+parametros_recargas!$F$84*'Plan mensual'!I118+parametros_recargas!$G$84*'Plan mensual'!I119+parametros_recargas!$H$84*'Plan mensual'!I120+parametros_recargas!$I$84*'Plan mensual'!I121+parametros_recargas!$J$84*'Plan mensual'!I122+parametros_recargas!$K$84*'Plan mensual'!I123+parametros_recargas!$L$84*'Plan mensual'!I124</f>
        <v>1358.0483970728</v>
      </c>
      <c r="H110" s="25" t="n">
        <f aca="false">parametros_recargas!$E$84*'Plan mensual'!J117+parametros_recargas!$F$84*'Plan mensual'!J118+parametros_recargas!$G$84*'Plan mensual'!J119+parametros_recargas!$H$84*'Plan mensual'!J120+parametros_recargas!$I$84*'Plan mensual'!J121+parametros_recargas!$J$84*'Plan mensual'!J122+parametros_recargas!$K$84*'Plan mensual'!J123+parametros_recargas!$L$84*'Plan mensual'!J124</f>
        <v>1402.43782595561</v>
      </c>
      <c r="I110" s="25" t="n">
        <f aca="false">parametros_recargas!$E$84*'Plan mensual'!K117+parametros_recargas!$F$84*'Plan mensual'!K118+parametros_recargas!$G$84*'Plan mensual'!K119+parametros_recargas!$H$84*'Plan mensual'!K120+parametros_recargas!$I$84*'Plan mensual'!K121+parametros_recargas!$J$84*'Plan mensual'!K122+parametros_recargas!$K$84*'Plan mensual'!K123+parametros_recargas!$L$84*'Plan mensual'!K124</f>
        <v>1448.28042237033</v>
      </c>
      <c r="J110" s="25" t="n">
        <f aca="false">parametros_recargas!$E$84*'Plan mensual'!L117+parametros_recargas!$F$84*'Plan mensual'!L118+parametros_recargas!$G$84*'Plan mensual'!L119+parametros_recargas!$H$84*'Plan mensual'!L120+parametros_recargas!$I$84*'Plan mensual'!L121+parametros_recargas!$J$84*'Plan mensual'!L122+parametros_recargas!$K$84*'Plan mensual'!L123+parametros_recargas!$L$84*'Plan mensual'!L124</f>
        <v>1495.62375836123</v>
      </c>
      <c r="K110" s="25" t="n">
        <f aca="false">parametros_recargas!$E$84*'Plan mensual'!M117+parametros_recargas!$F$84*'Plan mensual'!M118+parametros_recargas!$G$84*'Plan mensual'!M119+parametros_recargas!$H$84*'Plan mensual'!M120+parametros_recargas!$I$84*'Plan mensual'!M121+parametros_recargas!$J$84*'Plan mensual'!M122+parametros_recargas!$K$84*'Plan mensual'!M123+parametros_recargas!$L$84*'Plan mensual'!M124</f>
        <v>1544.51696332872</v>
      </c>
      <c r="L110" s="25" t="n">
        <f aca="false">parametros_recargas!$E$84*'Plan mensual'!N117+parametros_recargas!$F$84*'Plan mensual'!N118+parametros_recargas!$G$84*'Plan mensual'!N119+parametros_recargas!$H$84*'Plan mensual'!N120+parametros_recargas!$I$84*'Plan mensual'!N121+parametros_recargas!$J$84*'Plan mensual'!N122+parametros_recargas!$K$84*'Plan mensual'!N123+parametros_recargas!$L$84*'Plan mensual'!N124</f>
        <v>1595.01077501222</v>
      </c>
      <c r="M110" s="25" t="n">
        <f aca="false">parametros_recargas!$E$84*'Plan mensual'!O117+parametros_recargas!$F$84*'Plan mensual'!O118+parametros_recargas!$G$84*'Plan mensual'!O119+parametros_recargas!$H$84*'Plan mensual'!O120+parametros_recargas!$I$84*'Plan mensual'!O121+parametros_recargas!$J$84*'Plan mensual'!O122+parametros_recargas!$K$84*'Plan mensual'!O123+parametros_recargas!$L$84*'Plan mensual'!O124</f>
        <v>1647.15759214201</v>
      </c>
      <c r="N110" s="7" t="n">
        <f aca="false">SUM(B110:M110)</f>
        <v>16663.1931523122</v>
      </c>
      <c r="O110" s="26" t="n">
        <f aca="false">MAX(B110:M110)</f>
        <v>1647.15759214201</v>
      </c>
      <c r="P110" s="15" t="n">
        <f aca="false">O110/parametros_recargas!$B$6</f>
        <v>10.9810506142801</v>
      </c>
    </row>
    <row r="111" customFormat="false" ht="15" hidden="false" customHeight="false" outlineLevel="0" collapsed="false">
      <c r="A111" s="12" t="str">
        <f aca="false">parametros_recargas!$B$85</f>
        <v>Inspección interior con videoscopio</v>
      </c>
      <c r="B111" s="25" t="n">
        <f aca="false">parametros_recargas!$E$85*'Plan mensual'!D117+parametros_recargas!$F$85*'Plan mensual'!D118+parametros_recargas!$G$85*'Plan mensual'!D119+parametros_recargas!$H$85*'Plan mensual'!D120+parametros_recargas!$I$85*'Plan mensual'!D121+parametros_recargas!$J$85*'Plan mensual'!D122+parametros_recargas!$K$85*'Plan mensual'!D123+parametros_recargas!$L$85*'Plan mensual'!D124</f>
        <v>1156.336668488</v>
      </c>
      <c r="C111" s="25" t="n">
        <f aca="false">parametros_recargas!$E$85*'Plan mensual'!E117+parametros_recargas!$F$85*'Plan mensual'!E118+parametros_recargas!$G$85*'Plan mensual'!E119+parametros_recargas!$H$85*'Plan mensual'!E120+parametros_recargas!$I$85*'Plan mensual'!E121+parametros_recargas!$J$85*'Plan mensual'!E122+parametros_recargas!$K$85*'Plan mensual'!E123+parametros_recargas!$L$85*'Plan mensual'!E124</f>
        <v>1194.1227023247</v>
      </c>
      <c r="D111" s="25" t="n">
        <f aca="false">parametros_recargas!$E$85*'Plan mensual'!F117+parametros_recargas!$F$85*'Plan mensual'!F118+parametros_recargas!$G$85*'Plan mensual'!F119+parametros_recargas!$H$85*'Plan mensual'!F120+parametros_recargas!$I$85*'Plan mensual'!F121+parametros_recargas!$J$85*'Plan mensual'!F122+parametros_recargas!$K$85*'Plan mensual'!F123+parametros_recargas!$L$85*'Plan mensual'!F124</f>
        <v>1233.1457297185</v>
      </c>
      <c r="E111" s="25" t="n">
        <f aca="false">parametros_recargas!$E$85*'Plan mensual'!G117+parametros_recargas!$F$85*'Plan mensual'!G118+parametros_recargas!$G$85*'Plan mensual'!G119+parametros_recargas!$H$85*'Plan mensual'!G120+parametros_recargas!$I$85*'Plan mensual'!G121+parametros_recargas!$J$85*'Plan mensual'!G122+parametros_recargas!$K$85*'Plan mensual'!G123+parametros_recargas!$L$85*'Plan mensual'!G124</f>
        <v>1273.44624587105</v>
      </c>
      <c r="F111" s="25" t="n">
        <f aca="false">parametros_recargas!$E$85*'Plan mensual'!H117+parametros_recargas!$F$85*'Plan mensual'!H118+parametros_recargas!$G$85*'Plan mensual'!H119+parametros_recargas!$H$85*'Plan mensual'!H120+parametros_recargas!$I$85*'Plan mensual'!H121+parametros_recargas!$J$85*'Plan mensual'!H122+parametros_recargas!$K$85*'Plan mensual'!H123+parametros_recargas!$L$85*'Plan mensual'!H124</f>
        <v>1315.06607166704</v>
      </c>
      <c r="G111" s="25" t="n">
        <f aca="false">parametros_recargas!$E$85*'Plan mensual'!I117+parametros_recargas!$F$85*'Plan mensual'!I118+parametros_recargas!$G$85*'Plan mensual'!I119+parametros_recargas!$H$85*'Plan mensual'!I120+parametros_recargas!$I$85*'Plan mensual'!I121+parametros_recargas!$J$85*'Plan mensual'!I122+parametros_recargas!$K$85*'Plan mensual'!I123+parametros_recargas!$L$85*'Plan mensual'!I124</f>
        <v>1358.0483970728</v>
      </c>
      <c r="H111" s="25" t="n">
        <f aca="false">parametros_recargas!$E$85*'Plan mensual'!J117+parametros_recargas!$F$85*'Plan mensual'!J118+parametros_recargas!$G$85*'Plan mensual'!J119+parametros_recargas!$H$85*'Plan mensual'!J120+parametros_recargas!$I$85*'Plan mensual'!J121+parametros_recargas!$J$85*'Plan mensual'!J122+parametros_recargas!$K$85*'Plan mensual'!J123+parametros_recargas!$L$85*'Plan mensual'!J124</f>
        <v>1402.43782595561</v>
      </c>
      <c r="I111" s="25" t="n">
        <f aca="false">parametros_recargas!$E$85*'Plan mensual'!K117+parametros_recargas!$F$85*'Plan mensual'!K118+parametros_recargas!$G$85*'Plan mensual'!K119+parametros_recargas!$H$85*'Plan mensual'!K120+parametros_recargas!$I$85*'Plan mensual'!K121+parametros_recargas!$J$85*'Plan mensual'!K122+parametros_recargas!$K$85*'Plan mensual'!K123+parametros_recargas!$L$85*'Plan mensual'!K124</f>
        <v>1448.28042237033</v>
      </c>
      <c r="J111" s="25" t="n">
        <f aca="false">parametros_recargas!$E$85*'Plan mensual'!L117+parametros_recargas!$F$85*'Plan mensual'!L118+parametros_recargas!$G$85*'Plan mensual'!L119+parametros_recargas!$H$85*'Plan mensual'!L120+parametros_recargas!$I$85*'Plan mensual'!L121+parametros_recargas!$J$85*'Plan mensual'!L122+parametros_recargas!$K$85*'Plan mensual'!L123+parametros_recargas!$L$85*'Plan mensual'!L124</f>
        <v>1495.62375836123</v>
      </c>
      <c r="K111" s="25" t="n">
        <f aca="false">parametros_recargas!$E$85*'Plan mensual'!M117+parametros_recargas!$F$85*'Plan mensual'!M118+parametros_recargas!$G$85*'Plan mensual'!M119+parametros_recargas!$H$85*'Plan mensual'!M120+parametros_recargas!$I$85*'Plan mensual'!M121+parametros_recargas!$J$85*'Plan mensual'!M122+parametros_recargas!$K$85*'Plan mensual'!M123+parametros_recargas!$L$85*'Plan mensual'!M124</f>
        <v>1544.51696332872</v>
      </c>
      <c r="L111" s="25" t="n">
        <f aca="false">parametros_recargas!$E$85*'Plan mensual'!N117+parametros_recargas!$F$85*'Plan mensual'!N118+parametros_recargas!$G$85*'Plan mensual'!N119+parametros_recargas!$H$85*'Plan mensual'!N120+parametros_recargas!$I$85*'Plan mensual'!N121+parametros_recargas!$J$85*'Plan mensual'!N122+parametros_recargas!$K$85*'Plan mensual'!N123+parametros_recargas!$L$85*'Plan mensual'!N124</f>
        <v>1595.01077501222</v>
      </c>
      <c r="M111" s="25" t="n">
        <f aca="false">parametros_recargas!$E$85*'Plan mensual'!O117+parametros_recargas!$F$85*'Plan mensual'!O118+parametros_recargas!$G$85*'Plan mensual'!O119+parametros_recargas!$H$85*'Plan mensual'!O120+parametros_recargas!$I$85*'Plan mensual'!O121+parametros_recargas!$J$85*'Plan mensual'!O122+parametros_recargas!$K$85*'Plan mensual'!O123+parametros_recargas!$L$85*'Plan mensual'!O124</f>
        <v>1647.15759214201</v>
      </c>
      <c r="N111" s="7" t="n">
        <f aca="false">SUM(B111:M111)</f>
        <v>16663.1931523122</v>
      </c>
      <c r="O111" s="26" t="n">
        <f aca="false">MAX(B111:M111)</f>
        <v>1647.15759214201</v>
      </c>
      <c r="P111" s="15" t="n">
        <f aca="false">O111/parametros_recargas!$B$6</f>
        <v>10.9810506142801</v>
      </c>
    </row>
    <row r="112" customFormat="false" ht="15" hidden="false" customHeight="false" outlineLevel="0" collapsed="false">
      <c r="A112" s="12" t="str">
        <f aca="false">parametros_recargas!$B$86</f>
        <v>Pintura</v>
      </c>
      <c r="B112" s="25" t="n">
        <f aca="false">parametros_recargas!$E$86*'Plan mensual'!D117+parametros_recargas!$F$86*'Plan mensual'!D118+parametros_recargas!$G$86*'Plan mensual'!D119+parametros_recargas!$H$86*'Plan mensual'!D120+parametros_recargas!$I$86*'Plan mensual'!D121+parametros_recargas!$J$86*'Plan mensual'!D122+parametros_recargas!$K$86*'Plan mensual'!D123+parametros_recargas!$L$86*'Plan mensual'!D124</f>
        <v>580.3542133761</v>
      </c>
      <c r="C112" s="25" t="n">
        <f aca="false">parametros_recargas!$E$86*'Plan mensual'!E117+parametros_recargas!$F$86*'Plan mensual'!E118+parametros_recargas!$G$86*'Plan mensual'!E119+parametros_recargas!$H$86*'Plan mensual'!E120+parametros_recargas!$I$86*'Plan mensual'!E121+parametros_recargas!$J$86*'Plan mensual'!E122+parametros_recargas!$K$86*'Plan mensual'!E123+parametros_recargas!$L$86*'Plan mensual'!E124</f>
        <v>599.316320066706</v>
      </c>
      <c r="D112" s="25" t="n">
        <f aca="false">parametros_recargas!$E$86*'Plan mensual'!F117+parametros_recargas!$F$86*'Plan mensual'!F118+parametros_recargas!$G$86*'Plan mensual'!F119+parametros_recargas!$H$86*'Plan mensual'!F120+parametros_recargas!$I$86*'Plan mensual'!F121+parametros_recargas!$J$86*'Plan mensual'!F122+parametros_recargas!$K$86*'Plan mensual'!F123+parametros_recargas!$L$86*'Plan mensual'!F124</f>
        <v>618.899185313412</v>
      </c>
      <c r="E112" s="25" t="n">
        <f aca="false">parametros_recargas!$E$86*'Plan mensual'!G117+parametros_recargas!$F$86*'Plan mensual'!G118+parametros_recargas!$G$86*'Plan mensual'!G119+parametros_recargas!$H$86*'Plan mensual'!G120+parametros_recargas!$I$86*'Plan mensual'!G121+parametros_recargas!$J$86*'Plan mensual'!G122+parametros_recargas!$K$86*'Plan mensual'!G123+parametros_recargas!$L$86*'Plan mensual'!G124</f>
        <v>639.123130760392</v>
      </c>
      <c r="F112" s="25" t="n">
        <f aca="false">parametros_recargas!$E$86*'Plan mensual'!H117+parametros_recargas!$F$86*'Plan mensual'!H118+parametros_recargas!$G$86*'Plan mensual'!H119+parametros_recargas!$H$86*'Plan mensual'!H120+parametros_recargas!$I$86*'Plan mensual'!H121+parametros_recargas!$J$86*'Plan mensual'!H122+parametros_recargas!$K$86*'Plan mensual'!H123+parametros_recargas!$L$86*'Plan mensual'!H124</f>
        <v>660.009143317273</v>
      </c>
      <c r="G112" s="25" t="n">
        <f aca="false">parametros_recargas!$E$86*'Plan mensual'!I117+parametros_recargas!$F$86*'Plan mensual'!I118+parametros_recargas!$G$86*'Plan mensual'!I119+parametros_recargas!$H$86*'Plan mensual'!I120+parametros_recargas!$I$86*'Plan mensual'!I121+parametros_recargas!$J$86*'Plan mensual'!I122+parametros_recargas!$K$86*'Plan mensual'!I123+parametros_recargas!$L$86*'Plan mensual'!I124</f>
        <v>681.578896937794</v>
      </c>
      <c r="H112" s="25" t="n">
        <f aca="false">parametros_recargas!$E$86*'Plan mensual'!J117+parametros_recargas!$F$86*'Plan mensual'!J118+parametros_recargas!$G$86*'Plan mensual'!J119+parametros_recargas!$H$86*'Plan mensual'!J120+parametros_recargas!$I$86*'Plan mensual'!J121+parametros_recargas!$J$86*'Plan mensual'!J122+parametros_recargas!$K$86*'Plan mensual'!J123+parametros_recargas!$L$86*'Plan mensual'!J124</f>
        <v>703.854775111424</v>
      </c>
      <c r="I112" s="25" t="n">
        <f aca="false">parametros_recargas!$E$86*'Plan mensual'!K117+parametros_recargas!$F$86*'Plan mensual'!K118+parametros_recargas!$G$86*'Plan mensual'!K119+parametros_recargas!$H$86*'Plan mensual'!K120+parametros_recargas!$I$86*'Plan mensual'!K121+parametros_recargas!$J$86*'Plan mensual'!K122+parametros_recargas!$K$86*'Plan mensual'!K123+parametros_recargas!$L$86*'Plan mensual'!K124</f>
        <v>726.859894091285</v>
      </c>
      <c r="J112" s="25" t="n">
        <f aca="false">parametros_recargas!$E$86*'Plan mensual'!L117+parametros_recargas!$F$86*'Plan mensual'!L118+parametros_recargas!$G$86*'Plan mensual'!L119+parametros_recargas!$H$86*'Plan mensual'!L120+parametros_recargas!$I$86*'Plan mensual'!L121+parametros_recargas!$J$86*'Plan mensual'!L122+parametros_recargas!$K$86*'Plan mensual'!L123+parametros_recargas!$L$86*'Plan mensual'!L124</f>
        <v>750.618126882488</v>
      </c>
      <c r="K112" s="25" t="n">
        <f aca="false">parametros_recargas!$E$86*'Plan mensual'!M117+parametros_recargas!$F$86*'Plan mensual'!M118+parametros_recargas!$G$86*'Plan mensual'!M119+parametros_recargas!$H$86*'Plan mensual'!M120+parametros_recargas!$I$86*'Plan mensual'!M121+parametros_recargas!$J$86*'Plan mensual'!M122+parametros_recargas!$K$86*'Plan mensual'!M123+parametros_recargas!$L$86*'Plan mensual'!M124</f>
        <v>775.154128015762</v>
      </c>
      <c r="L112" s="25" t="n">
        <f aca="false">parametros_recargas!$E$86*'Plan mensual'!N117+parametros_recargas!$F$86*'Plan mensual'!N118+parametros_recargas!$G$86*'Plan mensual'!N119+parametros_recargas!$H$86*'Plan mensual'!N120+parametros_recargas!$I$86*'Plan mensual'!N121+parametros_recargas!$J$86*'Plan mensual'!N122+parametros_recargas!$K$86*'Plan mensual'!N123+parametros_recargas!$L$86*'Plan mensual'!N124</f>
        <v>800.493359132101</v>
      </c>
      <c r="M112" s="25" t="n">
        <f aca="false">parametros_recargas!$E$86*'Plan mensual'!O117+parametros_recargas!$F$86*'Plan mensual'!O118+parametros_recargas!$G$86*'Plan mensual'!O119+parametros_recargas!$H$86*'Plan mensual'!O120+parametros_recargas!$I$86*'Plan mensual'!O121+parametros_recargas!$J$86*'Plan mensual'!O122+parametros_recargas!$K$86*'Plan mensual'!O123+parametros_recargas!$L$86*'Plan mensual'!O124</f>
        <v>826.662115404957</v>
      </c>
      <c r="N112" s="7" t="n">
        <f aca="false">SUM(B112:M112)</f>
        <v>8362.92328840969</v>
      </c>
      <c r="O112" s="26" t="n">
        <f aca="false">MAX(B112:M112)</f>
        <v>826.662115404957</v>
      </c>
      <c r="P112" s="15" t="n">
        <f aca="false">O112/parametros_recargas!$B$6</f>
        <v>5.51108076936638</v>
      </c>
    </row>
    <row r="113" customFormat="false" ht="15" hidden="false" customHeight="false" outlineLevel="0" collapsed="false">
      <c r="A113" s="12" t="str">
        <f aca="false">parametros_recargas!$B$87</f>
        <v>Carga de polvo ABC</v>
      </c>
      <c r="B113" s="25" t="n">
        <f aca="false">parametros_recargas!$E$87*'Plan mensual'!D117+parametros_recargas!$F$87*'Plan mensual'!D118+parametros_recargas!$G$87*'Plan mensual'!D119+parametros_recargas!$H$87*'Plan mensual'!D120+parametros_recargas!$I$87*'Plan mensual'!D121+parametros_recargas!$J$87*'Plan mensual'!D122+parametros_recargas!$K$87*'Plan mensual'!D123+parametros_recargas!$L$87*'Plan mensual'!D124</f>
        <v>4999.13503239974</v>
      </c>
      <c r="C113" s="25" t="n">
        <f aca="false">parametros_recargas!$E$87*'Plan mensual'!E117+parametros_recargas!$F$87*'Plan mensual'!E118+parametros_recargas!$G$87*'Plan mensual'!E119+parametros_recargas!$H$87*'Plan mensual'!E120+parametros_recargas!$I$87*'Plan mensual'!E121+parametros_recargas!$J$87*'Plan mensual'!E122+parametros_recargas!$K$87*'Plan mensual'!E123+parametros_recargas!$L$87*'Plan mensual'!E124</f>
        <v>5162.52605728331</v>
      </c>
      <c r="D113" s="25" t="n">
        <f aca="false">parametros_recargas!$E$87*'Plan mensual'!F117+parametros_recargas!$F$87*'Plan mensual'!F118+parametros_recargas!$G$87*'Plan mensual'!F119+parametros_recargas!$H$87*'Plan mensual'!F120+parametros_recargas!$I$87*'Plan mensual'!F121+parametros_recargas!$J$87*'Plan mensual'!F122+parametros_recargas!$K$87*'Plan mensual'!F123+parametros_recargas!$L$87*'Plan mensual'!F124</f>
        <v>5331.26598027938</v>
      </c>
      <c r="E113" s="25" t="n">
        <f aca="false">parametros_recargas!$E$87*'Plan mensual'!G117+parametros_recargas!$F$87*'Plan mensual'!G118+parametros_recargas!$G$87*'Plan mensual'!G119+parametros_recargas!$H$87*'Plan mensual'!G120+parametros_recargas!$I$87*'Plan mensual'!G121+parametros_recargas!$J$87*'Plan mensual'!G122+parametros_recargas!$K$87*'Plan mensual'!G123+parametros_recargas!$L$87*'Plan mensual'!G124</f>
        <v>5505.52990715669</v>
      </c>
      <c r="F113" s="25" t="n">
        <f aca="false">parametros_recargas!$E$87*'Plan mensual'!H117+parametros_recargas!$F$87*'Plan mensual'!H118+parametros_recargas!$G$87*'Plan mensual'!H119+parametros_recargas!$H$87*'Plan mensual'!H120+parametros_recargas!$I$87*'Plan mensual'!H121+parametros_recargas!$J$87*'Plan mensual'!H122+parametros_recargas!$K$87*'Plan mensual'!H123+parametros_recargas!$L$87*'Plan mensual'!H124</f>
        <v>5685.49867608524</v>
      </c>
      <c r="G113" s="25" t="n">
        <f aca="false">parametros_recargas!$E$87*'Plan mensual'!I117+parametros_recargas!$F$87*'Plan mensual'!I118+parametros_recargas!$G$87*'Plan mensual'!I119+parametros_recargas!$H$87*'Plan mensual'!I120+parametros_recargas!$I$87*'Plan mensual'!I121+parametros_recargas!$J$87*'Plan mensual'!I122+parametros_recargas!$K$87*'Plan mensual'!I123+parametros_recargas!$L$87*'Plan mensual'!I124</f>
        <v>5871.3590452967</v>
      </c>
      <c r="H113" s="25" t="n">
        <f aca="false">parametros_recargas!$E$87*'Plan mensual'!J117+parametros_recargas!$F$87*'Plan mensual'!J118+parametros_recargas!$G$87*'Plan mensual'!J119+parametros_recargas!$H$87*'Plan mensual'!J120+parametros_recargas!$I$87*'Plan mensual'!J121+parametros_recargas!$J$87*'Plan mensual'!J122+parametros_recargas!$K$87*'Plan mensual'!J123+parametros_recargas!$L$87*'Plan mensual'!J124</f>
        <v>6063.30388688827</v>
      </c>
      <c r="I113" s="25" t="n">
        <f aca="false">parametros_recargas!$E$87*'Plan mensual'!K117+parametros_recargas!$F$87*'Plan mensual'!K118+parametros_recargas!$G$87*'Plan mensual'!K119+parametros_recargas!$H$87*'Plan mensual'!K120+parametros_recargas!$I$87*'Plan mensual'!K121+parametros_recargas!$J$87*'Plan mensual'!K122+parametros_recargas!$K$87*'Plan mensual'!K123+parametros_recargas!$L$87*'Plan mensual'!K124</f>
        <v>6261.53238697103</v>
      </c>
      <c r="J113" s="25" t="n">
        <f aca="false">parametros_recargas!$E$87*'Plan mensual'!L117+parametros_recargas!$F$87*'Plan mensual'!L118+parametros_recargas!$G$87*'Plan mensual'!L119+parametros_recargas!$H$87*'Plan mensual'!L120+parametros_recargas!$I$87*'Plan mensual'!L121+parametros_recargas!$J$87*'Plan mensual'!L122+parametros_recargas!$K$87*'Plan mensual'!L123+parametros_recargas!$L$87*'Plan mensual'!L124</f>
        <v>6466.25025237047</v>
      </c>
      <c r="K113" s="25" t="n">
        <f aca="false">parametros_recargas!$E$87*'Plan mensual'!M117+parametros_recargas!$F$87*'Plan mensual'!M118+parametros_recargas!$G$87*'Plan mensual'!M119+parametros_recargas!$H$87*'Plan mensual'!M120+parametros_recargas!$I$87*'Plan mensual'!M121+parametros_recargas!$J$87*'Plan mensual'!M122+parametros_recargas!$K$87*'Plan mensual'!M123+parametros_recargas!$L$87*'Plan mensual'!M124</f>
        <v>6677.66992409377</v>
      </c>
      <c r="L113" s="25" t="n">
        <f aca="false">parametros_recargas!$E$87*'Plan mensual'!N117+parametros_recargas!$F$87*'Plan mensual'!N118+parametros_recargas!$G$87*'Plan mensual'!N119+parametros_recargas!$H$87*'Plan mensual'!N120+parametros_recargas!$I$87*'Plan mensual'!N121+parametros_recargas!$J$87*'Plan mensual'!N122+parametros_recargas!$K$87*'Plan mensual'!N123+parametros_recargas!$L$87*'Plan mensual'!N124</f>
        <v>6896.01079778537</v>
      </c>
      <c r="M113" s="25" t="n">
        <f aca="false">parametros_recargas!$E$87*'Plan mensual'!O117+parametros_recargas!$F$87*'Plan mensual'!O118+parametros_recargas!$G$87*'Plan mensual'!O119+parametros_recargas!$H$87*'Plan mensual'!O120+parametros_recargas!$I$87*'Plan mensual'!O121+parametros_recargas!$J$87*'Plan mensual'!O122+parametros_recargas!$K$87*'Plan mensual'!O123+parametros_recargas!$L$87*'Plan mensual'!O124</f>
        <v>7121.49945139941</v>
      </c>
      <c r="N113" s="7" t="n">
        <f aca="false">SUM(B113:M113)</f>
        <v>72041.5813980094</v>
      </c>
      <c r="O113" s="26" t="n">
        <f aca="false">MAX(B113:M113)</f>
        <v>7121.49945139941</v>
      </c>
      <c r="P113" s="15" t="n">
        <f aca="false">O113/parametros_recargas!$B$6</f>
        <v>47.4766630093294</v>
      </c>
    </row>
    <row r="114" customFormat="false" ht="15" hidden="false" customHeight="false" outlineLevel="0" collapsed="false">
      <c r="A114" s="12" t="str">
        <f aca="false">parametros_recargas!$B$88</f>
        <v>Carga de polvo BC</v>
      </c>
      <c r="B114" s="25" t="n">
        <f aca="false">parametros_recargas!$E$88*'Plan mensual'!D117+parametros_recargas!$F$88*'Plan mensual'!D118+parametros_recargas!$G$88*'Plan mensual'!D119+parametros_recargas!$H$88*'Plan mensual'!D120+parametros_recargas!$I$88*'Plan mensual'!D121+parametros_recargas!$J$88*'Plan mensual'!D122+parametros_recargas!$K$88*'Plan mensual'!D123+parametros_recargas!$L$88*'Plan mensual'!D124</f>
        <v>7.95917829106044</v>
      </c>
      <c r="C114" s="25" t="n">
        <f aca="false">parametros_recargas!$E$88*'Plan mensual'!E117+parametros_recargas!$F$88*'Plan mensual'!E118+parametros_recargas!$G$88*'Plan mensual'!E119+parametros_recargas!$H$88*'Plan mensual'!E120+parametros_recargas!$I$88*'Plan mensual'!E121+parametros_recargas!$J$88*'Plan mensual'!E122+parametros_recargas!$K$88*'Plan mensual'!E123+parametros_recargas!$L$88*'Plan mensual'!E124</f>
        <v>8.21700819486767</v>
      </c>
      <c r="D114" s="25" t="n">
        <f aca="false">parametros_recargas!$E$88*'Plan mensual'!F117+parametros_recargas!$F$88*'Plan mensual'!F118+parametros_recargas!$G$88*'Plan mensual'!F119+parametros_recargas!$H$88*'Plan mensual'!F120+parametros_recargas!$I$88*'Plan mensual'!F121+parametros_recargas!$J$88*'Plan mensual'!F122+parametros_recargas!$K$88*'Plan mensual'!F123+parametros_recargas!$L$88*'Plan mensual'!F124</f>
        <v>8.4832786227906</v>
      </c>
      <c r="E114" s="25" t="n">
        <f aca="false">parametros_recargas!$E$88*'Plan mensual'!G117+parametros_recargas!$F$88*'Plan mensual'!G118+parametros_recargas!$G$88*'Plan mensual'!G119+parametros_recargas!$H$88*'Plan mensual'!G120+parametros_recargas!$I$88*'Plan mensual'!G121+parametros_recargas!$J$88*'Plan mensual'!G122+parametros_recargas!$K$88*'Plan mensual'!G123+parametros_recargas!$L$88*'Plan mensual'!G124</f>
        <v>8.75826589051758</v>
      </c>
      <c r="F114" s="25" t="n">
        <f aca="false">parametros_recargas!$E$88*'Plan mensual'!H117+parametros_recargas!$F$88*'Plan mensual'!H118+parametros_recargas!$G$88*'Plan mensual'!H119+parametros_recargas!$H$88*'Plan mensual'!H120+parametros_recargas!$I$88*'Plan mensual'!H121+parametros_recargas!$J$88*'Plan mensual'!H122+parametros_recargas!$K$88*'Plan mensual'!H123+parametros_recargas!$L$88*'Plan mensual'!H124</f>
        <v>9.04225535942638</v>
      </c>
      <c r="G114" s="25" t="n">
        <f aca="false">parametros_recargas!$E$88*'Plan mensual'!I117+parametros_recargas!$F$88*'Plan mensual'!I118+parametros_recargas!$G$88*'Plan mensual'!I119+parametros_recargas!$H$88*'Plan mensual'!I120+parametros_recargas!$I$88*'Plan mensual'!I121+parametros_recargas!$J$88*'Plan mensual'!I122+parametros_recargas!$K$88*'Plan mensual'!I123+parametros_recargas!$L$88*'Plan mensual'!I124</f>
        <v>9.33554173271103</v>
      </c>
      <c r="H114" s="25" t="n">
        <f aca="false">parametros_recargas!$E$88*'Plan mensual'!J117+parametros_recargas!$F$88*'Plan mensual'!J118+parametros_recargas!$G$88*'Plan mensual'!J119+parametros_recargas!$H$88*'Plan mensual'!J120+parametros_recargas!$I$88*'Plan mensual'!J121+parametros_recargas!$J$88*'Plan mensual'!J122+parametros_recargas!$K$88*'Plan mensual'!J123+parametros_recargas!$L$88*'Plan mensual'!J124</f>
        <v>9.63842936120294</v>
      </c>
      <c r="I114" s="25" t="n">
        <f aca="false">parametros_recargas!$E$88*'Plan mensual'!K117+parametros_recargas!$F$88*'Plan mensual'!K118+parametros_recargas!$G$88*'Plan mensual'!K119+parametros_recargas!$H$88*'Plan mensual'!K120+parametros_recargas!$I$88*'Plan mensual'!K121+parametros_recargas!$J$88*'Plan mensual'!K122+parametros_recargas!$K$88*'Plan mensual'!K123+parametros_recargas!$L$88*'Plan mensual'!K124</f>
        <v>9.9512325592036</v>
      </c>
      <c r="J114" s="25" t="n">
        <f aca="false">parametros_recargas!$E$88*'Plan mensual'!L117+parametros_recargas!$F$88*'Plan mensual'!L118+parametros_recargas!$G$88*'Plan mensual'!L119+parametros_recargas!$H$88*'Plan mensual'!L120+parametros_recargas!$I$88*'Plan mensual'!L121+parametros_recargas!$J$88*'Plan mensual'!L122+parametros_recargas!$K$88*'Plan mensual'!L123+parametros_recargas!$L$88*'Plan mensual'!L124</f>
        <v>10.2742759306566</v>
      </c>
      <c r="K114" s="25" t="n">
        <f aca="false">parametros_recargas!$E$88*'Plan mensual'!M117+parametros_recargas!$F$88*'Plan mensual'!M118+parametros_recargas!$G$88*'Plan mensual'!M119+parametros_recargas!$H$88*'Plan mensual'!M120+parametros_recargas!$I$88*'Plan mensual'!M121+parametros_recargas!$J$88*'Plan mensual'!M122+parametros_recargas!$K$88*'Plan mensual'!M123+parametros_recargas!$L$88*'Plan mensual'!M124</f>
        <v>10.6078947059977</v>
      </c>
      <c r="L114" s="25" t="n">
        <f aca="false">parametros_recargas!$E$88*'Plan mensual'!N117+parametros_recargas!$F$88*'Plan mensual'!N118+parametros_recargas!$G$88*'Plan mensual'!N119+parametros_recargas!$H$88*'Plan mensual'!N120+parametros_recargas!$I$88*'Plan mensual'!N121+parametros_recargas!$J$88*'Plan mensual'!N122+parametros_recargas!$K$88*'Plan mensual'!N123+parametros_recargas!$L$88*'Plan mensual'!N124</f>
        <v>10.9524350900316</v>
      </c>
      <c r="M114" s="25" t="n">
        <f aca="false">parametros_recargas!$E$88*'Plan mensual'!O117+parametros_recargas!$F$88*'Plan mensual'!O118+parametros_recargas!$G$88*'Plan mensual'!O119+parametros_recargas!$H$88*'Plan mensual'!O120+parametros_recargas!$I$88*'Plan mensual'!O121+parametros_recargas!$J$88*'Plan mensual'!O122+parametros_recargas!$K$88*'Plan mensual'!O123+parametros_recargas!$L$88*'Plan mensual'!O124</f>
        <v>11.3082546211984</v>
      </c>
      <c r="N114" s="7" t="n">
        <f aca="false">SUM(B114:M114)</f>
        <v>114.528050359665</v>
      </c>
      <c r="O114" s="26" t="n">
        <f aca="false">MAX(B114:M114)</f>
        <v>11.3082546211984</v>
      </c>
      <c r="P114" s="15" t="n">
        <f aca="false">O114/parametros_recargas!$B$6</f>
        <v>0.0753883641413226</v>
      </c>
    </row>
    <row r="115" customFormat="false" ht="15" hidden="false" customHeight="false" outlineLevel="0" collapsed="false">
      <c r="A115" s="12" t="str">
        <f aca="false">parametros_recargas!$B$89</f>
        <v>Descarga y carga Clase D</v>
      </c>
      <c r="B115" s="25" t="n">
        <f aca="false">parametros_recargas!$E$89*'Plan mensual'!D117+parametros_recargas!$F$89*'Plan mensual'!D118+parametros_recargas!$G$89*'Plan mensual'!D119+parametros_recargas!$H$89*'Plan mensual'!D120+parametros_recargas!$I$89*'Plan mensual'!D121+parametros_recargas!$J$89*'Plan mensual'!D122+parametros_recargas!$K$89*'Plan mensual'!D123+parametros_recargas!$L$89*'Plan mensual'!D124</f>
        <v>7.40499859742379</v>
      </c>
      <c r="C115" s="25" t="n">
        <f aca="false">parametros_recargas!$E$89*'Plan mensual'!E117+parametros_recargas!$F$89*'Plan mensual'!E118+parametros_recargas!$G$89*'Plan mensual'!E119+parametros_recargas!$H$89*'Plan mensual'!E120+parametros_recargas!$I$89*'Plan mensual'!E121+parametros_recargas!$J$89*'Plan mensual'!E122+parametros_recargas!$K$89*'Plan mensual'!E123+parametros_recargas!$L$89*'Plan mensual'!E124</f>
        <v>7.64468643547563</v>
      </c>
      <c r="D115" s="25" t="n">
        <f aca="false">parametros_recargas!$E$89*'Plan mensual'!F117+parametros_recargas!$F$89*'Plan mensual'!F118+parametros_recargas!$G$89*'Plan mensual'!F119+parametros_recargas!$H$89*'Plan mensual'!F120+parametros_recargas!$I$89*'Plan mensual'!F121+parametros_recargas!$J$89*'Plan mensual'!F122+parametros_recargas!$K$89*'Plan mensual'!F123+parametros_recargas!$L$89*'Plan mensual'!F124</f>
        <v>7.8922208845972</v>
      </c>
      <c r="E115" s="25" t="n">
        <f aca="false">parametros_recargas!$E$89*'Plan mensual'!G117+parametros_recargas!$F$89*'Plan mensual'!G118+parametros_recargas!$G$89*'Plan mensual'!G119+parametros_recargas!$H$89*'Plan mensual'!G120+parametros_recargas!$I$89*'Plan mensual'!G121+parametros_recargas!$J$89*'Plan mensual'!G122+parametros_recargas!$K$89*'Plan mensual'!G123+parametros_recargas!$L$89*'Plan mensual'!G124</f>
        <v>8.14785881766855</v>
      </c>
      <c r="F115" s="25" t="n">
        <f aca="false">parametros_recargas!$E$89*'Plan mensual'!H117+parametros_recargas!$F$89*'Plan mensual'!H118+parametros_recargas!$G$89*'Plan mensual'!H119+parametros_recargas!$H$89*'Plan mensual'!H120+parametros_recargas!$I$89*'Plan mensual'!H121+parametros_recargas!$J$89*'Plan mensual'!H122+parametros_recargas!$K$89*'Plan mensual'!H123+parametros_recargas!$L$89*'Plan mensual'!H124</f>
        <v>8.41186551676399</v>
      </c>
      <c r="G115" s="25" t="n">
        <f aca="false">parametros_recargas!$E$89*'Plan mensual'!I117+parametros_recargas!$F$89*'Plan mensual'!I118+parametros_recargas!$G$89*'Plan mensual'!I119+parametros_recargas!$H$89*'Plan mensual'!I120+parametros_recargas!$I$89*'Plan mensual'!I121+parametros_recargas!$J$89*'Plan mensual'!I122+parametros_recargas!$K$89*'Plan mensual'!I123+parametros_recargas!$L$89*'Plan mensual'!I124</f>
        <v>8.68451494844212</v>
      </c>
      <c r="H115" s="25" t="n">
        <f aca="false">parametros_recargas!$E$89*'Plan mensual'!J117+parametros_recargas!$F$89*'Plan mensual'!J118+parametros_recargas!$G$89*'Plan mensual'!J119+parametros_recargas!$H$89*'Plan mensual'!J120+parametros_recargas!$I$89*'Plan mensual'!J121+parametros_recargas!$J$89*'Plan mensual'!J122+parametros_recargas!$K$89*'Plan mensual'!J123+parametros_recargas!$L$89*'Plan mensual'!J124</f>
        <v>8.96609004804793</v>
      </c>
      <c r="I115" s="25" t="n">
        <f aca="false">parametros_recargas!$E$89*'Plan mensual'!K117+parametros_recargas!$F$89*'Plan mensual'!K118+parametros_recargas!$G$89*'Plan mensual'!K119+parametros_recargas!$H$89*'Plan mensual'!K120+parametros_recargas!$I$89*'Plan mensual'!K121+parametros_recargas!$J$89*'Plan mensual'!K122+parametros_recargas!$K$89*'Plan mensual'!K123+parametros_recargas!$L$89*'Plan mensual'!K124</f>
        <v>9.2568830133222</v>
      </c>
      <c r="J115" s="25" t="n">
        <f aca="false">parametros_recargas!$E$89*'Plan mensual'!L117+parametros_recargas!$F$89*'Plan mensual'!L118+parametros_recargas!$G$89*'Plan mensual'!L119+parametros_recargas!$H$89*'Plan mensual'!L120+parametros_recargas!$I$89*'Plan mensual'!L121+parametros_recargas!$J$89*'Plan mensual'!L122+parametros_recargas!$K$89*'Plan mensual'!L123+parametros_recargas!$L$89*'Plan mensual'!L124</f>
        <v>9.55719560762254</v>
      </c>
      <c r="K115" s="25" t="n">
        <f aca="false">parametros_recargas!$E$89*'Plan mensual'!M117+parametros_recargas!$F$89*'Plan mensual'!M118+parametros_recargas!$G$89*'Plan mensual'!M119+parametros_recargas!$H$89*'Plan mensual'!M120+parametros_recargas!$I$89*'Plan mensual'!M121+parametros_recargas!$J$89*'Plan mensual'!M122+parametros_recargas!$K$89*'Plan mensual'!M123+parametros_recargas!$L$89*'Plan mensual'!M124</f>
        <v>9.86733947307108</v>
      </c>
      <c r="L115" s="25" t="n">
        <f aca="false">parametros_recargas!$E$89*'Plan mensual'!N117+parametros_recargas!$F$89*'Plan mensual'!N118+parametros_recargas!$G$89*'Plan mensual'!N119+parametros_recargas!$H$89*'Plan mensual'!N120+parametros_recargas!$I$89*'Plan mensual'!N121+parametros_recargas!$J$89*'Plan mensual'!N122+parametros_recargas!$K$89*'Plan mensual'!N123+parametros_recargas!$L$89*'Plan mensual'!N124</f>
        <v>10.1876364539535</v>
      </c>
      <c r="M115" s="25" t="n">
        <f aca="false">parametros_recargas!$E$89*'Plan mensual'!O117+parametros_recargas!$F$89*'Plan mensual'!O118+parametros_recargas!$G$89*'Plan mensual'!O119+parametros_recargas!$H$89*'Plan mensual'!O120+parametros_recargas!$I$89*'Plan mensual'!O121+parametros_recargas!$J$89*'Plan mensual'!O122+parametros_recargas!$K$89*'Plan mensual'!O123+parametros_recargas!$L$89*'Plan mensual'!O124</f>
        <v>10.5184189307051</v>
      </c>
      <c r="N115" s="7" t="n">
        <f aca="false">SUM(B115:M115)</f>
        <v>106.539708727094</v>
      </c>
      <c r="O115" s="26" t="n">
        <f aca="false">MAX(B115:M115)</f>
        <v>10.5184189307051</v>
      </c>
      <c r="P115" s="15" t="n">
        <f aca="false">O115/parametros_recargas!$B$6</f>
        <v>0.0701227928713672</v>
      </c>
    </row>
    <row r="116" customFormat="false" ht="15" hidden="false" customHeight="false" outlineLevel="0" collapsed="false">
      <c r="A116" s="12" t="str">
        <f aca="false">parametros_recargas!$B$90</f>
        <v>Carga de agua / AFFF / sales K</v>
      </c>
      <c r="B116" s="25" t="n">
        <f aca="false">parametros_recargas!$E$90*'Plan mensual'!D117+parametros_recargas!$F$90*'Plan mensual'!D118+parametros_recargas!$G$90*'Plan mensual'!D119+parametros_recargas!$H$90*'Plan mensual'!D120+parametros_recargas!$I$90*'Plan mensual'!D121+parametros_recargas!$J$90*'Plan mensual'!D122+parametros_recargas!$K$90*'Plan mensual'!D123+parametros_recargas!$L$90*'Plan mensual'!D124</f>
        <v>272.583751785404</v>
      </c>
      <c r="C116" s="25" t="n">
        <f aca="false">parametros_recargas!$E$90*'Plan mensual'!E117+parametros_recargas!$F$90*'Plan mensual'!E118+parametros_recargas!$G$90*'Plan mensual'!E119+parametros_recargas!$H$90*'Plan mensual'!E120+parametros_recargas!$I$90*'Plan mensual'!E121+parametros_recargas!$J$90*'Plan mensual'!E122+parametros_recargas!$K$90*'Plan mensual'!E123+parametros_recargas!$L$90*'Plan mensual'!E124</f>
        <v>281.469076639234</v>
      </c>
      <c r="D116" s="25" t="n">
        <f aca="false">parametros_recargas!$E$90*'Plan mensual'!F117+parametros_recargas!$F$90*'Plan mensual'!F118+parametros_recargas!$G$90*'Plan mensual'!F119+parametros_recargas!$H$90*'Plan mensual'!F120+parametros_recargas!$I$90*'Plan mensual'!F121+parametros_recargas!$J$90*'Plan mensual'!F122+parametros_recargas!$K$90*'Plan mensual'!F123+parametros_recargas!$L$90*'Plan mensual'!F124</f>
        <v>290.645278530976</v>
      </c>
      <c r="E116" s="25" t="n">
        <f aca="false">parametros_recargas!$E$90*'Plan mensual'!G117+parametros_recargas!$F$90*'Plan mensual'!G118+parametros_recargas!$G$90*'Plan mensual'!G119+parametros_recargas!$H$90*'Plan mensual'!G120+parametros_recargas!$I$90*'Plan mensual'!G121+parametros_recargas!$J$90*'Plan mensual'!G122+parametros_recargas!$K$90*'Plan mensual'!G123+parametros_recargas!$L$90*'Plan mensual'!G124</f>
        <v>300.121879841924</v>
      </c>
      <c r="F116" s="25" t="n">
        <f aca="false">parametros_recargas!$E$90*'Plan mensual'!H117+parametros_recargas!$F$90*'Plan mensual'!H118+parametros_recargas!$G$90*'Plan mensual'!H119+parametros_recargas!$H$90*'Plan mensual'!H120+parametros_recargas!$I$90*'Plan mensual'!H121+parametros_recargas!$J$90*'Plan mensual'!H122+parametros_recargas!$K$90*'Plan mensual'!H123+parametros_recargas!$L$90*'Plan mensual'!H124</f>
        <v>309.908714685596</v>
      </c>
      <c r="G116" s="25" t="n">
        <f aca="false">parametros_recargas!$E$90*'Plan mensual'!I117+parametros_recargas!$F$90*'Plan mensual'!I118+parametros_recargas!$G$90*'Plan mensual'!I119+parametros_recargas!$H$90*'Plan mensual'!I120+parametros_recargas!$I$90*'Plan mensual'!I121+parametros_recargas!$J$90*'Plan mensual'!I122+parametros_recargas!$K$90*'Plan mensual'!I123+parametros_recargas!$L$90*'Plan mensual'!I124</f>
        <v>320.015939112845</v>
      </c>
      <c r="H116" s="25" t="n">
        <f aca="false">parametros_recargas!$E$90*'Plan mensual'!J117+parametros_recargas!$F$90*'Plan mensual'!J118+parametros_recargas!$G$90*'Plan mensual'!J119+parametros_recargas!$H$90*'Plan mensual'!J120+parametros_recargas!$I$90*'Plan mensual'!J121+parametros_recargas!$J$90*'Plan mensual'!J122+parametros_recargas!$K$90*'Plan mensual'!J123+parametros_recargas!$L$90*'Plan mensual'!J124</f>
        <v>330.454041651056</v>
      </c>
      <c r="I116" s="25" t="n">
        <f aca="false">parametros_recargas!$E$90*'Plan mensual'!K117+parametros_recargas!$F$90*'Plan mensual'!K118+parametros_recargas!$G$90*'Plan mensual'!K119+parametros_recargas!$H$90*'Plan mensual'!K120+parametros_recargas!$I$90*'Plan mensual'!K121+parametros_recargas!$J$90*'Plan mensual'!K122+parametros_recargas!$K$90*'Plan mensual'!K123+parametros_recargas!$L$90*'Plan mensual'!K124</f>
        <v>341.233854188358</v>
      </c>
      <c r="J116" s="25" t="n">
        <f aca="false">parametros_recargas!$E$90*'Plan mensual'!L117+parametros_recargas!$F$90*'Plan mensual'!L118+parametros_recargas!$G$90*'Plan mensual'!L119+parametros_recargas!$H$90*'Plan mensual'!L120+parametros_recargas!$I$90*'Plan mensual'!L121+parametros_recargas!$J$90*'Plan mensual'!L122+parametros_recargas!$K$90*'Plan mensual'!L123+parametros_recargas!$L$90*'Plan mensual'!L124</f>
        <v>352.366563214161</v>
      </c>
      <c r="K116" s="25" t="n">
        <f aca="false">parametros_recargas!$E$90*'Plan mensual'!M117+parametros_recargas!$F$90*'Plan mensual'!M118+parametros_recargas!$G$90*'Plan mensual'!M119+parametros_recargas!$H$90*'Plan mensual'!M120+parametros_recargas!$I$90*'Plan mensual'!M121+parametros_recargas!$J$90*'Plan mensual'!M122+parametros_recargas!$K$90*'Plan mensual'!M123+parametros_recargas!$L$90*'Plan mensual'!M124</f>
        <v>363.863721427656</v>
      </c>
      <c r="L116" s="25" t="n">
        <f aca="false">parametros_recargas!$E$90*'Plan mensual'!N117+parametros_recargas!$F$90*'Plan mensual'!N118+parametros_recargas!$G$90*'Plan mensual'!N119+parametros_recargas!$H$90*'Plan mensual'!N120+parametros_recargas!$I$90*'Plan mensual'!N121+parametros_recargas!$J$90*'Plan mensual'!N122+parametros_recargas!$K$90*'Plan mensual'!N123+parametros_recargas!$L$90*'Plan mensual'!N124</f>
        <v>375.737259726355</v>
      </c>
      <c r="M116" s="25" t="n">
        <f aca="false">parametros_recargas!$E$90*'Plan mensual'!O117+parametros_recargas!$F$90*'Plan mensual'!O118+parametros_recargas!$G$90*'Plan mensual'!O119+parametros_recargas!$H$90*'Plan mensual'!O120+parametros_recargas!$I$90*'Plan mensual'!O121+parametros_recargas!$J$90*'Plan mensual'!O122+parametros_recargas!$K$90*'Plan mensual'!O123+parametros_recargas!$L$90*'Plan mensual'!O124</f>
        <v>387.999499587088</v>
      </c>
      <c r="N116" s="7" t="n">
        <f aca="false">SUM(B116:M116)</f>
        <v>3926.39958039065</v>
      </c>
      <c r="O116" s="26" t="n">
        <f aca="false">MAX(B116:M116)</f>
        <v>387.999499587088</v>
      </c>
      <c r="P116" s="15" t="n">
        <f aca="false">O116/parametros_recargas!$B$6</f>
        <v>2.58666333058059</v>
      </c>
    </row>
    <row r="117" customFormat="false" ht="15" hidden="false" customHeight="false" outlineLevel="0" collapsed="false">
      <c r="A117" s="12" t="str">
        <f aca="false">parametros_recargas!$B$91</f>
        <v>Carga de CO₂</v>
      </c>
      <c r="B117" s="25" t="n">
        <f aca="false">parametros_recargas!$E$91*'Plan mensual'!D117+parametros_recargas!$F$91*'Plan mensual'!D118+parametros_recargas!$G$91*'Plan mensual'!D119+parametros_recargas!$H$91*'Plan mensual'!D120+parametros_recargas!$I$91*'Plan mensual'!D121+parametros_recargas!$J$91*'Plan mensual'!D122+parametros_recargas!$K$91*'Plan mensual'!D123+parametros_recargas!$L$91*'Plan mensual'!D124</f>
        <v>148.976847314099</v>
      </c>
      <c r="C117" s="25" t="n">
        <f aca="false">parametros_recargas!$E$91*'Plan mensual'!E117+parametros_recargas!$F$91*'Plan mensual'!E118+parametros_recargas!$G$91*'Plan mensual'!E119+parametros_recargas!$H$91*'Plan mensual'!E120+parametros_recargas!$I$91*'Plan mensual'!E121+parametros_recargas!$J$91*'Plan mensual'!E122+parametros_recargas!$K$91*'Plan mensual'!E123+parametros_recargas!$L$91*'Plan mensual'!E124</f>
        <v>153.836684667226</v>
      </c>
      <c r="D117" s="25" t="n">
        <f aca="false">parametros_recargas!$E$91*'Plan mensual'!F117+parametros_recargas!$F$91*'Plan mensual'!F118+parametros_recargas!$G$91*'Plan mensual'!F119+parametros_recargas!$H$91*'Plan mensual'!F120+parametros_recargas!$I$91*'Plan mensual'!F121+parametros_recargas!$J$91*'Plan mensual'!F122+parametros_recargas!$K$91*'Plan mensual'!F123+parametros_recargas!$L$91*'Plan mensual'!F124</f>
        <v>158.855617508393</v>
      </c>
      <c r="E117" s="25" t="n">
        <f aca="false">parametros_recargas!$E$91*'Plan mensual'!G117+parametros_recargas!$F$91*'Plan mensual'!G118+parametros_recargas!$G$91*'Plan mensual'!G119+parametros_recargas!$H$91*'Plan mensual'!G120+parametros_recargas!$I$91*'Plan mensual'!G121+parametros_recargas!$J$91*'Plan mensual'!G122+parametros_recargas!$K$91*'Plan mensual'!G123+parametros_recargas!$L$91*'Plan mensual'!G124</f>
        <v>164.038854113612</v>
      </c>
      <c r="F117" s="25" t="n">
        <f aca="false">parametros_recargas!$E$91*'Plan mensual'!H117+parametros_recargas!$F$91*'Plan mensual'!H118+parametros_recargas!$G$91*'Plan mensual'!H119+parametros_recargas!$H$91*'Plan mensual'!H120+parametros_recargas!$I$91*'Plan mensual'!H121+parametros_recargas!$J$91*'Plan mensual'!H122+parametros_recargas!$K$91*'Plan mensual'!H123+parametros_recargas!$L$91*'Plan mensual'!H124</f>
        <v>169.391773261151</v>
      </c>
      <c r="G117" s="25" t="n">
        <f aca="false">parametros_recargas!$E$91*'Plan mensual'!I117+parametros_recargas!$F$91*'Plan mensual'!I118+parametros_recargas!$G$91*'Plan mensual'!I119+parametros_recargas!$H$91*'Plan mensual'!I120+parametros_recargas!$I$91*'Plan mensual'!I121+parametros_recargas!$J$91*'Plan mensual'!I122+parametros_recargas!$K$91*'Plan mensual'!I123+parametros_recargas!$L$91*'Plan mensual'!I124</f>
        <v>174.919929813222</v>
      </c>
      <c r="H117" s="25" t="n">
        <f aca="false">parametros_recargas!$E$91*'Plan mensual'!J117+parametros_recargas!$F$91*'Plan mensual'!J118+parametros_recargas!$G$91*'Plan mensual'!J119+parametros_recargas!$H$91*'Plan mensual'!J120+parametros_recargas!$I$91*'Plan mensual'!J121+parametros_recargas!$J$91*'Plan mensual'!J122+parametros_recargas!$K$91*'Plan mensual'!J123+parametros_recargas!$L$91*'Plan mensual'!J124</f>
        <v>180.629060480415</v>
      </c>
      <c r="I117" s="25" t="n">
        <f aca="false">parametros_recargas!$E$91*'Plan mensual'!K117+parametros_recargas!$F$91*'Plan mensual'!K118+parametros_recargas!$G$91*'Plan mensual'!K119+parametros_recargas!$H$91*'Plan mensual'!K120+parametros_recargas!$I$91*'Plan mensual'!K121+parametros_recargas!$J$91*'Plan mensual'!K122+parametros_recargas!$K$91*'Plan mensual'!K123+parametros_recargas!$L$91*'Plan mensual'!K124</f>
        <v>186.52508977482</v>
      </c>
      <c r="J117" s="25" t="n">
        <f aca="false">parametros_recargas!$E$91*'Plan mensual'!L117+parametros_recargas!$F$91*'Plan mensual'!L118+parametros_recargas!$G$91*'Plan mensual'!L119+parametros_recargas!$H$91*'Plan mensual'!L120+parametros_recargas!$I$91*'Plan mensual'!L121+parametros_recargas!$J$91*'Plan mensual'!L122+parametros_recargas!$K$91*'Plan mensual'!L123+parametros_recargas!$L$91*'Plan mensual'!L124</f>
        <v>192.614136158056</v>
      </c>
      <c r="K117" s="25" t="n">
        <f aca="false">parametros_recargas!$E$91*'Plan mensual'!M117+parametros_recargas!$F$91*'Plan mensual'!M118+parametros_recargas!$G$91*'Plan mensual'!M119+parametros_recargas!$H$91*'Plan mensual'!M120+parametros_recargas!$I$91*'Plan mensual'!M121+parametros_recargas!$J$91*'Plan mensual'!M122+parametros_recargas!$K$91*'Plan mensual'!M123+parametros_recargas!$L$91*'Plan mensual'!M124</f>
        <v>198.90251839055</v>
      </c>
      <c r="L117" s="25" t="n">
        <f aca="false">parametros_recargas!$E$91*'Plan mensual'!N117+parametros_recargas!$F$91*'Plan mensual'!N118+parametros_recargas!$G$91*'Plan mensual'!N119+parametros_recargas!$H$91*'Plan mensual'!N120+parametros_recargas!$I$91*'Plan mensual'!N121+parametros_recargas!$J$91*'Plan mensual'!N122+parametros_recargas!$K$91*'Plan mensual'!N123+parametros_recargas!$L$91*'Plan mensual'!N124</f>
        <v>205.396762088678</v>
      </c>
      <c r="M117" s="25" t="n">
        <f aca="false">parametros_recargas!$E$91*'Plan mensual'!O117+parametros_recargas!$F$91*'Plan mensual'!O118+parametros_recargas!$G$91*'Plan mensual'!O119+parametros_recargas!$H$91*'Plan mensual'!O120+parametros_recargas!$I$91*'Plan mensual'!O121+parametros_recargas!$J$91*'Plan mensual'!O122+parametros_recargas!$K$91*'Plan mensual'!O123+parametros_recargas!$L$91*'Plan mensual'!O124</f>
        <v>212.103606496568</v>
      </c>
      <c r="N117" s="7" t="n">
        <f aca="false">SUM(B117:M117)</f>
        <v>2146.19088006679</v>
      </c>
      <c r="O117" s="26" t="n">
        <f aca="false">MAX(B117:M117)</f>
        <v>212.103606496568</v>
      </c>
      <c r="P117" s="15" t="n">
        <f aca="false">O117/parametros_recargas!$B$6</f>
        <v>1.41402404331045</v>
      </c>
    </row>
    <row r="118" customFormat="false" ht="15" hidden="false" customHeight="false" outlineLevel="0" collapsed="false">
      <c r="A118" s="12" t="str">
        <f aca="false">parametros_recargas!$B$92</f>
        <v>Ensamblaje y marbete — recinto</v>
      </c>
      <c r="B118" s="25" t="n">
        <f aca="false">parametros_recargas!$E$92*'Plan mensual'!D117+parametros_recargas!$F$92*'Plan mensual'!D118+parametros_recargas!$G$92*'Plan mensual'!D119+parametros_recargas!$H$92*'Plan mensual'!D120+parametros_recargas!$I$92*'Plan mensual'!D121+parametros_recargas!$J$92*'Plan mensual'!D122+parametros_recargas!$K$92*'Plan mensual'!D123+parametros_recargas!$L$92*'Plan mensual'!D124</f>
        <v>5014.49920928822</v>
      </c>
      <c r="C118" s="25" t="n">
        <f aca="false">parametros_recargas!$E$92*'Plan mensual'!E117+parametros_recargas!$F$92*'Plan mensual'!E118+parametros_recargas!$G$92*'Plan mensual'!E119+parametros_recargas!$H$92*'Plan mensual'!E120+parametros_recargas!$I$92*'Plan mensual'!E121+parametros_recargas!$J$92*'Plan mensual'!E122+parametros_recargas!$K$92*'Plan mensual'!E123+parametros_recargas!$L$92*'Plan mensual'!E124</f>
        <v>5178.38775191365</v>
      </c>
      <c r="D118" s="25" t="n">
        <f aca="false">parametros_recargas!$E$92*'Plan mensual'!F117+parametros_recargas!$F$92*'Plan mensual'!F118+parametros_recargas!$G$92*'Plan mensual'!F119+parametros_recargas!$H$92*'Plan mensual'!F120+parametros_recargas!$I$92*'Plan mensual'!F121+parametros_recargas!$J$92*'Plan mensual'!F122+parametros_recargas!$K$92*'Plan mensual'!F123+parametros_recargas!$L$92*'Plan mensual'!F124</f>
        <v>5347.64147978677</v>
      </c>
      <c r="E118" s="25" t="n">
        <f aca="false">parametros_recargas!$E$92*'Plan mensual'!G117+parametros_recargas!$F$92*'Plan mensual'!G118+parametros_recargas!$G$92*'Plan mensual'!G119+parametros_recargas!$H$92*'Plan mensual'!G120+parametros_recargas!$I$92*'Plan mensual'!G121+parametros_recargas!$J$92*'Plan mensual'!G122+parametros_recargas!$K$92*'Plan mensual'!G123+parametros_recargas!$L$92*'Plan mensual'!G124</f>
        <v>5522.43603186488</v>
      </c>
      <c r="F118" s="25" t="n">
        <f aca="false">parametros_recargas!$E$92*'Plan mensual'!H117+parametros_recargas!$F$92*'Plan mensual'!H118+parametros_recargas!$G$92*'Plan mensual'!H119+parametros_recargas!$H$92*'Plan mensual'!H120+parametros_recargas!$I$92*'Plan mensual'!H121+parametros_recargas!$J$92*'Plan mensual'!H122+parametros_recargas!$K$92*'Plan mensual'!H123+parametros_recargas!$L$92*'Plan mensual'!H124</f>
        <v>5702.95279696143</v>
      </c>
      <c r="G118" s="25" t="n">
        <f aca="false">parametros_recargas!$E$92*'Plan mensual'!I117+parametros_recargas!$F$92*'Plan mensual'!I118+parametros_recargas!$G$92*'Plan mensual'!I119+parametros_recargas!$H$92*'Plan mensual'!I120+parametros_recargas!$I$92*'Plan mensual'!I121+parametros_recargas!$J$92*'Plan mensual'!I122+parametros_recargas!$K$92*'Plan mensual'!I123+parametros_recargas!$L$92*'Plan mensual'!I124</f>
        <v>5889.37910197785</v>
      </c>
      <c r="H118" s="25" t="n">
        <f aca="false">parametros_recargas!$E$92*'Plan mensual'!J117+parametros_recargas!$F$92*'Plan mensual'!J118+parametros_recargas!$G$92*'Plan mensual'!J119+parametros_recargas!$H$92*'Plan mensual'!J120+parametros_recargas!$I$92*'Plan mensual'!J121+parametros_recargas!$J$92*'Plan mensual'!J122+parametros_recargas!$K$92*'Plan mensual'!J123+parametros_recargas!$L$92*'Plan mensual'!J124</f>
        <v>6081.90840629752</v>
      </c>
      <c r="I118" s="25" t="n">
        <f aca="false">parametros_recargas!$E$92*'Plan mensual'!K117+parametros_recargas!$F$92*'Plan mensual'!K118+parametros_recargas!$G$92*'Plan mensual'!K119+parametros_recargas!$H$92*'Plan mensual'!K120+parametros_recargas!$I$92*'Plan mensual'!K121+parametros_recargas!$J$92*'Plan mensual'!K122+parametros_recargas!$K$92*'Plan mensual'!K123+parametros_recargas!$L$92*'Plan mensual'!K124</f>
        <v>6280.74050254356</v>
      </c>
      <c r="J118" s="25" t="n">
        <f aca="false">parametros_recargas!$E$92*'Plan mensual'!L117+parametros_recargas!$F$92*'Plan mensual'!L118+parametros_recargas!$G$92*'Plan mensual'!L119+parametros_recargas!$H$92*'Plan mensual'!L120+parametros_recargas!$I$92*'Plan mensual'!L121+parametros_recargas!$J$92*'Plan mensual'!L122+parametros_recargas!$K$92*'Plan mensual'!L123+parametros_recargas!$L$92*'Plan mensual'!L124</f>
        <v>6486.08172390875</v>
      </c>
      <c r="K118" s="25" t="n">
        <f aca="false">parametros_recargas!$E$92*'Plan mensual'!M117+parametros_recargas!$F$92*'Plan mensual'!M118+parametros_recargas!$G$92*'Plan mensual'!M119+parametros_recargas!$H$92*'Plan mensual'!M120+parametros_recargas!$I$92*'Plan mensual'!M121+parametros_recargas!$J$92*'Plan mensual'!M122+parametros_recargas!$K$92*'Plan mensual'!M123+parametros_recargas!$L$92*'Plan mensual'!M124</f>
        <v>6698.14515827284</v>
      </c>
      <c r="L118" s="25" t="n">
        <f aca="false">parametros_recargas!$E$92*'Plan mensual'!N117+parametros_recargas!$F$92*'Plan mensual'!N118+parametros_recargas!$G$92*'Plan mensual'!N119+parametros_recargas!$H$92*'Plan mensual'!N120+parametros_recargas!$I$92*'Plan mensual'!N121+parametros_recargas!$J$92*'Plan mensual'!N122+parametros_recargas!$K$92*'Plan mensual'!N123+parametros_recargas!$L$92*'Plan mensual'!N124</f>
        <v>6917.15086932936</v>
      </c>
      <c r="M118" s="25" t="n">
        <f aca="false">parametros_recargas!$E$92*'Plan mensual'!O117+parametros_recargas!$F$92*'Plan mensual'!O118+parametros_recargas!$G$92*'Plan mensual'!O119+parametros_recargas!$H$92*'Plan mensual'!O120+parametros_recargas!$I$92*'Plan mensual'!O121+parametros_recargas!$J$92*'Plan mensual'!O122+parametros_recargas!$K$92*'Plan mensual'!O123+parametros_recargas!$L$92*'Plan mensual'!O124</f>
        <v>7143.32612495132</v>
      </c>
      <c r="N118" s="7" t="n">
        <f aca="false">SUM(B118:M118)</f>
        <v>72262.6491570961</v>
      </c>
      <c r="O118" s="26" t="n">
        <f aca="false">MAX(B118:M118)</f>
        <v>7143.32612495132</v>
      </c>
      <c r="P118" s="15" t="n">
        <f aca="false">O118/parametros_recargas!$B$6</f>
        <v>47.6221741663421</v>
      </c>
    </row>
    <row r="119" customFormat="false" ht="15" hidden="false" customHeight="false" outlineLevel="0" collapsed="false">
      <c r="A119" s="12" t="str">
        <f aca="false">parametros_recargas!$B$93</f>
        <v>Presurización — recinto</v>
      </c>
      <c r="B119" s="25" t="n">
        <f aca="false">parametros_recargas!$E$93*'Plan mensual'!D117+parametros_recargas!$F$93*'Plan mensual'!D118+parametros_recargas!$G$93*'Plan mensual'!D119+parametros_recargas!$H$93*'Plan mensual'!D120+parametros_recargas!$I$93*'Plan mensual'!D121+parametros_recargas!$J$93*'Plan mensual'!D122+parametros_recargas!$K$93*'Plan mensual'!D123+parametros_recargas!$L$93*'Plan mensual'!D124</f>
        <v>5014.49920928822</v>
      </c>
      <c r="C119" s="25" t="n">
        <f aca="false">parametros_recargas!$E$93*'Plan mensual'!E117+parametros_recargas!$F$93*'Plan mensual'!E118+parametros_recargas!$G$93*'Plan mensual'!E119+parametros_recargas!$H$93*'Plan mensual'!E120+parametros_recargas!$I$93*'Plan mensual'!E121+parametros_recargas!$J$93*'Plan mensual'!E122+parametros_recargas!$K$93*'Plan mensual'!E123+parametros_recargas!$L$93*'Plan mensual'!E124</f>
        <v>5178.38775191365</v>
      </c>
      <c r="D119" s="25" t="n">
        <f aca="false">parametros_recargas!$E$93*'Plan mensual'!F117+parametros_recargas!$F$93*'Plan mensual'!F118+parametros_recargas!$G$93*'Plan mensual'!F119+parametros_recargas!$H$93*'Plan mensual'!F120+parametros_recargas!$I$93*'Plan mensual'!F121+parametros_recargas!$J$93*'Plan mensual'!F122+parametros_recargas!$K$93*'Plan mensual'!F123+parametros_recargas!$L$93*'Plan mensual'!F124</f>
        <v>5347.64147978677</v>
      </c>
      <c r="E119" s="25" t="n">
        <f aca="false">parametros_recargas!$E$93*'Plan mensual'!G117+parametros_recargas!$F$93*'Plan mensual'!G118+parametros_recargas!$G$93*'Plan mensual'!G119+parametros_recargas!$H$93*'Plan mensual'!G120+parametros_recargas!$I$93*'Plan mensual'!G121+parametros_recargas!$J$93*'Plan mensual'!G122+parametros_recargas!$K$93*'Plan mensual'!G123+parametros_recargas!$L$93*'Plan mensual'!G124</f>
        <v>5522.43603186488</v>
      </c>
      <c r="F119" s="25" t="n">
        <f aca="false">parametros_recargas!$E$93*'Plan mensual'!H117+parametros_recargas!$F$93*'Plan mensual'!H118+parametros_recargas!$G$93*'Plan mensual'!H119+parametros_recargas!$H$93*'Plan mensual'!H120+parametros_recargas!$I$93*'Plan mensual'!H121+parametros_recargas!$J$93*'Plan mensual'!H122+parametros_recargas!$K$93*'Plan mensual'!H123+parametros_recargas!$L$93*'Plan mensual'!H124</f>
        <v>5702.95279696143</v>
      </c>
      <c r="G119" s="25" t="n">
        <f aca="false">parametros_recargas!$E$93*'Plan mensual'!I117+parametros_recargas!$F$93*'Plan mensual'!I118+parametros_recargas!$G$93*'Plan mensual'!I119+parametros_recargas!$H$93*'Plan mensual'!I120+parametros_recargas!$I$93*'Plan mensual'!I121+parametros_recargas!$J$93*'Plan mensual'!I122+parametros_recargas!$K$93*'Plan mensual'!I123+parametros_recargas!$L$93*'Plan mensual'!I124</f>
        <v>5889.37910197785</v>
      </c>
      <c r="H119" s="25" t="n">
        <f aca="false">parametros_recargas!$E$93*'Plan mensual'!J117+parametros_recargas!$F$93*'Plan mensual'!J118+parametros_recargas!$G$93*'Plan mensual'!J119+parametros_recargas!$H$93*'Plan mensual'!J120+parametros_recargas!$I$93*'Plan mensual'!J121+parametros_recargas!$J$93*'Plan mensual'!J122+parametros_recargas!$K$93*'Plan mensual'!J123+parametros_recargas!$L$93*'Plan mensual'!J124</f>
        <v>6081.90840629752</v>
      </c>
      <c r="I119" s="25" t="n">
        <f aca="false">parametros_recargas!$E$93*'Plan mensual'!K117+parametros_recargas!$F$93*'Plan mensual'!K118+parametros_recargas!$G$93*'Plan mensual'!K119+parametros_recargas!$H$93*'Plan mensual'!K120+parametros_recargas!$I$93*'Plan mensual'!K121+parametros_recargas!$J$93*'Plan mensual'!K122+parametros_recargas!$K$93*'Plan mensual'!K123+parametros_recargas!$L$93*'Plan mensual'!K124</f>
        <v>6280.74050254356</v>
      </c>
      <c r="J119" s="25" t="n">
        <f aca="false">parametros_recargas!$E$93*'Plan mensual'!L117+parametros_recargas!$F$93*'Plan mensual'!L118+parametros_recargas!$G$93*'Plan mensual'!L119+parametros_recargas!$H$93*'Plan mensual'!L120+parametros_recargas!$I$93*'Plan mensual'!L121+parametros_recargas!$J$93*'Plan mensual'!L122+parametros_recargas!$K$93*'Plan mensual'!L123+parametros_recargas!$L$93*'Plan mensual'!L124</f>
        <v>6486.08172390875</v>
      </c>
      <c r="K119" s="25" t="n">
        <f aca="false">parametros_recargas!$E$93*'Plan mensual'!M117+parametros_recargas!$F$93*'Plan mensual'!M118+parametros_recargas!$G$93*'Plan mensual'!M119+parametros_recargas!$H$93*'Plan mensual'!M120+parametros_recargas!$I$93*'Plan mensual'!M121+parametros_recargas!$J$93*'Plan mensual'!M122+parametros_recargas!$K$93*'Plan mensual'!M123+parametros_recargas!$L$93*'Plan mensual'!M124</f>
        <v>6698.14515827284</v>
      </c>
      <c r="L119" s="25" t="n">
        <f aca="false">parametros_recargas!$E$93*'Plan mensual'!N117+parametros_recargas!$F$93*'Plan mensual'!N118+parametros_recargas!$G$93*'Plan mensual'!N119+parametros_recargas!$H$93*'Plan mensual'!N120+parametros_recargas!$I$93*'Plan mensual'!N121+parametros_recargas!$J$93*'Plan mensual'!N122+parametros_recargas!$K$93*'Plan mensual'!N123+parametros_recargas!$L$93*'Plan mensual'!N124</f>
        <v>6917.15086932936</v>
      </c>
      <c r="M119" s="25" t="n">
        <f aca="false">parametros_recargas!$E$93*'Plan mensual'!O117+parametros_recargas!$F$93*'Plan mensual'!O118+parametros_recargas!$G$93*'Plan mensual'!O119+parametros_recargas!$H$93*'Plan mensual'!O120+parametros_recargas!$I$93*'Plan mensual'!O121+parametros_recargas!$J$93*'Plan mensual'!O122+parametros_recargas!$K$93*'Plan mensual'!O123+parametros_recargas!$L$93*'Plan mensual'!O124</f>
        <v>7143.32612495132</v>
      </c>
      <c r="N119" s="7" t="n">
        <f aca="false">SUM(B119:M119)</f>
        <v>72262.6491570961</v>
      </c>
      <c r="O119" s="26" t="n">
        <f aca="false">MAX(B119:M119)</f>
        <v>7143.32612495132</v>
      </c>
      <c r="P119" s="15" t="n">
        <f aca="false">O119/parametros_recargas!$B$6</f>
        <v>47.6221741663421</v>
      </c>
    </row>
    <row r="120" customFormat="false" ht="15" hidden="false" customHeight="false" outlineLevel="0" collapsed="false">
      <c r="A120" s="12" t="str">
        <f aca="false">parametros_recargas!$B$94</f>
        <v>Ensamblaje y presurización — zona general</v>
      </c>
      <c r="B120" s="25" t="n">
        <f aca="false">parametros_recargas!$E$94*'Plan mensual'!D117+parametros_recargas!$F$94*'Plan mensual'!D118+parametros_recargas!$G$94*'Plan mensual'!D119+parametros_recargas!$H$94*'Plan mensual'!D120+parametros_recargas!$I$94*'Plan mensual'!D121+parametros_recargas!$J$94*'Plan mensual'!D122+parametros_recargas!$K$94*'Plan mensual'!D123+parametros_recargas!$L$94*'Plan mensual'!D124</f>
        <v>401.698544957249</v>
      </c>
      <c r="C120" s="25" t="n">
        <f aca="false">parametros_recargas!$E$94*'Plan mensual'!E117+parametros_recargas!$F$94*'Plan mensual'!E118+parametros_recargas!$G$94*'Plan mensual'!E119+parametros_recargas!$H$94*'Plan mensual'!E120+parametros_recargas!$I$94*'Plan mensual'!E121+parametros_recargas!$J$94*'Plan mensual'!E122+parametros_recargas!$K$94*'Plan mensual'!E123+parametros_recargas!$L$94*'Plan mensual'!E124</f>
        <v>414.795669667778</v>
      </c>
      <c r="D120" s="25" t="n">
        <f aca="false">parametros_recargas!$E$94*'Plan mensual'!F117+parametros_recargas!$F$94*'Plan mensual'!F118+parametros_recargas!$G$94*'Plan mensual'!F119+parametros_recargas!$H$94*'Plan mensual'!F120+parametros_recargas!$I$94*'Plan mensual'!F121+parametros_recargas!$J$94*'Plan mensual'!F122+parametros_recargas!$K$94*'Plan mensual'!F123+parametros_recargas!$L$94*'Plan mensual'!F124</f>
        <v>428.321552235069</v>
      </c>
      <c r="E120" s="25" t="n">
        <f aca="false">parametros_recargas!$E$94*'Plan mensual'!G117+parametros_recargas!$F$94*'Plan mensual'!G118+parametros_recargas!$G$94*'Plan mensual'!G119+parametros_recargas!$H$94*'Plan mensual'!G120+parametros_recargas!$I$94*'Plan mensual'!G121+parametros_recargas!$J$94*'Plan mensual'!G122+parametros_recargas!$K$94*'Plan mensual'!G123+parametros_recargas!$L$94*'Plan mensual'!G124</f>
        <v>442.290228816202</v>
      </c>
      <c r="F120" s="25" t="n">
        <f aca="false">parametros_recargas!$E$94*'Plan mensual'!H117+parametros_recargas!$F$94*'Plan mensual'!H118+parametros_recargas!$G$94*'Plan mensual'!H119+parametros_recargas!$H$94*'Plan mensual'!H120+parametros_recargas!$I$94*'Plan mensual'!H121+parametros_recargas!$J$94*'Plan mensual'!H122+parametros_recargas!$K$94*'Plan mensual'!H123+parametros_recargas!$L$94*'Plan mensual'!H124</f>
        <v>456.716195067023</v>
      </c>
      <c r="G120" s="25" t="n">
        <f aca="false">parametros_recargas!$E$94*'Plan mensual'!I117+parametros_recargas!$F$94*'Plan mensual'!I118+parametros_recargas!$G$94*'Plan mensual'!I119+parametros_recargas!$H$94*'Plan mensual'!I120+parametros_recargas!$I$94*'Plan mensual'!I121+parametros_recargas!$J$94*'Plan mensual'!I122+parametros_recargas!$K$94*'Plan mensual'!I123+parametros_recargas!$L$94*'Plan mensual'!I124</f>
        <v>471.614421184657</v>
      </c>
      <c r="H120" s="25" t="n">
        <f aca="false">parametros_recargas!$E$94*'Plan mensual'!J117+parametros_recargas!$F$94*'Plan mensual'!J118+parametros_recargas!$G$94*'Plan mensual'!J119+parametros_recargas!$H$94*'Plan mensual'!J120+parametros_recargas!$I$94*'Plan mensual'!J121+parametros_recargas!$J$94*'Plan mensual'!J122+parametros_recargas!$K$94*'Plan mensual'!J123+parametros_recargas!$L$94*'Plan mensual'!J124</f>
        <v>487.00036744247</v>
      </c>
      <c r="I120" s="25" t="n">
        <f aca="false">parametros_recargas!$E$94*'Plan mensual'!K117+parametros_recargas!$F$94*'Plan mensual'!K118+parametros_recargas!$G$94*'Plan mensual'!K119+parametros_recargas!$H$94*'Plan mensual'!K120+parametros_recargas!$I$94*'Plan mensual'!K121+parametros_recargas!$J$94*'Plan mensual'!K122+parametros_recargas!$K$94*'Plan mensual'!K123+parametros_recargas!$L$94*'Plan mensual'!K124</f>
        <v>502.890000233591</v>
      </c>
      <c r="J120" s="25" t="n">
        <f aca="false">parametros_recargas!$E$94*'Plan mensual'!L117+parametros_recargas!$F$94*'Plan mensual'!L118+parametros_recargas!$G$94*'Plan mensual'!L119+parametros_recargas!$H$94*'Plan mensual'!L120+parametros_recargas!$I$94*'Plan mensual'!L121+parametros_recargas!$J$94*'Plan mensual'!L122+parametros_recargas!$K$94*'Plan mensual'!L123+parametros_recargas!$L$94*'Plan mensual'!L124</f>
        <v>519.299808639654</v>
      </c>
      <c r="K120" s="25" t="n">
        <f aca="false">parametros_recargas!$E$94*'Plan mensual'!M117+parametros_recargas!$F$94*'Plan mensual'!M118+parametros_recargas!$G$94*'Plan mensual'!M119+parametros_recargas!$H$94*'Plan mensual'!M120+parametros_recargas!$I$94*'Plan mensual'!M121+parametros_recargas!$J$94*'Plan mensual'!M122+parametros_recargas!$K$94*'Plan mensual'!M123+parametros_recargas!$L$94*'Plan mensual'!M124</f>
        <v>536.246821541937</v>
      </c>
      <c r="L120" s="25" t="n">
        <f aca="false">parametros_recargas!$E$94*'Plan mensual'!N117+parametros_recargas!$F$94*'Plan mensual'!N118+parametros_recargas!$G$94*'Plan mensual'!N119+parametros_recargas!$H$94*'Plan mensual'!N120+parametros_recargas!$I$94*'Plan mensual'!N121+parametros_recargas!$J$94*'Plan mensual'!N122+parametros_recargas!$K$94*'Plan mensual'!N123+parametros_recargas!$L$94*'Plan mensual'!N124</f>
        <v>553.748625292678</v>
      </c>
      <c r="M120" s="25" t="n">
        <f aca="false">parametros_recargas!$E$94*'Plan mensual'!O117+parametros_recargas!$F$94*'Plan mensual'!O118+parametros_recargas!$G$94*'Plan mensual'!O119+parametros_recargas!$H$94*'Plan mensual'!O120+parametros_recargas!$I$94*'Plan mensual'!O121+parametros_recargas!$J$94*'Plan mensual'!O122+parametros_recargas!$K$94*'Plan mensual'!O123+parametros_recargas!$L$94*'Plan mensual'!O124</f>
        <v>571.82338196488</v>
      </c>
      <c r="N120" s="7" t="n">
        <f aca="false">SUM(B120:M120)</f>
        <v>5786.44561704319</v>
      </c>
      <c r="O120" s="26" t="n">
        <f aca="false">MAX(B120:M120)</f>
        <v>571.82338196488</v>
      </c>
      <c r="P120" s="15" t="n">
        <f aca="false">O120/parametros_recargas!$B$6</f>
        <v>3.81215587976586</v>
      </c>
    </row>
    <row r="121" customFormat="false" ht="15" hidden="false" customHeight="false" outlineLevel="0" collapsed="false">
      <c r="A121" s="12" t="str">
        <f aca="false">parametros_recargas!$B$95</f>
        <v>Carga y presurización de halogenado</v>
      </c>
      <c r="B121" s="25" t="n">
        <f aca="false">parametros_recargas!$E$95*'Plan mensual'!D117+parametros_recargas!$F$95*'Plan mensual'!D118+parametros_recargas!$G$95*'Plan mensual'!D119+parametros_recargas!$H$95*'Plan mensual'!D120+parametros_recargas!$I$95*'Plan mensual'!D121+parametros_recargas!$J$95*'Plan mensual'!D122+parametros_recargas!$K$95*'Plan mensual'!D123+parametros_recargas!$L$95*'Plan mensual'!D124</f>
        <v>4.96742041009541</v>
      </c>
      <c r="C121" s="25" t="n">
        <f aca="false">parametros_recargas!$E$95*'Plan mensual'!E117+parametros_recargas!$F$95*'Plan mensual'!E118+parametros_recargas!$G$95*'Plan mensual'!E119+parametros_recargas!$H$95*'Plan mensual'!E120+parametros_recargas!$I$95*'Plan mensual'!E121+parametros_recargas!$J$95*'Plan mensual'!E122+parametros_recargas!$K$95*'Plan mensual'!E123+parametros_recargas!$L$95*'Plan mensual'!E124</f>
        <v>5.12935580585562</v>
      </c>
      <c r="D121" s="25" t="n">
        <f aca="false">parametros_recargas!$E$95*'Plan mensual'!F117+parametros_recargas!$F$95*'Plan mensual'!F118+parametros_recargas!$G$95*'Plan mensual'!F119+parametros_recargas!$H$95*'Plan mensual'!F120+parametros_recargas!$I$95*'Plan mensual'!F121+parametros_recargas!$J$95*'Plan mensual'!F122+parametros_recargas!$K$95*'Plan mensual'!F123+parametros_recargas!$L$95*'Plan mensual'!F124</f>
        <v>5.29659244709945</v>
      </c>
      <c r="E121" s="25" t="n">
        <f aca="false">parametros_recargas!$E$95*'Plan mensual'!G117+parametros_recargas!$F$95*'Plan mensual'!G118+parametros_recargas!$G$95*'Plan mensual'!G119+parametros_recargas!$H$95*'Plan mensual'!G120+parametros_recargas!$I$95*'Plan mensual'!G121+parametros_recargas!$J$95*'Plan mensual'!G122+parametros_recargas!$K$95*'Plan mensual'!G123+parametros_recargas!$L$95*'Plan mensual'!G124</f>
        <v>5.46930387960141</v>
      </c>
      <c r="F121" s="25" t="n">
        <f aca="false">parametros_recargas!$E$95*'Plan mensual'!H117+parametros_recargas!$F$95*'Plan mensual'!H118+parametros_recargas!$G$95*'Plan mensual'!H119+parametros_recargas!$H$95*'Plan mensual'!H120+parametros_recargas!$I$95*'Plan mensual'!H121+parametros_recargas!$J$95*'Plan mensual'!H122+parametros_recargas!$K$95*'Plan mensual'!H123+parametros_recargas!$L$95*'Plan mensual'!H124</f>
        <v>5.64766933046806</v>
      </c>
      <c r="G121" s="25" t="n">
        <f aca="false">parametros_recargas!$E$95*'Plan mensual'!I117+parametros_recargas!$F$95*'Plan mensual'!I118+parametros_recargas!$G$95*'Plan mensual'!I119+parametros_recargas!$H$95*'Plan mensual'!I120+parametros_recargas!$I$95*'Plan mensual'!I121+parametros_recargas!$J$95*'Plan mensual'!I122+parametros_recargas!$K$95*'Plan mensual'!I123+parametros_recargas!$L$95*'Plan mensual'!I124</f>
        <v>5.83187389412658</v>
      </c>
      <c r="H121" s="25" t="n">
        <f aca="false">parametros_recargas!$E$95*'Plan mensual'!J117+parametros_recargas!$F$95*'Plan mensual'!J118+parametros_recargas!$G$95*'Plan mensual'!J119+parametros_recargas!$H$95*'Plan mensual'!J120+parametros_recargas!$I$95*'Plan mensual'!J121+parametros_recargas!$J$95*'Plan mensual'!J122+parametros_recargas!$K$95*'Plan mensual'!J123+parametros_recargas!$L$95*'Plan mensual'!J124</f>
        <v>6.02210872440206</v>
      </c>
      <c r="I121" s="25" t="n">
        <f aca="false">parametros_recargas!$E$95*'Plan mensual'!K117+parametros_recargas!$F$95*'Plan mensual'!K118+parametros_recargas!$G$95*'Plan mensual'!K119+parametros_recargas!$H$95*'Plan mensual'!K120+parametros_recargas!$I$95*'Plan mensual'!K121+parametros_recargas!$J$95*'Plan mensual'!K122+parametros_recargas!$K$95*'Plan mensual'!K123+parametros_recargas!$L$95*'Plan mensual'!K124</f>
        <v>6.21857123288273</v>
      </c>
      <c r="J121" s="25" t="n">
        <f aca="false">parametros_recargas!$E$95*'Plan mensual'!L117+parametros_recargas!$F$95*'Plan mensual'!L118+parametros_recargas!$G$95*'Plan mensual'!L119+parametros_recargas!$H$95*'Plan mensual'!L120+parametros_recargas!$I$95*'Plan mensual'!L121+parametros_recargas!$J$95*'Plan mensual'!L122+parametros_recargas!$K$95*'Plan mensual'!L123+parametros_recargas!$L$95*'Plan mensual'!L124</f>
        <v>6.42146529377907</v>
      </c>
      <c r="K121" s="25" t="n">
        <f aca="false">parametros_recargas!$E$95*'Plan mensual'!M117+parametros_recargas!$F$95*'Plan mensual'!M118+parametros_recargas!$G$95*'Plan mensual'!M119+parametros_recargas!$H$95*'Plan mensual'!M120+parametros_recargas!$I$95*'Plan mensual'!M121+parametros_recargas!$J$95*'Plan mensual'!M122+parametros_recargas!$K$95*'Plan mensual'!M123+parametros_recargas!$L$95*'Plan mensual'!M124</f>
        <v>6.63100145548932</v>
      </c>
      <c r="L121" s="25" t="n">
        <f aca="false">parametros_recargas!$E$95*'Plan mensual'!N117+parametros_recargas!$F$95*'Plan mensual'!N118+parametros_recargas!$G$95*'Plan mensual'!N119+parametros_recargas!$H$95*'Plan mensual'!N120+parametros_recargas!$I$95*'Plan mensual'!N121+parametros_recargas!$J$95*'Plan mensual'!N122+parametros_recargas!$K$95*'Plan mensual'!N123+parametros_recargas!$L$95*'Plan mensual'!N124</f>
        <v>6.84739715909099</v>
      </c>
      <c r="M121" s="25" t="n">
        <f aca="false">parametros_recargas!$E$95*'Plan mensual'!O117+parametros_recargas!$F$95*'Plan mensual'!O118+parametros_recargas!$G$95*'Plan mensual'!O119+parametros_recargas!$H$95*'Plan mensual'!O120+parametros_recargas!$I$95*'Plan mensual'!O121+parametros_recargas!$J$95*'Plan mensual'!O122+parametros_recargas!$K$95*'Plan mensual'!O123+parametros_recargas!$L$95*'Plan mensual'!O124</f>
        <v>7.07087696398509</v>
      </c>
      <c r="N121" s="7" t="n">
        <f aca="false">SUM(B121:M121)</f>
        <v>71.5536365968758</v>
      </c>
      <c r="O121" s="26" t="n">
        <f aca="false">MAX(B121:M121)</f>
        <v>7.07087696398509</v>
      </c>
      <c r="P121" s="15" t="n">
        <f aca="false">O121/parametros_recargas!$B$6</f>
        <v>0.0471391797599006</v>
      </c>
    </row>
    <row r="122" customFormat="false" ht="15" hidden="false" customHeight="false" outlineLevel="0" collapsed="false">
      <c r="A122" s="12" t="str">
        <f aca="false">parametros_recargas!$B$96</f>
        <v>Control de peso (CO₂ y halogenados sin recarga)</v>
      </c>
      <c r="B122" s="25" t="n">
        <f aca="false">parametros_recargas!$E$96*'Plan mensual'!D117+parametros_recargas!$F$96*'Plan mensual'!D118+parametros_recargas!$G$96*'Plan mensual'!D119+parametros_recargas!$H$96*'Plan mensual'!D120+parametros_recargas!$I$96*'Plan mensual'!D121+parametros_recargas!$J$96*'Plan mensual'!D122+parametros_recargas!$K$96*'Plan mensual'!D123+parametros_recargas!$L$96*'Plan mensual'!D124</f>
        <v>362.514904963184</v>
      </c>
      <c r="C122" s="25" t="n">
        <f aca="false">parametros_recargas!$E$96*'Plan mensual'!E117+parametros_recargas!$F$96*'Plan mensual'!E118+parametros_recargas!$G$96*'Plan mensual'!E119+parametros_recargas!$H$96*'Plan mensual'!E120+parametros_recargas!$I$96*'Plan mensual'!E121+parametros_recargas!$J$96*'Plan mensual'!E122+parametros_recargas!$K$96*'Plan mensual'!E123+parametros_recargas!$L$96*'Plan mensual'!E124</f>
        <v>374.340331641094</v>
      </c>
      <c r="D122" s="25" t="n">
        <f aca="false">parametros_recargas!$E$96*'Plan mensual'!F117+parametros_recargas!$F$96*'Plan mensual'!F118+parametros_recargas!$G$96*'Plan mensual'!F119+parametros_recargas!$H$96*'Plan mensual'!F120+parametros_recargas!$I$96*'Plan mensual'!F121+parametros_recargas!$J$96*'Plan mensual'!F122+parametros_recargas!$K$96*'Plan mensual'!F123+parametros_recargas!$L$96*'Plan mensual'!F124</f>
        <v>386.552884860881</v>
      </c>
      <c r="E122" s="25" t="n">
        <f aca="false">parametros_recargas!$E$96*'Plan mensual'!G117+parametros_recargas!$F$96*'Plan mensual'!G118+parametros_recargas!$G$96*'Plan mensual'!G119+parametros_recargas!$H$96*'Plan mensual'!G120+parametros_recargas!$I$96*'Plan mensual'!G121+parametros_recargas!$J$96*'Plan mensual'!G122+parametros_recargas!$K$96*'Plan mensual'!G123+parametros_recargas!$L$96*'Plan mensual'!G124</f>
        <v>399.1652379039</v>
      </c>
      <c r="F122" s="25" t="n">
        <f aca="false">parametros_recargas!$E$96*'Plan mensual'!H117+parametros_recargas!$F$96*'Plan mensual'!H118+parametros_recargas!$G$96*'Plan mensual'!H119+parametros_recargas!$H$96*'Plan mensual'!H120+parametros_recargas!$I$96*'Plan mensual'!H121+parametros_recargas!$J$96*'Plan mensual'!H122+parametros_recargas!$K$96*'Plan mensual'!H123+parametros_recargas!$L$96*'Plan mensual'!H124</f>
        <v>412.19047893409</v>
      </c>
      <c r="G122" s="25" t="n">
        <f aca="false">parametros_recargas!$E$96*'Plan mensual'!I117+parametros_recargas!$F$96*'Plan mensual'!I118+parametros_recargas!$G$96*'Plan mensual'!I119+parametros_recargas!$H$96*'Plan mensual'!I120+parametros_recargas!$I$96*'Plan mensual'!I121+parametros_recargas!$J$96*'Plan mensual'!I122+parametros_recargas!$K$96*'Plan mensual'!I123+parametros_recargas!$L$96*'Plan mensual'!I124</f>
        <v>425.642124579899</v>
      </c>
      <c r="H122" s="25" t="n">
        <f aca="false">parametros_recargas!$E$96*'Plan mensual'!J117+parametros_recargas!$F$96*'Plan mensual'!J118+parametros_recargas!$G$96*'Plan mensual'!J119+parametros_recargas!$H$96*'Plan mensual'!J120+parametros_recargas!$I$96*'Plan mensual'!J121+parametros_recargas!$J$96*'Plan mensual'!J122+parametros_recargas!$K$96*'Plan mensual'!J123+parametros_recargas!$L$96*'Plan mensual'!J124</f>
        <v>439.53413396084</v>
      </c>
      <c r="I122" s="25" t="n">
        <f aca="false">parametros_recargas!$E$96*'Plan mensual'!K117+parametros_recargas!$F$96*'Plan mensual'!K118+parametros_recargas!$G$96*'Plan mensual'!K119+parametros_recargas!$H$96*'Plan mensual'!K120+parametros_recargas!$I$96*'Plan mensual'!K121+parametros_recargas!$J$96*'Plan mensual'!K122+parametros_recargas!$K$96*'Plan mensual'!K123+parametros_recargas!$L$96*'Plan mensual'!K124</f>
        <v>453.880923173229</v>
      </c>
      <c r="J122" s="25" t="n">
        <f aca="false">parametros_recargas!$E$96*'Plan mensual'!L117+parametros_recargas!$F$96*'Plan mensual'!L118+parametros_recargas!$G$96*'Plan mensual'!L119+parametros_recargas!$H$96*'Plan mensual'!L120+parametros_recargas!$I$96*'Plan mensual'!L121+parametros_recargas!$J$96*'Plan mensual'!L122+parametros_recargas!$K$96*'Plan mensual'!L123+parametros_recargas!$L$96*'Plan mensual'!L124</f>
        <v>468.697380250136</v>
      </c>
      <c r="K122" s="25" t="n">
        <f aca="false">parametros_recargas!$E$96*'Plan mensual'!M117+parametros_recargas!$F$96*'Plan mensual'!M118+parametros_recargas!$G$96*'Plan mensual'!M119+parametros_recargas!$H$96*'Plan mensual'!M120+parametros_recargas!$I$96*'Plan mensual'!M121+parametros_recargas!$J$96*'Plan mensual'!M122+parametros_recargas!$K$96*'Plan mensual'!M123+parametros_recargas!$L$96*'Plan mensual'!M124</f>
        <v>483.998880611084</v>
      </c>
      <c r="L122" s="25" t="n">
        <f aca="false">parametros_recargas!$E$96*'Plan mensual'!N117+parametros_recargas!$F$96*'Plan mensual'!N118+parametros_recargas!$G$96*'Plan mensual'!N119+parametros_recargas!$H$96*'Plan mensual'!N120+parametros_recargas!$I$96*'Plan mensual'!N121+parametros_recargas!$J$96*'Plan mensual'!N122+parametros_recargas!$K$96*'Plan mensual'!N123+parametros_recargas!$L$96*'Plan mensual'!N124</f>
        <v>499.801303017521</v>
      </c>
      <c r="M122" s="25" t="n">
        <f aca="false">parametros_recargas!$E$96*'Plan mensual'!O117+parametros_recargas!$F$96*'Plan mensual'!O118+parametros_recargas!$G$96*'Plan mensual'!O119+parametros_recargas!$H$96*'Plan mensual'!O120+parametros_recargas!$I$96*'Plan mensual'!O121+parametros_recargas!$J$96*'Plan mensual'!O122+parametros_recargas!$K$96*'Plan mensual'!O123+parametros_recargas!$L$96*'Plan mensual'!O124</f>
        <v>516.121046050613</v>
      </c>
      <c r="N122" s="7" t="n">
        <f aca="false">SUM(B122:M122)</f>
        <v>5222.43962994647</v>
      </c>
      <c r="O122" s="26" t="n">
        <f aca="false">MAX(B122:M122)</f>
        <v>516.121046050613</v>
      </c>
      <c r="P122" s="15" t="n">
        <f aca="false">O122/parametros_recargas!$B$6</f>
        <v>3.44080697367075</v>
      </c>
    </row>
    <row r="123" customFormat="false" ht="15" hidden="false" customHeight="false" outlineLevel="0" collapsed="false">
      <c r="A123" s="12" t="str">
        <f aca="false">parametros_recargas!$B$97</f>
        <v>Ensayo de pérdidas</v>
      </c>
      <c r="B123" s="25" t="n">
        <f aca="false">parametros_recargas!$E$97*'Plan mensual'!D117+parametros_recargas!$F$97*'Plan mensual'!D118+parametros_recargas!$G$97*'Plan mensual'!D119+parametros_recargas!$H$97*'Plan mensual'!D120+parametros_recargas!$I$97*'Plan mensual'!D121+parametros_recargas!$J$97*'Plan mensual'!D122+parametros_recargas!$K$97*'Plan mensual'!D123+parametros_recargas!$L$97*'Plan mensual'!D124</f>
        <v>5803.542133761</v>
      </c>
      <c r="C123" s="25" t="n">
        <f aca="false">parametros_recargas!$E$97*'Plan mensual'!E117+parametros_recargas!$F$97*'Plan mensual'!E118+parametros_recargas!$G$97*'Plan mensual'!E119+parametros_recargas!$H$97*'Plan mensual'!E120+parametros_recargas!$I$97*'Plan mensual'!E121+parametros_recargas!$J$97*'Plan mensual'!E122+parametros_recargas!$K$97*'Plan mensual'!E123+parametros_recargas!$L$97*'Plan mensual'!E124</f>
        <v>5993.16320066706</v>
      </c>
      <c r="D123" s="25" t="n">
        <f aca="false">parametros_recargas!$E$97*'Plan mensual'!F117+parametros_recargas!$F$97*'Plan mensual'!F118+parametros_recargas!$G$97*'Plan mensual'!F119+parametros_recargas!$H$97*'Plan mensual'!F120+parametros_recargas!$I$97*'Plan mensual'!F121+parametros_recargas!$J$97*'Plan mensual'!F122+parametros_recargas!$K$97*'Plan mensual'!F123+parametros_recargas!$L$97*'Plan mensual'!F124</f>
        <v>6188.99185313412</v>
      </c>
      <c r="E123" s="25" t="n">
        <f aca="false">parametros_recargas!$E$97*'Plan mensual'!G117+parametros_recargas!$F$97*'Plan mensual'!G118+parametros_recargas!$G$97*'Plan mensual'!G119+parametros_recargas!$H$97*'Plan mensual'!G120+parametros_recargas!$I$97*'Plan mensual'!G121+parametros_recargas!$J$97*'Plan mensual'!G122+parametros_recargas!$K$97*'Plan mensual'!G123+parametros_recargas!$L$97*'Plan mensual'!G124</f>
        <v>6391.23130760392</v>
      </c>
      <c r="F123" s="25" t="n">
        <f aca="false">parametros_recargas!$E$97*'Plan mensual'!H117+parametros_recargas!$F$97*'Plan mensual'!H118+parametros_recargas!$G$97*'Plan mensual'!H119+parametros_recargas!$H$97*'Plan mensual'!H120+parametros_recargas!$I$97*'Plan mensual'!H121+parametros_recargas!$J$97*'Plan mensual'!H122+parametros_recargas!$K$97*'Plan mensual'!H123+parametros_recargas!$L$97*'Plan mensual'!H124</f>
        <v>6600.09143317273</v>
      </c>
      <c r="G123" s="25" t="n">
        <f aca="false">parametros_recargas!$E$97*'Plan mensual'!I117+parametros_recargas!$F$97*'Plan mensual'!I118+parametros_recargas!$G$97*'Plan mensual'!I119+parametros_recargas!$H$97*'Plan mensual'!I120+parametros_recargas!$I$97*'Plan mensual'!I121+parametros_recargas!$J$97*'Plan mensual'!I122+parametros_recargas!$K$97*'Plan mensual'!I123+parametros_recargas!$L$97*'Plan mensual'!I124</f>
        <v>6815.78896937795</v>
      </c>
      <c r="H123" s="25" t="n">
        <f aca="false">parametros_recargas!$E$97*'Plan mensual'!J117+parametros_recargas!$F$97*'Plan mensual'!J118+parametros_recargas!$G$97*'Plan mensual'!J119+parametros_recargas!$H$97*'Plan mensual'!J120+parametros_recargas!$I$97*'Plan mensual'!J121+parametros_recargas!$J$97*'Plan mensual'!J122+parametros_recargas!$K$97*'Plan mensual'!J123+parametros_recargas!$L$97*'Plan mensual'!J124</f>
        <v>7038.54775111424</v>
      </c>
      <c r="I123" s="25" t="n">
        <f aca="false">parametros_recargas!$E$97*'Plan mensual'!K117+parametros_recargas!$F$97*'Plan mensual'!K118+parametros_recargas!$G$97*'Plan mensual'!K119+parametros_recargas!$H$97*'Plan mensual'!K120+parametros_recargas!$I$97*'Plan mensual'!K121+parametros_recargas!$J$97*'Plan mensual'!K122+parametros_recargas!$K$97*'Plan mensual'!K123+parametros_recargas!$L$97*'Plan mensual'!K124</f>
        <v>7268.59894091285</v>
      </c>
      <c r="J123" s="25" t="n">
        <f aca="false">parametros_recargas!$E$97*'Plan mensual'!L117+parametros_recargas!$F$97*'Plan mensual'!L118+parametros_recargas!$G$97*'Plan mensual'!L119+parametros_recargas!$H$97*'Plan mensual'!L120+parametros_recargas!$I$97*'Plan mensual'!L121+parametros_recargas!$J$97*'Plan mensual'!L122+parametros_recargas!$K$97*'Plan mensual'!L123+parametros_recargas!$L$97*'Plan mensual'!L124</f>
        <v>7506.18126882488</v>
      </c>
      <c r="K123" s="25" t="n">
        <f aca="false">parametros_recargas!$E$97*'Plan mensual'!M117+parametros_recargas!$F$97*'Plan mensual'!M118+parametros_recargas!$G$97*'Plan mensual'!M119+parametros_recargas!$H$97*'Plan mensual'!M120+parametros_recargas!$I$97*'Plan mensual'!M121+parametros_recargas!$J$97*'Plan mensual'!M122+parametros_recargas!$K$97*'Plan mensual'!M123+parametros_recargas!$L$97*'Plan mensual'!M124</f>
        <v>7751.54128015762</v>
      </c>
      <c r="L123" s="25" t="n">
        <f aca="false">parametros_recargas!$E$97*'Plan mensual'!N117+parametros_recargas!$F$97*'Plan mensual'!N118+parametros_recargas!$G$97*'Plan mensual'!N119+parametros_recargas!$H$97*'Plan mensual'!N120+parametros_recargas!$I$97*'Plan mensual'!N121+parametros_recargas!$J$97*'Plan mensual'!N122+parametros_recargas!$K$97*'Plan mensual'!N123+parametros_recargas!$L$97*'Plan mensual'!N124</f>
        <v>8004.93359132101</v>
      </c>
      <c r="M123" s="25" t="n">
        <f aca="false">parametros_recargas!$E$97*'Plan mensual'!O117+parametros_recargas!$F$97*'Plan mensual'!O118+parametros_recargas!$G$97*'Plan mensual'!O119+parametros_recargas!$H$97*'Plan mensual'!O120+parametros_recargas!$I$97*'Plan mensual'!O121+parametros_recargas!$J$97*'Plan mensual'!O122+parametros_recargas!$K$97*'Plan mensual'!O123+parametros_recargas!$L$97*'Plan mensual'!O124</f>
        <v>8266.62115404957</v>
      </c>
      <c r="N123" s="7" t="n">
        <f aca="false">SUM(B123:M123)</f>
        <v>83629.2328840969</v>
      </c>
      <c r="O123" s="26" t="n">
        <f aca="false">MAX(B123:M123)</f>
        <v>8266.62115404957</v>
      </c>
      <c r="P123" s="15" t="n">
        <f aca="false">O123/parametros_recargas!$B$6</f>
        <v>55.1108076936638</v>
      </c>
    </row>
    <row r="124" customFormat="false" ht="15" hidden="false" customHeight="false" outlineLevel="0" collapsed="false">
      <c r="A124" s="12" t="str">
        <f aca="false">parametros_recargas!$B$98</f>
        <v>Precinto, etiqueta y despacho</v>
      </c>
      <c r="B124" s="25" t="n">
        <f aca="false">parametros_recargas!$E$98*'Plan mensual'!D117+parametros_recargas!$F$98*'Plan mensual'!D118+parametros_recargas!$G$98*'Plan mensual'!D119+parametros_recargas!$H$98*'Plan mensual'!D120+parametros_recargas!$I$98*'Plan mensual'!D121+parametros_recargas!$J$98*'Plan mensual'!D122+parametros_recargas!$K$98*'Plan mensual'!D123+parametros_recargas!$L$98*'Plan mensual'!D124</f>
        <v>5803.542133761</v>
      </c>
      <c r="C124" s="25" t="n">
        <f aca="false">parametros_recargas!$E$98*'Plan mensual'!E117+parametros_recargas!$F$98*'Plan mensual'!E118+parametros_recargas!$G$98*'Plan mensual'!E119+parametros_recargas!$H$98*'Plan mensual'!E120+parametros_recargas!$I$98*'Plan mensual'!E121+parametros_recargas!$J$98*'Plan mensual'!E122+parametros_recargas!$K$98*'Plan mensual'!E123+parametros_recargas!$L$98*'Plan mensual'!E124</f>
        <v>5993.16320066706</v>
      </c>
      <c r="D124" s="25" t="n">
        <f aca="false">parametros_recargas!$E$98*'Plan mensual'!F117+parametros_recargas!$F$98*'Plan mensual'!F118+parametros_recargas!$G$98*'Plan mensual'!F119+parametros_recargas!$H$98*'Plan mensual'!F120+parametros_recargas!$I$98*'Plan mensual'!F121+parametros_recargas!$J$98*'Plan mensual'!F122+parametros_recargas!$K$98*'Plan mensual'!F123+parametros_recargas!$L$98*'Plan mensual'!F124</f>
        <v>6188.99185313412</v>
      </c>
      <c r="E124" s="25" t="n">
        <f aca="false">parametros_recargas!$E$98*'Plan mensual'!G117+parametros_recargas!$F$98*'Plan mensual'!G118+parametros_recargas!$G$98*'Plan mensual'!G119+parametros_recargas!$H$98*'Plan mensual'!G120+parametros_recargas!$I$98*'Plan mensual'!G121+parametros_recargas!$J$98*'Plan mensual'!G122+parametros_recargas!$K$98*'Plan mensual'!G123+parametros_recargas!$L$98*'Plan mensual'!G124</f>
        <v>6391.23130760392</v>
      </c>
      <c r="F124" s="25" t="n">
        <f aca="false">parametros_recargas!$E$98*'Plan mensual'!H117+parametros_recargas!$F$98*'Plan mensual'!H118+parametros_recargas!$G$98*'Plan mensual'!H119+parametros_recargas!$H$98*'Plan mensual'!H120+parametros_recargas!$I$98*'Plan mensual'!H121+parametros_recargas!$J$98*'Plan mensual'!H122+parametros_recargas!$K$98*'Plan mensual'!H123+parametros_recargas!$L$98*'Plan mensual'!H124</f>
        <v>6600.09143317273</v>
      </c>
      <c r="G124" s="25" t="n">
        <f aca="false">parametros_recargas!$E$98*'Plan mensual'!I117+parametros_recargas!$F$98*'Plan mensual'!I118+parametros_recargas!$G$98*'Plan mensual'!I119+parametros_recargas!$H$98*'Plan mensual'!I120+parametros_recargas!$I$98*'Plan mensual'!I121+parametros_recargas!$J$98*'Plan mensual'!I122+parametros_recargas!$K$98*'Plan mensual'!I123+parametros_recargas!$L$98*'Plan mensual'!I124</f>
        <v>6815.78896937795</v>
      </c>
      <c r="H124" s="25" t="n">
        <f aca="false">parametros_recargas!$E$98*'Plan mensual'!J117+parametros_recargas!$F$98*'Plan mensual'!J118+parametros_recargas!$G$98*'Plan mensual'!J119+parametros_recargas!$H$98*'Plan mensual'!J120+parametros_recargas!$I$98*'Plan mensual'!J121+parametros_recargas!$J$98*'Plan mensual'!J122+parametros_recargas!$K$98*'Plan mensual'!J123+parametros_recargas!$L$98*'Plan mensual'!J124</f>
        <v>7038.54775111424</v>
      </c>
      <c r="I124" s="25" t="n">
        <f aca="false">parametros_recargas!$E$98*'Plan mensual'!K117+parametros_recargas!$F$98*'Plan mensual'!K118+parametros_recargas!$G$98*'Plan mensual'!K119+parametros_recargas!$H$98*'Plan mensual'!K120+parametros_recargas!$I$98*'Plan mensual'!K121+parametros_recargas!$J$98*'Plan mensual'!K122+parametros_recargas!$K$98*'Plan mensual'!K123+parametros_recargas!$L$98*'Plan mensual'!K124</f>
        <v>7268.59894091285</v>
      </c>
      <c r="J124" s="25" t="n">
        <f aca="false">parametros_recargas!$E$98*'Plan mensual'!L117+parametros_recargas!$F$98*'Plan mensual'!L118+parametros_recargas!$G$98*'Plan mensual'!L119+parametros_recargas!$H$98*'Plan mensual'!L120+parametros_recargas!$I$98*'Plan mensual'!L121+parametros_recargas!$J$98*'Plan mensual'!L122+parametros_recargas!$K$98*'Plan mensual'!L123+parametros_recargas!$L$98*'Plan mensual'!L124</f>
        <v>7506.18126882488</v>
      </c>
      <c r="K124" s="25" t="n">
        <f aca="false">parametros_recargas!$E$98*'Plan mensual'!M117+parametros_recargas!$F$98*'Plan mensual'!M118+parametros_recargas!$G$98*'Plan mensual'!M119+parametros_recargas!$H$98*'Plan mensual'!M120+parametros_recargas!$I$98*'Plan mensual'!M121+parametros_recargas!$J$98*'Plan mensual'!M122+parametros_recargas!$K$98*'Plan mensual'!M123+parametros_recargas!$L$98*'Plan mensual'!M124</f>
        <v>7751.54128015762</v>
      </c>
      <c r="L124" s="25" t="n">
        <f aca="false">parametros_recargas!$E$98*'Plan mensual'!N117+parametros_recargas!$F$98*'Plan mensual'!N118+parametros_recargas!$G$98*'Plan mensual'!N119+parametros_recargas!$H$98*'Plan mensual'!N120+parametros_recargas!$I$98*'Plan mensual'!N121+parametros_recargas!$J$98*'Plan mensual'!N122+parametros_recargas!$K$98*'Plan mensual'!N123+parametros_recargas!$L$98*'Plan mensual'!N124</f>
        <v>8004.93359132101</v>
      </c>
      <c r="M124" s="25" t="n">
        <f aca="false">parametros_recargas!$E$98*'Plan mensual'!O117+parametros_recargas!$F$98*'Plan mensual'!O118+parametros_recargas!$G$98*'Plan mensual'!O119+parametros_recargas!$H$98*'Plan mensual'!O120+parametros_recargas!$I$98*'Plan mensual'!O121+parametros_recargas!$J$98*'Plan mensual'!O122+parametros_recargas!$K$98*'Plan mensual'!O123+parametros_recargas!$L$98*'Plan mensual'!O124</f>
        <v>8266.62115404957</v>
      </c>
      <c r="N124" s="7" t="n">
        <f aca="false">SUM(B124:M124)</f>
        <v>83629.2328840969</v>
      </c>
      <c r="O124" s="26" t="n">
        <f aca="false">MAX(B124:M124)</f>
        <v>8266.62115404957</v>
      </c>
      <c r="P124" s="15" t="n">
        <f aca="false">O124/parametros_recargas!$B$6</f>
        <v>55.1108076936638</v>
      </c>
    </row>
    <row r="125" customFormat="false" ht="15" hidden="false" customHeight="false" outlineLevel="0" collapsed="false">
      <c r="A125" s="12" t="str">
        <f aca="false">parametros_recargas!$B$99</f>
        <v>Inutilización y disposición final</v>
      </c>
      <c r="B125" s="25" t="n">
        <f aca="false">parametros_recargas!$E$99*'Plan mensual'!D117+parametros_recargas!$F$99*'Plan mensual'!D118+parametros_recargas!$G$99*'Plan mensual'!D119+parametros_recargas!$H$99*'Plan mensual'!D120+parametros_recargas!$I$99*'Plan mensual'!D121+parametros_recargas!$J$99*'Plan mensual'!D122+parametros_recargas!$K$99*'Plan mensual'!D123+parametros_recargas!$L$99*'Plan mensual'!D124</f>
        <v>456.00687918343</v>
      </c>
      <c r="C125" s="25" t="n">
        <f aca="false">parametros_recargas!$E$99*'Plan mensual'!E117+parametros_recargas!$F$99*'Plan mensual'!E118+parametros_recargas!$G$99*'Plan mensual'!E119+parametros_recargas!$H$99*'Plan mensual'!E120+parametros_recargas!$I$99*'Plan mensual'!E121+parametros_recargas!$J$99*'Plan mensual'!E122+parametros_recargas!$K$99*'Plan mensual'!E123+parametros_recargas!$L$99*'Plan mensual'!E124</f>
        <v>470.906573571852</v>
      </c>
      <c r="D125" s="25" t="n">
        <f aca="false">parametros_recargas!$E$99*'Plan mensual'!F117+parametros_recargas!$F$99*'Plan mensual'!F118+parametros_recargas!$G$99*'Plan mensual'!F119+parametros_recargas!$H$99*'Plan mensual'!F120+parametros_recargas!$I$99*'Plan mensual'!F121+parametros_recargas!$J$99*'Plan mensual'!F122+parametros_recargas!$K$99*'Plan mensual'!F123+parametros_recargas!$L$99*'Plan mensual'!F124</f>
        <v>486.29403616693</v>
      </c>
      <c r="E125" s="25" t="n">
        <f aca="false">parametros_recargas!$E$99*'Plan mensual'!G117+parametros_recargas!$F$99*'Plan mensual'!G118+parametros_recargas!$G$99*'Plan mensual'!G119+parametros_recargas!$H$99*'Plan mensual'!G120+parametros_recargas!$I$99*'Plan mensual'!G121+parametros_recargas!$J$99*'Plan mensual'!G122+parametros_recargas!$K$99*'Plan mensual'!G123+parametros_recargas!$L$99*'Plan mensual'!G124</f>
        <v>502.185234935335</v>
      </c>
      <c r="F125" s="25" t="n">
        <f aca="false">parametros_recargas!$E$99*'Plan mensual'!H117+parametros_recargas!$F$99*'Plan mensual'!H118+parametros_recargas!$G$99*'Plan mensual'!H119+parametros_recargas!$H$99*'Plan mensual'!H120+parametros_recargas!$I$99*'Plan mensual'!H121+parametros_recargas!$J$99*'Plan mensual'!H122+parametros_recargas!$K$99*'Plan mensual'!H123+parametros_recargas!$L$99*'Plan mensual'!H124</f>
        <v>518.596660583755</v>
      </c>
      <c r="G125" s="25" t="n">
        <f aca="false">parametros_recargas!$E$99*'Plan mensual'!I117+parametros_recargas!$F$99*'Plan mensual'!I118+parametros_recargas!$G$99*'Plan mensual'!I119+parametros_recargas!$H$99*'Plan mensual'!I120+parametros_recargas!$I$99*'Plan mensual'!I121+parametros_recargas!$J$99*'Plan mensual'!I122+parametros_recargas!$K$99*'Plan mensual'!I123+parametros_recargas!$L$99*'Plan mensual'!I124</f>
        <v>535.545343671723</v>
      </c>
      <c r="H125" s="25" t="n">
        <f aca="false">parametros_recargas!$E$99*'Plan mensual'!J117+parametros_recargas!$F$99*'Plan mensual'!J118+parametros_recargas!$G$99*'Plan mensual'!J119+parametros_recargas!$H$99*'Plan mensual'!J120+parametros_recargas!$I$99*'Plan mensual'!J121+parametros_recargas!$J$99*'Plan mensual'!J122+parametros_recargas!$K$99*'Plan mensual'!J123+parametros_recargas!$L$99*'Plan mensual'!J124</f>
        <v>553.048872284672</v>
      </c>
      <c r="I125" s="25" t="n">
        <f aca="false">parametros_recargas!$E$99*'Plan mensual'!K117+parametros_recargas!$F$99*'Plan mensual'!K118+parametros_recargas!$G$99*'Plan mensual'!K119+parametros_recargas!$H$99*'Plan mensual'!K120+parametros_recargas!$I$99*'Plan mensual'!K121+parametros_recargas!$J$99*'Plan mensual'!K122+parametros_recargas!$K$99*'Plan mensual'!K123+parametros_recargas!$L$99*'Plan mensual'!K124</f>
        <v>571.125410285538</v>
      </c>
      <c r="J125" s="25" t="n">
        <f aca="false">parametros_recargas!$E$99*'Plan mensual'!L117+parametros_recargas!$F$99*'Plan mensual'!L118+parametros_recargas!$G$99*'Plan mensual'!L119+parametros_recargas!$H$99*'Plan mensual'!L120+parametros_recargas!$I$99*'Plan mensual'!L121+parametros_recargas!$J$99*'Plan mensual'!L122+parametros_recargas!$K$99*'Plan mensual'!L123+parametros_recargas!$L$99*'Plan mensual'!L124</f>
        <v>589.793716163876</v>
      </c>
      <c r="K125" s="25" t="n">
        <f aca="false">parametros_recargas!$E$99*'Plan mensual'!M117+parametros_recargas!$F$99*'Plan mensual'!M118+parametros_recargas!$G$99*'Plan mensual'!M119+parametros_recargas!$H$99*'Plan mensual'!M120+parametros_recargas!$I$99*'Plan mensual'!M121+parametros_recargas!$J$99*'Plan mensual'!M122+parametros_recargas!$K$99*'Plan mensual'!M123+parametros_recargas!$L$99*'Plan mensual'!M124</f>
        <v>609.073162502024</v>
      </c>
      <c r="L125" s="25" t="n">
        <f aca="false">parametros_recargas!$E$99*'Plan mensual'!N117+parametros_recargas!$F$99*'Plan mensual'!N118+parametros_recargas!$G$99*'Plan mensual'!N119+parametros_recargas!$H$99*'Plan mensual'!N120+parametros_recargas!$I$99*'Plan mensual'!N121+parametros_recargas!$J$99*'Plan mensual'!N122+parametros_recargas!$K$99*'Plan mensual'!N123+parametros_recargas!$L$99*'Plan mensual'!N124</f>
        <v>628.983756078532</v>
      </c>
      <c r="M125" s="25" t="n">
        <f aca="false">parametros_recargas!$E$99*'Plan mensual'!O117+parametros_recargas!$F$99*'Plan mensual'!O118+parametros_recargas!$G$99*'Plan mensual'!O119+parametros_recargas!$H$99*'Plan mensual'!O120+parametros_recargas!$I$99*'Plan mensual'!O121+parametros_recargas!$J$99*'Plan mensual'!O122+parametros_recargas!$K$99*'Plan mensual'!O123+parametros_recargas!$L$99*'Plan mensual'!O124</f>
        <v>649.546158629712</v>
      </c>
      <c r="N125" s="7" t="n">
        <f aca="false">SUM(B125:M125)</f>
        <v>6571.10580405738</v>
      </c>
      <c r="O125" s="26" t="n">
        <f aca="false">MAX(B125:M125)</f>
        <v>649.546158629712</v>
      </c>
      <c r="P125" s="15" t="n">
        <f aca="false">O125/parametros_recargas!$B$6</f>
        <v>4.33030772419808</v>
      </c>
    </row>
    <row r="126" customFormat="false" ht="15" hidden="false" customHeight="false" outlineLevel="0" collapsed="false">
      <c r="A126" s="12" t="str">
        <f aca="false">parametros_recargas!$B$100</f>
        <v>PH de mangueras (CO₂ y rodantes)</v>
      </c>
      <c r="B126" s="25" t="n">
        <f aca="false">'Plan mensual'!D125</f>
        <v>204.020180782321</v>
      </c>
      <c r="C126" s="25" t="n">
        <f aca="false">'Plan mensual'!E125</f>
        <v>210.628217431967</v>
      </c>
      <c r="D126" s="25" t="n">
        <f aca="false">'Plan mensual'!F125</f>
        <v>217.452580007641</v>
      </c>
      <c r="E126" s="25" t="n">
        <f aca="false">'Plan mensual'!G125</f>
        <v>224.500350326341</v>
      </c>
      <c r="F126" s="25" t="n">
        <f aca="false">'Plan mensual'!H125</f>
        <v>231.778842041041</v>
      </c>
      <c r="G126" s="25" t="n">
        <f aca="false">'Plan mensual'!I125</f>
        <v>239.295608230256</v>
      </c>
      <c r="H126" s="25" t="n">
        <f aca="false">'Plan mensual'!J125</f>
        <v>247.058449236067</v>
      </c>
      <c r="I126" s="25" t="n">
        <f aca="false">'Plan mensual'!K125</f>
        <v>255.075420758735</v>
      </c>
      <c r="J126" s="25" t="n">
        <f aca="false">'Plan mensual'!L125</f>
        <v>263.354842216313</v>
      </c>
      <c r="K126" s="25" t="n">
        <f aca="false">'Plan mensual'!M125</f>
        <v>271.905305377917</v>
      </c>
      <c r="L126" s="25" t="n">
        <f aca="false">'Plan mensual'!N125</f>
        <v>280.735683279627</v>
      </c>
      <c r="M126" s="25" t="n">
        <f aca="false">'Plan mensual'!O125</f>
        <v>289.855139432269</v>
      </c>
      <c r="N126" s="7" t="n">
        <f aca="false">SUM(B126:M126)</f>
        <v>2935.66061912049</v>
      </c>
      <c r="O126" s="26" t="n">
        <f aca="false">MAX(B126:M126)</f>
        <v>289.855139432269</v>
      </c>
      <c r="P126" s="15" t="n">
        <f aca="false">O126/parametros_recargas!$B$6</f>
        <v>1.93236759621512</v>
      </c>
    </row>
    <row r="129" customFormat="false" ht="23.85" hidden="false" customHeight="false" outlineLevel="0" collapsed="false">
      <c r="A129" s="3" t="s">
        <v>283</v>
      </c>
      <c r="B129" s="3" t="s">
        <v>124</v>
      </c>
      <c r="C129" s="3" t="s">
        <v>125</v>
      </c>
      <c r="D129" s="3" t="s">
        <v>126</v>
      </c>
      <c r="E129" s="3" t="s">
        <v>127</v>
      </c>
      <c r="F129" s="3" t="s">
        <v>128</v>
      </c>
      <c r="G129" s="3" t="s">
        <v>129</v>
      </c>
      <c r="H129" s="3" t="s">
        <v>130</v>
      </c>
      <c r="I129" s="3" t="s">
        <v>131</v>
      </c>
      <c r="J129" s="3" t="s">
        <v>132</v>
      </c>
      <c r="K129" s="3" t="s">
        <v>133</v>
      </c>
      <c r="L129" s="3" t="s">
        <v>134</v>
      </c>
      <c r="M129" s="3" t="s">
        <v>135</v>
      </c>
      <c r="N129" s="3" t="s">
        <v>277</v>
      </c>
      <c r="O129" s="3" t="s">
        <v>278</v>
      </c>
      <c r="P129" s="3" t="s">
        <v>279</v>
      </c>
    </row>
    <row r="130" customFormat="false" ht="15" hidden="false" customHeight="false" outlineLevel="0" collapsed="false">
      <c r="A130" s="12" t="str">
        <f aca="false">parametros_recargas!$B$72</f>
        <v>Recepción y registro</v>
      </c>
      <c r="B130" s="25" t="n">
        <f aca="false">parametros_recargas!$E$72*'Plan mensual'!D149+parametros_recargas!$F$72*'Plan mensual'!D150+parametros_recargas!$G$72*'Plan mensual'!D151+parametros_recargas!$H$72*'Plan mensual'!D152+parametros_recargas!$I$72*'Plan mensual'!D153+parametros_recargas!$J$72*'Plan mensual'!D154+parametros_recargas!$K$72*'Plan mensual'!D155+parametros_recargas!$L$72*'Plan mensual'!D156</f>
        <v>9060.85594947982</v>
      </c>
      <c r="C130" s="25" t="n">
        <f aca="false">parametros_recargas!$E$72*'Plan mensual'!E149+parametros_recargas!$F$72*'Plan mensual'!E150+parametros_recargas!$G$72*'Plan mensual'!E151+parametros_recargas!$H$72*'Plan mensual'!E152+parametros_recargas!$I$72*'Plan mensual'!E153+parametros_recargas!$J$72*'Plan mensual'!E154+parametros_recargas!$K$72*'Plan mensual'!E155+parametros_recargas!$L$72*'Plan mensual'!E156</f>
        <v>9291.18943960452</v>
      </c>
      <c r="D130" s="25" t="n">
        <f aca="false">parametros_recargas!$E$72*'Plan mensual'!F149+parametros_recargas!$F$72*'Plan mensual'!F150+parametros_recargas!$G$72*'Plan mensual'!F151+parametros_recargas!$H$72*'Plan mensual'!F152+parametros_recargas!$I$72*'Plan mensual'!F153+parametros_recargas!$J$72*'Plan mensual'!F154+parametros_recargas!$K$72*'Plan mensual'!F155+parametros_recargas!$L$72*'Plan mensual'!F156</f>
        <v>9527.51726695041</v>
      </c>
      <c r="E130" s="25" t="n">
        <f aca="false">parametros_recargas!$E$72*'Plan mensual'!G149+parametros_recargas!$F$72*'Plan mensual'!G150+parametros_recargas!$G$72*'Plan mensual'!G151+parametros_recargas!$H$72*'Plan mensual'!G152+parametros_recargas!$I$72*'Plan mensual'!G153+parametros_recargas!$J$72*'Plan mensual'!G154+parametros_recargas!$K$72*'Plan mensual'!G155+parametros_recargas!$L$72*'Plan mensual'!G156</f>
        <v>9769.99543175306</v>
      </c>
      <c r="F130" s="25" t="n">
        <f aca="false">parametros_recargas!$E$72*'Plan mensual'!H149+parametros_recargas!$F$72*'Plan mensual'!H150+parametros_recargas!$G$72*'Plan mensual'!H151+parametros_recargas!$H$72*'Plan mensual'!H152+parametros_recargas!$I$72*'Plan mensual'!H153+parametros_recargas!$J$72*'Plan mensual'!H154+parametros_recargas!$K$72*'Plan mensual'!H155+parametros_recargas!$L$72*'Plan mensual'!H156</f>
        <v>10018.783994092</v>
      </c>
      <c r="G130" s="25" t="n">
        <f aca="false">parametros_recargas!$E$72*'Plan mensual'!I149+parametros_recargas!$F$72*'Plan mensual'!I150+parametros_recargas!$G$72*'Plan mensual'!I151+parametros_recargas!$H$72*'Plan mensual'!I152+parametros_recargas!$I$72*'Plan mensual'!I153+parametros_recargas!$J$72*'Plan mensual'!I154+parametros_recargas!$K$72*'Plan mensual'!I155+parametros_recargas!$L$72*'Plan mensual'!I156</f>
        <v>10274.0471795464</v>
      </c>
      <c r="H130" s="25" t="n">
        <f aca="false">parametros_recargas!$E$72*'Plan mensual'!J149+parametros_recargas!$F$72*'Plan mensual'!J150+parametros_recargas!$G$72*'Plan mensual'!J151+parametros_recargas!$H$72*'Plan mensual'!J152+parametros_recargas!$I$72*'Plan mensual'!J153+parametros_recargas!$J$72*'Plan mensual'!J154+parametros_recargas!$K$72*'Plan mensual'!J155+parametros_recargas!$L$72*'Plan mensual'!J156</f>
        <v>10535.9534876007</v>
      </c>
      <c r="I130" s="25" t="n">
        <f aca="false">parametros_recargas!$E$72*'Plan mensual'!K149+parametros_recargas!$F$72*'Plan mensual'!K150+parametros_recargas!$G$72*'Plan mensual'!K151+parametros_recargas!$H$72*'Plan mensual'!K152+parametros_recargas!$I$72*'Plan mensual'!K153+parametros_recargas!$J$72*'Plan mensual'!K154+parametros_recargas!$K$72*'Plan mensual'!K155+parametros_recargas!$L$72*'Plan mensual'!K156</f>
        <v>10804.6758028713</v>
      </c>
      <c r="J130" s="25" t="n">
        <f aca="false">parametros_recargas!$E$72*'Plan mensual'!L149+parametros_recargas!$F$72*'Plan mensual'!L150+parametros_recargas!$G$72*'Plan mensual'!L151+parametros_recargas!$H$72*'Plan mensual'!L152+parametros_recargas!$I$72*'Plan mensual'!L153+parametros_recargas!$J$72*'Plan mensual'!L154+parametros_recargas!$K$72*'Plan mensual'!L155+parametros_recargas!$L$72*'Plan mensual'!L156</f>
        <v>11080.3915092276</v>
      </c>
      <c r="K130" s="25" t="n">
        <f aca="false">parametros_recargas!$E$72*'Plan mensual'!M149+parametros_recargas!$F$72*'Plan mensual'!M150+parametros_recargas!$G$72*'Plan mensual'!M151+parametros_recargas!$H$72*'Plan mensual'!M152+parametros_recargas!$I$72*'Plan mensual'!M153+parametros_recargas!$J$72*'Plan mensual'!M154+parametros_recargas!$K$72*'Plan mensual'!M155+parametros_recargas!$L$72*'Plan mensual'!M156</f>
        <v>11363.2826068837</v>
      </c>
      <c r="L130" s="25" t="n">
        <f aca="false">parametros_recargas!$E$72*'Plan mensual'!N149+parametros_recargas!$F$72*'Plan mensual'!N150+parametros_recargas!$G$72*'Plan mensual'!N151+parametros_recargas!$H$72*'Plan mensual'!N152+parametros_recargas!$I$72*'Plan mensual'!N153+parametros_recargas!$J$72*'Plan mensual'!N154+parametros_recargas!$K$72*'Plan mensual'!N155+parametros_recargas!$L$72*'Plan mensual'!N156</f>
        <v>11653.5358325365</v>
      </c>
      <c r="M130" s="25" t="n">
        <f aca="false">parametros_recargas!$E$72*'Plan mensual'!O149+parametros_recargas!$F$72*'Plan mensual'!O150+parametros_recargas!$G$72*'Plan mensual'!O151+parametros_recargas!$H$72*'Plan mensual'!O152+parametros_recargas!$I$72*'Plan mensual'!O153+parametros_recargas!$J$72*'Plan mensual'!O154+parametros_recargas!$K$72*'Plan mensual'!O155+parametros_recargas!$L$72*'Plan mensual'!O156</f>
        <v>11951.342782631</v>
      </c>
      <c r="N130" s="7" t="n">
        <f aca="false">SUM(B130:M130)</f>
        <v>125331.571283177</v>
      </c>
      <c r="O130" s="26" t="n">
        <f aca="false">MAX(B130:M130)</f>
        <v>11951.342782631</v>
      </c>
      <c r="P130" s="15" t="n">
        <f aca="false">O130/parametros_recargas!$B$6</f>
        <v>79.6756185508731</v>
      </c>
    </row>
    <row r="131" customFormat="false" ht="15" hidden="false" customHeight="false" outlineLevel="0" collapsed="false">
      <c r="A131" s="12" t="str">
        <f aca="false">parametros_recargas!$B$73</f>
        <v>Inspección visual</v>
      </c>
      <c r="B131" s="25" t="n">
        <f aca="false">parametros_recargas!$E$73*'Plan mensual'!D149+parametros_recargas!$F$73*'Plan mensual'!D150+parametros_recargas!$G$73*'Plan mensual'!D151+parametros_recargas!$H$73*'Plan mensual'!D152+parametros_recargas!$I$73*'Plan mensual'!D153+parametros_recargas!$J$73*'Plan mensual'!D154+parametros_recargas!$K$73*'Plan mensual'!D155+parametros_recargas!$L$73*'Plan mensual'!D156</f>
        <v>9060.85594947982</v>
      </c>
      <c r="C131" s="25" t="n">
        <f aca="false">parametros_recargas!$E$73*'Plan mensual'!E149+parametros_recargas!$F$73*'Plan mensual'!E150+parametros_recargas!$G$73*'Plan mensual'!E151+parametros_recargas!$H$73*'Plan mensual'!E152+parametros_recargas!$I$73*'Plan mensual'!E153+parametros_recargas!$J$73*'Plan mensual'!E154+parametros_recargas!$K$73*'Plan mensual'!E155+parametros_recargas!$L$73*'Plan mensual'!E156</f>
        <v>9291.18943960452</v>
      </c>
      <c r="D131" s="25" t="n">
        <f aca="false">parametros_recargas!$E$73*'Plan mensual'!F149+parametros_recargas!$F$73*'Plan mensual'!F150+parametros_recargas!$G$73*'Plan mensual'!F151+parametros_recargas!$H$73*'Plan mensual'!F152+parametros_recargas!$I$73*'Plan mensual'!F153+parametros_recargas!$J$73*'Plan mensual'!F154+parametros_recargas!$K$73*'Plan mensual'!F155+parametros_recargas!$L$73*'Plan mensual'!F156</f>
        <v>9527.51726695041</v>
      </c>
      <c r="E131" s="25" t="n">
        <f aca="false">parametros_recargas!$E$73*'Plan mensual'!G149+parametros_recargas!$F$73*'Plan mensual'!G150+parametros_recargas!$G$73*'Plan mensual'!G151+parametros_recargas!$H$73*'Plan mensual'!G152+parametros_recargas!$I$73*'Plan mensual'!G153+parametros_recargas!$J$73*'Plan mensual'!G154+parametros_recargas!$K$73*'Plan mensual'!G155+parametros_recargas!$L$73*'Plan mensual'!G156</f>
        <v>9769.99543175306</v>
      </c>
      <c r="F131" s="25" t="n">
        <f aca="false">parametros_recargas!$E$73*'Plan mensual'!H149+parametros_recargas!$F$73*'Plan mensual'!H150+parametros_recargas!$G$73*'Plan mensual'!H151+parametros_recargas!$H$73*'Plan mensual'!H152+parametros_recargas!$I$73*'Plan mensual'!H153+parametros_recargas!$J$73*'Plan mensual'!H154+parametros_recargas!$K$73*'Plan mensual'!H155+parametros_recargas!$L$73*'Plan mensual'!H156</f>
        <v>10018.783994092</v>
      </c>
      <c r="G131" s="25" t="n">
        <f aca="false">parametros_recargas!$E$73*'Plan mensual'!I149+parametros_recargas!$F$73*'Plan mensual'!I150+parametros_recargas!$G$73*'Plan mensual'!I151+parametros_recargas!$H$73*'Plan mensual'!I152+parametros_recargas!$I$73*'Plan mensual'!I153+parametros_recargas!$J$73*'Plan mensual'!I154+parametros_recargas!$K$73*'Plan mensual'!I155+parametros_recargas!$L$73*'Plan mensual'!I156</f>
        <v>10274.0471795464</v>
      </c>
      <c r="H131" s="25" t="n">
        <f aca="false">parametros_recargas!$E$73*'Plan mensual'!J149+parametros_recargas!$F$73*'Plan mensual'!J150+parametros_recargas!$G$73*'Plan mensual'!J151+parametros_recargas!$H$73*'Plan mensual'!J152+parametros_recargas!$I$73*'Plan mensual'!J153+parametros_recargas!$J$73*'Plan mensual'!J154+parametros_recargas!$K$73*'Plan mensual'!J155+parametros_recargas!$L$73*'Plan mensual'!J156</f>
        <v>10535.9534876007</v>
      </c>
      <c r="I131" s="25" t="n">
        <f aca="false">parametros_recargas!$E$73*'Plan mensual'!K149+parametros_recargas!$F$73*'Plan mensual'!K150+parametros_recargas!$G$73*'Plan mensual'!K151+parametros_recargas!$H$73*'Plan mensual'!K152+parametros_recargas!$I$73*'Plan mensual'!K153+parametros_recargas!$J$73*'Plan mensual'!K154+parametros_recargas!$K$73*'Plan mensual'!K155+parametros_recargas!$L$73*'Plan mensual'!K156</f>
        <v>10804.6758028713</v>
      </c>
      <c r="J131" s="25" t="n">
        <f aca="false">parametros_recargas!$E$73*'Plan mensual'!L149+parametros_recargas!$F$73*'Plan mensual'!L150+parametros_recargas!$G$73*'Plan mensual'!L151+parametros_recargas!$H$73*'Plan mensual'!L152+parametros_recargas!$I$73*'Plan mensual'!L153+parametros_recargas!$J$73*'Plan mensual'!L154+parametros_recargas!$K$73*'Plan mensual'!L155+parametros_recargas!$L$73*'Plan mensual'!L156</f>
        <v>11080.3915092276</v>
      </c>
      <c r="K131" s="25" t="n">
        <f aca="false">parametros_recargas!$E$73*'Plan mensual'!M149+parametros_recargas!$F$73*'Plan mensual'!M150+parametros_recargas!$G$73*'Plan mensual'!M151+parametros_recargas!$H$73*'Plan mensual'!M152+parametros_recargas!$I$73*'Plan mensual'!M153+parametros_recargas!$J$73*'Plan mensual'!M154+parametros_recargas!$K$73*'Plan mensual'!M155+parametros_recargas!$L$73*'Plan mensual'!M156</f>
        <v>11363.2826068837</v>
      </c>
      <c r="L131" s="25" t="n">
        <f aca="false">parametros_recargas!$E$73*'Plan mensual'!N149+parametros_recargas!$F$73*'Plan mensual'!N150+parametros_recargas!$G$73*'Plan mensual'!N151+parametros_recargas!$H$73*'Plan mensual'!N152+parametros_recargas!$I$73*'Plan mensual'!N153+parametros_recargas!$J$73*'Plan mensual'!N154+parametros_recargas!$K$73*'Plan mensual'!N155+parametros_recargas!$L$73*'Plan mensual'!N156</f>
        <v>11653.5358325365</v>
      </c>
      <c r="M131" s="25" t="n">
        <f aca="false">parametros_recargas!$E$73*'Plan mensual'!O149+parametros_recargas!$F$73*'Plan mensual'!O150+parametros_recargas!$G$73*'Plan mensual'!O151+parametros_recargas!$H$73*'Plan mensual'!O152+parametros_recargas!$I$73*'Plan mensual'!O153+parametros_recargas!$J$73*'Plan mensual'!O154+parametros_recargas!$K$73*'Plan mensual'!O155+parametros_recargas!$L$73*'Plan mensual'!O156</f>
        <v>11951.342782631</v>
      </c>
      <c r="N131" s="7" t="n">
        <f aca="false">SUM(B131:M131)</f>
        <v>125331.571283177</v>
      </c>
      <c r="O131" s="26" t="n">
        <f aca="false">MAX(B131:M131)</f>
        <v>11951.342782631</v>
      </c>
      <c r="P131" s="15" t="n">
        <f aca="false">O131/parametros_recargas!$B$6</f>
        <v>79.6756185508731</v>
      </c>
    </row>
    <row r="132" customFormat="false" ht="15" hidden="false" customHeight="false" outlineLevel="0" collapsed="false">
      <c r="A132" s="12" t="str">
        <f aca="false">parametros_recargas!$B$74</f>
        <v>Descarga ABC — ruta recuperable</v>
      </c>
      <c r="B132" s="25" t="n">
        <f aca="false">parametros_recargas!$E$74*'Plan mensual'!D149+parametros_recargas!$F$74*'Plan mensual'!D150+parametros_recargas!$G$74*'Plan mensual'!D151+parametros_recargas!$H$74*'Plan mensual'!D152+parametros_recargas!$I$74*'Plan mensual'!D153+parametros_recargas!$J$74*'Plan mensual'!D154+parametros_recargas!$K$74*'Plan mensual'!D155+parametros_recargas!$L$74*'Plan mensual'!D156</f>
        <v>6648.01364756218</v>
      </c>
      <c r="C132" s="25" t="n">
        <f aca="false">parametros_recargas!$E$74*'Plan mensual'!E149+parametros_recargas!$F$74*'Plan mensual'!E150+parametros_recargas!$G$74*'Plan mensual'!E151+parametros_recargas!$H$74*'Plan mensual'!E152+parametros_recargas!$I$74*'Plan mensual'!E153+parametros_recargas!$J$74*'Plan mensual'!E154+parametros_recargas!$K$74*'Plan mensual'!E155+parametros_recargas!$L$74*'Plan mensual'!E156</f>
        <v>6817.29264771221</v>
      </c>
      <c r="D132" s="25" t="n">
        <f aca="false">parametros_recargas!$E$74*'Plan mensual'!F149+parametros_recargas!$F$74*'Plan mensual'!F150+parametros_recargas!$G$74*'Plan mensual'!F151+parametros_recargas!$H$74*'Plan mensual'!F152+parametros_recargas!$I$74*'Plan mensual'!F153+parametros_recargas!$J$74*'Plan mensual'!F154+parametros_recargas!$K$74*'Plan mensual'!F155+parametros_recargas!$L$74*'Plan mensual'!F156</f>
        <v>6990.97706633098</v>
      </c>
      <c r="E132" s="25" t="n">
        <f aca="false">parametros_recargas!$E$74*'Plan mensual'!G149+parametros_recargas!$F$74*'Plan mensual'!G150+parametros_recargas!$G$74*'Plan mensual'!G151+parametros_recargas!$H$74*'Plan mensual'!G152+parametros_recargas!$I$74*'Plan mensual'!G153+parametros_recargas!$J$74*'Plan mensual'!G154+parametros_recargas!$K$74*'Plan mensual'!G155+parametros_recargas!$L$74*'Plan mensual'!G156</f>
        <v>7169.18155267722</v>
      </c>
      <c r="F132" s="25" t="n">
        <f aca="false">parametros_recargas!$E$74*'Plan mensual'!H149+parametros_recargas!$F$74*'Plan mensual'!H150+parametros_recargas!$G$74*'Plan mensual'!H151+parametros_recargas!$H$74*'Plan mensual'!H152+parametros_recargas!$I$74*'Plan mensual'!H153+parametros_recargas!$J$74*'Plan mensual'!H154+parametros_recargas!$K$74*'Plan mensual'!H155+parametros_recargas!$L$74*'Plan mensual'!H156</f>
        <v>7352.02373971087</v>
      </c>
      <c r="G132" s="25" t="n">
        <f aca="false">parametros_recargas!$E$74*'Plan mensual'!I149+parametros_recargas!$F$74*'Plan mensual'!I150+parametros_recargas!$G$74*'Plan mensual'!I151+parametros_recargas!$H$74*'Plan mensual'!I152+parametros_recargas!$I$74*'Plan mensual'!I153+parametros_recargas!$J$74*'Plan mensual'!I154+parametros_recargas!$K$74*'Plan mensual'!I155+parametros_recargas!$L$74*'Plan mensual'!I156</f>
        <v>7539.62432174278</v>
      </c>
      <c r="H132" s="25" t="n">
        <f aca="false">parametros_recargas!$E$74*'Plan mensual'!J149+parametros_recargas!$F$74*'Plan mensual'!J150+parametros_recargas!$G$74*'Plan mensual'!J151+parametros_recargas!$H$74*'Plan mensual'!J152+parametros_recargas!$I$74*'Plan mensual'!J153+parametros_recargas!$J$74*'Plan mensual'!J154+parametros_recargas!$K$74*'Plan mensual'!J155+parametros_recargas!$L$74*'Plan mensual'!J156</f>
        <v>7732.10713410508</v>
      </c>
      <c r="I132" s="25" t="n">
        <f aca="false">parametros_recargas!$E$74*'Plan mensual'!K149+parametros_recargas!$F$74*'Plan mensual'!K150+parametros_recargas!$G$74*'Plan mensual'!K151+parametros_recargas!$H$74*'Plan mensual'!K152+parametros_recargas!$I$74*'Plan mensual'!K153+parametros_recargas!$J$74*'Plan mensual'!K154+parametros_recargas!$K$74*'Plan mensual'!K155+parametros_recargas!$L$74*'Plan mensual'!K156</f>
        <v>7929.59923489502</v>
      </c>
      <c r="J132" s="25" t="n">
        <f aca="false">parametros_recargas!$E$74*'Plan mensual'!L149+parametros_recargas!$F$74*'Plan mensual'!L150+parametros_recargas!$G$74*'Plan mensual'!L151+parametros_recargas!$H$74*'Plan mensual'!L152+parametros_recargas!$I$74*'Plan mensual'!L153+parametros_recargas!$J$74*'Plan mensual'!L154+parametros_recargas!$K$74*'Plan mensual'!L155+parametros_recargas!$L$74*'Plan mensual'!L156</f>
        <v>8132.23098884619</v>
      </c>
      <c r="K132" s="25" t="n">
        <f aca="false">parametros_recargas!$E$74*'Plan mensual'!M149+parametros_recargas!$F$74*'Plan mensual'!M150+parametros_recargas!$G$74*'Plan mensual'!M151+parametros_recargas!$H$74*'Plan mensual'!M152+parametros_recargas!$I$74*'Plan mensual'!M153+parametros_recargas!$J$74*'Plan mensual'!M154+parametros_recargas!$K$74*'Plan mensual'!M155+parametros_recargas!$L$74*'Plan mensual'!M156</f>
        <v>8340.13615338236</v>
      </c>
      <c r="L132" s="25" t="n">
        <f aca="false">parametros_recargas!$E$74*'Plan mensual'!N149+parametros_recargas!$F$74*'Plan mensual'!N150+parametros_recargas!$G$74*'Plan mensual'!N151+parametros_recargas!$H$74*'Plan mensual'!N152+parametros_recargas!$I$74*'Plan mensual'!N153+parametros_recargas!$J$74*'Plan mensual'!N154+parametros_recargas!$K$74*'Plan mensual'!N155+parametros_recargas!$L$74*'Plan mensual'!N156</f>
        <v>8553.45196691092</v>
      </c>
      <c r="M132" s="25" t="n">
        <f aca="false">parametros_recargas!$E$74*'Plan mensual'!O149+parametros_recargas!$F$74*'Plan mensual'!O150+parametros_recargas!$G$74*'Plan mensual'!O151+parametros_recargas!$H$74*'Plan mensual'!O152+parametros_recargas!$I$74*'Plan mensual'!O153+parametros_recargas!$J$74*'Plan mensual'!O154+parametros_recargas!$K$74*'Plan mensual'!O155+parametros_recargas!$L$74*'Plan mensual'!O156</f>
        <v>8772.31923941406</v>
      </c>
      <c r="N132" s="7" t="n">
        <f aca="false">SUM(B132:M132)</f>
        <v>91976.9576932899</v>
      </c>
      <c r="O132" s="26" t="n">
        <f aca="false">MAX(B132:M132)</f>
        <v>8772.31923941406</v>
      </c>
      <c r="P132" s="15" t="n">
        <f aca="false">O132/parametros_recargas!$B$6</f>
        <v>58.4821282627604</v>
      </c>
    </row>
    <row r="133" customFormat="false" ht="15" hidden="false" customHeight="false" outlineLevel="0" collapsed="false">
      <c r="A133" s="12" t="str">
        <f aca="false">parametros_recargas!$B$75</f>
        <v>Descarga ABC — ruta descarte</v>
      </c>
      <c r="B133" s="25" t="n">
        <f aca="false">parametros_recargas!$E$75*'Plan mensual'!D149+parametros_recargas!$F$75*'Plan mensual'!D150+parametros_recargas!$G$75*'Plan mensual'!D151+parametros_recargas!$H$75*'Plan mensual'!D152+parametros_recargas!$I$75*'Plan mensual'!D153+parametros_recargas!$J$75*'Plan mensual'!D154+parametros_recargas!$K$75*'Plan mensual'!D155+parametros_recargas!$L$75*'Plan mensual'!D156</f>
        <v>782.119252654374</v>
      </c>
      <c r="C133" s="25" t="n">
        <f aca="false">parametros_recargas!$E$75*'Plan mensual'!E149+parametros_recargas!$F$75*'Plan mensual'!E150+parametros_recargas!$G$75*'Plan mensual'!E151+parametros_recargas!$H$75*'Plan mensual'!E152+parametros_recargas!$I$75*'Plan mensual'!E153+parametros_recargas!$J$75*'Plan mensual'!E154+parametros_recargas!$K$75*'Plan mensual'!E155+parametros_recargas!$L$75*'Plan mensual'!E156</f>
        <v>802.034429142613</v>
      </c>
      <c r="D133" s="25" t="n">
        <f aca="false">parametros_recargas!$E$75*'Plan mensual'!F149+parametros_recargas!$F$75*'Plan mensual'!F150+parametros_recargas!$G$75*'Plan mensual'!F151+parametros_recargas!$H$75*'Plan mensual'!F152+parametros_recargas!$I$75*'Plan mensual'!F153+parametros_recargas!$J$75*'Plan mensual'!F154+parametros_recargas!$K$75*'Plan mensual'!F155+parametros_recargas!$L$75*'Plan mensual'!F156</f>
        <v>822.467890156586</v>
      </c>
      <c r="E133" s="25" t="n">
        <f aca="false">parametros_recargas!$E$75*'Plan mensual'!G149+parametros_recargas!$F$75*'Plan mensual'!G150+parametros_recargas!$G$75*'Plan mensual'!G151+parametros_recargas!$H$75*'Plan mensual'!G152+parametros_recargas!$I$75*'Plan mensual'!G153+parametros_recargas!$J$75*'Plan mensual'!G154+parametros_recargas!$K$75*'Plan mensual'!G155+parametros_recargas!$L$75*'Plan mensual'!G156</f>
        <v>843.433123844379</v>
      </c>
      <c r="F133" s="25" t="n">
        <f aca="false">parametros_recargas!$E$75*'Plan mensual'!H149+parametros_recargas!$F$75*'Plan mensual'!H150+parametros_recargas!$G$75*'Plan mensual'!H151+parametros_recargas!$H$75*'Plan mensual'!H152+parametros_recargas!$I$75*'Plan mensual'!H153+parametros_recargas!$J$75*'Plan mensual'!H154+parametros_recargas!$K$75*'Plan mensual'!H155+parametros_recargas!$L$75*'Plan mensual'!H156</f>
        <v>864.94396937775</v>
      </c>
      <c r="G133" s="25" t="n">
        <f aca="false">parametros_recargas!$E$75*'Plan mensual'!I149+parametros_recargas!$F$75*'Plan mensual'!I150+parametros_recargas!$G$75*'Plan mensual'!I151+parametros_recargas!$H$75*'Plan mensual'!I152+parametros_recargas!$I$75*'Plan mensual'!I153+parametros_recargas!$J$75*'Plan mensual'!I154+parametros_recargas!$K$75*'Plan mensual'!I155+parametros_recargas!$L$75*'Plan mensual'!I156</f>
        <v>887.014626087386</v>
      </c>
      <c r="H133" s="25" t="n">
        <f aca="false">parametros_recargas!$E$75*'Plan mensual'!J149+parametros_recargas!$F$75*'Plan mensual'!J150+parametros_recargas!$G$75*'Plan mensual'!J151+parametros_recargas!$H$75*'Plan mensual'!J152+parametros_recargas!$I$75*'Plan mensual'!J153+parametros_recargas!$J$75*'Plan mensual'!J154+parametros_recargas!$K$75*'Plan mensual'!J155+parametros_recargas!$L$75*'Plan mensual'!J156</f>
        <v>909.659662835891</v>
      </c>
      <c r="I133" s="25" t="n">
        <f aca="false">parametros_recargas!$E$75*'Plan mensual'!K149+parametros_recargas!$F$75*'Plan mensual'!K150+parametros_recargas!$G$75*'Plan mensual'!K151+parametros_recargas!$H$75*'Plan mensual'!K152+parametros_recargas!$I$75*'Plan mensual'!K153+parametros_recargas!$J$75*'Plan mensual'!K154+parametros_recargas!$K$75*'Plan mensual'!K155+parametros_recargas!$L$75*'Plan mensual'!K156</f>
        <v>932.894027634708</v>
      </c>
      <c r="J133" s="25" t="n">
        <f aca="false">parametros_recargas!$E$75*'Plan mensual'!L149+parametros_recargas!$F$75*'Plan mensual'!L150+parametros_recargas!$G$75*'Plan mensual'!L151+parametros_recargas!$H$75*'Plan mensual'!L152+parametros_recargas!$I$75*'Plan mensual'!L153+parametros_recargas!$J$75*'Plan mensual'!L154+parametros_recargas!$K$75*'Plan mensual'!L155+parametros_recargas!$L$75*'Plan mensual'!L156</f>
        <v>956.733057511316</v>
      </c>
      <c r="K133" s="25" t="n">
        <f aca="false">parametros_recargas!$E$75*'Plan mensual'!M149+parametros_recargas!$F$75*'Plan mensual'!M150+parametros_recargas!$G$75*'Plan mensual'!M151+parametros_recargas!$H$75*'Plan mensual'!M152+parametros_recargas!$I$75*'Plan mensual'!M153+parametros_recargas!$J$75*'Plan mensual'!M154+parametros_recargas!$K$75*'Plan mensual'!M155+parametros_recargas!$L$75*'Plan mensual'!M156</f>
        <v>981.192488633219</v>
      </c>
      <c r="L133" s="25" t="n">
        <f aca="false">parametros_recargas!$E$75*'Plan mensual'!N149+parametros_recargas!$F$75*'Plan mensual'!N150+parametros_recargas!$G$75*'Plan mensual'!N151+parametros_recargas!$H$75*'Plan mensual'!N152+parametros_recargas!$I$75*'Plan mensual'!N153+parametros_recargas!$J$75*'Plan mensual'!N154+parametros_recargas!$K$75*'Plan mensual'!N155+parametros_recargas!$L$75*'Plan mensual'!N156</f>
        <v>1006.2884666954</v>
      </c>
      <c r="M133" s="25" t="n">
        <f aca="false">parametros_recargas!$E$75*'Plan mensual'!O149+parametros_recargas!$F$75*'Plan mensual'!O150+parametros_recargas!$G$75*'Plan mensual'!O151+parametros_recargas!$H$75*'Plan mensual'!O152+parametros_recargas!$I$75*'Plan mensual'!O153+parametros_recargas!$J$75*'Plan mensual'!O154+parametros_recargas!$K$75*'Plan mensual'!O155+parametros_recargas!$L$75*'Plan mensual'!O156</f>
        <v>1032.03755757813</v>
      </c>
      <c r="N133" s="7" t="n">
        <f aca="false">SUM(B133:M133)</f>
        <v>10820.8185521518</v>
      </c>
      <c r="O133" s="26" t="n">
        <f aca="false">MAX(B133:M133)</f>
        <v>1032.03755757813</v>
      </c>
      <c r="P133" s="15" t="n">
        <f aca="false">O133/parametros_recargas!$B$6</f>
        <v>6.88025038385417</v>
      </c>
    </row>
    <row r="134" customFormat="false" ht="15" hidden="false" customHeight="false" outlineLevel="0" collapsed="false">
      <c r="A134" s="12" t="str">
        <f aca="false">parametros_recargas!$B$76</f>
        <v>Descarga BC</v>
      </c>
      <c r="B134" s="25" t="n">
        <f aca="false">parametros_recargas!$E$76*'Plan mensual'!D149+parametros_recargas!$F$76*'Plan mensual'!D150+parametros_recargas!$G$76*'Plan mensual'!D151+parametros_recargas!$H$76*'Plan mensual'!D152+parametros_recargas!$I$76*'Plan mensual'!D153+parametros_recargas!$J$76*'Plan mensual'!D154+parametros_recargas!$K$76*'Plan mensual'!D155+parametros_recargas!$L$76*'Plan mensual'!D156</f>
        <v>11.9412427018567</v>
      </c>
      <c r="C134" s="25" t="n">
        <f aca="false">parametros_recargas!$E$76*'Plan mensual'!E149+parametros_recargas!$F$76*'Plan mensual'!E150+parametros_recargas!$G$76*'Plan mensual'!E151+parametros_recargas!$H$76*'Plan mensual'!E152+parametros_recargas!$I$76*'Plan mensual'!E153+parametros_recargas!$J$76*'Plan mensual'!E154+parametros_recargas!$K$76*'Plan mensual'!E155+parametros_recargas!$L$76*'Plan mensual'!E156</f>
        <v>12.2346590467584</v>
      </c>
      <c r="D134" s="25" t="n">
        <f aca="false">parametros_recargas!$E$76*'Plan mensual'!F149+parametros_recargas!$F$76*'Plan mensual'!F150+parametros_recargas!$G$76*'Plan mensual'!F151+parametros_recargas!$H$76*'Plan mensual'!F152+parametros_recargas!$I$76*'Plan mensual'!F153+parametros_recargas!$J$76*'Plan mensual'!F154+parametros_recargas!$K$76*'Plan mensual'!F155+parametros_recargas!$L$76*'Plan mensual'!F156</f>
        <v>12.5357114350188</v>
      </c>
      <c r="E134" s="25" t="n">
        <f aca="false">parametros_recargas!$E$76*'Plan mensual'!G149+parametros_recargas!$F$76*'Plan mensual'!G150+parametros_recargas!$G$76*'Plan mensual'!G151+parametros_recargas!$H$76*'Plan mensual'!G152+parametros_recargas!$I$76*'Plan mensual'!G153+parametros_recargas!$J$76*'Plan mensual'!G154+parametros_recargas!$K$76*'Plan mensual'!G155+parametros_recargas!$L$76*'Plan mensual'!G156</f>
        <v>12.8445985916209</v>
      </c>
      <c r="F134" s="25" t="n">
        <f aca="false">parametros_recargas!$E$76*'Plan mensual'!H149+parametros_recargas!$F$76*'Plan mensual'!H150+parametros_recargas!$G$76*'Plan mensual'!H151+parametros_recargas!$H$76*'Plan mensual'!H152+parametros_recargas!$I$76*'Plan mensual'!H153+parametros_recargas!$J$76*'Plan mensual'!H154+parametros_recargas!$K$76*'Plan mensual'!H155+parametros_recargas!$L$76*'Plan mensual'!H156</f>
        <v>13.1615244132864</v>
      </c>
      <c r="G134" s="25" t="n">
        <f aca="false">parametros_recargas!$E$76*'Plan mensual'!I149+parametros_recargas!$F$76*'Plan mensual'!I150+parametros_recargas!$G$76*'Plan mensual'!I151+parametros_recargas!$H$76*'Plan mensual'!I152+parametros_recargas!$I$76*'Plan mensual'!I153+parametros_recargas!$J$76*'Plan mensual'!I154+parametros_recargas!$K$76*'Plan mensual'!I155+parametros_recargas!$L$76*'Plan mensual'!I156</f>
        <v>13.4866981030674</v>
      </c>
      <c r="H134" s="25" t="n">
        <f aca="false">parametros_recargas!$E$76*'Plan mensual'!J149+parametros_recargas!$F$76*'Plan mensual'!J150+parametros_recargas!$G$76*'Plan mensual'!J151+parametros_recargas!$H$76*'Plan mensual'!J152+parametros_recargas!$I$76*'Plan mensual'!J153+parametros_recargas!$J$76*'Plan mensual'!J154+parametros_recargas!$K$76*'Plan mensual'!J155+parametros_recargas!$L$76*'Plan mensual'!J156</f>
        <v>13.8203343084425</v>
      </c>
      <c r="I134" s="25" t="n">
        <f aca="false">parametros_recargas!$E$76*'Plan mensual'!K149+parametros_recargas!$F$76*'Plan mensual'!K150+parametros_recargas!$G$76*'Plan mensual'!K151+parametros_recargas!$H$76*'Plan mensual'!K152+parametros_recargas!$I$76*'Plan mensual'!K153+parametros_recargas!$J$76*'Plan mensual'!K154+parametros_recargas!$K$76*'Plan mensual'!K155+parametros_recargas!$L$76*'Plan mensual'!K156</f>
        <v>14.162653263005</v>
      </c>
      <c r="J134" s="25" t="n">
        <f aca="false">parametros_recargas!$E$76*'Plan mensual'!L149+parametros_recargas!$F$76*'Plan mensual'!L150+parametros_recargas!$G$76*'Plan mensual'!L151+parametros_recargas!$H$76*'Plan mensual'!L152+parametros_recargas!$I$76*'Plan mensual'!L153+parametros_recargas!$J$76*'Plan mensual'!L154+parametros_recargas!$K$76*'Plan mensual'!L155+parametros_recargas!$L$76*'Plan mensual'!L156</f>
        <v>14.5138809318397</v>
      </c>
      <c r="K134" s="25" t="n">
        <f aca="false">parametros_recargas!$E$76*'Plan mensual'!M149+parametros_recargas!$F$76*'Plan mensual'!M150+parametros_recargas!$G$76*'Plan mensual'!M151+parametros_recargas!$H$76*'Plan mensual'!M152+parametros_recargas!$I$76*'Plan mensual'!M153+parametros_recargas!$J$76*'Plan mensual'!M154+parametros_recargas!$K$76*'Plan mensual'!M155+parametros_recargas!$L$76*'Plan mensual'!M156</f>
        <v>14.8742491606828</v>
      </c>
      <c r="L134" s="25" t="n">
        <f aca="false">parametros_recargas!$E$76*'Plan mensual'!N149+parametros_recargas!$F$76*'Plan mensual'!N150+parametros_recargas!$G$76*'Plan mensual'!N151+parametros_recargas!$H$76*'Plan mensual'!N152+parametros_recargas!$I$76*'Plan mensual'!N153+parametros_recargas!$J$76*'Plan mensual'!N154+parametros_recargas!$K$76*'Plan mensual'!N155+parametros_recargas!$L$76*'Plan mensual'!N156</f>
        <v>15.243995828963</v>
      </c>
      <c r="M134" s="25" t="n">
        <f aca="false">parametros_recargas!$E$76*'Plan mensual'!O149+parametros_recargas!$F$76*'Plan mensual'!O150+parametros_recargas!$G$76*'Plan mensual'!O151+parametros_recargas!$H$76*'Plan mensual'!O152+parametros_recargas!$I$76*'Plan mensual'!O153+parametros_recargas!$J$76*'Plan mensual'!O154+parametros_recargas!$K$76*'Plan mensual'!O155+parametros_recargas!$L$76*'Plan mensual'!O156</f>
        <v>15.6233650068266</v>
      </c>
      <c r="N134" s="7" t="n">
        <f aca="false">SUM(B134:M134)</f>
        <v>164.442912791368</v>
      </c>
      <c r="O134" s="26" t="n">
        <f aca="false">MAX(B134:M134)</f>
        <v>15.6233650068266</v>
      </c>
      <c r="P134" s="15" t="n">
        <f aca="false">O134/parametros_recargas!$B$6</f>
        <v>0.104155766712177</v>
      </c>
    </row>
    <row r="135" customFormat="false" ht="15" hidden="false" customHeight="false" outlineLevel="0" collapsed="false">
      <c r="A135" s="12" t="str">
        <f aca="false">parametros_recargas!$B$77</f>
        <v>Descarga de agua / AFFF / sales K</v>
      </c>
      <c r="B135" s="25" t="n">
        <f aca="false">parametros_recargas!$E$77*'Plan mensual'!D149+parametros_recargas!$F$77*'Plan mensual'!D150+parametros_recargas!$G$77*'Plan mensual'!D151+parametros_recargas!$H$77*'Plan mensual'!D152+parametros_recargas!$I$77*'Plan mensual'!D153+parametros_recargas!$J$77*'Plan mensual'!D154+parametros_recargas!$K$77*'Plan mensual'!D155+parametros_recargas!$L$77*'Plan mensual'!D156</f>
        <v>418.880571908966</v>
      </c>
      <c r="C135" s="25" t="n">
        <f aca="false">parametros_recargas!$E$77*'Plan mensual'!E149+parametros_recargas!$F$77*'Plan mensual'!E150+parametros_recargas!$G$77*'Plan mensual'!E151+parametros_recargas!$H$77*'Plan mensual'!E152+parametros_recargas!$I$77*'Plan mensual'!E153+parametros_recargas!$J$77*'Plan mensual'!E154+parametros_recargas!$K$77*'Plan mensual'!E155+parametros_recargas!$L$77*'Plan mensual'!E156</f>
        <v>429.41742732246</v>
      </c>
      <c r="D135" s="25" t="n">
        <f aca="false">parametros_recargas!$E$77*'Plan mensual'!F149+parametros_recargas!$F$77*'Plan mensual'!F150+parametros_recargas!$G$77*'Plan mensual'!F151+parametros_recargas!$H$77*'Plan mensual'!F152+parametros_recargas!$I$77*'Plan mensual'!F153+parametros_recargas!$J$77*'Plan mensual'!F154+parametros_recargas!$K$77*'Plan mensual'!F155+parametros_recargas!$L$77*'Plan mensual'!F156</f>
        <v>440.228500195886</v>
      </c>
      <c r="E135" s="25" t="n">
        <f aca="false">parametros_recargas!$E$77*'Plan mensual'!G149+parametros_recargas!$F$77*'Plan mensual'!G150+parametros_recargas!$G$77*'Plan mensual'!G151+parametros_recargas!$H$77*'Plan mensual'!G152+parametros_recargas!$I$77*'Plan mensual'!G153+parametros_recargas!$J$77*'Plan mensual'!G154+parametros_recargas!$K$77*'Plan mensual'!G155+parametros_recargas!$L$77*'Plan mensual'!G156</f>
        <v>451.320926929278</v>
      </c>
      <c r="F135" s="25" t="n">
        <f aca="false">parametros_recargas!$E$77*'Plan mensual'!H149+parametros_recargas!$F$77*'Plan mensual'!H150+parametros_recargas!$G$77*'Plan mensual'!H151+parametros_recargas!$H$77*'Plan mensual'!H152+parametros_recargas!$I$77*'Plan mensual'!H153+parametros_recargas!$J$77*'Plan mensual'!H154+parametros_recargas!$K$77*'Plan mensual'!H155+parametros_recargas!$L$77*'Plan mensual'!H156</f>
        <v>462.702029644636</v>
      </c>
      <c r="G135" s="25" t="n">
        <f aca="false">parametros_recargas!$E$77*'Plan mensual'!I149+parametros_recargas!$F$77*'Plan mensual'!I150+parametros_recargas!$G$77*'Plan mensual'!I151+parametros_recargas!$H$77*'Plan mensual'!I152+parametros_recargas!$I$77*'Plan mensual'!I153+parametros_recargas!$J$77*'Plan mensual'!I154+parametros_recargas!$K$77*'Plan mensual'!I155+parametros_recargas!$L$77*'Plan mensual'!I156</f>
        <v>474.379321019264</v>
      </c>
      <c r="H135" s="25" t="n">
        <f aca="false">parametros_recargas!$E$77*'Plan mensual'!J149+parametros_recargas!$F$77*'Plan mensual'!J150+parametros_recargas!$G$77*'Plan mensual'!J151+parametros_recargas!$H$77*'Plan mensual'!J152+parametros_recargas!$I$77*'Plan mensual'!J153+parametros_recargas!$J$77*'Plan mensual'!J154+parametros_recargas!$K$77*'Plan mensual'!J155+parametros_recargas!$L$77*'Plan mensual'!J156</f>
        <v>486.360509244894</v>
      </c>
      <c r="I135" s="25" t="n">
        <f aca="false">parametros_recargas!$E$77*'Plan mensual'!K149+parametros_recargas!$F$77*'Plan mensual'!K150+parametros_recargas!$G$77*'Plan mensual'!K151+parametros_recargas!$H$77*'Plan mensual'!K152+parametros_recargas!$I$77*'Plan mensual'!K153+parametros_recargas!$J$77*'Plan mensual'!K154+parametros_recargas!$K$77*'Plan mensual'!K155+parametros_recargas!$L$77*'Plan mensual'!K156</f>
        <v>498.653503115879</v>
      </c>
      <c r="J135" s="25" t="n">
        <f aca="false">parametros_recargas!$E$77*'Plan mensual'!L149+parametros_recargas!$F$77*'Plan mensual'!L150+parametros_recargas!$G$77*'Plan mensual'!L151+parametros_recargas!$H$77*'Plan mensual'!L152+parametros_recargas!$I$77*'Plan mensual'!L153+parametros_recargas!$J$77*'Plan mensual'!L154+parametros_recargas!$K$77*'Plan mensual'!L155+parametros_recargas!$L$77*'Plan mensual'!L156</f>
        <v>511.266417249787</v>
      </c>
      <c r="K135" s="25" t="n">
        <f aca="false">parametros_recargas!$E$77*'Plan mensual'!M149+parametros_recargas!$F$77*'Plan mensual'!M150+parametros_recargas!$G$77*'Plan mensual'!M151+parametros_recargas!$H$77*'Plan mensual'!M152+parametros_recargas!$I$77*'Plan mensual'!M153+parametros_recargas!$J$77*'Plan mensual'!M154+parametros_recargas!$K$77*'Plan mensual'!M155+parametros_recargas!$L$77*'Plan mensual'!M156</f>
        <v>524.207577443873</v>
      </c>
      <c r="L135" s="25" t="n">
        <f aca="false">parametros_recargas!$E$77*'Plan mensual'!N149+parametros_recargas!$F$77*'Plan mensual'!N150+parametros_recargas!$G$77*'Plan mensual'!N151+parametros_recargas!$H$77*'Plan mensual'!N152+parametros_recargas!$I$77*'Plan mensual'!N153+parametros_recargas!$J$77*'Plan mensual'!N154+parametros_recargas!$K$77*'Plan mensual'!N155+parametros_recargas!$L$77*'Plan mensual'!N156</f>
        <v>537.485526170945</v>
      </c>
      <c r="M135" s="25" t="n">
        <f aca="false">parametros_recargas!$E$77*'Plan mensual'!O149+parametros_recargas!$F$77*'Plan mensual'!O150+parametros_recargas!$G$77*'Plan mensual'!O151+parametros_recargas!$H$77*'Plan mensual'!O152+parametros_recargas!$I$77*'Plan mensual'!O153+parametros_recargas!$J$77*'Plan mensual'!O154+parametros_recargas!$K$77*'Plan mensual'!O155+parametros_recargas!$L$77*'Plan mensual'!O156</f>
        <v>551.10902821826</v>
      </c>
      <c r="N135" s="7" t="n">
        <f aca="false">SUM(B135:M135)</f>
        <v>5786.01133846413</v>
      </c>
      <c r="O135" s="26" t="n">
        <f aca="false">MAX(B135:M135)</f>
        <v>551.10902821826</v>
      </c>
      <c r="P135" s="15" t="n">
        <f aca="false">O135/parametros_recargas!$B$6</f>
        <v>3.67406018812173</v>
      </c>
    </row>
    <row r="136" customFormat="false" ht="15" hidden="false" customHeight="false" outlineLevel="0" collapsed="false">
      <c r="A136" s="12" t="str">
        <f aca="false">parametros_recargas!$B$78</f>
        <v>Recuperación de CO₂</v>
      </c>
      <c r="B136" s="25" t="n">
        <f aca="false">parametros_recargas!$E$78*'Plan mensual'!D149+parametros_recargas!$F$78*'Plan mensual'!D150+parametros_recargas!$G$78*'Plan mensual'!D151+parametros_recargas!$H$78*'Plan mensual'!D152+parametros_recargas!$I$78*'Plan mensual'!D153+parametros_recargas!$J$78*'Plan mensual'!D154+parametros_recargas!$K$78*'Plan mensual'!D155+parametros_recargas!$L$78*'Plan mensual'!D156</f>
        <v>191.794508393382</v>
      </c>
      <c r="C136" s="25" t="n">
        <f aca="false">parametros_recargas!$E$78*'Plan mensual'!E149+parametros_recargas!$F$78*'Plan mensual'!E150+parametros_recargas!$G$78*'Plan mensual'!E151+parametros_recargas!$H$78*'Plan mensual'!E152+parametros_recargas!$I$78*'Plan mensual'!E153+parametros_recargas!$J$78*'Plan mensual'!E154+parametros_recargas!$K$78*'Plan mensual'!E155+parametros_recargas!$L$78*'Plan mensual'!E156</f>
        <v>196.622145868924</v>
      </c>
      <c r="D136" s="25" t="n">
        <f aca="false">parametros_recargas!$E$78*'Plan mensual'!F149+parametros_recargas!$F$78*'Plan mensual'!F150+parametros_recargas!$G$78*'Plan mensual'!F151+parametros_recargas!$H$78*'Plan mensual'!F152+parametros_recargas!$I$78*'Plan mensual'!F153+parametros_recargas!$J$78*'Plan mensual'!F154+parametros_recargas!$K$78*'Plan mensual'!F155+parametros_recargas!$L$78*'Plan mensual'!F156</f>
        <v>201.575420684456</v>
      </c>
      <c r="E136" s="25" t="n">
        <f aca="false">parametros_recargas!$E$78*'Plan mensual'!G149+parametros_recargas!$F$78*'Plan mensual'!G150+parametros_recargas!$G$78*'Plan mensual'!G151+parametros_recargas!$H$78*'Plan mensual'!G152+parametros_recargas!$I$78*'Plan mensual'!G153+parametros_recargas!$J$78*'Plan mensual'!G154+parametros_recargas!$K$78*'Plan mensual'!G155+parametros_recargas!$L$78*'Plan mensual'!G156</f>
        <v>206.657602501647</v>
      </c>
      <c r="F136" s="25" t="n">
        <f aca="false">parametros_recargas!$E$78*'Plan mensual'!H149+parametros_recargas!$F$78*'Plan mensual'!H150+parametros_recargas!$G$78*'Plan mensual'!H151+parametros_recargas!$H$78*'Plan mensual'!H152+parametros_recargas!$I$78*'Plan mensual'!H153+parametros_recargas!$J$78*'Plan mensual'!H154+parametros_recargas!$K$78*'Plan mensual'!H155+parametros_recargas!$L$78*'Plan mensual'!H156</f>
        <v>211.872046073806</v>
      </c>
      <c r="G136" s="25" t="n">
        <f aca="false">parametros_recargas!$E$78*'Plan mensual'!I149+parametros_recargas!$F$78*'Plan mensual'!I150+parametros_recargas!$G$78*'Plan mensual'!I151+parametros_recargas!$H$78*'Plan mensual'!I152+parametros_recargas!$I$78*'Plan mensual'!I153+parametros_recargas!$J$78*'Plan mensual'!I154+parametros_recargas!$K$78*'Plan mensual'!I155+parametros_recargas!$L$78*'Plan mensual'!I156</f>
        <v>217.222193460357</v>
      </c>
      <c r="H136" s="25" t="n">
        <f aca="false">parametros_recargas!$E$78*'Plan mensual'!J149+parametros_recargas!$F$78*'Plan mensual'!J150+parametros_recargas!$G$78*'Plan mensual'!J151+parametros_recargas!$H$78*'Plan mensual'!J152+parametros_recargas!$I$78*'Plan mensual'!J153+parametros_recargas!$J$78*'Plan mensual'!J154+parametros_recargas!$K$78*'Plan mensual'!J155+parametros_recargas!$L$78*'Plan mensual'!J156</f>
        <v>222.711576298951</v>
      </c>
      <c r="I136" s="25" t="n">
        <f aca="false">parametros_recargas!$E$78*'Plan mensual'!K149+parametros_recargas!$F$78*'Plan mensual'!K150+parametros_recargas!$G$78*'Plan mensual'!K151+parametros_recargas!$H$78*'Plan mensual'!K152+parametros_recargas!$I$78*'Plan mensual'!K153+parametros_recargas!$J$78*'Plan mensual'!K154+parametros_recargas!$K$78*'Plan mensual'!K155+parametros_recargas!$L$78*'Plan mensual'!K156</f>
        <v>228.343818136699</v>
      </c>
      <c r="J136" s="25" t="n">
        <f aca="false">parametros_recargas!$E$78*'Plan mensual'!L149+parametros_recargas!$F$78*'Plan mensual'!L150+parametros_recargas!$G$78*'Plan mensual'!L151+parametros_recargas!$H$78*'Plan mensual'!L152+parametros_recargas!$I$78*'Plan mensual'!L153+parametros_recargas!$J$78*'Plan mensual'!L154+parametros_recargas!$K$78*'Plan mensual'!L155+parametros_recargas!$L$78*'Plan mensual'!L156</f>
        <v>234.122636822079</v>
      </c>
      <c r="K136" s="25" t="n">
        <f aca="false">parametros_recargas!$E$78*'Plan mensual'!M149+parametros_recargas!$F$78*'Plan mensual'!M150+parametros_recargas!$G$78*'Plan mensual'!M151+parametros_recargas!$H$78*'Plan mensual'!M152+parametros_recargas!$I$78*'Plan mensual'!M153+parametros_recargas!$J$78*'Plan mensual'!M154+parametros_recargas!$K$78*'Plan mensual'!M155+parametros_recargas!$L$78*'Plan mensual'!M156</f>
        <v>240.051846959095</v>
      </c>
      <c r="L136" s="25" t="n">
        <f aca="false">parametros_recargas!$E$78*'Plan mensual'!N149+parametros_recargas!$F$78*'Plan mensual'!N150+parametros_recargas!$G$78*'Plan mensual'!N151+parametros_recargas!$H$78*'Plan mensual'!N152+parametros_recargas!$I$78*'Plan mensual'!N153+parametros_recargas!$J$78*'Plan mensual'!N154+parametros_recargas!$K$78*'Plan mensual'!N155+parametros_recargas!$L$78*'Plan mensual'!N156</f>
        <v>246.135362425299</v>
      </c>
      <c r="M136" s="25" t="n">
        <f aca="false">parametros_recargas!$E$78*'Plan mensual'!O149+parametros_recargas!$F$78*'Plan mensual'!O150+parametros_recargas!$G$78*'Plan mensual'!O151+parametros_recargas!$H$78*'Plan mensual'!O152+parametros_recargas!$I$78*'Plan mensual'!O153+parametros_recargas!$J$78*'Plan mensual'!O154+parametros_recargas!$K$78*'Plan mensual'!O155+parametros_recargas!$L$78*'Plan mensual'!O156</f>
        <v>252.377198955343</v>
      </c>
      <c r="N136" s="7" t="n">
        <f aca="false">SUM(B136:M136)</f>
        <v>2649.48635658004</v>
      </c>
      <c r="O136" s="26" t="n">
        <f aca="false">MAX(B136:M136)</f>
        <v>252.377198955343</v>
      </c>
      <c r="P136" s="15" t="n">
        <f aca="false">O136/parametros_recargas!$B$6</f>
        <v>1.68251465970229</v>
      </c>
    </row>
    <row r="137" customFormat="false" ht="15" hidden="false" customHeight="false" outlineLevel="0" collapsed="false">
      <c r="A137" s="12" t="str">
        <f aca="false">parametros_recargas!$B$79</f>
        <v>Recuperación de halogenado</v>
      </c>
      <c r="B137" s="25" t="n">
        <f aca="false">parametros_recargas!$E$79*'Plan mensual'!D149+parametros_recargas!$F$79*'Plan mensual'!D150+parametros_recargas!$G$79*'Plan mensual'!D151+parametros_recargas!$H$79*'Plan mensual'!D152+parametros_recargas!$I$79*'Plan mensual'!D153+parametros_recargas!$J$79*'Plan mensual'!D154+parametros_recargas!$K$79*'Plan mensual'!D155+parametros_recargas!$L$79*'Plan mensual'!D156</f>
        <v>7.63826244601816</v>
      </c>
      <c r="C137" s="25" t="n">
        <f aca="false">parametros_recargas!$E$79*'Plan mensual'!E149+parametros_recargas!$F$79*'Plan mensual'!E150+parametros_recargas!$G$79*'Plan mensual'!E151+parametros_recargas!$H$79*'Plan mensual'!E152+parametros_recargas!$I$79*'Plan mensual'!E153+parametros_recargas!$J$79*'Plan mensual'!E154+parametros_recargas!$K$79*'Plan mensual'!E155+parametros_recargas!$L$79*'Plan mensual'!E156</f>
        <v>7.82999685047109</v>
      </c>
      <c r="D137" s="25" t="n">
        <f aca="false">parametros_recargas!$E$79*'Plan mensual'!F149+parametros_recargas!$F$79*'Plan mensual'!F150+parametros_recargas!$G$79*'Plan mensual'!F151+parametros_recargas!$H$79*'Plan mensual'!F152+parametros_recargas!$I$79*'Plan mensual'!F153+parametros_recargas!$J$79*'Plan mensual'!F154+parametros_recargas!$K$79*'Plan mensual'!F155+parametros_recargas!$L$79*'Plan mensual'!F156</f>
        <v>8.02672106633429</v>
      </c>
      <c r="E137" s="25" t="n">
        <f aca="false">parametros_recargas!$E$79*'Plan mensual'!G149+parametros_recargas!$F$79*'Plan mensual'!G150+parametros_recargas!$G$79*'Plan mensual'!G151+parametros_recargas!$H$79*'Plan mensual'!G152+parametros_recargas!$I$79*'Plan mensual'!G153+parametros_recargas!$J$79*'Plan mensual'!G154+parametros_recargas!$K$79*'Plan mensual'!G155+parametros_recargas!$L$79*'Plan mensual'!G156</f>
        <v>8.22856495145974</v>
      </c>
      <c r="F137" s="25" t="n">
        <f aca="false">parametros_recargas!$E$79*'Plan mensual'!H149+parametros_recargas!$F$79*'Plan mensual'!H150+parametros_recargas!$G$79*'Plan mensual'!H151+parametros_recargas!$H$79*'Plan mensual'!H152+parametros_recargas!$I$79*'Plan mensual'!H153+parametros_recargas!$J$79*'Plan mensual'!H154+parametros_recargas!$K$79*'Plan mensual'!H155+parametros_recargas!$L$79*'Plan mensual'!H156</f>
        <v>8.43566174319822</v>
      </c>
      <c r="G137" s="25" t="n">
        <f aca="false">parametros_recargas!$E$79*'Plan mensual'!I149+parametros_recargas!$F$79*'Plan mensual'!I150+parametros_recargas!$G$79*'Plan mensual'!I151+parametros_recargas!$H$79*'Plan mensual'!I152+parametros_recargas!$I$79*'Plan mensual'!I153+parametros_recargas!$J$79*'Plan mensual'!I154+parametros_recargas!$K$79*'Plan mensual'!I155+parametros_recargas!$L$79*'Plan mensual'!I156</f>
        <v>8.64814814634941</v>
      </c>
      <c r="H137" s="25" t="n">
        <f aca="false">parametros_recargas!$E$79*'Plan mensual'!J149+parametros_recargas!$F$79*'Plan mensual'!J150+parametros_recargas!$G$79*'Plan mensual'!J151+parametros_recargas!$H$79*'Plan mensual'!J152+parametros_recargas!$I$79*'Plan mensual'!J153+parametros_recargas!$J$79*'Plan mensual'!J154+parametros_recargas!$K$79*'Plan mensual'!J155+parametros_recargas!$L$79*'Plan mensual'!J156</f>
        <v>8.86616442340089</v>
      </c>
      <c r="I137" s="25" t="n">
        <f aca="false">parametros_recargas!$E$79*'Plan mensual'!K149+parametros_recargas!$F$79*'Plan mensual'!K150+parametros_recargas!$G$79*'Plan mensual'!K151+parametros_recargas!$H$79*'Plan mensual'!K152+parametros_recargas!$I$79*'Plan mensual'!K153+parametros_recargas!$J$79*'Plan mensual'!K154+parametros_recargas!$K$79*'Plan mensual'!K155+parametros_recargas!$L$79*'Plan mensual'!K156</f>
        <v>9.08985448711556</v>
      </c>
      <c r="J137" s="25" t="n">
        <f aca="false">parametros_recargas!$E$79*'Plan mensual'!L149+parametros_recargas!$F$79*'Plan mensual'!L150+parametros_recargas!$G$79*'Plan mensual'!L151+parametros_recargas!$H$79*'Plan mensual'!L152+parametros_recargas!$I$79*'Plan mensual'!L153+parametros_recargas!$J$79*'Plan mensual'!L154+parametros_recargas!$K$79*'Plan mensual'!L155+parametros_recargas!$L$79*'Plan mensual'!L156</f>
        <v>9.31936599552856</v>
      </c>
      <c r="K137" s="25" t="n">
        <f aca="false">parametros_recargas!$E$79*'Plan mensual'!M149+parametros_recargas!$F$79*'Plan mensual'!M150+parametros_recargas!$G$79*'Plan mensual'!M151+parametros_recargas!$H$79*'Plan mensual'!M152+parametros_recargas!$I$79*'Plan mensual'!M153+parametros_recargas!$J$79*'Plan mensual'!M154+parametros_recargas!$K$79*'Plan mensual'!M155+parametros_recargas!$L$79*'Plan mensual'!M156</f>
        <v>9.55485044941652</v>
      </c>
      <c r="L137" s="25" t="n">
        <f aca="false">parametros_recargas!$E$79*'Plan mensual'!N149+parametros_recargas!$F$79*'Plan mensual'!N150+parametros_recargas!$G$79*'Plan mensual'!N151+parametros_recargas!$H$79*'Plan mensual'!N152+parametros_recargas!$I$79*'Plan mensual'!N153+parametros_recargas!$J$79*'Plan mensual'!N154+parametros_recargas!$K$79*'Plan mensual'!N155+parametros_recargas!$L$79*'Plan mensual'!N156</f>
        <v>9.79646329230335</v>
      </c>
      <c r="M137" s="25" t="n">
        <f aca="false">parametros_recargas!$E$79*'Plan mensual'!O149+parametros_recargas!$F$79*'Plan mensual'!O150+parametros_recargas!$G$79*'Plan mensual'!O151+parametros_recargas!$H$79*'Plan mensual'!O152+parametros_recargas!$I$79*'Plan mensual'!O153+parametros_recargas!$J$79*'Plan mensual'!O154+parametros_recargas!$K$79*'Plan mensual'!O155+parametros_recargas!$L$79*'Plan mensual'!O156</f>
        <v>10.0443640130687</v>
      </c>
      <c r="N137" s="7" t="n">
        <f aca="false">SUM(B137:M137)</f>
        <v>105.478417864664</v>
      </c>
      <c r="O137" s="26" t="n">
        <f aca="false">MAX(B137:M137)</f>
        <v>10.0443640130687</v>
      </c>
      <c r="P137" s="15" t="n">
        <f aca="false">O137/parametros_recargas!$B$6</f>
        <v>0.0669624267537912</v>
      </c>
    </row>
    <row r="138" customFormat="false" ht="15" hidden="false" customHeight="false" outlineLevel="0" collapsed="false">
      <c r="A138" s="12" t="str">
        <f aca="false">parametros_recargas!$B$80</f>
        <v>Desarme y limpieza — recinto</v>
      </c>
      <c r="B138" s="25" t="n">
        <f aca="false">parametros_recargas!$E$80*'Plan mensual'!D149+parametros_recargas!$F$80*'Plan mensual'!D150+parametros_recargas!$G$80*'Plan mensual'!D151+parametros_recargas!$H$80*'Plan mensual'!D152+parametros_recargas!$I$80*'Plan mensual'!D153+parametros_recargas!$J$80*'Plan mensual'!D154+parametros_recargas!$K$80*'Plan mensual'!D155+parametros_recargas!$L$80*'Plan mensual'!D156</f>
        <v>7844.24429421326</v>
      </c>
      <c r="C138" s="25" t="n">
        <f aca="false">parametros_recargas!$E$80*'Plan mensual'!E149+parametros_recargas!$F$80*'Plan mensual'!E150+parametros_recargas!$G$80*'Plan mensual'!E151+parametros_recargas!$H$80*'Plan mensual'!E152+parametros_recargas!$I$80*'Plan mensual'!E153+parametros_recargas!$J$80*'Plan mensual'!E154+parametros_recargas!$K$80*'Plan mensual'!E155+parametros_recargas!$L$80*'Plan mensual'!E156</f>
        <v>8043.96344140448</v>
      </c>
      <c r="D138" s="25" t="n">
        <f aca="false">parametros_recargas!$E$80*'Plan mensual'!F149+parametros_recargas!$F$80*'Plan mensual'!F150+parametros_recargas!$G$80*'Plan mensual'!F151+parametros_recargas!$H$80*'Plan mensual'!F152+parametros_recargas!$I$80*'Plan mensual'!F153+parametros_recargas!$J$80*'Plan mensual'!F154+parametros_recargas!$K$80*'Plan mensual'!F155+parametros_recargas!$L$80*'Plan mensual'!F156</f>
        <v>8248.88019975136</v>
      </c>
      <c r="E138" s="25" t="n">
        <f aca="false">parametros_recargas!$E$80*'Plan mensual'!G149+parametros_recargas!$F$80*'Plan mensual'!G150+parametros_recargas!$G$80*'Plan mensual'!G151+parametros_recargas!$H$80*'Plan mensual'!G152+parametros_recargas!$I$80*'Plan mensual'!G153+parametros_recargas!$J$80*'Plan mensual'!G154+parametros_recargas!$K$80*'Plan mensual'!G155+parametros_recargas!$L$80*'Plan mensual'!G156</f>
        <v>8459.12983501135</v>
      </c>
      <c r="F138" s="25" t="n">
        <f aca="false">parametros_recargas!$E$80*'Plan mensual'!H149+parametros_recargas!$F$80*'Plan mensual'!H150+parametros_recargas!$G$80*'Plan mensual'!H151+parametros_recargas!$H$80*'Plan mensual'!H152+parametros_recargas!$I$80*'Plan mensual'!H153+parametros_recargas!$J$80*'Plan mensual'!H154+parametros_recargas!$K$80*'Plan mensual'!H155+parametros_recargas!$L$80*'Plan mensual'!H156</f>
        <v>8674.85113317931</v>
      </c>
      <c r="G138" s="25" t="n">
        <f aca="false">parametros_recargas!$E$80*'Plan mensual'!I149+parametros_recargas!$F$80*'Plan mensual'!I150+parametros_recargas!$G$80*'Plan mensual'!I151+parametros_recargas!$H$80*'Plan mensual'!I152+parametros_recargas!$I$80*'Plan mensual'!I153+parametros_recargas!$J$80*'Plan mensual'!I154+parametros_recargas!$K$80*'Plan mensual'!I155+parametros_recargas!$L$80*'Plan mensual'!I156</f>
        <v>8896.18649210029</v>
      </c>
      <c r="H138" s="25" t="n">
        <f aca="false">parametros_recargas!$E$80*'Plan mensual'!J149+parametros_recargas!$F$80*'Plan mensual'!J150+parametros_recargas!$G$80*'Plan mensual'!J151+parametros_recargas!$H$80*'Plan mensual'!J152+parametros_recargas!$I$80*'Plan mensual'!J153+parametros_recargas!$J$80*'Plan mensual'!J154+parametros_recargas!$K$80*'Plan mensual'!J155+parametros_recargas!$L$80*'Plan mensual'!J156</f>
        <v>9123.28201546641</v>
      </c>
      <c r="I138" s="25" t="n">
        <f aca="false">parametros_recargas!$E$80*'Plan mensual'!K149+parametros_recargas!$F$80*'Plan mensual'!K150+parametros_recargas!$G$80*'Plan mensual'!K151+parametros_recargas!$H$80*'Plan mensual'!K152+parametros_recargas!$I$80*'Plan mensual'!K153+parametros_recargas!$J$80*'Plan mensual'!K154+parametros_recargas!$K$80*'Plan mensual'!K155+parametros_recargas!$L$80*'Plan mensual'!K156</f>
        <v>9356.28760926017</v>
      </c>
      <c r="J138" s="25" t="n">
        <f aca="false">parametros_recargas!$E$80*'Plan mensual'!L149+parametros_recargas!$F$80*'Plan mensual'!L150+parametros_recargas!$G$80*'Plan mensual'!L151+parametros_recargas!$H$80*'Plan mensual'!L152+parametros_recargas!$I$80*'Plan mensual'!L153+parametros_recargas!$J$80*'Plan mensual'!L154+parametros_recargas!$K$80*'Plan mensual'!L155+parametros_recargas!$L$80*'Plan mensual'!L156</f>
        <v>9595.35708070743</v>
      </c>
      <c r="K138" s="25" t="n">
        <f aca="false">parametros_recargas!$E$80*'Plan mensual'!M149+parametros_recargas!$F$80*'Plan mensual'!M150+parametros_recargas!$G$80*'Plan mensual'!M151+parametros_recargas!$H$80*'Plan mensual'!M152+parametros_recargas!$I$80*'Plan mensual'!M153+parametros_recargas!$J$80*'Plan mensual'!M154+parametros_recargas!$K$80*'Plan mensual'!M155+parametros_recargas!$L$80*'Plan mensual'!M156</f>
        <v>9840.64823980581</v>
      </c>
      <c r="L138" s="25" t="n">
        <f aca="false">parametros_recargas!$E$80*'Plan mensual'!N149+parametros_recargas!$F$80*'Plan mensual'!N150+parametros_recargas!$G$80*'Plan mensual'!N151+parametros_recargas!$H$80*'Plan mensual'!N152+parametros_recargas!$I$80*'Plan mensual'!N153+parametros_recargas!$J$80*'Plan mensual'!N154+parametros_recargas!$K$80*'Plan mensual'!N155+parametros_recargas!$L$80*'Plan mensual'!N156</f>
        <v>10092.3230034951</v>
      </c>
      <c r="M138" s="25" t="n">
        <f aca="false">parametros_recargas!$E$80*'Plan mensual'!O149+parametros_recargas!$F$80*'Plan mensual'!O150+parametros_recargas!$G$80*'Plan mensual'!O151+parametros_recargas!$H$80*'Plan mensual'!O152+parametros_recargas!$I$80*'Plan mensual'!O153+parametros_recargas!$J$80*'Plan mensual'!O154+parametros_recargas!$K$80*'Plan mensual'!O155+parametros_recargas!$L$80*'Plan mensual'!O156</f>
        <v>10350.5475025391</v>
      </c>
      <c r="N138" s="7" t="n">
        <f aca="false">SUM(B138:M138)</f>
        <v>108525.700846934</v>
      </c>
      <c r="O138" s="26" t="n">
        <f aca="false">MAX(B138:M138)</f>
        <v>10350.5475025391</v>
      </c>
      <c r="P138" s="15" t="n">
        <f aca="false">O138/parametros_recargas!$B$6</f>
        <v>69.0036500169271</v>
      </c>
    </row>
    <row r="139" customFormat="false" ht="15" hidden="false" customHeight="false" outlineLevel="0" collapsed="false">
      <c r="A139" s="12" t="str">
        <f aca="false">parametros_recargas!$B$81</f>
        <v>Desarme e inspección interior — zona general</v>
      </c>
      <c r="B139" s="25" t="n">
        <f aca="false">parametros_recargas!$E$81*'Plan mensual'!D149+parametros_recargas!$F$81*'Plan mensual'!D150+parametros_recargas!$G$81*'Plan mensual'!D151+parametros_recargas!$H$81*'Plan mensual'!D152+parametros_recargas!$I$81*'Plan mensual'!D153+parametros_recargas!$J$81*'Plan mensual'!D154+parametros_recargas!$K$81*'Plan mensual'!D155+parametros_recargas!$L$81*'Plan mensual'!D156</f>
        <v>618.313342748366</v>
      </c>
      <c r="C139" s="25" t="n">
        <f aca="false">parametros_recargas!$E$81*'Plan mensual'!E149+parametros_recargas!$F$81*'Plan mensual'!E150+parametros_recargas!$G$81*'Plan mensual'!E151+parametros_recargas!$H$81*'Plan mensual'!E152+parametros_recargas!$I$81*'Plan mensual'!E153+parametros_recargas!$J$81*'Plan mensual'!E154+parametros_recargas!$K$81*'Plan mensual'!E155+parametros_recargas!$L$81*'Plan mensual'!E156</f>
        <v>633.869570041854</v>
      </c>
      <c r="D139" s="25" t="n">
        <f aca="false">parametros_recargas!$E$81*'Plan mensual'!F149+parametros_recargas!$F$81*'Plan mensual'!F150+parametros_recargas!$G$81*'Plan mensual'!F151+parametros_recargas!$H$81*'Plan mensual'!F152+parametros_recargas!$I$81*'Plan mensual'!F153+parametros_recargas!$J$81*'Plan mensual'!F154+parametros_recargas!$K$81*'Plan mensual'!F155+parametros_recargas!$L$81*'Plan mensual'!F156</f>
        <v>649.830641946676</v>
      </c>
      <c r="E139" s="25" t="n">
        <f aca="false">parametros_recargas!$E$81*'Plan mensual'!G149+parametros_recargas!$F$81*'Plan mensual'!G150+parametros_recargas!$G$81*'Plan mensual'!G151+parametros_recargas!$H$81*'Plan mensual'!G152+parametros_recargas!$I$81*'Plan mensual'!G153+parametros_recargas!$J$81*'Plan mensual'!G154+parametros_recargas!$K$81*'Plan mensual'!G155+parametros_recargas!$L$81*'Plan mensual'!G156</f>
        <v>666.207094382386</v>
      </c>
      <c r="F139" s="25" t="n">
        <f aca="false">parametros_recargas!$E$81*'Plan mensual'!H149+parametros_recargas!$F$81*'Plan mensual'!H150+parametros_recargas!$G$81*'Plan mensual'!H151+parametros_recargas!$H$81*'Plan mensual'!H152+parametros_recargas!$I$81*'Plan mensual'!H153+parametros_recargas!$J$81*'Plan mensual'!H154+parametros_recargas!$K$81*'Plan mensual'!H155+parametros_recargas!$L$81*'Plan mensual'!H156</f>
        <v>683.00973746164</v>
      </c>
      <c r="G139" s="25" t="n">
        <f aca="false">parametros_recargas!$E$81*'Plan mensual'!I149+parametros_recargas!$F$81*'Plan mensual'!I150+parametros_recargas!$G$81*'Plan mensual'!I151+parametros_recargas!$H$81*'Plan mensual'!I152+parametros_recargas!$I$81*'Plan mensual'!I153+parametros_recargas!$J$81*'Plan mensual'!I154+parametros_recargas!$K$81*'Plan mensual'!I155+parametros_recargas!$L$81*'Plan mensual'!I156</f>
        <v>700.249662625971</v>
      </c>
      <c r="H139" s="25" t="n">
        <f aca="false">parametros_recargas!$E$81*'Plan mensual'!J149+parametros_recargas!$F$81*'Plan mensual'!J150+parametros_recargas!$G$81*'Plan mensual'!J151+parametros_recargas!$H$81*'Plan mensual'!J152+parametros_recargas!$I$81*'Plan mensual'!J153+parametros_recargas!$J$81*'Plan mensual'!J154+parametros_recargas!$K$81*'Plan mensual'!J155+parametros_recargas!$L$81*'Plan mensual'!J156</f>
        <v>717.938249967247</v>
      </c>
      <c r="I139" s="25" t="n">
        <f aca="false">parametros_recargas!$E$81*'Plan mensual'!K149+parametros_recargas!$F$81*'Plan mensual'!K150+parametros_recargas!$G$81*'Plan mensual'!K151+parametros_recargas!$H$81*'Plan mensual'!K152+parametros_recargas!$I$81*'Plan mensual'!K153+parametros_recargas!$J$81*'Plan mensual'!K154+parametros_recargas!$K$81*'Plan mensual'!K155+parametros_recargas!$L$81*'Plan mensual'!K156</f>
        <v>736.087175739693</v>
      </c>
      <c r="J139" s="25" t="n">
        <f aca="false">parametros_recargas!$E$81*'Plan mensual'!L149+parametros_recargas!$F$81*'Plan mensual'!L150+parametros_recargas!$G$81*'Plan mensual'!L151+parametros_recargas!$H$81*'Plan mensual'!L152+parametros_recargas!$I$81*'Plan mensual'!L153+parametros_recargas!$J$81*'Plan mensual'!L154+parametros_recargas!$K$81*'Plan mensual'!L155+parametros_recargas!$L$81*'Plan mensual'!L156</f>
        <v>754.708420067394</v>
      </c>
      <c r="K139" s="25" t="n">
        <f aca="false">parametros_recargas!$E$81*'Plan mensual'!M149+parametros_recargas!$F$81*'Plan mensual'!M150+parametros_recargas!$G$81*'Plan mensual'!M151+parametros_recargas!$H$81*'Plan mensual'!M152+parametros_recargas!$I$81*'Plan mensual'!M153+parametros_recargas!$J$81*'Plan mensual'!M154+parametros_recargas!$K$81*'Plan mensual'!M155+parametros_recargas!$L$81*'Plan mensual'!M156</f>
        <v>773.814274852385</v>
      </c>
      <c r="L139" s="25" t="n">
        <f aca="false">parametros_recargas!$E$81*'Plan mensual'!N149+parametros_recargas!$F$81*'Plan mensual'!N150+parametros_recargas!$G$81*'Plan mensual'!N151+parametros_recargas!$H$81*'Plan mensual'!N152+parametros_recargas!$I$81*'Plan mensual'!N153+parametros_recargas!$J$81*'Plan mensual'!N154+parametros_recargas!$K$81*'Plan mensual'!N155+parametros_recargas!$L$81*'Plan mensual'!N156</f>
        <v>793.417351888547</v>
      </c>
      <c r="M139" s="25" t="n">
        <f aca="false">parametros_recargas!$E$81*'Plan mensual'!O149+parametros_recargas!$F$81*'Plan mensual'!O150+parametros_recargas!$G$81*'Plan mensual'!O151+parametros_recargas!$H$81*'Plan mensual'!O152+parametros_recargas!$I$81*'Plan mensual'!O153+parametros_recargas!$J$81*'Plan mensual'!O154+parametros_recargas!$K$81*'Plan mensual'!O155+parametros_recargas!$L$81*'Plan mensual'!O156</f>
        <v>813.530591186672</v>
      </c>
      <c r="N139" s="7" t="n">
        <f aca="false">SUM(B139:M139)</f>
        <v>8540.97611290883</v>
      </c>
      <c r="O139" s="26" t="n">
        <f aca="false">MAX(B139:M139)</f>
        <v>813.530591186672</v>
      </c>
      <c r="P139" s="15" t="n">
        <f aca="false">O139/parametros_recargas!$B$6</f>
        <v>5.42353727457781</v>
      </c>
    </row>
    <row r="140" customFormat="false" ht="15" hidden="false" customHeight="false" outlineLevel="0" collapsed="false">
      <c r="A140" s="12" t="str">
        <f aca="false">parametros_recargas!$B$82</f>
        <v>Laboratorio — Puffer y mufla</v>
      </c>
      <c r="B140" s="25" t="n">
        <f aca="false">parametros_recargas!$E$82*'Plan mensual'!D149+parametros_recargas!$F$82*'Plan mensual'!D150+parametros_recargas!$G$82*'Plan mensual'!D151+parametros_recargas!$H$82*'Plan mensual'!D152+parametros_recargas!$I$82*'Plan mensual'!D153+parametros_recargas!$J$82*'Plan mensual'!D154+parametros_recargas!$K$82*'Plan mensual'!D155+parametros_recargas!$L$82*'Plan mensual'!D156</f>
        <v>7.8331337692456</v>
      </c>
      <c r="C140" s="25" t="n">
        <f aca="false">parametros_recargas!$E$82*'Plan mensual'!E149+parametros_recargas!$F$82*'Plan mensual'!E150+parametros_recargas!$G$82*'Plan mensual'!E151+parametros_recargas!$H$82*'Plan mensual'!E152+parametros_recargas!$I$82*'Plan mensual'!E153+parametros_recargas!$J$82*'Plan mensual'!E154+parametros_recargas!$K$82*'Plan mensual'!E155+parametros_recargas!$L$82*'Plan mensual'!E156</f>
        <v>8.03257895047289</v>
      </c>
      <c r="D140" s="25" t="n">
        <f aca="false">parametros_recargas!$E$82*'Plan mensual'!F149+parametros_recargas!$F$82*'Plan mensual'!F150+parametros_recargas!$G$82*'Plan mensual'!F151+parametros_recargas!$H$82*'Plan mensual'!F152+parametros_recargas!$I$82*'Plan mensual'!F153+parametros_recargas!$J$82*'Plan mensual'!F154+parametros_recargas!$K$82*'Plan mensual'!F155+parametros_recargas!$L$82*'Plan mensual'!F156</f>
        <v>8.23721461300088</v>
      </c>
      <c r="E140" s="25" t="n">
        <f aca="false">parametros_recargas!$E$82*'Plan mensual'!G149+parametros_recargas!$F$82*'Plan mensual'!G150+parametros_recargas!$G$82*'Plan mensual'!G151+parametros_recargas!$H$82*'Plan mensual'!G152+parametros_recargas!$I$82*'Plan mensual'!G153+parametros_recargas!$J$82*'Plan mensual'!G154+parametros_recargas!$K$82*'Plan mensual'!G155+parametros_recargas!$L$82*'Plan mensual'!G156</f>
        <v>8.44717583703541</v>
      </c>
      <c r="F140" s="25" t="n">
        <f aca="false">parametros_recargas!$E$82*'Plan mensual'!H149+parametros_recargas!$F$82*'Plan mensual'!H150+parametros_recargas!$G$82*'Plan mensual'!H151+parametros_recargas!$H$82*'Plan mensual'!H152+parametros_recargas!$I$82*'Plan mensual'!H153+parametros_recargas!$J$82*'Plan mensual'!H154+parametros_recargas!$K$82*'Plan mensual'!H155+parametros_recargas!$L$82*'Plan mensual'!H156</f>
        <v>8.66260121819079</v>
      </c>
      <c r="G140" s="25" t="n">
        <f aca="false">parametros_recargas!$E$82*'Plan mensual'!I149+parametros_recargas!$F$82*'Plan mensual'!I150+parametros_recargas!$G$82*'Plan mensual'!I151+parametros_recargas!$H$82*'Plan mensual'!I152+parametros_recargas!$I$82*'Plan mensual'!I153+parametros_recargas!$J$82*'Plan mensual'!I154+parametros_recargas!$K$82*'Plan mensual'!I155+parametros_recargas!$L$82*'Plan mensual'!I156</f>
        <v>8.88363295897693</v>
      </c>
      <c r="H140" s="25" t="n">
        <f aca="false">parametros_recargas!$E$82*'Plan mensual'!J149+parametros_recargas!$F$82*'Plan mensual'!J150+parametros_recargas!$G$82*'Plan mensual'!J151+parametros_recargas!$H$82*'Plan mensual'!J152+parametros_recargas!$I$82*'Plan mensual'!J153+parametros_recargas!$J$82*'Plan mensual'!J154+parametros_recargas!$K$82*'Plan mensual'!J155+parametros_recargas!$L$82*'Plan mensual'!J156</f>
        <v>9.11041696266736</v>
      </c>
      <c r="I140" s="25" t="n">
        <f aca="false">parametros_recargas!$E$82*'Plan mensual'!K149+parametros_recargas!$F$82*'Plan mensual'!K150+parametros_recargas!$G$82*'Plan mensual'!K151+parametros_recargas!$H$82*'Plan mensual'!K152+parametros_recargas!$I$82*'Plan mensual'!K153+parametros_recargas!$J$82*'Plan mensual'!K154+parametros_recargas!$K$82*'Plan mensual'!K155+parametros_recargas!$L$82*'Plan mensual'!K156</f>
        <v>9.34310292961009</v>
      </c>
      <c r="J140" s="25" t="n">
        <f aca="false">parametros_recargas!$E$82*'Plan mensual'!L149+parametros_recargas!$F$82*'Plan mensual'!L150+parametros_recargas!$G$82*'Plan mensual'!L151+parametros_recargas!$H$82*'Plan mensual'!L152+parametros_recargas!$I$82*'Plan mensual'!L153+parametros_recargas!$J$82*'Plan mensual'!L154+parametros_recargas!$K$82*'Plan mensual'!L155+parametros_recargas!$L$82*'Plan mensual'!L156</f>
        <v>9.581844456045</v>
      </c>
      <c r="K140" s="25" t="n">
        <f aca="false">parametros_recargas!$E$82*'Plan mensual'!M149+parametros_recargas!$F$82*'Plan mensual'!M150+parametros_recargas!$G$82*'Plan mensual'!M151+parametros_recargas!$H$82*'Plan mensual'!M152+parametros_recargas!$I$82*'Plan mensual'!M153+parametros_recargas!$J$82*'Plan mensual'!M154+parametros_recargas!$K$82*'Plan mensual'!M155+parametros_recargas!$L$82*'Plan mensual'!M156</f>
        <v>9.82679913549287</v>
      </c>
      <c r="L140" s="25" t="n">
        <f aca="false">parametros_recargas!$E$82*'Plan mensual'!N149+parametros_recargas!$F$82*'Plan mensual'!N150+parametros_recargas!$G$82*'Plan mensual'!N151+parametros_recargas!$H$82*'Plan mensual'!N152+parametros_recargas!$I$82*'Plan mensual'!N153+parametros_recargas!$J$82*'Plan mensual'!N154+parametros_recargas!$K$82*'Plan mensual'!N155+parametros_recargas!$L$82*'Plan mensual'!N156</f>
        <v>10.078128662783</v>
      </c>
      <c r="M140" s="25" t="n">
        <f aca="false">parametros_recargas!$E$82*'Plan mensual'!O149+parametros_recargas!$F$82*'Plan mensual'!O150+parametros_recargas!$G$82*'Plan mensual'!O151+parametros_recargas!$H$82*'Plan mensual'!O152+parametros_recargas!$I$82*'Plan mensual'!O153+parametros_recargas!$J$82*'Plan mensual'!O154+parametros_recargas!$K$82*'Plan mensual'!O155+parametros_recargas!$L$82*'Plan mensual'!O156</f>
        <v>10.3359989407881</v>
      </c>
      <c r="N140" s="7" t="n">
        <f aca="false">SUM(B140:M140)</f>
        <v>108.372628434309</v>
      </c>
      <c r="O140" s="26" t="n">
        <f aca="false">MAX(B140:M140)</f>
        <v>10.3359989407881</v>
      </c>
      <c r="P140" s="15" t="n">
        <f aca="false">O140/parametros_recargas!$B$6</f>
        <v>0.0689066596052538</v>
      </c>
    </row>
    <row r="141" customFormat="false" ht="15" hidden="false" customHeight="false" outlineLevel="0" collapsed="false">
      <c r="A141" s="12" t="str">
        <f aca="false">parametros_recargas!$B$83</f>
        <v>Prueba hidráulica</v>
      </c>
      <c r="B141" s="25" t="n">
        <f aca="false">parametros_recargas!$E$83*'Plan mensual'!D149+parametros_recargas!$F$83*'Plan mensual'!D150+parametros_recargas!$G$83*'Plan mensual'!D151+parametros_recargas!$H$83*'Plan mensual'!D152+parametros_recargas!$I$83*'Plan mensual'!D153+parametros_recargas!$J$83*'Plan mensual'!D154+parametros_recargas!$K$83*'Plan mensual'!D155+parametros_recargas!$L$83*'Plan mensual'!D156</f>
        <v>1937.83536146865</v>
      </c>
      <c r="C141" s="25" t="n">
        <f aca="false">parametros_recargas!$E$83*'Plan mensual'!E149+parametros_recargas!$F$83*'Plan mensual'!E150+parametros_recargas!$G$83*'Plan mensual'!E151+parametros_recargas!$H$83*'Plan mensual'!E152+parametros_recargas!$I$83*'Plan mensual'!E153+parametros_recargas!$J$83*'Plan mensual'!E154+parametros_recargas!$K$83*'Plan mensual'!E155+parametros_recargas!$L$83*'Plan mensual'!E156</f>
        <v>1987.06311611764</v>
      </c>
      <c r="D141" s="25" t="n">
        <f aca="false">parametros_recargas!$E$83*'Plan mensual'!F149+parametros_recargas!$F$83*'Plan mensual'!F150+parametros_recargas!$G$83*'Plan mensual'!F151+parametros_recargas!$H$83*'Plan mensual'!F152+parametros_recargas!$I$83*'Plan mensual'!F153+parametros_recargas!$J$83*'Plan mensual'!F154+parametros_recargas!$K$83*'Plan mensual'!F155+parametros_recargas!$L$83*'Plan mensual'!F156</f>
        <v>2037.57200344885</v>
      </c>
      <c r="E141" s="25" t="n">
        <f aca="false">parametros_recargas!$E$83*'Plan mensual'!G149+parametros_recargas!$F$83*'Plan mensual'!G150+parametros_recargas!$G$83*'Plan mensual'!G151+parametros_recargas!$H$83*'Plan mensual'!G152+parametros_recargas!$I$83*'Plan mensual'!G153+parametros_recargas!$J$83*'Plan mensual'!G154+parametros_recargas!$K$83*'Plan mensual'!G155+parametros_recargas!$L$83*'Plan mensual'!G156</f>
        <v>2089.3953644294</v>
      </c>
      <c r="F141" s="25" t="n">
        <f aca="false">parametros_recargas!$E$83*'Plan mensual'!H149+parametros_recargas!$F$83*'Plan mensual'!H150+parametros_recargas!$G$83*'Plan mensual'!H151+parametros_recargas!$H$83*'Plan mensual'!H152+parametros_recargas!$I$83*'Plan mensual'!H153+parametros_recargas!$J$83*'Plan mensual'!H154+parametros_recargas!$K$83*'Plan mensual'!H155+parametros_recargas!$L$83*'Plan mensual'!H156</f>
        <v>2142.56740771179</v>
      </c>
      <c r="G141" s="25" t="n">
        <f aca="false">parametros_recargas!$E$83*'Plan mensual'!I149+parametros_recargas!$F$83*'Plan mensual'!I150+parametros_recargas!$G$83*'Plan mensual'!I151+parametros_recargas!$H$83*'Plan mensual'!I152+parametros_recargas!$I$83*'Plan mensual'!I153+parametros_recargas!$J$83*'Plan mensual'!I154+parametros_recargas!$K$83*'Plan mensual'!I155+parametros_recargas!$L$83*'Plan mensual'!I156</f>
        <v>2197.12323221506</v>
      </c>
      <c r="H141" s="25" t="n">
        <f aca="false">parametros_recargas!$E$83*'Plan mensual'!J149+parametros_recargas!$F$83*'Plan mensual'!J150+parametros_recargas!$G$83*'Plan mensual'!J151+parametros_recargas!$H$83*'Plan mensual'!J152+parametros_recargas!$I$83*'Plan mensual'!J153+parametros_recargas!$J$83*'Plan mensual'!J154+parametros_recargas!$K$83*'Plan mensual'!J155+parametros_recargas!$L$83*'Plan mensual'!J156</f>
        <v>2253.09885029361</v>
      </c>
      <c r="I141" s="25" t="n">
        <f aca="false">parametros_recargas!$E$83*'Plan mensual'!K149+parametros_recargas!$F$83*'Plan mensual'!K150+parametros_recargas!$G$83*'Plan mensual'!K151+parametros_recargas!$H$83*'Plan mensual'!K152+parametros_recargas!$I$83*'Plan mensual'!K153+parametros_recargas!$J$83*'Plan mensual'!K154+parametros_recargas!$K$83*'Plan mensual'!K155+parametros_recargas!$L$83*'Plan mensual'!K156</f>
        <v>2310.53121150902</v>
      </c>
      <c r="J141" s="25" t="n">
        <f aca="false">parametros_recargas!$E$83*'Plan mensual'!L149+parametros_recargas!$F$83*'Plan mensual'!L150+parametros_recargas!$G$83*'Plan mensual'!L151+parametros_recargas!$H$83*'Plan mensual'!L152+parametros_recargas!$I$83*'Plan mensual'!L153+parametros_recargas!$J$83*'Plan mensual'!L154+parametros_recargas!$K$83*'Plan mensual'!L155+parametros_recargas!$L$83*'Plan mensual'!L156</f>
        <v>2369.45822702047</v>
      </c>
      <c r="K141" s="25" t="n">
        <f aca="false">parametros_recargas!$E$83*'Plan mensual'!M149+parametros_recargas!$F$83*'Plan mensual'!M150+parametros_recargas!$G$83*'Plan mensual'!M151+parametros_recargas!$H$83*'Plan mensual'!M152+parametros_recargas!$I$83*'Plan mensual'!M153+parametros_recargas!$J$83*'Plan mensual'!M154+parametros_recargas!$K$83*'Plan mensual'!M155+parametros_recargas!$L$83*'Plan mensual'!M156</f>
        <v>2429.91879460991</v>
      </c>
      <c r="L141" s="25" t="n">
        <f aca="false">parametros_recargas!$E$83*'Plan mensual'!N149+parametros_recargas!$F$83*'Plan mensual'!N150+parametros_recargas!$G$83*'Plan mensual'!N151+parametros_recargas!$H$83*'Plan mensual'!N152+parametros_recargas!$I$83*'Plan mensual'!N153+parametros_recargas!$J$83*'Plan mensual'!N154+parametros_recargas!$K$83*'Plan mensual'!N155+parametros_recargas!$L$83*'Plan mensual'!N156</f>
        <v>2491.95282435858</v>
      </c>
      <c r="M141" s="25" t="n">
        <f aca="false">parametros_recargas!$E$83*'Plan mensual'!O149+parametros_recargas!$F$83*'Plan mensual'!O150+parametros_recargas!$G$83*'Plan mensual'!O151+parametros_recargas!$H$83*'Plan mensual'!O152+parametros_recargas!$I$83*'Plan mensual'!O153+parametros_recargas!$J$83*'Plan mensual'!O154+parametros_recargas!$K$83*'Plan mensual'!O155+parametros_recargas!$L$83*'Plan mensual'!O156</f>
        <v>2555.60126499167</v>
      </c>
      <c r="N141" s="7" t="n">
        <f aca="false">SUM(B141:M141)</f>
        <v>26802.1176581746</v>
      </c>
      <c r="O141" s="26" t="n">
        <f aca="false">MAX(B141:M141)</f>
        <v>2555.60126499167</v>
      </c>
      <c r="P141" s="15" t="n">
        <f aca="false">O141/parametros_recargas!$B$6</f>
        <v>17.0373417666112</v>
      </c>
    </row>
    <row r="142" customFormat="false" ht="15" hidden="false" customHeight="false" outlineLevel="0" collapsed="false">
      <c r="A142" s="12" t="str">
        <f aca="false">parametros_recargas!$B$84</f>
        <v>Secado</v>
      </c>
      <c r="B142" s="25" t="n">
        <f aca="false">parametros_recargas!$E$84*'Plan mensual'!D149+parametros_recargas!$F$84*'Plan mensual'!D150+parametros_recargas!$G$84*'Plan mensual'!D151+parametros_recargas!$H$84*'Plan mensual'!D152+parametros_recargas!$I$84*'Plan mensual'!D153+parametros_recargas!$J$84*'Plan mensual'!D154+parametros_recargas!$K$84*'Plan mensual'!D155+parametros_recargas!$L$84*'Plan mensual'!D156</f>
        <v>1806.8375184563</v>
      </c>
      <c r="C142" s="25" t="n">
        <f aca="false">parametros_recargas!$E$84*'Plan mensual'!E149+parametros_recargas!$F$84*'Plan mensual'!E150+parametros_recargas!$G$84*'Plan mensual'!E151+parametros_recargas!$H$84*'Plan mensual'!E152+parametros_recargas!$I$84*'Plan mensual'!E153+parametros_recargas!$J$84*'Plan mensual'!E154+parametros_recargas!$K$84*'Plan mensual'!E155+parametros_recargas!$L$84*'Plan mensual'!E156</f>
        <v>1852.79403687046</v>
      </c>
      <c r="D142" s="25" t="n">
        <f aca="false">parametros_recargas!$E$84*'Plan mensual'!F149+parametros_recargas!$F$84*'Plan mensual'!F150+parametros_recargas!$G$84*'Plan mensual'!F151+parametros_recargas!$H$84*'Plan mensual'!F152+parametros_recargas!$I$84*'Plan mensual'!F153+parametros_recargas!$J$84*'Plan mensual'!F154+parametros_recargas!$K$84*'Plan mensual'!F155+parametros_recargas!$L$84*'Plan mensual'!F156</f>
        <v>1899.94655534842</v>
      </c>
      <c r="E142" s="25" t="n">
        <f aca="false">parametros_recargas!$E$84*'Plan mensual'!G149+parametros_recargas!$F$84*'Plan mensual'!G150+parametros_recargas!$G$84*'Plan mensual'!G151+parametros_recargas!$H$84*'Plan mensual'!G152+parametros_recargas!$I$84*'Plan mensual'!G153+parametros_recargas!$J$84*'Plan mensual'!G154+parametros_recargas!$K$84*'Plan mensual'!G155+parametros_recargas!$L$84*'Plan mensual'!G156</f>
        <v>1948.32619931487</v>
      </c>
      <c r="F142" s="25" t="n">
        <f aca="false">parametros_recargas!$E$84*'Plan mensual'!H149+parametros_recargas!$F$84*'Plan mensual'!H150+parametros_recargas!$G$84*'Plan mensual'!H151+parametros_recargas!$H$84*'Plan mensual'!H152+parametros_recargas!$I$84*'Plan mensual'!H153+parametros_recargas!$J$84*'Plan mensual'!H154+parametros_recargas!$K$84*'Plan mensual'!H155+parametros_recargas!$L$84*'Plan mensual'!H156</f>
        <v>1997.96490422126</v>
      </c>
      <c r="G142" s="25" t="n">
        <f aca="false">parametros_recargas!$E$84*'Plan mensual'!I149+parametros_recargas!$F$84*'Plan mensual'!I150+parametros_recargas!$G$84*'Plan mensual'!I151+parametros_recargas!$H$84*'Plan mensual'!I152+parametros_recargas!$I$84*'Plan mensual'!I153+parametros_recargas!$J$84*'Plan mensual'!I154+parametros_recargas!$K$84*'Plan mensual'!I155+parametros_recargas!$L$84*'Plan mensual'!I156</f>
        <v>2048.89543662643</v>
      </c>
      <c r="H142" s="25" t="n">
        <f aca="false">parametros_recargas!$E$84*'Plan mensual'!J149+parametros_recargas!$F$84*'Plan mensual'!J150+parametros_recargas!$G$84*'Plan mensual'!J151+parametros_recargas!$H$84*'Plan mensual'!J152+parametros_recargas!$I$84*'Plan mensual'!J153+parametros_recargas!$J$84*'Plan mensual'!J154+parametros_recargas!$K$84*'Plan mensual'!J155+parametros_recargas!$L$84*'Plan mensual'!J156</f>
        <v>2101.15141582583</v>
      </c>
      <c r="I142" s="25" t="n">
        <f aca="false">parametros_recargas!$E$84*'Plan mensual'!K149+parametros_recargas!$F$84*'Plan mensual'!K150+parametros_recargas!$G$84*'Plan mensual'!K151+parametros_recargas!$H$84*'Plan mensual'!K152+parametros_recargas!$I$84*'Plan mensual'!K153+parametros_recargas!$J$84*'Plan mensual'!K154+parametros_recargas!$K$84*'Plan mensual'!K155+parametros_recargas!$L$84*'Plan mensual'!K156</f>
        <v>2154.76733604369</v>
      </c>
      <c r="J142" s="25" t="n">
        <f aca="false">parametros_recargas!$E$84*'Plan mensual'!L149+parametros_recargas!$F$84*'Plan mensual'!L150+parametros_recargas!$G$84*'Plan mensual'!L151+parametros_recargas!$H$84*'Plan mensual'!L152+parametros_recargas!$I$84*'Plan mensual'!L153+parametros_recargas!$J$84*'Plan mensual'!L154+parametros_recargas!$K$84*'Plan mensual'!L155+parametros_recargas!$L$84*'Plan mensual'!L156</f>
        <v>2209.77858920265</v>
      </c>
      <c r="K142" s="25" t="n">
        <f aca="false">parametros_recargas!$E$84*'Plan mensual'!M149+parametros_recargas!$F$84*'Plan mensual'!M150+parametros_recargas!$G$84*'Plan mensual'!M151+parametros_recargas!$H$84*'Plan mensual'!M152+parametros_recargas!$I$84*'Plan mensual'!M153+parametros_recargas!$J$84*'Plan mensual'!M154+parametros_recargas!$K$84*'Plan mensual'!M155+parametros_recargas!$L$84*'Plan mensual'!M156</f>
        <v>2266.22148828603</v>
      </c>
      <c r="L142" s="25" t="n">
        <f aca="false">parametros_recargas!$E$84*'Plan mensual'!N149+parametros_recargas!$F$84*'Plan mensual'!N150+parametros_recargas!$G$84*'Plan mensual'!N151+parametros_recargas!$H$84*'Plan mensual'!N152+parametros_recargas!$I$84*'Plan mensual'!N153+parametros_recargas!$J$84*'Plan mensual'!N154+parametros_recargas!$K$84*'Plan mensual'!N155+parametros_recargas!$L$84*'Plan mensual'!N156</f>
        <v>2324.13329130806</v>
      </c>
      <c r="M142" s="25" t="n">
        <f aca="false">parametros_recargas!$E$84*'Plan mensual'!O149+parametros_recargas!$F$84*'Plan mensual'!O150+parametros_recargas!$G$84*'Plan mensual'!O151+parametros_recargas!$H$84*'Plan mensual'!O152+parametros_recargas!$I$84*'Plan mensual'!O153+parametros_recargas!$J$84*'Plan mensual'!O154+parametros_recargas!$K$84*'Plan mensual'!O155+parametros_recargas!$L$84*'Plan mensual'!O156</f>
        <v>2383.55222590793</v>
      </c>
      <c r="N142" s="7" t="n">
        <f aca="false">SUM(B142:M142)</f>
        <v>24994.3689974119</v>
      </c>
      <c r="O142" s="26" t="n">
        <f aca="false">MAX(B142:M142)</f>
        <v>2383.55222590793</v>
      </c>
      <c r="P142" s="15" t="n">
        <f aca="false">O142/parametros_recargas!$B$6</f>
        <v>15.8903481727196</v>
      </c>
    </row>
    <row r="143" customFormat="false" ht="15" hidden="false" customHeight="false" outlineLevel="0" collapsed="false">
      <c r="A143" s="12" t="str">
        <f aca="false">parametros_recargas!$B$85</f>
        <v>Inspección interior con videoscopio</v>
      </c>
      <c r="B143" s="25" t="n">
        <f aca="false">parametros_recargas!$E$85*'Plan mensual'!D149+parametros_recargas!$F$85*'Plan mensual'!D150+parametros_recargas!$G$85*'Plan mensual'!D151+parametros_recargas!$H$85*'Plan mensual'!D152+parametros_recargas!$I$85*'Plan mensual'!D153+parametros_recargas!$J$85*'Plan mensual'!D154+parametros_recargas!$K$85*'Plan mensual'!D155+parametros_recargas!$L$85*'Plan mensual'!D156</f>
        <v>1806.8375184563</v>
      </c>
      <c r="C143" s="25" t="n">
        <f aca="false">parametros_recargas!$E$85*'Plan mensual'!E149+parametros_recargas!$F$85*'Plan mensual'!E150+parametros_recargas!$G$85*'Plan mensual'!E151+parametros_recargas!$H$85*'Plan mensual'!E152+parametros_recargas!$I$85*'Plan mensual'!E153+parametros_recargas!$J$85*'Plan mensual'!E154+parametros_recargas!$K$85*'Plan mensual'!E155+parametros_recargas!$L$85*'Plan mensual'!E156</f>
        <v>1852.79403687046</v>
      </c>
      <c r="D143" s="25" t="n">
        <f aca="false">parametros_recargas!$E$85*'Plan mensual'!F149+parametros_recargas!$F$85*'Plan mensual'!F150+parametros_recargas!$G$85*'Plan mensual'!F151+parametros_recargas!$H$85*'Plan mensual'!F152+parametros_recargas!$I$85*'Plan mensual'!F153+parametros_recargas!$J$85*'Plan mensual'!F154+parametros_recargas!$K$85*'Plan mensual'!F155+parametros_recargas!$L$85*'Plan mensual'!F156</f>
        <v>1899.94655534842</v>
      </c>
      <c r="E143" s="25" t="n">
        <f aca="false">parametros_recargas!$E$85*'Plan mensual'!G149+parametros_recargas!$F$85*'Plan mensual'!G150+parametros_recargas!$G$85*'Plan mensual'!G151+parametros_recargas!$H$85*'Plan mensual'!G152+parametros_recargas!$I$85*'Plan mensual'!G153+parametros_recargas!$J$85*'Plan mensual'!G154+parametros_recargas!$K$85*'Plan mensual'!G155+parametros_recargas!$L$85*'Plan mensual'!G156</f>
        <v>1948.32619931487</v>
      </c>
      <c r="F143" s="25" t="n">
        <f aca="false">parametros_recargas!$E$85*'Plan mensual'!H149+parametros_recargas!$F$85*'Plan mensual'!H150+parametros_recargas!$G$85*'Plan mensual'!H151+parametros_recargas!$H$85*'Plan mensual'!H152+parametros_recargas!$I$85*'Plan mensual'!H153+parametros_recargas!$J$85*'Plan mensual'!H154+parametros_recargas!$K$85*'Plan mensual'!H155+parametros_recargas!$L$85*'Plan mensual'!H156</f>
        <v>1997.96490422126</v>
      </c>
      <c r="G143" s="25" t="n">
        <f aca="false">parametros_recargas!$E$85*'Plan mensual'!I149+parametros_recargas!$F$85*'Plan mensual'!I150+parametros_recargas!$G$85*'Plan mensual'!I151+parametros_recargas!$H$85*'Plan mensual'!I152+parametros_recargas!$I$85*'Plan mensual'!I153+parametros_recargas!$J$85*'Plan mensual'!I154+parametros_recargas!$K$85*'Plan mensual'!I155+parametros_recargas!$L$85*'Plan mensual'!I156</f>
        <v>2048.89543662643</v>
      </c>
      <c r="H143" s="25" t="n">
        <f aca="false">parametros_recargas!$E$85*'Plan mensual'!J149+parametros_recargas!$F$85*'Plan mensual'!J150+parametros_recargas!$G$85*'Plan mensual'!J151+parametros_recargas!$H$85*'Plan mensual'!J152+parametros_recargas!$I$85*'Plan mensual'!J153+parametros_recargas!$J$85*'Plan mensual'!J154+parametros_recargas!$K$85*'Plan mensual'!J155+parametros_recargas!$L$85*'Plan mensual'!J156</f>
        <v>2101.15141582583</v>
      </c>
      <c r="I143" s="25" t="n">
        <f aca="false">parametros_recargas!$E$85*'Plan mensual'!K149+parametros_recargas!$F$85*'Plan mensual'!K150+parametros_recargas!$G$85*'Plan mensual'!K151+parametros_recargas!$H$85*'Plan mensual'!K152+parametros_recargas!$I$85*'Plan mensual'!K153+parametros_recargas!$J$85*'Plan mensual'!K154+parametros_recargas!$K$85*'Plan mensual'!K155+parametros_recargas!$L$85*'Plan mensual'!K156</f>
        <v>2154.76733604369</v>
      </c>
      <c r="J143" s="25" t="n">
        <f aca="false">parametros_recargas!$E$85*'Plan mensual'!L149+parametros_recargas!$F$85*'Plan mensual'!L150+parametros_recargas!$G$85*'Plan mensual'!L151+parametros_recargas!$H$85*'Plan mensual'!L152+parametros_recargas!$I$85*'Plan mensual'!L153+parametros_recargas!$J$85*'Plan mensual'!L154+parametros_recargas!$K$85*'Plan mensual'!L155+parametros_recargas!$L$85*'Plan mensual'!L156</f>
        <v>2209.77858920265</v>
      </c>
      <c r="K143" s="25" t="n">
        <f aca="false">parametros_recargas!$E$85*'Plan mensual'!M149+parametros_recargas!$F$85*'Plan mensual'!M150+parametros_recargas!$G$85*'Plan mensual'!M151+parametros_recargas!$H$85*'Plan mensual'!M152+parametros_recargas!$I$85*'Plan mensual'!M153+parametros_recargas!$J$85*'Plan mensual'!M154+parametros_recargas!$K$85*'Plan mensual'!M155+parametros_recargas!$L$85*'Plan mensual'!M156</f>
        <v>2266.22148828603</v>
      </c>
      <c r="L143" s="25" t="n">
        <f aca="false">parametros_recargas!$E$85*'Plan mensual'!N149+parametros_recargas!$F$85*'Plan mensual'!N150+parametros_recargas!$G$85*'Plan mensual'!N151+parametros_recargas!$H$85*'Plan mensual'!N152+parametros_recargas!$I$85*'Plan mensual'!N153+parametros_recargas!$J$85*'Plan mensual'!N154+parametros_recargas!$K$85*'Plan mensual'!N155+parametros_recargas!$L$85*'Plan mensual'!N156</f>
        <v>2324.13329130806</v>
      </c>
      <c r="M143" s="25" t="n">
        <f aca="false">parametros_recargas!$E$85*'Plan mensual'!O149+parametros_recargas!$F$85*'Plan mensual'!O150+parametros_recargas!$G$85*'Plan mensual'!O151+parametros_recargas!$H$85*'Plan mensual'!O152+parametros_recargas!$I$85*'Plan mensual'!O153+parametros_recargas!$J$85*'Plan mensual'!O154+parametros_recargas!$K$85*'Plan mensual'!O155+parametros_recargas!$L$85*'Plan mensual'!O156</f>
        <v>2383.55222590793</v>
      </c>
      <c r="N143" s="7" t="n">
        <f aca="false">SUM(B143:M143)</f>
        <v>24994.3689974119</v>
      </c>
      <c r="O143" s="26" t="n">
        <f aca="false">MAX(B143:M143)</f>
        <v>2383.55222590793</v>
      </c>
      <c r="P143" s="15" t="n">
        <f aca="false">O143/parametros_recargas!$B$6</f>
        <v>15.8903481727196</v>
      </c>
    </row>
    <row r="144" customFormat="false" ht="15" hidden="false" customHeight="false" outlineLevel="0" collapsed="false">
      <c r="A144" s="12" t="str">
        <f aca="false">parametros_recargas!$B$86</f>
        <v>Pintura</v>
      </c>
      <c r="B144" s="25" t="n">
        <f aca="false">parametros_recargas!$E$86*'Plan mensual'!D149+parametros_recargas!$F$86*'Plan mensual'!D150+parametros_recargas!$G$86*'Plan mensual'!D151+parametros_recargas!$H$86*'Plan mensual'!D152+parametros_recargas!$I$86*'Plan mensual'!D153+parametros_recargas!$J$86*'Plan mensual'!D154+parametros_recargas!$K$86*'Plan mensual'!D155+parametros_recargas!$L$86*'Plan mensual'!D156</f>
        <v>906.085594947982</v>
      </c>
      <c r="C144" s="25" t="n">
        <f aca="false">parametros_recargas!$E$86*'Plan mensual'!E149+parametros_recargas!$F$86*'Plan mensual'!E150+parametros_recargas!$G$86*'Plan mensual'!E151+parametros_recargas!$H$86*'Plan mensual'!E152+parametros_recargas!$I$86*'Plan mensual'!E153+parametros_recargas!$J$86*'Plan mensual'!E154+parametros_recargas!$K$86*'Plan mensual'!E155+parametros_recargas!$L$86*'Plan mensual'!E156</f>
        <v>929.118943960452</v>
      </c>
      <c r="D144" s="25" t="n">
        <f aca="false">parametros_recargas!$E$86*'Plan mensual'!F149+parametros_recargas!$F$86*'Plan mensual'!F150+parametros_recargas!$G$86*'Plan mensual'!F151+parametros_recargas!$H$86*'Plan mensual'!F152+parametros_recargas!$I$86*'Plan mensual'!F153+parametros_recargas!$J$86*'Plan mensual'!F154+parametros_recargas!$K$86*'Plan mensual'!F155+parametros_recargas!$L$86*'Plan mensual'!F156</f>
        <v>952.751726695041</v>
      </c>
      <c r="E144" s="25" t="n">
        <f aca="false">parametros_recargas!$E$86*'Plan mensual'!G149+parametros_recargas!$F$86*'Plan mensual'!G150+parametros_recargas!$G$86*'Plan mensual'!G151+parametros_recargas!$H$86*'Plan mensual'!G152+parametros_recargas!$I$86*'Plan mensual'!G153+parametros_recargas!$J$86*'Plan mensual'!G154+parametros_recargas!$K$86*'Plan mensual'!G155+parametros_recargas!$L$86*'Plan mensual'!G156</f>
        <v>976.999543175306</v>
      </c>
      <c r="F144" s="25" t="n">
        <f aca="false">parametros_recargas!$E$86*'Plan mensual'!H149+parametros_recargas!$F$86*'Plan mensual'!H150+parametros_recargas!$G$86*'Plan mensual'!H151+parametros_recargas!$H$86*'Plan mensual'!H152+parametros_recargas!$I$86*'Plan mensual'!H153+parametros_recargas!$J$86*'Plan mensual'!H154+parametros_recargas!$K$86*'Plan mensual'!H155+parametros_recargas!$L$86*'Plan mensual'!H156</f>
        <v>1001.8783994092</v>
      </c>
      <c r="G144" s="25" t="n">
        <f aca="false">parametros_recargas!$E$86*'Plan mensual'!I149+parametros_recargas!$F$86*'Plan mensual'!I150+parametros_recargas!$G$86*'Plan mensual'!I151+parametros_recargas!$H$86*'Plan mensual'!I152+parametros_recargas!$I$86*'Plan mensual'!I153+parametros_recargas!$J$86*'Plan mensual'!I154+parametros_recargas!$K$86*'Plan mensual'!I155+parametros_recargas!$L$86*'Plan mensual'!I156</f>
        <v>1027.40471795464</v>
      </c>
      <c r="H144" s="25" t="n">
        <f aca="false">parametros_recargas!$E$86*'Plan mensual'!J149+parametros_recargas!$F$86*'Plan mensual'!J150+parametros_recargas!$G$86*'Plan mensual'!J151+parametros_recargas!$H$86*'Plan mensual'!J152+parametros_recargas!$I$86*'Plan mensual'!J153+parametros_recargas!$J$86*'Plan mensual'!J154+parametros_recargas!$K$86*'Plan mensual'!J155+parametros_recargas!$L$86*'Plan mensual'!J156</f>
        <v>1053.59534876007</v>
      </c>
      <c r="I144" s="25" t="n">
        <f aca="false">parametros_recargas!$E$86*'Plan mensual'!K149+parametros_recargas!$F$86*'Plan mensual'!K150+parametros_recargas!$G$86*'Plan mensual'!K151+parametros_recargas!$H$86*'Plan mensual'!K152+parametros_recargas!$I$86*'Plan mensual'!K153+parametros_recargas!$J$86*'Plan mensual'!K154+parametros_recargas!$K$86*'Plan mensual'!K155+parametros_recargas!$L$86*'Plan mensual'!K156</f>
        <v>1080.46758028713</v>
      </c>
      <c r="J144" s="25" t="n">
        <f aca="false">parametros_recargas!$E$86*'Plan mensual'!L149+parametros_recargas!$F$86*'Plan mensual'!L150+parametros_recargas!$G$86*'Plan mensual'!L151+parametros_recargas!$H$86*'Plan mensual'!L152+parametros_recargas!$I$86*'Plan mensual'!L153+parametros_recargas!$J$86*'Plan mensual'!L154+parametros_recargas!$K$86*'Plan mensual'!L155+parametros_recargas!$L$86*'Plan mensual'!L156</f>
        <v>1108.03915092276</v>
      </c>
      <c r="K144" s="25" t="n">
        <f aca="false">parametros_recargas!$E$86*'Plan mensual'!M149+parametros_recargas!$F$86*'Plan mensual'!M150+parametros_recargas!$G$86*'Plan mensual'!M151+parametros_recargas!$H$86*'Plan mensual'!M152+parametros_recargas!$I$86*'Plan mensual'!M153+parametros_recargas!$J$86*'Plan mensual'!M154+parametros_recargas!$K$86*'Plan mensual'!M155+parametros_recargas!$L$86*'Plan mensual'!M156</f>
        <v>1136.32826068837</v>
      </c>
      <c r="L144" s="25" t="n">
        <f aca="false">parametros_recargas!$E$86*'Plan mensual'!N149+parametros_recargas!$F$86*'Plan mensual'!N150+parametros_recargas!$G$86*'Plan mensual'!N151+parametros_recargas!$H$86*'Plan mensual'!N152+parametros_recargas!$I$86*'Plan mensual'!N153+parametros_recargas!$J$86*'Plan mensual'!N154+parametros_recargas!$K$86*'Plan mensual'!N155+parametros_recargas!$L$86*'Plan mensual'!N156</f>
        <v>1165.35358325365</v>
      </c>
      <c r="M144" s="25" t="n">
        <f aca="false">parametros_recargas!$E$86*'Plan mensual'!O149+parametros_recargas!$F$86*'Plan mensual'!O150+parametros_recargas!$G$86*'Plan mensual'!O151+parametros_recargas!$H$86*'Plan mensual'!O152+parametros_recargas!$I$86*'Plan mensual'!O153+parametros_recargas!$J$86*'Plan mensual'!O154+parametros_recargas!$K$86*'Plan mensual'!O155+parametros_recargas!$L$86*'Plan mensual'!O156</f>
        <v>1195.1342782631</v>
      </c>
      <c r="N144" s="7" t="n">
        <f aca="false">SUM(B144:M144)</f>
        <v>12533.1571283177</v>
      </c>
      <c r="O144" s="26" t="n">
        <f aca="false">MAX(B144:M144)</f>
        <v>1195.1342782631</v>
      </c>
      <c r="P144" s="15" t="n">
        <f aca="false">O144/parametros_recargas!$B$6</f>
        <v>7.96756185508732</v>
      </c>
    </row>
    <row r="145" customFormat="false" ht="15" hidden="false" customHeight="false" outlineLevel="0" collapsed="false">
      <c r="A145" s="12" t="str">
        <f aca="false">parametros_recargas!$B$87</f>
        <v>Carga de polvo ABC</v>
      </c>
      <c r="B145" s="25" t="n">
        <f aca="false">parametros_recargas!$E$87*'Plan mensual'!D149+parametros_recargas!$F$87*'Plan mensual'!D150+parametros_recargas!$G$87*'Plan mensual'!D151+parametros_recargas!$H$87*'Plan mensual'!D152+parametros_recargas!$I$87*'Plan mensual'!D153+parametros_recargas!$J$87*'Plan mensual'!D154+parametros_recargas!$K$87*'Plan mensual'!D155+parametros_recargas!$L$87*'Plan mensual'!D156</f>
        <v>7821.19252654374</v>
      </c>
      <c r="C145" s="25" t="n">
        <f aca="false">parametros_recargas!$E$87*'Plan mensual'!E149+parametros_recargas!$F$87*'Plan mensual'!E150+parametros_recargas!$G$87*'Plan mensual'!E151+parametros_recargas!$H$87*'Plan mensual'!E152+parametros_recargas!$I$87*'Plan mensual'!E153+parametros_recargas!$J$87*'Plan mensual'!E154+parametros_recargas!$K$87*'Plan mensual'!E155+parametros_recargas!$L$87*'Plan mensual'!E156</f>
        <v>8020.34429142613</v>
      </c>
      <c r="D145" s="25" t="n">
        <f aca="false">parametros_recargas!$E$87*'Plan mensual'!F149+parametros_recargas!$F$87*'Plan mensual'!F150+parametros_recargas!$G$87*'Plan mensual'!F151+parametros_recargas!$H$87*'Plan mensual'!F152+parametros_recargas!$I$87*'Plan mensual'!F153+parametros_recargas!$J$87*'Plan mensual'!F154+parametros_recargas!$K$87*'Plan mensual'!F155+parametros_recargas!$L$87*'Plan mensual'!F156</f>
        <v>8224.67890156586</v>
      </c>
      <c r="E145" s="25" t="n">
        <f aca="false">parametros_recargas!$E$87*'Plan mensual'!G149+parametros_recargas!$F$87*'Plan mensual'!G150+parametros_recargas!$G$87*'Plan mensual'!G151+parametros_recargas!$H$87*'Plan mensual'!G152+parametros_recargas!$I$87*'Plan mensual'!G153+parametros_recargas!$J$87*'Plan mensual'!G154+parametros_recargas!$K$87*'Plan mensual'!G155+parametros_recargas!$L$87*'Plan mensual'!G156</f>
        <v>8434.33123844379</v>
      </c>
      <c r="F145" s="25" t="n">
        <f aca="false">parametros_recargas!$E$87*'Plan mensual'!H149+parametros_recargas!$F$87*'Plan mensual'!H150+parametros_recargas!$G$87*'Plan mensual'!H151+parametros_recargas!$H$87*'Plan mensual'!H152+parametros_recargas!$I$87*'Plan mensual'!H153+parametros_recargas!$J$87*'Plan mensual'!H154+parametros_recargas!$K$87*'Plan mensual'!H155+parametros_recargas!$L$87*'Plan mensual'!H156</f>
        <v>8649.4396937775</v>
      </c>
      <c r="G145" s="25" t="n">
        <f aca="false">parametros_recargas!$E$87*'Plan mensual'!I149+parametros_recargas!$F$87*'Plan mensual'!I150+parametros_recargas!$G$87*'Plan mensual'!I151+parametros_recargas!$H$87*'Plan mensual'!I152+parametros_recargas!$I$87*'Plan mensual'!I153+parametros_recargas!$J$87*'Plan mensual'!I154+parametros_recargas!$K$87*'Plan mensual'!I155+parametros_recargas!$L$87*'Plan mensual'!I156</f>
        <v>8870.14626087386</v>
      </c>
      <c r="H145" s="25" t="n">
        <f aca="false">parametros_recargas!$E$87*'Plan mensual'!J149+parametros_recargas!$F$87*'Plan mensual'!J150+parametros_recargas!$G$87*'Plan mensual'!J151+parametros_recargas!$H$87*'Plan mensual'!J152+parametros_recargas!$I$87*'Plan mensual'!J153+parametros_recargas!$J$87*'Plan mensual'!J154+parametros_recargas!$K$87*'Plan mensual'!J155+parametros_recargas!$L$87*'Plan mensual'!J156</f>
        <v>9096.59662835891</v>
      </c>
      <c r="I145" s="25" t="n">
        <f aca="false">parametros_recargas!$E$87*'Plan mensual'!K149+parametros_recargas!$F$87*'Plan mensual'!K150+parametros_recargas!$G$87*'Plan mensual'!K151+parametros_recargas!$H$87*'Plan mensual'!K152+parametros_recargas!$I$87*'Plan mensual'!K153+parametros_recargas!$J$87*'Plan mensual'!K154+parametros_recargas!$K$87*'Plan mensual'!K155+parametros_recargas!$L$87*'Plan mensual'!K156</f>
        <v>9328.94027634708</v>
      </c>
      <c r="J145" s="25" t="n">
        <f aca="false">parametros_recargas!$E$87*'Plan mensual'!L149+parametros_recargas!$F$87*'Plan mensual'!L150+parametros_recargas!$G$87*'Plan mensual'!L151+parametros_recargas!$H$87*'Plan mensual'!L152+parametros_recargas!$I$87*'Plan mensual'!L153+parametros_recargas!$J$87*'Plan mensual'!L154+parametros_recargas!$K$87*'Plan mensual'!L155+parametros_recargas!$L$87*'Plan mensual'!L156</f>
        <v>9567.33057511316</v>
      </c>
      <c r="K145" s="25" t="n">
        <f aca="false">parametros_recargas!$E$87*'Plan mensual'!M149+parametros_recargas!$F$87*'Plan mensual'!M150+parametros_recargas!$G$87*'Plan mensual'!M151+parametros_recargas!$H$87*'Plan mensual'!M152+parametros_recargas!$I$87*'Plan mensual'!M153+parametros_recargas!$J$87*'Plan mensual'!M154+parametros_recargas!$K$87*'Plan mensual'!M155+parametros_recargas!$L$87*'Plan mensual'!M156</f>
        <v>9811.92488633219</v>
      </c>
      <c r="L145" s="25" t="n">
        <f aca="false">parametros_recargas!$E$87*'Plan mensual'!N149+parametros_recargas!$F$87*'Plan mensual'!N150+parametros_recargas!$G$87*'Plan mensual'!N151+parametros_recargas!$H$87*'Plan mensual'!N152+parametros_recargas!$I$87*'Plan mensual'!N153+parametros_recargas!$J$87*'Plan mensual'!N154+parametros_recargas!$K$87*'Plan mensual'!N155+parametros_recargas!$L$87*'Plan mensual'!N156</f>
        <v>10062.884666954</v>
      </c>
      <c r="M145" s="25" t="n">
        <f aca="false">parametros_recargas!$E$87*'Plan mensual'!O149+parametros_recargas!$F$87*'Plan mensual'!O150+parametros_recargas!$G$87*'Plan mensual'!O151+parametros_recargas!$H$87*'Plan mensual'!O152+parametros_recargas!$I$87*'Plan mensual'!O153+parametros_recargas!$J$87*'Plan mensual'!O154+parametros_recargas!$K$87*'Plan mensual'!O155+parametros_recargas!$L$87*'Plan mensual'!O156</f>
        <v>10320.3755757813</v>
      </c>
      <c r="N145" s="7" t="n">
        <f aca="false">SUM(B145:M145)</f>
        <v>108208.185521518</v>
      </c>
      <c r="O145" s="26" t="n">
        <f aca="false">MAX(B145:M145)</f>
        <v>10320.3755757813</v>
      </c>
      <c r="P145" s="15" t="n">
        <f aca="false">O145/parametros_recargas!$B$6</f>
        <v>68.8025038385417</v>
      </c>
    </row>
    <row r="146" customFormat="false" ht="15" hidden="false" customHeight="false" outlineLevel="0" collapsed="false">
      <c r="A146" s="12" t="str">
        <f aca="false">parametros_recargas!$B$88</f>
        <v>Carga de polvo BC</v>
      </c>
      <c r="B146" s="25" t="n">
        <f aca="false">parametros_recargas!$E$88*'Plan mensual'!D149+parametros_recargas!$F$88*'Plan mensual'!D150+parametros_recargas!$G$88*'Plan mensual'!D151+parametros_recargas!$H$88*'Plan mensual'!D152+parametros_recargas!$I$88*'Plan mensual'!D153+parametros_recargas!$J$88*'Plan mensual'!D154+parametros_recargas!$K$88*'Plan mensual'!D155+parametros_recargas!$L$88*'Plan mensual'!D156</f>
        <v>11.9412427018567</v>
      </c>
      <c r="C146" s="25" t="n">
        <f aca="false">parametros_recargas!$E$88*'Plan mensual'!E149+parametros_recargas!$F$88*'Plan mensual'!E150+parametros_recargas!$G$88*'Plan mensual'!E151+parametros_recargas!$H$88*'Plan mensual'!E152+parametros_recargas!$I$88*'Plan mensual'!E153+parametros_recargas!$J$88*'Plan mensual'!E154+parametros_recargas!$K$88*'Plan mensual'!E155+parametros_recargas!$L$88*'Plan mensual'!E156</f>
        <v>12.2346590467584</v>
      </c>
      <c r="D146" s="25" t="n">
        <f aca="false">parametros_recargas!$E$88*'Plan mensual'!F149+parametros_recargas!$F$88*'Plan mensual'!F150+parametros_recargas!$G$88*'Plan mensual'!F151+parametros_recargas!$H$88*'Plan mensual'!F152+parametros_recargas!$I$88*'Plan mensual'!F153+parametros_recargas!$J$88*'Plan mensual'!F154+parametros_recargas!$K$88*'Plan mensual'!F155+parametros_recargas!$L$88*'Plan mensual'!F156</f>
        <v>12.5357114350188</v>
      </c>
      <c r="E146" s="25" t="n">
        <f aca="false">parametros_recargas!$E$88*'Plan mensual'!G149+parametros_recargas!$F$88*'Plan mensual'!G150+parametros_recargas!$G$88*'Plan mensual'!G151+parametros_recargas!$H$88*'Plan mensual'!G152+parametros_recargas!$I$88*'Plan mensual'!G153+parametros_recargas!$J$88*'Plan mensual'!G154+parametros_recargas!$K$88*'Plan mensual'!G155+parametros_recargas!$L$88*'Plan mensual'!G156</f>
        <v>12.8445985916209</v>
      </c>
      <c r="F146" s="25" t="n">
        <f aca="false">parametros_recargas!$E$88*'Plan mensual'!H149+parametros_recargas!$F$88*'Plan mensual'!H150+parametros_recargas!$G$88*'Plan mensual'!H151+parametros_recargas!$H$88*'Plan mensual'!H152+parametros_recargas!$I$88*'Plan mensual'!H153+parametros_recargas!$J$88*'Plan mensual'!H154+parametros_recargas!$K$88*'Plan mensual'!H155+parametros_recargas!$L$88*'Plan mensual'!H156</f>
        <v>13.1615244132864</v>
      </c>
      <c r="G146" s="25" t="n">
        <f aca="false">parametros_recargas!$E$88*'Plan mensual'!I149+parametros_recargas!$F$88*'Plan mensual'!I150+parametros_recargas!$G$88*'Plan mensual'!I151+parametros_recargas!$H$88*'Plan mensual'!I152+parametros_recargas!$I$88*'Plan mensual'!I153+parametros_recargas!$J$88*'Plan mensual'!I154+parametros_recargas!$K$88*'Plan mensual'!I155+parametros_recargas!$L$88*'Plan mensual'!I156</f>
        <v>13.4866981030674</v>
      </c>
      <c r="H146" s="25" t="n">
        <f aca="false">parametros_recargas!$E$88*'Plan mensual'!J149+parametros_recargas!$F$88*'Plan mensual'!J150+parametros_recargas!$G$88*'Plan mensual'!J151+parametros_recargas!$H$88*'Plan mensual'!J152+parametros_recargas!$I$88*'Plan mensual'!J153+parametros_recargas!$J$88*'Plan mensual'!J154+parametros_recargas!$K$88*'Plan mensual'!J155+parametros_recargas!$L$88*'Plan mensual'!J156</f>
        <v>13.8203343084425</v>
      </c>
      <c r="I146" s="25" t="n">
        <f aca="false">parametros_recargas!$E$88*'Plan mensual'!K149+parametros_recargas!$F$88*'Plan mensual'!K150+parametros_recargas!$G$88*'Plan mensual'!K151+parametros_recargas!$H$88*'Plan mensual'!K152+parametros_recargas!$I$88*'Plan mensual'!K153+parametros_recargas!$J$88*'Plan mensual'!K154+parametros_recargas!$K$88*'Plan mensual'!K155+parametros_recargas!$L$88*'Plan mensual'!K156</f>
        <v>14.162653263005</v>
      </c>
      <c r="J146" s="25" t="n">
        <f aca="false">parametros_recargas!$E$88*'Plan mensual'!L149+parametros_recargas!$F$88*'Plan mensual'!L150+parametros_recargas!$G$88*'Plan mensual'!L151+parametros_recargas!$H$88*'Plan mensual'!L152+parametros_recargas!$I$88*'Plan mensual'!L153+parametros_recargas!$J$88*'Plan mensual'!L154+parametros_recargas!$K$88*'Plan mensual'!L155+parametros_recargas!$L$88*'Plan mensual'!L156</f>
        <v>14.5138809318397</v>
      </c>
      <c r="K146" s="25" t="n">
        <f aca="false">parametros_recargas!$E$88*'Plan mensual'!M149+parametros_recargas!$F$88*'Plan mensual'!M150+parametros_recargas!$G$88*'Plan mensual'!M151+parametros_recargas!$H$88*'Plan mensual'!M152+parametros_recargas!$I$88*'Plan mensual'!M153+parametros_recargas!$J$88*'Plan mensual'!M154+parametros_recargas!$K$88*'Plan mensual'!M155+parametros_recargas!$L$88*'Plan mensual'!M156</f>
        <v>14.8742491606828</v>
      </c>
      <c r="L146" s="25" t="n">
        <f aca="false">parametros_recargas!$E$88*'Plan mensual'!N149+parametros_recargas!$F$88*'Plan mensual'!N150+parametros_recargas!$G$88*'Plan mensual'!N151+parametros_recargas!$H$88*'Plan mensual'!N152+parametros_recargas!$I$88*'Plan mensual'!N153+parametros_recargas!$J$88*'Plan mensual'!N154+parametros_recargas!$K$88*'Plan mensual'!N155+parametros_recargas!$L$88*'Plan mensual'!N156</f>
        <v>15.243995828963</v>
      </c>
      <c r="M146" s="25" t="n">
        <f aca="false">parametros_recargas!$E$88*'Plan mensual'!O149+parametros_recargas!$F$88*'Plan mensual'!O150+parametros_recargas!$G$88*'Plan mensual'!O151+parametros_recargas!$H$88*'Plan mensual'!O152+parametros_recargas!$I$88*'Plan mensual'!O153+parametros_recargas!$J$88*'Plan mensual'!O154+parametros_recargas!$K$88*'Plan mensual'!O155+parametros_recargas!$L$88*'Plan mensual'!O156</f>
        <v>15.6233650068266</v>
      </c>
      <c r="N146" s="7" t="n">
        <f aca="false">SUM(B146:M146)</f>
        <v>164.442912791368</v>
      </c>
      <c r="O146" s="26" t="n">
        <f aca="false">MAX(B146:M146)</f>
        <v>15.6233650068266</v>
      </c>
      <c r="P146" s="15" t="n">
        <f aca="false">O146/parametros_recargas!$B$6</f>
        <v>0.104155766712177</v>
      </c>
    </row>
    <row r="147" customFormat="false" ht="15" hidden="false" customHeight="false" outlineLevel="0" collapsed="false">
      <c r="A147" s="12" t="str">
        <f aca="false">parametros_recargas!$B$89</f>
        <v>Descarga y carga Clase D</v>
      </c>
      <c r="B147" s="25" t="n">
        <f aca="false">parametros_recargas!$E$89*'Plan mensual'!D149+parametros_recargas!$F$89*'Plan mensual'!D150+parametros_recargas!$G$89*'Plan mensual'!D151+parametros_recargas!$H$89*'Plan mensual'!D152+parametros_recargas!$I$89*'Plan mensual'!D153+parametros_recargas!$J$89*'Plan mensual'!D154+parametros_recargas!$K$89*'Plan mensual'!D155+parametros_recargas!$L$89*'Plan mensual'!D156</f>
        <v>11.1105249676567</v>
      </c>
      <c r="C147" s="25" t="n">
        <f aca="false">parametros_recargas!$E$89*'Plan mensual'!E149+parametros_recargas!$F$89*'Plan mensual'!E150+parametros_recargas!$G$89*'Plan mensual'!E151+parametros_recargas!$H$89*'Plan mensual'!E152+parametros_recargas!$I$89*'Plan mensual'!E153+parametros_recargas!$J$89*'Plan mensual'!E154+parametros_recargas!$K$89*'Plan mensual'!E155+parametros_recargas!$L$89*'Plan mensual'!E156</f>
        <v>11.3844909315902</v>
      </c>
      <c r="D147" s="25" t="n">
        <f aca="false">parametros_recargas!$E$89*'Plan mensual'!F149+parametros_recargas!$F$89*'Plan mensual'!F150+parametros_recargas!$G$89*'Plan mensual'!F151+parametros_recargas!$H$89*'Plan mensual'!F152+parametros_recargas!$I$89*'Plan mensual'!F153+parametros_recargas!$J$89*'Plan mensual'!F154+parametros_recargas!$K$89*'Plan mensual'!F155+parametros_recargas!$L$89*'Plan mensual'!F156</f>
        <v>11.6655867504748</v>
      </c>
      <c r="E147" s="25" t="n">
        <f aca="false">parametros_recargas!$E$89*'Plan mensual'!G149+parametros_recargas!$F$89*'Plan mensual'!G150+parametros_recargas!$G$89*'Plan mensual'!G151+parametros_recargas!$H$89*'Plan mensual'!G152+parametros_recargas!$I$89*'Plan mensual'!G153+parametros_recargas!$J$89*'Plan mensual'!G154+parametros_recargas!$K$89*'Plan mensual'!G155+parametros_recargas!$L$89*'Plan mensual'!G156</f>
        <v>11.9539979759419</v>
      </c>
      <c r="F147" s="25" t="n">
        <f aca="false">parametros_recargas!$E$89*'Plan mensual'!H149+parametros_recargas!$F$89*'Plan mensual'!H150+parametros_recargas!$G$89*'Plan mensual'!H151+parametros_recargas!$H$89*'Plan mensual'!H152+parametros_recargas!$I$89*'Plan mensual'!H153+parametros_recargas!$J$89*'Plan mensual'!H154+parametros_recargas!$K$89*'Plan mensual'!H155+parametros_recargas!$L$89*'Plan mensual'!H156</f>
        <v>12.2499149885306</v>
      </c>
      <c r="G147" s="25" t="n">
        <f aca="false">parametros_recargas!$E$89*'Plan mensual'!I149+parametros_recargas!$F$89*'Plan mensual'!I150+parametros_recargas!$G$89*'Plan mensual'!I151+parametros_recargas!$H$89*'Plan mensual'!I152+parametros_recargas!$I$89*'Plan mensual'!I153+parametros_recargas!$J$89*'Plan mensual'!I154+parametros_recargas!$K$89*'Plan mensual'!I155+parametros_recargas!$L$89*'Plan mensual'!I156</f>
        <v>12.5535331233572</v>
      </c>
      <c r="H147" s="25" t="n">
        <f aca="false">parametros_recargas!$E$89*'Plan mensual'!J149+parametros_recargas!$F$89*'Plan mensual'!J150+parametros_recargas!$G$89*'Plan mensual'!J151+parametros_recargas!$H$89*'Plan mensual'!J152+parametros_recargas!$I$89*'Plan mensual'!J153+parametros_recargas!$J$89*'Plan mensual'!J154+parametros_recargas!$K$89*'Plan mensual'!J155+parametros_recargas!$L$89*'Plan mensual'!J156</f>
        <v>12.8650527990567</v>
      </c>
      <c r="I147" s="25" t="n">
        <f aca="false">parametros_recargas!$E$89*'Plan mensual'!K149+parametros_recargas!$F$89*'Plan mensual'!K150+parametros_recargas!$G$89*'Plan mensual'!K151+parametros_recargas!$H$89*'Plan mensual'!K152+parametros_recargas!$I$89*'Plan mensual'!K153+parametros_recargas!$J$89*'Plan mensual'!K154+parametros_recargas!$K$89*'Plan mensual'!K155+parametros_recargas!$L$89*'Plan mensual'!K156</f>
        <v>13.1846796500791</v>
      </c>
      <c r="J147" s="25" t="n">
        <f aca="false">parametros_recargas!$E$89*'Plan mensual'!L149+parametros_recargas!$F$89*'Plan mensual'!L150+parametros_recargas!$G$89*'Plan mensual'!L151+parametros_recargas!$H$89*'Plan mensual'!L152+parametros_recargas!$I$89*'Plan mensual'!L153+parametros_recargas!$J$89*'Plan mensual'!L154+parametros_recargas!$K$89*'Plan mensual'!L155+parametros_recargas!$L$89*'Plan mensual'!L156</f>
        <v>13.512624662429</v>
      </c>
      <c r="K147" s="25" t="n">
        <f aca="false">parametros_recargas!$E$89*'Plan mensual'!M149+parametros_recargas!$F$89*'Plan mensual'!M150+parametros_recargas!$G$89*'Plan mensual'!M151+parametros_recargas!$H$89*'Plan mensual'!M152+parametros_recargas!$I$89*'Plan mensual'!M153+parametros_recargas!$J$89*'Plan mensual'!M154+parametros_recargas!$K$89*'Plan mensual'!M155+parametros_recargas!$L$89*'Plan mensual'!M156</f>
        <v>13.8491043129376</v>
      </c>
      <c r="L147" s="25" t="n">
        <f aca="false">parametros_recargas!$E$89*'Plan mensual'!N149+parametros_recargas!$F$89*'Plan mensual'!N150+parametros_recargas!$G$89*'Plan mensual'!N151+parametros_recargas!$H$89*'Plan mensual'!N152+parametros_recargas!$I$89*'Plan mensual'!N153+parametros_recargas!$J$89*'Plan mensual'!N154+parametros_recargas!$K$89*'Plan mensual'!N155+parametros_recargas!$L$89*'Plan mensual'!N156</f>
        <v>14.1943407121591</v>
      </c>
      <c r="M147" s="25" t="n">
        <f aca="false">parametros_recargas!$E$89*'Plan mensual'!O149+parametros_recargas!$F$89*'Plan mensual'!O150+parametros_recargas!$G$89*'Plan mensual'!O151+parametros_recargas!$H$89*'Plan mensual'!O152+parametros_recargas!$I$89*'Plan mensual'!O153+parametros_recargas!$J$89*'Plan mensual'!O154+parametros_recargas!$K$89*'Plan mensual'!O155+parametros_recargas!$L$89*'Plan mensual'!O156</f>
        <v>14.5485617509866</v>
      </c>
      <c r="N147" s="7" t="n">
        <f aca="false">SUM(B147:M147)</f>
        <v>153.0724126252</v>
      </c>
      <c r="O147" s="26" t="n">
        <f aca="false">MAX(B147:M147)</f>
        <v>14.5485617509866</v>
      </c>
      <c r="P147" s="15" t="n">
        <f aca="false">O147/parametros_recargas!$B$6</f>
        <v>0.0969904116732442</v>
      </c>
    </row>
    <row r="148" customFormat="false" ht="15" hidden="false" customHeight="false" outlineLevel="0" collapsed="false">
      <c r="A148" s="12" t="str">
        <f aca="false">parametros_recargas!$B$90</f>
        <v>Carga de agua / AFFF / sales K</v>
      </c>
      <c r="B148" s="25" t="n">
        <f aca="false">parametros_recargas!$E$90*'Plan mensual'!D149+parametros_recargas!$F$90*'Plan mensual'!D150+parametros_recargas!$G$90*'Plan mensual'!D151+parametros_recargas!$H$90*'Plan mensual'!D152+parametros_recargas!$I$90*'Plan mensual'!D153+parametros_recargas!$J$90*'Plan mensual'!D154+parametros_recargas!$K$90*'Plan mensual'!D155+parametros_recargas!$L$90*'Plan mensual'!D156</f>
        <v>418.880571908966</v>
      </c>
      <c r="C148" s="25" t="n">
        <f aca="false">parametros_recargas!$E$90*'Plan mensual'!E149+parametros_recargas!$F$90*'Plan mensual'!E150+parametros_recargas!$G$90*'Plan mensual'!E151+parametros_recargas!$H$90*'Plan mensual'!E152+parametros_recargas!$I$90*'Plan mensual'!E153+parametros_recargas!$J$90*'Plan mensual'!E154+parametros_recargas!$K$90*'Plan mensual'!E155+parametros_recargas!$L$90*'Plan mensual'!E156</f>
        <v>429.41742732246</v>
      </c>
      <c r="D148" s="25" t="n">
        <f aca="false">parametros_recargas!$E$90*'Plan mensual'!F149+parametros_recargas!$F$90*'Plan mensual'!F150+parametros_recargas!$G$90*'Plan mensual'!F151+parametros_recargas!$H$90*'Plan mensual'!F152+parametros_recargas!$I$90*'Plan mensual'!F153+parametros_recargas!$J$90*'Plan mensual'!F154+parametros_recargas!$K$90*'Plan mensual'!F155+parametros_recargas!$L$90*'Plan mensual'!F156</f>
        <v>440.228500195886</v>
      </c>
      <c r="E148" s="25" t="n">
        <f aca="false">parametros_recargas!$E$90*'Plan mensual'!G149+parametros_recargas!$F$90*'Plan mensual'!G150+parametros_recargas!$G$90*'Plan mensual'!G151+parametros_recargas!$H$90*'Plan mensual'!G152+parametros_recargas!$I$90*'Plan mensual'!G153+parametros_recargas!$J$90*'Plan mensual'!G154+parametros_recargas!$K$90*'Plan mensual'!G155+parametros_recargas!$L$90*'Plan mensual'!G156</f>
        <v>451.320926929278</v>
      </c>
      <c r="F148" s="25" t="n">
        <f aca="false">parametros_recargas!$E$90*'Plan mensual'!H149+parametros_recargas!$F$90*'Plan mensual'!H150+parametros_recargas!$G$90*'Plan mensual'!H151+parametros_recargas!$H$90*'Plan mensual'!H152+parametros_recargas!$I$90*'Plan mensual'!H153+parametros_recargas!$J$90*'Plan mensual'!H154+parametros_recargas!$K$90*'Plan mensual'!H155+parametros_recargas!$L$90*'Plan mensual'!H156</f>
        <v>462.702029644636</v>
      </c>
      <c r="G148" s="25" t="n">
        <f aca="false">parametros_recargas!$E$90*'Plan mensual'!I149+parametros_recargas!$F$90*'Plan mensual'!I150+parametros_recargas!$G$90*'Plan mensual'!I151+parametros_recargas!$H$90*'Plan mensual'!I152+parametros_recargas!$I$90*'Plan mensual'!I153+parametros_recargas!$J$90*'Plan mensual'!I154+parametros_recargas!$K$90*'Plan mensual'!I155+parametros_recargas!$L$90*'Plan mensual'!I156</f>
        <v>474.379321019264</v>
      </c>
      <c r="H148" s="25" t="n">
        <f aca="false">parametros_recargas!$E$90*'Plan mensual'!J149+parametros_recargas!$F$90*'Plan mensual'!J150+parametros_recargas!$G$90*'Plan mensual'!J151+parametros_recargas!$H$90*'Plan mensual'!J152+parametros_recargas!$I$90*'Plan mensual'!J153+parametros_recargas!$J$90*'Plan mensual'!J154+parametros_recargas!$K$90*'Plan mensual'!J155+parametros_recargas!$L$90*'Plan mensual'!J156</f>
        <v>486.360509244894</v>
      </c>
      <c r="I148" s="25" t="n">
        <f aca="false">parametros_recargas!$E$90*'Plan mensual'!K149+parametros_recargas!$F$90*'Plan mensual'!K150+parametros_recargas!$G$90*'Plan mensual'!K151+parametros_recargas!$H$90*'Plan mensual'!K152+parametros_recargas!$I$90*'Plan mensual'!K153+parametros_recargas!$J$90*'Plan mensual'!K154+parametros_recargas!$K$90*'Plan mensual'!K155+parametros_recargas!$L$90*'Plan mensual'!K156</f>
        <v>498.653503115879</v>
      </c>
      <c r="J148" s="25" t="n">
        <f aca="false">parametros_recargas!$E$90*'Plan mensual'!L149+parametros_recargas!$F$90*'Plan mensual'!L150+parametros_recargas!$G$90*'Plan mensual'!L151+parametros_recargas!$H$90*'Plan mensual'!L152+parametros_recargas!$I$90*'Plan mensual'!L153+parametros_recargas!$J$90*'Plan mensual'!L154+parametros_recargas!$K$90*'Plan mensual'!L155+parametros_recargas!$L$90*'Plan mensual'!L156</f>
        <v>511.266417249787</v>
      </c>
      <c r="K148" s="25" t="n">
        <f aca="false">parametros_recargas!$E$90*'Plan mensual'!M149+parametros_recargas!$F$90*'Plan mensual'!M150+parametros_recargas!$G$90*'Plan mensual'!M151+parametros_recargas!$H$90*'Plan mensual'!M152+parametros_recargas!$I$90*'Plan mensual'!M153+parametros_recargas!$J$90*'Plan mensual'!M154+parametros_recargas!$K$90*'Plan mensual'!M155+parametros_recargas!$L$90*'Plan mensual'!M156</f>
        <v>524.207577443873</v>
      </c>
      <c r="L148" s="25" t="n">
        <f aca="false">parametros_recargas!$E$90*'Plan mensual'!N149+parametros_recargas!$F$90*'Plan mensual'!N150+parametros_recargas!$G$90*'Plan mensual'!N151+parametros_recargas!$H$90*'Plan mensual'!N152+parametros_recargas!$I$90*'Plan mensual'!N153+parametros_recargas!$J$90*'Plan mensual'!N154+parametros_recargas!$K$90*'Plan mensual'!N155+parametros_recargas!$L$90*'Plan mensual'!N156</f>
        <v>537.485526170945</v>
      </c>
      <c r="M148" s="25" t="n">
        <f aca="false">parametros_recargas!$E$90*'Plan mensual'!O149+parametros_recargas!$F$90*'Plan mensual'!O150+parametros_recargas!$G$90*'Plan mensual'!O151+parametros_recargas!$H$90*'Plan mensual'!O152+parametros_recargas!$I$90*'Plan mensual'!O153+parametros_recargas!$J$90*'Plan mensual'!O154+parametros_recargas!$K$90*'Plan mensual'!O155+parametros_recargas!$L$90*'Plan mensual'!O156</f>
        <v>551.10902821826</v>
      </c>
      <c r="N148" s="7" t="n">
        <f aca="false">SUM(B148:M148)</f>
        <v>5786.01133846413</v>
      </c>
      <c r="O148" s="26" t="n">
        <f aca="false">MAX(B148:M148)</f>
        <v>551.10902821826</v>
      </c>
      <c r="P148" s="15" t="n">
        <f aca="false">O148/parametros_recargas!$B$6</f>
        <v>3.67406018812173</v>
      </c>
    </row>
    <row r="149" customFormat="false" ht="15" hidden="false" customHeight="false" outlineLevel="0" collapsed="false">
      <c r="A149" s="12" t="str">
        <f aca="false">parametros_recargas!$B$91</f>
        <v>Carga de CO₂</v>
      </c>
      <c r="B149" s="25" t="n">
        <f aca="false">parametros_recargas!$E$91*'Plan mensual'!D149+parametros_recargas!$F$91*'Plan mensual'!D150+parametros_recargas!$G$91*'Plan mensual'!D151+parametros_recargas!$H$91*'Plan mensual'!D152+parametros_recargas!$I$91*'Plan mensual'!D153+parametros_recargas!$J$91*'Plan mensual'!D154+parametros_recargas!$K$91*'Plan mensual'!D155+parametros_recargas!$L$91*'Plan mensual'!D156</f>
        <v>230.153410072058</v>
      </c>
      <c r="C149" s="25" t="n">
        <f aca="false">parametros_recargas!$E$91*'Plan mensual'!E149+parametros_recargas!$F$91*'Plan mensual'!E150+parametros_recargas!$G$91*'Plan mensual'!E151+parametros_recargas!$H$91*'Plan mensual'!E152+parametros_recargas!$I$91*'Plan mensual'!E153+parametros_recargas!$J$91*'Plan mensual'!E154+parametros_recargas!$K$91*'Plan mensual'!E155+parametros_recargas!$L$91*'Plan mensual'!E156</f>
        <v>235.946575042708</v>
      </c>
      <c r="D149" s="25" t="n">
        <f aca="false">parametros_recargas!$E$91*'Plan mensual'!F149+parametros_recargas!$F$91*'Plan mensual'!F150+parametros_recargas!$G$91*'Plan mensual'!F151+parametros_recargas!$H$91*'Plan mensual'!F152+parametros_recargas!$I$91*'Plan mensual'!F153+parametros_recargas!$J$91*'Plan mensual'!F154+parametros_recargas!$K$91*'Plan mensual'!F155+parametros_recargas!$L$91*'Plan mensual'!F156</f>
        <v>241.890504821348</v>
      </c>
      <c r="E149" s="25" t="n">
        <f aca="false">parametros_recargas!$E$91*'Plan mensual'!G149+parametros_recargas!$F$91*'Plan mensual'!G150+parametros_recargas!$G$91*'Plan mensual'!G151+parametros_recargas!$H$91*'Plan mensual'!G152+parametros_recargas!$I$91*'Plan mensual'!G153+parametros_recargas!$J$91*'Plan mensual'!G154+parametros_recargas!$K$91*'Plan mensual'!G155+parametros_recargas!$L$91*'Plan mensual'!G156</f>
        <v>247.989123001977</v>
      </c>
      <c r="F149" s="25" t="n">
        <f aca="false">parametros_recargas!$E$91*'Plan mensual'!H149+parametros_recargas!$F$91*'Plan mensual'!H150+parametros_recargas!$G$91*'Plan mensual'!H151+parametros_recargas!$H$91*'Plan mensual'!H152+parametros_recargas!$I$91*'Plan mensual'!H153+parametros_recargas!$J$91*'Plan mensual'!H154+parametros_recargas!$K$91*'Plan mensual'!H155+parametros_recargas!$L$91*'Plan mensual'!H156</f>
        <v>254.246455288567</v>
      </c>
      <c r="G149" s="25" t="n">
        <f aca="false">parametros_recargas!$E$91*'Plan mensual'!I149+parametros_recargas!$F$91*'Plan mensual'!I150+parametros_recargas!$G$91*'Plan mensual'!I151+parametros_recargas!$H$91*'Plan mensual'!I152+parametros_recargas!$I$91*'Plan mensual'!I153+parametros_recargas!$J$91*'Plan mensual'!I154+parametros_recargas!$K$91*'Plan mensual'!I155+parametros_recargas!$L$91*'Plan mensual'!I156</f>
        <v>260.666632152429</v>
      </c>
      <c r="H149" s="25" t="n">
        <f aca="false">parametros_recargas!$E$91*'Plan mensual'!J149+parametros_recargas!$F$91*'Plan mensual'!J150+parametros_recargas!$G$91*'Plan mensual'!J151+parametros_recargas!$H$91*'Plan mensual'!J152+parametros_recargas!$I$91*'Plan mensual'!J153+parametros_recargas!$J$91*'Plan mensual'!J154+parametros_recargas!$K$91*'Plan mensual'!J155+parametros_recargas!$L$91*'Plan mensual'!J156</f>
        <v>267.253891558742</v>
      </c>
      <c r="I149" s="25" t="n">
        <f aca="false">parametros_recargas!$E$91*'Plan mensual'!K149+parametros_recargas!$F$91*'Plan mensual'!K150+parametros_recargas!$G$91*'Plan mensual'!K151+parametros_recargas!$H$91*'Plan mensual'!K152+parametros_recargas!$I$91*'Plan mensual'!K153+parametros_recargas!$J$91*'Plan mensual'!K154+parametros_recargas!$K$91*'Plan mensual'!K155+parametros_recargas!$L$91*'Plan mensual'!K156</f>
        <v>274.012581764038</v>
      </c>
      <c r="J149" s="25" t="n">
        <f aca="false">parametros_recargas!$E$91*'Plan mensual'!L149+parametros_recargas!$F$91*'Plan mensual'!L150+parametros_recargas!$G$91*'Plan mensual'!L151+parametros_recargas!$H$91*'Plan mensual'!L152+parametros_recargas!$I$91*'Plan mensual'!L153+parametros_recargas!$J$91*'Plan mensual'!L154+parametros_recargas!$K$91*'Plan mensual'!L155+parametros_recargas!$L$91*'Plan mensual'!L156</f>
        <v>280.947164186495</v>
      </c>
      <c r="K149" s="25" t="n">
        <f aca="false">parametros_recargas!$E$91*'Plan mensual'!M149+parametros_recargas!$F$91*'Plan mensual'!M150+parametros_recargas!$G$91*'Plan mensual'!M151+parametros_recargas!$H$91*'Plan mensual'!M152+parametros_recargas!$I$91*'Plan mensual'!M153+parametros_recargas!$J$91*'Plan mensual'!M154+parametros_recargas!$K$91*'Plan mensual'!M155+parametros_recargas!$L$91*'Plan mensual'!M156</f>
        <v>288.062216350914</v>
      </c>
      <c r="L149" s="25" t="n">
        <f aca="false">parametros_recargas!$E$91*'Plan mensual'!N149+parametros_recargas!$F$91*'Plan mensual'!N150+parametros_recargas!$G$91*'Plan mensual'!N151+parametros_recargas!$H$91*'Plan mensual'!N152+parametros_recargas!$I$91*'Plan mensual'!N153+parametros_recargas!$J$91*'Plan mensual'!N154+parametros_recargas!$K$91*'Plan mensual'!N155+parametros_recargas!$L$91*'Plan mensual'!N156</f>
        <v>295.362434910358</v>
      </c>
      <c r="M149" s="25" t="n">
        <f aca="false">parametros_recargas!$E$91*'Plan mensual'!O149+parametros_recargas!$F$91*'Plan mensual'!O150+parametros_recargas!$G$91*'Plan mensual'!O151+parametros_recargas!$H$91*'Plan mensual'!O152+parametros_recargas!$I$91*'Plan mensual'!O153+parametros_recargas!$J$91*'Plan mensual'!O154+parametros_recargas!$K$91*'Plan mensual'!O155+parametros_recargas!$L$91*'Plan mensual'!O156</f>
        <v>302.852638746412</v>
      </c>
      <c r="N149" s="7" t="n">
        <f aca="false">SUM(B149:M149)</f>
        <v>3179.38362789605</v>
      </c>
      <c r="O149" s="26" t="n">
        <f aca="false">MAX(B149:M149)</f>
        <v>302.852638746412</v>
      </c>
      <c r="P149" s="15" t="n">
        <f aca="false">O149/parametros_recargas!$B$6</f>
        <v>2.01901759164274</v>
      </c>
    </row>
    <row r="150" customFormat="false" ht="15" hidden="false" customHeight="false" outlineLevel="0" collapsed="false">
      <c r="A150" s="12" t="str">
        <f aca="false">parametros_recargas!$B$92</f>
        <v>Ensamblaje y marbete — recinto</v>
      </c>
      <c r="B150" s="25" t="n">
        <f aca="false">parametros_recargas!$E$92*'Plan mensual'!D149+parametros_recargas!$F$92*'Plan mensual'!D150+parametros_recargas!$G$92*'Plan mensual'!D151+parametros_recargas!$H$92*'Plan mensual'!D152+parametros_recargas!$I$92*'Plan mensual'!D153+parametros_recargas!$J$92*'Plan mensual'!D154+parametros_recargas!$K$92*'Plan mensual'!D155+parametros_recargas!$L$92*'Plan mensual'!D156</f>
        <v>7844.24429421326</v>
      </c>
      <c r="C150" s="25" t="n">
        <f aca="false">parametros_recargas!$E$92*'Plan mensual'!E149+parametros_recargas!$F$92*'Plan mensual'!E150+parametros_recargas!$G$92*'Plan mensual'!E151+parametros_recargas!$H$92*'Plan mensual'!E152+parametros_recargas!$I$92*'Plan mensual'!E153+parametros_recargas!$J$92*'Plan mensual'!E154+parametros_recargas!$K$92*'Plan mensual'!E155+parametros_recargas!$L$92*'Plan mensual'!E156</f>
        <v>8043.96344140448</v>
      </c>
      <c r="D150" s="25" t="n">
        <f aca="false">parametros_recargas!$E$92*'Plan mensual'!F149+parametros_recargas!$F$92*'Plan mensual'!F150+parametros_recargas!$G$92*'Plan mensual'!F151+parametros_recargas!$H$92*'Plan mensual'!F152+parametros_recargas!$I$92*'Plan mensual'!F153+parametros_recargas!$J$92*'Plan mensual'!F154+parametros_recargas!$K$92*'Plan mensual'!F155+parametros_recargas!$L$92*'Plan mensual'!F156</f>
        <v>8248.88019975136</v>
      </c>
      <c r="E150" s="25" t="n">
        <f aca="false">parametros_recargas!$E$92*'Plan mensual'!G149+parametros_recargas!$F$92*'Plan mensual'!G150+parametros_recargas!$G$92*'Plan mensual'!G151+parametros_recargas!$H$92*'Plan mensual'!G152+parametros_recargas!$I$92*'Plan mensual'!G153+parametros_recargas!$J$92*'Plan mensual'!G154+parametros_recargas!$K$92*'Plan mensual'!G155+parametros_recargas!$L$92*'Plan mensual'!G156</f>
        <v>8459.12983501135</v>
      </c>
      <c r="F150" s="25" t="n">
        <f aca="false">parametros_recargas!$E$92*'Plan mensual'!H149+parametros_recargas!$F$92*'Plan mensual'!H150+parametros_recargas!$G$92*'Plan mensual'!H151+parametros_recargas!$H$92*'Plan mensual'!H152+parametros_recargas!$I$92*'Plan mensual'!H153+parametros_recargas!$J$92*'Plan mensual'!H154+parametros_recargas!$K$92*'Plan mensual'!H155+parametros_recargas!$L$92*'Plan mensual'!H156</f>
        <v>8674.85113317931</v>
      </c>
      <c r="G150" s="25" t="n">
        <f aca="false">parametros_recargas!$E$92*'Plan mensual'!I149+parametros_recargas!$F$92*'Plan mensual'!I150+parametros_recargas!$G$92*'Plan mensual'!I151+parametros_recargas!$H$92*'Plan mensual'!I152+parametros_recargas!$I$92*'Plan mensual'!I153+parametros_recargas!$J$92*'Plan mensual'!I154+parametros_recargas!$K$92*'Plan mensual'!I155+parametros_recargas!$L$92*'Plan mensual'!I156</f>
        <v>8896.18649210029</v>
      </c>
      <c r="H150" s="25" t="n">
        <f aca="false">parametros_recargas!$E$92*'Plan mensual'!J149+parametros_recargas!$F$92*'Plan mensual'!J150+parametros_recargas!$G$92*'Plan mensual'!J151+parametros_recargas!$H$92*'Plan mensual'!J152+parametros_recargas!$I$92*'Plan mensual'!J153+parametros_recargas!$J$92*'Plan mensual'!J154+parametros_recargas!$K$92*'Plan mensual'!J155+parametros_recargas!$L$92*'Plan mensual'!J156</f>
        <v>9123.28201546641</v>
      </c>
      <c r="I150" s="25" t="n">
        <f aca="false">parametros_recargas!$E$92*'Plan mensual'!K149+parametros_recargas!$F$92*'Plan mensual'!K150+parametros_recargas!$G$92*'Plan mensual'!K151+parametros_recargas!$H$92*'Plan mensual'!K152+parametros_recargas!$I$92*'Plan mensual'!K153+parametros_recargas!$J$92*'Plan mensual'!K154+parametros_recargas!$K$92*'Plan mensual'!K155+parametros_recargas!$L$92*'Plan mensual'!K156</f>
        <v>9356.28760926017</v>
      </c>
      <c r="J150" s="25" t="n">
        <f aca="false">parametros_recargas!$E$92*'Plan mensual'!L149+parametros_recargas!$F$92*'Plan mensual'!L150+parametros_recargas!$G$92*'Plan mensual'!L151+parametros_recargas!$H$92*'Plan mensual'!L152+parametros_recargas!$I$92*'Plan mensual'!L153+parametros_recargas!$J$92*'Plan mensual'!L154+parametros_recargas!$K$92*'Plan mensual'!L155+parametros_recargas!$L$92*'Plan mensual'!L156</f>
        <v>9595.35708070743</v>
      </c>
      <c r="K150" s="25" t="n">
        <f aca="false">parametros_recargas!$E$92*'Plan mensual'!M149+parametros_recargas!$F$92*'Plan mensual'!M150+parametros_recargas!$G$92*'Plan mensual'!M151+parametros_recargas!$H$92*'Plan mensual'!M152+parametros_recargas!$I$92*'Plan mensual'!M153+parametros_recargas!$J$92*'Plan mensual'!M154+parametros_recargas!$K$92*'Plan mensual'!M155+parametros_recargas!$L$92*'Plan mensual'!M156</f>
        <v>9840.64823980581</v>
      </c>
      <c r="L150" s="25" t="n">
        <f aca="false">parametros_recargas!$E$92*'Plan mensual'!N149+parametros_recargas!$F$92*'Plan mensual'!N150+parametros_recargas!$G$92*'Plan mensual'!N151+parametros_recargas!$H$92*'Plan mensual'!N152+parametros_recargas!$I$92*'Plan mensual'!N153+parametros_recargas!$J$92*'Plan mensual'!N154+parametros_recargas!$K$92*'Plan mensual'!N155+parametros_recargas!$L$92*'Plan mensual'!N156</f>
        <v>10092.3230034951</v>
      </c>
      <c r="M150" s="25" t="n">
        <f aca="false">parametros_recargas!$E$92*'Plan mensual'!O149+parametros_recargas!$F$92*'Plan mensual'!O150+parametros_recargas!$G$92*'Plan mensual'!O151+parametros_recargas!$H$92*'Plan mensual'!O152+parametros_recargas!$I$92*'Plan mensual'!O153+parametros_recargas!$J$92*'Plan mensual'!O154+parametros_recargas!$K$92*'Plan mensual'!O155+parametros_recargas!$L$92*'Plan mensual'!O156</f>
        <v>10350.5475025391</v>
      </c>
      <c r="N150" s="7" t="n">
        <f aca="false">SUM(B150:M150)</f>
        <v>108525.700846934</v>
      </c>
      <c r="O150" s="26" t="n">
        <f aca="false">MAX(B150:M150)</f>
        <v>10350.5475025391</v>
      </c>
      <c r="P150" s="15" t="n">
        <f aca="false">O150/parametros_recargas!$B$6</f>
        <v>69.0036500169271</v>
      </c>
    </row>
    <row r="151" customFormat="false" ht="15" hidden="false" customHeight="false" outlineLevel="0" collapsed="false">
      <c r="A151" s="12" t="str">
        <f aca="false">parametros_recargas!$B$93</f>
        <v>Presurización — recinto</v>
      </c>
      <c r="B151" s="25" t="n">
        <f aca="false">parametros_recargas!$E$93*'Plan mensual'!D149+parametros_recargas!$F$93*'Plan mensual'!D150+parametros_recargas!$G$93*'Plan mensual'!D151+parametros_recargas!$H$93*'Plan mensual'!D152+parametros_recargas!$I$93*'Plan mensual'!D153+parametros_recargas!$J$93*'Plan mensual'!D154+parametros_recargas!$K$93*'Plan mensual'!D155+parametros_recargas!$L$93*'Plan mensual'!D156</f>
        <v>7844.24429421326</v>
      </c>
      <c r="C151" s="25" t="n">
        <f aca="false">parametros_recargas!$E$93*'Plan mensual'!E149+parametros_recargas!$F$93*'Plan mensual'!E150+parametros_recargas!$G$93*'Plan mensual'!E151+parametros_recargas!$H$93*'Plan mensual'!E152+parametros_recargas!$I$93*'Plan mensual'!E153+parametros_recargas!$J$93*'Plan mensual'!E154+parametros_recargas!$K$93*'Plan mensual'!E155+parametros_recargas!$L$93*'Plan mensual'!E156</f>
        <v>8043.96344140448</v>
      </c>
      <c r="D151" s="25" t="n">
        <f aca="false">parametros_recargas!$E$93*'Plan mensual'!F149+parametros_recargas!$F$93*'Plan mensual'!F150+parametros_recargas!$G$93*'Plan mensual'!F151+parametros_recargas!$H$93*'Plan mensual'!F152+parametros_recargas!$I$93*'Plan mensual'!F153+parametros_recargas!$J$93*'Plan mensual'!F154+parametros_recargas!$K$93*'Plan mensual'!F155+parametros_recargas!$L$93*'Plan mensual'!F156</f>
        <v>8248.88019975136</v>
      </c>
      <c r="E151" s="25" t="n">
        <f aca="false">parametros_recargas!$E$93*'Plan mensual'!G149+parametros_recargas!$F$93*'Plan mensual'!G150+parametros_recargas!$G$93*'Plan mensual'!G151+parametros_recargas!$H$93*'Plan mensual'!G152+parametros_recargas!$I$93*'Plan mensual'!G153+parametros_recargas!$J$93*'Plan mensual'!G154+parametros_recargas!$K$93*'Plan mensual'!G155+parametros_recargas!$L$93*'Plan mensual'!G156</f>
        <v>8459.12983501135</v>
      </c>
      <c r="F151" s="25" t="n">
        <f aca="false">parametros_recargas!$E$93*'Plan mensual'!H149+parametros_recargas!$F$93*'Plan mensual'!H150+parametros_recargas!$G$93*'Plan mensual'!H151+parametros_recargas!$H$93*'Plan mensual'!H152+parametros_recargas!$I$93*'Plan mensual'!H153+parametros_recargas!$J$93*'Plan mensual'!H154+parametros_recargas!$K$93*'Plan mensual'!H155+parametros_recargas!$L$93*'Plan mensual'!H156</f>
        <v>8674.85113317931</v>
      </c>
      <c r="G151" s="25" t="n">
        <f aca="false">parametros_recargas!$E$93*'Plan mensual'!I149+parametros_recargas!$F$93*'Plan mensual'!I150+parametros_recargas!$G$93*'Plan mensual'!I151+parametros_recargas!$H$93*'Plan mensual'!I152+parametros_recargas!$I$93*'Plan mensual'!I153+parametros_recargas!$J$93*'Plan mensual'!I154+parametros_recargas!$K$93*'Plan mensual'!I155+parametros_recargas!$L$93*'Plan mensual'!I156</f>
        <v>8896.18649210029</v>
      </c>
      <c r="H151" s="25" t="n">
        <f aca="false">parametros_recargas!$E$93*'Plan mensual'!J149+parametros_recargas!$F$93*'Plan mensual'!J150+parametros_recargas!$G$93*'Plan mensual'!J151+parametros_recargas!$H$93*'Plan mensual'!J152+parametros_recargas!$I$93*'Plan mensual'!J153+parametros_recargas!$J$93*'Plan mensual'!J154+parametros_recargas!$K$93*'Plan mensual'!J155+parametros_recargas!$L$93*'Plan mensual'!J156</f>
        <v>9123.28201546641</v>
      </c>
      <c r="I151" s="25" t="n">
        <f aca="false">parametros_recargas!$E$93*'Plan mensual'!K149+parametros_recargas!$F$93*'Plan mensual'!K150+parametros_recargas!$G$93*'Plan mensual'!K151+parametros_recargas!$H$93*'Plan mensual'!K152+parametros_recargas!$I$93*'Plan mensual'!K153+parametros_recargas!$J$93*'Plan mensual'!K154+parametros_recargas!$K$93*'Plan mensual'!K155+parametros_recargas!$L$93*'Plan mensual'!K156</f>
        <v>9356.28760926017</v>
      </c>
      <c r="J151" s="25" t="n">
        <f aca="false">parametros_recargas!$E$93*'Plan mensual'!L149+parametros_recargas!$F$93*'Plan mensual'!L150+parametros_recargas!$G$93*'Plan mensual'!L151+parametros_recargas!$H$93*'Plan mensual'!L152+parametros_recargas!$I$93*'Plan mensual'!L153+parametros_recargas!$J$93*'Plan mensual'!L154+parametros_recargas!$K$93*'Plan mensual'!L155+parametros_recargas!$L$93*'Plan mensual'!L156</f>
        <v>9595.35708070743</v>
      </c>
      <c r="K151" s="25" t="n">
        <f aca="false">parametros_recargas!$E$93*'Plan mensual'!M149+parametros_recargas!$F$93*'Plan mensual'!M150+parametros_recargas!$G$93*'Plan mensual'!M151+parametros_recargas!$H$93*'Plan mensual'!M152+parametros_recargas!$I$93*'Plan mensual'!M153+parametros_recargas!$J$93*'Plan mensual'!M154+parametros_recargas!$K$93*'Plan mensual'!M155+parametros_recargas!$L$93*'Plan mensual'!M156</f>
        <v>9840.64823980581</v>
      </c>
      <c r="L151" s="25" t="n">
        <f aca="false">parametros_recargas!$E$93*'Plan mensual'!N149+parametros_recargas!$F$93*'Plan mensual'!N150+parametros_recargas!$G$93*'Plan mensual'!N151+parametros_recargas!$H$93*'Plan mensual'!N152+parametros_recargas!$I$93*'Plan mensual'!N153+parametros_recargas!$J$93*'Plan mensual'!N154+parametros_recargas!$K$93*'Plan mensual'!N155+parametros_recargas!$L$93*'Plan mensual'!N156</f>
        <v>10092.3230034951</v>
      </c>
      <c r="M151" s="25" t="n">
        <f aca="false">parametros_recargas!$E$93*'Plan mensual'!O149+parametros_recargas!$F$93*'Plan mensual'!O150+parametros_recargas!$G$93*'Plan mensual'!O151+parametros_recargas!$H$93*'Plan mensual'!O152+parametros_recargas!$I$93*'Plan mensual'!O153+parametros_recargas!$J$93*'Plan mensual'!O154+parametros_recargas!$K$93*'Plan mensual'!O155+parametros_recargas!$L$93*'Plan mensual'!O156</f>
        <v>10350.5475025391</v>
      </c>
      <c r="N151" s="7" t="n">
        <f aca="false">SUM(B151:M151)</f>
        <v>108525.700846934</v>
      </c>
      <c r="O151" s="26" t="n">
        <f aca="false">MAX(B151:M151)</f>
        <v>10350.5475025391</v>
      </c>
      <c r="P151" s="15" t="n">
        <f aca="false">O151/parametros_recargas!$B$6</f>
        <v>69.0036500169271</v>
      </c>
    </row>
    <row r="152" customFormat="false" ht="15" hidden="false" customHeight="false" outlineLevel="0" collapsed="false">
      <c r="A152" s="12" t="str">
        <f aca="false">parametros_recargas!$B$94</f>
        <v>Ensamblaje y presurización — zona general</v>
      </c>
      <c r="B152" s="25" t="n">
        <f aca="false">parametros_recargas!$E$94*'Plan mensual'!D149+parametros_recargas!$F$94*'Plan mensual'!D150+parametros_recargas!$G$94*'Plan mensual'!D151+parametros_recargas!$H$94*'Plan mensual'!D152+parametros_recargas!$I$94*'Plan mensual'!D153+parametros_recargas!$J$94*'Plan mensual'!D154+parametros_recargas!$K$94*'Plan mensual'!D155+parametros_recargas!$L$94*'Plan mensual'!D156</f>
        <v>618.313342748366</v>
      </c>
      <c r="C152" s="25" t="n">
        <f aca="false">parametros_recargas!$E$94*'Plan mensual'!E149+parametros_recargas!$F$94*'Plan mensual'!E150+parametros_recargas!$G$94*'Plan mensual'!E151+parametros_recargas!$H$94*'Plan mensual'!E152+parametros_recargas!$I$94*'Plan mensual'!E153+parametros_recargas!$J$94*'Plan mensual'!E154+parametros_recargas!$K$94*'Plan mensual'!E155+parametros_recargas!$L$94*'Plan mensual'!E156</f>
        <v>633.869570041854</v>
      </c>
      <c r="D152" s="25" t="n">
        <f aca="false">parametros_recargas!$E$94*'Plan mensual'!F149+parametros_recargas!$F$94*'Plan mensual'!F150+parametros_recargas!$G$94*'Plan mensual'!F151+parametros_recargas!$H$94*'Plan mensual'!F152+parametros_recargas!$I$94*'Plan mensual'!F153+parametros_recargas!$J$94*'Plan mensual'!F154+parametros_recargas!$K$94*'Plan mensual'!F155+parametros_recargas!$L$94*'Plan mensual'!F156</f>
        <v>649.830641946676</v>
      </c>
      <c r="E152" s="25" t="n">
        <f aca="false">parametros_recargas!$E$94*'Plan mensual'!G149+parametros_recargas!$F$94*'Plan mensual'!G150+parametros_recargas!$G$94*'Plan mensual'!G151+parametros_recargas!$H$94*'Plan mensual'!G152+parametros_recargas!$I$94*'Plan mensual'!G153+parametros_recargas!$J$94*'Plan mensual'!G154+parametros_recargas!$K$94*'Plan mensual'!G155+parametros_recargas!$L$94*'Plan mensual'!G156</f>
        <v>666.207094382386</v>
      </c>
      <c r="F152" s="25" t="n">
        <f aca="false">parametros_recargas!$E$94*'Plan mensual'!H149+parametros_recargas!$F$94*'Plan mensual'!H150+parametros_recargas!$G$94*'Plan mensual'!H151+parametros_recargas!$H$94*'Plan mensual'!H152+parametros_recargas!$I$94*'Plan mensual'!H153+parametros_recargas!$J$94*'Plan mensual'!H154+parametros_recargas!$K$94*'Plan mensual'!H155+parametros_recargas!$L$94*'Plan mensual'!H156</f>
        <v>683.00973746164</v>
      </c>
      <c r="G152" s="25" t="n">
        <f aca="false">parametros_recargas!$E$94*'Plan mensual'!I149+parametros_recargas!$F$94*'Plan mensual'!I150+parametros_recargas!$G$94*'Plan mensual'!I151+parametros_recargas!$H$94*'Plan mensual'!I152+parametros_recargas!$I$94*'Plan mensual'!I153+parametros_recargas!$J$94*'Plan mensual'!I154+parametros_recargas!$K$94*'Plan mensual'!I155+parametros_recargas!$L$94*'Plan mensual'!I156</f>
        <v>700.249662625971</v>
      </c>
      <c r="H152" s="25" t="n">
        <f aca="false">parametros_recargas!$E$94*'Plan mensual'!J149+parametros_recargas!$F$94*'Plan mensual'!J150+parametros_recargas!$G$94*'Plan mensual'!J151+parametros_recargas!$H$94*'Plan mensual'!J152+parametros_recargas!$I$94*'Plan mensual'!J153+parametros_recargas!$J$94*'Plan mensual'!J154+parametros_recargas!$K$94*'Plan mensual'!J155+parametros_recargas!$L$94*'Plan mensual'!J156</f>
        <v>717.938249967247</v>
      </c>
      <c r="I152" s="25" t="n">
        <f aca="false">parametros_recargas!$E$94*'Plan mensual'!K149+parametros_recargas!$F$94*'Plan mensual'!K150+parametros_recargas!$G$94*'Plan mensual'!K151+parametros_recargas!$H$94*'Plan mensual'!K152+parametros_recargas!$I$94*'Plan mensual'!K153+parametros_recargas!$J$94*'Plan mensual'!K154+parametros_recargas!$K$94*'Plan mensual'!K155+parametros_recargas!$L$94*'Plan mensual'!K156</f>
        <v>736.087175739693</v>
      </c>
      <c r="J152" s="25" t="n">
        <f aca="false">parametros_recargas!$E$94*'Plan mensual'!L149+parametros_recargas!$F$94*'Plan mensual'!L150+parametros_recargas!$G$94*'Plan mensual'!L151+parametros_recargas!$H$94*'Plan mensual'!L152+parametros_recargas!$I$94*'Plan mensual'!L153+parametros_recargas!$J$94*'Plan mensual'!L154+parametros_recargas!$K$94*'Plan mensual'!L155+parametros_recargas!$L$94*'Plan mensual'!L156</f>
        <v>754.708420067394</v>
      </c>
      <c r="K152" s="25" t="n">
        <f aca="false">parametros_recargas!$E$94*'Plan mensual'!M149+parametros_recargas!$F$94*'Plan mensual'!M150+parametros_recargas!$G$94*'Plan mensual'!M151+parametros_recargas!$H$94*'Plan mensual'!M152+parametros_recargas!$I$94*'Plan mensual'!M153+parametros_recargas!$J$94*'Plan mensual'!M154+parametros_recargas!$K$94*'Plan mensual'!M155+parametros_recargas!$L$94*'Plan mensual'!M156</f>
        <v>773.814274852385</v>
      </c>
      <c r="L152" s="25" t="n">
        <f aca="false">parametros_recargas!$E$94*'Plan mensual'!N149+parametros_recargas!$F$94*'Plan mensual'!N150+parametros_recargas!$G$94*'Plan mensual'!N151+parametros_recargas!$H$94*'Plan mensual'!N152+parametros_recargas!$I$94*'Plan mensual'!N153+parametros_recargas!$J$94*'Plan mensual'!N154+parametros_recargas!$K$94*'Plan mensual'!N155+parametros_recargas!$L$94*'Plan mensual'!N156</f>
        <v>793.417351888547</v>
      </c>
      <c r="M152" s="25" t="n">
        <f aca="false">parametros_recargas!$E$94*'Plan mensual'!O149+parametros_recargas!$F$94*'Plan mensual'!O150+parametros_recargas!$G$94*'Plan mensual'!O151+parametros_recargas!$H$94*'Plan mensual'!O152+parametros_recargas!$I$94*'Plan mensual'!O153+parametros_recargas!$J$94*'Plan mensual'!O154+parametros_recargas!$K$94*'Plan mensual'!O155+parametros_recargas!$L$94*'Plan mensual'!O156</f>
        <v>813.530591186672</v>
      </c>
      <c r="N152" s="7" t="n">
        <f aca="false">SUM(B152:M152)</f>
        <v>8540.97611290883</v>
      </c>
      <c r="O152" s="26" t="n">
        <f aca="false">MAX(B152:M152)</f>
        <v>813.530591186672</v>
      </c>
      <c r="P152" s="15" t="n">
        <f aca="false">O152/parametros_recargas!$B$6</f>
        <v>5.42353727457781</v>
      </c>
    </row>
    <row r="153" customFormat="false" ht="15" hidden="false" customHeight="false" outlineLevel="0" collapsed="false">
      <c r="A153" s="12" t="str">
        <f aca="false">parametros_recargas!$B$95</f>
        <v>Carga y presurización de halogenado</v>
      </c>
      <c r="B153" s="25" t="n">
        <f aca="false">parametros_recargas!$E$95*'Plan mensual'!D149+parametros_recargas!$F$95*'Plan mensual'!D150+parametros_recargas!$G$95*'Plan mensual'!D151+parametros_recargas!$H$95*'Plan mensual'!D152+parametros_recargas!$I$95*'Plan mensual'!D153+parametros_recargas!$J$95*'Plan mensual'!D154+parametros_recargas!$K$95*'Plan mensual'!D155+parametros_recargas!$L$95*'Plan mensual'!D156</f>
        <v>7.63826244601816</v>
      </c>
      <c r="C153" s="25" t="n">
        <f aca="false">parametros_recargas!$E$95*'Plan mensual'!E149+parametros_recargas!$F$95*'Plan mensual'!E150+parametros_recargas!$G$95*'Plan mensual'!E151+parametros_recargas!$H$95*'Plan mensual'!E152+parametros_recargas!$I$95*'Plan mensual'!E153+parametros_recargas!$J$95*'Plan mensual'!E154+parametros_recargas!$K$95*'Plan mensual'!E155+parametros_recargas!$L$95*'Plan mensual'!E156</f>
        <v>7.82999685047109</v>
      </c>
      <c r="D153" s="25" t="n">
        <f aca="false">parametros_recargas!$E$95*'Plan mensual'!F149+parametros_recargas!$F$95*'Plan mensual'!F150+parametros_recargas!$G$95*'Plan mensual'!F151+parametros_recargas!$H$95*'Plan mensual'!F152+parametros_recargas!$I$95*'Plan mensual'!F153+parametros_recargas!$J$95*'Plan mensual'!F154+parametros_recargas!$K$95*'Plan mensual'!F155+parametros_recargas!$L$95*'Plan mensual'!F156</f>
        <v>8.02672106633429</v>
      </c>
      <c r="E153" s="25" t="n">
        <f aca="false">parametros_recargas!$E$95*'Plan mensual'!G149+parametros_recargas!$F$95*'Plan mensual'!G150+parametros_recargas!$G$95*'Plan mensual'!G151+parametros_recargas!$H$95*'Plan mensual'!G152+parametros_recargas!$I$95*'Plan mensual'!G153+parametros_recargas!$J$95*'Plan mensual'!G154+parametros_recargas!$K$95*'Plan mensual'!G155+parametros_recargas!$L$95*'Plan mensual'!G156</f>
        <v>8.22856495145974</v>
      </c>
      <c r="F153" s="25" t="n">
        <f aca="false">parametros_recargas!$E$95*'Plan mensual'!H149+parametros_recargas!$F$95*'Plan mensual'!H150+parametros_recargas!$G$95*'Plan mensual'!H151+parametros_recargas!$H$95*'Plan mensual'!H152+parametros_recargas!$I$95*'Plan mensual'!H153+parametros_recargas!$J$95*'Plan mensual'!H154+parametros_recargas!$K$95*'Plan mensual'!H155+parametros_recargas!$L$95*'Plan mensual'!H156</f>
        <v>8.43566174319822</v>
      </c>
      <c r="G153" s="25" t="n">
        <f aca="false">parametros_recargas!$E$95*'Plan mensual'!I149+parametros_recargas!$F$95*'Plan mensual'!I150+parametros_recargas!$G$95*'Plan mensual'!I151+parametros_recargas!$H$95*'Plan mensual'!I152+parametros_recargas!$I$95*'Plan mensual'!I153+parametros_recargas!$J$95*'Plan mensual'!I154+parametros_recargas!$K$95*'Plan mensual'!I155+parametros_recargas!$L$95*'Plan mensual'!I156</f>
        <v>8.64814814634941</v>
      </c>
      <c r="H153" s="25" t="n">
        <f aca="false">parametros_recargas!$E$95*'Plan mensual'!J149+parametros_recargas!$F$95*'Plan mensual'!J150+parametros_recargas!$G$95*'Plan mensual'!J151+parametros_recargas!$H$95*'Plan mensual'!J152+parametros_recargas!$I$95*'Plan mensual'!J153+parametros_recargas!$J$95*'Plan mensual'!J154+parametros_recargas!$K$95*'Plan mensual'!J155+parametros_recargas!$L$95*'Plan mensual'!J156</f>
        <v>8.86616442340089</v>
      </c>
      <c r="I153" s="25" t="n">
        <f aca="false">parametros_recargas!$E$95*'Plan mensual'!K149+parametros_recargas!$F$95*'Plan mensual'!K150+parametros_recargas!$G$95*'Plan mensual'!K151+parametros_recargas!$H$95*'Plan mensual'!K152+parametros_recargas!$I$95*'Plan mensual'!K153+parametros_recargas!$J$95*'Plan mensual'!K154+parametros_recargas!$K$95*'Plan mensual'!K155+parametros_recargas!$L$95*'Plan mensual'!K156</f>
        <v>9.08985448711556</v>
      </c>
      <c r="J153" s="25" t="n">
        <f aca="false">parametros_recargas!$E$95*'Plan mensual'!L149+parametros_recargas!$F$95*'Plan mensual'!L150+parametros_recargas!$G$95*'Plan mensual'!L151+parametros_recargas!$H$95*'Plan mensual'!L152+parametros_recargas!$I$95*'Plan mensual'!L153+parametros_recargas!$J$95*'Plan mensual'!L154+parametros_recargas!$K$95*'Plan mensual'!L155+parametros_recargas!$L$95*'Plan mensual'!L156</f>
        <v>9.31936599552856</v>
      </c>
      <c r="K153" s="25" t="n">
        <f aca="false">parametros_recargas!$E$95*'Plan mensual'!M149+parametros_recargas!$F$95*'Plan mensual'!M150+parametros_recargas!$G$95*'Plan mensual'!M151+parametros_recargas!$H$95*'Plan mensual'!M152+parametros_recargas!$I$95*'Plan mensual'!M153+parametros_recargas!$J$95*'Plan mensual'!M154+parametros_recargas!$K$95*'Plan mensual'!M155+parametros_recargas!$L$95*'Plan mensual'!M156</f>
        <v>9.55485044941652</v>
      </c>
      <c r="L153" s="25" t="n">
        <f aca="false">parametros_recargas!$E$95*'Plan mensual'!N149+parametros_recargas!$F$95*'Plan mensual'!N150+parametros_recargas!$G$95*'Plan mensual'!N151+parametros_recargas!$H$95*'Plan mensual'!N152+parametros_recargas!$I$95*'Plan mensual'!N153+parametros_recargas!$J$95*'Plan mensual'!N154+parametros_recargas!$K$95*'Plan mensual'!N155+parametros_recargas!$L$95*'Plan mensual'!N156</f>
        <v>9.79646329230335</v>
      </c>
      <c r="M153" s="25" t="n">
        <f aca="false">parametros_recargas!$E$95*'Plan mensual'!O149+parametros_recargas!$F$95*'Plan mensual'!O150+parametros_recargas!$G$95*'Plan mensual'!O151+parametros_recargas!$H$95*'Plan mensual'!O152+parametros_recargas!$I$95*'Plan mensual'!O153+parametros_recargas!$J$95*'Plan mensual'!O154+parametros_recargas!$K$95*'Plan mensual'!O155+parametros_recargas!$L$95*'Plan mensual'!O156</f>
        <v>10.0443640130687</v>
      </c>
      <c r="N153" s="7" t="n">
        <f aca="false">SUM(B153:M153)</f>
        <v>105.478417864664</v>
      </c>
      <c r="O153" s="26" t="n">
        <f aca="false">MAX(B153:M153)</f>
        <v>10.0443640130687</v>
      </c>
      <c r="P153" s="15" t="n">
        <f aca="false">O153/parametros_recargas!$B$6</f>
        <v>0.0669624267537912</v>
      </c>
    </row>
    <row r="154" customFormat="false" ht="15" hidden="false" customHeight="false" outlineLevel="0" collapsed="false">
      <c r="A154" s="12" t="str">
        <f aca="false">parametros_recargas!$B$96</f>
        <v>Control de peso (CO₂ y halogenados sin recarga)</v>
      </c>
      <c r="B154" s="25" t="n">
        <f aca="false">parametros_recargas!$E$96*'Plan mensual'!D149+parametros_recargas!$F$96*'Plan mensual'!D150+parametros_recargas!$G$96*'Plan mensual'!D151+parametros_recargas!$H$96*'Plan mensual'!D152+parametros_recargas!$I$96*'Plan mensual'!D153+parametros_recargas!$J$96*'Plan mensual'!D154+parametros_recargas!$K$96*'Plan mensual'!D155+parametros_recargas!$L$96*'Plan mensual'!D156</f>
        <v>559.939410839523</v>
      </c>
      <c r="C154" s="25" t="n">
        <f aca="false">parametros_recargas!$E$96*'Plan mensual'!E149+parametros_recargas!$F$96*'Plan mensual'!E150+parametros_recargas!$G$96*'Plan mensual'!E151+parametros_recargas!$H$96*'Plan mensual'!E152+parametros_recargas!$I$96*'Plan mensual'!E153+parametros_recargas!$J$96*'Plan mensual'!E154+parametros_recargas!$K$96*'Plan mensual'!E155+parametros_recargas!$L$96*'Plan mensual'!E156</f>
        <v>574.031998984399</v>
      </c>
      <c r="D154" s="25" t="n">
        <f aca="false">parametros_recargas!$E$96*'Plan mensual'!F149+parametros_recargas!$F$96*'Plan mensual'!F150+parametros_recargas!$G$96*'Plan mensual'!F151+parametros_recargas!$H$96*'Plan mensual'!F152+parametros_recargas!$I$96*'Plan mensual'!F153+parametros_recargas!$J$96*'Plan mensual'!F154+parametros_recargas!$K$96*'Plan mensual'!F155+parametros_recargas!$L$96*'Plan mensual'!F156</f>
        <v>588.49134111548</v>
      </c>
      <c r="E154" s="25" t="n">
        <f aca="false">parametros_recargas!$E$96*'Plan mensual'!G149+parametros_recargas!$F$96*'Plan mensual'!G150+parametros_recargas!$G$96*'Plan mensual'!G151+parametros_recargas!$H$96*'Plan mensual'!G152+parametros_recargas!$I$96*'Plan mensual'!G153+parametros_recargas!$J$96*'Plan mensual'!G154+parametros_recargas!$K$96*'Plan mensual'!G155+parametros_recargas!$L$96*'Plan mensual'!G156</f>
        <v>603.326981858992</v>
      </c>
      <c r="F154" s="25" t="n">
        <f aca="false">parametros_recargas!$E$96*'Plan mensual'!H149+parametros_recargas!$F$96*'Plan mensual'!H150+parametros_recargas!$G$96*'Plan mensual'!H151+parametros_recargas!$H$96*'Plan mensual'!H152+parametros_recargas!$I$96*'Plan mensual'!H153+parametros_recargas!$J$96*'Plan mensual'!H154+parametros_recargas!$K$96*'Plan mensual'!H155+parametros_recargas!$L$96*'Plan mensual'!H156</f>
        <v>618.548714236251</v>
      </c>
      <c r="G154" s="25" t="n">
        <f aca="false">parametros_recargas!$E$96*'Plan mensual'!I149+parametros_recargas!$F$96*'Plan mensual'!I150+parametros_recargas!$G$96*'Plan mensual'!I151+parametros_recargas!$H$96*'Plan mensual'!I152+parametros_recargas!$I$96*'Plan mensual'!I153+parametros_recargas!$J$96*'Plan mensual'!I154+parametros_recargas!$K$96*'Plan mensual'!I155+parametros_recargas!$L$96*'Plan mensual'!I156</f>
        <v>634.166586128049</v>
      </c>
      <c r="H154" s="25" t="n">
        <f aca="false">parametros_recargas!$E$96*'Plan mensual'!J149+parametros_recargas!$F$96*'Plan mensual'!J150+parametros_recargas!$G$96*'Plan mensual'!J151+parametros_recargas!$H$96*'Plan mensual'!J152+parametros_recargas!$I$96*'Plan mensual'!J153+parametros_recargas!$J$96*'Plan mensual'!J154+parametros_recargas!$K$96*'Plan mensual'!J155+parametros_recargas!$L$96*'Plan mensual'!J156</f>
        <v>650.190906907266</v>
      </c>
      <c r="I154" s="25" t="n">
        <f aca="false">parametros_recargas!$E$96*'Plan mensual'!K149+parametros_recargas!$F$96*'Plan mensual'!K150+parametros_recargas!$G$96*'Plan mensual'!K151+parametros_recargas!$H$96*'Plan mensual'!K152+parametros_recargas!$I$96*'Plan mensual'!K153+parametros_recargas!$J$96*'Plan mensual'!K154+parametros_recargas!$K$96*'Plan mensual'!K155+parametros_recargas!$L$96*'Plan mensual'!K156</f>
        <v>666.632254244103</v>
      </c>
      <c r="J154" s="25" t="n">
        <f aca="false">parametros_recargas!$E$96*'Plan mensual'!L149+parametros_recargas!$F$96*'Plan mensual'!L150+parametros_recargas!$G$96*'Plan mensual'!L151+parametros_recargas!$H$96*'Plan mensual'!L152+parametros_recargas!$I$96*'Plan mensual'!L153+parametros_recargas!$J$96*'Plan mensual'!L154+parametros_recargas!$K$96*'Plan mensual'!L155+parametros_recargas!$L$96*'Plan mensual'!L156</f>
        <v>683.501481088406</v>
      </c>
      <c r="K154" s="25" t="n">
        <f aca="false">parametros_recargas!$E$96*'Plan mensual'!M149+parametros_recargas!$F$96*'Plan mensual'!M150+parametros_recargas!$G$96*'Plan mensual'!M151+parametros_recargas!$H$96*'Plan mensual'!M152+parametros_recargas!$I$96*'Plan mensual'!M153+parametros_recargas!$J$96*'Plan mensual'!M154+parametros_recargas!$K$96*'Plan mensual'!M155+parametros_recargas!$L$96*'Plan mensual'!M156</f>
        <v>700.809722833716</v>
      </c>
      <c r="L154" s="25" t="n">
        <f aca="false">parametros_recargas!$E$96*'Plan mensual'!N149+parametros_recargas!$F$96*'Plan mensual'!N150+parametros_recargas!$G$96*'Plan mensual'!N151+parametros_recargas!$H$96*'Plan mensual'!N152+parametros_recargas!$I$96*'Plan mensual'!N153+parametros_recargas!$J$96*'Plan mensual'!N154+parametros_recargas!$K$96*'Plan mensual'!N155+parametros_recargas!$L$96*'Plan mensual'!N156</f>
        <v>718.568404667746</v>
      </c>
      <c r="M154" s="25" t="n">
        <f aca="false">parametros_recargas!$E$96*'Plan mensual'!O149+parametros_recargas!$F$96*'Plan mensual'!O150+parametros_recargas!$G$96*'Plan mensual'!O151+parametros_recargas!$H$96*'Plan mensual'!O152+parametros_recargas!$I$96*'Plan mensual'!O153+parametros_recargas!$J$96*'Plan mensual'!O154+parametros_recargas!$K$96*'Plan mensual'!O155+parametros_recargas!$L$96*'Plan mensual'!O156</f>
        <v>736.789249114167</v>
      </c>
      <c r="N154" s="7" t="n">
        <f aca="false">SUM(B154:M154)</f>
        <v>7734.9970520181</v>
      </c>
      <c r="O154" s="26" t="n">
        <f aca="false">MAX(B154:M154)</f>
        <v>736.789249114167</v>
      </c>
      <c r="P154" s="15" t="n">
        <f aca="false">O154/parametros_recargas!$B$6</f>
        <v>4.91192832742778</v>
      </c>
    </row>
    <row r="155" customFormat="false" ht="15" hidden="false" customHeight="false" outlineLevel="0" collapsed="false">
      <c r="A155" s="12" t="str">
        <f aca="false">parametros_recargas!$B$97</f>
        <v>Ensayo de pérdidas</v>
      </c>
      <c r="B155" s="25" t="n">
        <f aca="false">parametros_recargas!$E$97*'Plan mensual'!D149+parametros_recargas!$F$97*'Plan mensual'!D150+parametros_recargas!$G$97*'Plan mensual'!D151+parametros_recargas!$H$97*'Plan mensual'!D152+parametros_recargas!$I$97*'Plan mensual'!D153+parametros_recargas!$J$97*'Plan mensual'!D154+parametros_recargas!$K$97*'Plan mensual'!D155+parametros_recargas!$L$97*'Plan mensual'!D156</f>
        <v>9060.85594947982</v>
      </c>
      <c r="C155" s="25" t="n">
        <f aca="false">parametros_recargas!$E$97*'Plan mensual'!E149+parametros_recargas!$F$97*'Plan mensual'!E150+parametros_recargas!$G$97*'Plan mensual'!E151+parametros_recargas!$H$97*'Plan mensual'!E152+parametros_recargas!$I$97*'Plan mensual'!E153+parametros_recargas!$J$97*'Plan mensual'!E154+parametros_recargas!$K$97*'Plan mensual'!E155+parametros_recargas!$L$97*'Plan mensual'!E156</f>
        <v>9291.18943960452</v>
      </c>
      <c r="D155" s="25" t="n">
        <f aca="false">parametros_recargas!$E$97*'Plan mensual'!F149+parametros_recargas!$F$97*'Plan mensual'!F150+parametros_recargas!$G$97*'Plan mensual'!F151+parametros_recargas!$H$97*'Plan mensual'!F152+parametros_recargas!$I$97*'Plan mensual'!F153+parametros_recargas!$J$97*'Plan mensual'!F154+parametros_recargas!$K$97*'Plan mensual'!F155+parametros_recargas!$L$97*'Plan mensual'!F156</f>
        <v>9527.51726695041</v>
      </c>
      <c r="E155" s="25" t="n">
        <f aca="false">parametros_recargas!$E$97*'Plan mensual'!G149+parametros_recargas!$F$97*'Plan mensual'!G150+parametros_recargas!$G$97*'Plan mensual'!G151+parametros_recargas!$H$97*'Plan mensual'!G152+parametros_recargas!$I$97*'Plan mensual'!G153+parametros_recargas!$J$97*'Plan mensual'!G154+parametros_recargas!$K$97*'Plan mensual'!G155+parametros_recargas!$L$97*'Plan mensual'!G156</f>
        <v>9769.99543175306</v>
      </c>
      <c r="F155" s="25" t="n">
        <f aca="false">parametros_recargas!$E$97*'Plan mensual'!H149+parametros_recargas!$F$97*'Plan mensual'!H150+parametros_recargas!$G$97*'Plan mensual'!H151+parametros_recargas!$H$97*'Plan mensual'!H152+parametros_recargas!$I$97*'Plan mensual'!H153+parametros_recargas!$J$97*'Plan mensual'!H154+parametros_recargas!$K$97*'Plan mensual'!H155+parametros_recargas!$L$97*'Plan mensual'!H156</f>
        <v>10018.783994092</v>
      </c>
      <c r="G155" s="25" t="n">
        <f aca="false">parametros_recargas!$E$97*'Plan mensual'!I149+parametros_recargas!$F$97*'Plan mensual'!I150+parametros_recargas!$G$97*'Plan mensual'!I151+parametros_recargas!$H$97*'Plan mensual'!I152+parametros_recargas!$I$97*'Plan mensual'!I153+parametros_recargas!$J$97*'Plan mensual'!I154+parametros_recargas!$K$97*'Plan mensual'!I155+parametros_recargas!$L$97*'Plan mensual'!I156</f>
        <v>10274.0471795464</v>
      </c>
      <c r="H155" s="25" t="n">
        <f aca="false">parametros_recargas!$E$97*'Plan mensual'!J149+parametros_recargas!$F$97*'Plan mensual'!J150+parametros_recargas!$G$97*'Plan mensual'!J151+parametros_recargas!$H$97*'Plan mensual'!J152+parametros_recargas!$I$97*'Plan mensual'!J153+parametros_recargas!$J$97*'Plan mensual'!J154+parametros_recargas!$K$97*'Plan mensual'!J155+parametros_recargas!$L$97*'Plan mensual'!J156</f>
        <v>10535.9534876007</v>
      </c>
      <c r="I155" s="25" t="n">
        <f aca="false">parametros_recargas!$E$97*'Plan mensual'!K149+parametros_recargas!$F$97*'Plan mensual'!K150+parametros_recargas!$G$97*'Plan mensual'!K151+parametros_recargas!$H$97*'Plan mensual'!K152+parametros_recargas!$I$97*'Plan mensual'!K153+parametros_recargas!$J$97*'Plan mensual'!K154+parametros_recargas!$K$97*'Plan mensual'!K155+parametros_recargas!$L$97*'Plan mensual'!K156</f>
        <v>10804.6758028713</v>
      </c>
      <c r="J155" s="25" t="n">
        <f aca="false">parametros_recargas!$E$97*'Plan mensual'!L149+parametros_recargas!$F$97*'Plan mensual'!L150+parametros_recargas!$G$97*'Plan mensual'!L151+parametros_recargas!$H$97*'Plan mensual'!L152+parametros_recargas!$I$97*'Plan mensual'!L153+parametros_recargas!$J$97*'Plan mensual'!L154+parametros_recargas!$K$97*'Plan mensual'!L155+parametros_recargas!$L$97*'Plan mensual'!L156</f>
        <v>11080.3915092276</v>
      </c>
      <c r="K155" s="25" t="n">
        <f aca="false">parametros_recargas!$E$97*'Plan mensual'!M149+parametros_recargas!$F$97*'Plan mensual'!M150+parametros_recargas!$G$97*'Plan mensual'!M151+parametros_recargas!$H$97*'Plan mensual'!M152+parametros_recargas!$I$97*'Plan mensual'!M153+parametros_recargas!$J$97*'Plan mensual'!M154+parametros_recargas!$K$97*'Plan mensual'!M155+parametros_recargas!$L$97*'Plan mensual'!M156</f>
        <v>11363.2826068837</v>
      </c>
      <c r="L155" s="25" t="n">
        <f aca="false">parametros_recargas!$E$97*'Plan mensual'!N149+parametros_recargas!$F$97*'Plan mensual'!N150+parametros_recargas!$G$97*'Plan mensual'!N151+parametros_recargas!$H$97*'Plan mensual'!N152+parametros_recargas!$I$97*'Plan mensual'!N153+parametros_recargas!$J$97*'Plan mensual'!N154+parametros_recargas!$K$97*'Plan mensual'!N155+parametros_recargas!$L$97*'Plan mensual'!N156</f>
        <v>11653.5358325365</v>
      </c>
      <c r="M155" s="25" t="n">
        <f aca="false">parametros_recargas!$E$97*'Plan mensual'!O149+parametros_recargas!$F$97*'Plan mensual'!O150+parametros_recargas!$G$97*'Plan mensual'!O151+parametros_recargas!$H$97*'Plan mensual'!O152+parametros_recargas!$I$97*'Plan mensual'!O153+parametros_recargas!$J$97*'Plan mensual'!O154+parametros_recargas!$K$97*'Plan mensual'!O155+parametros_recargas!$L$97*'Plan mensual'!O156</f>
        <v>11951.342782631</v>
      </c>
      <c r="N155" s="7" t="n">
        <f aca="false">SUM(B155:M155)</f>
        <v>125331.571283177</v>
      </c>
      <c r="O155" s="26" t="n">
        <f aca="false">MAX(B155:M155)</f>
        <v>11951.342782631</v>
      </c>
      <c r="P155" s="15" t="n">
        <f aca="false">O155/parametros_recargas!$B$6</f>
        <v>79.6756185508731</v>
      </c>
    </row>
    <row r="156" customFormat="false" ht="15" hidden="false" customHeight="false" outlineLevel="0" collapsed="false">
      <c r="A156" s="12" t="str">
        <f aca="false">parametros_recargas!$B$98</f>
        <v>Precinto, etiqueta y despacho</v>
      </c>
      <c r="B156" s="25" t="n">
        <f aca="false">parametros_recargas!$E$98*'Plan mensual'!D149+parametros_recargas!$F$98*'Plan mensual'!D150+parametros_recargas!$G$98*'Plan mensual'!D151+parametros_recargas!$H$98*'Plan mensual'!D152+parametros_recargas!$I$98*'Plan mensual'!D153+parametros_recargas!$J$98*'Plan mensual'!D154+parametros_recargas!$K$98*'Plan mensual'!D155+parametros_recargas!$L$98*'Plan mensual'!D156</f>
        <v>9060.85594947982</v>
      </c>
      <c r="C156" s="25" t="n">
        <f aca="false">parametros_recargas!$E$98*'Plan mensual'!E149+parametros_recargas!$F$98*'Plan mensual'!E150+parametros_recargas!$G$98*'Plan mensual'!E151+parametros_recargas!$H$98*'Plan mensual'!E152+parametros_recargas!$I$98*'Plan mensual'!E153+parametros_recargas!$J$98*'Plan mensual'!E154+parametros_recargas!$K$98*'Plan mensual'!E155+parametros_recargas!$L$98*'Plan mensual'!E156</f>
        <v>9291.18943960452</v>
      </c>
      <c r="D156" s="25" t="n">
        <f aca="false">parametros_recargas!$E$98*'Plan mensual'!F149+parametros_recargas!$F$98*'Plan mensual'!F150+parametros_recargas!$G$98*'Plan mensual'!F151+parametros_recargas!$H$98*'Plan mensual'!F152+parametros_recargas!$I$98*'Plan mensual'!F153+parametros_recargas!$J$98*'Plan mensual'!F154+parametros_recargas!$K$98*'Plan mensual'!F155+parametros_recargas!$L$98*'Plan mensual'!F156</f>
        <v>9527.51726695041</v>
      </c>
      <c r="E156" s="25" t="n">
        <f aca="false">parametros_recargas!$E$98*'Plan mensual'!G149+parametros_recargas!$F$98*'Plan mensual'!G150+parametros_recargas!$G$98*'Plan mensual'!G151+parametros_recargas!$H$98*'Plan mensual'!G152+parametros_recargas!$I$98*'Plan mensual'!G153+parametros_recargas!$J$98*'Plan mensual'!G154+parametros_recargas!$K$98*'Plan mensual'!G155+parametros_recargas!$L$98*'Plan mensual'!G156</f>
        <v>9769.99543175306</v>
      </c>
      <c r="F156" s="25" t="n">
        <f aca="false">parametros_recargas!$E$98*'Plan mensual'!H149+parametros_recargas!$F$98*'Plan mensual'!H150+parametros_recargas!$G$98*'Plan mensual'!H151+parametros_recargas!$H$98*'Plan mensual'!H152+parametros_recargas!$I$98*'Plan mensual'!H153+parametros_recargas!$J$98*'Plan mensual'!H154+parametros_recargas!$K$98*'Plan mensual'!H155+parametros_recargas!$L$98*'Plan mensual'!H156</f>
        <v>10018.783994092</v>
      </c>
      <c r="G156" s="25" t="n">
        <f aca="false">parametros_recargas!$E$98*'Plan mensual'!I149+parametros_recargas!$F$98*'Plan mensual'!I150+parametros_recargas!$G$98*'Plan mensual'!I151+parametros_recargas!$H$98*'Plan mensual'!I152+parametros_recargas!$I$98*'Plan mensual'!I153+parametros_recargas!$J$98*'Plan mensual'!I154+parametros_recargas!$K$98*'Plan mensual'!I155+parametros_recargas!$L$98*'Plan mensual'!I156</f>
        <v>10274.0471795464</v>
      </c>
      <c r="H156" s="25" t="n">
        <f aca="false">parametros_recargas!$E$98*'Plan mensual'!J149+parametros_recargas!$F$98*'Plan mensual'!J150+parametros_recargas!$G$98*'Plan mensual'!J151+parametros_recargas!$H$98*'Plan mensual'!J152+parametros_recargas!$I$98*'Plan mensual'!J153+parametros_recargas!$J$98*'Plan mensual'!J154+parametros_recargas!$K$98*'Plan mensual'!J155+parametros_recargas!$L$98*'Plan mensual'!J156</f>
        <v>10535.9534876007</v>
      </c>
      <c r="I156" s="25" t="n">
        <f aca="false">parametros_recargas!$E$98*'Plan mensual'!K149+parametros_recargas!$F$98*'Plan mensual'!K150+parametros_recargas!$G$98*'Plan mensual'!K151+parametros_recargas!$H$98*'Plan mensual'!K152+parametros_recargas!$I$98*'Plan mensual'!K153+parametros_recargas!$J$98*'Plan mensual'!K154+parametros_recargas!$K$98*'Plan mensual'!K155+parametros_recargas!$L$98*'Plan mensual'!K156</f>
        <v>10804.6758028713</v>
      </c>
      <c r="J156" s="25" t="n">
        <f aca="false">parametros_recargas!$E$98*'Plan mensual'!L149+parametros_recargas!$F$98*'Plan mensual'!L150+parametros_recargas!$G$98*'Plan mensual'!L151+parametros_recargas!$H$98*'Plan mensual'!L152+parametros_recargas!$I$98*'Plan mensual'!L153+parametros_recargas!$J$98*'Plan mensual'!L154+parametros_recargas!$K$98*'Plan mensual'!L155+parametros_recargas!$L$98*'Plan mensual'!L156</f>
        <v>11080.3915092276</v>
      </c>
      <c r="K156" s="25" t="n">
        <f aca="false">parametros_recargas!$E$98*'Plan mensual'!M149+parametros_recargas!$F$98*'Plan mensual'!M150+parametros_recargas!$G$98*'Plan mensual'!M151+parametros_recargas!$H$98*'Plan mensual'!M152+parametros_recargas!$I$98*'Plan mensual'!M153+parametros_recargas!$J$98*'Plan mensual'!M154+parametros_recargas!$K$98*'Plan mensual'!M155+parametros_recargas!$L$98*'Plan mensual'!M156</f>
        <v>11363.2826068837</v>
      </c>
      <c r="L156" s="25" t="n">
        <f aca="false">parametros_recargas!$E$98*'Plan mensual'!N149+parametros_recargas!$F$98*'Plan mensual'!N150+parametros_recargas!$G$98*'Plan mensual'!N151+parametros_recargas!$H$98*'Plan mensual'!N152+parametros_recargas!$I$98*'Plan mensual'!N153+parametros_recargas!$J$98*'Plan mensual'!N154+parametros_recargas!$K$98*'Plan mensual'!N155+parametros_recargas!$L$98*'Plan mensual'!N156</f>
        <v>11653.5358325365</v>
      </c>
      <c r="M156" s="25" t="n">
        <f aca="false">parametros_recargas!$E$98*'Plan mensual'!O149+parametros_recargas!$F$98*'Plan mensual'!O150+parametros_recargas!$G$98*'Plan mensual'!O151+parametros_recargas!$H$98*'Plan mensual'!O152+parametros_recargas!$I$98*'Plan mensual'!O153+parametros_recargas!$J$98*'Plan mensual'!O154+parametros_recargas!$K$98*'Plan mensual'!O155+parametros_recargas!$L$98*'Plan mensual'!O156</f>
        <v>11951.342782631</v>
      </c>
      <c r="N156" s="7" t="n">
        <f aca="false">SUM(B156:M156)</f>
        <v>125331.571283177</v>
      </c>
      <c r="O156" s="26" t="n">
        <f aca="false">MAX(B156:M156)</f>
        <v>11951.342782631</v>
      </c>
      <c r="P156" s="15" t="n">
        <f aca="false">O156/parametros_recargas!$B$6</f>
        <v>79.6756185508731</v>
      </c>
    </row>
    <row r="157" customFormat="false" ht="15" hidden="false" customHeight="false" outlineLevel="0" collapsed="false">
      <c r="A157" s="12" t="str">
        <f aca="false">parametros_recargas!$B$99</f>
        <v>Inutilización y disposición final</v>
      </c>
      <c r="B157" s="25" t="n">
        <f aca="false">parametros_recargas!$E$99*'Plan mensual'!D149+parametros_recargas!$F$99*'Plan mensual'!D150+parametros_recargas!$G$99*'Plan mensual'!D151+parametros_recargas!$H$99*'Plan mensual'!D152+parametros_recargas!$I$99*'Plan mensual'!D153+parametros_recargas!$J$99*'Plan mensual'!D154+parametros_recargas!$K$99*'Plan mensual'!D155+parametros_recargas!$L$99*'Plan mensual'!D156</f>
        <v>712.082175398827</v>
      </c>
      <c r="C157" s="25" t="n">
        <f aca="false">parametros_recargas!$E$99*'Plan mensual'!E149+parametros_recargas!$F$99*'Plan mensual'!E150+parametros_recargas!$G$99*'Plan mensual'!E151+parametros_recargas!$H$99*'Plan mensual'!E152+parametros_recargas!$I$99*'Plan mensual'!E153+parametros_recargas!$J$99*'Plan mensual'!E154+parametros_recargas!$K$99*'Plan mensual'!E155+parametros_recargas!$L$99*'Plan mensual'!E156</f>
        <v>730.187012110433</v>
      </c>
      <c r="D157" s="25" t="n">
        <f aca="false">parametros_recargas!$E$99*'Plan mensual'!F149+parametros_recargas!$F$99*'Plan mensual'!F150+parametros_recargas!$G$99*'Plan mensual'!F151+parametros_recargas!$H$99*'Plan mensual'!F152+parametros_recargas!$I$99*'Plan mensual'!F153+parametros_recargas!$J$99*'Plan mensual'!F154+parametros_recargas!$K$99*'Plan mensual'!F155+parametros_recargas!$L$99*'Plan mensual'!F156</f>
        <v>748.763019977069</v>
      </c>
      <c r="E157" s="25" t="n">
        <f aca="false">parametros_recargas!$E$99*'Plan mensual'!G149+parametros_recargas!$F$99*'Plan mensual'!G150+parametros_recargas!$G$99*'Plan mensual'!G151+parametros_recargas!$H$99*'Plan mensual'!G152+parametros_recargas!$I$99*'Plan mensual'!G153+parametros_recargas!$J$99*'Plan mensual'!G154+parametros_recargas!$K$99*'Plan mensual'!G155+parametros_recargas!$L$99*'Plan mensual'!G156</f>
        <v>767.822461040135</v>
      </c>
      <c r="F157" s="25" t="n">
        <f aca="false">parametros_recargas!$E$99*'Plan mensual'!H149+parametros_recargas!$F$99*'Plan mensual'!H150+parametros_recargas!$G$99*'Plan mensual'!H151+parametros_recargas!$H$99*'Plan mensual'!H152+parametros_recargas!$I$99*'Plan mensual'!H153+parametros_recargas!$J$99*'Plan mensual'!H154+parametros_recargas!$K$99*'Plan mensual'!H155+parametros_recargas!$L$99*'Plan mensual'!H156</f>
        <v>787.37791645577</v>
      </c>
      <c r="G157" s="25" t="n">
        <f aca="false">parametros_recargas!$E$99*'Plan mensual'!I149+parametros_recargas!$F$99*'Plan mensual'!I150+parametros_recargas!$G$99*'Plan mensual'!I151+parametros_recargas!$H$99*'Plan mensual'!I152+parametros_recargas!$I$99*'Plan mensual'!I153+parametros_recargas!$J$99*'Plan mensual'!I154+parametros_recargas!$K$99*'Plan mensual'!I155+parametros_recargas!$L$99*'Plan mensual'!I156</f>
        <v>807.442294799687</v>
      </c>
      <c r="H157" s="25" t="n">
        <f aca="false">parametros_recargas!$E$99*'Plan mensual'!J149+parametros_recargas!$F$99*'Plan mensual'!J150+parametros_recargas!$G$99*'Plan mensual'!J151+parametros_recargas!$H$99*'Plan mensual'!J152+parametros_recargas!$I$99*'Plan mensual'!J153+parametros_recargas!$J$99*'Plan mensual'!J154+parametros_recargas!$K$99*'Plan mensual'!J155+parametros_recargas!$L$99*'Plan mensual'!J156</f>
        <v>828.028840588127</v>
      </c>
      <c r="I157" s="25" t="n">
        <f aca="false">parametros_recargas!$E$99*'Plan mensual'!K149+parametros_recargas!$F$99*'Plan mensual'!K150+parametros_recargas!$G$99*'Plan mensual'!K151+parametros_recargas!$H$99*'Plan mensual'!K152+parametros_recargas!$I$99*'Plan mensual'!K153+parametros_recargas!$J$99*'Plan mensual'!K154+parametros_recargas!$K$99*'Plan mensual'!K155+parametros_recargas!$L$99*'Plan mensual'!K156</f>
        <v>849.151143020591</v>
      </c>
      <c r="J157" s="25" t="n">
        <f aca="false">parametros_recargas!$E$99*'Plan mensual'!L149+parametros_recargas!$F$99*'Plan mensual'!L150+parametros_recargas!$G$99*'Plan mensual'!L151+parametros_recargas!$H$99*'Plan mensual'!L152+parametros_recargas!$I$99*'Plan mensual'!L153+parametros_recargas!$J$99*'Plan mensual'!L154+parametros_recargas!$K$99*'Plan mensual'!L155+parametros_recargas!$L$99*'Plan mensual'!L156</f>
        <v>870.823144950073</v>
      </c>
      <c r="K157" s="25" t="n">
        <f aca="false">parametros_recargas!$E$99*'Plan mensual'!M149+parametros_recargas!$F$99*'Plan mensual'!M150+parametros_recargas!$G$99*'Plan mensual'!M151+parametros_recargas!$H$99*'Plan mensual'!M152+parametros_recargas!$I$99*'Plan mensual'!M153+parametros_recargas!$J$99*'Plan mensual'!M154+parametros_recargas!$K$99*'Plan mensual'!M155+parametros_recargas!$L$99*'Plan mensual'!M156</f>
        <v>893.059152086759</v>
      </c>
      <c r="L157" s="25" t="n">
        <f aca="false">parametros_recargas!$E$99*'Plan mensual'!N149+parametros_recargas!$F$99*'Plan mensual'!N150+parametros_recargas!$G$99*'Plan mensual'!N151+parametros_recargas!$H$99*'Plan mensual'!N152+parametros_recargas!$I$99*'Plan mensual'!N153+parametros_recargas!$J$99*'Plan mensual'!N154+parametros_recargas!$K$99*'Plan mensual'!N155+parametros_recargas!$L$99*'Plan mensual'!N156</f>
        <v>915.873842441233</v>
      </c>
      <c r="M157" s="25" t="n">
        <f aca="false">parametros_recargas!$E$99*'Plan mensual'!O149+parametros_recargas!$F$99*'Plan mensual'!O150+parametros_recargas!$G$99*'Plan mensual'!O151+parametros_recargas!$H$99*'Plan mensual'!O152+parametros_recargas!$I$99*'Plan mensual'!O153+parametros_recargas!$J$99*'Plan mensual'!O154+parametros_recargas!$K$99*'Plan mensual'!O155+parametros_recargas!$L$99*'Plan mensual'!O156</f>
        <v>939.282276013455</v>
      </c>
      <c r="N157" s="7" t="n">
        <f aca="false">SUM(B157:M157)</f>
        <v>9849.89327888216</v>
      </c>
      <c r="O157" s="26" t="n">
        <f aca="false">MAX(B157:M157)</f>
        <v>939.282276013455</v>
      </c>
      <c r="P157" s="15" t="n">
        <f aca="false">O157/parametros_recargas!$B$6</f>
        <v>6.2618818400897</v>
      </c>
    </row>
    <row r="158" customFormat="false" ht="15" hidden="false" customHeight="false" outlineLevel="0" collapsed="false">
      <c r="A158" s="12" t="str">
        <f aca="false">parametros_recargas!$B$100</f>
        <v>PH de mangueras (CO₂ y rodantes)</v>
      </c>
      <c r="B158" s="25" t="n">
        <f aca="false">'Plan mensual'!D157</f>
        <v>332.736831046909</v>
      </c>
      <c r="C158" s="25" t="n">
        <f aca="false">'Plan mensual'!E157</f>
        <v>340.587243022461</v>
      </c>
      <c r="D158" s="25" t="n">
        <f aca="false">'Plan mensual'!F157</f>
        <v>348.641958838854</v>
      </c>
      <c r="E158" s="25" t="n">
        <f aca="false">'Plan mensual'!G157</f>
        <v>356.906295422067</v>
      </c>
      <c r="F158" s="25" t="n">
        <f aca="false">'Plan mensual'!H157</f>
        <v>365.385708068958</v>
      </c>
      <c r="G158" s="25" t="n">
        <f aca="false">'Plan mensual'!I157</f>
        <v>374.085794048309</v>
      </c>
      <c r="H158" s="25" t="n">
        <f aca="false">'Plan mensual'!J157</f>
        <v>383.012296295591</v>
      </c>
      <c r="I158" s="25" t="n">
        <f aca="false">'Plan mensual'!K157</f>
        <v>392.17110720388</v>
      </c>
      <c r="J158" s="25" t="n">
        <f aca="false">'Plan mensual'!L157</f>
        <v>401.568272513431</v>
      </c>
      <c r="K158" s="25" t="n">
        <f aca="false">'Plan mensual'!M157</f>
        <v>411.20999530248</v>
      </c>
      <c r="L158" s="25" t="n">
        <f aca="false">'Plan mensual'!N157</f>
        <v>421.102640081898</v>
      </c>
      <c r="M158" s="25" t="n">
        <f aca="false">'Plan mensual'!O157</f>
        <v>431.252736996414</v>
      </c>
      <c r="N158" s="7" t="n">
        <f aca="false">SUM(B158:M158)</f>
        <v>4558.66087884125</v>
      </c>
      <c r="O158" s="26" t="n">
        <f aca="false">MAX(B158:M158)</f>
        <v>431.252736996414</v>
      </c>
      <c r="P158" s="15" t="n">
        <f aca="false">O158/parametros_recargas!$B$6</f>
        <v>2.87501824664276</v>
      </c>
    </row>
    <row r="161" customFormat="false" ht="23.85" hidden="false" customHeight="false" outlineLevel="0" collapsed="false">
      <c r="A161" s="3" t="s">
        <v>284</v>
      </c>
      <c r="B161" s="3" t="s">
        <v>124</v>
      </c>
      <c r="C161" s="3" t="s">
        <v>125</v>
      </c>
      <c r="D161" s="3" t="s">
        <v>126</v>
      </c>
      <c r="E161" s="3" t="s">
        <v>127</v>
      </c>
      <c r="F161" s="3" t="s">
        <v>128</v>
      </c>
      <c r="G161" s="3" t="s">
        <v>129</v>
      </c>
      <c r="H161" s="3" t="s">
        <v>130</v>
      </c>
      <c r="I161" s="3" t="s">
        <v>131</v>
      </c>
      <c r="J161" s="3" t="s">
        <v>132</v>
      </c>
      <c r="K161" s="3" t="s">
        <v>133</v>
      </c>
      <c r="L161" s="3" t="s">
        <v>134</v>
      </c>
      <c r="M161" s="3" t="s">
        <v>135</v>
      </c>
      <c r="N161" s="3" t="s">
        <v>277</v>
      </c>
      <c r="O161" s="3" t="s">
        <v>278</v>
      </c>
      <c r="P161" s="3" t="s">
        <v>279</v>
      </c>
    </row>
    <row r="162" customFormat="false" ht="15" hidden="false" customHeight="false" outlineLevel="0" collapsed="false">
      <c r="A162" s="12" t="str">
        <f aca="false">parametros_recargas!$B$72</f>
        <v>Recepción y registro</v>
      </c>
      <c r="B162" s="25" t="n">
        <f aca="false">parametros_recargas!$E$72*'Plan mensual'!D181+parametros_recargas!$F$72*'Plan mensual'!D182+parametros_recargas!$G$72*'Plan mensual'!D183+parametros_recargas!$H$72*'Plan mensual'!D184+parametros_recargas!$I$72*'Plan mensual'!D185+parametros_recargas!$J$72*'Plan mensual'!D186+parametros_recargas!$K$72*'Plan mensual'!D187+parametros_recargas!$L$72*'Plan mensual'!D188</f>
        <v>13214.8866044405</v>
      </c>
      <c r="C162" s="25" t="n">
        <f aca="false">parametros_recargas!$E$72*'Plan mensual'!E181+parametros_recargas!$F$72*'Plan mensual'!E182+parametros_recargas!$G$72*'Plan mensual'!E183+parametros_recargas!$H$72*'Plan mensual'!E184+parametros_recargas!$I$72*'Plan mensual'!E185+parametros_recargas!$J$72*'Plan mensual'!E186+parametros_recargas!$K$72*'Plan mensual'!E187+parametros_recargas!$L$72*'Plan mensual'!E188</f>
        <v>13444.0930899704</v>
      </c>
      <c r="D162" s="25" t="n">
        <f aca="false">parametros_recargas!$E$72*'Plan mensual'!F181+parametros_recargas!$F$72*'Plan mensual'!F182+parametros_recargas!$G$72*'Plan mensual'!F183+parametros_recargas!$H$72*'Plan mensual'!F184+parametros_recargas!$I$72*'Plan mensual'!F185+parametros_recargas!$J$72*'Plan mensual'!F186+parametros_recargas!$K$72*'Plan mensual'!F187+parametros_recargas!$L$72*'Plan mensual'!F188</f>
        <v>13677.476233021</v>
      </c>
      <c r="E162" s="25" t="n">
        <f aca="false">parametros_recargas!$E$72*'Plan mensual'!G181+parametros_recargas!$F$72*'Plan mensual'!G182+parametros_recargas!$G$72*'Plan mensual'!G183+parametros_recargas!$H$72*'Plan mensual'!G184+parametros_recargas!$I$72*'Plan mensual'!G185+parametros_recargas!$J$72*'Plan mensual'!G186+parametros_recargas!$K$72*'Plan mensual'!G187+parametros_recargas!$L$72*'Plan mensual'!G188</f>
        <v>13915.1121416832</v>
      </c>
      <c r="F162" s="25" t="n">
        <f aca="false">parametros_recargas!$E$72*'Plan mensual'!H181+parametros_recargas!$F$72*'Plan mensual'!H182+parametros_recargas!$G$72*'Plan mensual'!H183+parametros_recargas!$H$72*'Plan mensual'!H184+parametros_recargas!$I$72*'Plan mensual'!H185+parametros_recargas!$J$72*'Plan mensual'!H186+parametros_recargas!$K$72*'Plan mensual'!H187+parametros_recargas!$L$72*'Plan mensual'!H188</f>
        <v>14157.0783109084</v>
      </c>
      <c r="G162" s="25" t="n">
        <f aca="false">parametros_recargas!$E$72*'Plan mensual'!I181+parametros_recargas!$F$72*'Plan mensual'!I182+parametros_recargas!$G$72*'Plan mensual'!I183+parametros_recargas!$H$72*'Plan mensual'!I184+parametros_recargas!$I$72*'Plan mensual'!I185+parametros_recargas!$J$72*'Plan mensual'!I186+parametros_recargas!$K$72*'Plan mensual'!I187+parametros_recargas!$L$72*'Plan mensual'!I188</f>
        <v>14403.4536477804</v>
      </c>
      <c r="H162" s="25" t="n">
        <f aca="false">parametros_recargas!$E$72*'Plan mensual'!J181+parametros_recargas!$F$72*'Plan mensual'!J182+parametros_recargas!$G$72*'Plan mensual'!J183+parametros_recargas!$H$72*'Plan mensual'!J184+parametros_recargas!$I$72*'Plan mensual'!J185+parametros_recargas!$J$72*'Plan mensual'!J186+parametros_recargas!$K$72*'Plan mensual'!J187+parametros_recargas!$L$72*'Plan mensual'!J188</f>
        <v>14654.3184972474</v>
      </c>
      <c r="I162" s="25" t="n">
        <f aca="false">parametros_recargas!$E$72*'Plan mensual'!K181+parametros_recargas!$F$72*'Plan mensual'!K182+parametros_recargas!$G$72*'Plan mensual'!K183+parametros_recargas!$H$72*'Plan mensual'!K184+parametros_recargas!$I$72*'Plan mensual'!K185+parametros_recargas!$J$72*'Plan mensual'!K186+parametros_recargas!$K$72*'Plan mensual'!K187+parametros_recargas!$L$72*'Plan mensual'!K188</f>
        <v>14909.7546683233</v>
      </c>
      <c r="J162" s="25" t="n">
        <f aca="false">parametros_recargas!$E$72*'Plan mensual'!L181+parametros_recargas!$F$72*'Plan mensual'!L182+parametros_recargas!$G$72*'Plan mensual'!L183+parametros_recargas!$H$72*'Plan mensual'!L184+parametros_recargas!$I$72*'Plan mensual'!L185+parametros_recargas!$J$72*'Plan mensual'!L186+parametros_recargas!$K$72*'Plan mensual'!L187+parametros_recargas!$L$72*'Plan mensual'!L188</f>
        <v>15169.8454607661</v>
      </c>
      <c r="K162" s="25" t="n">
        <f aca="false">parametros_recargas!$E$72*'Plan mensual'!M181+parametros_recargas!$F$72*'Plan mensual'!M182+parametros_recargas!$G$72*'Plan mensual'!M183+parametros_recargas!$H$72*'Plan mensual'!M184+parametros_recargas!$I$72*'Plan mensual'!M185+parametros_recargas!$J$72*'Plan mensual'!M186+parametros_recargas!$K$72*'Plan mensual'!M187+parametros_recargas!$L$72*'Plan mensual'!M188</f>
        <v>15434.6756922425</v>
      </c>
      <c r="L162" s="25" t="n">
        <f aca="false">parametros_recargas!$E$72*'Plan mensual'!N181+parametros_recargas!$F$72*'Plan mensual'!N182+parametros_recargas!$G$72*'Plan mensual'!N183+parametros_recargas!$H$72*'Plan mensual'!N184+parametros_recargas!$I$72*'Plan mensual'!N185+parametros_recargas!$J$72*'Plan mensual'!N186+parametros_recargas!$K$72*'Plan mensual'!N187+parametros_recargas!$L$72*'Plan mensual'!N188</f>
        <v>15704.3317259882</v>
      </c>
      <c r="M162" s="25" t="n">
        <f aca="false">parametros_recargas!$E$72*'Plan mensual'!O181+parametros_recargas!$F$72*'Plan mensual'!O182+parametros_recargas!$G$72*'Plan mensual'!O183+parametros_recargas!$H$72*'Plan mensual'!O184+parametros_recargas!$I$72*'Plan mensual'!O185+parametros_recargas!$J$72*'Plan mensual'!O186+parametros_recargas!$K$72*'Plan mensual'!O187+parametros_recargas!$L$72*'Plan mensual'!O188</f>
        <v>15978.9014989709</v>
      </c>
      <c r="N162" s="7" t="n">
        <f aca="false">SUM(B162:M162)</f>
        <v>174663.927571342</v>
      </c>
      <c r="O162" s="26" t="n">
        <f aca="false">MAX(B162:M162)</f>
        <v>15978.9014989709</v>
      </c>
      <c r="P162" s="15" t="n">
        <f aca="false">O162/parametros_recargas!$B$6</f>
        <v>106.52600999314</v>
      </c>
    </row>
    <row r="163" customFormat="false" ht="15" hidden="false" customHeight="false" outlineLevel="0" collapsed="false">
      <c r="A163" s="12" t="str">
        <f aca="false">parametros_recargas!$B$73</f>
        <v>Inspección visual</v>
      </c>
      <c r="B163" s="25" t="n">
        <f aca="false">parametros_recargas!$E$73*'Plan mensual'!D181+parametros_recargas!$F$73*'Plan mensual'!D182+parametros_recargas!$G$73*'Plan mensual'!D183+parametros_recargas!$H$73*'Plan mensual'!D184+parametros_recargas!$I$73*'Plan mensual'!D185+parametros_recargas!$J$73*'Plan mensual'!D186+parametros_recargas!$K$73*'Plan mensual'!D187+parametros_recargas!$L$73*'Plan mensual'!D188</f>
        <v>13214.8866044405</v>
      </c>
      <c r="C163" s="25" t="n">
        <f aca="false">parametros_recargas!$E$73*'Plan mensual'!E181+parametros_recargas!$F$73*'Plan mensual'!E182+parametros_recargas!$G$73*'Plan mensual'!E183+parametros_recargas!$H$73*'Plan mensual'!E184+parametros_recargas!$I$73*'Plan mensual'!E185+parametros_recargas!$J$73*'Plan mensual'!E186+parametros_recargas!$K$73*'Plan mensual'!E187+parametros_recargas!$L$73*'Plan mensual'!E188</f>
        <v>13444.0930899704</v>
      </c>
      <c r="D163" s="25" t="n">
        <f aca="false">parametros_recargas!$E$73*'Plan mensual'!F181+parametros_recargas!$F$73*'Plan mensual'!F182+parametros_recargas!$G$73*'Plan mensual'!F183+parametros_recargas!$H$73*'Plan mensual'!F184+parametros_recargas!$I$73*'Plan mensual'!F185+parametros_recargas!$J$73*'Plan mensual'!F186+parametros_recargas!$K$73*'Plan mensual'!F187+parametros_recargas!$L$73*'Plan mensual'!F188</f>
        <v>13677.476233021</v>
      </c>
      <c r="E163" s="25" t="n">
        <f aca="false">parametros_recargas!$E$73*'Plan mensual'!G181+parametros_recargas!$F$73*'Plan mensual'!G182+parametros_recargas!$G$73*'Plan mensual'!G183+parametros_recargas!$H$73*'Plan mensual'!G184+parametros_recargas!$I$73*'Plan mensual'!G185+parametros_recargas!$J$73*'Plan mensual'!G186+parametros_recargas!$K$73*'Plan mensual'!G187+parametros_recargas!$L$73*'Plan mensual'!G188</f>
        <v>13915.1121416832</v>
      </c>
      <c r="F163" s="25" t="n">
        <f aca="false">parametros_recargas!$E$73*'Plan mensual'!H181+parametros_recargas!$F$73*'Plan mensual'!H182+parametros_recargas!$G$73*'Plan mensual'!H183+parametros_recargas!$H$73*'Plan mensual'!H184+parametros_recargas!$I$73*'Plan mensual'!H185+parametros_recargas!$J$73*'Plan mensual'!H186+parametros_recargas!$K$73*'Plan mensual'!H187+parametros_recargas!$L$73*'Plan mensual'!H188</f>
        <v>14157.0783109084</v>
      </c>
      <c r="G163" s="25" t="n">
        <f aca="false">parametros_recargas!$E$73*'Plan mensual'!I181+parametros_recargas!$F$73*'Plan mensual'!I182+parametros_recargas!$G$73*'Plan mensual'!I183+parametros_recargas!$H$73*'Plan mensual'!I184+parametros_recargas!$I$73*'Plan mensual'!I185+parametros_recargas!$J$73*'Plan mensual'!I186+parametros_recargas!$K$73*'Plan mensual'!I187+parametros_recargas!$L$73*'Plan mensual'!I188</f>
        <v>14403.4536477804</v>
      </c>
      <c r="H163" s="25" t="n">
        <f aca="false">parametros_recargas!$E$73*'Plan mensual'!J181+parametros_recargas!$F$73*'Plan mensual'!J182+parametros_recargas!$G$73*'Plan mensual'!J183+parametros_recargas!$H$73*'Plan mensual'!J184+parametros_recargas!$I$73*'Plan mensual'!J185+parametros_recargas!$J$73*'Plan mensual'!J186+parametros_recargas!$K$73*'Plan mensual'!J187+parametros_recargas!$L$73*'Plan mensual'!J188</f>
        <v>14654.3184972474</v>
      </c>
      <c r="I163" s="25" t="n">
        <f aca="false">parametros_recargas!$E$73*'Plan mensual'!K181+parametros_recargas!$F$73*'Plan mensual'!K182+parametros_recargas!$G$73*'Plan mensual'!K183+parametros_recargas!$H$73*'Plan mensual'!K184+parametros_recargas!$I$73*'Plan mensual'!K185+parametros_recargas!$J$73*'Plan mensual'!K186+parametros_recargas!$K$73*'Plan mensual'!K187+parametros_recargas!$L$73*'Plan mensual'!K188</f>
        <v>14909.7546683233</v>
      </c>
      <c r="J163" s="25" t="n">
        <f aca="false">parametros_recargas!$E$73*'Plan mensual'!L181+parametros_recargas!$F$73*'Plan mensual'!L182+parametros_recargas!$G$73*'Plan mensual'!L183+parametros_recargas!$H$73*'Plan mensual'!L184+parametros_recargas!$I$73*'Plan mensual'!L185+parametros_recargas!$J$73*'Plan mensual'!L186+parametros_recargas!$K$73*'Plan mensual'!L187+parametros_recargas!$L$73*'Plan mensual'!L188</f>
        <v>15169.8454607661</v>
      </c>
      <c r="K163" s="25" t="n">
        <f aca="false">parametros_recargas!$E$73*'Plan mensual'!M181+parametros_recargas!$F$73*'Plan mensual'!M182+parametros_recargas!$G$73*'Plan mensual'!M183+parametros_recargas!$H$73*'Plan mensual'!M184+parametros_recargas!$I$73*'Plan mensual'!M185+parametros_recargas!$J$73*'Plan mensual'!M186+parametros_recargas!$K$73*'Plan mensual'!M187+parametros_recargas!$L$73*'Plan mensual'!M188</f>
        <v>15434.6756922425</v>
      </c>
      <c r="L163" s="25" t="n">
        <f aca="false">parametros_recargas!$E$73*'Plan mensual'!N181+parametros_recargas!$F$73*'Plan mensual'!N182+parametros_recargas!$G$73*'Plan mensual'!N183+parametros_recargas!$H$73*'Plan mensual'!N184+parametros_recargas!$I$73*'Plan mensual'!N185+parametros_recargas!$J$73*'Plan mensual'!N186+parametros_recargas!$K$73*'Plan mensual'!N187+parametros_recargas!$L$73*'Plan mensual'!N188</f>
        <v>15704.3317259882</v>
      </c>
      <c r="M163" s="25" t="n">
        <f aca="false">parametros_recargas!$E$73*'Plan mensual'!O181+parametros_recargas!$F$73*'Plan mensual'!O182+parametros_recargas!$G$73*'Plan mensual'!O183+parametros_recargas!$H$73*'Plan mensual'!O184+parametros_recargas!$I$73*'Plan mensual'!O185+parametros_recargas!$J$73*'Plan mensual'!O186+parametros_recargas!$K$73*'Plan mensual'!O187+parametros_recargas!$L$73*'Plan mensual'!O188</f>
        <v>15978.9014989709</v>
      </c>
      <c r="N163" s="7" t="n">
        <f aca="false">SUM(B163:M163)</f>
        <v>174663.927571342</v>
      </c>
      <c r="O163" s="26" t="n">
        <f aca="false">MAX(B163:M163)</f>
        <v>15978.9014989709</v>
      </c>
      <c r="P163" s="15" t="n">
        <f aca="false">O163/parametros_recargas!$B$6</f>
        <v>106.52600999314</v>
      </c>
    </row>
    <row r="164" customFormat="false" ht="15" hidden="false" customHeight="false" outlineLevel="0" collapsed="false">
      <c r="A164" s="12" t="str">
        <f aca="false">parametros_recargas!$B$74</f>
        <v>Descarga ABC — ruta recuperable</v>
      </c>
      <c r="B164" s="25" t="n">
        <f aca="false">parametros_recargas!$E$74*'Plan mensual'!D181+parametros_recargas!$F$74*'Plan mensual'!D182+parametros_recargas!$G$74*'Plan mensual'!D183+parametros_recargas!$H$74*'Plan mensual'!D184+parametros_recargas!$I$74*'Plan mensual'!D185+parametros_recargas!$J$74*'Plan mensual'!D186+parametros_recargas!$K$74*'Plan mensual'!D187+parametros_recargas!$L$74*'Plan mensual'!D188</f>
        <v>9702.82500320073</v>
      </c>
      <c r="C164" s="25" t="n">
        <f aca="false">parametros_recargas!$E$74*'Plan mensual'!E181+parametros_recargas!$F$74*'Plan mensual'!E182+parametros_recargas!$G$74*'Plan mensual'!E183+parametros_recargas!$H$74*'Plan mensual'!E184+parametros_recargas!$I$74*'Plan mensual'!E185+parametros_recargas!$J$74*'Plan mensual'!E186+parametros_recargas!$K$74*'Plan mensual'!E187+parametros_recargas!$L$74*'Plan mensual'!E188</f>
        <v>9871.92913904395</v>
      </c>
      <c r="D164" s="25" t="n">
        <f aca="false">parametros_recargas!$E$74*'Plan mensual'!F181+parametros_recargas!$F$74*'Plan mensual'!F182+parametros_recargas!$G$74*'Plan mensual'!F183+parametros_recargas!$H$74*'Plan mensual'!F184+parametros_recargas!$I$74*'Plan mensual'!F185+parametros_recargas!$J$74*'Plan mensual'!F186+parametros_recargas!$K$74*'Plan mensual'!F187+parametros_recargas!$L$74*'Plan mensual'!F188</f>
        <v>10044.1147324607</v>
      </c>
      <c r="E164" s="25" t="n">
        <f aca="false">parametros_recargas!$E$74*'Plan mensual'!G181+parametros_recargas!$F$74*'Plan mensual'!G182+parametros_recargas!$G$74*'Plan mensual'!G183+parametros_recargas!$H$74*'Plan mensual'!G184+parametros_recargas!$I$74*'Plan mensual'!G185+parametros_recargas!$J$74*'Plan mensual'!G186+parametros_recargas!$K$74*'Plan mensual'!G187+parametros_recargas!$L$74*'Plan mensual'!G188</f>
        <v>10219.4379345364</v>
      </c>
      <c r="F164" s="25" t="n">
        <f aca="false">parametros_recargas!$E$74*'Plan mensual'!H181+parametros_recargas!$F$74*'Plan mensual'!H182+parametros_recargas!$G$74*'Plan mensual'!H183+parametros_recargas!$H$74*'Plan mensual'!H184+parametros_recargas!$I$74*'Plan mensual'!H185+parametros_recargas!$J$74*'Plan mensual'!H186+parametros_recargas!$K$74*'Plan mensual'!H187+parametros_recargas!$L$74*'Plan mensual'!H188</f>
        <v>10397.9559195556</v>
      </c>
      <c r="G164" s="25" t="n">
        <f aca="false">parametros_recargas!$E$74*'Plan mensual'!I181+parametros_recargas!$F$74*'Plan mensual'!I182+parametros_recargas!$G$74*'Plan mensual'!I183+parametros_recargas!$H$74*'Plan mensual'!I184+parametros_recargas!$I$74*'Plan mensual'!I185+parametros_recargas!$J$74*'Plan mensual'!I186+parametros_recargas!$K$74*'Plan mensual'!I187+parametros_recargas!$L$74*'Plan mensual'!I188</f>
        <v>10579.7269036467</v>
      </c>
      <c r="H164" s="25" t="n">
        <f aca="false">parametros_recargas!$E$74*'Plan mensual'!J181+parametros_recargas!$F$74*'Plan mensual'!J182+parametros_recargas!$G$74*'Plan mensual'!J183+parametros_recargas!$H$74*'Plan mensual'!J184+parametros_recargas!$I$74*'Plan mensual'!J185+parametros_recargas!$J$74*'Plan mensual'!J186+parametros_recargas!$K$74*'Plan mensual'!J187+parametros_recargas!$L$74*'Plan mensual'!J188</f>
        <v>10764.8101637668</v>
      </c>
      <c r="I164" s="25" t="n">
        <f aca="false">parametros_recargas!$E$74*'Plan mensual'!K181+parametros_recargas!$F$74*'Plan mensual'!K182+parametros_recargas!$G$74*'Plan mensual'!K183+parametros_recargas!$H$74*'Plan mensual'!K184+parametros_recargas!$I$74*'Plan mensual'!K185+parametros_recargas!$J$74*'Plan mensual'!K186+parametros_recargas!$K$74*'Plan mensual'!K187+parametros_recargas!$L$74*'Plan mensual'!K188</f>
        <v>10953.2660570327</v>
      </c>
      <c r="J164" s="25" t="n">
        <f aca="false">parametros_recargas!$E$74*'Plan mensual'!L181+parametros_recargas!$F$74*'Plan mensual'!L182+parametros_recargas!$G$74*'Plan mensual'!L183+parametros_recargas!$H$74*'Plan mensual'!L184+parametros_recargas!$I$74*'Plan mensual'!L185+parametros_recargas!$J$74*'Plan mensual'!L186+parametros_recargas!$K$74*'Plan mensual'!L187+parametros_recargas!$L$74*'Plan mensual'!L188</f>
        <v>11145.1560404035</v>
      </c>
      <c r="K164" s="25" t="n">
        <f aca="false">parametros_recargas!$E$74*'Plan mensual'!M181+parametros_recargas!$F$74*'Plan mensual'!M182+parametros_recargas!$G$74*'Plan mensual'!M183+parametros_recargas!$H$74*'Plan mensual'!M184+parametros_recargas!$I$74*'Plan mensual'!M185+parametros_recargas!$J$74*'Plan mensual'!M186+parametros_recargas!$K$74*'Plan mensual'!M187+parametros_recargas!$L$74*'Plan mensual'!M188</f>
        <v>11340.5426907221</v>
      </c>
      <c r="L164" s="25" t="n">
        <f aca="false">parametros_recargas!$E$74*'Plan mensual'!N181+parametros_recargas!$F$74*'Plan mensual'!N182+parametros_recargas!$G$74*'Plan mensual'!N183+parametros_recargas!$H$74*'Plan mensual'!N184+parametros_recargas!$I$74*'Plan mensual'!N185+parametros_recargas!$J$74*'Plan mensual'!N186+parametros_recargas!$K$74*'Plan mensual'!N187+parametros_recargas!$L$74*'Plan mensual'!N188</f>
        <v>11539.4897251223</v>
      </c>
      <c r="M164" s="25" t="n">
        <f aca="false">parametros_recargas!$E$74*'Plan mensual'!O181+parametros_recargas!$F$74*'Plan mensual'!O182+parametros_recargas!$G$74*'Plan mensual'!O183+parametros_recargas!$H$74*'Plan mensual'!O184+parametros_recargas!$I$74*'Plan mensual'!O185+parametros_recargas!$J$74*'Plan mensual'!O186+parametros_recargas!$K$74*'Plan mensual'!O187+parametros_recargas!$L$74*'Plan mensual'!O188</f>
        <v>11742.0620218074</v>
      </c>
      <c r="N164" s="7" t="n">
        <f aca="false">SUM(B164:M164)</f>
        <v>128301.316331299</v>
      </c>
      <c r="O164" s="26" t="n">
        <f aca="false">MAX(B164:M164)</f>
        <v>11742.0620218074</v>
      </c>
      <c r="P164" s="15" t="n">
        <f aca="false">O164/parametros_recargas!$B$6</f>
        <v>78.280413478716</v>
      </c>
    </row>
    <row r="165" customFormat="false" ht="15" hidden="false" customHeight="false" outlineLevel="0" collapsed="false">
      <c r="A165" s="12" t="str">
        <f aca="false">parametros_recargas!$B$75</f>
        <v>Descarga ABC — ruta descarte</v>
      </c>
      <c r="B165" s="25" t="n">
        <f aca="false">parametros_recargas!$E$75*'Plan mensual'!D181+parametros_recargas!$F$75*'Plan mensual'!D182+parametros_recargas!$G$75*'Plan mensual'!D183+parametros_recargas!$H$75*'Plan mensual'!D184+parametros_recargas!$I$75*'Plan mensual'!D185+parametros_recargas!$J$75*'Plan mensual'!D186+parametros_recargas!$K$75*'Plan mensual'!D187+parametros_recargas!$L$75*'Plan mensual'!D188</f>
        <v>1141.50882390597</v>
      </c>
      <c r="C165" s="25" t="n">
        <f aca="false">parametros_recargas!$E$75*'Plan mensual'!E181+parametros_recargas!$F$75*'Plan mensual'!E182+parametros_recargas!$G$75*'Plan mensual'!E183+parametros_recargas!$H$75*'Plan mensual'!E184+parametros_recargas!$I$75*'Plan mensual'!E185+parametros_recargas!$J$75*'Plan mensual'!E186+parametros_recargas!$K$75*'Plan mensual'!E187+parametros_recargas!$L$75*'Plan mensual'!E188</f>
        <v>1161.40342812282</v>
      </c>
      <c r="D165" s="25" t="n">
        <f aca="false">parametros_recargas!$E$75*'Plan mensual'!F181+parametros_recargas!$F$75*'Plan mensual'!F182+parametros_recargas!$G$75*'Plan mensual'!F183+parametros_recargas!$H$75*'Plan mensual'!F184+parametros_recargas!$I$75*'Plan mensual'!F185+parametros_recargas!$J$75*'Plan mensual'!F186+parametros_recargas!$K$75*'Plan mensual'!F187+parametros_recargas!$L$75*'Plan mensual'!F188</f>
        <v>1181.66055676008</v>
      </c>
      <c r="E165" s="25" t="n">
        <f aca="false">parametros_recargas!$E$75*'Plan mensual'!G181+parametros_recargas!$F$75*'Plan mensual'!G182+parametros_recargas!$G$75*'Plan mensual'!G183+parametros_recargas!$H$75*'Plan mensual'!G184+parametros_recargas!$I$75*'Plan mensual'!G185+parametros_recargas!$J$75*'Plan mensual'!G186+parametros_recargas!$K$75*'Plan mensual'!G187+parametros_recargas!$L$75*'Plan mensual'!G188</f>
        <v>1202.28681582782</v>
      </c>
      <c r="F165" s="25" t="n">
        <f aca="false">parametros_recargas!$E$75*'Plan mensual'!H181+parametros_recargas!$F$75*'Plan mensual'!H182+parametros_recargas!$G$75*'Plan mensual'!H183+parametros_recargas!$H$75*'Plan mensual'!H184+parametros_recargas!$I$75*'Plan mensual'!H185+parametros_recargas!$J$75*'Plan mensual'!H186+parametros_recargas!$K$75*'Plan mensual'!H187+parametros_recargas!$L$75*'Plan mensual'!H188</f>
        <v>1223.28893171242</v>
      </c>
      <c r="G165" s="25" t="n">
        <f aca="false">parametros_recargas!$E$75*'Plan mensual'!I181+parametros_recargas!$F$75*'Plan mensual'!I182+parametros_recargas!$G$75*'Plan mensual'!I183+parametros_recargas!$H$75*'Plan mensual'!I184+parametros_recargas!$I$75*'Plan mensual'!I185+parametros_recargas!$J$75*'Plan mensual'!I186+parametros_recargas!$K$75*'Plan mensual'!I187+parametros_recargas!$L$75*'Plan mensual'!I188</f>
        <v>1244.67375337019</v>
      </c>
      <c r="H165" s="25" t="n">
        <f aca="false">parametros_recargas!$E$75*'Plan mensual'!J181+parametros_recargas!$F$75*'Plan mensual'!J182+parametros_recargas!$G$75*'Plan mensual'!J183+parametros_recargas!$H$75*'Plan mensual'!J184+parametros_recargas!$I$75*'Plan mensual'!J185+parametros_recargas!$J$75*'Plan mensual'!J186+parametros_recargas!$K$75*'Plan mensual'!J187+parametros_recargas!$L$75*'Plan mensual'!J188</f>
        <v>1266.4482545608</v>
      </c>
      <c r="I165" s="25" t="n">
        <f aca="false">parametros_recargas!$E$75*'Plan mensual'!K181+parametros_recargas!$F$75*'Plan mensual'!K182+parametros_recargas!$G$75*'Plan mensual'!K183+parametros_recargas!$H$75*'Plan mensual'!K184+parametros_recargas!$I$75*'Plan mensual'!K185+parametros_recargas!$J$75*'Plan mensual'!K186+parametros_recargas!$K$75*'Plan mensual'!K187+parametros_recargas!$L$75*'Plan mensual'!K188</f>
        <v>1288.6195361215</v>
      </c>
      <c r="J165" s="25" t="n">
        <f aca="false">parametros_recargas!$E$75*'Plan mensual'!L181+parametros_recargas!$F$75*'Plan mensual'!L182+parametros_recargas!$G$75*'Plan mensual'!L183+parametros_recargas!$H$75*'Plan mensual'!L184+parametros_recargas!$I$75*'Plan mensual'!L185+parametros_recargas!$J$75*'Plan mensual'!L186+parametros_recargas!$K$75*'Plan mensual'!L187+parametros_recargas!$L$75*'Plan mensual'!L188</f>
        <v>1311.19482828277</v>
      </c>
      <c r="K165" s="25" t="n">
        <f aca="false">parametros_recargas!$E$75*'Plan mensual'!M181+parametros_recargas!$F$75*'Plan mensual'!M182+parametros_recargas!$G$75*'Plan mensual'!M183+parametros_recargas!$H$75*'Plan mensual'!M184+parametros_recargas!$I$75*'Plan mensual'!M185+parametros_recargas!$J$75*'Plan mensual'!M186+parametros_recargas!$K$75*'Plan mensual'!M187+parametros_recargas!$L$75*'Plan mensual'!M188</f>
        <v>1334.18149302613</v>
      </c>
      <c r="L165" s="25" t="n">
        <f aca="false">parametros_recargas!$E$75*'Plan mensual'!N181+parametros_recargas!$F$75*'Plan mensual'!N182+parametros_recargas!$G$75*'Plan mensual'!N183+parametros_recargas!$H$75*'Plan mensual'!N184+parametros_recargas!$I$75*'Plan mensual'!N185+parametros_recargas!$J$75*'Plan mensual'!N186+parametros_recargas!$K$75*'Plan mensual'!N187+parametros_recargas!$L$75*'Plan mensual'!N188</f>
        <v>1357.58702648498</v>
      </c>
      <c r="M165" s="25" t="n">
        <f aca="false">parametros_recargas!$E$75*'Plan mensual'!O181+parametros_recargas!$F$75*'Plan mensual'!O182+parametros_recargas!$G$75*'Plan mensual'!O183+parametros_recargas!$H$75*'Plan mensual'!O184+parametros_recargas!$I$75*'Plan mensual'!O185+parametros_recargas!$J$75*'Plan mensual'!O186+parametros_recargas!$K$75*'Plan mensual'!O187+parametros_recargas!$L$75*'Plan mensual'!O188</f>
        <v>1381.41906138911</v>
      </c>
      <c r="N165" s="7" t="n">
        <f aca="false">SUM(B165:M165)</f>
        <v>15094.2725095646</v>
      </c>
      <c r="O165" s="26" t="n">
        <f aca="false">MAX(B165:M165)</f>
        <v>1381.41906138911</v>
      </c>
      <c r="P165" s="15" t="n">
        <f aca="false">O165/parametros_recargas!$B$6</f>
        <v>9.2094604092607</v>
      </c>
    </row>
    <row r="166" customFormat="false" ht="15" hidden="false" customHeight="false" outlineLevel="0" collapsed="false">
      <c r="A166" s="12" t="str">
        <f aca="false">parametros_recargas!$B$76</f>
        <v>Descarga BC</v>
      </c>
      <c r="B166" s="25" t="n">
        <f aca="false">parametros_recargas!$E$76*'Plan mensual'!D181+parametros_recargas!$F$76*'Plan mensual'!D182+parametros_recargas!$G$76*'Plan mensual'!D183+parametros_recargas!$H$76*'Plan mensual'!D184+parametros_recargas!$I$76*'Plan mensual'!D185+parametros_recargas!$J$76*'Plan mensual'!D186+parametros_recargas!$K$76*'Plan mensual'!D187+parametros_recargas!$L$76*'Plan mensual'!D188</f>
        <v>17.3946551922531</v>
      </c>
      <c r="C166" s="25" t="n">
        <f aca="false">parametros_recargas!$E$76*'Plan mensual'!E181+parametros_recargas!$F$76*'Plan mensual'!E182+parametros_recargas!$G$76*'Plan mensual'!E183+parametros_recargas!$H$76*'Plan mensual'!E184+parametros_recargas!$I$76*'Plan mensual'!E185+parametros_recargas!$J$76*'Plan mensual'!E186+parametros_recargas!$K$76*'Plan mensual'!E187+parametros_recargas!$L$76*'Plan mensual'!E188</f>
        <v>17.6797359857372</v>
      </c>
      <c r="D166" s="25" t="n">
        <f aca="false">parametros_recargas!$E$76*'Plan mensual'!F181+parametros_recargas!$F$76*'Plan mensual'!F182+parametros_recargas!$G$76*'Plan mensual'!F183+parametros_recargas!$H$76*'Plan mensual'!F184+parametros_recargas!$I$76*'Plan mensual'!F185+parametros_recargas!$J$76*'Plan mensual'!F186+parametros_recargas!$K$76*'Plan mensual'!F187+parametros_recargas!$L$76*'Plan mensual'!F188</f>
        <v>17.9700115922622</v>
      </c>
      <c r="E166" s="25" t="n">
        <f aca="false">parametros_recargas!$E$76*'Plan mensual'!G181+parametros_recargas!$F$76*'Plan mensual'!G182+parametros_recargas!$G$76*'Plan mensual'!G183+parametros_recargas!$H$76*'Plan mensual'!G184+parametros_recargas!$I$76*'Plan mensual'!G185+parametros_recargas!$J$76*'Plan mensual'!G186+parametros_recargas!$K$76*'Plan mensual'!G187+parametros_recargas!$L$76*'Plan mensual'!G188</f>
        <v>18.265576673002</v>
      </c>
      <c r="F166" s="25" t="n">
        <f aca="false">parametros_recargas!$E$76*'Plan mensual'!H181+parametros_recargas!$F$76*'Plan mensual'!H182+parametros_recargas!$G$76*'Plan mensual'!H183+parametros_recargas!$H$76*'Plan mensual'!H184+parametros_recargas!$I$76*'Plan mensual'!H185+parametros_recargas!$J$76*'Plan mensual'!H186+parametros_recargas!$K$76*'Plan mensual'!H187+parametros_recargas!$L$76*'Plan mensual'!H188</f>
        <v>18.5665276140696</v>
      </c>
      <c r="G166" s="25" t="n">
        <f aca="false">parametros_recargas!$E$76*'Plan mensual'!I181+parametros_recargas!$F$76*'Plan mensual'!I182+parametros_recargas!$G$76*'Plan mensual'!I183+parametros_recargas!$H$76*'Plan mensual'!I184+parametros_recargas!$I$76*'Plan mensual'!I185+parametros_recargas!$J$76*'Plan mensual'!I186+parametros_recargas!$K$76*'Plan mensual'!I187+parametros_recargas!$L$76*'Plan mensual'!I188</f>
        <v>18.87296255795</v>
      </c>
      <c r="H166" s="25" t="n">
        <f aca="false">parametros_recargas!$E$76*'Plan mensual'!J181+parametros_recargas!$F$76*'Plan mensual'!J182+parametros_recargas!$G$76*'Plan mensual'!J183+parametros_recargas!$H$76*'Plan mensual'!J184+parametros_recargas!$I$76*'Plan mensual'!J185+parametros_recargas!$J$76*'Plan mensual'!J186+parametros_recargas!$K$76*'Plan mensual'!J187+parametros_recargas!$L$76*'Plan mensual'!J188</f>
        <v>19.1849814355048</v>
      </c>
      <c r="I166" s="25" t="n">
        <f aca="false">parametros_recargas!$E$76*'Plan mensual'!K181+parametros_recargas!$F$76*'Plan mensual'!K182+parametros_recargas!$G$76*'Plan mensual'!K183+parametros_recargas!$H$76*'Plan mensual'!K184+parametros_recargas!$I$76*'Plan mensual'!K185+parametros_recargas!$J$76*'Plan mensual'!K186+parametros_recargas!$K$76*'Plan mensual'!K187+parametros_recargas!$L$76*'Plan mensual'!K188</f>
        <v>19.5026859985607</v>
      </c>
      <c r="J166" s="25" t="n">
        <f aca="false">parametros_recargas!$E$76*'Plan mensual'!L181+parametros_recargas!$F$76*'Plan mensual'!L182+parametros_recargas!$G$76*'Plan mensual'!L183+parametros_recargas!$H$76*'Plan mensual'!L184+parametros_recargas!$I$76*'Plan mensual'!L185+parametros_recargas!$J$76*'Plan mensual'!L186+parametros_recargas!$K$76*'Plan mensual'!L187+parametros_recargas!$L$76*'Plan mensual'!L188</f>
        <v>19.8261798530913</v>
      </c>
      <c r="K166" s="25" t="n">
        <f aca="false">parametros_recargas!$E$76*'Plan mensual'!M181+parametros_recargas!$F$76*'Plan mensual'!M182+parametros_recargas!$G$76*'Plan mensual'!M183+parametros_recargas!$H$76*'Plan mensual'!M184+parametros_recargas!$I$76*'Plan mensual'!M185+parametros_recargas!$J$76*'Plan mensual'!M186+parametros_recargas!$K$76*'Plan mensual'!M187+parametros_recargas!$L$76*'Plan mensual'!M188</f>
        <v>20.1555684930041</v>
      </c>
      <c r="L166" s="25" t="n">
        <f aca="false">parametros_recargas!$E$76*'Plan mensual'!N181+parametros_recargas!$F$76*'Plan mensual'!N182+parametros_recargas!$G$76*'Plan mensual'!N183+parametros_recargas!$H$76*'Plan mensual'!N184+parametros_recargas!$I$76*'Plan mensual'!N185+parametros_recargas!$J$76*'Plan mensual'!N186+parametros_recargas!$K$76*'Plan mensual'!N187+parametros_recargas!$L$76*'Plan mensual'!N188</f>
        <v>20.4909593345428</v>
      </c>
      <c r="M166" s="25" t="n">
        <f aca="false">parametros_recargas!$E$76*'Plan mensual'!O181+parametros_recargas!$F$76*'Plan mensual'!O182+parametros_recargas!$G$76*'Plan mensual'!O183+parametros_recargas!$H$76*'Plan mensual'!O184+parametros_recargas!$I$76*'Plan mensual'!O185+parametros_recargas!$J$76*'Plan mensual'!O186+parametros_recargas!$K$76*'Plan mensual'!O187+parametros_recargas!$L$76*'Plan mensual'!O188</f>
        <v>20.8324617513164</v>
      </c>
      <c r="N166" s="7" t="n">
        <f aca="false">SUM(B166:M166)</f>
        <v>228.742306481294</v>
      </c>
      <c r="O166" s="26" t="n">
        <f aca="false">MAX(B166:M166)</f>
        <v>20.8324617513164</v>
      </c>
      <c r="P166" s="15" t="n">
        <f aca="false">O166/parametros_recargas!$B$6</f>
        <v>0.13888307834211</v>
      </c>
    </row>
    <row r="167" customFormat="false" ht="15" hidden="false" customHeight="false" outlineLevel="0" collapsed="false">
      <c r="A167" s="12" t="str">
        <f aca="false">parametros_recargas!$B$77</f>
        <v>Descarga de agua / AFFF / sales K</v>
      </c>
      <c r="B167" s="25" t="n">
        <f aca="false">parametros_recargas!$E$77*'Plan mensual'!D181+parametros_recargas!$F$77*'Plan mensual'!D182+parametros_recargas!$G$77*'Plan mensual'!D183+parametros_recargas!$H$77*'Plan mensual'!D184+parametros_recargas!$I$77*'Plan mensual'!D185+parametros_recargas!$J$77*'Plan mensual'!D186+parametros_recargas!$K$77*'Plan mensual'!D187+parametros_recargas!$L$77*'Plan mensual'!D188</f>
        <v>606.556468046928</v>
      </c>
      <c r="C167" s="25" t="n">
        <f aca="false">parametros_recargas!$E$77*'Plan mensual'!E181+parametros_recargas!$F$77*'Plan mensual'!E182+parametros_recargas!$G$77*'Plan mensual'!E183+parametros_recargas!$H$77*'Plan mensual'!E184+parametros_recargas!$I$77*'Plan mensual'!E185+parametros_recargas!$J$77*'Plan mensual'!E186+parametros_recargas!$K$77*'Plan mensual'!E187+parametros_recargas!$L$77*'Plan mensual'!E188</f>
        <v>616.754363537893</v>
      </c>
      <c r="D167" s="25" t="n">
        <f aca="false">parametros_recargas!$E$77*'Plan mensual'!F181+parametros_recargas!$F$77*'Plan mensual'!F182+parametros_recargas!$G$77*'Plan mensual'!F183+parametros_recargas!$H$77*'Plan mensual'!F184+parametros_recargas!$I$77*'Plan mensual'!F185+parametros_recargas!$J$77*'Plan mensual'!F186+parametros_recargas!$K$77*'Plan mensual'!F187+parametros_recargas!$L$77*'Plan mensual'!F188</f>
        <v>627.138087613937</v>
      </c>
      <c r="E167" s="25" t="n">
        <f aca="false">parametros_recargas!$E$77*'Plan mensual'!G181+parametros_recargas!$F$77*'Plan mensual'!G182+parametros_recargas!$G$77*'Plan mensual'!G183+parametros_recargas!$H$77*'Plan mensual'!G184+parametros_recargas!$I$77*'Plan mensual'!G185+parametros_recargas!$J$77*'Plan mensual'!G186+parametros_recargas!$K$77*'Plan mensual'!G187+parametros_recargas!$L$77*'Plan mensual'!G188</f>
        <v>637.711026489703</v>
      </c>
      <c r="F167" s="25" t="n">
        <f aca="false">parametros_recargas!$E$77*'Plan mensual'!H181+parametros_recargas!$F$77*'Plan mensual'!H182+parametros_recargas!$G$77*'Plan mensual'!H183+parametros_recargas!$H$77*'Plan mensual'!H184+parametros_recargas!$I$77*'Plan mensual'!H185+parametros_recargas!$J$77*'Plan mensual'!H186+parametros_recargas!$K$77*'Plan mensual'!H187+parametros_recargas!$L$77*'Plan mensual'!H188</f>
        <v>648.476628084278</v>
      </c>
      <c r="G167" s="25" t="n">
        <f aca="false">parametros_recargas!$E$77*'Plan mensual'!I181+parametros_recargas!$F$77*'Plan mensual'!I182+parametros_recargas!$G$77*'Plan mensual'!I183+parametros_recargas!$H$77*'Plan mensual'!I184+parametros_recargas!$I$77*'Plan mensual'!I185+parametros_recargas!$J$77*'Plan mensual'!I186+parametros_recargas!$K$77*'Plan mensual'!I187+parametros_recargas!$L$77*'Plan mensual'!I188</f>
        <v>659.438403145586</v>
      </c>
      <c r="H167" s="25" t="n">
        <f aca="false">parametros_recargas!$E$77*'Plan mensual'!J181+parametros_recargas!$F$77*'Plan mensual'!J182+parametros_recargas!$G$77*'Plan mensual'!J183+parametros_recargas!$H$77*'Plan mensual'!J184+parametros_recargas!$I$77*'Plan mensual'!J185+parametros_recargas!$J$77*'Plan mensual'!J186+parametros_recargas!$K$77*'Plan mensual'!J187+parametros_recargas!$L$77*'Plan mensual'!J188</f>
        <v>670.599926395274</v>
      </c>
      <c r="I167" s="25" t="n">
        <f aca="false">parametros_recargas!$E$77*'Plan mensual'!K181+parametros_recargas!$F$77*'Plan mensual'!K182+parametros_recargas!$G$77*'Plan mensual'!K183+parametros_recargas!$H$77*'Plan mensual'!K184+parametros_recargas!$I$77*'Plan mensual'!K185+parametros_recargas!$J$77*'Plan mensual'!K186+parametros_recargas!$K$77*'Plan mensual'!K187+parametros_recargas!$L$77*'Plan mensual'!K188</f>
        <v>681.964837694453</v>
      </c>
      <c r="J167" s="25" t="n">
        <f aca="false">parametros_recargas!$E$77*'Plan mensual'!L181+parametros_recargas!$F$77*'Plan mensual'!L182+parametros_recargas!$G$77*'Plan mensual'!L183+parametros_recargas!$H$77*'Plan mensual'!L184+parametros_recargas!$I$77*'Plan mensual'!L185+parametros_recargas!$J$77*'Plan mensual'!L186+parametros_recargas!$K$77*'Plan mensual'!L187+parametros_recargas!$L$77*'Plan mensual'!L188</f>
        <v>693.536843230688</v>
      </c>
      <c r="K167" s="25" t="n">
        <f aca="false">parametros_recargas!$E$77*'Plan mensual'!M181+parametros_recargas!$F$77*'Plan mensual'!M182+parametros_recargas!$G$77*'Plan mensual'!M183+parametros_recargas!$H$77*'Plan mensual'!M184+parametros_recargas!$I$77*'Plan mensual'!M185+parametros_recargas!$J$77*'Plan mensual'!M186+parametros_recargas!$K$77*'Plan mensual'!M187+parametros_recargas!$L$77*'Plan mensual'!M188</f>
        <v>705.319716726615</v>
      </c>
      <c r="L167" s="25" t="n">
        <f aca="false">parametros_recargas!$E$77*'Plan mensual'!N181+parametros_recargas!$F$77*'Plan mensual'!N182+parametros_recargas!$G$77*'Plan mensual'!N183+parametros_recargas!$H$77*'Plan mensual'!N184+parametros_recargas!$I$77*'Plan mensual'!N185+parametros_recargas!$J$77*'Plan mensual'!N186+parametros_recargas!$K$77*'Plan mensual'!N187+parametros_recargas!$L$77*'Plan mensual'!N188</f>
        <v>717.31730067058</v>
      </c>
      <c r="M167" s="25" t="n">
        <f aca="false">parametros_recargas!$E$77*'Plan mensual'!O181+parametros_recargas!$F$77*'Plan mensual'!O182+parametros_recargas!$G$77*'Plan mensual'!O183+parametros_recargas!$H$77*'Plan mensual'!O184+parametros_recargas!$I$77*'Plan mensual'!O185+parametros_recargas!$J$77*'Plan mensual'!O186+parametros_recargas!$K$77*'Plan mensual'!O187+parametros_recargas!$L$77*'Plan mensual'!O188</f>
        <v>729.533507569709</v>
      </c>
      <c r="N167" s="7" t="n">
        <f aca="false">SUM(B167:M167)</f>
        <v>7994.34710920564</v>
      </c>
      <c r="O167" s="26" t="n">
        <f aca="false">MAX(B167:M167)</f>
        <v>729.533507569709</v>
      </c>
      <c r="P167" s="15" t="n">
        <f aca="false">O167/parametros_recargas!$B$6</f>
        <v>4.86355671713139</v>
      </c>
    </row>
    <row r="168" customFormat="false" ht="15" hidden="false" customHeight="false" outlineLevel="0" collapsed="false">
      <c r="A168" s="12" t="str">
        <f aca="false">parametros_recargas!$B$78</f>
        <v>Recuperación de CO₂</v>
      </c>
      <c r="B168" s="25" t="n">
        <f aca="false">parametros_recargas!$E$78*'Plan mensual'!D181+parametros_recargas!$F$78*'Plan mensual'!D182+parametros_recargas!$G$78*'Plan mensual'!D183+parametros_recargas!$H$78*'Plan mensual'!D184+parametros_recargas!$I$78*'Plan mensual'!D185+parametros_recargas!$J$78*'Plan mensual'!D186+parametros_recargas!$K$78*'Plan mensual'!D187+parametros_recargas!$L$78*'Plan mensual'!D188</f>
        <v>279.17595327839</v>
      </c>
      <c r="C168" s="25" t="n">
        <f aca="false">parametros_recargas!$E$78*'Plan mensual'!E181+parametros_recargas!$F$78*'Plan mensual'!E182+parametros_recargas!$G$78*'Plan mensual'!E183+parametros_recargas!$H$78*'Plan mensual'!E184+parametros_recargas!$I$78*'Plan mensual'!E185+parametros_recargas!$J$78*'Plan mensual'!E186+parametros_recargas!$K$78*'Plan mensual'!E187+parametros_recargas!$L$78*'Plan mensual'!E188</f>
        <v>283.873666294012</v>
      </c>
      <c r="D168" s="25" t="n">
        <f aca="false">parametros_recargas!$E$78*'Plan mensual'!F181+parametros_recargas!$F$78*'Plan mensual'!F182+parametros_recargas!$G$78*'Plan mensual'!F183+parametros_recargas!$H$78*'Plan mensual'!F184+parametros_recargas!$I$78*'Plan mensual'!F185+parametros_recargas!$J$78*'Plan mensual'!F186+parametros_recargas!$K$78*'Plan mensual'!F187+parametros_recargas!$L$78*'Plan mensual'!F188</f>
        <v>288.656982203249</v>
      </c>
      <c r="E168" s="25" t="n">
        <f aca="false">parametros_recargas!$E$78*'Plan mensual'!G181+parametros_recargas!$F$78*'Plan mensual'!G182+parametros_recargas!$G$78*'Plan mensual'!G183+parametros_recargas!$H$78*'Plan mensual'!G184+parametros_recargas!$I$78*'Plan mensual'!G185+parametros_recargas!$J$78*'Plan mensual'!G186+parametros_recargas!$K$78*'Plan mensual'!G187+parametros_recargas!$L$78*'Plan mensual'!G188</f>
        <v>293.527460883293</v>
      </c>
      <c r="F168" s="25" t="n">
        <f aca="false">parametros_recargas!$E$78*'Plan mensual'!H181+parametros_recargas!$F$78*'Plan mensual'!H182+parametros_recargas!$G$78*'Plan mensual'!H183+parametros_recargas!$H$78*'Plan mensual'!H184+parametros_recargas!$I$78*'Plan mensual'!H185+parametros_recargas!$J$78*'Plan mensual'!H186+parametros_recargas!$K$78*'Plan mensual'!H187+parametros_recargas!$L$78*'Plan mensual'!H188</f>
        <v>298.486690635808</v>
      </c>
      <c r="G168" s="25" t="n">
        <f aca="false">parametros_recargas!$E$78*'Plan mensual'!I181+parametros_recargas!$F$78*'Plan mensual'!I182+parametros_recargas!$G$78*'Plan mensual'!I183+parametros_recargas!$H$78*'Plan mensual'!I184+parametros_recargas!$I$78*'Plan mensual'!I185+parametros_recargas!$J$78*'Plan mensual'!I186+parametros_recargas!$K$78*'Plan mensual'!I187+parametros_recargas!$L$78*'Plan mensual'!I188</f>
        <v>303.536288704885</v>
      </c>
      <c r="H168" s="25" t="n">
        <f aca="false">parametros_recargas!$E$78*'Plan mensual'!J181+parametros_recargas!$F$78*'Plan mensual'!J182+parametros_recargas!$G$78*'Plan mensual'!J183+parametros_recargas!$H$78*'Plan mensual'!J184+parametros_recargas!$I$78*'Plan mensual'!J185+parametros_recargas!$J$78*'Plan mensual'!J186+parametros_recargas!$K$78*'Plan mensual'!J187+parametros_recargas!$L$78*'Plan mensual'!J188</f>
        <v>308.677901804439</v>
      </c>
      <c r="I168" s="25" t="n">
        <f aca="false">parametros_recargas!$E$78*'Plan mensual'!K181+parametros_recargas!$F$78*'Plan mensual'!K182+parametros_recargas!$G$78*'Plan mensual'!K183+parametros_recargas!$H$78*'Plan mensual'!K184+parametros_recargas!$I$78*'Plan mensual'!K185+parametros_recargas!$J$78*'Plan mensual'!K186+parametros_recargas!$K$78*'Plan mensual'!K187+parametros_recargas!$L$78*'Plan mensual'!K188</f>
        <v>313.913206655214</v>
      </c>
      <c r="J168" s="25" t="n">
        <f aca="false">parametros_recargas!$E$78*'Plan mensual'!L181+parametros_recargas!$F$78*'Plan mensual'!L182+parametros_recargas!$G$78*'Plan mensual'!L183+parametros_recargas!$H$78*'Plan mensual'!L184+parametros_recargas!$I$78*'Plan mensual'!L185+parametros_recargas!$J$78*'Plan mensual'!L186+parametros_recargas!$K$78*'Plan mensual'!L187+parametros_recargas!$L$78*'Plan mensual'!L188</f>
        <v>319.243910531576</v>
      </c>
      <c r="K168" s="25" t="n">
        <f aca="false">parametros_recargas!$E$78*'Plan mensual'!M181+parametros_recargas!$F$78*'Plan mensual'!M182+parametros_recargas!$G$78*'Plan mensual'!M183+parametros_recargas!$H$78*'Plan mensual'!M184+parametros_recargas!$I$78*'Plan mensual'!M185+parametros_recargas!$J$78*'Plan mensual'!M186+parametros_recargas!$K$78*'Plan mensual'!M187+parametros_recargas!$L$78*'Plan mensual'!M188</f>
        <v>324.671751818269</v>
      </c>
      <c r="L168" s="25" t="n">
        <f aca="false">parametros_recargas!$E$78*'Plan mensual'!N181+parametros_recargas!$F$78*'Plan mensual'!N182+parametros_recargas!$G$78*'Plan mensual'!N183+parametros_recargas!$H$78*'Plan mensual'!N184+parametros_recargas!$I$78*'Plan mensual'!N185+parametros_recargas!$J$78*'Plan mensual'!N186+parametros_recargas!$K$78*'Plan mensual'!N187+parametros_recargas!$L$78*'Plan mensual'!N188</f>
        <v>330.198500577316</v>
      </c>
      <c r="M168" s="25" t="n">
        <f aca="false">parametros_recargas!$E$78*'Plan mensual'!O181+parametros_recargas!$F$78*'Plan mensual'!O182+parametros_recargas!$G$78*'Plan mensual'!O183+parametros_recargas!$H$78*'Plan mensual'!O184+parametros_recargas!$I$78*'Plan mensual'!O185+parametros_recargas!$J$78*'Plan mensual'!O186+parametros_recargas!$K$78*'Plan mensual'!O187+parametros_recargas!$L$78*'Plan mensual'!O188</f>
        <v>335.82595912525</v>
      </c>
      <c r="N168" s="7" t="n">
        <f aca="false">SUM(B168:M168)</f>
        <v>3679.7882725117</v>
      </c>
      <c r="O168" s="26" t="n">
        <f aca="false">MAX(B168:M168)</f>
        <v>335.82595912525</v>
      </c>
      <c r="P168" s="15" t="n">
        <f aca="false">O168/parametros_recargas!$B$6</f>
        <v>2.23883972750167</v>
      </c>
    </row>
    <row r="169" customFormat="false" ht="15" hidden="false" customHeight="false" outlineLevel="0" collapsed="false">
      <c r="A169" s="12" t="str">
        <f aca="false">parametros_recargas!$B$79</f>
        <v>Recuperación de halogenado</v>
      </c>
      <c r="B169" s="25" t="n">
        <f aca="false">parametros_recargas!$E$79*'Plan mensual'!D181+parametros_recargas!$F$79*'Plan mensual'!D182+parametros_recargas!$G$79*'Plan mensual'!D183+parametros_recargas!$H$79*'Plan mensual'!D184+parametros_recargas!$I$79*'Plan mensual'!D185+parametros_recargas!$J$79*'Plan mensual'!D186+parametros_recargas!$K$79*'Plan mensual'!D187+parametros_recargas!$L$79*'Plan mensual'!D188</f>
        <v>10.9626765438587</v>
      </c>
      <c r="C169" s="25" t="n">
        <f aca="false">parametros_recargas!$E$79*'Plan mensual'!E181+parametros_recargas!$F$79*'Plan mensual'!E182+parametros_recargas!$G$79*'Plan mensual'!E183+parametros_recargas!$H$79*'Plan mensual'!E184+parametros_recargas!$I$79*'Plan mensual'!E185+parametros_recargas!$J$79*'Plan mensual'!E186+parametros_recargas!$K$79*'Plan mensual'!E187+parametros_recargas!$L$79*'Plan mensual'!E188</f>
        <v>11.1468763220781</v>
      </c>
      <c r="D169" s="25" t="n">
        <f aca="false">parametros_recargas!$E$79*'Plan mensual'!F181+parametros_recargas!$F$79*'Plan mensual'!F182+parametros_recargas!$G$79*'Plan mensual'!F183+parametros_recargas!$H$79*'Plan mensual'!F184+parametros_recargas!$I$79*'Plan mensual'!F185+parametros_recargas!$J$79*'Plan mensual'!F186+parametros_recargas!$K$79*'Plan mensual'!F187+parametros_recargas!$L$79*'Plan mensual'!F188</f>
        <v>11.3344326344166</v>
      </c>
      <c r="E169" s="25" t="n">
        <f aca="false">parametros_recargas!$E$79*'Plan mensual'!G181+parametros_recargas!$F$79*'Plan mensual'!G182+parametros_recargas!$G$79*'Plan mensual'!G183+parametros_recargas!$H$79*'Plan mensual'!G184+parametros_recargas!$I$79*'Plan mensual'!G185+parametros_recargas!$J$79*'Plan mensual'!G186+parametros_recargas!$K$79*'Plan mensual'!G187+parametros_recargas!$L$79*'Plan mensual'!G188</f>
        <v>11.5254066444727</v>
      </c>
      <c r="F169" s="25" t="n">
        <f aca="false">parametros_recargas!$E$79*'Plan mensual'!H181+parametros_recargas!$F$79*'Plan mensual'!H182+parametros_recargas!$G$79*'Plan mensual'!H183+parametros_recargas!$H$79*'Plan mensual'!H184+parametros_recargas!$I$79*'Plan mensual'!H185+parametros_recargas!$J$79*'Plan mensual'!H186+parametros_recargas!$K$79*'Plan mensual'!H187+parametros_recargas!$L$79*'Plan mensual'!H188</f>
        <v>11.7198606303835</v>
      </c>
      <c r="G169" s="25" t="n">
        <f aca="false">parametros_recargas!$E$79*'Plan mensual'!I181+parametros_recargas!$F$79*'Plan mensual'!I182+parametros_recargas!$G$79*'Plan mensual'!I183+parametros_recargas!$H$79*'Plan mensual'!I184+parametros_recargas!$I$79*'Plan mensual'!I185+parametros_recargas!$J$79*'Plan mensual'!I186+parametros_recargas!$K$79*'Plan mensual'!I187+parametros_recargas!$L$79*'Plan mensual'!I188</f>
        <v>11.9178580051333</v>
      </c>
      <c r="H169" s="25" t="n">
        <f aca="false">parametros_recargas!$E$79*'Plan mensual'!J181+parametros_recargas!$F$79*'Plan mensual'!J182+parametros_recargas!$G$79*'Plan mensual'!J183+parametros_recargas!$H$79*'Plan mensual'!J184+parametros_recargas!$I$79*'Plan mensual'!J185+parametros_recargas!$J$79*'Plan mensual'!J186+parametros_recargas!$K$79*'Plan mensual'!J187+parametros_recargas!$L$79*'Plan mensual'!J188</f>
        <v>12.1194633372339</v>
      </c>
      <c r="I169" s="25" t="n">
        <f aca="false">parametros_recargas!$E$79*'Plan mensual'!K181+parametros_recargas!$F$79*'Plan mensual'!K182+parametros_recargas!$G$79*'Plan mensual'!K183+parametros_recargas!$H$79*'Plan mensual'!K184+parametros_recargas!$I$79*'Plan mensual'!K185+parametros_recargas!$J$79*'Plan mensual'!K186+parametros_recargas!$K$79*'Plan mensual'!K187+parametros_recargas!$L$79*'Plan mensual'!K188</f>
        <v>12.3247423717804</v>
      </c>
      <c r="J169" s="25" t="n">
        <f aca="false">parametros_recargas!$E$79*'Plan mensual'!L181+parametros_recargas!$F$79*'Plan mensual'!L182+parametros_recargas!$G$79*'Plan mensual'!L183+parametros_recargas!$H$79*'Plan mensual'!L184+parametros_recargas!$I$79*'Plan mensual'!L185+parametros_recargas!$J$79*'Plan mensual'!L186+parametros_recargas!$K$79*'Plan mensual'!L187+parametros_recargas!$L$79*'Plan mensual'!L188</f>
        <v>12.5337620518915</v>
      </c>
      <c r="K169" s="25" t="n">
        <f aca="false">parametros_recargas!$E$79*'Plan mensual'!M181+parametros_recargas!$F$79*'Plan mensual'!M182+parametros_recargas!$G$79*'Plan mensual'!M183+parametros_recargas!$H$79*'Plan mensual'!M184+parametros_recargas!$I$79*'Plan mensual'!M185+parametros_recargas!$J$79*'Plan mensual'!M186+parametros_recargas!$K$79*'Plan mensual'!M187+parametros_recargas!$L$79*'Plan mensual'!M188</f>
        <v>12.74659054054</v>
      </c>
      <c r="L169" s="25" t="n">
        <f aca="false">parametros_recargas!$E$79*'Plan mensual'!N181+parametros_recargas!$F$79*'Plan mensual'!N182+parametros_recargas!$G$79*'Plan mensual'!N183+parametros_recargas!$H$79*'Plan mensual'!N184+parametros_recargas!$I$79*'Plan mensual'!N185+parametros_recargas!$J$79*'Plan mensual'!N186+parametros_recargas!$K$79*'Plan mensual'!N187+parametros_recargas!$L$79*'Plan mensual'!N188</f>
        <v>12.9632972427811</v>
      </c>
      <c r="M169" s="25" t="n">
        <f aca="false">parametros_recargas!$E$79*'Plan mensual'!O181+parametros_recargas!$F$79*'Plan mensual'!O182+parametros_recargas!$G$79*'Plan mensual'!O183+parametros_recargas!$H$79*'Plan mensual'!O184+parametros_recargas!$I$79*'Plan mensual'!O185+parametros_recargas!$J$79*'Plan mensual'!O186+parametros_recargas!$K$79*'Plan mensual'!O187+parametros_recargas!$L$79*'Plan mensual'!O188</f>
        <v>13.1839528283865</v>
      </c>
      <c r="N169" s="7" t="n">
        <f aca="false">SUM(B169:M169)</f>
        <v>144.478919152956</v>
      </c>
      <c r="O169" s="26" t="n">
        <f aca="false">MAX(B169:M169)</f>
        <v>13.1839528283865</v>
      </c>
      <c r="P169" s="15" t="n">
        <f aca="false">O169/parametros_recargas!$B$6</f>
        <v>0.0878930188559103</v>
      </c>
    </row>
    <row r="170" customFormat="false" ht="15" hidden="false" customHeight="false" outlineLevel="0" collapsed="false">
      <c r="A170" s="12" t="str">
        <f aca="false">parametros_recargas!$B$80</f>
        <v>Desarme y limpieza — recinto</v>
      </c>
      <c r="B170" s="25" t="n">
        <f aca="false">parametros_recargas!$E$80*'Plan mensual'!D181+parametros_recargas!$F$80*'Plan mensual'!D182+parametros_recargas!$G$80*'Plan mensual'!D183+parametros_recargas!$H$80*'Plan mensual'!D184+parametros_recargas!$I$80*'Plan mensual'!D185+parametros_recargas!$J$80*'Plan mensual'!D186+parametros_recargas!$K$80*'Plan mensual'!D187+parametros_recargas!$L$80*'Plan mensual'!D188</f>
        <v>11447.7756171046</v>
      </c>
      <c r="C170" s="25" t="n">
        <f aca="false">parametros_recargas!$E$80*'Plan mensual'!E181+parametros_recargas!$F$80*'Plan mensual'!E182+parametros_recargas!$G$80*'Plan mensual'!E183+parametros_recargas!$H$80*'Plan mensual'!E184+parametros_recargas!$I$80*'Plan mensual'!E185+parametros_recargas!$J$80*'Plan mensual'!E186+parametros_recargas!$K$80*'Plan mensual'!E187+parametros_recargas!$L$80*'Plan mensual'!E188</f>
        <v>11647.2565559682</v>
      </c>
      <c r="D170" s="25" t="n">
        <f aca="false">parametros_recargas!$E$80*'Plan mensual'!F181+parametros_recargas!$F$80*'Plan mensual'!F182+parametros_recargas!$G$80*'Plan mensual'!F183+parametros_recargas!$H$80*'Plan mensual'!F184+parametros_recargas!$I$80*'Plan mensual'!F185+parametros_recargas!$J$80*'Plan mensual'!F186+parametros_recargas!$K$80*'Plan mensual'!F187+parametros_recargas!$L$80*'Plan mensual'!F188</f>
        <v>11850.3724860564</v>
      </c>
      <c r="E170" s="25" t="n">
        <f aca="false">parametros_recargas!$E$80*'Plan mensual'!G181+parametros_recargas!$F$80*'Plan mensual'!G182+parametros_recargas!$G$80*'Plan mensual'!G183+parametros_recargas!$H$80*'Plan mensual'!G184+parametros_recargas!$I$80*'Plan mensual'!G185+parametros_recargas!$J$80*'Plan mensual'!G186+parametros_recargas!$K$80*'Plan mensual'!G187+parametros_recargas!$L$80*'Plan mensual'!G188</f>
        <v>12057.1896450824</v>
      </c>
      <c r="F170" s="25" t="n">
        <f aca="false">parametros_recargas!$E$80*'Plan mensual'!H181+parametros_recargas!$F$80*'Plan mensual'!H182+parametros_recargas!$G$80*'Plan mensual'!H183+parametros_recargas!$H$80*'Plan mensual'!H184+parametros_recargas!$I$80*'Plan mensual'!H185+parametros_recargas!$J$80*'Plan mensual'!H186+parametros_recargas!$K$80*'Plan mensual'!H187+parametros_recargas!$L$80*'Plan mensual'!H188</f>
        <v>12267.7754777593</v>
      </c>
      <c r="G170" s="25" t="n">
        <f aca="false">parametros_recargas!$E$80*'Plan mensual'!I181+parametros_recargas!$F$80*'Plan mensual'!I182+parametros_recargas!$G$80*'Plan mensual'!I183+parametros_recargas!$H$80*'Plan mensual'!I184+parametros_recargas!$I$80*'Plan mensual'!I185+parametros_recargas!$J$80*'Plan mensual'!I186+parametros_recargas!$K$80*'Plan mensual'!I187+parametros_recargas!$L$80*'Plan mensual'!I188</f>
        <v>12482.1986577947</v>
      </c>
      <c r="H170" s="25" t="n">
        <f aca="false">parametros_recargas!$E$80*'Plan mensual'!J181+parametros_recargas!$F$80*'Plan mensual'!J182+parametros_recargas!$G$80*'Plan mensual'!J183+parametros_recargas!$H$80*'Plan mensual'!J184+parametros_recargas!$I$80*'Plan mensual'!J185+parametros_recargas!$J$80*'Plan mensual'!J186+parametros_recargas!$K$80*'Plan mensual'!J187+parametros_recargas!$L$80*'Plan mensual'!J188</f>
        <v>12700.5291102855</v>
      </c>
      <c r="I170" s="25" t="n">
        <f aca="false">parametros_recargas!$E$80*'Plan mensual'!K181+parametros_recargas!$F$80*'Plan mensual'!K182+parametros_recargas!$G$80*'Plan mensual'!K183+parametros_recargas!$H$80*'Plan mensual'!K184+parametros_recargas!$I$80*'Plan mensual'!K185+parametros_recargas!$J$80*'Plan mensual'!K186+parametros_recargas!$K$80*'Plan mensual'!K187+parametros_recargas!$L$80*'Plan mensual'!K188</f>
        <v>12922.8380345209</v>
      </c>
      <c r="J170" s="25" t="n">
        <f aca="false">parametros_recargas!$E$80*'Plan mensual'!L181+parametros_recargas!$F$80*'Plan mensual'!L182+parametros_recargas!$G$80*'Plan mensual'!L183+parametros_recargas!$H$80*'Plan mensual'!L184+parametros_recargas!$I$80*'Plan mensual'!L185+parametros_recargas!$J$80*'Plan mensual'!L186+parametros_recargas!$K$80*'Plan mensual'!L187+parametros_recargas!$L$80*'Plan mensual'!L188</f>
        <v>13149.1979272015</v>
      </c>
      <c r="K170" s="25" t="n">
        <f aca="false">parametros_recargas!$E$80*'Plan mensual'!M181+parametros_recargas!$F$80*'Plan mensual'!M182+parametros_recargas!$G$80*'Plan mensual'!M183+parametros_recargas!$H$80*'Plan mensual'!M184+parametros_recargas!$I$80*'Plan mensual'!M185+parametros_recargas!$J$80*'Plan mensual'!M186+parametros_recargas!$K$80*'Plan mensual'!M187+parametros_recargas!$L$80*'Plan mensual'!M188</f>
        <v>13379.6826060807</v>
      </c>
      <c r="L170" s="25" t="n">
        <f aca="false">parametros_recargas!$E$80*'Plan mensual'!N181+parametros_recargas!$F$80*'Plan mensual'!N182+parametros_recargas!$G$80*'Plan mensual'!N183+parametros_recargas!$H$80*'Plan mensual'!N184+parametros_recargas!$I$80*'Plan mensual'!N185+parametros_recargas!$J$80*'Plan mensual'!N186+parametros_recargas!$K$80*'Plan mensual'!N187+parametros_recargas!$L$80*'Plan mensual'!N188</f>
        <v>13614.3672340372</v>
      </c>
      <c r="M170" s="25" t="n">
        <f aca="false">parametros_recargas!$E$80*'Plan mensual'!O181+parametros_recargas!$F$80*'Plan mensual'!O182+parametros_recargas!$G$80*'Plan mensual'!O183+parametros_recargas!$H$80*'Plan mensual'!O184+parametros_recargas!$I$80*'Plan mensual'!O185+parametros_recargas!$J$80*'Plan mensual'!O186+parametros_recargas!$K$80*'Plan mensual'!O187+parametros_recargas!$L$80*'Plan mensual'!O188</f>
        <v>13853.3283435867</v>
      </c>
      <c r="N170" s="7" t="n">
        <f aca="false">SUM(B170:M170)</f>
        <v>151372.511695478</v>
      </c>
      <c r="O170" s="26" t="n">
        <f aca="false">MAX(B170:M170)</f>
        <v>13853.3283435867</v>
      </c>
      <c r="P170" s="15" t="n">
        <f aca="false">O170/parametros_recargas!$B$6</f>
        <v>92.3555222905779</v>
      </c>
    </row>
    <row r="171" customFormat="false" ht="15" hidden="false" customHeight="false" outlineLevel="0" collapsed="false">
      <c r="A171" s="12" t="str">
        <f aca="false">parametros_recargas!$B$81</f>
        <v>Desarme e inspección interior — zona general</v>
      </c>
      <c r="B171" s="25" t="n">
        <f aca="false">parametros_recargas!$E$81*'Plan mensual'!D181+parametros_recargas!$F$81*'Plan mensual'!D182+parametros_recargas!$G$81*'Plan mensual'!D183+parametros_recargas!$H$81*'Plan mensual'!D184+parametros_recargas!$I$81*'Plan mensual'!D185+parametros_recargas!$J$81*'Plan mensual'!D186+parametros_recargas!$K$81*'Plan mensual'!D187+parametros_recargas!$L$81*'Plan mensual'!D188</f>
        <v>896.695097869177</v>
      </c>
      <c r="C171" s="25" t="n">
        <f aca="false">parametros_recargas!$E$81*'Plan mensual'!E181+parametros_recargas!$F$81*'Plan mensual'!E182+parametros_recargas!$G$81*'Plan mensual'!E183+parametros_recargas!$H$81*'Plan mensual'!E184+parametros_recargas!$I$81*'Plan mensual'!E185+parametros_recargas!$J$81*'Plan mensual'!E186+parametros_recargas!$K$81*'Plan mensual'!E187+parametros_recargas!$L$81*'Plan mensual'!E188</f>
        <v>911.774906153984</v>
      </c>
      <c r="D171" s="25" t="n">
        <f aca="false">parametros_recargas!$E$81*'Plan mensual'!F181+parametros_recargas!$F$81*'Plan mensual'!F182+parametros_recargas!$G$81*'Plan mensual'!F183+parametros_recargas!$H$81*'Plan mensual'!F184+parametros_recargas!$I$81*'Plan mensual'!F185+parametros_recargas!$J$81*'Plan mensual'!F186+parametros_recargas!$K$81*'Plan mensual'!F187+parametros_recargas!$L$81*'Plan mensual'!F188</f>
        <v>927.129502451602</v>
      </c>
      <c r="E171" s="25" t="n">
        <f aca="false">parametros_recargas!$E$81*'Plan mensual'!G181+parametros_recargas!$F$81*'Plan mensual'!G182+parametros_recargas!$G$81*'Plan mensual'!G183+parametros_recargas!$H$81*'Plan mensual'!G184+parametros_recargas!$I$81*'Plan mensual'!G185+parametros_recargas!$J$81*'Plan mensual'!G186+parametros_recargas!$K$81*'Plan mensual'!G187+parametros_recargas!$L$81*'Plan mensual'!G188</f>
        <v>942.763894017469</v>
      </c>
      <c r="F171" s="25" t="n">
        <f aca="false">parametros_recargas!$E$81*'Plan mensual'!H181+parametros_recargas!$F$81*'Plan mensual'!H182+parametros_recargas!$G$81*'Plan mensual'!H183+parametros_recargas!$H$81*'Plan mensual'!H184+parametros_recargas!$I$81*'Plan mensual'!H185+parametros_recargas!$J$81*'Plan mensual'!H186+parametros_recargas!$K$81*'Plan mensual'!H187+parametros_recargas!$L$81*'Plan mensual'!H188</f>
        <v>958.68317935047</v>
      </c>
      <c r="G171" s="25" t="n">
        <f aca="false">parametros_recargas!$E$81*'Plan mensual'!I181+parametros_recargas!$F$81*'Plan mensual'!I182+parametros_recargas!$G$81*'Plan mensual'!I183+parametros_recargas!$H$81*'Plan mensual'!I184+parametros_recargas!$I$81*'Plan mensual'!I185+parametros_recargas!$J$81*'Plan mensual'!I186+parametros_recargas!$K$81*'Plan mensual'!I187+parametros_recargas!$L$81*'Plan mensual'!I188</f>
        <v>974.892549855605</v>
      </c>
      <c r="H171" s="25" t="n">
        <f aca="false">parametros_recargas!$E$81*'Plan mensual'!J181+parametros_recargas!$F$81*'Plan mensual'!J182+parametros_recargas!$G$81*'Plan mensual'!J183+parametros_recargas!$H$81*'Plan mensual'!J184+parametros_recargas!$I$81*'Plan mensual'!J185+parametros_recargas!$J$81*'Plan mensual'!J186+parametros_recargas!$K$81*'Plan mensual'!J187+parametros_recargas!$L$81*'Plan mensual'!J188</f>
        <v>991.397291536947</v>
      </c>
      <c r="I171" s="25" t="n">
        <f aca="false">parametros_recargas!$E$81*'Plan mensual'!K181+parametros_recargas!$F$81*'Plan mensual'!K182+parametros_recargas!$G$81*'Plan mensual'!K183+parametros_recargas!$H$81*'Plan mensual'!K184+parametros_recargas!$I$81*'Plan mensual'!K185+parametros_recargas!$J$81*'Plan mensual'!K186+parametros_recargas!$K$81*'Plan mensual'!K187+parametros_recargas!$L$81*'Plan mensual'!K188</f>
        <v>1008.20278672145</v>
      </c>
      <c r="J171" s="25" t="n">
        <f aca="false">parametros_recargas!$E$81*'Plan mensual'!L181+parametros_recargas!$F$81*'Plan mensual'!L182+parametros_recargas!$G$81*'Plan mensual'!L183+parametros_recargas!$H$81*'Plan mensual'!L184+parametros_recargas!$I$81*'Plan mensual'!L185+parametros_recargas!$J$81*'Plan mensual'!L186+parametros_recargas!$K$81*'Plan mensual'!L187+parametros_recargas!$L$81*'Plan mensual'!L188</f>
        <v>1025.31451581416</v>
      </c>
      <c r="K171" s="25" t="n">
        <f aca="false">parametros_recargas!$E$81*'Plan mensual'!M181+parametros_recargas!$F$81*'Plan mensual'!M182+parametros_recargas!$G$81*'Plan mensual'!M183+parametros_recargas!$H$81*'Plan mensual'!M184+parametros_recargas!$I$81*'Plan mensual'!M185+parametros_recargas!$J$81*'Plan mensual'!M186+parametros_recargas!$K$81*'Plan mensual'!M187+parametros_recargas!$L$81*'Plan mensual'!M188</f>
        <v>1042.73805908542</v>
      </c>
      <c r="L171" s="25" t="n">
        <f aca="false">parametros_recargas!$E$81*'Plan mensual'!N181+parametros_recargas!$F$81*'Plan mensual'!N182+parametros_recargas!$G$81*'Plan mensual'!N183+parametros_recargas!$H$81*'Plan mensual'!N184+parametros_recargas!$I$81*'Plan mensual'!N185+parametros_recargas!$J$81*'Plan mensual'!N186+parametros_recargas!$K$81*'Plan mensual'!N187+parametros_recargas!$L$81*'Plan mensual'!N188</f>
        <v>1060.47909849068</v>
      </c>
      <c r="M171" s="25" t="n">
        <f aca="false">parametros_recargas!$E$81*'Plan mensual'!O181+parametros_recargas!$F$81*'Plan mensual'!O182+parametros_recargas!$G$81*'Plan mensual'!O183+parametros_recargas!$H$81*'Plan mensual'!O184+parametros_recargas!$I$81*'Plan mensual'!O185+parametros_recargas!$J$81*'Plan mensual'!O186+parametros_recargas!$K$81*'Plan mensual'!O187+parametros_recargas!$L$81*'Plan mensual'!O188</f>
        <v>1078.54341952335</v>
      </c>
      <c r="N171" s="7" t="n">
        <f aca="false">SUM(B171:M171)</f>
        <v>11818.6143008703</v>
      </c>
      <c r="O171" s="26" t="n">
        <f aca="false">MAX(B171:M171)</f>
        <v>1078.54341952335</v>
      </c>
      <c r="P171" s="15" t="n">
        <f aca="false">O171/parametros_recargas!$B$6</f>
        <v>7.19028946348897</v>
      </c>
    </row>
    <row r="172" customFormat="false" ht="15" hidden="false" customHeight="false" outlineLevel="0" collapsed="false">
      <c r="A172" s="12" t="str">
        <f aca="false">parametros_recargas!$B$82</f>
        <v>Laboratorio — Puffer y mufla</v>
      </c>
      <c r="B172" s="25" t="n">
        <f aca="false">parametros_recargas!$E$82*'Plan mensual'!D181+parametros_recargas!$F$82*'Plan mensual'!D182+parametros_recargas!$G$82*'Plan mensual'!D183+parametros_recargas!$H$82*'Plan mensual'!D184+parametros_recargas!$I$82*'Plan mensual'!D185+parametros_recargas!$J$82*'Plan mensual'!D186+parametros_recargas!$K$82*'Plan mensual'!D187+parametros_recargas!$L$82*'Plan mensual'!D188</f>
        <v>11.4324828942519</v>
      </c>
      <c r="C172" s="25" t="n">
        <f aca="false">parametros_recargas!$E$82*'Plan mensual'!E181+parametros_recargas!$F$82*'Plan mensual'!E182+parametros_recargas!$G$82*'Plan mensual'!E183+parametros_recargas!$H$82*'Plan mensual'!E184+parametros_recargas!$I$82*'Plan mensual'!E185+parametros_recargas!$J$82*'Plan mensual'!E186+parametros_recargas!$K$82*'Plan mensual'!E187+parametros_recargas!$L$82*'Plan mensual'!E188</f>
        <v>11.6317140172139</v>
      </c>
      <c r="D172" s="25" t="n">
        <f aca="false">parametros_recargas!$E$82*'Plan mensual'!F181+parametros_recargas!$F$82*'Plan mensual'!F182+parametros_recargas!$G$82*'Plan mensual'!F183+parametros_recargas!$H$82*'Plan mensual'!F184+parametros_recargas!$I$82*'Plan mensual'!F185+parametros_recargas!$J$82*'Plan mensual'!F186+parametros_recargas!$K$82*'Plan mensual'!F187+parametros_recargas!$L$82*'Plan mensual'!F188</f>
        <v>11.8345755791931</v>
      </c>
      <c r="E172" s="25" t="n">
        <f aca="false">parametros_recargas!$E$82*'Plan mensual'!G181+parametros_recargas!$F$82*'Plan mensual'!G182+parametros_recargas!$G$82*'Plan mensual'!G183+parametros_recargas!$H$82*'Plan mensual'!G184+parametros_recargas!$I$82*'Plan mensual'!G185+parametros_recargas!$J$82*'Plan mensual'!G186+parametros_recargas!$K$82*'Plan mensual'!G187+parametros_recargas!$L$82*'Plan mensual'!G188</f>
        <v>12.0411337349512</v>
      </c>
      <c r="F172" s="25" t="n">
        <f aca="false">parametros_recargas!$E$82*'Plan mensual'!H181+parametros_recargas!$F$82*'Plan mensual'!H182+parametros_recargas!$G$82*'Plan mensual'!H183+parametros_recargas!$H$82*'Plan mensual'!H184+parametros_recargas!$I$82*'Plan mensual'!H185+parametros_recargas!$J$82*'Plan mensual'!H186+parametros_recargas!$K$82*'Plan mensual'!H187+parametros_recargas!$L$82*'Plan mensual'!H188</f>
        <v>12.2514558447383</v>
      </c>
      <c r="G172" s="25" t="n">
        <f aca="false">parametros_recargas!$E$82*'Plan mensual'!I181+parametros_recargas!$F$82*'Plan mensual'!I182+parametros_recargas!$G$82*'Plan mensual'!I183+parametros_recargas!$H$82*'Plan mensual'!I184+parametros_recargas!$I$82*'Plan mensual'!I185+parametros_recargas!$J$82*'Plan mensual'!I186+parametros_recargas!$K$82*'Plan mensual'!I187+parametros_recargas!$L$82*'Plan mensual'!I188</f>
        <v>12.4656104962599</v>
      </c>
      <c r="H172" s="25" t="n">
        <f aca="false">parametros_recargas!$E$82*'Plan mensual'!J181+parametros_recargas!$F$82*'Plan mensual'!J182+parametros_recargas!$G$82*'Plan mensual'!J183+parametros_recargas!$H$82*'Plan mensual'!J184+parametros_recargas!$I$82*'Plan mensual'!J185+parametros_recargas!$J$82*'Plan mensual'!J186+parametros_recargas!$K$82*'Plan mensual'!J187+parametros_recargas!$L$82*'Plan mensual'!J188</f>
        <v>12.6836675270435</v>
      </c>
      <c r="I172" s="25" t="n">
        <f aca="false">parametros_recargas!$E$82*'Plan mensual'!K181+parametros_recargas!$F$82*'Plan mensual'!K182+parametros_recargas!$G$82*'Plan mensual'!K183+parametros_recargas!$H$82*'Plan mensual'!K184+parametros_recargas!$I$82*'Plan mensual'!K185+parametros_recargas!$J$82*'Plan mensual'!K186+parametros_recargas!$K$82*'Plan mensual'!K187+parametros_recargas!$L$82*'Plan mensual'!K188</f>
        <v>12.9056980472136</v>
      </c>
      <c r="J172" s="25" t="n">
        <f aca="false">parametros_recargas!$E$82*'Plan mensual'!L181+parametros_recargas!$F$82*'Plan mensual'!L182+parametros_recargas!$G$82*'Plan mensual'!L183+parametros_recargas!$H$82*'Plan mensual'!L184+parametros_recargas!$I$82*'Plan mensual'!L185+parametros_recargas!$J$82*'Plan mensual'!L186+parametros_recargas!$K$82*'Plan mensual'!L187+parametros_recargas!$L$82*'Plan mensual'!L188</f>
        <v>13.1317744626807</v>
      </c>
      <c r="K172" s="25" t="n">
        <f aca="false">parametros_recargas!$E$82*'Plan mensual'!M181+parametros_recargas!$F$82*'Plan mensual'!M182+parametros_recargas!$G$82*'Plan mensual'!M183+parametros_recargas!$H$82*'Plan mensual'!M184+parametros_recargas!$I$82*'Plan mensual'!M185+parametros_recargas!$J$82*'Plan mensual'!M186+parametros_recargas!$K$82*'Plan mensual'!M187+parametros_recargas!$L$82*'Plan mensual'!M188</f>
        <v>13.3619704987543</v>
      </c>
      <c r="L172" s="25" t="n">
        <f aca="false">parametros_recargas!$E$82*'Plan mensual'!N181+parametros_recargas!$F$82*'Plan mensual'!N182+parametros_recargas!$G$82*'Plan mensual'!N183+parametros_recargas!$H$82*'Plan mensual'!N184+parametros_recargas!$I$82*'Plan mensual'!N185+parametros_recargas!$J$82*'Plan mensual'!N186+parametros_recargas!$K$82*'Plan mensual'!N187+parametros_recargas!$L$82*'Plan mensual'!N188</f>
        <v>13.5963612241843</v>
      </c>
      <c r="M172" s="25" t="n">
        <f aca="false">parametros_recargas!$E$82*'Plan mensual'!O181+parametros_recargas!$F$82*'Plan mensual'!O182+parametros_recargas!$G$82*'Plan mensual'!O183+parametros_recargas!$H$82*'Plan mensual'!O184+parametros_recargas!$I$82*'Plan mensual'!O185+parametros_recargas!$J$82*'Plan mensual'!O186+parametros_recargas!$K$82*'Plan mensual'!O187+parametros_recargas!$L$82*'Plan mensual'!O188</f>
        <v>13.8350230756424</v>
      </c>
      <c r="N172" s="7" t="n">
        <f aca="false">SUM(B172:M172)</f>
        <v>151.171467402127</v>
      </c>
      <c r="O172" s="26" t="n">
        <f aca="false">MAX(B172:M172)</f>
        <v>13.8350230756424</v>
      </c>
      <c r="P172" s="15" t="n">
        <f aca="false">O172/parametros_recargas!$B$6</f>
        <v>0.0922334871709491</v>
      </c>
    </row>
    <row r="173" customFormat="false" ht="15" hidden="false" customHeight="false" outlineLevel="0" collapsed="false">
      <c r="A173" s="12" t="str">
        <f aca="false">parametros_recargas!$B$83</f>
        <v>Prueba hidráulica</v>
      </c>
      <c r="B173" s="25" t="n">
        <f aca="false">parametros_recargas!$E$83*'Plan mensual'!D181+parametros_recargas!$F$83*'Plan mensual'!D182+parametros_recargas!$G$83*'Plan mensual'!D183+parametros_recargas!$H$83*'Plan mensual'!D184+parametros_recargas!$I$83*'Plan mensual'!D185+parametros_recargas!$J$83*'Plan mensual'!D186+parametros_recargas!$K$83*'Plan mensual'!D187+parametros_recargas!$L$83*'Plan mensual'!D188</f>
        <v>2824.94426130218</v>
      </c>
      <c r="C173" s="25" t="n">
        <f aca="false">parametros_recargas!$E$83*'Plan mensual'!E181+parametros_recargas!$F$83*'Plan mensual'!E182+parametros_recargas!$G$83*'Plan mensual'!E183+parametros_recargas!$H$83*'Plan mensual'!E184+parametros_recargas!$I$83*'Plan mensual'!E185+parametros_recargas!$J$83*'Plan mensual'!E186+parametros_recargas!$K$83*'Plan mensual'!E187+parametros_recargas!$L$83*'Plan mensual'!E188</f>
        <v>2873.84492705545</v>
      </c>
      <c r="D173" s="25" t="n">
        <f aca="false">parametros_recargas!$E$83*'Plan mensual'!F181+parametros_recargas!$F$83*'Plan mensual'!F182+parametros_recargas!$G$83*'Plan mensual'!F183+parametros_recargas!$H$83*'Plan mensual'!F184+parametros_recargas!$I$83*'Plan mensual'!F185+parametros_recargas!$J$83*'Plan mensual'!F186+parametros_recargas!$K$83*'Plan mensual'!F187+parametros_recargas!$L$83*'Plan mensual'!F188</f>
        <v>2923.63667288838</v>
      </c>
      <c r="E173" s="25" t="n">
        <f aca="false">parametros_recargas!$E$83*'Plan mensual'!G181+parametros_recargas!$F$83*'Plan mensual'!G182+parametros_recargas!$G$83*'Plan mensual'!G183+parametros_recargas!$H$83*'Plan mensual'!G184+parametros_recargas!$I$83*'Plan mensual'!G185+parametros_recargas!$J$83*'Plan mensual'!G186+parametros_recargas!$K$83*'Plan mensual'!G187+parametros_recargas!$L$83*'Plan mensual'!G188</f>
        <v>2974.33573628354</v>
      </c>
      <c r="F173" s="25" t="n">
        <f aca="false">parametros_recargas!$E$83*'Plan mensual'!H181+parametros_recargas!$F$83*'Plan mensual'!H182+parametros_recargas!$G$83*'Plan mensual'!H183+parametros_recargas!$H$83*'Plan mensual'!H184+parametros_recargas!$I$83*'Plan mensual'!H185+parametros_recargas!$J$83*'Plan mensual'!H186+parametros_recargas!$K$83*'Plan mensual'!H187+parametros_recargas!$L$83*'Plan mensual'!H188</f>
        <v>3025.95865060696</v>
      </c>
      <c r="G173" s="25" t="n">
        <f aca="false">parametros_recargas!$E$83*'Plan mensual'!I181+parametros_recargas!$F$83*'Plan mensual'!I182+parametros_recargas!$G$83*'Plan mensual'!I183+parametros_recargas!$H$83*'Plan mensual'!I184+parametros_recargas!$I$83*'Plan mensual'!I185+parametros_recargas!$J$83*'Plan mensual'!I186+parametros_recargas!$K$83*'Plan mensual'!I187+parametros_recargas!$L$83*'Plan mensual'!I188</f>
        <v>3078.52225049975</v>
      </c>
      <c r="H173" s="25" t="n">
        <f aca="false">parametros_recargas!$E$83*'Plan mensual'!J181+parametros_recargas!$F$83*'Plan mensual'!J182+parametros_recargas!$G$83*'Plan mensual'!J183+parametros_recargas!$H$83*'Plan mensual'!J184+parametros_recargas!$I$83*'Plan mensual'!J185+parametros_recargas!$J$83*'Plan mensual'!J186+parametros_recargas!$K$83*'Plan mensual'!J187+parametros_recargas!$L$83*'Plan mensual'!J188</f>
        <v>3132.04367736807</v>
      </c>
      <c r="I173" s="25" t="n">
        <f aca="false">parametros_recargas!$E$83*'Plan mensual'!K181+parametros_recargas!$F$83*'Plan mensual'!K182+parametros_recargas!$G$83*'Plan mensual'!K183+parametros_recargas!$H$83*'Plan mensual'!K184+parametros_recargas!$I$83*'Plan mensual'!K185+parametros_recargas!$J$83*'Plan mensual'!K186+parametros_recargas!$K$83*'Plan mensual'!K187+parametros_recargas!$L$83*'Plan mensual'!K188</f>
        <v>3186.540384973</v>
      </c>
      <c r="J173" s="25" t="n">
        <f aca="false">parametros_recargas!$E$83*'Plan mensual'!L181+parametros_recargas!$F$83*'Plan mensual'!L182+parametros_recargas!$G$83*'Plan mensual'!L183+parametros_recargas!$H$83*'Plan mensual'!L184+parametros_recargas!$I$83*'Plan mensual'!L185+parametros_recargas!$J$83*'Plan mensual'!L186+parametros_recargas!$K$83*'Plan mensual'!L187+parametros_recargas!$L$83*'Plan mensual'!L188</f>
        <v>3242.03014512242</v>
      </c>
      <c r="K173" s="25" t="n">
        <f aca="false">parametros_recargas!$E$83*'Plan mensual'!M181+parametros_recargas!$F$83*'Plan mensual'!M182+parametros_recargas!$G$83*'Plan mensual'!M183+parametros_recargas!$H$83*'Plan mensual'!M184+parametros_recargas!$I$83*'Plan mensual'!M185+parametros_recargas!$J$83*'Plan mensual'!M186+parametros_recargas!$K$83*'Plan mensual'!M187+parametros_recargas!$L$83*'Plan mensual'!M188</f>
        <v>3298.53105346649</v>
      </c>
      <c r="L173" s="25" t="n">
        <f aca="false">parametros_recargas!$E$83*'Plan mensual'!N181+parametros_recargas!$F$83*'Plan mensual'!N182+parametros_recargas!$G$83*'Plan mensual'!N183+parametros_recargas!$H$83*'Plan mensual'!N184+parametros_recargas!$I$83*'Plan mensual'!N185+parametros_recargas!$J$83*'Plan mensual'!N186+parametros_recargas!$K$83*'Plan mensual'!N187+parametros_recargas!$L$83*'Plan mensual'!N188</f>
        <v>3356.06153539882</v>
      </c>
      <c r="M173" s="25" t="n">
        <f aca="false">parametros_recargas!$E$83*'Plan mensual'!O181+parametros_recargas!$F$83*'Plan mensual'!O182+parametros_recargas!$G$83*'Plan mensual'!O183+parametros_recargas!$H$83*'Plan mensual'!O184+parametros_recargas!$I$83*'Plan mensual'!O185+parametros_recargas!$J$83*'Plan mensual'!O186+parametros_recargas!$K$83*'Plan mensual'!O187+parametros_recargas!$L$83*'Plan mensual'!O188</f>
        <v>3414.6403520651</v>
      </c>
      <c r="N173" s="7" t="n">
        <f aca="false">SUM(B173:M173)</f>
        <v>37331.0896470302</v>
      </c>
      <c r="O173" s="26" t="n">
        <f aca="false">MAX(B173:M173)</f>
        <v>3414.6403520651</v>
      </c>
      <c r="P173" s="15" t="n">
        <f aca="false">O173/parametros_recargas!$B$6</f>
        <v>22.7642690137673</v>
      </c>
    </row>
    <row r="174" customFormat="false" ht="15" hidden="false" customHeight="false" outlineLevel="0" collapsed="false">
      <c r="A174" s="12" t="str">
        <f aca="false">parametros_recargas!$B$84</f>
        <v>Secado</v>
      </c>
      <c r="B174" s="25" t="n">
        <f aca="false">parametros_recargas!$E$84*'Plan mensual'!D181+parametros_recargas!$F$84*'Plan mensual'!D182+parametros_recargas!$G$84*'Plan mensual'!D183+parametros_recargas!$H$84*'Plan mensual'!D184+parametros_recargas!$I$84*'Plan mensual'!D185+parametros_recargas!$J$84*'Plan mensual'!D186+parametros_recargas!$K$84*'Plan mensual'!D187+parametros_recargas!$L$84*'Plan mensual'!D188</f>
        <v>2636.14378344976</v>
      </c>
      <c r="C174" s="25" t="n">
        <f aca="false">parametros_recargas!$E$84*'Plan mensual'!E181+parametros_recargas!$F$84*'Plan mensual'!E182+parametros_recargas!$G$84*'Plan mensual'!E183+parametros_recargas!$H$84*'Plan mensual'!E184+parametros_recargas!$I$84*'Plan mensual'!E185+parametros_recargas!$J$84*'Plan mensual'!E186+parametros_recargas!$K$84*'Plan mensual'!E187+parametros_recargas!$L$84*'Plan mensual'!E188</f>
        <v>2681.94031084619</v>
      </c>
      <c r="D174" s="25" t="n">
        <f aca="false">parametros_recargas!$E$84*'Plan mensual'!F181+parametros_recargas!$F$84*'Plan mensual'!F182+parametros_recargas!$G$84*'Plan mensual'!F183+parametros_recargas!$H$84*'Plan mensual'!F184+parametros_recargas!$I$84*'Plan mensual'!F185+parametros_recargas!$J$84*'Plan mensual'!F186+parametros_recargas!$K$84*'Plan mensual'!F187+parametros_recargas!$L$84*'Plan mensual'!F188</f>
        <v>2728.57135394198</v>
      </c>
      <c r="E174" s="25" t="n">
        <f aca="false">parametros_recargas!$E$84*'Plan mensual'!G181+parametros_recargas!$F$84*'Plan mensual'!G182+parametros_recargas!$G$84*'Plan mensual'!G183+parametros_recargas!$H$84*'Plan mensual'!G184+parametros_recargas!$I$84*'Plan mensual'!G185+parametros_recargas!$J$84*'Plan mensual'!G186+parametros_recargas!$K$84*'Plan mensual'!G187+parametros_recargas!$L$84*'Plan mensual'!G188</f>
        <v>2776.05211948952</v>
      </c>
      <c r="F174" s="25" t="n">
        <f aca="false">parametros_recargas!$E$84*'Plan mensual'!H181+parametros_recargas!$F$84*'Plan mensual'!H182+parametros_recargas!$G$84*'Plan mensual'!H183+parametros_recargas!$H$84*'Plan mensual'!H184+parametros_recargas!$I$84*'Plan mensual'!H185+parametros_recargas!$J$84*'Plan mensual'!H186+parametros_recargas!$K$84*'Plan mensual'!H187+parametros_recargas!$L$84*'Plan mensual'!H188</f>
        <v>2824.39809134241</v>
      </c>
      <c r="G174" s="25" t="n">
        <f aca="false">parametros_recargas!$E$84*'Plan mensual'!I181+parametros_recargas!$F$84*'Plan mensual'!I182+parametros_recargas!$G$84*'Plan mensual'!I183+parametros_recargas!$H$84*'Plan mensual'!I184+parametros_recargas!$I$84*'Plan mensual'!I185+parametros_recargas!$J$84*'Plan mensual'!I186+parametros_recargas!$K$84*'Plan mensual'!I187+parametros_recargas!$L$84*'Plan mensual'!I188</f>
        <v>2873.62503550491</v>
      </c>
      <c r="H174" s="25" t="n">
        <f aca="false">parametros_recargas!$E$84*'Plan mensual'!J181+parametros_recargas!$F$84*'Plan mensual'!J182+parametros_recargas!$G$84*'Plan mensual'!J183+parametros_recargas!$H$84*'Plan mensual'!J184+parametros_recargas!$I$84*'Plan mensual'!J185+parametros_recargas!$J$84*'Plan mensual'!J186+parametros_recargas!$K$84*'Plan mensual'!J187+parametros_recargas!$L$84*'Plan mensual'!J188</f>
        <v>2923.74900527329</v>
      </c>
      <c r="I174" s="25" t="n">
        <f aca="false">parametros_recargas!$E$84*'Plan mensual'!K181+parametros_recargas!$F$84*'Plan mensual'!K182+parametros_recargas!$G$84*'Plan mensual'!K183+parametros_recargas!$H$84*'Plan mensual'!K184+parametros_recargas!$I$84*'Plan mensual'!K185+parametros_recargas!$J$84*'Plan mensual'!K186+parametros_recargas!$K$84*'Plan mensual'!K187+parametros_recargas!$L$84*'Plan mensual'!K188</f>
        <v>2974.78634647098</v>
      </c>
      <c r="J174" s="25" t="n">
        <f aca="false">parametros_recargas!$E$84*'Plan mensual'!L181+parametros_recargas!$F$84*'Plan mensual'!L182+parametros_recargas!$G$84*'Plan mensual'!L183+parametros_recargas!$H$84*'Plan mensual'!L184+parametros_recargas!$I$84*'Plan mensual'!L185+parametros_recargas!$J$84*'Plan mensual'!L186+parametros_recargas!$K$84*'Plan mensual'!L187+parametros_recargas!$L$84*'Plan mensual'!L188</f>
        <v>3026.75370277909</v>
      </c>
      <c r="K174" s="25" t="n">
        <f aca="false">parametros_recargas!$E$84*'Plan mensual'!M181+parametros_recargas!$F$84*'Plan mensual'!M182+parametros_recargas!$G$84*'Plan mensual'!M183+parametros_recargas!$H$84*'Plan mensual'!M184+parametros_recargas!$I$84*'Plan mensual'!M185+parametros_recargas!$J$84*'Plan mensual'!M186+parametros_recargas!$K$84*'Plan mensual'!M187+parametros_recargas!$L$84*'Plan mensual'!M188</f>
        <v>3079.66802116399</v>
      </c>
      <c r="L174" s="25" t="n">
        <f aca="false">parametros_recargas!$E$84*'Plan mensual'!N181+parametros_recargas!$F$84*'Plan mensual'!N182+parametros_recargas!$G$84*'Plan mensual'!N183+parametros_recargas!$H$84*'Plan mensual'!N184+parametros_recargas!$I$84*'Plan mensual'!N185+parametros_recargas!$J$84*'Plan mensual'!N186+parametros_recargas!$K$84*'Plan mensual'!N187+parametros_recargas!$L$84*'Plan mensual'!N188</f>
        <v>3133.5465574039</v>
      </c>
      <c r="M174" s="25" t="n">
        <f aca="false">parametros_recargas!$E$84*'Plan mensual'!O181+parametros_recargas!$F$84*'Plan mensual'!O182+parametros_recargas!$G$84*'Plan mensual'!O183+parametros_recargas!$H$84*'Plan mensual'!O184+parametros_recargas!$I$84*'Plan mensual'!O185+parametros_recargas!$J$84*'Plan mensual'!O186+parametros_recargas!$K$84*'Plan mensual'!O187+parametros_recargas!$L$84*'Plan mensual'!O188</f>
        <v>3188.40688171611</v>
      </c>
      <c r="N174" s="7" t="n">
        <f aca="false">SUM(B174:M174)</f>
        <v>34847.6412093821</v>
      </c>
      <c r="O174" s="26" t="n">
        <f aca="false">MAX(B174:M174)</f>
        <v>3188.40688171611</v>
      </c>
      <c r="P174" s="15" t="n">
        <f aca="false">O174/parametros_recargas!$B$6</f>
        <v>21.2560458781074</v>
      </c>
    </row>
    <row r="175" customFormat="false" ht="15" hidden="false" customHeight="false" outlineLevel="0" collapsed="false">
      <c r="A175" s="12" t="str">
        <f aca="false">parametros_recargas!$B$85</f>
        <v>Inspección interior con videoscopio</v>
      </c>
      <c r="B175" s="25" t="n">
        <f aca="false">parametros_recargas!$E$85*'Plan mensual'!D181+parametros_recargas!$F$85*'Plan mensual'!D182+parametros_recargas!$G$85*'Plan mensual'!D183+parametros_recargas!$H$85*'Plan mensual'!D184+parametros_recargas!$I$85*'Plan mensual'!D185+parametros_recargas!$J$85*'Plan mensual'!D186+parametros_recargas!$K$85*'Plan mensual'!D187+parametros_recargas!$L$85*'Plan mensual'!D188</f>
        <v>2636.14378344976</v>
      </c>
      <c r="C175" s="25" t="n">
        <f aca="false">parametros_recargas!$E$85*'Plan mensual'!E181+parametros_recargas!$F$85*'Plan mensual'!E182+parametros_recargas!$G$85*'Plan mensual'!E183+parametros_recargas!$H$85*'Plan mensual'!E184+parametros_recargas!$I$85*'Plan mensual'!E185+parametros_recargas!$J$85*'Plan mensual'!E186+parametros_recargas!$K$85*'Plan mensual'!E187+parametros_recargas!$L$85*'Plan mensual'!E188</f>
        <v>2681.94031084619</v>
      </c>
      <c r="D175" s="25" t="n">
        <f aca="false">parametros_recargas!$E$85*'Plan mensual'!F181+parametros_recargas!$F$85*'Plan mensual'!F182+parametros_recargas!$G$85*'Plan mensual'!F183+parametros_recargas!$H$85*'Plan mensual'!F184+parametros_recargas!$I$85*'Plan mensual'!F185+parametros_recargas!$J$85*'Plan mensual'!F186+parametros_recargas!$K$85*'Plan mensual'!F187+parametros_recargas!$L$85*'Plan mensual'!F188</f>
        <v>2728.57135394198</v>
      </c>
      <c r="E175" s="25" t="n">
        <f aca="false">parametros_recargas!$E$85*'Plan mensual'!G181+parametros_recargas!$F$85*'Plan mensual'!G182+parametros_recargas!$G$85*'Plan mensual'!G183+parametros_recargas!$H$85*'Plan mensual'!G184+parametros_recargas!$I$85*'Plan mensual'!G185+parametros_recargas!$J$85*'Plan mensual'!G186+parametros_recargas!$K$85*'Plan mensual'!G187+parametros_recargas!$L$85*'Plan mensual'!G188</f>
        <v>2776.05211948952</v>
      </c>
      <c r="F175" s="25" t="n">
        <f aca="false">parametros_recargas!$E$85*'Plan mensual'!H181+parametros_recargas!$F$85*'Plan mensual'!H182+parametros_recargas!$G$85*'Plan mensual'!H183+parametros_recargas!$H$85*'Plan mensual'!H184+parametros_recargas!$I$85*'Plan mensual'!H185+parametros_recargas!$J$85*'Plan mensual'!H186+parametros_recargas!$K$85*'Plan mensual'!H187+parametros_recargas!$L$85*'Plan mensual'!H188</f>
        <v>2824.39809134241</v>
      </c>
      <c r="G175" s="25" t="n">
        <f aca="false">parametros_recargas!$E$85*'Plan mensual'!I181+parametros_recargas!$F$85*'Plan mensual'!I182+parametros_recargas!$G$85*'Plan mensual'!I183+parametros_recargas!$H$85*'Plan mensual'!I184+parametros_recargas!$I$85*'Plan mensual'!I185+parametros_recargas!$J$85*'Plan mensual'!I186+parametros_recargas!$K$85*'Plan mensual'!I187+parametros_recargas!$L$85*'Plan mensual'!I188</f>
        <v>2873.62503550491</v>
      </c>
      <c r="H175" s="25" t="n">
        <f aca="false">parametros_recargas!$E$85*'Plan mensual'!J181+parametros_recargas!$F$85*'Plan mensual'!J182+parametros_recargas!$G$85*'Plan mensual'!J183+parametros_recargas!$H$85*'Plan mensual'!J184+parametros_recargas!$I$85*'Plan mensual'!J185+parametros_recargas!$J$85*'Plan mensual'!J186+parametros_recargas!$K$85*'Plan mensual'!J187+parametros_recargas!$L$85*'Plan mensual'!J188</f>
        <v>2923.74900527329</v>
      </c>
      <c r="I175" s="25" t="n">
        <f aca="false">parametros_recargas!$E$85*'Plan mensual'!K181+parametros_recargas!$F$85*'Plan mensual'!K182+parametros_recargas!$G$85*'Plan mensual'!K183+parametros_recargas!$H$85*'Plan mensual'!K184+parametros_recargas!$I$85*'Plan mensual'!K185+parametros_recargas!$J$85*'Plan mensual'!K186+parametros_recargas!$K$85*'Plan mensual'!K187+parametros_recargas!$L$85*'Plan mensual'!K188</f>
        <v>2974.78634647098</v>
      </c>
      <c r="J175" s="25" t="n">
        <f aca="false">parametros_recargas!$E$85*'Plan mensual'!L181+parametros_recargas!$F$85*'Plan mensual'!L182+parametros_recargas!$G$85*'Plan mensual'!L183+parametros_recargas!$H$85*'Plan mensual'!L184+parametros_recargas!$I$85*'Plan mensual'!L185+parametros_recargas!$J$85*'Plan mensual'!L186+parametros_recargas!$K$85*'Plan mensual'!L187+parametros_recargas!$L$85*'Plan mensual'!L188</f>
        <v>3026.75370277909</v>
      </c>
      <c r="K175" s="25" t="n">
        <f aca="false">parametros_recargas!$E$85*'Plan mensual'!M181+parametros_recargas!$F$85*'Plan mensual'!M182+parametros_recargas!$G$85*'Plan mensual'!M183+parametros_recargas!$H$85*'Plan mensual'!M184+parametros_recargas!$I$85*'Plan mensual'!M185+parametros_recargas!$J$85*'Plan mensual'!M186+parametros_recargas!$K$85*'Plan mensual'!M187+parametros_recargas!$L$85*'Plan mensual'!M188</f>
        <v>3079.66802116399</v>
      </c>
      <c r="L175" s="25" t="n">
        <f aca="false">parametros_recargas!$E$85*'Plan mensual'!N181+parametros_recargas!$F$85*'Plan mensual'!N182+parametros_recargas!$G$85*'Plan mensual'!N183+parametros_recargas!$H$85*'Plan mensual'!N184+parametros_recargas!$I$85*'Plan mensual'!N185+parametros_recargas!$J$85*'Plan mensual'!N186+parametros_recargas!$K$85*'Plan mensual'!N187+parametros_recargas!$L$85*'Plan mensual'!N188</f>
        <v>3133.5465574039</v>
      </c>
      <c r="M175" s="25" t="n">
        <f aca="false">parametros_recargas!$E$85*'Plan mensual'!O181+parametros_recargas!$F$85*'Plan mensual'!O182+parametros_recargas!$G$85*'Plan mensual'!O183+parametros_recargas!$H$85*'Plan mensual'!O184+parametros_recargas!$I$85*'Plan mensual'!O185+parametros_recargas!$J$85*'Plan mensual'!O186+parametros_recargas!$K$85*'Plan mensual'!O187+parametros_recargas!$L$85*'Plan mensual'!O188</f>
        <v>3188.40688171611</v>
      </c>
      <c r="N175" s="7" t="n">
        <f aca="false">SUM(B175:M175)</f>
        <v>34847.6412093821</v>
      </c>
      <c r="O175" s="26" t="n">
        <f aca="false">MAX(B175:M175)</f>
        <v>3188.40688171611</v>
      </c>
      <c r="P175" s="15" t="n">
        <f aca="false">O175/parametros_recargas!$B$6</f>
        <v>21.2560458781074</v>
      </c>
    </row>
    <row r="176" customFormat="false" ht="15" hidden="false" customHeight="false" outlineLevel="0" collapsed="false">
      <c r="A176" s="12" t="str">
        <f aca="false">parametros_recargas!$B$86</f>
        <v>Pintura</v>
      </c>
      <c r="B176" s="25" t="n">
        <f aca="false">parametros_recargas!$E$86*'Plan mensual'!D181+parametros_recargas!$F$86*'Plan mensual'!D182+parametros_recargas!$G$86*'Plan mensual'!D183+parametros_recargas!$H$86*'Plan mensual'!D184+parametros_recargas!$I$86*'Plan mensual'!D185+parametros_recargas!$J$86*'Plan mensual'!D186+parametros_recargas!$K$86*'Plan mensual'!D187+parametros_recargas!$L$86*'Plan mensual'!D188</f>
        <v>1321.48866044405</v>
      </c>
      <c r="C176" s="25" t="n">
        <f aca="false">parametros_recargas!$E$86*'Plan mensual'!E181+parametros_recargas!$F$86*'Plan mensual'!E182+parametros_recargas!$G$86*'Plan mensual'!E183+parametros_recargas!$H$86*'Plan mensual'!E184+parametros_recargas!$I$86*'Plan mensual'!E185+parametros_recargas!$J$86*'Plan mensual'!E186+parametros_recargas!$K$86*'Plan mensual'!E187+parametros_recargas!$L$86*'Plan mensual'!E188</f>
        <v>1344.40930899704</v>
      </c>
      <c r="D176" s="25" t="n">
        <f aca="false">parametros_recargas!$E$86*'Plan mensual'!F181+parametros_recargas!$F$86*'Plan mensual'!F182+parametros_recargas!$G$86*'Plan mensual'!F183+parametros_recargas!$H$86*'Plan mensual'!F184+parametros_recargas!$I$86*'Plan mensual'!F185+parametros_recargas!$J$86*'Plan mensual'!F186+parametros_recargas!$K$86*'Plan mensual'!F187+parametros_recargas!$L$86*'Plan mensual'!F188</f>
        <v>1367.7476233021</v>
      </c>
      <c r="E176" s="25" t="n">
        <f aca="false">parametros_recargas!$E$86*'Plan mensual'!G181+parametros_recargas!$F$86*'Plan mensual'!G182+parametros_recargas!$G$86*'Plan mensual'!G183+parametros_recargas!$H$86*'Plan mensual'!G184+parametros_recargas!$I$86*'Plan mensual'!G185+parametros_recargas!$J$86*'Plan mensual'!G186+parametros_recargas!$K$86*'Plan mensual'!G187+parametros_recargas!$L$86*'Plan mensual'!G188</f>
        <v>1391.51121416832</v>
      </c>
      <c r="F176" s="25" t="n">
        <f aca="false">parametros_recargas!$E$86*'Plan mensual'!H181+parametros_recargas!$F$86*'Plan mensual'!H182+parametros_recargas!$G$86*'Plan mensual'!H183+parametros_recargas!$H$86*'Plan mensual'!H184+parametros_recargas!$I$86*'Plan mensual'!H185+parametros_recargas!$J$86*'Plan mensual'!H186+parametros_recargas!$K$86*'Plan mensual'!H187+parametros_recargas!$L$86*'Plan mensual'!H188</f>
        <v>1415.70783109084</v>
      </c>
      <c r="G176" s="25" t="n">
        <f aca="false">parametros_recargas!$E$86*'Plan mensual'!I181+parametros_recargas!$F$86*'Plan mensual'!I182+parametros_recargas!$G$86*'Plan mensual'!I183+parametros_recargas!$H$86*'Plan mensual'!I184+parametros_recargas!$I$86*'Plan mensual'!I185+parametros_recargas!$J$86*'Plan mensual'!I186+parametros_recargas!$K$86*'Plan mensual'!I187+parametros_recargas!$L$86*'Plan mensual'!I188</f>
        <v>1440.34536477804</v>
      </c>
      <c r="H176" s="25" t="n">
        <f aca="false">parametros_recargas!$E$86*'Plan mensual'!J181+parametros_recargas!$F$86*'Plan mensual'!J182+parametros_recargas!$G$86*'Plan mensual'!J183+parametros_recargas!$H$86*'Plan mensual'!J184+parametros_recargas!$I$86*'Plan mensual'!J185+parametros_recargas!$J$86*'Plan mensual'!J186+parametros_recargas!$K$86*'Plan mensual'!J187+parametros_recargas!$L$86*'Plan mensual'!J188</f>
        <v>1465.43184972474</v>
      </c>
      <c r="I176" s="25" t="n">
        <f aca="false">parametros_recargas!$E$86*'Plan mensual'!K181+parametros_recargas!$F$86*'Plan mensual'!K182+parametros_recargas!$G$86*'Plan mensual'!K183+parametros_recargas!$H$86*'Plan mensual'!K184+parametros_recargas!$I$86*'Plan mensual'!K185+parametros_recargas!$J$86*'Plan mensual'!K186+parametros_recargas!$K$86*'Plan mensual'!K187+parametros_recargas!$L$86*'Plan mensual'!K188</f>
        <v>1490.97546683233</v>
      </c>
      <c r="J176" s="25" t="n">
        <f aca="false">parametros_recargas!$E$86*'Plan mensual'!L181+parametros_recargas!$F$86*'Plan mensual'!L182+parametros_recargas!$G$86*'Plan mensual'!L183+parametros_recargas!$H$86*'Plan mensual'!L184+parametros_recargas!$I$86*'Plan mensual'!L185+parametros_recargas!$J$86*'Plan mensual'!L186+parametros_recargas!$K$86*'Plan mensual'!L187+parametros_recargas!$L$86*'Plan mensual'!L188</f>
        <v>1516.98454607661</v>
      </c>
      <c r="K176" s="25" t="n">
        <f aca="false">parametros_recargas!$E$86*'Plan mensual'!M181+parametros_recargas!$F$86*'Plan mensual'!M182+parametros_recargas!$G$86*'Plan mensual'!M183+parametros_recargas!$H$86*'Plan mensual'!M184+parametros_recargas!$I$86*'Plan mensual'!M185+parametros_recargas!$J$86*'Plan mensual'!M186+parametros_recargas!$K$86*'Plan mensual'!M187+parametros_recargas!$L$86*'Plan mensual'!M188</f>
        <v>1543.46756922425</v>
      </c>
      <c r="L176" s="25" t="n">
        <f aca="false">parametros_recargas!$E$86*'Plan mensual'!N181+parametros_recargas!$F$86*'Plan mensual'!N182+parametros_recargas!$G$86*'Plan mensual'!N183+parametros_recargas!$H$86*'Plan mensual'!N184+parametros_recargas!$I$86*'Plan mensual'!N185+parametros_recargas!$J$86*'Plan mensual'!N186+parametros_recargas!$K$86*'Plan mensual'!N187+parametros_recargas!$L$86*'Plan mensual'!N188</f>
        <v>1570.43317259882</v>
      </c>
      <c r="M176" s="25" t="n">
        <f aca="false">parametros_recargas!$E$86*'Plan mensual'!O181+parametros_recargas!$F$86*'Plan mensual'!O182+parametros_recargas!$G$86*'Plan mensual'!O183+parametros_recargas!$H$86*'Plan mensual'!O184+parametros_recargas!$I$86*'Plan mensual'!O185+parametros_recargas!$J$86*'Plan mensual'!O186+parametros_recargas!$K$86*'Plan mensual'!O187+parametros_recargas!$L$86*'Plan mensual'!O188</f>
        <v>1597.89014989709</v>
      </c>
      <c r="N176" s="7" t="n">
        <f aca="false">SUM(B176:M176)</f>
        <v>17466.3927571342</v>
      </c>
      <c r="O176" s="26" t="n">
        <f aca="false">MAX(B176:M176)</f>
        <v>1597.89014989709</v>
      </c>
      <c r="P176" s="15" t="n">
        <f aca="false">O176/parametros_recargas!$B$6</f>
        <v>10.652600999314</v>
      </c>
    </row>
    <row r="177" customFormat="false" ht="15" hidden="false" customHeight="false" outlineLevel="0" collapsed="false">
      <c r="A177" s="12" t="str">
        <f aca="false">parametros_recargas!$B$87</f>
        <v>Carga de polvo ABC</v>
      </c>
      <c r="B177" s="25" t="n">
        <f aca="false">parametros_recargas!$E$87*'Plan mensual'!D181+parametros_recargas!$F$87*'Plan mensual'!D182+parametros_recargas!$G$87*'Plan mensual'!D183+parametros_recargas!$H$87*'Plan mensual'!D184+parametros_recargas!$I$87*'Plan mensual'!D185+parametros_recargas!$J$87*'Plan mensual'!D186+parametros_recargas!$K$87*'Plan mensual'!D187+parametros_recargas!$L$87*'Plan mensual'!D188</f>
        <v>11415.0882390597</v>
      </c>
      <c r="C177" s="25" t="n">
        <f aca="false">parametros_recargas!$E$87*'Plan mensual'!E181+parametros_recargas!$F$87*'Plan mensual'!E182+parametros_recargas!$G$87*'Plan mensual'!E183+parametros_recargas!$H$87*'Plan mensual'!E184+parametros_recargas!$I$87*'Plan mensual'!E185+parametros_recargas!$J$87*'Plan mensual'!E186+parametros_recargas!$K$87*'Plan mensual'!E187+parametros_recargas!$L$87*'Plan mensual'!E188</f>
        <v>11614.0342812282</v>
      </c>
      <c r="D177" s="25" t="n">
        <f aca="false">parametros_recargas!$E$87*'Plan mensual'!F181+parametros_recargas!$F$87*'Plan mensual'!F182+parametros_recargas!$G$87*'Plan mensual'!F183+parametros_recargas!$H$87*'Plan mensual'!F184+parametros_recargas!$I$87*'Plan mensual'!F185+parametros_recargas!$J$87*'Plan mensual'!F186+parametros_recargas!$K$87*'Plan mensual'!F187+parametros_recargas!$L$87*'Plan mensual'!F188</f>
        <v>11816.6055676008</v>
      </c>
      <c r="E177" s="25" t="n">
        <f aca="false">parametros_recargas!$E$87*'Plan mensual'!G181+parametros_recargas!$F$87*'Plan mensual'!G182+parametros_recargas!$G$87*'Plan mensual'!G183+parametros_recargas!$H$87*'Plan mensual'!G184+parametros_recargas!$I$87*'Plan mensual'!G185+parametros_recargas!$J$87*'Plan mensual'!G186+parametros_recargas!$K$87*'Plan mensual'!G187+parametros_recargas!$L$87*'Plan mensual'!G188</f>
        <v>12022.8681582782</v>
      </c>
      <c r="F177" s="25" t="n">
        <f aca="false">parametros_recargas!$E$87*'Plan mensual'!H181+parametros_recargas!$F$87*'Plan mensual'!H182+parametros_recargas!$G$87*'Plan mensual'!H183+parametros_recargas!$H$87*'Plan mensual'!H184+parametros_recargas!$I$87*'Plan mensual'!H185+parametros_recargas!$J$87*'Plan mensual'!H186+parametros_recargas!$K$87*'Plan mensual'!H187+parametros_recargas!$L$87*'Plan mensual'!H188</f>
        <v>12232.8893171242</v>
      </c>
      <c r="G177" s="25" t="n">
        <f aca="false">parametros_recargas!$E$87*'Plan mensual'!I181+parametros_recargas!$F$87*'Plan mensual'!I182+parametros_recargas!$G$87*'Plan mensual'!I183+parametros_recargas!$H$87*'Plan mensual'!I184+parametros_recargas!$I$87*'Plan mensual'!I185+parametros_recargas!$J$87*'Plan mensual'!I186+parametros_recargas!$K$87*'Plan mensual'!I187+parametros_recargas!$L$87*'Plan mensual'!I188</f>
        <v>12446.7375337019</v>
      </c>
      <c r="H177" s="25" t="n">
        <f aca="false">parametros_recargas!$E$87*'Plan mensual'!J181+parametros_recargas!$F$87*'Plan mensual'!J182+parametros_recargas!$G$87*'Plan mensual'!J183+parametros_recargas!$H$87*'Plan mensual'!J184+parametros_recargas!$I$87*'Plan mensual'!J185+parametros_recargas!$J$87*'Plan mensual'!J186+parametros_recargas!$K$87*'Plan mensual'!J187+parametros_recargas!$L$87*'Plan mensual'!J188</f>
        <v>12664.482545608</v>
      </c>
      <c r="I177" s="25" t="n">
        <f aca="false">parametros_recargas!$E$87*'Plan mensual'!K181+parametros_recargas!$F$87*'Plan mensual'!K182+parametros_recargas!$G$87*'Plan mensual'!K183+parametros_recargas!$H$87*'Plan mensual'!K184+parametros_recargas!$I$87*'Plan mensual'!K185+parametros_recargas!$J$87*'Plan mensual'!K186+parametros_recargas!$K$87*'Plan mensual'!K187+parametros_recargas!$L$87*'Plan mensual'!K188</f>
        <v>12886.195361215</v>
      </c>
      <c r="J177" s="25" t="n">
        <f aca="false">parametros_recargas!$E$87*'Plan mensual'!L181+parametros_recargas!$F$87*'Plan mensual'!L182+parametros_recargas!$G$87*'Plan mensual'!L183+parametros_recargas!$H$87*'Plan mensual'!L184+parametros_recargas!$I$87*'Plan mensual'!L185+parametros_recargas!$J$87*'Plan mensual'!L186+parametros_recargas!$K$87*'Plan mensual'!L187+parametros_recargas!$L$87*'Plan mensual'!L188</f>
        <v>13111.9482828277</v>
      </c>
      <c r="K177" s="25" t="n">
        <f aca="false">parametros_recargas!$E$87*'Plan mensual'!M181+parametros_recargas!$F$87*'Plan mensual'!M182+parametros_recargas!$G$87*'Plan mensual'!M183+parametros_recargas!$H$87*'Plan mensual'!M184+parametros_recargas!$I$87*'Plan mensual'!M185+parametros_recargas!$J$87*'Plan mensual'!M186+parametros_recargas!$K$87*'Plan mensual'!M187+parametros_recargas!$L$87*'Plan mensual'!M188</f>
        <v>13341.8149302613</v>
      </c>
      <c r="L177" s="25" t="n">
        <f aca="false">parametros_recargas!$E$87*'Plan mensual'!N181+parametros_recargas!$F$87*'Plan mensual'!N182+parametros_recargas!$G$87*'Plan mensual'!N183+parametros_recargas!$H$87*'Plan mensual'!N184+parametros_recargas!$I$87*'Plan mensual'!N185+parametros_recargas!$J$87*'Plan mensual'!N186+parametros_recargas!$K$87*'Plan mensual'!N187+parametros_recargas!$L$87*'Plan mensual'!N188</f>
        <v>13575.8702648498</v>
      </c>
      <c r="M177" s="25" t="n">
        <f aca="false">parametros_recargas!$E$87*'Plan mensual'!O181+parametros_recargas!$F$87*'Plan mensual'!O182+parametros_recargas!$G$87*'Plan mensual'!O183+parametros_recargas!$H$87*'Plan mensual'!O184+parametros_recargas!$I$87*'Plan mensual'!O185+parametros_recargas!$J$87*'Plan mensual'!O186+parametros_recargas!$K$87*'Plan mensual'!O187+parametros_recargas!$L$87*'Plan mensual'!O188</f>
        <v>13814.1906138911</v>
      </c>
      <c r="N177" s="7" t="n">
        <f aca="false">SUM(B177:M177)</f>
        <v>150942.725095646</v>
      </c>
      <c r="O177" s="26" t="n">
        <f aca="false">MAX(B177:M177)</f>
        <v>13814.1906138911</v>
      </c>
      <c r="P177" s="15" t="n">
        <f aca="false">O177/parametros_recargas!$B$6</f>
        <v>92.094604092607</v>
      </c>
    </row>
    <row r="178" customFormat="false" ht="15" hidden="false" customHeight="false" outlineLevel="0" collapsed="false">
      <c r="A178" s="12" t="str">
        <f aca="false">parametros_recargas!$B$88</f>
        <v>Carga de polvo BC</v>
      </c>
      <c r="B178" s="25" t="n">
        <f aca="false">parametros_recargas!$E$88*'Plan mensual'!D181+parametros_recargas!$F$88*'Plan mensual'!D182+parametros_recargas!$G$88*'Plan mensual'!D183+parametros_recargas!$H$88*'Plan mensual'!D184+parametros_recargas!$I$88*'Plan mensual'!D185+parametros_recargas!$J$88*'Plan mensual'!D186+parametros_recargas!$K$88*'Plan mensual'!D187+parametros_recargas!$L$88*'Plan mensual'!D188</f>
        <v>17.3946551922531</v>
      </c>
      <c r="C178" s="25" t="n">
        <f aca="false">parametros_recargas!$E$88*'Plan mensual'!E181+parametros_recargas!$F$88*'Plan mensual'!E182+parametros_recargas!$G$88*'Plan mensual'!E183+parametros_recargas!$H$88*'Plan mensual'!E184+parametros_recargas!$I$88*'Plan mensual'!E185+parametros_recargas!$J$88*'Plan mensual'!E186+parametros_recargas!$K$88*'Plan mensual'!E187+parametros_recargas!$L$88*'Plan mensual'!E188</f>
        <v>17.6797359857372</v>
      </c>
      <c r="D178" s="25" t="n">
        <f aca="false">parametros_recargas!$E$88*'Plan mensual'!F181+parametros_recargas!$F$88*'Plan mensual'!F182+parametros_recargas!$G$88*'Plan mensual'!F183+parametros_recargas!$H$88*'Plan mensual'!F184+parametros_recargas!$I$88*'Plan mensual'!F185+parametros_recargas!$J$88*'Plan mensual'!F186+parametros_recargas!$K$88*'Plan mensual'!F187+parametros_recargas!$L$88*'Plan mensual'!F188</f>
        <v>17.9700115922622</v>
      </c>
      <c r="E178" s="25" t="n">
        <f aca="false">parametros_recargas!$E$88*'Plan mensual'!G181+parametros_recargas!$F$88*'Plan mensual'!G182+parametros_recargas!$G$88*'Plan mensual'!G183+parametros_recargas!$H$88*'Plan mensual'!G184+parametros_recargas!$I$88*'Plan mensual'!G185+parametros_recargas!$J$88*'Plan mensual'!G186+parametros_recargas!$K$88*'Plan mensual'!G187+parametros_recargas!$L$88*'Plan mensual'!G188</f>
        <v>18.265576673002</v>
      </c>
      <c r="F178" s="25" t="n">
        <f aca="false">parametros_recargas!$E$88*'Plan mensual'!H181+parametros_recargas!$F$88*'Plan mensual'!H182+parametros_recargas!$G$88*'Plan mensual'!H183+parametros_recargas!$H$88*'Plan mensual'!H184+parametros_recargas!$I$88*'Plan mensual'!H185+parametros_recargas!$J$88*'Plan mensual'!H186+parametros_recargas!$K$88*'Plan mensual'!H187+parametros_recargas!$L$88*'Plan mensual'!H188</f>
        <v>18.5665276140696</v>
      </c>
      <c r="G178" s="25" t="n">
        <f aca="false">parametros_recargas!$E$88*'Plan mensual'!I181+parametros_recargas!$F$88*'Plan mensual'!I182+parametros_recargas!$G$88*'Plan mensual'!I183+parametros_recargas!$H$88*'Plan mensual'!I184+parametros_recargas!$I$88*'Plan mensual'!I185+parametros_recargas!$J$88*'Plan mensual'!I186+parametros_recargas!$K$88*'Plan mensual'!I187+parametros_recargas!$L$88*'Plan mensual'!I188</f>
        <v>18.87296255795</v>
      </c>
      <c r="H178" s="25" t="n">
        <f aca="false">parametros_recargas!$E$88*'Plan mensual'!J181+parametros_recargas!$F$88*'Plan mensual'!J182+parametros_recargas!$G$88*'Plan mensual'!J183+parametros_recargas!$H$88*'Plan mensual'!J184+parametros_recargas!$I$88*'Plan mensual'!J185+parametros_recargas!$J$88*'Plan mensual'!J186+parametros_recargas!$K$88*'Plan mensual'!J187+parametros_recargas!$L$88*'Plan mensual'!J188</f>
        <v>19.1849814355048</v>
      </c>
      <c r="I178" s="25" t="n">
        <f aca="false">parametros_recargas!$E$88*'Plan mensual'!K181+parametros_recargas!$F$88*'Plan mensual'!K182+parametros_recargas!$G$88*'Plan mensual'!K183+parametros_recargas!$H$88*'Plan mensual'!K184+parametros_recargas!$I$88*'Plan mensual'!K185+parametros_recargas!$J$88*'Plan mensual'!K186+parametros_recargas!$K$88*'Plan mensual'!K187+parametros_recargas!$L$88*'Plan mensual'!K188</f>
        <v>19.5026859985607</v>
      </c>
      <c r="J178" s="25" t="n">
        <f aca="false">parametros_recargas!$E$88*'Plan mensual'!L181+parametros_recargas!$F$88*'Plan mensual'!L182+parametros_recargas!$G$88*'Plan mensual'!L183+parametros_recargas!$H$88*'Plan mensual'!L184+parametros_recargas!$I$88*'Plan mensual'!L185+parametros_recargas!$J$88*'Plan mensual'!L186+parametros_recargas!$K$88*'Plan mensual'!L187+parametros_recargas!$L$88*'Plan mensual'!L188</f>
        <v>19.8261798530913</v>
      </c>
      <c r="K178" s="25" t="n">
        <f aca="false">parametros_recargas!$E$88*'Plan mensual'!M181+parametros_recargas!$F$88*'Plan mensual'!M182+parametros_recargas!$G$88*'Plan mensual'!M183+parametros_recargas!$H$88*'Plan mensual'!M184+parametros_recargas!$I$88*'Plan mensual'!M185+parametros_recargas!$J$88*'Plan mensual'!M186+parametros_recargas!$K$88*'Plan mensual'!M187+parametros_recargas!$L$88*'Plan mensual'!M188</f>
        <v>20.1555684930041</v>
      </c>
      <c r="L178" s="25" t="n">
        <f aca="false">parametros_recargas!$E$88*'Plan mensual'!N181+parametros_recargas!$F$88*'Plan mensual'!N182+parametros_recargas!$G$88*'Plan mensual'!N183+parametros_recargas!$H$88*'Plan mensual'!N184+parametros_recargas!$I$88*'Plan mensual'!N185+parametros_recargas!$J$88*'Plan mensual'!N186+parametros_recargas!$K$88*'Plan mensual'!N187+parametros_recargas!$L$88*'Plan mensual'!N188</f>
        <v>20.4909593345428</v>
      </c>
      <c r="M178" s="25" t="n">
        <f aca="false">parametros_recargas!$E$88*'Plan mensual'!O181+parametros_recargas!$F$88*'Plan mensual'!O182+parametros_recargas!$G$88*'Plan mensual'!O183+parametros_recargas!$H$88*'Plan mensual'!O184+parametros_recargas!$I$88*'Plan mensual'!O185+parametros_recargas!$J$88*'Plan mensual'!O186+parametros_recargas!$K$88*'Plan mensual'!O187+parametros_recargas!$L$88*'Plan mensual'!O188</f>
        <v>20.8324617513164</v>
      </c>
      <c r="N178" s="7" t="n">
        <f aca="false">SUM(B178:M178)</f>
        <v>228.742306481294</v>
      </c>
      <c r="O178" s="26" t="n">
        <f aca="false">MAX(B178:M178)</f>
        <v>20.8324617513164</v>
      </c>
      <c r="P178" s="15" t="n">
        <f aca="false">O178/parametros_recargas!$B$6</f>
        <v>0.13888307834211</v>
      </c>
    </row>
    <row r="179" customFormat="false" ht="15" hidden="false" customHeight="false" outlineLevel="0" collapsed="false">
      <c r="A179" s="12" t="str">
        <f aca="false">parametros_recargas!$B$89</f>
        <v>Descarga y carga Clase D</v>
      </c>
      <c r="B179" s="25" t="n">
        <f aca="false">parametros_recargas!$E$89*'Plan mensual'!D181+parametros_recargas!$F$89*'Plan mensual'!D182+parametros_recargas!$G$89*'Plan mensual'!D183+parametros_recargas!$H$89*'Plan mensual'!D184+parametros_recargas!$I$89*'Plan mensual'!D185+parametros_recargas!$J$89*'Plan mensual'!D186+parametros_recargas!$K$89*'Plan mensual'!D187+parametros_recargas!$L$89*'Plan mensual'!D188</f>
        <v>15.2927228526463</v>
      </c>
      <c r="C179" s="25" t="n">
        <f aca="false">parametros_recargas!$E$89*'Plan mensual'!E181+parametros_recargas!$F$89*'Plan mensual'!E182+parametros_recargas!$G$89*'Plan mensual'!E183+parametros_recargas!$H$89*'Plan mensual'!E184+parametros_recargas!$I$89*'Plan mensual'!E185+parametros_recargas!$J$89*'Plan mensual'!E186+parametros_recargas!$K$89*'Plan mensual'!E187+parametros_recargas!$L$89*'Plan mensual'!E188</f>
        <v>15.5425387542638</v>
      </c>
      <c r="D179" s="25" t="n">
        <f aca="false">parametros_recargas!$E$89*'Plan mensual'!F181+parametros_recargas!$F$89*'Plan mensual'!F182+parametros_recargas!$G$89*'Plan mensual'!F183+parametros_recargas!$H$89*'Plan mensual'!F184+parametros_recargas!$I$89*'Plan mensual'!F185+parametros_recargas!$J$89*'Plan mensual'!F186+parametros_recargas!$K$89*'Plan mensual'!F187+parametros_recargas!$L$89*'Plan mensual'!F188</f>
        <v>15.7969068633019</v>
      </c>
      <c r="E179" s="25" t="n">
        <f aca="false">parametros_recargas!$E$89*'Plan mensual'!G181+parametros_recargas!$F$89*'Plan mensual'!G182+parametros_recargas!$G$89*'Plan mensual'!G183+parametros_recargas!$H$89*'Plan mensual'!G184+parametros_recargas!$I$89*'Plan mensual'!G185+parametros_recargas!$J$89*'Plan mensual'!G186+parametros_recargas!$K$89*'Plan mensual'!G187+parametros_recargas!$L$89*'Plan mensual'!G188</f>
        <v>16.0559101312151</v>
      </c>
      <c r="F179" s="25" t="n">
        <f aca="false">parametros_recargas!$E$89*'Plan mensual'!H181+parametros_recargas!$F$89*'Plan mensual'!H182+parametros_recargas!$G$89*'Plan mensual'!H183+parametros_recargas!$H$89*'Plan mensual'!H184+parametros_recargas!$I$89*'Plan mensual'!H185+parametros_recargas!$J$89*'Plan mensual'!H186+parametros_recargas!$K$89*'Plan mensual'!H187+parametros_recargas!$L$89*'Plan mensual'!H188</f>
        <v>16.3196330210199</v>
      </c>
      <c r="G179" s="25" t="n">
        <f aca="false">parametros_recargas!$E$89*'Plan mensual'!I181+parametros_recargas!$F$89*'Plan mensual'!I182+parametros_recargas!$G$89*'Plan mensual'!I183+parametros_recargas!$H$89*'Plan mensual'!I184+parametros_recargas!$I$89*'Plan mensual'!I185+parametros_recargas!$J$89*'Plan mensual'!I186+parametros_recargas!$K$89*'Plan mensual'!I187+parametros_recargas!$L$89*'Plan mensual'!I188</f>
        <v>16.5881615348388</v>
      </c>
      <c r="H179" s="25" t="n">
        <f aca="false">parametros_recargas!$E$89*'Plan mensual'!J181+parametros_recargas!$F$89*'Plan mensual'!J182+parametros_recargas!$G$89*'Plan mensual'!J183+parametros_recargas!$H$89*'Plan mensual'!J184+parametros_recargas!$I$89*'Plan mensual'!J185+parametros_recargas!$J$89*'Plan mensual'!J186+parametros_recargas!$K$89*'Plan mensual'!J187+parametros_recargas!$L$89*'Plan mensual'!J188</f>
        <v>16.8615832419466</v>
      </c>
      <c r="I179" s="25" t="n">
        <f aca="false">parametros_recargas!$E$89*'Plan mensual'!K181+parametros_recargas!$F$89*'Plan mensual'!K182+parametros_recargas!$G$89*'Plan mensual'!K183+parametros_recargas!$H$89*'Plan mensual'!K184+parametros_recargas!$I$89*'Plan mensual'!K185+parametros_recargas!$J$89*'Plan mensual'!K186+parametros_recargas!$K$89*'Plan mensual'!K187+parametros_recargas!$L$89*'Plan mensual'!K188</f>
        <v>17.1399873073268</v>
      </c>
      <c r="J179" s="25" t="n">
        <f aca="false">parametros_recargas!$E$89*'Plan mensual'!L181+parametros_recargas!$F$89*'Plan mensual'!L182+parametros_recargas!$G$89*'Plan mensual'!L183+parametros_recargas!$H$89*'Plan mensual'!L184+parametros_recargas!$I$89*'Plan mensual'!L185+parametros_recargas!$J$89*'Plan mensual'!L186+parametros_recargas!$K$89*'Plan mensual'!L187+parametros_recargas!$L$89*'Plan mensual'!L188</f>
        <v>17.4234645207499</v>
      </c>
      <c r="K179" s="25" t="n">
        <f aca="false">parametros_recargas!$E$89*'Plan mensual'!M181+parametros_recargas!$F$89*'Plan mensual'!M182+parametros_recargas!$G$89*'Plan mensual'!M183+parametros_recargas!$H$89*'Plan mensual'!M184+parametros_recargas!$I$89*'Plan mensual'!M185+parametros_recargas!$J$89*'Plan mensual'!M186+parametros_recargas!$K$89*'Plan mensual'!M187+parametros_recargas!$L$89*'Plan mensual'!M188</f>
        <v>17.7121073263796</v>
      </c>
      <c r="L179" s="25" t="n">
        <f aca="false">parametros_recargas!$E$89*'Plan mensual'!N181+parametros_recargas!$F$89*'Plan mensual'!N182+parametros_recargas!$G$89*'Plan mensual'!N183+parametros_recargas!$H$89*'Plan mensual'!N184+parametros_recargas!$I$89*'Plan mensual'!N185+parametros_recargas!$J$89*'Plan mensual'!N186+parametros_recargas!$K$89*'Plan mensual'!N187+parametros_recargas!$L$89*'Plan mensual'!N188</f>
        <v>18.0060098529204</v>
      </c>
      <c r="M179" s="25" t="n">
        <f aca="false">parametros_recargas!$E$89*'Plan mensual'!O181+parametros_recargas!$F$89*'Plan mensual'!O182+parametros_recargas!$G$89*'Plan mensual'!O183+parametros_recargas!$H$89*'Plan mensual'!O184+parametros_recargas!$I$89*'Plan mensual'!O185+parametros_recargas!$J$89*'Plan mensual'!O186+parametros_recargas!$K$89*'Plan mensual'!O187+parametros_recargas!$L$89*'Plan mensual'!O188</f>
        <v>18.3052679443135</v>
      </c>
      <c r="N179" s="7" t="n">
        <f aca="false">SUM(B179:M179)</f>
        <v>201.044293350923</v>
      </c>
      <c r="O179" s="26" t="n">
        <f aca="false">MAX(B179:M179)</f>
        <v>18.3052679443135</v>
      </c>
      <c r="P179" s="15" t="n">
        <f aca="false">O179/parametros_recargas!$B$6</f>
        <v>0.122035119628757</v>
      </c>
    </row>
    <row r="180" customFormat="false" ht="15" hidden="false" customHeight="false" outlineLevel="0" collapsed="false">
      <c r="A180" s="12" t="str">
        <f aca="false">parametros_recargas!$B$90</f>
        <v>Carga de agua / AFFF / sales K</v>
      </c>
      <c r="B180" s="25" t="n">
        <f aca="false">parametros_recargas!$E$90*'Plan mensual'!D181+parametros_recargas!$F$90*'Plan mensual'!D182+parametros_recargas!$G$90*'Plan mensual'!D183+parametros_recargas!$H$90*'Plan mensual'!D184+parametros_recargas!$I$90*'Plan mensual'!D185+parametros_recargas!$J$90*'Plan mensual'!D186+parametros_recargas!$K$90*'Plan mensual'!D187+parametros_recargas!$L$90*'Plan mensual'!D188</f>
        <v>606.556468046928</v>
      </c>
      <c r="C180" s="25" t="n">
        <f aca="false">parametros_recargas!$E$90*'Plan mensual'!E181+parametros_recargas!$F$90*'Plan mensual'!E182+parametros_recargas!$G$90*'Plan mensual'!E183+parametros_recargas!$H$90*'Plan mensual'!E184+parametros_recargas!$I$90*'Plan mensual'!E185+parametros_recargas!$J$90*'Plan mensual'!E186+parametros_recargas!$K$90*'Plan mensual'!E187+parametros_recargas!$L$90*'Plan mensual'!E188</f>
        <v>616.754363537893</v>
      </c>
      <c r="D180" s="25" t="n">
        <f aca="false">parametros_recargas!$E$90*'Plan mensual'!F181+parametros_recargas!$F$90*'Plan mensual'!F182+parametros_recargas!$G$90*'Plan mensual'!F183+parametros_recargas!$H$90*'Plan mensual'!F184+parametros_recargas!$I$90*'Plan mensual'!F185+parametros_recargas!$J$90*'Plan mensual'!F186+parametros_recargas!$K$90*'Plan mensual'!F187+parametros_recargas!$L$90*'Plan mensual'!F188</f>
        <v>627.138087613937</v>
      </c>
      <c r="E180" s="25" t="n">
        <f aca="false">parametros_recargas!$E$90*'Plan mensual'!G181+parametros_recargas!$F$90*'Plan mensual'!G182+parametros_recargas!$G$90*'Plan mensual'!G183+parametros_recargas!$H$90*'Plan mensual'!G184+parametros_recargas!$I$90*'Plan mensual'!G185+parametros_recargas!$J$90*'Plan mensual'!G186+parametros_recargas!$K$90*'Plan mensual'!G187+parametros_recargas!$L$90*'Plan mensual'!G188</f>
        <v>637.711026489703</v>
      </c>
      <c r="F180" s="25" t="n">
        <f aca="false">parametros_recargas!$E$90*'Plan mensual'!H181+parametros_recargas!$F$90*'Plan mensual'!H182+parametros_recargas!$G$90*'Plan mensual'!H183+parametros_recargas!$H$90*'Plan mensual'!H184+parametros_recargas!$I$90*'Plan mensual'!H185+parametros_recargas!$J$90*'Plan mensual'!H186+parametros_recargas!$K$90*'Plan mensual'!H187+parametros_recargas!$L$90*'Plan mensual'!H188</f>
        <v>648.476628084278</v>
      </c>
      <c r="G180" s="25" t="n">
        <f aca="false">parametros_recargas!$E$90*'Plan mensual'!I181+parametros_recargas!$F$90*'Plan mensual'!I182+parametros_recargas!$G$90*'Plan mensual'!I183+parametros_recargas!$H$90*'Plan mensual'!I184+parametros_recargas!$I$90*'Plan mensual'!I185+parametros_recargas!$J$90*'Plan mensual'!I186+parametros_recargas!$K$90*'Plan mensual'!I187+parametros_recargas!$L$90*'Plan mensual'!I188</f>
        <v>659.438403145586</v>
      </c>
      <c r="H180" s="25" t="n">
        <f aca="false">parametros_recargas!$E$90*'Plan mensual'!J181+parametros_recargas!$F$90*'Plan mensual'!J182+parametros_recargas!$G$90*'Plan mensual'!J183+parametros_recargas!$H$90*'Plan mensual'!J184+parametros_recargas!$I$90*'Plan mensual'!J185+parametros_recargas!$J$90*'Plan mensual'!J186+parametros_recargas!$K$90*'Plan mensual'!J187+parametros_recargas!$L$90*'Plan mensual'!J188</f>
        <v>670.599926395274</v>
      </c>
      <c r="I180" s="25" t="n">
        <f aca="false">parametros_recargas!$E$90*'Plan mensual'!K181+parametros_recargas!$F$90*'Plan mensual'!K182+parametros_recargas!$G$90*'Plan mensual'!K183+parametros_recargas!$H$90*'Plan mensual'!K184+parametros_recargas!$I$90*'Plan mensual'!K185+parametros_recargas!$J$90*'Plan mensual'!K186+parametros_recargas!$K$90*'Plan mensual'!K187+parametros_recargas!$L$90*'Plan mensual'!K188</f>
        <v>681.964837694453</v>
      </c>
      <c r="J180" s="25" t="n">
        <f aca="false">parametros_recargas!$E$90*'Plan mensual'!L181+parametros_recargas!$F$90*'Plan mensual'!L182+parametros_recargas!$G$90*'Plan mensual'!L183+parametros_recargas!$H$90*'Plan mensual'!L184+parametros_recargas!$I$90*'Plan mensual'!L185+parametros_recargas!$J$90*'Plan mensual'!L186+parametros_recargas!$K$90*'Plan mensual'!L187+parametros_recargas!$L$90*'Plan mensual'!L188</f>
        <v>693.536843230688</v>
      </c>
      <c r="K180" s="25" t="n">
        <f aca="false">parametros_recargas!$E$90*'Plan mensual'!M181+parametros_recargas!$F$90*'Plan mensual'!M182+parametros_recargas!$G$90*'Plan mensual'!M183+parametros_recargas!$H$90*'Plan mensual'!M184+parametros_recargas!$I$90*'Plan mensual'!M185+parametros_recargas!$J$90*'Plan mensual'!M186+parametros_recargas!$K$90*'Plan mensual'!M187+parametros_recargas!$L$90*'Plan mensual'!M188</f>
        <v>705.319716726615</v>
      </c>
      <c r="L180" s="25" t="n">
        <f aca="false">parametros_recargas!$E$90*'Plan mensual'!N181+parametros_recargas!$F$90*'Plan mensual'!N182+parametros_recargas!$G$90*'Plan mensual'!N183+parametros_recargas!$H$90*'Plan mensual'!N184+parametros_recargas!$I$90*'Plan mensual'!N185+parametros_recargas!$J$90*'Plan mensual'!N186+parametros_recargas!$K$90*'Plan mensual'!N187+parametros_recargas!$L$90*'Plan mensual'!N188</f>
        <v>717.31730067058</v>
      </c>
      <c r="M180" s="25" t="n">
        <f aca="false">parametros_recargas!$E$90*'Plan mensual'!O181+parametros_recargas!$F$90*'Plan mensual'!O182+parametros_recargas!$G$90*'Plan mensual'!O183+parametros_recargas!$H$90*'Plan mensual'!O184+parametros_recargas!$I$90*'Plan mensual'!O185+parametros_recargas!$J$90*'Plan mensual'!O186+parametros_recargas!$K$90*'Plan mensual'!O187+parametros_recargas!$L$90*'Plan mensual'!O188</f>
        <v>729.533507569709</v>
      </c>
      <c r="N180" s="7" t="n">
        <f aca="false">SUM(B180:M180)</f>
        <v>7994.34710920564</v>
      </c>
      <c r="O180" s="26" t="n">
        <f aca="false">MAX(B180:M180)</f>
        <v>729.533507569709</v>
      </c>
      <c r="P180" s="15" t="n">
        <f aca="false">O180/parametros_recargas!$B$6</f>
        <v>4.86355671713139</v>
      </c>
    </row>
    <row r="181" customFormat="false" ht="15" hidden="false" customHeight="false" outlineLevel="0" collapsed="false">
      <c r="A181" s="12" t="str">
        <f aca="false">parametros_recargas!$B$91</f>
        <v>Carga de CO₂</v>
      </c>
      <c r="B181" s="25" t="n">
        <f aca="false">parametros_recargas!$E$91*'Plan mensual'!D181+parametros_recargas!$F$91*'Plan mensual'!D182+parametros_recargas!$G$91*'Plan mensual'!D183+parametros_recargas!$H$91*'Plan mensual'!D184+parametros_recargas!$I$91*'Plan mensual'!D185+parametros_recargas!$J$91*'Plan mensual'!D186+parametros_recargas!$K$91*'Plan mensual'!D187+parametros_recargas!$L$91*'Plan mensual'!D188</f>
        <v>335.011143934069</v>
      </c>
      <c r="C181" s="25" t="n">
        <f aca="false">parametros_recargas!$E$91*'Plan mensual'!E181+parametros_recargas!$F$91*'Plan mensual'!E182+parametros_recargas!$G$91*'Plan mensual'!E183+parametros_recargas!$H$91*'Plan mensual'!E184+parametros_recargas!$I$91*'Plan mensual'!E185+parametros_recargas!$J$91*'Plan mensual'!E186+parametros_recargas!$K$91*'Plan mensual'!E187+parametros_recargas!$L$91*'Plan mensual'!E188</f>
        <v>340.648399552815</v>
      </c>
      <c r="D181" s="25" t="n">
        <f aca="false">parametros_recargas!$E$91*'Plan mensual'!F181+parametros_recargas!$F$91*'Plan mensual'!F182+parametros_recargas!$G$91*'Plan mensual'!F183+parametros_recargas!$H$91*'Plan mensual'!F184+parametros_recargas!$I$91*'Plan mensual'!F185+parametros_recargas!$J$91*'Plan mensual'!F186+parametros_recargas!$K$91*'Plan mensual'!F187+parametros_recargas!$L$91*'Plan mensual'!F188</f>
        <v>346.388378643898</v>
      </c>
      <c r="E181" s="25" t="n">
        <f aca="false">parametros_recargas!$E$91*'Plan mensual'!G181+parametros_recargas!$F$91*'Plan mensual'!G182+parametros_recargas!$G$91*'Plan mensual'!G183+parametros_recargas!$H$91*'Plan mensual'!G184+parametros_recargas!$I$91*'Plan mensual'!G185+parametros_recargas!$J$91*'Plan mensual'!G186+parametros_recargas!$K$91*'Plan mensual'!G187+parametros_recargas!$L$91*'Plan mensual'!G188</f>
        <v>352.232953059951</v>
      </c>
      <c r="F181" s="25" t="n">
        <f aca="false">parametros_recargas!$E$91*'Plan mensual'!H181+parametros_recargas!$F$91*'Plan mensual'!H182+parametros_recargas!$G$91*'Plan mensual'!H183+parametros_recargas!$H$91*'Plan mensual'!H184+parametros_recargas!$I$91*'Plan mensual'!H185+parametros_recargas!$J$91*'Plan mensual'!H186+parametros_recargas!$K$91*'Plan mensual'!H187+parametros_recargas!$L$91*'Plan mensual'!H188</f>
        <v>358.18402876297</v>
      </c>
      <c r="G181" s="25" t="n">
        <f aca="false">parametros_recargas!$E$91*'Plan mensual'!I181+parametros_recargas!$F$91*'Plan mensual'!I182+parametros_recargas!$G$91*'Plan mensual'!I183+parametros_recargas!$H$91*'Plan mensual'!I184+parametros_recargas!$I$91*'Plan mensual'!I185+parametros_recargas!$J$91*'Plan mensual'!I186+parametros_recargas!$K$91*'Plan mensual'!I187+parametros_recargas!$L$91*'Plan mensual'!I188</f>
        <v>364.243546445862</v>
      </c>
      <c r="H181" s="25" t="n">
        <f aca="false">parametros_recargas!$E$91*'Plan mensual'!J181+parametros_recargas!$F$91*'Plan mensual'!J182+parametros_recargas!$G$91*'Plan mensual'!J183+parametros_recargas!$H$91*'Plan mensual'!J184+parametros_recargas!$I$91*'Plan mensual'!J185+parametros_recargas!$J$91*'Plan mensual'!J186+parametros_recargas!$K$91*'Plan mensual'!J187+parametros_recargas!$L$91*'Plan mensual'!J188</f>
        <v>370.413482165327</v>
      </c>
      <c r="I181" s="25" t="n">
        <f aca="false">parametros_recargas!$E$91*'Plan mensual'!K181+parametros_recargas!$F$91*'Plan mensual'!K182+parametros_recargas!$G$91*'Plan mensual'!K183+parametros_recargas!$H$91*'Plan mensual'!K184+parametros_recargas!$I$91*'Plan mensual'!K185+parametros_recargas!$J$91*'Plan mensual'!K186+parametros_recargas!$K$91*'Plan mensual'!K187+parametros_recargas!$L$91*'Plan mensual'!K188</f>
        <v>376.695847986256</v>
      </c>
      <c r="J181" s="25" t="n">
        <f aca="false">parametros_recargas!$E$91*'Plan mensual'!L181+parametros_recargas!$F$91*'Plan mensual'!L182+parametros_recargas!$G$91*'Plan mensual'!L183+parametros_recargas!$H$91*'Plan mensual'!L184+parametros_recargas!$I$91*'Plan mensual'!L185+parametros_recargas!$J$91*'Plan mensual'!L186+parametros_recargas!$K$91*'Plan mensual'!L187+parametros_recargas!$L$91*'Plan mensual'!L188</f>
        <v>383.092692637891</v>
      </c>
      <c r="K181" s="25" t="n">
        <f aca="false">parametros_recargas!$E$91*'Plan mensual'!M181+parametros_recargas!$F$91*'Plan mensual'!M182+parametros_recargas!$G$91*'Plan mensual'!M183+parametros_recargas!$H$91*'Plan mensual'!M184+parametros_recargas!$I$91*'Plan mensual'!M185+parametros_recargas!$J$91*'Plan mensual'!M186+parametros_recargas!$K$91*'Plan mensual'!M187+parametros_recargas!$L$91*'Plan mensual'!M188</f>
        <v>389.606102181923</v>
      </c>
      <c r="L181" s="25" t="n">
        <f aca="false">parametros_recargas!$E$91*'Plan mensual'!N181+parametros_recargas!$F$91*'Plan mensual'!N182+parametros_recargas!$G$91*'Plan mensual'!N183+parametros_recargas!$H$91*'Plan mensual'!N184+parametros_recargas!$I$91*'Plan mensual'!N185+parametros_recargas!$J$91*'Plan mensual'!N186+parametros_recargas!$K$91*'Plan mensual'!N187+parametros_recargas!$L$91*'Plan mensual'!N188</f>
        <v>396.238200692779</v>
      </c>
      <c r="M181" s="25" t="n">
        <f aca="false">parametros_recargas!$E$91*'Plan mensual'!O181+parametros_recargas!$F$91*'Plan mensual'!O182+parametros_recargas!$G$91*'Plan mensual'!O183+parametros_recargas!$H$91*'Plan mensual'!O184+parametros_recargas!$I$91*'Plan mensual'!O185+parametros_recargas!$J$91*'Plan mensual'!O186+parametros_recargas!$K$91*'Plan mensual'!O187+parametros_recargas!$L$91*'Plan mensual'!O188</f>
        <v>402.9911509503</v>
      </c>
      <c r="N181" s="7" t="n">
        <f aca="false">SUM(B181:M181)</f>
        <v>4415.74592701404</v>
      </c>
      <c r="O181" s="26" t="n">
        <f aca="false">MAX(B181:M181)</f>
        <v>402.9911509503</v>
      </c>
      <c r="P181" s="15" t="n">
        <f aca="false">O181/parametros_recargas!$B$6</f>
        <v>2.686607673002</v>
      </c>
    </row>
    <row r="182" customFormat="false" ht="15" hidden="false" customHeight="false" outlineLevel="0" collapsed="false">
      <c r="A182" s="12" t="str">
        <f aca="false">parametros_recargas!$B$92</f>
        <v>Ensamblaje y marbete — recinto</v>
      </c>
      <c r="B182" s="25" t="n">
        <f aca="false">parametros_recargas!$E$92*'Plan mensual'!D181+parametros_recargas!$F$92*'Plan mensual'!D182+parametros_recargas!$G$92*'Plan mensual'!D183+parametros_recargas!$H$92*'Plan mensual'!D184+parametros_recargas!$I$92*'Plan mensual'!D185+parametros_recargas!$J$92*'Plan mensual'!D186+parametros_recargas!$K$92*'Plan mensual'!D187+parametros_recargas!$L$92*'Plan mensual'!D188</f>
        <v>11447.7756171046</v>
      </c>
      <c r="C182" s="25" t="n">
        <f aca="false">parametros_recargas!$E$92*'Plan mensual'!E181+parametros_recargas!$F$92*'Plan mensual'!E182+parametros_recargas!$G$92*'Plan mensual'!E183+parametros_recargas!$H$92*'Plan mensual'!E184+parametros_recargas!$I$92*'Plan mensual'!E185+parametros_recargas!$J$92*'Plan mensual'!E186+parametros_recargas!$K$92*'Plan mensual'!E187+parametros_recargas!$L$92*'Plan mensual'!E188</f>
        <v>11647.2565559682</v>
      </c>
      <c r="D182" s="25" t="n">
        <f aca="false">parametros_recargas!$E$92*'Plan mensual'!F181+parametros_recargas!$F$92*'Plan mensual'!F182+parametros_recargas!$G$92*'Plan mensual'!F183+parametros_recargas!$H$92*'Plan mensual'!F184+parametros_recargas!$I$92*'Plan mensual'!F185+parametros_recargas!$J$92*'Plan mensual'!F186+parametros_recargas!$K$92*'Plan mensual'!F187+parametros_recargas!$L$92*'Plan mensual'!F188</f>
        <v>11850.3724860564</v>
      </c>
      <c r="E182" s="25" t="n">
        <f aca="false">parametros_recargas!$E$92*'Plan mensual'!G181+parametros_recargas!$F$92*'Plan mensual'!G182+parametros_recargas!$G$92*'Plan mensual'!G183+parametros_recargas!$H$92*'Plan mensual'!G184+parametros_recargas!$I$92*'Plan mensual'!G185+parametros_recargas!$J$92*'Plan mensual'!G186+parametros_recargas!$K$92*'Plan mensual'!G187+parametros_recargas!$L$92*'Plan mensual'!G188</f>
        <v>12057.1896450824</v>
      </c>
      <c r="F182" s="25" t="n">
        <f aca="false">parametros_recargas!$E$92*'Plan mensual'!H181+parametros_recargas!$F$92*'Plan mensual'!H182+parametros_recargas!$G$92*'Plan mensual'!H183+parametros_recargas!$H$92*'Plan mensual'!H184+parametros_recargas!$I$92*'Plan mensual'!H185+parametros_recargas!$J$92*'Plan mensual'!H186+parametros_recargas!$K$92*'Plan mensual'!H187+parametros_recargas!$L$92*'Plan mensual'!H188</f>
        <v>12267.7754777593</v>
      </c>
      <c r="G182" s="25" t="n">
        <f aca="false">parametros_recargas!$E$92*'Plan mensual'!I181+parametros_recargas!$F$92*'Plan mensual'!I182+parametros_recargas!$G$92*'Plan mensual'!I183+parametros_recargas!$H$92*'Plan mensual'!I184+parametros_recargas!$I$92*'Plan mensual'!I185+parametros_recargas!$J$92*'Plan mensual'!I186+parametros_recargas!$K$92*'Plan mensual'!I187+parametros_recargas!$L$92*'Plan mensual'!I188</f>
        <v>12482.1986577947</v>
      </c>
      <c r="H182" s="25" t="n">
        <f aca="false">parametros_recargas!$E$92*'Plan mensual'!J181+parametros_recargas!$F$92*'Plan mensual'!J182+parametros_recargas!$G$92*'Plan mensual'!J183+parametros_recargas!$H$92*'Plan mensual'!J184+parametros_recargas!$I$92*'Plan mensual'!J185+parametros_recargas!$J$92*'Plan mensual'!J186+parametros_recargas!$K$92*'Plan mensual'!J187+parametros_recargas!$L$92*'Plan mensual'!J188</f>
        <v>12700.5291102855</v>
      </c>
      <c r="I182" s="25" t="n">
        <f aca="false">parametros_recargas!$E$92*'Plan mensual'!K181+parametros_recargas!$F$92*'Plan mensual'!K182+parametros_recargas!$G$92*'Plan mensual'!K183+parametros_recargas!$H$92*'Plan mensual'!K184+parametros_recargas!$I$92*'Plan mensual'!K185+parametros_recargas!$J$92*'Plan mensual'!K186+parametros_recargas!$K$92*'Plan mensual'!K187+parametros_recargas!$L$92*'Plan mensual'!K188</f>
        <v>12922.8380345209</v>
      </c>
      <c r="J182" s="25" t="n">
        <f aca="false">parametros_recargas!$E$92*'Plan mensual'!L181+parametros_recargas!$F$92*'Plan mensual'!L182+parametros_recargas!$G$92*'Plan mensual'!L183+parametros_recargas!$H$92*'Plan mensual'!L184+parametros_recargas!$I$92*'Plan mensual'!L185+parametros_recargas!$J$92*'Plan mensual'!L186+parametros_recargas!$K$92*'Plan mensual'!L187+parametros_recargas!$L$92*'Plan mensual'!L188</f>
        <v>13149.1979272015</v>
      </c>
      <c r="K182" s="25" t="n">
        <f aca="false">parametros_recargas!$E$92*'Plan mensual'!M181+parametros_recargas!$F$92*'Plan mensual'!M182+parametros_recargas!$G$92*'Plan mensual'!M183+parametros_recargas!$H$92*'Plan mensual'!M184+parametros_recargas!$I$92*'Plan mensual'!M185+parametros_recargas!$J$92*'Plan mensual'!M186+parametros_recargas!$K$92*'Plan mensual'!M187+parametros_recargas!$L$92*'Plan mensual'!M188</f>
        <v>13379.6826060807</v>
      </c>
      <c r="L182" s="25" t="n">
        <f aca="false">parametros_recargas!$E$92*'Plan mensual'!N181+parametros_recargas!$F$92*'Plan mensual'!N182+parametros_recargas!$G$92*'Plan mensual'!N183+parametros_recargas!$H$92*'Plan mensual'!N184+parametros_recargas!$I$92*'Plan mensual'!N185+parametros_recargas!$J$92*'Plan mensual'!N186+parametros_recargas!$K$92*'Plan mensual'!N187+parametros_recargas!$L$92*'Plan mensual'!N188</f>
        <v>13614.3672340372</v>
      </c>
      <c r="M182" s="25" t="n">
        <f aca="false">parametros_recargas!$E$92*'Plan mensual'!O181+parametros_recargas!$F$92*'Plan mensual'!O182+parametros_recargas!$G$92*'Plan mensual'!O183+parametros_recargas!$H$92*'Plan mensual'!O184+parametros_recargas!$I$92*'Plan mensual'!O185+parametros_recargas!$J$92*'Plan mensual'!O186+parametros_recargas!$K$92*'Plan mensual'!O187+parametros_recargas!$L$92*'Plan mensual'!O188</f>
        <v>13853.3283435867</v>
      </c>
      <c r="N182" s="7" t="n">
        <f aca="false">SUM(B182:M182)</f>
        <v>151372.511695478</v>
      </c>
      <c r="O182" s="26" t="n">
        <f aca="false">MAX(B182:M182)</f>
        <v>13853.3283435867</v>
      </c>
      <c r="P182" s="15" t="n">
        <f aca="false">O182/parametros_recargas!$B$6</f>
        <v>92.3555222905779</v>
      </c>
    </row>
    <row r="183" customFormat="false" ht="15" hidden="false" customHeight="false" outlineLevel="0" collapsed="false">
      <c r="A183" s="12" t="str">
        <f aca="false">parametros_recargas!$B$93</f>
        <v>Presurización — recinto</v>
      </c>
      <c r="B183" s="25" t="n">
        <f aca="false">parametros_recargas!$E$93*'Plan mensual'!D181+parametros_recargas!$F$93*'Plan mensual'!D182+parametros_recargas!$G$93*'Plan mensual'!D183+parametros_recargas!$H$93*'Plan mensual'!D184+parametros_recargas!$I$93*'Plan mensual'!D185+parametros_recargas!$J$93*'Plan mensual'!D186+parametros_recargas!$K$93*'Plan mensual'!D187+parametros_recargas!$L$93*'Plan mensual'!D188</f>
        <v>11447.7756171046</v>
      </c>
      <c r="C183" s="25" t="n">
        <f aca="false">parametros_recargas!$E$93*'Plan mensual'!E181+parametros_recargas!$F$93*'Plan mensual'!E182+parametros_recargas!$G$93*'Plan mensual'!E183+parametros_recargas!$H$93*'Plan mensual'!E184+parametros_recargas!$I$93*'Plan mensual'!E185+parametros_recargas!$J$93*'Plan mensual'!E186+parametros_recargas!$K$93*'Plan mensual'!E187+parametros_recargas!$L$93*'Plan mensual'!E188</f>
        <v>11647.2565559682</v>
      </c>
      <c r="D183" s="25" t="n">
        <f aca="false">parametros_recargas!$E$93*'Plan mensual'!F181+parametros_recargas!$F$93*'Plan mensual'!F182+parametros_recargas!$G$93*'Plan mensual'!F183+parametros_recargas!$H$93*'Plan mensual'!F184+parametros_recargas!$I$93*'Plan mensual'!F185+parametros_recargas!$J$93*'Plan mensual'!F186+parametros_recargas!$K$93*'Plan mensual'!F187+parametros_recargas!$L$93*'Plan mensual'!F188</f>
        <v>11850.3724860564</v>
      </c>
      <c r="E183" s="25" t="n">
        <f aca="false">parametros_recargas!$E$93*'Plan mensual'!G181+parametros_recargas!$F$93*'Plan mensual'!G182+parametros_recargas!$G$93*'Plan mensual'!G183+parametros_recargas!$H$93*'Plan mensual'!G184+parametros_recargas!$I$93*'Plan mensual'!G185+parametros_recargas!$J$93*'Plan mensual'!G186+parametros_recargas!$K$93*'Plan mensual'!G187+parametros_recargas!$L$93*'Plan mensual'!G188</f>
        <v>12057.1896450824</v>
      </c>
      <c r="F183" s="25" t="n">
        <f aca="false">parametros_recargas!$E$93*'Plan mensual'!H181+parametros_recargas!$F$93*'Plan mensual'!H182+parametros_recargas!$G$93*'Plan mensual'!H183+parametros_recargas!$H$93*'Plan mensual'!H184+parametros_recargas!$I$93*'Plan mensual'!H185+parametros_recargas!$J$93*'Plan mensual'!H186+parametros_recargas!$K$93*'Plan mensual'!H187+parametros_recargas!$L$93*'Plan mensual'!H188</f>
        <v>12267.7754777593</v>
      </c>
      <c r="G183" s="25" t="n">
        <f aca="false">parametros_recargas!$E$93*'Plan mensual'!I181+parametros_recargas!$F$93*'Plan mensual'!I182+parametros_recargas!$G$93*'Plan mensual'!I183+parametros_recargas!$H$93*'Plan mensual'!I184+parametros_recargas!$I$93*'Plan mensual'!I185+parametros_recargas!$J$93*'Plan mensual'!I186+parametros_recargas!$K$93*'Plan mensual'!I187+parametros_recargas!$L$93*'Plan mensual'!I188</f>
        <v>12482.1986577947</v>
      </c>
      <c r="H183" s="25" t="n">
        <f aca="false">parametros_recargas!$E$93*'Plan mensual'!J181+parametros_recargas!$F$93*'Plan mensual'!J182+parametros_recargas!$G$93*'Plan mensual'!J183+parametros_recargas!$H$93*'Plan mensual'!J184+parametros_recargas!$I$93*'Plan mensual'!J185+parametros_recargas!$J$93*'Plan mensual'!J186+parametros_recargas!$K$93*'Plan mensual'!J187+parametros_recargas!$L$93*'Plan mensual'!J188</f>
        <v>12700.5291102855</v>
      </c>
      <c r="I183" s="25" t="n">
        <f aca="false">parametros_recargas!$E$93*'Plan mensual'!K181+parametros_recargas!$F$93*'Plan mensual'!K182+parametros_recargas!$G$93*'Plan mensual'!K183+parametros_recargas!$H$93*'Plan mensual'!K184+parametros_recargas!$I$93*'Plan mensual'!K185+parametros_recargas!$J$93*'Plan mensual'!K186+parametros_recargas!$K$93*'Plan mensual'!K187+parametros_recargas!$L$93*'Plan mensual'!K188</f>
        <v>12922.8380345209</v>
      </c>
      <c r="J183" s="25" t="n">
        <f aca="false">parametros_recargas!$E$93*'Plan mensual'!L181+parametros_recargas!$F$93*'Plan mensual'!L182+parametros_recargas!$G$93*'Plan mensual'!L183+parametros_recargas!$H$93*'Plan mensual'!L184+parametros_recargas!$I$93*'Plan mensual'!L185+parametros_recargas!$J$93*'Plan mensual'!L186+parametros_recargas!$K$93*'Plan mensual'!L187+parametros_recargas!$L$93*'Plan mensual'!L188</f>
        <v>13149.1979272015</v>
      </c>
      <c r="K183" s="25" t="n">
        <f aca="false">parametros_recargas!$E$93*'Plan mensual'!M181+parametros_recargas!$F$93*'Plan mensual'!M182+parametros_recargas!$G$93*'Plan mensual'!M183+parametros_recargas!$H$93*'Plan mensual'!M184+parametros_recargas!$I$93*'Plan mensual'!M185+parametros_recargas!$J$93*'Plan mensual'!M186+parametros_recargas!$K$93*'Plan mensual'!M187+parametros_recargas!$L$93*'Plan mensual'!M188</f>
        <v>13379.6826060807</v>
      </c>
      <c r="L183" s="25" t="n">
        <f aca="false">parametros_recargas!$E$93*'Plan mensual'!N181+parametros_recargas!$F$93*'Plan mensual'!N182+parametros_recargas!$G$93*'Plan mensual'!N183+parametros_recargas!$H$93*'Plan mensual'!N184+parametros_recargas!$I$93*'Plan mensual'!N185+parametros_recargas!$J$93*'Plan mensual'!N186+parametros_recargas!$K$93*'Plan mensual'!N187+parametros_recargas!$L$93*'Plan mensual'!N188</f>
        <v>13614.3672340372</v>
      </c>
      <c r="M183" s="25" t="n">
        <f aca="false">parametros_recargas!$E$93*'Plan mensual'!O181+parametros_recargas!$F$93*'Plan mensual'!O182+parametros_recargas!$G$93*'Plan mensual'!O183+parametros_recargas!$H$93*'Plan mensual'!O184+parametros_recargas!$I$93*'Plan mensual'!O185+parametros_recargas!$J$93*'Plan mensual'!O186+parametros_recargas!$K$93*'Plan mensual'!O187+parametros_recargas!$L$93*'Plan mensual'!O188</f>
        <v>13853.3283435867</v>
      </c>
      <c r="N183" s="7" t="n">
        <f aca="false">SUM(B183:M183)</f>
        <v>151372.511695478</v>
      </c>
      <c r="O183" s="26" t="n">
        <f aca="false">MAX(B183:M183)</f>
        <v>13853.3283435867</v>
      </c>
      <c r="P183" s="15" t="n">
        <f aca="false">O183/parametros_recargas!$B$6</f>
        <v>92.3555222905779</v>
      </c>
    </row>
    <row r="184" customFormat="false" ht="15" hidden="false" customHeight="false" outlineLevel="0" collapsed="false">
      <c r="A184" s="12" t="str">
        <f aca="false">parametros_recargas!$B$94</f>
        <v>Ensamblaje y presurización — zona general</v>
      </c>
      <c r="B184" s="25" t="n">
        <f aca="false">parametros_recargas!$E$94*'Plan mensual'!D181+parametros_recargas!$F$94*'Plan mensual'!D182+parametros_recargas!$G$94*'Plan mensual'!D183+parametros_recargas!$H$94*'Plan mensual'!D184+parametros_recargas!$I$94*'Plan mensual'!D185+parametros_recargas!$J$94*'Plan mensual'!D186+parametros_recargas!$K$94*'Plan mensual'!D187+parametros_recargas!$L$94*'Plan mensual'!D188</f>
        <v>896.695097869177</v>
      </c>
      <c r="C184" s="25" t="n">
        <f aca="false">parametros_recargas!$E$94*'Plan mensual'!E181+parametros_recargas!$F$94*'Plan mensual'!E182+parametros_recargas!$G$94*'Plan mensual'!E183+parametros_recargas!$H$94*'Plan mensual'!E184+parametros_recargas!$I$94*'Plan mensual'!E185+parametros_recargas!$J$94*'Plan mensual'!E186+parametros_recargas!$K$94*'Plan mensual'!E187+parametros_recargas!$L$94*'Plan mensual'!E188</f>
        <v>911.774906153984</v>
      </c>
      <c r="D184" s="25" t="n">
        <f aca="false">parametros_recargas!$E$94*'Plan mensual'!F181+parametros_recargas!$F$94*'Plan mensual'!F182+parametros_recargas!$G$94*'Plan mensual'!F183+parametros_recargas!$H$94*'Plan mensual'!F184+parametros_recargas!$I$94*'Plan mensual'!F185+parametros_recargas!$J$94*'Plan mensual'!F186+parametros_recargas!$K$94*'Plan mensual'!F187+parametros_recargas!$L$94*'Plan mensual'!F188</f>
        <v>927.129502451602</v>
      </c>
      <c r="E184" s="25" t="n">
        <f aca="false">parametros_recargas!$E$94*'Plan mensual'!G181+parametros_recargas!$F$94*'Plan mensual'!G182+parametros_recargas!$G$94*'Plan mensual'!G183+parametros_recargas!$H$94*'Plan mensual'!G184+parametros_recargas!$I$94*'Plan mensual'!G185+parametros_recargas!$J$94*'Plan mensual'!G186+parametros_recargas!$K$94*'Plan mensual'!G187+parametros_recargas!$L$94*'Plan mensual'!G188</f>
        <v>942.763894017469</v>
      </c>
      <c r="F184" s="25" t="n">
        <f aca="false">parametros_recargas!$E$94*'Plan mensual'!H181+parametros_recargas!$F$94*'Plan mensual'!H182+parametros_recargas!$G$94*'Plan mensual'!H183+parametros_recargas!$H$94*'Plan mensual'!H184+parametros_recargas!$I$94*'Plan mensual'!H185+parametros_recargas!$J$94*'Plan mensual'!H186+parametros_recargas!$K$94*'Plan mensual'!H187+parametros_recargas!$L$94*'Plan mensual'!H188</f>
        <v>958.68317935047</v>
      </c>
      <c r="G184" s="25" t="n">
        <f aca="false">parametros_recargas!$E$94*'Plan mensual'!I181+parametros_recargas!$F$94*'Plan mensual'!I182+parametros_recargas!$G$94*'Plan mensual'!I183+parametros_recargas!$H$94*'Plan mensual'!I184+parametros_recargas!$I$94*'Plan mensual'!I185+parametros_recargas!$J$94*'Plan mensual'!I186+parametros_recargas!$K$94*'Plan mensual'!I187+parametros_recargas!$L$94*'Plan mensual'!I188</f>
        <v>974.892549855605</v>
      </c>
      <c r="H184" s="25" t="n">
        <f aca="false">parametros_recargas!$E$94*'Plan mensual'!J181+parametros_recargas!$F$94*'Plan mensual'!J182+parametros_recargas!$G$94*'Plan mensual'!J183+parametros_recargas!$H$94*'Plan mensual'!J184+parametros_recargas!$I$94*'Plan mensual'!J185+parametros_recargas!$J$94*'Plan mensual'!J186+parametros_recargas!$K$94*'Plan mensual'!J187+parametros_recargas!$L$94*'Plan mensual'!J188</f>
        <v>991.397291536947</v>
      </c>
      <c r="I184" s="25" t="n">
        <f aca="false">parametros_recargas!$E$94*'Plan mensual'!K181+parametros_recargas!$F$94*'Plan mensual'!K182+parametros_recargas!$G$94*'Plan mensual'!K183+parametros_recargas!$H$94*'Plan mensual'!K184+parametros_recargas!$I$94*'Plan mensual'!K185+parametros_recargas!$J$94*'Plan mensual'!K186+parametros_recargas!$K$94*'Plan mensual'!K187+parametros_recargas!$L$94*'Plan mensual'!K188</f>
        <v>1008.20278672145</v>
      </c>
      <c r="J184" s="25" t="n">
        <f aca="false">parametros_recargas!$E$94*'Plan mensual'!L181+parametros_recargas!$F$94*'Plan mensual'!L182+parametros_recargas!$G$94*'Plan mensual'!L183+parametros_recargas!$H$94*'Plan mensual'!L184+parametros_recargas!$I$94*'Plan mensual'!L185+parametros_recargas!$J$94*'Plan mensual'!L186+parametros_recargas!$K$94*'Plan mensual'!L187+parametros_recargas!$L$94*'Plan mensual'!L188</f>
        <v>1025.31451581416</v>
      </c>
      <c r="K184" s="25" t="n">
        <f aca="false">parametros_recargas!$E$94*'Plan mensual'!M181+parametros_recargas!$F$94*'Plan mensual'!M182+parametros_recargas!$G$94*'Plan mensual'!M183+parametros_recargas!$H$94*'Plan mensual'!M184+parametros_recargas!$I$94*'Plan mensual'!M185+parametros_recargas!$J$94*'Plan mensual'!M186+parametros_recargas!$K$94*'Plan mensual'!M187+parametros_recargas!$L$94*'Plan mensual'!M188</f>
        <v>1042.73805908542</v>
      </c>
      <c r="L184" s="25" t="n">
        <f aca="false">parametros_recargas!$E$94*'Plan mensual'!N181+parametros_recargas!$F$94*'Plan mensual'!N182+parametros_recargas!$G$94*'Plan mensual'!N183+parametros_recargas!$H$94*'Plan mensual'!N184+parametros_recargas!$I$94*'Plan mensual'!N185+parametros_recargas!$J$94*'Plan mensual'!N186+parametros_recargas!$K$94*'Plan mensual'!N187+parametros_recargas!$L$94*'Plan mensual'!N188</f>
        <v>1060.47909849068</v>
      </c>
      <c r="M184" s="25" t="n">
        <f aca="false">parametros_recargas!$E$94*'Plan mensual'!O181+parametros_recargas!$F$94*'Plan mensual'!O182+parametros_recargas!$G$94*'Plan mensual'!O183+parametros_recargas!$H$94*'Plan mensual'!O184+parametros_recargas!$I$94*'Plan mensual'!O185+parametros_recargas!$J$94*'Plan mensual'!O186+parametros_recargas!$K$94*'Plan mensual'!O187+parametros_recargas!$L$94*'Plan mensual'!O188</f>
        <v>1078.54341952335</v>
      </c>
      <c r="N184" s="7" t="n">
        <f aca="false">SUM(B184:M184)</f>
        <v>11818.6143008703</v>
      </c>
      <c r="O184" s="26" t="n">
        <f aca="false">MAX(B184:M184)</f>
        <v>1078.54341952335</v>
      </c>
      <c r="P184" s="15" t="n">
        <f aca="false">O184/parametros_recargas!$B$6</f>
        <v>7.19028946348897</v>
      </c>
    </row>
    <row r="185" customFormat="false" ht="15" hidden="false" customHeight="false" outlineLevel="0" collapsed="false">
      <c r="A185" s="12" t="str">
        <f aca="false">parametros_recargas!$B$95</f>
        <v>Carga y presurización de halogenado</v>
      </c>
      <c r="B185" s="25" t="n">
        <f aca="false">parametros_recargas!$E$95*'Plan mensual'!D181+parametros_recargas!$F$95*'Plan mensual'!D182+parametros_recargas!$G$95*'Plan mensual'!D183+parametros_recargas!$H$95*'Plan mensual'!D184+parametros_recargas!$I$95*'Plan mensual'!D185+parametros_recargas!$J$95*'Plan mensual'!D186+parametros_recargas!$K$95*'Plan mensual'!D187+parametros_recargas!$L$95*'Plan mensual'!D188</f>
        <v>10.9626765438587</v>
      </c>
      <c r="C185" s="25" t="n">
        <f aca="false">parametros_recargas!$E$95*'Plan mensual'!E181+parametros_recargas!$F$95*'Plan mensual'!E182+parametros_recargas!$G$95*'Plan mensual'!E183+parametros_recargas!$H$95*'Plan mensual'!E184+parametros_recargas!$I$95*'Plan mensual'!E185+parametros_recargas!$J$95*'Plan mensual'!E186+parametros_recargas!$K$95*'Plan mensual'!E187+parametros_recargas!$L$95*'Plan mensual'!E188</f>
        <v>11.1468763220781</v>
      </c>
      <c r="D185" s="25" t="n">
        <f aca="false">parametros_recargas!$E$95*'Plan mensual'!F181+parametros_recargas!$F$95*'Plan mensual'!F182+parametros_recargas!$G$95*'Plan mensual'!F183+parametros_recargas!$H$95*'Plan mensual'!F184+parametros_recargas!$I$95*'Plan mensual'!F185+parametros_recargas!$J$95*'Plan mensual'!F186+parametros_recargas!$K$95*'Plan mensual'!F187+parametros_recargas!$L$95*'Plan mensual'!F188</f>
        <v>11.3344326344166</v>
      </c>
      <c r="E185" s="25" t="n">
        <f aca="false">parametros_recargas!$E$95*'Plan mensual'!G181+parametros_recargas!$F$95*'Plan mensual'!G182+parametros_recargas!$G$95*'Plan mensual'!G183+parametros_recargas!$H$95*'Plan mensual'!G184+parametros_recargas!$I$95*'Plan mensual'!G185+parametros_recargas!$J$95*'Plan mensual'!G186+parametros_recargas!$K$95*'Plan mensual'!G187+parametros_recargas!$L$95*'Plan mensual'!G188</f>
        <v>11.5254066444727</v>
      </c>
      <c r="F185" s="25" t="n">
        <f aca="false">parametros_recargas!$E$95*'Plan mensual'!H181+parametros_recargas!$F$95*'Plan mensual'!H182+parametros_recargas!$G$95*'Plan mensual'!H183+parametros_recargas!$H$95*'Plan mensual'!H184+parametros_recargas!$I$95*'Plan mensual'!H185+parametros_recargas!$J$95*'Plan mensual'!H186+parametros_recargas!$K$95*'Plan mensual'!H187+parametros_recargas!$L$95*'Plan mensual'!H188</f>
        <v>11.7198606303835</v>
      </c>
      <c r="G185" s="25" t="n">
        <f aca="false">parametros_recargas!$E$95*'Plan mensual'!I181+parametros_recargas!$F$95*'Plan mensual'!I182+parametros_recargas!$G$95*'Plan mensual'!I183+parametros_recargas!$H$95*'Plan mensual'!I184+parametros_recargas!$I$95*'Plan mensual'!I185+parametros_recargas!$J$95*'Plan mensual'!I186+parametros_recargas!$K$95*'Plan mensual'!I187+parametros_recargas!$L$95*'Plan mensual'!I188</f>
        <v>11.9178580051333</v>
      </c>
      <c r="H185" s="25" t="n">
        <f aca="false">parametros_recargas!$E$95*'Plan mensual'!J181+parametros_recargas!$F$95*'Plan mensual'!J182+parametros_recargas!$G$95*'Plan mensual'!J183+parametros_recargas!$H$95*'Plan mensual'!J184+parametros_recargas!$I$95*'Plan mensual'!J185+parametros_recargas!$J$95*'Plan mensual'!J186+parametros_recargas!$K$95*'Plan mensual'!J187+parametros_recargas!$L$95*'Plan mensual'!J188</f>
        <v>12.1194633372339</v>
      </c>
      <c r="I185" s="25" t="n">
        <f aca="false">parametros_recargas!$E$95*'Plan mensual'!K181+parametros_recargas!$F$95*'Plan mensual'!K182+parametros_recargas!$G$95*'Plan mensual'!K183+parametros_recargas!$H$95*'Plan mensual'!K184+parametros_recargas!$I$95*'Plan mensual'!K185+parametros_recargas!$J$95*'Plan mensual'!K186+parametros_recargas!$K$95*'Plan mensual'!K187+parametros_recargas!$L$95*'Plan mensual'!K188</f>
        <v>12.3247423717804</v>
      </c>
      <c r="J185" s="25" t="n">
        <f aca="false">parametros_recargas!$E$95*'Plan mensual'!L181+parametros_recargas!$F$95*'Plan mensual'!L182+parametros_recargas!$G$95*'Plan mensual'!L183+parametros_recargas!$H$95*'Plan mensual'!L184+parametros_recargas!$I$95*'Plan mensual'!L185+parametros_recargas!$J$95*'Plan mensual'!L186+parametros_recargas!$K$95*'Plan mensual'!L187+parametros_recargas!$L$95*'Plan mensual'!L188</f>
        <v>12.5337620518915</v>
      </c>
      <c r="K185" s="25" t="n">
        <f aca="false">parametros_recargas!$E$95*'Plan mensual'!M181+parametros_recargas!$F$95*'Plan mensual'!M182+parametros_recargas!$G$95*'Plan mensual'!M183+parametros_recargas!$H$95*'Plan mensual'!M184+parametros_recargas!$I$95*'Plan mensual'!M185+parametros_recargas!$J$95*'Plan mensual'!M186+parametros_recargas!$K$95*'Plan mensual'!M187+parametros_recargas!$L$95*'Plan mensual'!M188</f>
        <v>12.74659054054</v>
      </c>
      <c r="L185" s="25" t="n">
        <f aca="false">parametros_recargas!$E$95*'Plan mensual'!N181+parametros_recargas!$F$95*'Plan mensual'!N182+parametros_recargas!$G$95*'Plan mensual'!N183+parametros_recargas!$H$95*'Plan mensual'!N184+parametros_recargas!$I$95*'Plan mensual'!N185+parametros_recargas!$J$95*'Plan mensual'!N186+parametros_recargas!$K$95*'Plan mensual'!N187+parametros_recargas!$L$95*'Plan mensual'!N188</f>
        <v>12.9632972427811</v>
      </c>
      <c r="M185" s="25" t="n">
        <f aca="false">parametros_recargas!$E$95*'Plan mensual'!O181+parametros_recargas!$F$95*'Plan mensual'!O182+parametros_recargas!$G$95*'Plan mensual'!O183+parametros_recargas!$H$95*'Plan mensual'!O184+parametros_recargas!$I$95*'Plan mensual'!O185+parametros_recargas!$J$95*'Plan mensual'!O186+parametros_recargas!$K$95*'Plan mensual'!O187+parametros_recargas!$L$95*'Plan mensual'!O188</f>
        <v>13.1839528283865</v>
      </c>
      <c r="N185" s="7" t="n">
        <f aca="false">SUM(B185:M185)</f>
        <v>144.478919152956</v>
      </c>
      <c r="O185" s="26" t="n">
        <f aca="false">MAX(B185:M185)</f>
        <v>13.1839528283865</v>
      </c>
      <c r="P185" s="15" t="n">
        <f aca="false">O185/parametros_recargas!$B$6</f>
        <v>0.0878930188559103</v>
      </c>
    </row>
    <row r="186" customFormat="false" ht="15" hidden="false" customHeight="false" outlineLevel="0" collapsed="false">
      <c r="A186" s="12" t="str">
        <f aca="false">parametros_recargas!$B$96</f>
        <v>Control de peso (CO₂ y halogenados sin recarga)</v>
      </c>
      <c r="B186" s="25" t="n">
        <f aca="false">parametros_recargas!$E$96*'Plan mensual'!D181+parametros_recargas!$F$96*'Plan mensual'!D182+parametros_recargas!$G$96*'Plan mensual'!D183+parametros_recargas!$H$96*'Plan mensual'!D184+parametros_recargas!$I$96*'Plan mensual'!D185+parametros_recargas!$J$96*'Plan mensual'!D186+parametros_recargas!$K$96*'Plan mensual'!D187+parametros_recargas!$L$96*'Plan mensual'!D188</f>
        <v>814.580698811069</v>
      </c>
      <c r="C186" s="25" t="n">
        <f aca="false">parametros_recargas!$E$96*'Plan mensual'!E181+parametros_recargas!$F$96*'Plan mensual'!E182+parametros_recargas!$G$96*'Plan mensual'!E183+parametros_recargas!$H$96*'Plan mensual'!E184+parametros_recargas!$I$96*'Plan mensual'!E185+parametros_recargas!$J$96*'Plan mensual'!E186+parametros_recargas!$K$96*'Plan mensual'!E187+parametros_recargas!$L$96*'Plan mensual'!E188</f>
        <v>828.286894589469</v>
      </c>
      <c r="D186" s="25" t="n">
        <f aca="false">parametros_recargas!$E$96*'Plan mensual'!F181+parametros_recargas!$F$96*'Plan mensual'!F182+parametros_recargas!$G$96*'Plan mensual'!F183+parametros_recargas!$H$96*'Plan mensual'!F184+parametros_recargas!$I$96*'Plan mensual'!F185+parametros_recargas!$J$96*'Plan mensual'!F186+parametros_recargas!$K$96*'Plan mensual'!F187+parametros_recargas!$L$96*'Plan mensual'!F188</f>
        <v>842.242848072346</v>
      </c>
      <c r="E186" s="25" t="n">
        <f aca="false">parametros_recargas!$E$96*'Plan mensual'!G181+parametros_recargas!$F$96*'Plan mensual'!G182+parametros_recargas!$G$96*'Plan mensual'!G183+parametros_recargas!$H$96*'Plan mensual'!G184+parametros_recargas!$I$96*'Plan mensual'!G185+parametros_recargas!$J$96*'Plan mensual'!G186+parametros_recargas!$K$96*'Plan mensual'!G187+parametros_recargas!$L$96*'Plan mensual'!G188</f>
        <v>856.453110406638</v>
      </c>
      <c r="F186" s="25" t="n">
        <f aca="false">parametros_recargas!$E$96*'Plan mensual'!H181+parametros_recargas!$F$96*'Plan mensual'!H182+parametros_recargas!$G$96*'Plan mensual'!H183+parametros_recargas!$H$96*'Plan mensual'!H184+parametros_recargas!$I$96*'Plan mensual'!H185+parametros_recargas!$J$96*'Plan mensual'!H186+parametros_recargas!$K$96*'Plan mensual'!H187+parametros_recargas!$L$96*'Plan mensual'!H188</f>
        <v>870.922315671413</v>
      </c>
      <c r="G186" s="25" t="n">
        <f aca="false">parametros_recargas!$E$96*'Plan mensual'!I181+parametros_recargas!$F$96*'Plan mensual'!I182+parametros_recargas!$G$96*'Plan mensual'!I183+parametros_recargas!$H$96*'Plan mensual'!I184+parametros_recargas!$I$96*'Plan mensual'!I185+parametros_recargas!$J$96*'Plan mensual'!I186+parametros_recargas!$K$96*'Plan mensual'!I187+parametros_recargas!$L$96*'Plan mensual'!I188</f>
        <v>885.655182389079</v>
      </c>
      <c r="H186" s="25" t="n">
        <f aca="false">parametros_recargas!$E$96*'Plan mensual'!J181+parametros_recargas!$F$96*'Plan mensual'!J182+parametros_recargas!$G$96*'Plan mensual'!J183+parametros_recargas!$H$96*'Plan mensual'!J184+parametros_recargas!$I$96*'Plan mensual'!J185+parametros_recargas!$J$96*'Plan mensual'!J186+parametros_recargas!$K$96*'Plan mensual'!J187+parametros_recargas!$L$96*'Plan mensual'!J188</f>
        <v>900.656515064131</v>
      </c>
      <c r="I186" s="25" t="n">
        <f aca="false">parametros_recargas!$E$96*'Plan mensual'!K181+parametros_recargas!$F$96*'Plan mensual'!K182+parametros_recargas!$G$96*'Plan mensual'!K183+parametros_recargas!$H$96*'Plan mensual'!K184+parametros_recargas!$I$96*'Plan mensual'!K185+parametros_recargas!$J$96*'Plan mensual'!K186+parametros_recargas!$K$96*'Plan mensual'!K187+parametros_recargas!$L$96*'Plan mensual'!K188</f>
        <v>915.931205749939</v>
      </c>
      <c r="J186" s="25" t="n">
        <f aca="false">parametros_recargas!$E$96*'Plan mensual'!L181+parametros_recargas!$F$96*'Plan mensual'!L182+parametros_recargas!$G$96*'Plan mensual'!L183+parametros_recargas!$H$96*'Plan mensual'!L184+parametros_recargas!$I$96*'Plan mensual'!L185+parametros_recargas!$J$96*'Plan mensual'!L186+parametros_recargas!$K$96*'Plan mensual'!L187+parametros_recargas!$L$96*'Plan mensual'!L188</f>
        <v>931.484235644086</v>
      </c>
      <c r="K186" s="25" t="n">
        <f aca="false">parametros_recargas!$E$96*'Plan mensual'!M181+parametros_recargas!$F$96*'Plan mensual'!M182+parametros_recargas!$G$96*'Plan mensual'!M183+parametros_recargas!$H$96*'Plan mensual'!M184+parametros_recargas!$I$96*'Plan mensual'!M185+parametros_recargas!$J$96*'Plan mensual'!M186+parametros_recargas!$K$96*'Plan mensual'!M187+parametros_recargas!$L$96*'Plan mensual'!M188</f>
        <v>947.320676712773</v>
      </c>
      <c r="L186" s="25" t="n">
        <f aca="false">parametros_recargas!$E$96*'Plan mensual'!N181+parametros_recargas!$F$96*'Plan mensual'!N182+parametros_recargas!$G$96*'Plan mensual'!N183+parametros_recargas!$H$96*'Plan mensual'!N184+parametros_recargas!$I$96*'Plan mensual'!N185+parametros_recargas!$J$96*'Plan mensual'!N186+parametros_recargas!$K$96*'Plan mensual'!N187+parametros_recargas!$L$96*'Plan mensual'!N188</f>
        <v>963.445693344829</v>
      </c>
      <c r="M186" s="25" t="n">
        <f aca="false">parametros_recargas!$E$96*'Plan mensual'!O181+parametros_recargas!$F$96*'Plan mensual'!O182+parametros_recargas!$G$96*'Plan mensual'!O183+parametros_recargas!$H$96*'Plan mensual'!O184+parametros_recargas!$I$96*'Plan mensual'!O185+parametros_recargas!$J$96*'Plan mensual'!O186+parametros_recargas!$K$96*'Plan mensual'!O187+parametros_recargas!$L$96*'Plan mensual'!O188</f>
        <v>979.86454403586</v>
      </c>
      <c r="N186" s="7" t="n">
        <f aca="false">SUM(B186:M186)</f>
        <v>10736.8439204916</v>
      </c>
      <c r="O186" s="26" t="n">
        <f aca="false">MAX(B186:M186)</f>
        <v>979.86454403586</v>
      </c>
      <c r="P186" s="15" t="n">
        <f aca="false">O186/parametros_recargas!$B$6</f>
        <v>6.5324302935724</v>
      </c>
    </row>
    <row r="187" customFormat="false" ht="15" hidden="false" customHeight="false" outlineLevel="0" collapsed="false">
      <c r="A187" s="12" t="str">
        <f aca="false">parametros_recargas!$B$97</f>
        <v>Ensayo de pérdidas</v>
      </c>
      <c r="B187" s="25" t="n">
        <f aca="false">parametros_recargas!$E$97*'Plan mensual'!D181+parametros_recargas!$F$97*'Plan mensual'!D182+parametros_recargas!$G$97*'Plan mensual'!D183+parametros_recargas!$H$97*'Plan mensual'!D184+parametros_recargas!$I$97*'Plan mensual'!D185+parametros_recargas!$J$97*'Plan mensual'!D186+parametros_recargas!$K$97*'Plan mensual'!D187+parametros_recargas!$L$97*'Plan mensual'!D188</f>
        <v>13214.8866044405</v>
      </c>
      <c r="C187" s="25" t="n">
        <f aca="false">parametros_recargas!$E$97*'Plan mensual'!E181+parametros_recargas!$F$97*'Plan mensual'!E182+parametros_recargas!$G$97*'Plan mensual'!E183+parametros_recargas!$H$97*'Plan mensual'!E184+parametros_recargas!$I$97*'Plan mensual'!E185+parametros_recargas!$J$97*'Plan mensual'!E186+parametros_recargas!$K$97*'Plan mensual'!E187+parametros_recargas!$L$97*'Plan mensual'!E188</f>
        <v>13444.0930899704</v>
      </c>
      <c r="D187" s="25" t="n">
        <f aca="false">parametros_recargas!$E$97*'Plan mensual'!F181+parametros_recargas!$F$97*'Plan mensual'!F182+parametros_recargas!$G$97*'Plan mensual'!F183+parametros_recargas!$H$97*'Plan mensual'!F184+parametros_recargas!$I$97*'Plan mensual'!F185+parametros_recargas!$J$97*'Plan mensual'!F186+parametros_recargas!$K$97*'Plan mensual'!F187+parametros_recargas!$L$97*'Plan mensual'!F188</f>
        <v>13677.476233021</v>
      </c>
      <c r="E187" s="25" t="n">
        <f aca="false">parametros_recargas!$E$97*'Plan mensual'!G181+parametros_recargas!$F$97*'Plan mensual'!G182+parametros_recargas!$G$97*'Plan mensual'!G183+parametros_recargas!$H$97*'Plan mensual'!G184+parametros_recargas!$I$97*'Plan mensual'!G185+parametros_recargas!$J$97*'Plan mensual'!G186+parametros_recargas!$K$97*'Plan mensual'!G187+parametros_recargas!$L$97*'Plan mensual'!G188</f>
        <v>13915.1121416832</v>
      </c>
      <c r="F187" s="25" t="n">
        <f aca="false">parametros_recargas!$E$97*'Plan mensual'!H181+parametros_recargas!$F$97*'Plan mensual'!H182+parametros_recargas!$G$97*'Plan mensual'!H183+parametros_recargas!$H$97*'Plan mensual'!H184+parametros_recargas!$I$97*'Plan mensual'!H185+parametros_recargas!$J$97*'Plan mensual'!H186+parametros_recargas!$K$97*'Plan mensual'!H187+parametros_recargas!$L$97*'Plan mensual'!H188</f>
        <v>14157.0783109084</v>
      </c>
      <c r="G187" s="25" t="n">
        <f aca="false">parametros_recargas!$E$97*'Plan mensual'!I181+parametros_recargas!$F$97*'Plan mensual'!I182+parametros_recargas!$G$97*'Plan mensual'!I183+parametros_recargas!$H$97*'Plan mensual'!I184+parametros_recargas!$I$97*'Plan mensual'!I185+parametros_recargas!$J$97*'Plan mensual'!I186+parametros_recargas!$K$97*'Plan mensual'!I187+parametros_recargas!$L$97*'Plan mensual'!I188</f>
        <v>14403.4536477804</v>
      </c>
      <c r="H187" s="25" t="n">
        <f aca="false">parametros_recargas!$E$97*'Plan mensual'!J181+parametros_recargas!$F$97*'Plan mensual'!J182+parametros_recargas!$G$97*'Plan mensual'!J183+parametros_recargas!$H$97*'Plan mensual'!J184+parametros_recargas!$I$97*'Plan mensual'!J185+parametros_recargas!$J$97*'Plan mensual'!J186+parametros_recargas!$K$97*'Plan mensual'!J187+parametros_recargas!$L$97*'Plan mensual'!J188</f>
        <v>14654.3184972474</v>
      </c>
      <c r="I187" s="25" t="n">
        <f aca="false">parametros_recargas!$E$97*'Plan mensual'!K181+parametros_recargas!$F$97*'Plan mensual'!K182+parametros_recargas!$G$97*'Plan mensual'!K183+parametros_recargas!$H$97*'Plan mensual'!K184+parametros_recargas!$I$97*'Plan mensual'!K185+parametros_recargas!$J$97*'Plan mensual'!K186+parametros_recargas!$K$97*'Plan mensual'!K187+parametros_recargas!$L$97*'Plan mensual'!K188</f>
        <v>14909.7546683233</v>
      </c>
      <c r="J187" s="25" t="n">
        <f aca="false">parametros_recargas!$E$97*'Plan mensual'!L181+parametros_recargas!$F$97*'Plan mensual'!L182+parametros_recargas!$G$97*'Plan mensual'!L183+parametros_recargas!$H$97*'Plan mensual'!L184+parametros_recargas!$I$97*'Plan mensual'!L185+parametros_recargas!$J$97*'Plan mensual'!L186+parametros_recargas!$K$97*'Plan mensual'!L187+parametros_recargas!$L$97*'Plan mensual'!L188</f>
        <v>15169.8454607661</v>
      </c>
      <c r="K187" s="25" t="n">
        <f aca="false">parametros_recargas!$E$97*'Plan mensual'!M181+parametros_recargas!$F$97*'Plan mensual'!M182+parametros_recargas!$G$97*'Plan mensual'!M183+parametros_recargas!$H$97*'Plan mensual'!M184+parametros_recargas!$I$97*'Plan mensual'!M185+parametros_recargas!$J$97*'Plan mensual'!M186+parametros_recargas!$K$97*'Plan mensual'!M187+parametros_recargas!$L$97*'Plan mensual'!M188</f>
        <v>15434.6756922425</v>
      </c>
      <c r="L187" s="25" t="n">
        <f aca="false">parametros_recargas!$E$97*'Plan mensual'!N181+parametros_recargas!$F$97*'Plan mensual'!N182+parametros_recargas!$G$97*'Plan mensual'!N183+parametros_recargas!$H$97*'Plan mensual'!N184+parametros_recargas!$I$97*'Plan mensual'!N185+parametros_recargas!$J$97*'Plan mensual'!N186+parametros_recargas!$K$97*'Plan mensual'!N187+parametros_recargas!$L$97*'Plan mensual'!N188</f>
        <v>15704.3317259882</v>
      </c>
      <c r="M187" s="25" t="n">
        <f aca="false">parametros_recargas!$E$97*'Plan mensual'!O181+parametros_recargas!$F$97*'Plan mensual'!O182+parametros_recargas!$G$97*'Plan mensual'!O183+parametros_recargas!$H$97*'Plan mensual'!O184+parametros_recargas!$I$97*'Plan mensual'!O185+parametros_recargas!$J$97*'Plan mensual'!O186+parametros_recargas!$K$97*'Plan mensual'!O187+parametros_recargas!$L$97*'Plan mensual'!O188</f>
        <v>15978.9014989709</v>
      </c>
      <c r="N187" s="7" t="n">
        <f aca="false">SUM(B187:M187)</f>
        <v>174663.927571342</v>
      </c>
      <c r="O187" s="26" t="n">
        <f aca="false">MAX(B187:M187)</f>
        <v>15978.9014989709</v>
      </c>
      <c r="P187" s="15" t="n">
        <f aca="false">O187/parametros_recargas!$B$6</f>
        <v>106.52600999314</v>
      </c>
    </row>
    <row r="188" customFormat="false" ht="15" hidden="false" customHeight="false" outlineLevel="0" collapsed="false">
      <c r="A188" s="12" t="str">
        <f aca="false">parametros_recargas!$B$98</f>
        <v>Precinto, etiqueta y despacho</v>
      </c>
      <c r="B188" s="25" t="n">
        <f aca="false">parametros_recargas!$E$98*'Plan mensual'!D181+parametros_recargas!$F$98*'Plan mensual'!D182+parametros_recargas!$G$98*'Plan mensual'!D183+parametros_recargas!$H$98*'Plan mensual'!D184+parametros_recargas!$I$98*'Plan mensual'!D185+parametros_recargas!$J$98*'Plan mensual'!D186+parametros_recargas!$K$98*'Plan mensual'!D187+parametros_recargas!$L$98*'Plan mensual'!D188</f>
        <v>13214.8866044405</v>
      </c>
      <c r="C188" s="25" t="n">
        <f aca="false">parametros_recargas!$E$98*'Plan mensual'!E181+parametros_recargas!$F$98*'Plan mensual'!E182+parametros_recargas!$G$98*'Plan mensual'!E183+parametros_recargas!$H$98*'Plan mensual'!E184+parametros_recargas!$I$98*'Plan mensual'!E185+parametros_recargas!$J$98*'Plan mensual'!E186+parametros_recargas!$K$98*'Plan mensual'!E187+parametros_recargas!$L$98*'Plan mensual'!E188</f>
        <v>13444.0930899704</v>
      </c>
      <c r="D188" s="25" t="n">
        <f aca="false">parametros_recargas!$E$98*'Plan mensual'!F181+parametros_recargas!$F$98*'Plan mensual'!F182+parametros_recargas!$G$98*'Plan mensual'!F183+parametros_recargas!$H$98*'Plan mensual'!F184+parametros_recargas!$I$98*'Plan mensual'!F185+parametros_recargas!$J$98*'Plan mensual'!F186+parametros_recargas!$K$98*'Plan mensual'!F187+parametros_recargas!$L$98*'Plan mensual'!F188</f>
        <v>13677.476233021</v>
      </c>
      <c r="E188" s="25" t="n">
        <f aca="false">parametros_recargas!$E$98*'Plan mensual'!G181+parametros_recargas!$F$98*'Plan mensual'!G182+parametros_recargas!$G$98*'Plan mensual'!G183+parametros_recargas!$H$98*'Plan mensual'!G184+parametros_recargas!$I$98*'Plan mensual'!G185+parametros_recargas!$J$98*'Plan mensual'!G186+parametros_recargas!$K$98*'Plan mensual'!G187+parametros_recargas!$L$98*'Plan mensual'!G188</f>
        <v>13915.1121416832</v>
      </c>
      <c r="F188" s="25" t="n">
        <f aca="false">parametros_recargas!$E$98*'Plan mensual'!H181+parametros_recargas!$F$98*'Plan mensual'!H182+parametros_recargas!$G$98*'Plan mensual'!H183+parametros_recargas!$H$98*'Plan mensual'!H184+parametros_recargas!$I$98*'Plan mensual'!H185+parametros_recargas!$J$98*'Plan mensual'!H186+parametros_recargas!$K$98*'Plan mensual'!H187+parametros_recargas!$L$98*'Plan mensual'!H188</f>
        <v>14157.0783109084</v>
      </c>
      <c r="G188" s="25" t="n">
        <f aca="false">parametros_recargas!$E$98*'Plan mensual'!I181+parametros_recargas!$F$98*'Plan mensual'!I182+parametros_recargas!$G$98*'Plan mensual'!I183+parametros_recargas!$H$98*'Plan mensual'!I184+parametros_recargas!$I$98*'Plan mensual'!I185+parametros_recargas!$J$98*'Plan mensual'!I186+parametros_recargas!$K$98*'Plan mensual'!I187+parametros_recargas!$L$98*'Plan mensual'!I188</f>
        <v>14403.4536477804</v>
      </c>
      <c r="H188" s="25" t="n">
        <f aca="false">parametros_recargas!$E$98*'Plan mensual'!J181+parametros_recargas!$F$98*'Plan mensual'!J182+parametros_recargas!$G$98*'Plan mensual'!J183+parametros_recargas!$H$98*'Plan mensual'!J184+parametros_recargas!$I$98*'Plan mensual'!J185+parametros_recargas!$J$98*'Plan mensual'!J186+parametros_recargas!$K$98*'Plan mensual'!J187+parametros_recargas!$L$98*'Plan mensual'!J188</f>
        <v>14654.3184972474</v>
      </c>
      <c r="I188" s="25" t="n">
        <f aca="false">parametros_recargas!$E$98*'Plan mensual'!K181+parametros_recargas!$F$98*'Plan mensual'!K182+parametros_recargas!$G$98*'Plan mensual'!K183+parametros_recargas!$H$98*'Plan mensual'!K184+parametros_recargas!$I$98*'Plan mensual'!K185+parametros_recargas!$J$98*'Plan mensual'!K186+parametros_recargas!$K$98*'Plan mensual'!K187+parametros_recargas!$L$98*'Plan mensual'!K188</f>
        <v>14909.7546683233</v>
      </c>
      <c r="J188" s="25" t="n">
        <f aca="false">parametros_recargas!$E$98*'Plan mensual'!L181+parametros_recargas!$F$98*'Plan mensual'!L182+parametros_recargas!$G$98*'Plan mensual'!L183+parametros_recargas!$H$98*'Plan mensual'!L184+parametros_recargas!$I$98*'Plan mensual'!L185+parametros_recargas!$J$98*'Plan mensual'!L186+parametros_recargas!$K$98*'Plan mensual'!L187+parametros_recargas!$L$98*'Plan mensual'!L188</f>
        <v>15169.8454607661</v>
      </c>
      <c r="K188" s="25" t="n">
        <f aca="false">parametros_recargas!$E$98*'Plan mensual'!M181+parametros_recargas!$F$98*'Plan mensual'!M182+parametros_recargas!$G$98*'Plan mensual'!M183+parametros_recargas!$H$98*'Plan mensual'!M184+parametros_recargas!$I$98*'Plan mensual'!M185+parametros_recargas!$J$98*'Plan mensual'!M186+parametros_recargas!$K$98*'Plan mensual'!M187+parametros_recargas!$L$98*'Plan mensual'!M188</f>
        <v>15434.6756922425</v>
      </c>
      <c r="L188" s="25" t="n">
        <f aca="false">parametros_recargas!$E$98*'Plan mensual'!N181+parametros_recargas!$F$98*'Plan mensual'!N182+parametros_recargas!$G$98*'Plan mensual'!N183+parametros_recargas!$H$98*'Plan mensual'!N184+parametros_recargas!$I$98*'Plan mensual'!N185+parametros_recargas!$J$98*'Plan mensual'!N186+parametros_recargas!$K$98*'Plan mensual'!N187+parametros_recargas!$L$98*'Plan mensual'!N188</f>
        <v>15704.3317259882</v>
      </c>
      <c r="M188" s="25" t="n">
        <f aca="false">parametros_recargas!$E$98*'Plan mensual'!O181+parametros_recargas!$F$98*'Plan mensual'!O182+parametros_recargas!$G$98*'Plan mensual'!O183+parametros_recargas!$H$98*'Plan mensual'!O184+parametros_recargas!$I$98*'Plan mensual'!O185+parametros_recargas!$J$98*'Plan mensual'!O186+parametros_recargas!$K$98*'Plan mensual'!O187+parametros_recargas!$L$98*'Plan mensual'!O188</f>
        <v>15978.9014989709</v>
      </c>
      <c r="N188" s="7" t="n">
        <f aca="false">SUM(B188:M188)</f>
        <v>174663.927571342</v>
      </c>
      <c r="O188" s="26" t="n">
        <f aca="false">MAX(B188:M188)</f>
        <v>15978.9014989709</v>
      </c>
      <c r="P188" s="15" t="n">
        <f aca="false">O188/parametros_recargas!$B$6</f>
        <v>106.52600999314</v>
      </c>
    </row>
    <row r="189" customFormat="false" ht="15" hidden="false" customHeight="false" outlineLevel="0" collapsed="false">
      <c r="A189" s="12" t="str">
        <f aca="false">parametros_recargas!$B$99</f>
        <v>Inutilización y disposición final</v>
      </c>
      <c r="B189" s="25" t="n">
        <f aca="false">parametros_recargas!$E$99*'Plan mensual'!D181+parametros_recargas!$F$99*'Plan mensual'!D182+parametros_recargas!$G$99*'Plan mensual'!D183+parametros_recargas!$H$99*'Plan mensual'!D184+parametros_recargas!$I$99*'Plan mensual'!D185+parametros_recargas!$J$99*'Plan mensual'!D186+parametros_recargas!$K$99*'Plan mensual'!D187+parametros_recargas!$L$99*'Plan mensual'!D188</f>
        <v>1038.57919813668</v>
      </c>
      <c r="C189" s="25" t="n">
        <f aca="false">parametros_recargas!$E$99*'Plan mensual'!E181+parametros_recargas!$F$99*'Plan mensual'!E182+parametros_recargas!$G$99*'Plan mensual'!E183+parametros_recargas!$H$99*'Plan mensual'!E184+parametros_recargas!$I$99*'Plan mensual'!E185+parametros_recargas!$J$99*'Plan mensual'!E186+parametros_recargas!$K$99*'Plan mensual'!E187+parametros_recargas!$L$99*'Plan mensual'!E188</f>
        <v>1056.60253611137</v>
      </c>
      <c r="D189" s="25" t="n">
        <f aca="false">parametros_recargas!$E$99*'Plan mensual'!F181+parametros_recargas!$F$99*'Plan mensual'!F182+parametros_recargas!$G$99*'Plan mensual'!F183+parametros_recargas!$H$99*'Plan mensual'!F184+parametros_recargas!$I$99*'Plan mensual'!F185+parametros_recargas!$J$99*'Plan mensual'!F186+parametros_recargas!$K$99*'Plan mensual'!F187+parametros_recargas!$L$99*'Plan mensual'!F188</f>
        <v>1074.95429982813</v>
      </c>
      <c r="E189" s="25" t="n">
        <f aca="false">parametros_recargas!$E$99*'Plan mensual'!G181+parametros_recargas!$F$99*'Plan mensual'!G182+parametros_recargas!$G$99*'Plan mensual'!G183+parametros_recargas!$H$99*'Plan mensual'!G184+parametros_recargas!$I$99*'Plan mensual'!G185+parametros_recargas!$J$99*'Plan mensual'!G186+parametros_recargas!$K$99*'Plan mensual'!G187+parametros_recargas!$L$99*'Plan mensual'!G188</f>
        <v>1093.64047394243</v>
      </c>
      <c r="F189" s="25" t="n">
        <f aca="false">parametros_recargas!$E$99*'Plan mensual'!H181+parametros_recargas!$F$99*'Plan mensual'!H182+parametros_recargas!$G$99*'Plan mensual'!H183+parametros_recargas!$H$99*'Plan mensual'!H184+parametros_recargas!$I$99*'Plan mensual'!H185+parametros_recargas!$J$99*'Plan mensual'!H186+parametros_recargas!$K$99*'Plan mensual'!H187+parametros_recargas!$L$99*'Plan mensual'!H188</f>
        <v>1112.66715216362</v>
      </c>
      <c r="G189" s="25" t="n">
        <f aca="false">parametros_recargas!$E$99*'Plan mensual'!I181+parametros_recargas!$F$99*'Plan mensual'!I182+parametros_recargas!$G$99*'Plan mensual'!I183+parametros_recargas!$H$99*'Plan mensual'!I184+parametros_recargas!$I$99*'Plan mensual'!I185+parametros_recargas!$J$99*'Plan mensual'!I186+parametros_recargas!$K$99*'Plan mensual'!I187+parametros_recargas!$L$99*'Plan mensual'!I188</f>
        <v>1132.04053924211</v>
      </c>
      <c r="H189" s="25" t="n">
        <f aca="false">parametros_recargas!$E$99*'Plan mensual'!J181+parametros_recargas!$F$99*'Plan mensual'!J182+parametros_recargas!$G$99*'Plan mensual'!J183+parametros_recargas!$H$99*'Plan mensual'!J184+parametros_recargas!$I$99*'Plan mensual'!J185+parametros_recargas!$J$99*'Plan mensual'!J186+parametros_recargas!$K$99*'Plan mensual'!J187+parametros_recargas!$L$99*'Plan mensual'!J188</f>
        <v>1151.76695299283</v>
      </c>
      <c r="I189" s="25" t="n">
        <f aca="false">parametros_recargas!$E$99*'Plan mensual'!K181+parametros_recargas!$F$99*'Plan mensual'!K182+parametros_recargas!$G$99*'Plan mensual'!K183+parametros_recargas!$H$99*'Plan mensual'!K184+parametros_recargas!$I$99*'Plan mensual'!K185+parametros_recargas!$J$99*'Plan mensual'!K186+parametros_recargas!$K$99*'Plan mensual'!K187+parametros_recargas!$L$99*'Plan mensual'!K188</f>
        <v>1171.85282635552</v>
      </c>
      <c r="J189" s="25" t="n">
        <f aca="false">parametros_recargas!$E$99*'Plan mensual'!L181+parametros_recargas!$F$99*'Plan mensual'!L182+parametros_recargas!$G$99*'Plan mensual'!L183+parametros_recargas!$H$99*'Plan mensual'!L184+parametros_recargas!$I$99*'Plan mensual'!L185+parametros_recargas!$J$99*'Plan mensual'!L186+parametros_recargas!$K$99*'Plan mensual'!L187+parametros_recargas!$L$99*'Plan mensual'!L188</f>
        <v>1192.30470949251</v>
      </c>
      <c r="K189" s="25" t="n">
        <f aca="false">parametros_recargas!$E$99*'Plan mensual'!M181+parametros_recargas!$F$99*'Plan mensual'!M182+parametros_recargas!$G$99*'Plan mensual'!M183+parametros_recargas!$H$99*'Plan mensual'!M184+parametros_recargas!$I$99*'Plan mensual'!M185+parametros_recargas!$J$99*'Plan mensual'!M186+parametros_recargas!$K$99*'Plan mensual'!M187+parametros_recargas!$L$99*'Plan mensual'!M188</f>
        <v>1213.12927192485</v>
      </c>
      <c r="L189" s="25" t="n">
        <f aca="false">parametros_recargas!$E$99*'Plan mensual'!N181+parametros_recargas!$F$99*'Plan mensual'!N182+parametros_recargas!$G$99*'Plan mensual'!N183+parametros_recargas!$H$99*'Plan mensual'!N184+parametros_recargas!$I$99*'Plan mensual'!N185+parametros_recargas!$J$99*'Plan mensual'!N186+parametros_recargas!$K$99*'Plan mensual'!N187+parametros_recargas!$L$99*'Plan mensual'!N188</f>
        <v>1234.33330470724</v>
      </c>
      <c r="M189" s="25" t="n">
        <f aca="false">parametros_recargas!$E$99*'Plan mensual'!O181+parametros_recargas!$F$99*'Plan mensual'!O182+parametros_recargas!$G$99*'Plan mensual'!O183+parametros_recargas!$H$99*'Plan mensual'!O184+parametros_recargas!$I$99*'Plan mensual'!O185+parametros_recargas!$J$99*'Plan mensual'!O186+parametros_recargas!$K$99*'Plan mensual'!O187+parametros_recargas!$L$99*'Plan mensual'!O188</f>
        <v>1255.92372264266</v>
      </c>
      <c r="N189" s="7" t="n">
        <f aca="false">SUM(B189:M189)</f>
        <v>13727.7949875399</v>
      </c>
      <c r="O189" s="26" t="n">
        <f aca="false">MAX(B189:M189)</f>
        <v>1255.92372264266</v>
      </c>
      <c r="P189" s="15" t="n">
        <f aca="false">O189/parametros_recargas!$B$6</f>
        <v>8.37282481761772</v>
      </c>
    </row>
    <row r="190" customFormat="false" ht="15" hidden="false" customHeight="false" outlineLevel="0" collapsed="false">
      <c r="A190" s="12" t="str">
        <f aca="false">parametros_recargas!$B$100</f>
        <v>PH de mangueras (CO₂ y rodantes)</v>
      </c>
      <c r="B190" s="25" t="n">
        <f aca="false">'Plan mensual'!D189</f>
        <v>521.507534087834</v>
      </c>
      <c r="C190" s="25" t="n">
        <f aca="false">'Plan mensual'!E189</f>
        <v>529.13671938439</v>
      </c>
      <c r="D190" s="25" t="n">
        <f aca="false">'Plan mensual'!F189</f>
        <v>536.904925590723</v>
      </c>
      <c r="E190" s="25" t="n">
        <f aca="false">'Plan mensual'!G189</f>
        <v>544.814685980388</v>
      </c>
      <c r="F190" s="25" t="n">
        <f aca="false">'Plan mensual'!H189</f>
        <v>552.86857998888</v>
      </c>
      <c r="G190" s="25" t="n">
        <f aca="false">'Plan mensual'!I189</f>
        <v>561.069234054807</v>
      </c>
      <c r="H190" s="25" t="n">
        <f aca="false">'Plan mensual'!J189</f>
        <v>569.419322476397</v>
      </c>
      <c r="I190" s="25" t="n">
        <f aca="false">'Plan mensual'!K189</f>
        <v>577.9215682836</v>
      </c>
      <c r="J190" s="25" t="n">
        <f aca="false">'Plan mensual'!L189</f>
        <v>586.578744126098</v>
      </c>
      <c r="K190" s="25" t="n">
        <f aca="false">'Plan mensual'!M189</f>
        <v>595.393673177484</v>
      </c>
      <c r="L190" s="25" t="n">
        <f aca="false">'Plan mensual'!N189</f>
        <v>604.369230055919</v>
      </c>
      <c r="M190" s="25" t="n">
        <f aca="false">'Plan mensual'!O189</f>
        <v>613.508341761573</v>
      </c>
      <c r="N190" s="7" t="n">
        <f aca="false">SUM(B190:M190)</f>
        <v>6793.49255896809</v>
      </c>
      <c r="O190" s="26" t="n">
        <f aca="false">MAX(B190:M190)</f>
        <v>613.508341761573</v>
      </c>
      <c r="P190" s="15" t="n">
        <f aca="false">O190/parametros_recargas!$B$6</f>
        <v>4.09005561174382</v>
      </c>
    </row>
    <row r="193" customFormat="false" ht="23.85" hidden="false" customHeight="false" outlineLevel="0" collapsed="false">
      <c r="A193" s="3" t="s">
        <v>285</v>
      </c>
      <c r="B193" s="3" t="s">
        <v>124</v>
      </c>
      <c r="C193" s="3" t="s">
        <v>125</v>
      </c>
      <c r="D193" s="3" t="s">
        <v>126</v>
      </c>
      <c r="E193" s="3" t="s">
        <v>127</v>
      </c>
      <c r="F193" s="3" t="s">
        <v>128</v>
      </c>
      <c r="G193" s="3" t="s">
        <v>129</v>
      </c>
      <c r="H193" s="3" t="s">
        <v>130</v>
      </c>
      <c r="I193" s="3" t="s">
        <v>131</v>
      </c>
      <c r="J193" s="3" t="s">
        <v>132</v>
      </c>
      <c r="K193" s="3" t="s">
        <v>133</v>
      </c>
      <c r="L193" s="3" t="s">
        <v>134</v>
      </c>
      <c r="M193" s="3" t="s">
        <v>135</v>
      </c>
      <c r="N193" s="3" t="s">
        <v>277</v>
      </c>
      <c r="O193" s="3" t="s">
        <v>278</v>
      </c>
      <c r="P193" s="3" t="s">
        <v>279</v>
      </c>
    </row>
    <row r="194" customFormat="false" ht="15" hidden="false" customHeight="false" outlineLevel="0" collapsed="false">
      <c r="A194" s="12" t="str">
        <f aca="false">parametros_recargas!$B$72</f>
        <v>Recepción y registro</v>
      </c>
      <c r="B194" s="25" t="n">
        <f aca="false">parametros_recargas!$E$72*'Plan mensual'!D213+parametros_recargas!$F$72*'Plan mensual'!D214+parametros_recargas!$G$72*'Plan mensual'!D215+parametros_recargas!$H$72*'Plan mensual'!D216+parametros_recargas!$I$72*'Plan mensual'!D217+parametros_recargas!$J$72*'Plan mensual'!D218+parametros_recargas!$K$72*'Plan mensual'!D219+parametros_recargas!$L$72*'Plan mensual'!D220</f>
        <v>17576.3460340938</v>
      </c>
      <c r="C194" s="25" t="n">
        <f aca="false">parametros_recargas!$E$72*'Plan mensual'!E213+parametros_recargas!$F$72*'Plan mensual'!E214+parametros_recargas!$G$72*'Plan mensual'!E215+parametros_recargas!$H$72*'Plan mensual'!E216+parametros_recargas!$I$72*'Plan mensual'!E217+parametros_recargas!$J$72*'Plan mensual'!E218+parametros_recargas!$K$72*'Plan mensual'!E219+parametros_recargas!$L$72*'Plan mensual'!E220</f>
        <v>17751.336006109</v>
      </c>
      <c r="D194" s="25" t="n">
        <f aca="false">parametros_recargas!$E$72*'Plan mensual'!F213+parametros_recargas!$F$72*'Plan mensual'!F214+parametros_recargas!$G$72*'Plan mensual'!F215+parametros_recargas!$H$72*'Plan mensual'!F216+parametros_recargas!$I$72*'Plan mensual'!F217+parametros_recargas!$J$72*'Plan mensual'!F218+parametros_recargas!$K$72*'Plan mensual'!F219+parametros_recargas!$L$72*'Plan mensual'!F220</f>
        <v>17928.2063549443</v>
      </c>
      <c r="E194" s="25" t="n">
        <f aca="false">parametros_recargas!$E$72*'Plan mensual'!G213+parametros_recargas!$F$72*'Plan mensual'!G214+parametros_recargas!$G$72*'Plan mensual'!G215+parametros_recargas!$H$72*'Plan mensual'!G216+parametros_recargas!$I$72*'Plan mensual'!G217+parametros_recargas!$J$72*'Plan mensual'!G218+parametros_recargas!$K$72*'Plan mensual'!G219+parametros_recargas!$L$72*'Plan mensual'!G220</f>
        <v>18106.9772864263</v>
      </c>
      <c r="F194" s="25" t="n">
        <f aca="false">parametros_recargas!$E$72*'Plan mensual'!H213+parametros_recargas!$F$72*'Plan mensual'!H214+parametros_recargas!$G$72*'Plan mensual'!H215+parametros_recargas!$H$72*'Plan mensual'!H216+parametros_recargas!$I$72*'Plan mensual'!H217+parametros_recargas!$J$72*'Plan mensual'!H218+parametros_recargas!$K$72*'Plan mensual'!H219+parametros_recargas!$L$72*'Plan mensual'!H220</f>
        <v>18287.6692235054</v>
      </c>
      <c r="G194" s="25" t="n">
        <f aca="false">parametros_recargas!$E$72*'Plan mensual'!I213+parametros_recargas!$F$72*'Plan mensual'!I214+parametros_recargas!$G$72*'Plan mensual'!I215+parametros_recargas!$H$72*'Plan mensual'!I216+parametros_recargas!$I$72*'Plan mensual'!I217+parametros_recargas!$J$72*'Plan mensual'!I218+parametros_recargas!$K$72*'Plan mensual'!I219+parametros_recargas!$L$72*'Plan mensual'!I220</f>
        <v>18470.3028085898</v>
      </c>
      <c r="H194" s="25" t="n">
        <f aca="false">parametros_recargas!$E$72*'Plan mensual'!J213+parametros_recargas!$F$72*'Plan mensual'!J214+parametros_recargas!$G$72*'Plan mensual'!J215+parametros_recargas!$H$72*'Plan mensual'!J216+parametros_recargas!$I$72*'Plan mensual'!J217+parametros_recargas!$J$72*'Plan mensual'!J218+parametros_recargas!$K$72*'Plan mensual'!J219+parametros_recargas!$L$72*'Plan mensual'!J220</f>
        <v>18654.8989059029</v>
      </c>
      <c r="I194" s="25" t="n">
        <f aca="false">parametros_recargas!$E$72*'Plan mensual'!K213+parametros_recargas!$F$72*'Plan mensual'!K214+parametros_recargas!$G$72*'Plan mensual'!K215+parametros_recargas!$H$72*'Plan mensual'!K216+parametros_recargas!$I$72*'Plan mensual'!K217+parametros_recargas!$J$72*'Plan mensual'!K218+parametros_recargas!$K$72*'Plan mensual'!K219+parametros_recargas!$L$72*'Plan mensual'!K220</f>
        <v>18841.4786038675</v>
      </c>
      <c r="J194" s="25" t="n">
        <f aca="false">parametros_recargas!$E$72*'Plan mensual'!L213+parametros_recargas!$F$72*'Plan mensual'!L214+parametros_recargas!$G$72*'Plan mensual'!L215+parametros_recargas!$H$72*'Plan mensual'!L216+parametros_recargas!$I$72*'Plan mensual'!L217+parametros_recargas!$J$72*'Plan mensual'!L218+parametros_recargas!$K$72*'Plan mensual'!L219+parametros_recargas!$L$72*'Plan mensual'!L220</f>
        <v>19030.0632175147</v>
      </c>
      <c r="K194" s="25" t="n">
        <f aca="false">parametros_recargas!$E$72*'Plan mensual'!M213+parametros_recargas!$F$72*'Plan mensual'!M214+parametros_recargas!$G$72*'Plan mensual'!M215+parametros_recargas!$H$72*'Plan mensual'!M216+parametros_recargas!$I$72*'Plan mensual'!M217+parametros_recargas!$J$72*'Plan mensual'!M218+parametros_recargas!$K$72*'Plan mensual'!M219+parametros_recargas!$L$72*'Plan mensual'!M220</f>
        <v>19220.6742909188</v>
      </c>
      <c r="L194" s="25" t="n">
        <f aca="false">parametros_recargas!$E$72*'Plan mensual'!N213+parametros_recargas!$F$72*'Plan mensual'!N214+parametros_recargas!$G$72*'Plan mensual'!N215+parametros_recargas!$H$72*'Plan mensual'!N216+parametros_recargas!$I$72*'Plan mensual'!N217+parametros_recargas!$J$72*'Plan mensual'!N218+parametros_recargas!$K$72*'Plan mensual'!N219+parametros_recargas!$L$72*'Plan mensual'!N220</f>
        <v>19413.3335996589</v>
      </c>
      <c r="M194" s="25" t="n">
        <f aca="false">parametros_recargas!$E$72*'Plan mensual'!O213+parametros_recargas!$F$72*'Plan mensual'!O214+parametros_recargas!$G$72*'Plan mensual'!O215+parametros_recargas!$H$72*'Plan mensual'!O216+parametros_recargas!$I$72*'Plan mensual'!O217+parametros_recargas!$J$72*'Plan mensual'!O218+parametros_recargas!$K$72*'Plan mensual'!O219+parametros_recargas!$L$72*'Plan mensual'!O220</f>
        <v>19608.0631533061</v>
      </c>
      <c r="N194" s="7" t="n">
        <f aca="false">SUM(B194:M194)</f>
        <v>222889.349484838</v>
      </c>
      <c r="O194" s="26" t="n">
        <f aca="false">MAX(B194:M194)</f>
        <v>19608.0631533061</v>
      </c>
      <c r="P194" s="15" t="n">
        <f aca="false">O194/parametros_recargas!$B$6</f>
        <v>130.72042102204</v>
      </c>
    </row>
    <row r="195" customFormat="false" ht="15" hidden="false" customHeight="false" outlineLevel="0" collapsed="false">
      <c r="A195" s="12" t="str">
        <f aca="false">parametros_recargas!$B$73</f>
        <v>Inspección visual</v>
      </c>
      <c r="B195" s="25" t="n">
        <f aca="false">parametros_recargas!$E$73*'Plan mensual'!D213+parametros_recargas!$F$73*'Plan mensual'!D214+parametros_recargas!$G$73*'Plan mensual'!D215+parametros_recargas!$H$73*'Plan mensual'!D216+parametros_recargas!$I$73*'Plan mensual'!D217+parametros_recargas!$J$73*'Plan mensual'!D218+parametros_recargas!$K$73*'Plan mensual'!D219+parametros_recargas!$L$73*'Plan mensual'!D220</f>
        <v>17576.3460340938</v>
      </c>
      <c r="C195" s="25" t="n">
        <f aca="false">parametros_recargas!$E$73*'Plan mensual'!E213+parametros_recargas!$F$73*'Plan mensual'!E214+parametros_recargas!$G$73*'Plan mensual'!E215+parametros_recargas!$H$73*'Plan mensual'!E216+parametros_recargas!$I$73*'Plan mensual'!E217+parametros_recargas!$J$73*'Plan mensual'!E218+parametros_recargas!$K$73*'Plan mensual'!E219+parametros_recargas!$L$73*'Plan mensual'!E220</f>
        <v>17751.336006109</v>
      </c>
      <c r="D195" s="25" t="n">
        <f aca="false">parametros_recargas!$E$73*'Plan mensual'!F213+parametros_recargas!$F$73*'Plan mensual'!F214+parametros_recargas!$G$73*'Plan mensual'!F215+parametros_recargas!$H$73*'Plan mensual'!F216+parametros_recargas!$I$73*'Plan mensual'!F217+parametros_recargas!$J$73*'Plan mensual'!F218+parametros_recargas!$K$73*'Plan mensual'!F219+parametros_recargas!$L$73*'Plan mensual'!F220</f>
        <v>17928.2063549443</v>
      </c>
      <c r="E195" s="25" t="n">
        <f aca="false">parametros_recargas!$E$73*'Plan mensual'!G213+parametros_recargas!$F$73*'Plan mensual'!G214+parametros_recargas!$G$73*'Plan mensual'!G215+parametros_recargas!$H$73*'Plan mensual'!G216+parametros_recargas!$I$73*'Plan mensual'!G217+parametros_recargas!$J$73*'Plan mensual'!G218+parametros_recargas!$K$73*'Plan mensual'!G219+parametros_recargas!$L$73*'Plan mensual'!G220</f>
        <v>18106.9772864263</v>
      </c>
      <c r="F195" s="25" t="n">
        <f aca="false">parametros_recargas!$E$73*'Plan mensual'!H213+parametros_recargas!$F$73*'Plan mensual'!H214+parametros_recargas!$G$73*'Plan mensual'!H215+parametros_recargas!$H$73*'Plan mensual'!H216+parametros_recargas!$I$73*'Plan mensual'!H217+parametros_recargas!$J$73*'Plan mensual'!H218+parametros_recargas!$K$73*'Plan mensual'!H219+parametros_recargas!$L$73*'Plan mensual'!H220</f>
        <v>18287.6692235054</v>
      </c>
      <c r="G195" s="25" t="n">
        <f aca="false">parametros_recargas!$E$73*'Plan mensual'!I213+parametros_recargas!$F$73*'Plan mensual'!I214+parametros_recargas!$G$73*'Plan mensual'!I215+parametros_recargas!$H$73*'Plan mensual'!I216+parametros_recargas!$I$73*'Plan mensual'!I217+parametros_recargas!$J$73*'Plan mensual'!I218+parametros_recargas!$K$73*'Plan mensual'!I219+parametros_recargas!$L$73*'Plan mensual'!I220</f>
        <v>18470.3028085898</v>
      </c>
      <c r="H195" s="25" t="n">
        <f aca="false">parametros_recargas!$E$73*'Plan mensual'!J213+parametros_recargas!$F$73*'Plan mensual'!J214+parametros_recargas!$G$73*'Plan mensual'!J215+parametros_recargas!$H$73*'Plan mensual'!J216+parametros_recargas!$I$73*'Plan mensual'!J217+parametros_recargas!$J$73*'Plan mensual'!J218+parametros_recargas!$K$73*'Plan mensual'!J219+parametros_recargas!$L$73*'Plan mensual'!J220</f>
        <v>18654.8989059029</v>
      </c>
      <c r="I195" s="25" t="n">
        <f aca="false">parametros_recargas!$E$73*'Plan mensual'!K213+parametros_recargas!$F$73*'Plan mensual'!K214+parametros_recargas!$G$73*'Plan mensual'!K215+parametros_recargas!$H$73*'Plan mensual'!K216+parametros_recargas!$I$73*'Plan mensual'!K217+parametros_recargas!$J$73*'Plan mensual'!K218+parametros_recargas!$K$73*'Plan mensual'!K219+parametros_recargas!$L$73*'Plan mensual'!K220</f>
        <v>18841.4786038675</v>
      </c>
      <c r="J195" s="25" t="n">
        <f aca="false">parametros_recargas!$E$73*'Plan mensual'!L213+parametros_recargas!$F$73*'Plan mensual'!L214+parametros_recargas!$G$73*'Plan mensual'!L215+parametros_recargas!$H$73*'Plan mensual'!L216+parametros_recargas!$I$73*'Plan mensual'!L217+parametros_recargas!$J$73*'Plan mensual'!L218+parametros_recargas!$K$73*'Plan mensual'!L219+parametros_recargas!$L$73*'Plan mensual'!L220</f>
        <v>19030.0632175147</v>
      </c>
      <c r="K195" s="25" t="n">
        <f aca="false">parametros_recargas!$E$73*'Plan mensual'!M213+parametros_recargas!$F$73*'Plan mensual'!M214+parametros_recargas!$G$73*'Plan mensual'!M215+parametros_recargas!$H$73*'Plan mensual'!M216+parametros_recargas!$I$73*'Plan mensual'!M217+parametros_recargas!$J$73*'Plan mensual'!M218+parametros_recargas!$K$73*'Plan mensual'!M219+parametros_recargas!$L$73*'Plan mensual'!M220</f>
        <v>19220.6742909188</v>
      </c>
      <c r="L195" s="25" t="n">
        <f aca="false">parametros_recargas!$E$73*'Plan mensual'!N213+parametros_recargas!$F$73*'Plan mensual'!N214+parametros_recargas!$G$73*'Plan mensual'!N215+parametros_recargas!$H$73*'Plan mensual'!N216+parametros_recargas!$I$73*'Plan mensual'!N217+parametros_recargas!$J$73*'Plan mensual'!N218+parametros_recargas!$K$73*'Plan mensual'!N219+parametros_recargas!$L$73*'Plan mensual'!N220</f>
        <v>19413.3335996589</v>
      </c>
      <c r="M195" s="25" t="n">
        <f aca="false">parametros_recargas!$E$73*'Plan mensual'!O213+parametros_recargas!$F$73*'Plan mensual'!O214+parametros_recargas!$G$73*'Plan mensual'!O215+parametros_recargas!$H$73*'Plan mensual'!O216+parametros_recargas!$I$73*'Plan mensual'!O217+parametros_recargas!$J$73*'Plan mensual'!O218+parametros_recargas!$K$73*'Plan mensual'!O219+parametros_recargas!$L$73*'Plan mensual'!O220</f>
        <v>19608.0631533061</v>
      </c>
      <c r="N195" s="7" t="n">
        <f aca="false">SUM(B195:M195)</f>
        <v>222889.349484838</v>
      </c>
      <c r="O195" s="26" t="n">
        <f aca="false">MAX(B195:M195)</f>
        <v>19608.0631533061</v>
      </c>
      <c r="P195" s="15" t="n">
        <f aca="false">O195/parametros_recargas!$B$6</f>
        <v>130.72042102204</v>
      </c>
    </row>
    <row r="196" customFormat="false" ht="15" hidden="false" customHeight="false" outlineLevel="0" collapsed="false">
      <c r="A196" s="12" t="str">
        <f aca="false">parametros_recargas!$B$74</f>
        <v>Descarga ABC — ruta recuperable</v>
      </c>
      <c r="B196" s="25" t="n">
        <f aca="false">parametros_recargas!$E$74*'Plan mensual'!D213+parametros_recargas!$F$74*'Plan mensual'!D214+parametros_recargas!$G$74*'Plan mensual'!D215+parametros_recargas!$H$74*'Plan mensual'!D216+parametros_recargas!$I$74*'Plan mensual'!D217+parametros_recargas!$J$74*'Plan mensual'!D218+parametros_recargas!$K$74*'Plan mensual'!D219+parametros_recargas!$L$74*'Plan mensual'!D220</f>
        <v>12884.6405375954</v>
      </c>
      <c r="C196" s="25" t="n">
        <f aca="false">parametros_recargas!$E$74*'Plan mensual'!E213+parametros_recargas!$F$74*'Plan mensual'!E214+parametros_recargas!$G$74*'Plan mensual'!E215+parametros_recargas!$H$74*'Plan mensual'!E216+parametros_recargas!$I$74*'Plan mensual'!E217+parametros_recargas!$J$74*'Plan mensual'!E218+parametros_recargas!$K$74*'Plan mensual'!E219+parametros_recargas!$L$74*'Plan mensual'!E220</f>
        <v>13013.9526742443</v>
      </c>
      <c r="D196" s="25" t="n">
        <f aca="false">parametros_recargas!$E$74*'Plan mensual'!F213+parametros_recargas!$F$74*'Plan mensual'!F214+parametros_recargas!$G$74*'Plan mensual'!F215+parametros_recargas!$H$74*'Plan mensual'!F216+parametros_recargas!$I$74*'Plan mensual'!F217+parametros_recargas!$J$74*'Plan mensual'!F218+parametros_recargas!$K$74*'Plan mensual'!F219+parametros_recargas!$L$74*'Plan mensual'!F220</f>
        <v>13144.654350771</v>
      </c>
      <c r="E196" s="25" t="n">
        <f aca="false">parametros_recargas!$E$74*'Plan mensual'!G213+parametros_recargas!$F$74*'Plan mensual'!G214+parametros_recargas!$G$74*'Plan mensual'!G215+parametros_recargas!$H$74*'Plan mensual'!G216+parametros_recargas!$I$74*'Plan mensual'!G217+parametros_recargas!$J$74*'Plan mensual'!G218+parametros_recargas!$K$74*'Plan mensual'!G219+parametros_recargas!$L$74*'Plan mensual'!G220</f>
        <v>13276.7604986516</v>
      </c>
      <c r="F196" s="25" t="n">
        <f aca="false">parametros_recargas!$E$74*'Plan mensual'!H213+parametros_recargas!$F$74*'Plan mensual'!H214+parametros_recargas!$G$74*'Plan mensual'!H215+parametros_recargas!$H$74*'Plan mensual'!H216+parametros_recargas!$I$74*'Plan mensual'!H217+parametros_recargas!$J$74*'Plan mensual'!H218+parametros_recargas!$K$74*'Plan mensual'!H219+parametros_recargas!$L$74*'Plan mensual'!H220</f>
        <v>13410.2862098101</v>
      </c>
      <c r="G196" s="25" t="n">
        <f aca="false">parametros_recargas!$E$74*'Plan mensual'!I213+parametros_recargas!$F$74*'Plan mensual'!I214+parametros_recargas!$G$74*'Plan mensual'!I215+parametros_recargas!$H$74*'Plan mensual'!I216+parametros_recargas!$I$74*'Plan mensual'!I217+parametros_recargas!$J$74*'Plan mensual'!I218+parametros_recargas!$K$74*'Plan mensual'!I219+parametros_recargas!$L$74*'Plan mensual'!I220</f>
        <v>13545.2467383429</v>
      </c>
      <c r="H196" s="25" t="n">
        <f aca="false">parametros_recargas!$E$74*'Plan mensual'!J213+parametros_recargas!$F$74*'Plan mensual'!J214+parametros_recargas!$G$74*'Plan mensual'!J215+parametros_recargas!$H$74*'Plan mensual'!J216+parametros_recargas!$I$74*'Plan mensual'!J217+parametros_recargas!$J$74*'Plan mensual'!J218+parametros_recargas!$K$74*'Plan mensual'!J219+parametros_recargas!$L$74*'Plan mensual'!J220</f>
        <v>13681.6575022611</v>
      </c>
      <c r="I196" s="25" t="n">
        <f aca="false">parametros_recargas!$E$74*'Plan mensual'!K213+parametros_recargas!$F$74*'Plan mensual'!K214+parametros_recargas!$G$74*'Plan mensual'!K215+parametros_recargas!$H$74*'Plan mensual'!K216+parametros_recargas!$I$74*'Plan mensual'!K217+parametros_recargas!$J$74*'Plan mensual'!K218+parametros_recargas!$K$74*'Plan mensual'!K219+parametros_recargas!$L$74*'Plan mensual'!K220</f>
        <v>13819.534085252</v>
      </c>
      <c r="J196" s="25" t="n">
        <f aca="false">parametros_recargas!$E$74*'Plan mensual'!L213+parametros_recargas!$F$74*'Plan mensual'!L214+parametros_recargas!$G$74*'Plan mensual'!L215+parametros_recargas!$H$74*'Plan mensual'!L216+parametros_recargas!$I$74*'Plan mensual'!L217+parametros_recargas!$J$74*'Plan mensual'!L218+parametros_recargas!$K$74*'Plan mensual'!L219+parametros_recargas!$L$74*'Plan mensual'!L220</f>
        <v>13958.8922384593</v>
      </c>
      <c r="K196" s="25" t="n">
        <f aca="false">parametros_recargas!$E$74*'Plan mensual'!M213+parametros_recargas!$F$74*'Plan mensual'!M214+parametros_recargas!$G$74*'Plan mensual'!M215+parametros_recargas!$H$74*'Plan mensual'!M216+parametros_recargas!$I$74*'Plan mensual'!M217+parametros_recargas!$J$74*'Plan mensual'!M218+parametros_recargas!$K$74*'Plan mensual'!M219+parametros_recargas!$L$74*'Plan mensual'!M220</f>
        <v>14099.7478822827</v>
      </c>
      <c r="L196" s="25" t="n">
        <f aca="false">parametros_recargas!$E$74*'Plan mensual'!N213+parametros_recargas!$F$74*'Plan mensual'!N214+parametros_recargas!$G$74*'Plan mensual'!N215+parametros_recargas!$H$74*'Plan mensual'!N216+parametros_recargas!$I$74*'Plan mensual'!N217+parametros_recargas!$J$74*'Plan mensual'!N218+parametros_recargas!$K$74*'Plan mensual'!N219+parametros_recargas!$L$74*'Plan mensual'!N220</f>
        <v>14242.1171081965</v>
      </c>
      <c r="M196" s="25" t="n">
        <f aca="false">parametros_recargas!$E$74*'Plan mensual'!O213+parametros_recargas!$F$74*'Plan mensual'!O214+parametros_recargas!$G$74*'Plan mensual'!O215+parametros_recargas!$H$74*'Plan mensual'!O216+parametros_recargas!$I$74*'Plan mensual'!O217+parametros_recargas!$J$74*'Plan mensual'!O218+parametros_recargas!$K$74*'Plan mensual'!O219+parametros_recargas!$L$74*'Plan mensual'!O220</f>
        <v>14386.0161805881</v>
      </c>
      <c r="N196" s="7" t="n">
        <f aca="false">SUM(B196:M196)</f>
        <v>163463.506006455</v>
      </c>
      <c r="O196" s="26" t="n">
        <f aca="false">MAX(B196:M196)</f>
        <v>14386.0161805881</v>
      </c>
      <c r="P196" s="15" t="n">
        <f aca="false">O196/parametros_recargas!$B$6</f>
        <v>95.906774537254</v>
      </c>
    </row>
    <row r="197" customFormat="false" ht="15" hidden="false" customHeight="false" outlineLevel="0" collapsed="false">
      <c r="A197" s="12" t="str">
        <f aca="false">parametros_recargas!$B$75</f>
        <v>Descarga ABC — ruta descarte</v>
      </c>
      <c r="B197" s="25" t="n">
        <f aca="false">parametros_recargas!$E$75*'Plan mensual'!D213+parametros_recargas!$F$75*'Plan mensual'!D214+parametros_recargas!$G$75*'Plan mensual'!D215+parametros_recargas!$H$75*'Plan mensual'!D216+parametros_recargas!$I$75*'Plan mensual'!D217+parametros_recargas!$J$75*'Plan mensual'!D218+parametros_recargas!$K$75*'Plan mensual'!D219+parametros_recargas!$L$75*'Plan mensual'!D220</f>
        <v>1515.84006324652</v>
      </c>
      <c r="C197" s="25" t="n">
        <f aca="false">parametros_recargas!$E$75*'Plan mensual'!E213+parametros_recargas!$F$75*'Plan mensual'!E214+parametros_recargas!$G$75*'Plan mensual'!E215+parametros_recargas!$H$75*'Plan mensual'!E216+parametros_recargas!$I$75*'Plan mensual'!E217+parametros_recargas!$J$75*'Plan mensual'!E218+parametros_recargas!$K$75*'Plan mensual'!E219+parametros_recargas!$L$75*'Plan mensual'!E220</f>
        <v>1531.05325579344</v>
      </c>
      <c r="D197" s="25" t="n">
        <f aca="false">parametros_recargas!$E$75*'Plan mensual'!F213+parametros_recargas!$F$75*'Plan mensual'!F214+parametros_recargas!$G$75*'Plan mensual'!F215+parametros_recargas!$H$75*'Plan mensual'!F216+parametros_recargas!$I$75*'Plan mensual'!F217+parametros_recargas!$J$75*'Plan mensual'!F218+parametros_recargas!$K$75*'Plan mensual'!F219+parametros_recargas!$L$75*'Plan mensual'!F220</f>
        <v>1546.42992362012</v>
      </c>
      <c r="E197" s="25" t="n">
        <f aca="false">parametros_recargas!$E$75*'Plan mensual'!G213+parametros_recargas!$F$75*'Plan mensual'!G214+parametros_recargas!$G$75*'Plan mensual'!G215+parametros_recargas!$H$75*'Plan mensual'!G216+parametros_recargas!$I$75*'Plan mensual'!G217+parametros_recargas!$J$75*'Plan mensual'!G218+parametros_recargas!$K$75*'Plan mensual'!G219+parametros_recargas!$L$75*'Plan mensual'!G220</f>
        <v>1561.97182337077</v>
      </c>
      <c r="F197" s="25" t="n">
        <f aca="false">parametros_recargas!$E$75*'Plan mensual'!H213+parametros_recargas!$F$75*'Plan mensual'!H214+parametros_recargas!$G$75*'Plan mensual'!H215+parametros_recargas!$H$75*'Plan mensual'!H216+parametros_recargas!$I$75*'Plan mensual'!H217+parametros_recargas!$J$75*'Plan mensual'!H218+parametros_recargas!$K$75*'Plan mensual'!H219+parametros_recargas!$L$75*'Plan mensual'!H220</f>
        <v>1577.6807305659</v>
      </c>
      <c r="G197" s="25" t="n">
        <f aca="false">parametros_recargas!$E$75*'Plan mensual'!I213+parametros_recargas!$F$75*'Plan mensual'!I214+parametros_recargas!$G$75*'Plan mensual'!I215+parametros_recargas!$H$75*'Plan mensual'!I216+parametros_recargas!$I$75*'Plan mensual'!I217+parametros_recargas!$J$75*'Plan mensual'!I218+parametros_recargas!$K$75*'Plan mensual'!I219+parametros_recargas!$L$75*'Plan mensual'!I220</f>
        <v>1593.55843980505</v>
      </c>
      <c r="H197" s="25" t="n">
        <f aca="false">parametros_recargas!$E$75*'Plan mensual'!J213+parametros_recargas!$F$75*'Plan mensual'!J214+parametros_recargas!$G$75*'Plan mensual'!J215+parametros_recargas!$H$75*'Plan mensual'!J216+parametros_recargas!$I$75*'Plan mensual'!J217+parametros_recargas!$J$75*'Plan mensual'!J218+parametros_recargas!$K$75*'Plan mensual'!J219+parametros_recargas!$L$75*'Plan mensual'!J220</f>
        <v>1609.6067649719</v>
      </c>
      <c r="I197" s="25" t="n">
        <f aca="false">parametros_recargas!$E$75*'Plan mensual'!K213+parametros_recargas!$F$75*'Plan mensual'!K214+parametros_recargas!$G$75*'Plan mensual'!K215+parametros_recargas!$H$75*'Plan mensual'!K216+parametros_recargas!$I$75*'Plan mensual'!K217+parametros_recargas!$J$75*'Plan mensual'!K218+parametros_recargas!$K$75*'Plan mensual'!K219+parametros_recargas!$L$75*'Plan mensual'!K220</f>
        <v>1625.82753944141</v>
      </c>
      <c r="J197" s="25" t="n">
        <f aca="false">parametros_recargas!$E$75*'Plan mensual'!L213+parametros_recargas!$F$75*'Plan mensual'!L214+parametros_recargas!$G$75*'Plan mensual'!L215+parametros_recargas!$H$75*'Plan mensual'!L216+parametros_recargas!$I$75*'Plan mensual'!L217+parametros_recargas!$J$75*'Plan mensual'!L218+parametros_recargas!$K$75*'Plan mensual'!L219+parametros_recargas!$L$75*'Plan mensual'!L220</f>
        <v>1642.22261628933</v>
      </c>
      <c r="K197" s="25" t="n">
        <f aca="false">parametros_recargas!$E$75*'Plan mensual'!M213+parametros_recargas!$F$75*'Plan mensual'!M214+parametros_recargas!$G$75*'Plan mensual'!M215+parametros_recargas!$H$75*'Plan mensual'!M216+parametros_recargas!$I$75*'Plan mensual'!M217+parametros_recargas!$J$75*'Plan mensual'!M218+parametros_recargas!$K$75*'Plan mensual'!M219+parametros_recargas!$L$75*'Plan mensual'!M220</f>
        <v>1658.79386850385</v>
      </c>
      <c r="L197" s="25" t="n">
        <f aca="false">parametros_recargas!$E$75*'Plan mensual'!N213+parametros_recargas!$F$75*'Plan mensual'!N214+parametros_recargas!$G$75*'Plan mensual'!N215+parametros_recargas!$H$75*'Plan mensual'!N216+parametros_recargas!$I$75*'Plan mensual'!N217+parametros_recargas!$J$75*'Plan mensual'!N218+parametros_recargas!$K$75*'Plan mensual'!N219+parametros_recargas!$L$75*'Plan mensual'!N220</f>
        <v>1675.54318919959</v>
      </c>
      <c r="M197" s="25" t="n">
        <f aca="false">parametros_recargas!$E$75*'Plan mensual'!O213+parametros_recargas!$F$75*'Plan mensual'!O214+parametros_recargas!$G$75*'Plan mensual'!O215+parametros_recargas!$H$75*'Plan mensual'!O216+parametros_recargas!$I$75*'Plan mensual'!O217+parametros_recargas!$J$75*'Plan mensual'!O218+parametros_recargas!$K$75*'Plan mensual'!O219+parametros_recargas!$L$75*'Plan mensual'!O220</f>
        <v>1692.47249183389</v>
      </c>
      <c r="N197" s="7" t="n">
        <f aca="false">SUM(B197:M197)</f>
        <v>19231.0007066418</v>
      </c>
      <c r="O197" s="26" t="n">
        <f aca="false">MAX(B197:M197)</f>
        <v>1692.47249183389</v>
      </c>
      <c r="P197" s="15" t="n">
        <f aca="false">O197/parametros_recargas!$B$6</f>
        <v>11.2831499455593</v>
      </c>
    </row>
    <row r="198" customFormat="false" ht="15" hidden="false" customHeight="false" outlineLevel="0" collapsed="false">
      <c r="A198" s="12" t="str">
        <f aca="false">parametros_recargas!$B$76</f>
        <v>Descarga BC</v>
      </c>
      <c r="B198" s="25" t="n">
        <f aca="false">parametros_recargas!$E$76*'Plan mensual'!D213+parametros_recargas!$F$76*'Plan mensual'!D214+parametros_recargas!$G$76*'Plan mensual'!D215+parametros_recargas!$H$76*'Plan mensual'!D216+parametros_recargas!$I$76*'Plan mensual'!D217+parametros_recargas!$J$76*'Plan mensual'!D218+parametros_recargas!$K$76*'Plan mensual'!D219+parametros_recargas!$L$76*'Plan mensual'!D220</f>
        <v>24.0311057836468</v>
      </c>
      <c r="C198" s="25" t="n">
        <f aca="false">parametros_recargas!$E$76*'Plan mensual'!E213+parametros_recargas!$F$76*'Plan mensual'!E214+parametros_recargas!$G$76*'Plan mensual'!E215+parametros_recargas!$H$76*'Plan mensual'!E216+parametros_recargas!$I$76*'Plan mensual'!E217+parametros_recargas!$J$76*'Plan mensual'!E218+parametros_recargas!$K$76*'Plan mensual'!E219+parametros_recargas!$L$76*'Plan mensual'!E220</f>
        <v>24.2526208398054</v>
      </c>
      <c r="D198" s="25" t="n">
        <f aca="false">parametros_recargas!$E$76*'Plan mensual'!F213+parametros_recargas!$F$76*'Plan mensual'!F214+parametros_recargas!$G$76*'Plan mensual'!F215+parametros_recargas!$H$76*'Plan mensual'!F216+parametros_recargas!$I$76*'Plan mensual'!F217+parametros_recargas!$J$76*'Plan mensual'!F218+parametros_recargas!$K$76*'Plan mensual'!F219+parametros_recargas!$L$76*'Plan mensual'!F220</f>
        <v>24.4765162139452</v>
      </c>
      <c r="E198" s="25" t="n">
        <f aca="false">parametros_recargas!$E$76*'Plan mensual'!G213+parametros_recargas!$F$76*'Plan mensual'!G214+parametros_recargas!$G$76*'Plan mensual'!G215+parametros_recargas!$H$76*'Plan mensual'!G216+parametros_recargas!$I$76*'Plan mensual'!G217+parametros_recargas!$J$76*'Plan mensual'!G218+parametros_recargas!$K$76*'Plan mensual'!G219+parametros_recargas!$L$76*'Plan mensual'!G220</f>
        <v>24.7028174840736</v>
      </c>
      <c r="F198" s="25" t="n">
        <f aca="false">parametros_recargas!$E$76*'Plan mensual'!H213+parametros_recargas!$F$76*'Plan mensual'!H214+parametros_recargas!$G$76*'Plan mensual'!H215+parametros_recargas!$H$76*'Plan mensual'!H216+parametros_recargas!$I$76*'Plan mensual'!H217+parametros_recargas!$J$76*'Plan mensual'!H218+parametros_recargas!$K$76*'Plan mensual'!H219+parametros_recargas!$L$76*'Plan mensual'!H220</f>
        <v>24.9315505030492</v>
      </c>
      <c r="G198" s="25" t="n">
        <f aca="false">parametros_recargas!$E$76*'Plan mensual'!I213+parametros_recargas!$F$76*'Plan mensual'!I214+parametros_recargas!$G$76*'Plan mensual'!I215+parametros_recargas!$H$76*'Plan mensual'!I216+parametros_recargas!$I$76*'Plan mensual'!I217+parametros_recargas!$J$76*'Plan mensual'!I218+parametros_recargas!$K$76*'Plan mensual'!I219+parametros_recargas!$L$76*'Plan mensual'!I220</f>
        <v>25.1627414015363</v>
      </c>
      <c r="H198" s="25" t="n">
        <f aca="false">parametros_recargas!$E$76*'Plan mensual'!J213+parametros_recargas!$F$76*'Plan mensual'!J214+parametros_recargas!$G$76*'Plan mensual'!J215+parametros_recargas!$H$76*'Plan mensual'!J216+parametros_recargas!$I$76*'Plan mensual'!J217+parametros_recargas!$J$76*'Plan mensual'!J218+parametros_recargas!$K$76*'Plan mensual'!J219+parametros_recargas!$L$76*'Plan mensual'!J220</f>
        <v>25.396416590989</v>
      </c>
      <c r="I198" s="25" t="n">
        <f aca="false">parametros_recargas!$E$76*'Plan mensual'!K213+parametros_recargas!$F$76*'Plan mensual'!K214+parametros_recargas!$G$76*'Plan mensual'!K215+parametros_recargas!$H$76*'Plan mensual'!K216+parametros_recargas!$I$76*'Plan mensual'!K217+parametros_recargas!$J$76*'Plan mensual'!K218+parametros_recargas!$K$76*'Plan mensual'!K219+parametros_recargas!$L$76*'Plan mensual'!K220</f>
        <v>25.6326027666695</v>
      </c>
      <c r="J198" s="25" t="n">
        <f aca="false">parametros_recargas!$E$76*'Plan mensual'!L213+parametros_recargas!$F$76*'Plan mensual'!L214+parametros_recargas!$G$76*'Plan mensual'!L215+parametros_recargas!$H$76*'Plan mensual'!L216+parametros_recargas!$I$76*'Plan mensual'!L217+parametros_recargas!$J$76*'Plan mensual'!L218+parametros_recargas!$K$76*'Plan mensual'!L219+parametros_recargas!$L$76*'Plan mensual'!L220</f>
        <v>25.8713269106969</v>
      </c>
      <c r="K198" s="25" t="n">
        <f aca="false">parametros_recargas!$E$76*'Plan mensual'!M213+parametros_recargas!$F$76*'Plan mensual'!M214+parametros_recargas!$G$76*'Plan mensual'!M215+parametros_recargas!$H$76*'Plan mensual'!M216+parametros_recargas!$I$76*'Plan mensual'!M217+parametros_recargas!$J$76*'Plan mensual'!M218+parametros_recargas!$K$76*'Plan mensual'!M219+parametros_recargas!$L$76*'Plan mensual'!M220</f>
        <v>26.1126162951304</v>
      </c>
      <c r="L198" s="25" t="n">
        <f aca="false">parametros_recargas!$E$76*'Plan mensual'!N213+parametros_recargas!$F$76*'Plan mensual'!N214+parametros_recargas!$G$76*'Plan mensual'!N215+parametros_recargas!$H$76*'Plan mensual'!N216+parametros_recargas!$I$76*'Plan mensual'!N217+parametros_recargas!$J$76*'Plan mensual'!N218+parametros_recargas!$K$76*'Plan mensual'!N219+parametros_recargas!$L$76*'Plan mensual'!N220</f>
        <v>26.3564984850843</v>
      </c>
      <c r="M198" s="25" t="n">
        <f aca="false">parametros_recargas!$E$76*'Plan mensual'!O213+parametros_recargas!$F$76*'Plan mensual'!O214+parametros_recargas!$G$76*'Plan mensual'!O215+parametros_recargas!$H$76*'Plan mensual'!O216+parametros_recargas!$I$76*'Plan mensual'!O217+parametros_recargas!$J$76*'Plan mensual'!O218+parametros_recargas!$K$76*'Plan mensual'!O219+parametros_recargas!$L$76*'Plan mensual'!O220</f>
        <v>26.6030013418775</v>
      </c>
      <c r="N198" s="7" t="n">
        <f aca="false">SUM(B198:M198)</f>
        <v>303.529814616504</v>
      </c>
      <c r="O198" s="26" t="n">
        <f aca="false">MAX(B198:M198)</f>
        <v>26.6030013418775</v>
      </c>
      <c r="P198" s="15" t="n">
        <f aca="false">O198/parametros_recargas!$B$6</f>
        <v>0.177353342279183</v>
      </c>
    </row>
    <row r="199" customFormat="false" ht="15" hidden="false" customHeight="false" outlineLevel="0" collapsed="false">
      <c r="A199" s="12" t="str">
        <f aca="false">parametros_recargas!$B$77</f>
        <v>Descarga de agua / AFFF / sales K</v>
      </c>
      <c r="B199" s="25" t="n">
        <f aca="false">parametros_recargas!$E$77*'Plan mensual'!D213+parametros_recargas!$F$77*'Plan mensual'!D214+parametros_recargas!$G$77*'Plan mensual'!D215+parametros_recargas!$H$77*'Plan mensual'!D216+parametros_recargas!$I$77*'Plan mensual'!D217+parametros_recargas!$J$77*'Plan mensual'!D218+parametros_recargas!$K$77*'Plan mensual'!D219+parametros_recargas!$L$77*'Plan mensual'!D220</f>
        <v>814.075780312745</v>
      </c>
      <c r="C199" s="25" t="n">
        <f aca="false">parametros_recargas!$E$77*'Plan mensual'!E213+parametros_recargas!$F$77*'Plan mensual'!E214+parametros_recargas!$G$77*'Plan mensual'!E215+parametros_recargas!$H$77*'Plan mensual'!E216+parametros_recargas!$I$77*'Plan mensual'!E217+parametros_recargas!$J$77*'Plan mensual'!E218+parametros_recargas!$K$77*'Plan mensual'!E219+parametros_recargas!$L$77*'Plan mensual'!E220</f>
        <v>821.774044822454</v>
      </c>
      <c r="D199" s="25" t="n">
        <f aca="false">parametros_recargas!$E$77*'Plan mensual'!F213+parametros_recargas!$F$77*'Plan mensual'!F214+parametros_recargas!$G$77*'Plan mensual'!F215+parametros_recargas!$H$77*'Plan mensual'!F216+parametros_recargas!$I$77*'Plan mensual'!F217+parametros_recargas!$J$77*'Plan mensual'!F218+parametros_recargas!$K$77*'Plan mensual'!F219+parametros_recargas!$L$77*'Plan mensual'!F220</f>
        <v>829.555032004632</v>
      </c>
      <c r="E199" s="25" t="n">
        <f aca="false">parametros_recargas!$E$77*'Plan mensual'!G213+parametros_recargas!$F$77*'Plan mensual'!G214+parametros_recargas!$G$77*'Plan mensual'!G215+parametros_recargas!$H$77*'Plan mensual'!G216+parametros_recargas!$I$77*'Plan mensual'!G217+parametros_recargas!$J$77*'Plan mensual'!G218+parametros_recargas!$K$77*'Plan mensual'!G219+parametros_recargas!$L$77*'Plan mensual'!G220</f>
        <v>837.41963076619</v>
      </c>
      <c r="F199" s="25" t="n">
        <f aca="false">parametros_recargas!$E$77*'Plan mensual'!H213+parametros_recargas!$F$77*'Plan mensual'!H214+parametros_recargas!$G$77*'Plan mensual'!H215+parametros_recargas!$H$77*'Plan mensual'!H216+parametros_recargas!$I$77*'Plan mensual'!H217+parametros_recargas!$J$77*'Plan mensual'!H218+parametros_recargas!$K$77*'Plan mensual'!H219+parametros_recargas!$L$77*'Plan mensual'!H220</f>
        <v>845.368739565904</v>
      </c>
      <c r="G199" s="25" t="n">
        <f aca="false">parametros_recargas!$E$77*'Plan mensual'!I213+parametros_recargas!$F$77*'Plan mensual'!I214+parametros_recargas!$G$77*'Plan mensual'!I215+parametros_recargas!$H$77*'Plan mensual'!I216+parametros_recargas!$I$77*'Plan mensual'!I217+parametros_recargas!$J$77*'Plan mensual'!I218+parametros_recargas!$K$77*'Plan mensual'!I219+parametros_recargas!$L$77*'Plan mensual'!I220</f>
        <v>853.403266517051</v>
      </c>
      <c r="H199" s="25" t="n">
        <f aca="false">parametros_recargas!$E$77*'Plan mensual'!J213+parametros_recargas!$F$77*'Plan mensual'!J214+parametros_recargas!$G$77*'Plan mensual'!J215+parametros_recargas!$H$77*'Plan mensual'!J216+parametros_recargas!$I$77*'Plan mensual'!J217+parametros_recargas!$J$77*'Plan mensual'!J218+parametros_recargas!$K$77*'Plan mensual'!J219+parametros_recargas!$L$77*'Plan mensual'!J220</f>
        <v>861.524129491151</v>
      </c>
      <c r="I199" s="25" t="n">
        <f aca="false">parametros_recargas!$E$77*'Plan mensual'!K213+parametros_recargas!$F$77*'Plan mensual'!K214+parametros_recargas!$G$77*'Plan mensual'!K215+parametros_recargas!$H$77*'Plan mensual'!K216+parametros_recargas!$I$77*'Plan mensual'!K217+parametros_recargas!$J$77*'Plan mensual'!K218+parametros_recargas!$K$77*'Plan mensual'!K219+parametros_recargas!$L$77*'Plan mensual'!K220</f>
        <v>869.732256222832</v>
      </c>
      <c r="J199" s="25" t="n">
        <f aca="false">parametros_recargas!$E$77*'Plan mensual'!L213+parametros_recargas!$F$77*'Plan mensual'!L214+parametros_recargas!$G$77*'Plan mensual'!L215+parametros_recargas!$H$77*'Plan mensual'!L216+parametros_recargas!$I$77*'Plan mensual'!L217+parametros_recargas!$J$77*'Plan mensual'!L218+parametros_recargas!$K$77*'Plan mensual'!L219+parametros_recargas!$L$77*'Plan mensual'!L220</f>
        <v>878.028584415809</v>
      </c>
      <c r="K199" s="25" t="n">
        <f aca="false">parametros_recargas!$E$77*'Plan mensual'!M213+parametros_recargas!$F$77*'Plan mensual'!M214+parametros_recargas!$G$77*'Plan mensual'!M215+parametros_recargas!$H$77*'Plan mensual'!M216+parametros_recargas!$I$77*'Plan mensual'!M217+parametros_recargas!$J$77*'Plan mensual'!M218+parametros_recargas!$K$77*'Plan mensual'!M219+parametros_recargas!$L$77*'Plan mensual'!M220</f>
        <v>886.414061850012</v>
      </c>
      <c r="L199" s="25" t="n">
        <f aca="false">parametros_recargas!$E$77*'Plan mensual'!N213+parametros_recargas!$F$77*'Plan mensual'!N214+parametros_recargas!$G$77*'Plan mensual'!N215+parametros_recargas!$H$77*'Plan mensual'!N216+parametros_recargas!$I$77*'Plan mensual'!N217+parametros_recargas!$J$77*'Plan mensual'!N218+parametros_recargas!$K$77*'Plan mensual'!N219+parametros_recargas!$L$77*'Plan mensual'!N220</f>
        <v>894.889646489859</v>
      </c>
      <c r="M199" s="25" t="n">
        <f aca="false">parametros_recargas!$E$77*'Plan mensual'!O213+parametros_recargas!$F$77*'Plan mensual'!O214+parametros_recargas!$G$77*'Plan mensual'!O215+parametros_recargas!$H$77*'Plan mensual'!O216+parametros_recargas!$I$77*'Plan mensual'!O217+parametros_recargas!$J$77*'Plan mensual'!O218+parametros_recargas!$K$77*'Plan mensual'!O219+parametros_recargas!$L$77*'Plan mensual'!O220</f>
        <v>903.456306593697</v>
      </c>
      <c r="N199" s="7" t="n">
        <f aca="false">SUM(B199:M199)</f>
        <v>10295.6414790523</v>
      </c>
      <c r="O199" s="26" t="n">
        <f aca="false">MAX(B199:M199)</f>
        <v>903.456306593697</v>
      </c>
      <c r="P199" s="15" t="n">
        <f aca="false">O199/parametros_recargas!$B$6</f>
        <v>6.02304204395798</v>
      </c>
    </row>
    <row r="200" customFormat="false" ht="15" hidden="false" customHeight="false" outlineLevel="0" collapsed="false">
      <c r="A200" s="12" t="str">
        <f aca="false">parametros_recargas!$B$78</f>
        <v>Recuperación de CO₂</v>
      </c>
      <c r="B200" s="25" t="n">
        <f aca="false">parametros_recargas!$E$78*'Plan mensual'!D213+parametros_recargas!$F$78*'Plan mensual'!D214+parametros_recargas!$G$78*'Plan mensual'!D215+parametros_recargas!$H$78*'Plan mensual'!D216+parametros_recargas!$I$78*'Plan mensual'!D217+parametros_recargas!$J$78*'Plan mensual'!D218+parametros_recargas!$K$78*'Plan mensual'!D219+parametros_recargas!$L$78*'Plan mensual'!D220</f>
        <v>374.648301664616</v>
      </c>
      <c r="C200" s="25" t="n">
        <f aca="false">parametros_recargas!$E$78*'Plan mensual'!E213+parametros_recargas!$F$78*'Plan mensual'!E214+parametros_recargas!$G$78*'Plan mensual'!E215+parametros_recargas!$H$78*'Plan mensual'!E216+parametros_recargas!$I$78*'Plan mensual'!E217+parametros_recargas!$J$78*'Plan mensual'!E218+parametros_recargas!$K$78*'Plan mensual'!E219+parametros_recargas!$L$78*'Plan mensual'!E220</f>
        <v>378.191698413192</v>
      </c>
      <c r="D200" s="25" t="n">
        <f aca="false">parametros_recargas!$E$78*'Plan mensual'!F213+parametros_recargas!$F$78*'Plan mensual'!F214+parametros_recargas!$G$78*'Plan mensual'!F215+parametros_recargas!$H$78*'Plan mensual'!F216+parametros_recargas!$I$78*'Plan mensual'!F217+parametros_recargas!$J$78*'Plan mensual'!F218+parametros_recargas!$K$78*'Plan mensual'!F219+parametros_recargas!$L$78*'Plan mensual'!F220</f>
        <v>381.773171178549</v>
      </c>
      <c r="E200" s="25" t="n">
        <f aca="false">parametros_recargas!$E$78*'Plan mensual'!G213+parametros_recargas!$F$78*'Plan mensual'!G214+parametros_recargas!$G$78*'Plan mensual'!G215+parametros_recargas!$H$78*'Plan mensual'!G216+parametros_recargas!$I$78*'Plan mensual'!G217+parametros_recargas!$J$78*'Plan mensual'!G218+parametros_recargas!$K$78*'Plan mensual'!G219+parametros_recargas!$L$78*'Plan mensual'!G220</f>
        <v>385.393129111329</v>
      </c>
      <c r="F200" s="25" t="n">
        <f aca="false">parametros_recargas!$E$78*'Plan mensual'!H213+parametros_recargas!$F$78*'Plan mensual'!H214+parametros_recargas!$G$78*'Plan mensual'!H215+parametros_recargas!$H$78*'Plan mensual'!H216+parametros_recargas!$I$78*'Plan mensual'!H217+parametros_recargas!$J$78*'Plan mensual'!H218+parametros_recargas!$K$78*'Plan mensual'!H219+parametros_recargas!$L$78*'Plan mensual'!H220</f>
        <v>389.051985758754</v>
      </c>
      <c r="G200" s="25" t="n">
        <f aca="false">parametros_recargas!$E$78*'Plan mensual'!I213+parametros_recargas!$F$78*'Plan mensual'!I214+parametros_recargas!$G$78*'Plan mensual'!I215+parametros_recargas!$H$78*'Plan mensual'!I216+parametros_recargas!$I$78*'Plan mensual'!I217+parametros_recargas!$J$78*'Plan mensual'!I218+parametros_recargas!$K$78*'Plan mensual'!I219+parametros_recargas!$L$78*'Plan mensual'!I220</f>
        <v>392.750159111869</v>
      </c>
      <c r="H200" s="25" t="n">
        <f aca="false">parametros_recargas!$E$78*'Plan mensual'!J213+parametros_recargas!$F$78*'Plan mensual'!J214+parametros_recargas!$G$78*'Plan mensual'!J215+parametros_recargas!$H$78*'Plan mensual'!J216+parametros_recargas!$I$78*'Plan mensual'!J217+parametros_recargas!$J$78*'Plan mensual'!J218+parametros_recargas!$K$78*'Plan mensual'!J219+parametros_recargas!$L$78*'Plan mensual'!J220</f>
        <v>396.488071653295</v>
      </c>
      <c r="I200" s="25" t="n">
        <f aca="false">parametros_recargas!$E$78*'Plan mensual'!K213+parametros_recargas!$F$78*'Plan mensual'!K214+parametros_recargas!$G$78*'Plan mensual'!K215+parametros_recargas!$H$78*'Plan mensual'!K216+parametros_recargas!$I$78*'Plan mensual'!K217+parametros_recargas!$J$78*'Plan mensual'!K218+parametros_recargas!$K$78*'Plan mensual'!K219+parametros_recargas!$L$78*'Plan mensual'!K220</f>
        <v>400.266150405494</v>
      </c>
      <c r="J200" s="25" t="n">
        <f aca="false">parametros_recargas!$E$78*'Plan mensual'!L213+parametros_recargas!$F$78*'Plan mensual'!L214+parametros_recargas!$G$78*'Plan mensual'!L215+parametros_recargas!$H$78*'Plan mensual'!L216+parametros_recargas!$I$78*'Plan mensual'!L217+parametros_recargas!$J$78*'Plan mensual'!L218+parametros_recargas!$K$78*'Plan mensual'!L219+parametros_recargas!$L$78*'Plan mensual'!L220</f>
        <v>404.08482697955</v>
      </c>
      <c r="K200" s="25" t="n">
        <f aca="false">parametros_recargas!$E$78*'Plan mensual'!M213+parametros_recargas!$F$78*'Plan mensual'!M214+parametros_recargas!$G$78*'Plan mensual'!M215+parametros_recargas!$H$78*'Plan mensual'!M216+parametros_recargas!$I$78*'Plan mensual'!M217+parametros_recargas!$J$78*'Plan mensual'!M218+parametros_recargas!$K$78*'Plan mensual'!M219+parametros_recargas!$L$78*'Plan mensual'!M220</f>
        <v>407.94453762448</v>
      </c>
      <c r="L200" s="25" t="n">
        <f aca="false">parametros_recargas!$E$78*'Plan mensual'!N213+parametros_recargas!$F$78*'Plan mensual'!N214+parametros_recargas!$G$78*'Plan mensual'!N215+parametros_recargas!$H$78*'Plan mensual'!N216+parametros_recargas!$I$78*'Plan mensual'!N217+parametros_recargas!$J$78*'Plan mensual'!N218+parametros_recargas!$K$78*'Plan mensual'!N219+parametros_recargas!$L$78*'Plan mensual'!N220</f>
        <v>411.84572327707</v>
      </c>
      <c r="M200" s="25" t="n">
        <f aca="false">parametros_recargas!$E$78*'Plan mensual'!O213+parametros_recargas!$F$78*'Plan mensual'!O214+parametros_recargas!$G$78*'Plan mensual'!O215+parametros_recargas!$H$78*'Plan mensual'!O216+parametros_recargas!$I$78*'Plan mensual'!O217+parametros_recargas!$J$78*'Plan mensual'!O218+parametros_recargas!$K$78*'Plan mensual'!O219+parametros_recargas!$L$78*'Plan mensual'!O220</f>
        <v>415.788829612245</v>
      </c>
      <c r="N200" s="7" t="n">
        <f aca="false">SUM(B200:M200)</f>
        <v>4738.22658479045</v>
      </c>
      <c r="O200" s="26" t="n">
        <f aca="false">MAX(B200:M200)</f>
        <v>415.788829612245</v>
      </c>
      <c r="P200" s="15" t="n">
        <f aca="false">O200/parametros_recargas!$B$6</f>
        <v>2.7719255307483</v>
      </c>
    </row>
    <row r="201" customFormat="false" ht="15" hidden="false" customHeight="false" outlineLevel="0" collapsed="false">
      <c r="A201" s="12" t="str">
        <f aca="false">parametros_recargas!$B$79</f>
        <v>Recuperación de halogenado</v>
      </c>
      <c r="B201" s="25" t="n">
        <f aca="false">parametros_recargas!$E$79*'Plan mensual'!D213+parametros_recargas!$F$79*'Plan mensual'!D214+parametros_recargas!$G$79*'Plan mensual'!D215+parametros_recargas!$H$79*'Plan mensual'!D216+parametros_recargas!$I$79*'Plan mensual'!D217+parametros_recargas!$J$79*'Plan mensual'!D218+parametros_recargas!$K$79*'Plan mensual'!D219+parametros_recargas!$L$79*'Plan mensual'!D220</f>
        <v>14.9725662899206</v>
      </c>
      <c r="C201" s="25" t="n">
        <f aca="false">parametros_recargas!$E$79*'Plan mensual'!E213+parametros_recargas!$F$79*'Plan mensual'!E214+parametros_recargas!$G$79*'Plan mensual'!E215+parametros_recargas!$H$79*'Plan mensual'!E216+parametros_recargas!$I$79*'Plan mensual'!E217+parametros_recargas!$J$79*'Plan mensual'!E218+parametros_recargas!$K$79*'Plan mensual'!E219+parametros_recargas!$L$79*'Plan mensual'!E220</f>
        <v>15.1144271768782</v>
      </c>
      <c r="D201" s="25" t="n">
        <f aca="false">parametros_recargas!$E$79*'Plan mensual'!F213+parametros_recargas!$F$79*'Plan mensual'!F214+parametros_recargas!$G$79*'Plan mensual'!F215+parametros_recargas!$H$79*'Plan mensual'!F216+parametros_recargas!$I$79*'Plan mensual'!F217+parametros_recargas!$J$79*'Plan mensual'!F218+parametros_recargas!$K$79*'Plan mensual'!F219+parametros_recargas!$L$79*'Plan mensual'!F220</f>
        <v>15.2578124478931</v>
      </c>
      <c r="E201" s="25" t="n">
        <f aca="false">parametros_recargas!$E$79*'Plan mensual'!G213+parametros_recargas!$F$79*'Plan mensual'!G214+parametros_recargas!$G$79*'Plan mensual'!G215+parametros_recargas!$H$79*'Plan mensual'!G216+parametros_recargas!$I$79*'Plan mensual'!G217+parametros_recargas!$J$79*'Plan mensual'!G218+parametros_recargas!$K$79*'Plan mensual'!G219+parametros_recargas!$L$79*'Plan mensual'!G220</f>
        <v>15.4027384834266</v>
      </c>
      <c r="F201" s="25" t="n">
        <f aca="false">parametros_recargas!$E$79*'Plan mensual'!H213+parametros_recargas!$F$79*'Plan mensual'!H214+parametros_recargas!$G$79*'Plan mensual'!H215+parametros_recargas!$H$79*'Plan mensual'!H216+parametros_recargas!$I$79*'Plan mensual'!H217+parametros_recargas!$J$79*'Plan mensual'!H218+parametros_recargas!$K$79*'Plan mensual'!H219+parametros_recargas!$L$79*'Plan mensual'!H220</f>
        <v>15.5492218399582</v>
      </c>
      <c r="G201" s="25" t="n">
        <f aca="false">parametros_recargas!$E$79*'Plan mensual'!I213+parametros_recargas!$F$79*'Plan mensual'!I214+parametros_recargas!$G$79*'Plan mensual'!I215+parametros_recargas!$H$79*'Plan mensual'!I216+parametros_recargas!$I$79*'Plan mensual'!I217+parametros_recargas!$J$79*'Plan mensual'!I218+parametros_recargas!$K$79*'Plan mensual'!I219+parametros_recargas!$L$79*'Plan mensual'!I220</f>
        <v>15.6972792518771</v>
      </c>
      <c r="H201" s="25" t="n">
        <f aca="false">parametros_recargas!$E$79*'Plan mensual'!J213+parametros_recargas!$F$79*'Plan mensual'!J214+parametros_recargas!$G$79*'Plan mensual'!J215+parametros_recargas!$H$79*'Plan mensual'!J216+parametros_recargas!$I$79*'Plan mensual'!J217+parametros_recargas!$J$79*'Plan mensual'!J218+parametros_recargas!$K$79*'Plan mensual'!J219+parametros_recargas!$L$79*'Plan mensual'!J220</f>
        <v>15.846927633394</v>
      </c>
      <c r="I201" s="25" t="n">
        <f aca="false">parametros_recargas!$E$79*'Plan mensual'!K213+parametros_recargas!$F$79*'Plan mensual'!K214+parametros_recargas!$G$79*'Plan mensual'!K215+parametros_recargas!$H$79*'Plan mensual'!K216+parametros_recargas!$I$79*'Plan mensual'!K217+parametros_recargas!$J$79*'Plan mensual'!K218+parametros_recargas!$K$79*'Plan mensual'!K219+parametros_recargas!$L$79*'Plan mensual'!K220</f>
        <v>15.9981840804735</v>
      </c>
      <c r="J201" s="25" t="n">
        <f aca="false">parametros_recargas!$E$79*'Plan mensual'!L213+parametros_recargas!$F$79*'Plan mensual'!L214+parametros_recargas!$G$79*'Plan mensual'!L215+parametros_recargas!$H$79*'Plan mensual'!L216+parametros_recargas!$I$79*'Plan mensual'!L217+parametros_recargas!$J$79*'Plan mensual'!L218+parametros_recargas!$K$79*'Plan mensual'!L219+parametros_recargas!$L$79*'Plan mensual'!L220</f>
        <v>16.1510658727869</v>
      </c>
      <c r="K201" s="25" t="n">
        <f aca="false">parametros_recargas!$E$79*'Plan mensual'!M213+parametros_recargas!$F$79*'Plan mensual'!M214+parametros_recargas!$G$79*'Plan mensual'!M215+parametros_recargas!$H$79*'Plan mensual'!M216+parametros_recargas!$I$79*'Plan mensual'!M217+parametros_recargas!$J$79*'Plan mensual'!M218+parametros_recargas!$K$79*'Plan mensual'!M219+parametros_recargas!$L$79*'Plan mensual'!M220</f>
        <v>16.3055904756866</v>
      </c>
      <c r="L201" s="25" t="n">
        <f aca="false">parametros_recargas!$E$79*'Plan mensual'!N213+parametros_recargas!$F$79*'Plan mensual'!N214+parametros_recargas!$G$79*'Plan mensual'!N215+parametros_recargas!$H$79*'Plan mensual'!N216+parametros_recargas!$I$79*'Plan mensual'!N217+parametros_recargas!$J$79*'Plan mensual'!N218+parametros_recargas!$K$79*'Plan mensual'!N219+parametros_recargas!$L$79*'Plan mensual'!N220</f>
        <v>16.4617755422008</v>
      </c>
      <c r="M201" s="25" t="n">
        <f aca="false">parametros_recargas!$E$79*'Plan mensual'!O213+parametros_recargas!$F$79*'Plan mensual'!O214+parametros_recargas!$G$79*'Plan mensual'!O215+parametros_recargas!$H$79*'Plan mensual'!O216+parametros_recargas!$I$79*'Plan mensual'!O217+parametros_recargas!$J$79*'Plan mensual'!O218+parametros_recargas!$K$79*'Plan mensual'!O219+parametros_recargas!$L$79*'Plan mensual'!O220</f>
        <v>16.6196389150509</v>
      </c>
      <c r="N201" s="7" t="n">
        <f aca="false">SUM(B201:M201)</f>
        <v>189.377228009547</v>
      </c>
      <c r="O201" s="26" t="n">
        <f aca="false">MAX(B201:M201)</f>
        <v>16.6196389150509</v>
      </c>
      <c r="P201" s="15" t="n">
        <f aca="false">O201/parametros_recargas!$B$6</f>
        <v>0.110797592767006</v>
      </c>
    </row>
    <row r="202" customFormat="false" ht="15" hidden="false" customHeight="false" outlineLevel="0" collapsed="false">
      <c r="A202" s="12" t="str">
        <f aca="false">parametros_recargas!$B$80</f>
        <v>Desarme y limpieza — recinto</v>
      </c>
      <c r="B202" s="25" t="n">
        <f aca="false">parametros_recargas!$E$80*'Plan mensual'!D213+parametros_recargas!$F$80*'Plan mensual'!D214+parametros_recargas!$G$80*'Plan mensual'!D215+parametros_recargas!$H$80*'Plan mensual'!D216+parametros_recargas!$I$80*'Plan mensual'!D217+parametros_recargas!$J$80*'Plan mensual'!D218+parametros_recargas!$K$80*'Plan mensual'!D219+parametros_recargas!$L$80*'Plan mensual'!D220</f>
        <v>15203.786781963</v>
      </c>
      <c r="C202" s="25" t="n">
        <f aca="false">parametros_recargas!$E$80*'Plan mensual'!E213+parametros_recargas!$F$80*'Plan mensual'!E214+parametros_recargas!$G$80*'Plan mensual'!E215+parametros_recargas!$H$80*'Plan mensual'!E216+parametros_recargas!$I$80*'Plan mensual'!E217+parametros_recargas!$J$80*'Plan mensual'!E218+parametros_recargas!$K$80*'Plan mensual'!E219+parametros_recargas!$L$80*'Plan mensual'!E220</f>
        <v>15356.3374589262</v>
      </c>
      <c r="D202" s="25" t="n">
        <f aca="false">parametros_recargas!$E$80*'Plan mensual'!F213+parametros_recargas!$F$80*'Plan mensual'!F214+parametros_recargas!$G$80*'Plan mensual'!F215+parametros_recargas!$H$80*'Plan mensual'!F216+parametros_recargas!$I$80*'Plan mensual'!F217+parametros_recargas!$J$80*'Plan mensual'!F218+parametros_recargas!$K$80*'Plan mensual'!F219+parametros_recargas!$L$80*'Plan mensual'!F220</f>
        <v>15510.5273884339</v>
      </c>
      <c r="E202" s="25" t="n">
        <f aca="false">parametros_recargas!$E$80*'Plan mensual'!G213+parametros_recargas!$F$80*'Plan mensual'!G214+parametros_recargas!$G$80*'Plan mensual'!G215+parametros_recargas!$H$80*'Plan mensual'!G216+parametros_recargas!$I$80*'Plan mensual'!G217+parametros_recargas!$J$80*'Plan mensual'!G218+parametros_recargas!$K$80*'Plan mensual'!G219+parametros_recargas!$L$80*'Plan mensual'!G220</f>
        <v>15666.3741852811</v>
      </c>
      <c r="F202" s="25" t="n">
        <f aca="false">parametros_recargas!$E$80*'Plan mensual'!H213+parametros_recargas!$F$80*'Plan mensual'!H214+parametros_recargas!$G$80*'Plan mensual'!H215+parametros_recargas!$H$80*'Plan mensual'!H216+parametros_recargas!$I$80*'Plan mensual'!H217+parametros_recargas!$J$80*'Plan mensual'!H218+parametros_recargas!$K$80*'Plan mensual'!H219+parametros_recargas!$L$80*'Plan mensual'!H220</f>
        <v>15823.8956535447</v>
      </c>
      <c r="G202" s="25" t="n">
        <f aca="false">parametros_recargas!$E$80*'Plan mensual'!I213+parametros_recargas!$F$80*'Plan mensual'!I214+parametros_recargas!$G$80*'Plan mensual'!I215+parametros_recargas!$H$80*'Plan mensual'!I216+parametros_recargas!$I$80*'Plan mensual'!I217+parametros_recargas!$J$80*'Plan mensual'!I218+parametros_recargas!$K$80*'Plan mensual'!I219+parametros_recargas!$L$80*'Plan mensual'!I220</f>
        <v>15983.1097886177</v>
      </c>
      <c r="H202" s="25" t="n">
        <f aca="false">parametros_recargas!$E$80*'Plan mensual'!J213+parametros_recargas!$F$80*'Plan mensual'!J214+parametros_recargas!$G$80*'Plan mensual'!J215+parametros_recargas!$H$80*'Plan mensual'!J216+parametros_recargas!$I$80*'Plan mensual'!J217+parametros_recargas!$J$80*'Plan mensual'!J218+parametros_recargas!$K$80*'Plan mensual'!J219+parametros_recargas!$L$80*'Plan mensual'!J220</f>
        <v>16144.034779265</v>
      </c>
      <c r="I202" s="25" t="n">
        <f aca="false">parametros_recargas!$E$80*'Plan mensual'!K213+parametros_recargas!$F$80*'Plan mensual'!K214+parametros_recargas!$G$80*'Plan mensual'!K215+parametros_recargas!$H$80*'Plan mensual'!K216+parametros_recargas!$I$80*'Plan mensual'!K217+parametros_recargas!$J$80*'Plan mensual'!K218+parametros_recargas!$K$80*'Plan mensual'!K219+parametros_recargas!$L$80*'Plan mensual'!K220</f>
        <v>16306.6890097008</v>
      </c>
      <c r="J202" s="25" t="n">
        <f aca="false">parametros_recargas!$E$80*'Plan mensual'!L213+parametros_recargas!$F$80*'Plan mensual'!L214+parametros_recargas!$G$80*'Plan mensual'!L215+parametros_recargas!$H$80*'Plan mensual'!L216+parametros_recargas!$I$80*'Plan mensual'!L217+parametros_recargas!$J$80*'Plan mensual'!L218+parametros_recargas!$K$80*'Plan mensual'!L219+parametros_recargas!$L$80*'Plan mensual'!L220</f>
        <v>16471.0910616895</v>
      </c>
      <c r="K202" s="25" t="n">
        <f aca="false">parametros_recargas!$E$80*'Plan mensual'!M213+parametros_recargas!$F$80*'Plan mensual'!M214+parametros_recargas!$G$80*'Plan mensual'!M215+parametros_recargas!$H$80*'Plan mensual'!M216+parametros_recargas!$I$80*'Plan mensual'!M217+parametros_recargas!$J$80*'Plan mensual'!M218+parametros_recargas!$K$80*'Plan mensual'!M219+parametros_recargas!$L$80*'Plan mensual'!M220</f>
        <v>16637.2597166682</v>
      </c>
      <c r="L202" s="25" t="n">
        <f aca="false">parametros_recargas!$E$80*'Plan mensual'!N213+parametros_recargas!$F$80*'Plan mensual'!N214+parametros_recargas!$G$80*'Plan mensual'!N215+parametros_recargas!$H$80*'Plan mensual'!N216+parametros_recargas!$I$80*'Plan mensual'!N217+parametros_recargas!$J$80*'Plan mensual'!N218+parametros_recargas!$K$80*'Plan mensual'!N219+parametros_recargas!$L$80*'Plan mensual'!N220</f>
        <v>16805.2139578919</v>
      </c>
      <c r="M202" s="25" t="n">
        <f aca="false">parametros_recargas!$E$80*'Plan mensual'!O213+parametros_recargas!$F$80*'Plan mensual'!O214+parametros_recargas!$G$80*'Plan mensual'!O215+parametros_recargas!$H$80*'Plan mensual'!O216+parametros_recargas!$I$80*'Plan mensual'!O217+parametros_recargas!$J$80*'Plan mensual'!O218+parametros_recargas!$K$80*'Plan mensual'!O219+parametros_recargas!$L$80*'Plan mensual'!O220</f>
        <v>16974.9729726032</v>
      </c>
      <c r="N202" s="7" t="n">
        <f aca="false">SUM(B202:M202)</f>
        <v>192883.292754585</v>
      </c>
      <c r="O202" s="26" t="n">
        <f aca="false">MAX(B202:M202)</f>
        <v>16974.9729726032</v>
      </c>
      <c r="P202" s="15" t="n">
        <f aca="false">O202/parametros_recargas!$B$6</f>
        <v>113.166486484021</v>
      </c>
    </row>
    <row r="203" customFormat="false" ht="15" hidden="false" customHeight="false" outlineLevel="0" collapsed="false">
      <c r="A203" s="12" t="str">
        <f aca="false">parametros_recargas!$B$81</f>
        <v>Desarme e inspección interior — zona general</v>
      </c>
      <c r="B203" s="25" t="n">
        <f aca="false">parametros_recargas!$E$81*'Plan mensual'!D213+parametros_recargas!$F$81*'Plan mensual'!D214+parametros_recargas!$G$81*'Plan mensual'!D215+parametros_recargas!$H$81*'Plan mensual'!D216+parametros_recargas!$I$81*'Plan mensual'!D217+parametros_recargas!$J$81*'Plan mensual'!D218+parametros_recargas!$K$81*'Plan mensual'!D219+parametros_recargas!$L$81*'Plan mensual'!D220</f>
        <v>1203.69664826728</v>
      </c>
      <c r="C203" s="25" t="n">
        <f aca="false">parametros_recargas!$E$81*'Plan mensual'!E213+parametros_recargas!$F$81*'Plan mensual'!E214+parametros_recargas!$G$81*'Plan mensual'!E215+parametros_recargas!$H$81*'Plan mensual'!E216+parametros_recargas!$I$81*'Plan mensual'!E217+parametros_recargas!$J$81*'Plan mensual'!E218+parametros_recargas!$K$81*'Plan mensual'!E219+parametros_recargas!$L$81*'Plan mensual'!E220</f>
        <v>1215.08017041252</v>
      </c>
      <c r="D203" s="25" t="n">
        <f aca="false">parametros_recargas!$E$81*'Plan mensual'!F213+parametros_recargas!$F$81*'Plan mensual'!F214+parametros_recargas!$G$81*'Plan mensual'!F215+parametros_recargas!$H$81*'Plan mensual'!F216+parametros_recargas!$I$81*'Plan mensual'!F217+parametros_recargas!$J$81*'Plan mensual'!F218+parametros_recargas!$K$81*'Plan mensual'!F219+parametros_recargas!$L$81*'Plan mensual'!F220</f>
        <v>1226.58601563107</v>
      </c>
      <c r="E203" s="25" t="n">
        <f aca="false">parametros_recargas!$E$81*'Plan mensual'!G213+parametros_recargas!$F$81*'Plan mensual'!G214+parametros_recargas!$G$81*'Plan mensual'!G215+parametros_recargas!$H$81*'Plan mensual'!G216+parametros_recargas!$I$81*'Plan mensual'!G217+parametros_recargas!$J$81*'Plan mensual'!G218+parametros_recargas!$K$81*'Plan mensual'!G219+parametros_recargas!$L$81*'Plan mensual'!G220</f>
        <v>1238.21549836095</v>
      </c>
      <c r="F203" s="25" t="n">
        <f aca="false">parametros_recargas!$E$81*'Plan mensual'!H213+parametros_recargas!$F$81*'Plan mensual'!H214+parametros_recargas!$G$81*'Plan mensual'!H215+parametros_recargas!$H$81*'Plan mensual'!H216+parametros_recargas!$I$81*'Plan mensual'!H217+parametros_recargas!$J$81*'Plan mensual'!H218+parametros_recargas!$K$81*'Plan mensual'!H219+parametros_recargas!$L$81*'Plan mensual'!H220</f>
        <v>1249.96994716462</v>
      </c>
      <c r="G203" s="25" t="n">
        <f aca="false">parametros_recargas!$E$81*'Plan mensual'!I213+parametros_recargas!$F$81*'Plan mensual'!I214+parametros_recargas!$G$81*'Plan mensual'!I215+parametros_recargas!$H$81*'Plan mensual'!I216+parametros_recargas!$I$81*'Plan mensual'!I217+parametros_recargas!$J$81*'Plan mensual'!I218+parametros_recargas!$K$81*'Plan mensual'!I219+parametros_recargas!$L$81*'Plan mensual'!I220</f>
        <v>1261.8507048808</v>
      </c>
      <c r="H203" s="25" t="n">
        <f aca="false">parametros_recargas!$E$81*'Plan mensual'!J213+parametros_recargas!$F$81*'Plan mensual'!J214+parametros_recargas!$G$81*'Plan mensual'!J215+parametros_recargas!$H$81*'Plan mensual'!J216+parametros_recargas!$I$81*'Plan mensual'!J217+parametros_recargas!$J$81*'Plan mensual'!J218+parametros_recargas!$K$81*'Plan mensual'!J219+parametros_recargas!$L$81*'Plan mensual'!J220</f>
        <v>1273.85912877784</v>
      </c>
      <c r="I203" s="25" t="n">
        <f aca="false">parametros_recargas!$E$81*'Plan mensual'!K213+parametros_recargas!$F$81*'Plan mensual'!K214+parametros_recargas!$G$81*'Plan mensual'!K215+parametros_recargas!$H$81*'Plan mensual'!K216+parametros_recargas!$I$81*'Plan mensual'!K217+parametros_recargas!$J$81*'Plan mensual'!K218+parametros_recargas!$K$81*'Plan mensual'!K219+parametros_recargas!$L$81*'Plan mensual'!K220</f>
        <v>1285.9965907088</v>
      </c>
      <c r="J203" s="25" t="n">
        <f aca="false">parametros_recargas!$E$81*'Plan mensual'!L213+parametros_recargas!$F$81*'Plan mensual'!L214+parametros_recargas!$G$81*'Plan mensual'!L215+parametros_recargas!$H$81*'Plan mensual'!L216+parametros_recargas!$I$81*'Plan mensual'!L217+parametros_recargas!$J$81*'Plan mensual'!L218+parametros_recargas!$K$81*'Plan mensual'!L219+parametros_recargas!$L$81*'Plan mensual'!L220</f>
        <v>1298.26447726815</v>
      </c>
      <c r="K203" s="25" t="n">
        <f aca="false">parametros_recargas!$E$81*'Plan mensual'!M213+parametros_recargas!$F$81*'Plan mensual'!M214+parametros_recargas!$G$81*'Plan mensual'!M215+parametros_recargas!$H$81*'Plan mensual'!M216+parametros_recargas!$I$81*'Plan mensual'!M217+parametros_recargas!$J$81*'Plan mensual'!M218+parametros_recargas!$K$81*'Plan mensual'!M219+parametros_recargas!$L$81*'Plan mensual'!M220</f>
        <v>1310.66418995018</v>
      </c>
      <c r="L203" s="25" t="n">
        <f aca="false">parametros_recargas!$E$81*'Plan mensual'!N213+parametros_recargas!$F$81*'Plan mensual'!N214+parametros_recargas!$G$81*'Plan mensual'!N215+parametros_recargas!$H$81*'Plan mensual'!N216+parametros_recargas!$I$81*'Plan mensual'!N217+parametros_recargas!$J$81*'Plan mensual'!N218+parametros_recargas!$K$81*'Plan mensual'!N219+parametros_recargas!$L$81*'Plan mensual'!N220</f>
        <v>1323.19714530913</v>
      </c>
      <c r="M203" s="25" t="n">
        <f aca="false">parametros_recargas!$E$81*'Plan mensual'!O213+parametros_recargas!$F$81*'Plan mensual'!O214+parametros_recargas!$G$81*'Plan mensual'!O215+parametros_recargas!$H$81*'Plan mensual'!O216+parametros_recargas!$I$81*'Plan mensual'!O217+parametros_recargas!$J$81*'Plan mensual'!O218+parametros_recargas!$K$81*'Plan mensual'!O219+parametros_recargas!$L$81*'Plan mensual'!O220</f>
        <v>1335.86477512099</v>
      </c>
      <c r="N203" s="7" t="n">
        <f aca="false">SUM(B203:M203)</f>
        <v>15223.2452918523</v>
      </c>
      <c r="O203" s="26" t="n">
        <f aca="false">MAX(B203:M203)</f>
        <v>1335.86477512099</v>
      </c>
      <c r="P203" s="15" t="n">
        <f aca="false">O203/parametros_recargas!$B$6</f>
        <v>8.90576516747329</v>
      </c>
    </row>
    <row r="204" customFormat="false" ht="15" hidden="false" customHeight="false" outlineLevel="0" collapsed="false">
      <c r="A204" s="12" t="str">
        <f aca="false">parametros_recargas!$B$82</f>
        <v>Laboratorio — Puffer y mufla</v>
      </c>
      <c r="B204" s="25" t="n">
        <f aca="false">parametros_recargas!$E$82*'Plan mensual'!D213+parametros_recargas!$F$82*'Plan mensual'!D214+parametros_recargas!$G$82*'Plan mensual'!D215+parametros_recargas!$H$82*'Plan mensual'!D216+parametros_recargas!$I$82*'Plan mensual'!D217+parametros_recargas!$J$82*'Plan mensual'!D218+parametros_recargas!$K$82*'Plan mensual'!D219+parametros_recargas!$L$82*'Plan mensual'!D220</f>
        <v>15.1824317382488</v>
      </c>
      <c r="C204" s="25" t="n">
        <f aca="false">parametros_recargas!$E$82*'Plan mensual'!E213+parametros_recargas!$F$82*'Plan mensual'!E214+parametros_recargas!$G$82*'Plan mensual'!E215+parametros_recargas!$H$82*'Plan mensual'!E216+parametros_recargas!$I$82*'Plan mensual'!E217+parametros_recargas!$J$82*'Plan mensual'!E218+parametros_recargas!$K$82*'Plan mensual'!E219+parametros_recargas!$L$82*'Plan mensual'!E220</f>
        <v>15.3347851787742</v>
      </c>
      <c r="D204" s="25" t="n">
        <f aca="false">parametros_recargas!$E$82*'Plan mensual'!F213+parametros_recargas!$F$82*'Plan mensual'!F214+parametros_recargas!$G$82*'Plan mensual'!F215+parametros_recargas!$H$82*'Plan mensual'!F216+parametros_recargas!$I$82*'Plan mensual'!F217+parametros_recargas!$J$82*'Plan mensual'!F218+parametros_recargas!$K$82*'Plan mensual'!F219+parametros_recargas!$L$82*'Plan mensual'!F220</f>
        <v>15.4887757524151</v>
      </c>
      <c r="E204" s="25" t="n">
        <f aca="false">parametros_recargas!$E$82*'Plan mensual'!G213+parametros_recargas!$F$82*'Plan mensual'!G214+parametros_recargas!$G$82*'Plan mensual'!G215+parametros_recargas!$H$82*'Plan mensual'!G216+parametros_recargas!$I$82*'Plan mensual'!G217+parametros_recargas!$J$82*'Plan mensual'!G218+parametros_recargas!$K$82*'Plan mensual'!G219+parametros_recargas!$L$82*'Plan mensual'!G220</f>
        <v>15.6444210511918</v>
      </c>
      <c r="F204" s="25" t="n">
        <f aca="false">parametros_recargas!$E$82*'Plan mensual'!H213+parametros_recargas!$F$82*'Plan mensual'!H214+parametros_recargas!$G$82*'Plan mensual'!H215+parametros_recargas!$H$82*'Plan mensual'!H216+parametros_recargas!$I$82*'Plan mensual'!H217+parametros_recargas!$J$82*'Plan mensual'!H218+parametros_recargas!$K$82*'Plan mensual'!H219+parametros_recargas!$L$82*'Plan mensual'!H220</f>
        <v>15.801738856162</v>
      </c>
      <c r="G204" s="25" t="n">
        <f aca="false">parametros_recargas!$E$82*'Plan mensual'!I213+parametros_recargas!$F$82*'Plan mensual'!I214+parametros_recargas!$G$82*'Plan mensual'!I215+parametros_recargas!$H$82*'Plan mensual'!I216+parametros_recargas!$I$82*'Plan mensual'!I217+parametros_recargas!$J$82*'Plan mensual'!I218+parametros_recargas!$K$82*'Plan mensual'!I219+parametros_recargas!$L$82*'Plan mensual'!I220</f>
        <v>15.960747139452</v>
      </c>
      <c r="H204" s="25" t="n">
        <f aca="false">parametros_recargas!$E$82*'Plan mensual'!J213+parametros_recargas!$F$82*'Plan mensual'!J214+parametros_recargas!$G$82*'Plan mensual'!J215+parametros_recargas!$H$82*'Plan mensual'!J216+parametros_recargas!$I$82*'Plan mensual'!J217+parametros_recargas!$J$82*'Plan mensual'!J218+parametros_recargas!$K$82*'Plan mensual'!J219+parametros_recargas!$L$82*'Plan mensual'!J220</f>
        <v>16.12146406631</v>
      </c>
      <c r="I204" s="25" t="n">
        <f aca="false">parametros_recargas!$E$82*'Plan mensual'!K213+parametros_recargas!$F$82*'Plan mensual'!K214+parametros_recargas!$G$82*'Plan mensual'!K215+parametros_recargas!$H$82*'Plan mensual'!K216+parametros_recargas!$I$82*'Plan mensual'!K217+parametros_recargas!$J$82*'Plan mensual'!K218+parametros_recargas!$K$82*'Plan mensual'!K219+parametros_recargas!$L$82*'Plan mensual'!K220</f>
        <v>16.2839079971808</v>
      </c>
      <c r="J204" s="25" t="n">
        <f aca="false">parametros_recargas!$E$82*'Plan mensual'!L213+parametros_recargas!$F$82*'Plan mensual'!L214+parametros_recargas!$G$82*'Plan mensual'!L215+parametros_recargas!$H$82*'Plan mensual'!L216+parametros_recargas!$I$82*'Plan mensual'!L217+parametros_recargas!$J$82*'Plan mensual'!L218+parametros_recargas!$K$82*'Plan mensual'!L219+parametros_recargas!$L$82*'Plan mensual'!L220</f>
        <v>16.448097489804</v>
      </c>
      <c r="K204" s="25" t="n">
        <f aca="false">parametros_recargas!$E$82*'Plan mensual'!M213+parametros_recargas!$F$82*'Plan mensual'!M214+parametros_recargas!$G$82*'Plan mensual'!M215+parametros_recargas!$H$82*'Plan mensual'!M216+parametros_recargas!$I$82*'Plan mensual'!M217+parametros_recargas!$J$82*'Plan mensual'!M218+parametros_recargas!$K$82*'Plan mensual'!M219+parametros_recargas!$L$82*'Plan mensual'!M220</f>
        <v>16.6140513013336</v>
      </c>
      <c r="L204" s="25" t="n">
        <f aca="false">parametros_recargas!$E$82*'Plan mensual'!N213+parametros_recargas!$F$82*'Plan mensual'!N214+parametros_recargas!$G$82*'Plan mensual'!N215+parametros_recargas!$H$82*'Plan mensual'!N216+parametros_recargas!$I$82*'Plan mensual'!N217+parametros_recargas!$J$82*'Plan mensual'!N218+parametros_recargas!$K$82*'Plan mensual'!N219+parametros_recargas!$L$82*'Plan mensual'!N220</f>
        <v>16.781788390481</v>
      </c>
      <c r="M204" s="25" t="n">
        <f aca="false">parametros_recargas!$E$82*'Plan mensual'!O213+parametros_recargas!$F$82*'Plan mensual'!O214+parametros_recargas!$G$82*'Plan mensual'!O215+parametros_recargas!$H$82*'Plan mensual'!O216+parametros_recargas!$I$82*'Plan mensual'!O217+parametros_recargas!$J$82*'Plan mensual'!O218+parametros_recargas!$K$82*'Plan mensual'!O219+parametros_recargas!$L$82*'Plan mensual'!O220</f>
        <v>16.9513279196808</v>
      </c>
      <c r="N204" s="7" t="n">
        <f aca="false">SUM(B204:M204)</f>
        <v>192.613536881034</v>
      </c>
      <c r="O204" s="26" t="n">
        <f aca="false">MAX(B204:M204)</f>
        <v>16.9513279196808</v>
      </c>
      <c r="P204" s="15" t="n">
        <f aca="false">O204/parametros_recargas!$B$6</f>
        <v>0.113008852797872</v>
      </c>
    </row>
    <row r="205" customFormat="false" ht="15" hidden="false" customHeight="false" outlineLevel="0" collapsed="false">
      <c r="A205" s="12" t="str">
        <f aca="false">parametros_recargas!$B$83</f>
        <v>Prueba hidráulica</v>
      </c>
      <c r="B205" s="25" t="n">
        <f aca="false">parametros_recargas!$E$83*'Plan mensual'!D213+parametros_recargas!$F$83*'Plan mensual'!D214+parametros_recargas!$G$83*'Plan mensual'!D215+parametros_recargas!$H$83*'Plan mensual'!D216+parametros_recargas!$I$83*'Plan mensual'!D217+parametros_recargas!$J$83*'Plan mensual'!D218+parametros_recargas!$K$83*'Plan mensual'!D219+parametros_recargas!$L$83*'Plan mensual'!D220</f>
        <v>3759.49194091259</v>
      </c>
      <c r="C205" s="25" t="n">
        <f aca="false">parametros_recargas!$E$83*'Plan mensual'!E213+parametros_recargas!$F$83*'Plan mensual'!E214+parametros_recargas!$G$83*'Plan mensual'!E215+parametros_recargas!$H$83*'Plan mensual'!E216+parametros_recargas!$I$83*'Plan mensual'!E217+parametros_recargas!$J$83*'Plan mensual'!E218+parametros_recargas!$K$83*'Plan mensual'!E219+parametros_recargas!$L$83*'Plan mensual'!E220</f>
        <v>3796.79941466853</v>
      </c>
      <c r="D205" s="25" t="n">
        <f aca="false">parametros_recargas!$E$83*'Plan mensual'!F213+parametros_recargas!$F$83*'Plan mensual'!F214+parametros_recargas!$G$83*'Plan mensual'!F215+parametros_recargas!$H$83*'Plan mensual'!F216+parametros_recargas!$I$83*'Plan mensual'!F217+parametros_recargas!$J$83*'Plan mensual'!F218+parametros_recargas!$K$83*'Plan mensual'!F219+parametros_recargas!$L$83*'Plan mensual'!F220</f>
        <v>3834.50778059025</v>
      </c>
      <c r="E205" s="25" t="n">
        <f aca="false">parametros_recargas!$E$83*'Plan mensual'!G213+parametros_recargas!$F$83*'Plan mensual'!G214+parametros_recargas!$G$83*'Plan mensual'!G215+parametros_recargas!$H$83*'Plan mensual'!G216+parametros_recargas!$I$83*'Plan mensual'!G217+parametros_recargas!$J$83*'Plan mensual'!G218+parametros_recargas!$K$83*'Plan mensual'!G219+parametros_recargas!$L$83*'Plan mensual'!G220</f>
        <v>3872.62134651511</v>
      </c>
      <c r="F205" s="25" t="n">
        <f aca="false">parametros_recargas!$E$83*'Plan mensual'!H213+parametros_recargas!$F$83*'Plan mensual'!H214+parametros_recargas!$G$83*'Plan mensual'!H215+parametros_recargas!$H$83*'Plan mensual'!H216+parametros_recargas!$I$83*'Plan mensual'!H217+parametros_recargas!$J$83*'Plan mensual'!H218+parametros_recargas!$K$83*'Plan mensual'!H219+parametros_recargas!$L$83*'Plan mensual'!H220</f>
        <v>3911.14446657086</v>
      </c>
      <c r="G205" s="25" t="n">
        <f aca="false">parametros_recargas!$E$83*'Plan mensual'!I213+parametros_recargas!$F$83*'Plan mensual'!I214+parametros_recargas!$G$83*'Plan mensual'!I215+parametros_recargas!$H$83*'Plan mensual'!I216+parametros_recargas!$I$83*'Plan mensual'!I217+parametros_recargas!$J$83*'Plan mensual'!I218+parametros_recargas!$K$83*'Plan mensual'!I219+parametros_recargas!$L$83*'Plan mensual'!I220</f>
        <v>3950.08154167307</v>
      </c>
      <c r="H205" s="25" t="n">
        <f aca="false">parametros_recargas!$E$83*'Plan mensual'!J213+parametros_recargas!$F$83*'Plan mensual'!J214+parametros_recargas!$G$83*'Plan mensual'!J215+parametros_recargas!$H$83*'Plan mensual'!J216+parametros_recargas!$I$83*'Plan mensual'!J217+parametros_recargas!$J$83*'Plan mensual'!J218+parametros_recargas!$K$83*'Plan mensual'!J219+parametros_recargas!$L$83*'Plan mensual'!J220</f>
        <v>3989.43702002792</v>
      </c>
      <c r="I205" s="25" t="n">
        <f aca="false">parametros_recargas!$E$83*'Plan mensual'!K213+parametros_recargas!$F$83*'Plan mensual'!K214+parametros_recargas!$G$83*'Plan mensual'!K215+parametros_recargas!$H$83*'Plan mensual'!K216+parametros_recargas!$I$83*'Plan mensual'!K217+parametros_recargas!$J$83*'Plan mensual'!K218+parametros_recargas!$K$83*'Plan mensual'!K219+parametros_recargas!$L$83*'Plan mensual'!K220</f>
        <v>4029.21539764035</v>
      </c>
      <c r="J205" s="25" t="n">
        <f aca="false">parametros_recargas!$E$83*'Plan mensual'!L213+parametros_recargas!$F$83*'Plan mensual'!L214+parametros_recargas!$G$83*'Plan mensual'!L215+parametros_recargas!$H$83*'Plan mensual'!L216+parametros_recargas!$I$83*'Plan mensual'!L217+parametros_recargas!$J$83*'Plan mensual'!L218+parametros_recargas!$K$83*'Plan mensual'!L219+parametros_recargas!$L$83*'Plan mensual'!L220</f>
        <v>4069.42121882768</v>
      </c>
      <c r="K205" s="25" t="n">
        <f aca="false">parametros_recargas!$E$83*'Plan mensual'!M213+parametros_recargas!$F$83*'Plan mensual'!M214+parametros_recargas!$G$83*'Plan mensual'!M215+parametros_recargas!$H$83*'Plan mensual'!M216+parametros_recargas!$I$83*'Plan mensual'!M217+parametros_recargas!$J$83*'Plan mensual'!M218+parametros_recargas!$K$83*'Plan mensual'!M219+parametros_recargas!$L$83*'Plan mensual'!M220</f>
        <v>4110.05907673877</v>
      </c>
      <c r="L205" s="25" t="n">
        <f aca="false">parametros_recargas!$E$83*'Plan mensual'!N213+parametros_recargas!$F$83*'Plan mensual'!N214+parametros_recargas!$G$83*'Plan mensual'!N215+parametros_recargas!$H$83*'Plan mensual'!N216+parametros_recargas!$I$83*'Plan mensual'!N217+parametros_recargas!$J$83*'Plan mensual'!N218+parametros_recargas!$K$83*'Plan mensual'!N219+parametros_recargas!$L$83*'Plan mensual'!N220</f>
        <v>4151.13361387874</v>
      </c>
      <c r="M205" s="25" t="n">
        <f aca="false">parametros_recargas!$E$83*'Plan mensual'!O213+parametros_recargas!$F$83*'Plan mensual'!O214+parametros_recargas!$G$83*'Plan mensual'!O215+parametros_recargas!$H$83*'Plan mensual'!O216+parametros_recargas!$I$83*'Plan mensual'!O217+parametros_recargas!$J$83*'Plan mensual'!O218+parametros_recargas!$K$83*'Plan mensual'!O219+parametros_recargas!$L$83*'Plan mensual'!O220</f>
        <v>4192.64952263932</v>
      </c>
      <c r="N205" s="7" t="n">
        <f aca="false">SUM(B205:M205)</f>
        <v>47666.5623406832</v>
      </c>
      <c r="O205" s="26" t="n">
        <f aca="false">MAX(B205:M205)</f>
        <v>4192.64952263932</v>
      </c>
      <c r="P205" s="15" t="n">
        <f aca="false">O205/parametros_recargas!$B$6</f>
        <v>27.9509968175955</v>
      </c>
    </row>
    <row r="206" customFormat="false" ht="15" hidden="false" customHeight="false" outlineLevel="0" collapsed="false">
      <c r="A206" s="12" t="str">
        <f aca="false">parametros_recargas!$B$84</f>
        <v>Secado</v>
      </c>
      <c r="B206" s="25" t="n">
        <f aca="false">parametros_recargas!$E$84*'Plan mensual'!D213+parametros_recargas!$F$84*'Plan mensual'!D214+parametros_recargas!$G$84*'Plan mensual'!D215+parametros_recargas!$H$84*'Plan mensual'!D216+parametros_recargas!$I$84*'Plan mensual'!D217+parametros_recargas!$J$84*'Plan mensual'!D218+parametros_recargas!$K$84*'Plan mensual'!D219+parametros_recargas!$L$84*'Plan mensual'!D220</f>
        <v>3504.49191857585</v>
      </c>
      <c r="C206" s="25" t="n">
        <f aca="false">parametros_recargas!$E$84*'Plan mensual'!E213+parametros_recargas!$F$84*'Plan mensual'!E214+parametros_recargas!$G$84*'Plan mensual'!E215+parametros_recargas!$H$84*'Plan mensual'!E216+parametros_recargas!$I$84*'Plan mensual'!E217+parametros_recargas!$J$84*'Plan mensual'!E218+parametros_recargas!$K$84*'Plan mensual'!E219+parametros_recargas!$L$84*'Plan mensual'!E220</f>
        <v>3539.47576684656</v>
      </c>
      <c r="D206" s="25" t="n">
        <f aca="false">parametros_recargas!$E$84*'Plan mensual'!F213+parametros_recargas!$F$84*'Plan mensual'!F214+parametros_recargas!$G$84*'Plan mensual'!F215+parametros_recargas!$H$84*'Plan mensual'!F216+parametros_recargas!$I$84*'Plan mensual'!F217+parametros_recargas!$J$84*'Plan mensual'!F218+parametros_recargas!$K$84*'Plan mensual'!F219+parametros_recargas!$L$84*'Plan mensual'!F220</f>
        <v>3574.83553847228</v>
      </c>
      <c r="E206" s="25" t="n">
        <f aca="false">parametros_recargas!$E$84*'Plan mensual'!G213+parametros_recargas!$F$84*'Plan mensual'!G214+parametros_recargas!$G$84*'Plan mensual'!G215+parametros_recargas!$H$84*'Plan mensual'!G216+parametros_recargas!$I$84*'Plan mensual'!G217+parametros_recargas!$J$84*'Plan mensual'!G218+parametros_recargas!$K$84*'Plan mensual'!G219+parametros_recargas!$L$84*'Plan mensual'!G220</f>
        <v>3610.57527298483</v>
      </c>
      <c r="F206" s="25" t="n">
        <f aca="false">parametros_recargas!$E$84*'Plan mensual'!H213+parametros_recargas!$F$84*'Plan mensual'!H214+parametros_recargas!$G$84*'Plan mensual'!H215+parametros_recargas!$H$84*'Plan mensual'!H216+parametros_recargas!$I$84*'Plan mensual'!H217+parametros_recargas!$J$84*'Plan mensual'!H218+parametros_recargas!$K$84*'Plan mensual'!H219+parametros_recargas!$L$84*'Plan mensual'!H220</f>
        <v>3646.69905332335</v>
      </c>
      <c r="G206" s="25" t="n">
        <f aca="false">parametros_recargas!$E$84*'Plan mensual'!I213+parametros_recargas!$F$84*'Plan mensual'!I214+parametros_recargas!$G$84*'Plan mensual'!I215+parametros_recargas!$H$84*'Plan mensual'!I216+parametros_recargas!$I$84*'Plan mensual'!I217+parametros_recargas!$J$84*'Plan mensual'!I218+parametros_recargas!$K$84*'Plan mensual'!I219+parametros_recargas!$L$84*'Plan mensual'!I220</f>
        <v>3683.21100630072</v>
      </c>
      <c r="H206" s="25" t="n">
        <f aca="false">parametros_recargas!$E$84*'Plan mensual'!J213+parametros_recargas!$F$84*'Plan mensual'!J214+parametros_recargas!$G$84*'Plan mensual'!J215+parametros_recargas!$H$84*'Plan mensual'!J216+parametros_recargas!$I$84*'Plan mensual'!J217+parametros_recargas!$J$84*'Plan mensual'!J218+parametros_recargas!$K$84*'Plan mensual'!J219+parametros_recargas!$L$84*'Plan mensual'!J220</f>
        <v>3720.115303075</v>
      </c>
      <c r="I206" s="25" t="n">
        <f aca="false">parametros_recargas!$E$84*'Plan mensual'!K213+parametros_recargas!$F$84*'Plan mensual'!K214+parametros_recargas!$G$84*'Plan mensual'!K215+parametros_recargas!$H$84*'Plan mensual'!K216+parametros_recargas!$I$84*'Plan mensual'!K217+parametros_recargas!$J$84*'Plan mensual'!K218+parametros_recargas!$K$84*'Plan mensual'!K219+parametros_recargas!$L$84*'Plan mensual'!K220</f>
        <v>3757.41615962595</v>
      </c>
      <c r="J206" s="25" t="n">
        <f aca="false">parametros_recargas!$E$84*'Plan mensual'!L213+parametros_recargas!$F$84*'Plan mensual'!L214+parametros_recargas!$G$84*'Plan mensual'!L215+parametros_recargas!$H$84*'Plan mensual'!L216+parametros_recargas!$I$84*'Plan mensual'!L217+parametros_recargas!$J$84*'Plan mensual'!L218+parametros_recargas!$K$84*'Plan mensual'!L219+parametros_recargas!$L$84*'Plan mensual'!L220</f>
        <v>3795.11783723667</v>
      </c>
      <c r="K206" s="25" t="n">
        <f aca="false">parametros_recargas!$E$84*'Plan mensual'!M213+parametros_recargas!$F$84*'Plan mensual'!M214+parametros_recargas!$G$84*'Plan mensual'!M215+parametros_recargas!$H$84*'Plan mensual'!M216+parametros_recargas!$I$84*'Plan mensual'!M217+parametros_recargas!$J$84*'Plan mensual'!M218+parametros_recargas!$K$84*'Plan mensual'!M219+parametros_recargas!$L$84*'Plan mensual'!M220</f>
        <v>3833.22464298045</v>
      </c>
      <c r="L206" s="25" t="n">
        <f aca="false">parametros_recargas!$E$84*'Plan mensual'!N213+parametros_recargas!$F$84*'Plan mensual'!N214+parametros_recargas!$G$84*'Plan mensual'!N215+parametros_recargas!$H$84*'Plan mensual'!N216+parametros_recargas!$I$84*'Plan mensual'!N217+parametros_recargas!$J$84*'Plan mensual'!N218+parametros_recargas!$K$84*'Plan mensual'!N219+parametros_recargas!$L$84*'Plan mensual'!N220</f>
        <v>3871.74093021273</v>
      </c>
      <c r="M206" s="25" t="n">
        <f aca="false">parametros_recargas!$E$84*'Plan mensual'!O213+parametros_recargas!$F$84*'Plan mensual'!O214+parametros_recargas!$G$84*'Plan mensual'!O215+parametros_recargas!$H$84*'Plan mensual'!O216+parametros_recargas!$I$84*'Plan mensual'!O217+parametros_recargas!$J$84*'Plan mensual'!O218+parametros_recargas!$K$84*'Plan mensual'!O219+parametros_recargas!$L$84*'Plan mensual'!O220</f>
        <v>3910.6710990685</v>
      </c>
      <c r="N206" s="7" t="n">
        <f aca="false">SUM(B206:M206)</f>
        <v>44447.5745287029</v>
      </c>
      <c r="O206" s="26" t="n">
        <f aca="false">MAX(B206:M206)</f>
        <v>3910.6710990685</v>
      </c>
      <c r="P206" s="15" t="n">
        <f aca="false">O206/parametros_recargas!$B$6</f>
        <v>26.0711406604567</v>
      </c>
    </row>
    <row r="207" customFormat="false" ht="15" hidden="false" customHeight="false" outlineLevel="0" collapsed="false">
      <c r="A207" s="12" t="str">
        <f aca="false">parametros_recargas!$B$85</f>
        <v>Inspección interior con videoscopio</v>
      </c>
      <c r="B207" s="25" t="n">
        <f aca="false">parametros_recargas!$E$85*'Plan mensual'!D213+parametros_recargas!$F$85*'Plan mensual'!D214+parametros_recargas!$G$85*'Plan mensual'!D215+parametros_recargas!$H$85*'Plan mensual'!D216+parametros_recargas!$I$85*'Plan mensual'!D217+parametros_recargas!$J$85*'Plan mensual'!D218+parametros_recargas!$K$85*'Plan mensual'!D219+parametros_recargas!$L$85*'Plan mensual'!D220</f>
        <v>3504.49191857585</v>
      </c>
      <c r="C207" s="25" t="n">
        <f aca="false">parametros_recargas!$E$85*'Plan mensual'!E213+parametros_recargas!$F$85*'Plan mensual'!E214+parametros_recargas!$G$85*'Plan mensual'!E215+parametros_recargas!$H$85*'Plan mensual'!E216+parametros_recargas!$I$85*'Plan mensual'!E217+parametros_recargas!$J$85*'Plan mensual'!E218+parametros_recargas!$K$85*'Plan mensual'!E219+parametros_recargas!$L$85*'Plan mensual'!E220</f>
        <v>3539.47576684656</v>
      </c>
      <c r="D207" s="25" t="n">
        <f aca="false">parametros_recargas!$E$85*'Plan mensual'!F213+parametros_recargas!$F$85*'Plan mensual'!F214+parametros_recargas!$G$85*'Plan mensual'!F215+parametros_recargas!$H$85*'Plan mensual'!F216+parametros_recargas!$I$85*'Plan mensual'!F217+parametros_recargas!$J$85*'Plan mensual'!F218+parametros_recargas!$K$85*'Plan mensual'!F219+parametros_recargas!$L$85*'Plan mensual'!F220</f>
        <v>3574.83553847228</v>
      </c>
      <c r="E207" s="25" t="n">
        <f aca="false">parametros_recargas!$E$85*'Plan mensual'!G213+parametros_recargas!$F$85*'Plan mensual'!G214+parametros_recargas!$G$85*'Plan mensual'!G215+parametros_recargas!$H$85*'Plan mensual'!G216+parametros_recargas!$I$85*'Plan mensual'!G217+parametros_recargas!$J$85*'Plan mensual'!G218+parametros_recargas!$K$85*'Plan mensual'!G219+parametros_recargas!$L$85*'Plan mensual'!G220</f>
        <v>3610.57527298483</v>
      </c>
      <c r="F207" s="25" t="n">
        <f aca="false">parametros_recargas!$E$85*'Plan mensual'!H213+parametros_recargas!$F$85*'Plan mensual'!H214+parametros_recargas!$G$85*'Plan mensual'!H215+parametros_recargas!$H$85*'Plan mensual'!H216+parametros_recargas!$I$85*'Plan mensual'!H217+parametros_recargas!$J$85*'Plan mensual'!H218+parametros_recargas!$K$85*'Plan mensual'!H219+parametros_recargas!$L$85*'Plan mensual'!H220</f>
        <v>3646.69905332335</v>
      </c>
      <c r="G207" s="25" t="n">
        <f aca="false">parametros_recargas!$E$85*'Plan mensual'!I213+parametros_recargas!$F$85*'Plan mensual'!I214+parametros_recargas!$G$85*'Plan mensual'!I215+parametros_recargas!$H$85*'Plan mensual'!I216+parametros_recargas!$I$85*'Plan mensual'!I217+parametros_recargas!$J$85*'Plan mensual'!I218+parametros_recargas!$K$85*'Plan mensual'!I219+parametros_recargas!$L$85*'Plan mensual'!I220</f>
        <v>3683.21100630072</v>
      </c>
      <c r="H207" s="25" t="n">
        <f aca="false">parametros_recargas!$E$85*'Plan mensual'!J213+parametros_recargas!$F$85*'Plan mensual'!J214+parametros_recargas!$G$85*'Plan mensual'!J215+parametros_recargas!$H$85*'Plan mensual'!J216+parametros_recargas!$I$85*'Plan mensual'!J217+parametros_recargas!$J$85*'Plan mensual'!J218+parametros_recargas!$K$85*'Plan mensual'!J219+parametros_recargas!$L$85*'Plan mensual'!J220</f>
        <v>3720.115303075</v>
      </c>
      <c r="I207" s="25" t="n">
        <f aca="false">parametros_recargas!$E$85*'Plan mensual'!K213+parametros_recargas!$F$85*'Plan mensual'!K214+parametros_recargas!$G$85*'Plan mensual'!K215+parametros_recargas!$H$85*'Plan mensual'!K216+parametros_recargas!$I$85*'Plan mensual'!K217+parametros_recargas!$J$85*'Plan mensual'!K218+parametros_recargas!$K$85*'Plan mensual'!K219+parametros_recargas!$L$85*'Plan mensual'!K220</f>
        <v>3757.41615962595</v>
      </c>
      <c r="J207" s="25" t="n">
        <f aca="false">parametros_recargas!$E$85*'Plan mensual'!L213+parametros_recargas!$F$85*'Plan mensual'!L214+parametros_recargas!$G$85*'Plan mensual'!L215+parametros_recargas!$H$85*'Plan mensual'!L216+parametros_recargas!$I$85*'Plan mensual'!L217+parametros_recargas!$J$85*'Plan mensual'!L218+parametros_recargas!$K$85*'Plan mensual'!L219+parametros_recargas!$L$85*'Plan mensual'!L220</f>
        <v>3795.11783723667</v>
      </c>
      <c r="K207" s="25" t="n">
        <f aca="false">parametros_recargas!$E$85*'Plan mensual'!M213+parametros_recargas!$F$85*'Plan mensual'!M214+parametros_recargas!$G$85*'Plan mensual'!M215+parametros_recargas!$H$85*'Plan mensual'!M216+parametros_recargas!$I$85*'Plan mensual'!M217+parametros_recargas!$J$85*'Plan mensual'!M218+parametros_recargas!$K$85*'Plan mensual'!M219+parametros_recargas!$L$85*'Plan mensual'!M220</f>
        <v>3833.22464298045</v>
      </c>
      <c r="L207" s="25" t="n">
        <f aca="false">parametros_recargas!$E$85*'Plan mensual'!N213+parametros_recargas!$F$85*'Plan mensual'!N214+parametros_recargas!$G$85*'Plan mensual'!N215+parametros_recargas!$H$85*'Plan mensual'!N216+parametros_recargas!$I$85*'Plan mensual'!N217+parametros_recargas!$J$85*'Plan mensual'!N218+parametros_recargas!$K$85*'Plan mensual'!N219+parametros_recargas!$L$85*'Plan mensual'!N220</f>
        <v>3871.74093021273</v>
      </c>
      <c r="M207" s="25" t="n">
        <f aca="false">parametros_recargas!$E$85*'Plan mensual'!O213+parametros_recargas!$F$85*'Plan mensual'!O214+parametros_recargas!$G$85*'Plan mensual'!O215+parametros_recargas!$H$85*'Plan mensual'!O216+parametros_recargas!$I$85*'Plan mensual'!O217+parametros_recargas!$J$85*'Plan mensual'!O218+parametros_recargas!$K$85*'Plan mensual'!O219+parametros_recargas!$L$85*'Plan mensual'!O220</f>
        <v>3910.6710990685</v>
      </c>
      <c r="N207" s="7" t="n">
        <f aca="false">SUM(B207:M207)</f>
        <v>44447.5745287029</v>
      </c>
      <c r="O207" s="26" t="n">
        <f aca="false">MAX(B207:M207)</f>
        <v>3910.6710990685</v>
      </c>
      <c r="P207" s="15" t="n">
        <f aca="false">O207/parametros_recargas!$B$6</f>
        <v>26.0711406604567</v>
      </c>
    </row>
    <row r="208" customFormat="false" ht="15" hidden="false" customHeight="false" outlineLevel="0" collapsed="false">
      <c r="A208" s="12" t="str">
        <f aca="false">parametros_recargas!$B$86</f>
        <v>Pintura</v>
      </c>
      <c r="B208" s="25" t="n">
        <f aca="false">parametros_recargas!$E$86*'Plan mensual'!D213+parametros_recargas!$F$86*'Plan mensual'!D214+parametros_recargas!$G$86*'Plan mensual'!D215+parametros_recargas!$H$86*'Plan mensual'!D216+parametros_recargas!$I$86*'Plan mensual'!D217+parametros_recargas!$J$86*'Plan mensual'!D218+parametros_recargas!$K$86*'Plan mensual'!D219+parametros_recargas!$L$86*'Plan mensual'!D220</f>
        <v>1757.63460340938</v>
      </c>
      <c r="C208" s="25" t="n">
        <f aca="false">parametros_recargas!$E$86*'Plan mensual'!E213+parametros_recargas!$F$86*'Plan mensual'!E214+parametros_recargas!$G$86*'Plan mensual'!E215+parametros_recargas!$H$86*'Plan mensual'!E216+parametros_recargas!$I$86*'Plan mensual'!E217+parametros_recargas!$J$86*'Plan mensual'!E218+parametros_recargas!$K$86*'Plan mensual'!E219+parametros_recargas!$L$86*'Plan mensual'!E220</f>
        <v>1775.1336006109</v>
      </c>
      <c r="D208" s="25" t="n">
        <f aca="false">parametros_recargas!$E$86*'Plan mensual'!F213+parametros_recargas!$F$86*'Plan mensual'!F214+parametros_recargas!$G$86*'Plan mensual'!F215+parametros_recargas!$H$86*'Plan mensual'!F216+parametros_recargas!$I$86*'Plan mensual'!F217+parametros_recargas!$J$86*'Plan mensual'!F218+parametros_recargas!$K$86*'Plan mensual'!F219+parametros_recargas!$L$86*'Plan mensual'!F220</f>
        <v>1792.82063549443</v>
      </c>
      <c r="E208" s="25" t="n">
        <f aca="false">parametros_recargas!$E$86*'Plan mensual'!G213+parametros_recargas!$F$86*'Plan mensual'!G214+parametros_recargas!$G$86*'Plan mensual'!G215+parametros_recargas!$H$86*'Plan mensual'!G216+parametros_recargas!$I$86*'Plan mensual'!G217+parametros_recargas!$J$86*'Plan mensual'!G218+parametros_recargas!$K$86*'Plan mensual'!G219+parametros_recargas!$L$86*'Plan mensual'!G220</f>
        <v>1810.69772864263</v>
      </c>
      <c r="F208" s="25" t="n">
        <f aca="false">parametros_recargas!$E$86*'Plan mensual'!H213+parametros_recargas!$F$86*'Plan mensual'!H214+parametros_recargas!$G$86*'Plan mensual'!H215+parametros_recargas!$H$86*'Plan mensual'!H216+parametros_recargas!$I$86*'Plan mensual'!H217+parametros_recargas!$J$86*'Plan mensual'!H218+parametros_recargas!$K$86*'Plan mensual'!H219+parametros_recargas!$L$86*'Plan mensual'!H220</f>
        <v>1828.76692235054</v>
      </c>
      <c r="G208" s="25" t="n">
        <f aca="false">parametros_recargas!$E$86*'Plan mensual'!I213+parametros_recargas!$F$86*'Plan mensual'!I214+parametros_recargas!$G$86*'Plan mensual'!I215+parametros_recargas!$H$86*'Plan mensual'!I216+parametros_recargas!$I$86*'Plan mensual'!I217+parametros_recargas!$J$86*'Plan mensual'!I218+parametros_recargas!$K$86*'Plan mensual'!I219+parametros_recargas!$L$86*'Plan mensual'!I220</f>
        <v>1847.03028085898</v>
      </c>
      <c r="H208" s="25" t="n">
        <f aca="false">parametros_recargas!$E$86*'Plan mensual'!J213+parametros_recargas!$F$86*'Plan mensual'!J214+parametros_recargas!$G$86*'Plan mensual'!J215+parametros_recargas!$H$86*'Plan mensual'!J216+parametros_recargas!$I$86*'Plan mensual'!J217+parametros_recargas!$J$86*'Plan mensual'!J218+parametros_recargas!$K$86*'Plan mensual'!J219+parametros_recargas!$L$86*'Plan mensual'!J220</f>
        <v>1865.48989059029</v>
      </c>
      <c r="I208" s="25" t="n">
        <f aca="false">parametros_recargas!$E$86*'Plan mensual'!K213+parametros_recargas!$F$86*'Plan mensual'!K214+parametros_recargas!$G$86*'Plan mensual'!K215+parametros_recargas!$H$86*'Plan mensual'!K216+parametros_recargas!$I$86*'Plan mensual'!K217+parametros_recargas!$J$86*'Plan mensual'!K218+parametros_recargas!$K$86*'Plan mensual'!K219+parametros_recargas!$L$86*'Plan mensual'!K220</f>
        <v>1884.14786038675</v>
      </c>
      <c r="J208" s="25" t="n">
        <f aca="false">parametros_recargas!$E$86*'Plan mensual'!L213+parametros_recargas!$F$86*'Plan mensual'!L214+parametros_recargas!$G$86*'Plan mensual'!L215+parametros_recargas!$H$86*'Plan mensual'!L216+parametros_recargas!$I$86*'Plan mensual'!L217+parametros_recargas!$J$86*'Plan mensual'!L218+parametros_recargas!$K$86*'Plan mensual'!L219+parametros_recargas!$L$86*'Plan mensual'!L220</f>
        <v>1903.00632175147</v>
      </c>
      <c r="K208" s="25" t="n">
        <f aca="false">parametros_recargas!$E$86*'Plan mensual'!M213+parametros_recargas!$F$86*'Plan mensual'!M214+parametros_recargas!$G$86*'Plan mensual'!M215+parametros_recargas!$H$86*'Plan mensual'!M216+parametros_recargas!$I$86*'Plan mensual'!M217+parametros_recargas!$J$86*'Plan mensual'!M218+parametros_recargas!$K$86*'Plan mensual'!M219+parametros_recargas!$L$86*'Plan mensual'!M220</f>
        <v>1922.06742909188</v>
      </c>
      <c r="L208" s="25" t="n">
        <f aca="false">parametros_recargas!$E$86*'Plan mensual'!N213+parametros_recargas!$F$86*'Plan mensual'!N214+parametros_recargas!$G$86*'Plan mensual'!N215+parametros_recargas!$H$86*'Plan mensual'!N216+parametros_recargas!$I$86*'Plan mensual'!N217+parametros_recargas!$J$86*'Plan mensual'!N218+parametros_recargas!$K$86*'Plan mensual'!N219+parametros_recargas!$L$86*'Plan mensual'!N220</f>
        <v>1941.33335996589</v>
      </c>
      <c r="M208" s="25" t="n">
        <f aca="false">parametros_recargas!$E$86*'Plan mensual'!O213+parametros_recargas!$F$86*'Plan mensual'!O214+parametros_recargas!$G$86*'Plan mensual'!O215+parametros_recargas!$H$86*'Plan mensual'!O216+parametros_recargas!$I$86*'Plan mensual'!O217+parametros_recargas!$J$86*'Plan mensual'!O218+parametros_recargas!$K$86*'Plan mensual'!O219+parametros_recargas!$L$86*'Plan mensual'!O220</f>
        <v>1960.80631533061</v>
      </c>
      <c r="N208" s="7" t="n">
        <f aca="false">SUM(B208:M208)</f>
        <v>22288.9349484838</v>
      </c>
      <c r="O208" s="26" t="n">
        <f aca="false">MAX(B208:M208)</f>
        <v>1960.80631533061</v>
      </c>
      <c r="P208" s="15" t="n">
        <f aca="false">O208/parametros_recargas!$B$6</f>
        <v>13.072042102204</v>
      </c>
    </row>
    <row r="209" customFormat="false" ht="15" hidden="false" customHeight="false" outlineLevel="0" collapsed="false">
      <c r="A209" s="12" t="str">
        <f aca="false">parametros_recargas!$B$87</f>
        <v>Carga de polvo ABC</v>
      </c>
      <c r="B209" s="25" t="n">
        <f aca="false">parametros_recargas!$E$87*'Plan mensual'!D213+parametros_recargas!$F$87*'Plan mensual'!D214+parametros_recargas!$G$87*'Plan mensual'!D215+parametros_recargas!$H$87*'Plan mensual'!D216+parametros_recargas!$I$87*'Plan mensual'!D217+parametros_recargas!$J$87*'Plan mensual'!D218+parametros_recargas!$K$87*'Plan mensual'!D219+parametros_recargas!$L$87*'Plan mensual'!D220</f>
        <v>15158.4006324652</v>
      </c>
      <c r="C209" s="25" t="n">
        <f aca="false">parametros_recargas!$E$87*'Plan mensual'!E213+parametros_recargas!$F$87*'Plan mensual'!E214+parametros_recargas!$G$87*'Plan mensual'!E215+parametros_recargas!$H$87*'Plan mensual'!E216+parametros_recargas!$I$87*'Plan mensual'!E217+parametros_recargas!$J$87*'Plan mensual'!E218+parametros_recargas!$K$87*'Plan mensual'!E219+parametros_recargas!$L$87*'Plan mensual'!E220</f>
        <v>15310.5325579344</v>
      </c>
      <c r="D209" s="25" t="n">
        <f aca="false">parametros_recargas!$E$87*'Plan mensual'!F213+parametros_recargas!$F$87*'Plan mensual'!F214+parametros_recargas!$G$87*'Plan mensual'!F215+parametros_recargas!$H$87*'Plan mensual'!F216+parametros_recargas!$I$87*'Plan mensual'!F217+parametros_recargas!$J$87*'Plan mensual'!F218+parametros_recargas!$K$87*'Plan mensual'!F219+parametros_recargas!$L$87*'Plan mensual'!F220</f>
        <v>15464.2992362012</v>
      </c>
      <c r="E209" s="25" t="n">
        <f aca="false">parametros_recargas!$E$87*'Plan mensual'!G213+parametros_recargas!$F$87*'Plan mensual'!G214+parametros_recargas!$G$87*'Plan mensual'!G215+parametros_recargas!$H$87*'Plan mensual'!G216+parametros_recargas!$I$87*'Plan mensual'!G217+parametros_recargas!$J$87*'Plan mensual'!G218+parametros_recargas!$K$87*'Plan mensual'!G219+parametros_recargas!$L$87*'Plan mensual'!G220</f>
        <v>15619.7182337077</v>
      </c>
      <c r="F209" s="25" t="n">
        <f aca="false">parametros_recargas!$E$87*'Plan mensual'!H213+parametros_recargas!$F$87*'Plan mensual'!H214+parametros_recargas!$G$87*'Plan mensual'!H215+parametros_recargas!$H$87*'Plan mensual'!H216+parametros_recargas!$I$87*'Plan mensual'!H217+parametros_recargas!$J$87*'Plan mensual'!H218+parametros_recargas!$K$87*'Plan mensual'!H219+parametros_recargas!$L$87*'Plan mensual'!H220</f>
        <v>15776.807305659</v>
      </c>
      <c r="G209" s="25" t="n">
        <f aca="false">parametros_recargas!$E$87*'Plan mensual'!I213+parametros_recargas!$F$87*'Plan mensual'!I214+parametros_recargas!$G$87*'Plan mensual'!I215+parametros_recargas!$H$87*'Plan mensual'!I216+parametros_recargas!$I$87*'Plan mensual'!I217+parametros_recargas!$J$87*'Plan mensual'!I218+parametros_recargas!$K$87*'Plan mensual'!I219+parametros_recargas!$L$87*'Plan mensual'!I220</f>
        <v>15935.5843980505</v>
      </c>
      <c r="H209" s="25" t="n">
        <f aca="false">parametros_recargas!$E$87*'Plan mensual'!J213+parametros_recargas!$F$87*'Plan mensual'!J214+parametros_recargas!$G$87*'Plan mensual'!J215+parametros_recargas!$H$87*'Plan mensual'!J216+parametros_recargas!$I$87*'Plan mensual'!J217+parametros_recargas!$J$87*'Plan mensual'!J218+parametros_recargas!$K$87*'Plan mensual'!J219+parametros_recargas!$L$87*'Plan mensual'!J220</f>
        <v>16096.067649719</v>
      </c>
      <c r="I209" s="25" t="n">
        <f aca="false">parametros_recargas!$E$87*'Plan mensual'!K213+parametros_recargas!$F$87*'Plan mensual'!K214+parametros_recargas!$G$87*'Plan mensual'!K215+parametros_recargas!$H$87*'Plan mensual'!K216+parametros_recargas!$I$87*'Plan mensual'!K217+parametros_recargas!$J$87*'Plan mensual'!K218+parametros_recargas!$K$87*'Plan mensual'!K219+parametros_recargas!$L$87*'Plan mensual'!K220</f>
        <v>16258.2753944141</v>
      </c>
      <c r="J209" s="25" t="n">
        <f aca="false">parametros_recargas!$E$87*'Plan mensual'!L213+parametros_recargas!$F$87*'Plan mensual'!L214+parametros_recargas!$G$87*'Plan mensual'!L215+parametros_recargas!$H$87*'Plan mensual'!L216+parametros_recargas!$I$87*'Plan mensual'!L217+parametros_recargas!$J$87*'Plan mensual'!L218+parametros_recargas!$K$87*'Plan mensual'!L219+parametros_recargas!$L$87*'Plan mensual'!L220</f>
        <v>16422.2261628933</v>
      </c>
      <c r="K209" s="25" t="n">
        <f aca="false">parametros_recargas!$E$87*'Plan mensual'!M213+parametros_recargas!$F$87*'Plan mensual'!M214+parametros_recargas!$G$87*'Plan mensual'!M215+parametros_recargas!$H$87*'Plan mensual'!M216+parametros_recargas!$I$87*'Plan mensual'!M217+parametros_recargas!$J$87*'Plan mensual'!M218+parametros_recargas!$K$87*'Plan mensual'!M219+parametros_recargas!$L$87*'Plan mensual'!M220</f>
        <v>16587.9386850385</v>
      </c>
      <c r="L209" s="25" t="n">
        <f aca="false">parametros_recargas!$E$87*'Plan mensual'!N213+parametros_recargas!$F$87*'Plan mensual'!N214+parametros_recargas!$G$87*'Plan mensual'!N215+parametros_recargas!$H$87*'Plan mensual'!N216+parametros_recargas!$I$87*'Plan mensual'!N217+parametros_recargas!$J$87*'Plan mensual'!N218+parametros_recargas!$K$87*'Plan mensual'!N219+parametros_recargas!$L$87*'Plan mensual'!N220</f>
        <v>16755.4318919959</v>
      </c>
      <c r="M209" s="25" t="n">
        <f aca="false">parametros_recargas!$E$87*'Plan mensual'!O213+parametros_recargas!$F$87*'Plan mensual'!O214+parametros_recargas!$G$87*'Plan mensual'!O215+parametros_recargas!$H$87*'Plan mensual'!O216+parametros_recargas!$I$87*'Plan mensual'!O217+parametros_recargas!$J$87*'Plan mensual'!O218+parametros_recargas!$K$87*'Plan mensual'!O219+parametros_recargas!$L$87*'Plan mensual'!O220</f>
        <v>16924.7249183389</v>
      </c>
      <c r="N209" s="7" t="n">
        <f aca="false">SUM(B209:M209)</f>
        <v>192310.007066418</v>
      </c>
      <c r="O209" s="26" t="n">
        <f aca="false">MAX(B209:M209)</f>
        <v>16924.7249183389</v>
      </c>
      <c r="P209" s="15" t="n">
        <f aca="false">O209/parametros_recargas!$B$6</f>
        <v>112.831499455593</v>
      </c>
    </row>
    <row r="210" customFormat="false" ht="15" hidden="false" customHeight="false" outlineLevel="0" collapsed="false">
      <c r="A210" s="12" t="str">
        <f aca="false">parametros_recargas!$B$88</f>
        <v>Carga de polvo BC</v>
      </c>
      <c r="B210" s="25" t="n">
        <f aca="false">parametros_recargas!$E$88*'Plan mensual'!D213+parametros_recargas!$F$88*'Plan mensual'!D214+parametros_recargas!$G$88*'Plan mensual'!D215+parametros_recargas!$H$88*'Plan mensual'!D216+parametros_recargas!$I$88*'Plan mensual'!D217+parametros_recargas!$J$88*'Plan mensual'!D218+parametros_recargas!$K$88*'Plan mensual'!D219+parametros_recargas!$L$88*'Plan mensual'!D220</f>
        <v>24.0311057836468</v>
      </c>
      <c r="C210" s="25" t="n">
        <f aca="false">parametros_recargas!$E$88*'Plan mensual'!E213+parametros_recargas!$F$88*'Plan mensual'!E214+parametros_recargas!$G$88*'Plan mensual'!E215+parametros_recargas!$H$88*'Plan mensual'!E216+parametros_recargas!$I$88*'Plan mensual'!E217+parametros_recargas!$J$88*'Plan mensual'!E218+parametros_recargas!$K$88*'Plan mensual'!E219+parametros_recargas!$L$88*'Plan mensual'!E220</f>
        <v>24.2526208398054</v>
      </c>
      <c r="D210" s="25" t="n">
        <f aca="false">parametros_recargas!$E$88*'Plan mensual'!F213+parametros_recargas!$F$88*'Plan mensual'!F214+parametros_recargas!$G$88*'Plan mensual'!F215+parametros_recargas!$H$88*'Plan mensual'!F216+parametros_recargas!$I$88*'Plan mensual'!F217+parametros_recargas!$J$88*'Plan mensual'!F218+parametros_recargas!$K$88*'Plan mensual'!F219+parametros_recargas!$L$88*'Plan mensual'!F220</f>
        <v>24.4765162139452</v>
      </c>
      <c r="E210" s="25" t="n">
        <f aca="false">parametros_recargas!$E$88*'Plan mensual'!G213+parametros_recargas!$F$88*'Plan mensual'!G214+parametros_recargas!$G$88*'Plan mensual'!G215+parametros_recargas!$H$88*'Plan mensual'!G216+parametros_recargas!$I$88*'Plan mensual'!G217+parametros_recargas!$J$88*'Plan mensual'!G218+parametros_recargas!$K$88*'Plan mensual'!G219+parametros_recargas!$L$88*'Plan mensual'!G220</f>
        <v>24.7028174840736</v>
      </c>
      <c r="F210" s="25" t="n">
        <f aca="false">parametros_recargas!$E$88*'Plan mensual'!H213+parametros_recargas!$F$88*'Plan mensual'!H214+parametros_recargas!$G$88*'Plan mensual'!H215+parametros_recargas!$H$88*'Plan mensual'!H216+parametros_recargas!$I$88*'Plan mensual'!H217+parametros_recargas!$J$88*'Plan mensual'!H218+parametros_recargas!$K$88*'Plan mensual'!H219+parametros_recargas!$L$88*'Plan mensual'!H220</f>
        <v>24.9315505030492</v>
      </c>
      <c r="G210" s="25" t="n">
        <f aca="false">parametros_recargas!$E$88*'Plan mensual'!I213+parametros_recargas!$F$88*'Plan mensual'!I214+parametros_recargas!$G$88*'Plan mensual'!I215+parametros_recargas!$H$88*'Plan mensual'!I216+parametros_recargas!$I$88*'Plan mensual'!I217+parametros_recargas!$J$88*'Plan mensual'!I218+parametros_recargas!$K$88*'Plan mensual'!I219+parametros_recargas!$L$88*'Plan mensual'!I220</f>
        <v>25.1627414015363</v>
      </c>
      <c r="H210" s="25" t="n">
        <f aca="false">parametros_recargas!$E$88*'Plan mensual'!J213+parametros_recargas!$F$88*'Plan mensual'!J214+parametros_recargas!$G$88*'Plan mensual'!J215+parametros_recargas!$H$88*'Plan mensual'!J216+parametros_recargas!$I$88*'Plan mensual'!J217+parametros_recargas!$J$88*'Plan mensual'!J218+parametros_recargas!$K$88*'Plan mensual'!J219+parametros_recargas!$L$88*'Plan mensual'!J220</f>
        <v>25.396416590989</v>
      </c>
      <c r="I210" s="25" t="n">
        <f aca="false">parametros_recargas!$E$88*'Plan mensual'!K213+parametros_recargas!$F$88*'Plan mensual'!K214+parametros_recargas!$G$88*'Plan mensual'!K215+parametros_recargas!$H$88*'Plan mensual'!K216+parametros_recargas!$I$88*'Plan mensual'!K217+parametros_recargas!$J$88*'Plan mensual'!K218+parametros_recargas!$K$88*'Plan mensual'!K219+parametros_recargas!$L$88*'Plan mensual'!K220</f>
        <v>25.6326027666695</v>
      </c>
      <c r="J210" s="25" t="n">
        <f aca="false">parametros_recargas!$E$88*'Plan mensual'!L213+parametros_recargas!$F$88*'Plan mensual'!L214+parametros_recargas!$G$88*'Plan mensual'!L215+parametros_recargas!$H$88*'Plan mensual'!L216+parametros_recargas!$I$88*'Plan mensual'!L217+parametros_recargas!$J$88*'Plan mensual'!L218+parametros_recargas!$K$88*'Plan mensual'!L219+parametros_recargas!$L$88*'Plan mensual'!L220</f>
        <v>25.8713269106969</v>
      </c>
      <c r="K210" s="25" t="n">
        <f aca="false">parametros_recargas!$E$88*'Plan mensual'!M213+parametros_recargas!$F$88*'Plan mensual'!M214+parametros_recargas!$G$88*'Plan mensual'!M215+parametros_recargas!$H$88*'Plan mensual'!M216+parametros_recargas!$I$88*'Plan mensual'!M217+parametros_recargas!$J$88*'Plan mensual'!M218+parametros_recargas!$K$88*'Plan mensual'!M219+parametros_recargas!$L$88*'Plan mensual'!M220</f>
        <v>26.1126162951304</v>
      </c>
      <c r="L210" s="25" t="n">
        <f aca="false">parametros_recargas!$E$88*'Plan mensual'!N213+parametros_recargas!$F$88*'Plan mensual'!N214+parametros_recargas!$G$88*'Plan mensual'!N215+parametros_recargas!$H$88*'Plan mensual'!N216+parametros_recargas!$I$88*'Plan mensual'!N217+parametros_recargas!$J$88*'Plan mensual'!N218+parametros_recargas!$K$88*'Plan mensual'!N219+parametros_recargas!$L$88*'Plan mensual'!N220</f>
        <v>26.3564984850843</v>
      </c>
      <c r="M210" s="25" t="n">
        <f aca="false">parametros_recargas!$E$88*'Plan mensual'!O213+parametros_recargas!$F$88*'Plan mensual'!O214+parametros_recargas!$G$88*'Plan mensual'!O215+parametros_recargas!$H$88*'Plan mensual'!O216+parametros_recargas!$I$88*'Plan mensual'!O217+parametros_recargas!$J$88*'Plan mensual'!O218+parametros_recargas!$K$88*'Plan mensual'!O219+parametros_recargas!$L$88*'Plan mensual'!O220</f>
        <v>26.6030013418775</v>
      </c>
      <c r="N210" s="7" t="n">
        <f aca="false">SUM(B210:M210)</f>
        <v>303.529814616504</v>
      </c>
      <c r="O210" s="26" t="n">
        <f aca="false">MAX(B210:M210)</f>
        <v>26.6030013418775</v>
      </c>
      <c r="P210" s="15" t="n">
        <f aca="false">O210/parametros_recargas!$B$6</f>
        <v>0.177353342279183</v>
      </c>
    </row>
    <row r="211" customFormat="false" ht="15" hidden="false" customHeight="false" outlineLevel="0" collapsed="false">
      <c r="A211" s="12" t="str">
        <f aca="false">parametros_recargas!$B$89</f>
        <v>Descarga y carga Clase D</v>
      </c>
      <c r="B211" s="25" t="n">
        <f aca="false">parametros_recargas!$E$89*'Plan mensual'!D213+parametros_recargas!$F$89*'Plan mensual'!D214+parametros_recargas!$G$89*'Plan mensual'!D215+parametros_recargas!$H$89*'Plan mensual'!D216+parametros_recargas!$I$89*'Plan mensual'!D217+parametros_recargas!$J$89*'Plan mensual'!D218+parametros_recargas!$K$89*'Plan mensual'!D219+parametros_recargas!$L$89*'Plan mensual'!D220</f>
        <v>21.3550437141528</v>
      </c>
      <c r="C211" s="25" t="n">
        <f aca="false">parametros_recargas!$E$89*'Plan mensual'!E213+parametros_recargas!$F$89*'Plan mensual'!E214+parametros_recargas!$G$89*'Plan mensual'!E215+parametros_recargas!$H$89*'Plan mensual'!E216+parametros_recargas!$I$89*'Plan mensual'!E217+parametros_recargas!$J$89*'Plan mensual'!E218+parametros_recargas!$K$89*'Plan mensual'!E219+parametros_recargas!$L$89*'Plan mensual'!E220</f>
        <v>21.5522801519748</v>
      </c>
      <c r="D211" s="25" t="n">
        <f aca="false">parametros_recargas!$E$89*'Plan mensual'!F213+parametros_recargas!$F$89*'Plan mensual'!F214+parametros_recargas!$G$89*'Plan mensual'!F215+parametros_recargas!$H$89*'Plan mensual'!F216+parametros_recargas!$I$89*'Plan mensual'!F217+parametros_recargas!$J$89*'Plan mensual'!F218+parametros_recargas!$K$89*'Plan mensual'!F219+parametros_recargas!$L$89*'Plan mensual'!F220</f>
        <v>21.751636018822</v>
      </c>
      <c r="E211" s="25" t="n">
        <f aca="false">parametros_recargas!$E$89*'Plan mensual'!G213+parametros_recargas!$F$89*'Plan mensual'!G214+parametros_recargas!$G$89*'Plan mensual'!G215+parametros_recargas!$H$89*'Plan mensual'!G216+parametros_recargas!$I$89*'Plan mensual'!G217+parametros_recargas!$J$89*'Plan mensual'!G218+parametros_recargas!$K$89*'Plan mensual'!G219+parametros_recargas!$L$89*'Plan mensual'!G220</f>
        <v>21.9531340892862</v>
      </c>
      <c r="F211" s="25" t="n">
        <f aca="false">parametros_recargas!$E$89*'Plan mensual'!H213+parametros_recargas!$F$89*'Plan mensual'!H214+parametros_recargas!$G$89*'Plan mensual'!H215+parametros_recargas!$H$89*'Plan mensual'!H216+parametros_recargas!$I$89*'Plan mensual'!H217+parametros_recargas!$J$89*'Plan mensual'!H218+parametros_recargas!$K$89*'Plan mensual'!H219+parametros_recargas!$L$89*'Plan mensual'!H220</f>
        <v>22.1567973826868</v>
      </c>
      <c r="G211" s="25" t="n">
        <f aca="false">parametros_recargas!$E$89*'Plan mensual'!I213+parametros_recargas!$F$89*'Plan mensual'!I214+parametros_recargas!$G$89*'Plan mensual'!I215+parametros_recargas!$H$89*'Plan mensual'!I216+parametros_recargas!$I$89*'Plan mensual'!I217+parametros_recargas!$J$89*'Plan mensual'!I218+parametros_recargas!$K$89*'Plan mensual'!I219+parametros_recargas!$L$89*'Plan mensual'!I220</f>
        <v>22.3626491656998</v>
      </c>
      <c r="H211" s="25" t="n">
        <f aca="false">parametros_recargas!$E$89*'Plan mensual'!J213+parametros_recargas!$F$89*'Plan mensual'!J214+parametros_recargas!$G$89*'Plan mensual'!J215+parametros_recargas!$H$89*'Plan mensual'!J216+parametros_recargas!$I$89*'Plan mensual'!J217+parametros_recargas!$J$89*'Plan mensual'!J218+parametros_recargas!$K$89*'Plan mensual'!J219+parametros_recargas!$L$89*'Plan mensual'!J220</f>
        <v>22.5707129550165</v>
      </c>
      <c r="I211" s="25" t="n">
        <f aca="false">parametros_recargas!$E$89*'Plan mensual'!K213+parametros_recargas!$F$89*'Plan mensual'!K214+parametros_recargas!$G$89*'Plan mensual'!K215+parametros_recargas!$H$89*'Plan mensual'!K216+parametros_recargas!$I$89*'Plan mensual'!K217+parametros_recargas!$J$89*'Plan mensual'!K218+parametros_recargas!$K$89*'Plan mensual'!K219+parametros_recargas!$L$89*'Plan mensual'!K220</f>
        <v>22.7810125200298</v>
      </c>
      <c r="J211" s="25" t="n">
        <f aca="false">parametros_recargas!$E$89*'Plan mensual'!L213+parametros_recargas!$F$89*'Plan mensual'!L214+parametros_recargas!$G$89*'Plan mensual'!L215+parametros_recargas!$H$89*'Plan mensual'!L216+parametros_recargas!$I$89*'Plan mensual'!L217+parametros_recargas!$J$89*'Plan mensual'!L218+parametros_recargas!$K$89*'Plan mensual'!L219+parametros_recargas!$L$89*'Plan mensual'!L220</f>
        <v>22.9935718855494</v>
      </c>
      <c r="K211" s="25" t="n">
        <f aca="false">parametros_recargas!$E$89*'Plan mensual'!M213+parametros_recargas!$F$89*'Plan mensual'!M214+parametros_recargas!$G$89*'Plan mensual'!M215+parametros_recargas!$H$89*'Plan mensual'!M216+parametros_recargas!$I$89*'Plan mensual'!M217+parametros_recargas!$J$89*'Plan mensual'!M218+parametros_recargas!$K$89*'Plan mensual'!M219+parametros_recargas!$L$89*'Plan mensual'!M220</f>
        <v>23.2084153345467</v>
      </c>
      <c r="L211" s="25" t="n">
        <f aca="false">parametros_recargas!$E$89*'Plan mensual'!N213+parametros_recargas!$F$89*'Plan mensual'!N214+parametros_recargas!$G$89*'Plan mensual'!N215+parametros_recargas!$H$89*'Plan mensual'!N216+parametros_recargas!$I$89*'Plan mensual'!N217+parametros_recargas!$J$89*'Plan mensual'!N218+parametros_recargas!$K$89*'Plan mensual'!N219+parametros_recargas!$L$89*'Plan mensual'!N220</f>
        <v>23.4255674109289</v>
      </c>
      <c r="M211" s="25" t="n">
        <f aca="false">parametros_recargas!$E$89*'Plan mensual'!O213+parametros_recargas!$F$89*'Plan mensual'!O214+parametros_recargas!$G$89*'Plan mensual'!O215+parametros_recargas!$H$89*'Plan mensual'!O216+parametros_recargas!$I$89*'Plan mensual'!O217+parametros_recargas!$J$89*'Plan mensual'!O218+parametros_recargas!$K$89*'Plan mensual'!O219+parametros_recargas!$L$89*'Plan mensual'!O220</f>
        <v>23.6450529223429</v>
      </c>
      <c r="N211" s="7" t="n">
        <f aca="false">SUM(B211:M211)</f>
        <v>269.755873551037</v>
      </c>
      <c r="O211" s="26" t="n">
        <f aca="false">MAX(B211:M211)</f>
        <v>23.6450529223429</v>
      </c>
      <c r="P211" s="15" t="n">
        <f aca="false">O211/parametros_recargas!$B$6</f>
        <v>0.157633686148953</v>
      </c>
    </row>
    <row r="212" customFormat="false" ht="15" hidden="false" customHeight="false" outlineLevel="0" collapsed="false">
      <c r="A212" s="12" t="str">
        <f aca="false">parametros_recargas!$B$90</f>
        <v>Carga de agua / AFFF / sales K</v>
      </c>
      <c r="B212" s="25" t="n">
        <f aca="false">parametros_recargas!$E$90*'Plan mensual'!D213+parametros_recargas!$F$90*'Plan mensual'!D214+parametros_recargas!$G$90*'Plan mensual'!D215+parametros_recargas!$H$90*'Plan mensual'!D216+parametros_recargas!$I$90*'Plan mensual'!D217+parametros_recargas!$J$90*'Plan mensual'!D218+parametros_recargas!$K$90*'Plan mensual'!D219+parametros_recargas!$L$90*'Plan mensual'!D220</f>
        <v>814.075780312745</v>
      </c>
      <c r="C212" s="25" t="n">
        <f aca="false">parametros_recargas!$E$90*'Plan mensual'!E213+parametros_recargas!$F$90*'Plan mensual'!E214+parametros_recargas!$G$90*'Plan mensual'!E215+parametros_recargas!$H$90*'Plan mensual'!E216+parametros_recargas!$I$90*'Plan mensual'!E217+parametros_recargas!$J$90*'Plan mensual'!E218+parametros_recargas!$K$90*'Plan mensual'!E219+parametros_recargas!$L$90*'Plan mensual'!E220</f>
        <v>821.774044822454</v>
      </c>
      <c r="D212" s="25" t="n">
        <f aca="false">parametros_recargas!$E$90*'Plan mensual'!F213+parametros_recargas!$F$90*'Plan mensual'!F214+parametros_recargas!$G$90*'Plan mensual'!F215+parametros_recargas!$H$90*'Plan mensual'!F216+parametros_recargas!$I$90*'Plan mensual'!F217+parametros_recargas!$J$90*'Plan mensual'!F218+parametros_recargas!$K$90*'Plan mensual'!F219+parametros_recargas!$L$90*'Plan mensual'!F220</f>
        <v>829.555032004632</v>
      </c>
      <c r="E212" s="25" t="n">
        <f aca="false">parametros_recargas!$E$90*'Plan mensual'!G213+parametros_recargas!$F$90*'Plan mensual'!G214+parametros_recargas!$G$90*'Plan mensual'!G215+parametros_recargas!$H$90*'Plan mensual'!G216+parametros_recargas!$I$90*'Plan mensual'!G217+parametros_recargas!$J$90*'Plan mensual'!G218+parametros_recargas!$K$90*'Plan mensual'!G219+parametros_recargas!$L$90*'Plan mensual'!G220</f>
        <v>837.41963076619</v>
      </c>
      <c r="F212" s="25" t="n">
        <f aca="false">parametros_recargas!$E$90*'Plan mensual'!H213+parametros_recargas!$F$90*'Plan mensual'!H214+parametros_recargas!$G$90*'Plan mensual'!H215+parametros_recargas!$H$90*'Plan mensual'!H216+parametros_recargas!$I$90*'Plan mensual'!H217+parametros_recargas!$J$90*'Plan mensual'!H218+parametros_recargas!$K$90*'Plan mensual'!H219+parametros_recargas!$L$90*'Plan mensual'!H220</f>
        <v>845.368739565904</v>
      </c>
      <c r="G212" s="25" t="n">
        <f aca="false">parametros_recargas!$E$90*'Plan mensual'!I213+parametros_recargas!$F$90*'Plan mensual'!I214+parametros_recargas!$G$90*'Plan mensual'!I215+parametros_recargas!$H$90*'Plan mensual'!I216+parametros_recargas!$I$90*'Plan mensual'!I217+parametros_recargas!$J$90*'Plan mensual'!I218+parametros_recargas!$K$90*'Plan mensual'!I219+parametros_recargas!$L$90*'Plan mensual'!I220</f>
        <v>853.403266517051</v>
      </c>
      <c r="H212" s="25" t="n">
        <f aca="false">parametros_recargas!$E$90*'Plan mensual'!J213+parametros_recargas!$F$90*'Plan mensual'!J214+parametros_recargas!$G$90*'Plan mensual'!J215+parametros_recargas!$H$90*'Plan mensual'!J216+parametros_recargas!$I$90*'Plan mensual'!J217+parametros_recargas!$J$90*'Plan mensual'!J218+parametros_recargas!$K$90*'Plan mensual'!J219+parametros_recargas!$L$90*'Plan mensual'!J220</f>
        <v>861.524129491151</v>
      </c>
      <c r="I212" s="25" t="n">
        <f aca="false">parametros_recargas!$E$90*'Plan mensual'!K213+parametros_recargas!$F$90*'Plan mensual'!K214+parametros_recargas!$G$90*'Plan mensual'!K215+parametros_recargas!$H$90*'Plan mensual'!K216+parametros_recargas!$I$90*'Plan mensual'!K217+parametros_recargas!$J$90*'Plan mensual'!K218+parametros_recargas!$K$90*'Plan mensual'!K219+parametros_recargas!$L$90*'Plan mensual'!K220</f>
        <v>869.732256222832</v>
      </c>
      <c r="J212" s="25" t="n">
        <f aca="false">parametros_recargas!$E$90*'Plan mensual'!L213+parametros_recargas!$F$90*'Plan mensual'!L214+parametros_recargas!$G$90*'Plan mensual'!L215+parametros_recargas!$H$90*'Plan mensual'!L216+parametros_recargas!$I$90*'Plan mensual'!L217+parametros_recargas!$J$90*'Plan mensual'!L218+parametros_recargas!$K$90*'Plan mensual'!L219+parametros_recargas!$L$90*'Plan mensual'!L220</f>
        <v>878.028584415809</v>
      </c>
      <c r="K212" s="25" t="n">
        <f aca="false">parametros_recargas!$E$90*'Plan mensual'!M213+parametros_recargas!$F$90*'Plan mensual'!M214+parametros_recargas!$G$90*'Plan mensual'!M215+parametros_recargas!$H$90*'Plan mensual'!M216+parametros_recargas!$I$90*'Plan mensual'!M217+parametros_recargas!$J$90*'Plan mensual'!M218+parametros_recargas!$K$90*'Plan mensual'!M219+parametros_recargas!$L$90*'Plan mensual'!M220</f>
        <v>886.414061850012</v>
      </c>
      <c r="L212" s="25" t="n">
        <f aca="false">parametros_recargas!$E$90*'Plan mensual'!N213+parametros_recargas!$F$90*'Plan mensual'!N214+parametros_recargas!$G$90*'Plan mensual'!N215+parametros_recargas!$H$90*'Plan mensual'!N216+parametros_recargas!$I$90*'Plan mensual'!N217+parametros_recargas!$J$90*'Plan mensual'!N218+parametros_recargas!$K$90*'Plan mensual'!N219+parametros_recargas!$L$90*'Plan mensual'!N220</f>
        <v>894.889646489859</v>
      </c>
      <c r="M212" s="25" t="n">
        <f aca="false">parametros_recargas!$E$90*'Plan mensual'!O213+parametros_recargas!$F$90*'Plan mensual'!O214+parametros_recargas!$G$90*'Plan mensual'!O215+parametros_recargas!$H$90*'Plan mensual'!O216+parametros_recargas!$I$90*'Plan mensual'!O217+parametros_recargas!$J$90*'Plan mensual'!O218+parametros_recargas!$K$90*'Plan mensual'!O219+parametros_recargas!$L$90*'Plan mensual'!O220</f>
        <v>903.456306593697</v>
      </c>
      <c r="N212" s="7" t="n">
        <f aca="false">SUM(B212:M212)</f>
        <v>10295.6414790523</v>
      </c>
      <c r="O212" s="26" t="n">
        <f aca="false">MAX(B212:M212)</f>
        <v>903.456306593697</v>
      </c>
      <c r="P212" s="15" t="n">
        <f aca="false">O212/parametros_recargas!$B$6</f>
        <v>6.02304204395798</v>
      </c>
    </row>
    <row r="213" customFormat="false" ht="15" hidden="false" customHeight="false" outlineLevel="0" collapsed="false">
      <c r="A213" s="12" t="str">
        <f aca="false">parametros_recargas!$B$91</f>
        <v>Carga de CO₂</v>
      </c>
      <c r="B213" s="25" t="n">
        <f aca="false">parametros_recargas!$E$91*'Plan mensual'!D213+parametros_recargas!$F$91*'Plan mensual'!D214+parametros_recargas!$G$91*'Plan mensual'!D215+parametros_recargas!$H$91*'Plan mensual'!D216+parametros_recargas!$I$91*'Plan mensual'!D217+parametros_recargas!$J$91*'Plan mensual'!D218+parametros_recargas!$K$91*'Plan mensual'!D219+parametros_recargas!$L$91*'Plan mensual'!D220</f>
        <v>449.577961997539</v>
      </c>
      <c r="C213" s="25" t="n">
        <f aca="false">parametros_recargas!$E$91*'Plan mensual'!E213+parametros_recargas!$F$91*'Plan mensual'!E214+parametros_recargas!$G$91*'Plan mensual'!E215+parametros_recargas!$H$91*'Plan mensual'!E216+parametros_recargas!$I$91*'Plan mensual'!E217+parametros_recargas!$J$91*'Plan mensual'!E218+parametros_recargas!$K$91*'Plan mensual'!E219+parametros_recargas!$L$91*'Plan mensual'!E220</f>
        <v>453.83003809583</v>
      </c>
      <c r="D213" s="25" t="n">
        <f aca="false">parametros_recargas!$E$91*'Plan mensual'!F213+parametros_recargas!$F$91*'Plan mensual'!F214+parametros_recargas!$G$91*'Plan mensual'!F215+parametros_recargas!$H$91*'Plan mensual'!F216+parametros_recargas!$I$91*'Plan mensual'!F217+parametros_recargas!$J$91*'Plan mensual'!F218+parametros_recargas!$K$91*'Plan mensual'!F219+parametros_recargas!$L$91*'Plan mensual'!F220</f>
        <v>458.127805414259</v>
      </c>
      <c r="E213" s="25" t="n">
        <f aca="false">parametros_recargas!$E$91*'Plan mensual'!G213+parametros_recargas!$F$91*'Plan mensual'!G214+parametros_recargas!$G$91*'Plan mensual'!G215+parametros_recargas!$H$91*'Plan mensual'!G216+parametros_recargas!$I$91*'Plan mensual'!G217+parametros_recargas!$J$91*'Plan mensual'!G218+parametros_recargas!$K$91*'Plan mensual'!G219+parametros_recargas!$L$91*'Plan mensual'!G220</f>
        <v>462.471754933595</v>
      </c>
      <c r="F213" s="25" t="n">
        <f aca="false">parametros_recargas!$E$91*'Plan mensual'!H213+parametros_recargas!$F$91*'Plan mensual'!H214+parametros_recargas!$G$91*'Plan mensual'!H215+parametros_recargas!$H$91*'Plan mensual'!H216+parametros_recargas!$I$91*'Plan mensual'!H217+parametros_recargas!$J$91*'Plan mensual'!H218+parametros_recargas!$K$91*'Plan mensual'!H219+parametros_recargas!$L$91*'Plan mensual'!H220</f>
        <v>466.862382910505</v>
      </c>
      <c r="G213" s="25" t="n">
        <f aca="false">parametros_recargas!$E$91*'Plan mensual'!I213+parametros_recargas!$F$91*'Plan mensual'!I214+parametros_recargas!$G$91*'Plan mensual'!I215+parametros_recargas!$H$91*'Plan mensual'!I216+parametros_recargas!$I$91*'Plan mensual'!I217+parametros_recargas!$J$91*'Plan mensual'!I218+parametros_recargas!$K$91*'Plan mensual'!I219+parametros_recargas!$L$91*'Plan mensual'!I220</f>
        <v>471.300190934243</v>
      </c>
      <c r="H213" s="25" t="n">
        <f aca="false">parametros_recargas!$E$91*'Plan mensual'!J213+parametros_recargas!$F$91*'Plan mensual'!J214+parametros_recargas!$G$91*'Plan mensual'!J215+parametros_recargas!$H$91*'Plan mensual'!J216+parametros_recargas!$I$91*'Plan mensual'!J217+parametros_recargas!$J$91*'Plan mensual'!J218+parametros_recargas!$K$91*'Plan mensual'!J219+parametros_recargas!$L$91*'Plan mensual'!J220</f>
        <v>475.785685983954</v>
      </c>
      <c r="I213" s="25" t="n">
        <f aca="false">parametros_recargas!$E$91*'Plan mensual'!K213+parametros_recargas!$F$91*'Plan mensual'!K214+parametros_recargas!$G$91*'Plan mensual'!K215+parametros_recargas!$H$91*'Plan mensual'!K216+parametros_recargas!$I$91*'Plan mensual'!K217+parametros_recargas!$J$91*'Plan mensual'!K218+parametros_recargas!$K$91*'Plan mensual'!K219+parametros_recargas!$L$91*'Plan mensual'!K220</f>
        <v>480.319380486593</v>
      </c>
      <c r="J213" s="25" t="n">
        <f aca="false">parametros_recargas!$E$91*'Plan mensual'!L213+parametros_recargas!$F$91*'Plan mensual'!L214+parametros_recargas!$G$91*'Plan mensual'!L215+parametros_recargas!$H$91*'Plan mensual'!L216+parametros_recargas!$I$91*'Plan mensual'!L217+parametros_recargas!$J$91*'Plan mensual'!L218+parametros_recargas!$K$91*'Plan mensual'!L219+parametros_recargas!$L$91*'Plan mensual'!L220</f>
        <v>484.90179237546</v>
      </c>
      <c r="K213" s="25" t="n">
        <f aca="false">parametros_recargas!$E$91*'Plan mensual'!M213+parametros_recargas!$F$91*'Plan mensual'!M214+parametros_recargas!$G$91*'Plan mensual'!M215+parametros_recargas!$H$91*'Plan mensual'!M216+parametros_recargas!$I$91*'Plan mensual'!M217+parametros_recargas!$J$91*'Plan mensual'!M218+parametros_recargas!$K$91*'Plan mensual'!M219+parametros_recargas!$L$91*'Plan mensual'!M220</f>
        <v>489.533445149376</v>
      </c>
      <c r="L213" s="25" t="n">
        <f aca="false">parametros_recargas!$E$91*'Plan mensual'!N213+parametros_recargas!$F$91*'Plan mensual'!N214+parametros_recargas!$G$91*'Plan mensual'!N215+parametros_recargas!$H$91*'Plan mensual'!N216+parametros_recargas!$I$91*'Plan mensual'!N217+parametros_recargas!$J$91*'Plan mensual'!N218+parametros_recargas!$K$91*'Plan mensual'!N219+parametros_recargas!$L$91*'Plan mensual'!N220</f>
        <v>494.214867932484</v>
      </c>
      <c r="M213" s="25" t="n">
        <f aca="false">parametros_recargas!$E$91*'Plan mensual'!O213+parametros_recargas!$F$91*'Plan mensual'!O214+parametros_recargas!$G$91*'Plan mensual'!O215+parametros_recargas!$H$91*'Plan mensual'!O216+parametros_recargas!$I$91*'Plan mensual'!O217+parametros_recargas!$J$91*'Plan mensual'!O218+parametros_recargas!$K$91*'Plan mensual'!O219+parametros_recargas!$L$91*'Plan mensual'!O220</f>
        <v>498.946595534694</v>
      </c>
      <c r="N213" s="7" t="n">
        <f aca="false">SUM(B213:M213)</f>
        <v>5685.87190174853</v>
      </c>
      <c r="O213" s="26" t="n">
        <f aca="false">MAX(B213:M213)</f>
        <v>498.946595534694</v>
      </c>
      <c r="P213" s="15" t="n">
        <f aca="false">O213/parametros_recargas!$B$6</f>
        <v>3.32631063689796</v>
      </c>
    </row>
    <row r="214" customFormat="false" ht="15" hidden="false" customHeight="false" outlineLevel="0" collapsed="false">
      <c r="A214" s="12" t="str">
        <f aca="false">parametros_recargas!$B$92</f>
        <v>Ensamblaje y marbete — recinto</v>
      </c>
      <c r="B214" s="25" t="n">
        <f aca="false">parametros_recargas!$E$92*'Plan mensual'!D213+parametros_recargas!$F$92*'Plan mensual'!D214+parametros_recargas!$G$92*'Plan mensual'!D215+parametros_recargas!$H$92*'Plan mensual'!D216+parametros_recargas!$I$92*'Plan mensual'!D217+parametros_recargas!$J$92*'Plan mensual'!D218+parametros_recargas!$K$92*'Plan mensual'!D219+parametros_recargas!$L$92*'Plan mensual'!D220</f>
        <v>15203.786781963</v>
      </c>
      <c r="C214" s="25" t="n">
        <f aca="false">parametros_recargas!$E$92*'Plan mensual'!E213+parametros_recargas!$F$92*'Plan mensual'!E214+parametros_recargas!$G$92*'Plan mensual'!E215+parametros_recargas!$H$92*'Plan mensual'!E216+parametros_recargas!$I$92*'Plan mensual'!E217+parametros_recargas!$J$92*'Plan mensual'!E218+parametros_recargas!$K$92*'Plan mensual'!E219+parametros_recargas!$L$92*'Plan mensual'!E220</f>
        <v>15356.3374589262</v>
      </c>
      <c r="D214" s="25" t="n">
        <f aca="false">parametros_recargas!$E$92*'Plan mensual'!F213+parametros_recargas!$F$92*'Plan mensual'!F214+parametros_recargas!$G$92*'Plan mensual'!F215+parametros_recargas!$H$92*'Plan mensual'!F216+parametros_recargas!$I$92*'Plan mensual'!F217+parametros_recargas!$J$92*'Plan mensual'!F218+parametros_recargas!$K$92*'Plan mensual'!F219+parametros_recargas!$L$92*'Plan mensual'!F220</f>
        <v>15510.5273884339</v>
      </c>
      <c r="E214" s="25" t="n">
        <f aca="false">parametros_recargas!$E$92*'Plan mensual'!G213+parametros_recargas!$F$92*'Plan mensual'!G214+parametros_recargas!$G$92*'Plan mensual'!G215+parametros_recargas!$H$92*'Plan mensual'!G216+parametros_recargas!$I$92*'Plan mensual'!G217+parametros_recargas!$J$92*'Plan mensual'!G218+parametros_recargas!$K$92*'Plan mensual'!G219+parametros_recargas!$L$92*'Plan mensual'!G220</f>
        <v>15666.3741852811</v>
      </c>
      <c r="F214" s="25" t="n">
        <f aca="false">parametros_recargas!$E$92*'Plan mensual'!H213+parametros_recargas!$F$92*'Plan mensual'!H214+parametros_recargas!$G$92*'Plan mensual'!H215+parametros_recargas!$H$92*'Plan mensual'!H216+parametros_recargas!$I$92*'Plan mensual'!H217+parametros_recargas!$J$92*'Plan mensual'!H218+parametros_recargas!$K$92*'Plan mensual'!H219+parametros_recargas!$L$92*'Plan mensual'!H220</f>
        <v>15823.8956535447</v>
      </c>
      <c r="G214" s="25" t="n">
        <f aca="false">parametros_recargas!$E$92*'Plan mensual'!I213+parametros_recargas!$F$92*'Plan mensual'!I214+parametros_recargas!$G$92*'Plan mensual'!I215+parametros_recargas!$H$92*'Plan mensual'!I216+parametros_recargas!$I$92*'Plan mensual'!I217+parametros_recargas!$J$92*'Plan mensual'!I218+parametros_recargas!$K$92*'Plan mensual'!I219+parametros_recargas!$L$92*'Plan mensual'!I220</f>
        <v>15983.1097886177</v>
      </c>
      <c r="H214" s="25" t="n">
        <f aca="false">parametros_recargas!$E$92*'Plan mensual'!J213+parametros_recargas!$F$92*'Plan mensual'!J214+parametros_recargas!$G$92*'Plan mensual'!J215+parametros_recargas!$H$92*'Plan mensual'!J216+parametros_recargas!$I$92*'Plan mensual'!J217+parametros_recargas!$J$92*'Plan mensual'!J218+parametros_recargas!$K$92*'Plan mensual'!J219+parametros_recargas!$L$92*'Plan mensual'!J220</f>
        <v>16144.034779265</v>
      </c>
      <c r="I214" s="25" t="n">
        <f aca="false">parametros_recargas!$E$92*'Plan mensual'!K213+parametros_recargas!$F$92*'Plan mensual'!K214+parametros_recargas!$G$92*'Plan mensual'!K215+parametros_recargas!$H$92*'Plan mensual'!K216+parametros_recargas!$I$92*'Plan mensual'!K217+parametros_recargas!$J$92*'Plan mensual'!K218+parametros_recargas!$K$92*'Plan mensual'!K219+parametros_recargas!$L$92*'Plan mensual'!K220</f>
        <v>16306.6890097008</v>
      </c>
      <c r="J214" s="25" t="n">
        <f aca="false">parametros_recargas!$E$92*'Plan mensual'!L213+parametros_recargas!$F$92*'Plan mensual'!L214+parametros_recargas!$G$92*'Plan mensual'!L215+parametros_recargas!$H$92*'Plan mensual'!L216+parametros_recargas!$I$92*'Plan mensual'!L217+parametros_recargas!$J$92*'Plan mensual'!L218+parametros_recargas!$K$92*'Plan mensual'!L219+parametros_recargas!$L$92*'Plan mensual'!L220</f>
        <v>16471.0910616895</v>
      </c>
      <c r="K214" s="25" t="n">
        <f aca="false">parametros_recargas!$E$92*'Plan mensual'!M213+parametros_recargas!$F$92*'Plan mensual'!M214+parametros_recargas!$G$92*'Plan mensual'!M215+parametros_recargas!$H$92*'Plan mensual'!M216+parametros_recargas!$I$92*'Plan mensual'!M217+parametros_recargas!$J$92*'Plan mensual'!M218+parametros_recargas!$K$92*'Plan mensual'!M219+parametros_recargas!$L$92*'Plan mensual'!M220</f>
        <v>16637.2597166682</v>
      </c>
      <c r="L214" s="25" t="n">
        <f aca="false">parametros_recargas!$E$92*'Plan mensual'!N213+parametros_recargas!$F$92*'Plan mensual'!N214+parametros_recargas!$G$92*'Plan mensual'!N215+parametros_recargas!$H$92*'Plan mensual'!N216+parametros_recargas!$I$92*'Plan mensual'!N217+parametros_recargas!$J$92*'Plan mensual'!N218+parametros_recargas!$K$92*'Plan mensual'!N219+parametros_recargas!$L$92*'Plan mensual'!N220</f>
        <v>16805.2139578919</v>
      </c>
      <c r="M214" s="25" t="n">
        <f aca="false">parametros_recargas!$E$92*'Plan mensual'!O213+parametros_recargas!$F$92*'Plan mensual'!O214+parametros_recargas!$G$92*'Plan mensual'!O215+parametros_recargas!$H$92*'Plan mensual'!O216+parametros_recargas!$I$92*'Plan mensual'!O217+parametros_recargas!$J$92*'Plan mensual'!O218+parametros_recargas!$K$92*'Plan mensual'!O219+parametros_recargas!$L$92*'Plan mensual'!O220</f>
        <v>16974.9729726032</v>
      </c>
      <c r="N214" s="7" t="n">
        <f aca="false">SUM(B214:M214)</f>
        <v>192883.292754585</v>
      </c>
      <c r="O214" s="26" t="n">
        <f aca="false">MAX(B214:M214)</f>
        <v>16974.9729726032</v>
      </c>
      <c r="P214" s="15" t="n">
        <f aca="false">O214/parametros_recargas!$B$6</f>
        <v>113.166486484021</v>
      </c>
    </row>
    <row r="215" customFormat="false" ht="15" hidden="false" customHeight="false" outlineLevel="0" collapsed="false">
      <c r="A215" s="12" t="str">
        <f aca="false">parametros_recargas!$B$93</f>
        <v>Presurización — recinto</v>
      </c>
      <c r="B215" s="25" t="n">
        <f aca="false">parametros_recargas!$E$93*'Plan mensual'!D213+parametros_recargas!$F$93*'Plan mensual'!D214+parametros_recargas!$G$93*'Plan mensual'!D215+parametros_recargas!$H$93*'Plan mensual'!D216+parametros_recargas!$I$93*'Plan mensual'!D217+parametros_recargas!$J$93*'Plan mensual'!D218+parametros_recargas!$K$93*'Plan mensual'!D219+parametros_recargas!$L$93*'Plan mensual'!D220</f>
        <v>15203.786781963</v>
      </c>
      <c r="C215" s="25" t="n">
        <f aca="false">parametros_recargas!$E$93*'Plan mensual'!E213+parametros_recargas!$F$93*'Plan mensual'!E214+parametros_recargas!$G$93*'Plan mensual'!E215+parametros_recargas!$H$93*'Plan mensual'!E216+parametros_recargas!$I$93*'Plan mensual'!E217+parametros_recargas!$J$93*'Plan mensual'!E218+parametros_recargas!$K$93*'Plan mensual'!E219+parametros_recargas!$L$93*'Plan mensual'!E220</f>
        <v>15356.3374589262</v>
      </c>
      <c r="D215" s="25" t="n">
        <f aca="false">parametros_recargas!$E$93*'Plan mensual'!F213+parametros_recargas!$F$93*'Plan mensual'!F214+parametros_recargas!$G$93*'Plan mensual'!F215+parametros_recargas!$H$93*'Plan mensual'!F216+parametros_recargas!$I$93*'Plan mensual'!F217+parametros_recargas!$J$93*'Plan mensual'!F218+parametros_recargas!$K$93*'Plan mensual'!F219+parametros_recargas!$L$93*'Plan mensual'!F220</f>
        <v>15510.5273884339</v>
      </c>
      <c r="E215" s="25" t="n">
        <f aca="false">parametros_recargas!$E$93*'Plan mensual'!G213+parametros_recargas!$F$93*'Plan mensual'!G214+parametros_recargas!$G$93*'Plan mensual'!G215+parametros_recargas!$H$93*'Plan mensual'!G216+parametros_recargas!$I$93*'Plan mensual'!G217+parametros_recargas!$J$93*'Plan mensual'!G218+parametros_recargas!$K$93*'Plan mensual'!G219+parametros_recargas!$L$93*'Plan mensual'!G220</f>
        <v>15666.3741852811</v>
      </c>
      <c r="F215" s="25" t="n">
        <f aca="false">parametros_recargas!$E$93*'Plan mensual'!H213+parametros_recargas!$F$93*'Plan mensual'!H214+parametros_recargas!$G$93*'Plan mensual'!H215+parametros_recargas!$H$93*'Plan mensual'!H216+parametros_recargas!$I$93*'Plan mensual'!H217+parametros_recargas!$J$93*'Plan mensual'!H218+parametros_recargas!$K$93*'Plan mensual'!H219+parametros_recargas!$L$93*'Plan mensual'!H220</f>
        <v>15823.8956535447</v>
      </c>
      <c r="G215" s="25" t="n">
        <f aca="false">parametros_recargas!$E$93*'Plan mensual'!I213+parametros_recargas!$F$93*'Plan mensual'!I214+parametros_recargas!$G$93*'Plan mensual'!I215+parametros_recargas!$H$93*'Plan mensual'!I216+parametros_recargas!$I$93*'Plan mensual'!I217+parametros_recargas!$J$93*'Plan mensual'!I218+parametros_recargas!$K$93*'Plan mensual'!I219+parametros_recargas!$L$93*'Plan mensual'!I220</f>
        <v>15983.1097886177</v>
      </c>
      <c r="H215" s="25" t="n">
        <f aca="false">parametros_recargas!$E$93*'Plan mensual'!J213+parametros_recargas!$F$93*'Plan mensual'!J214+parametros_recargas!$G$93*'Plan mensual'!J215+parametros_recargas!$H$93*'Plan mensual'!J216+parametros_recargas!$I$93*'Plan mensual'!J217+parametros_recargas!$J$93*'Plan mensual'!J218+parametros_recargas!$K$93*'Plan mensual'!J219+parametros_recargas!$L$93*'Plan mensual'!J220</f>
        <v>16144.034779265</v>
      </c>
      <c r="I215" s="25" t="n">
        <f aca="false">parametros_recargas!$E$93*'Plan mensual'!K213+parametros_recargas!$F$93*'Plan mensual'!K214+parametros_recargas!$G$93*'Plan mensual'!K215+parametros_recargas!$H$93*'Plan mensual'!K216+parametros_recargas!$I$93*'Plan mensual'!K217+parametros_recargas!$J$93*'Plan mensual'!K218+parametros_recargas!$K$93*'Plan mensual'!K219+parametros_recargas!$L$93*'Plan mensual'!K220</f>
        <v>16306.6890097008</v>
      </c>
      <c r="J215" s="25" t="n">
        <f aca="false">parametros_recargas!$E$93*'Plan mensual'!L213+parametros_recargas!$F$93*'Plan mensual'!L214+parametros_recargas!$G$93*'Plan mensual'!L215+parametros_recargas!$H$93*'Plan mensual'!L216+parametros_recargas!$I$93*'Plan mensual'!L217+parametros_recargas!$J$93*'Plan mensual'!L218+parametros_recargas!$K$93*'Plan mensual'!L219+parametros_recargas!$L$93*'Plan mensual'!L220</f>
        <v>16471.0910616895</v>
      </c>
      <c r="K215" s="25" t="n">
        <f aca="false">parametros_recargas!$E$93*'Plan mensual'!M213+parametros_recargas!$F$93*'Plan mensual'!M214+parametros_recargas!$G$93*'Plan mensual'!M215+parametros_recargas!$H$93*'Plan mensual'!M216+parametros_recargas!$I$93*'Plan mensual'!M217+parametros_recargas!$J$93*'Plan mensual'!M218+parametros_recargas!$K$93*'Plan mensual'!M219+parametros_recargas!$L$93*'Plan mensual'!M220</f>
        <v>16637.2597166682</v>
      </c>
      <c r="L215" s="25" t="n">
        <f aca="false">parametros_recargas!$E$93*'Plan mensual'!N213+parametros_recargas!$F$93*'Plan mensual'!N214+parametros_recargas!$G$93*'Plan mensual'!N215+parametros_recargas!$H$93*'Plan mensual'!N216+parametros_recargas!$I$93*'Plan mensual'!N217+parametros_recargas!$J$93*'Plan mensual'!N218+parametros_recargas!$K$93*'Plan mensual'!N219+parametros_recargas!$L$93*'Plan mensual'!N220</f>
        <v>16805.2139578919</v>
      </c>
      <c r="M215" s="25" t="n">
        <f aca="false">parametros_recargas!$E$93*'Plan mensual'!O213+parametros_recargas!$F$93*'Plan mensual'!O214+parametros_recargas!$G$93*'Plan mensual'!O215+parametros_recargas!$H$93*'Plan mensual'!O216+parametros_recargas!$I$93*'Plan mensual'!O217+parametros_recargas!$J$93*'Plan mensual'!O218+parametros_recargas!$K$93*'Plan mensual'!O219+parametros_recargas!$L$93*'Plan mensual'!O220</f>
        <v>16974.9729726032</v>
      </c>
      <c r="N215" s="7" t="n">
        <f aca="false">SUM(B215:M215)</f>
        <v>192883.292754585</v>
      </c>
      <c r="O215" s="26" t="n">
        <f aca="false">MAX(B215:M215)</f>
        <v>16974.9729726032</v>
      </c>
      <c r="P215" s="15" t="n">
        <f aca="false">O215/parametros_recargas!$B$6</f>
        <v>113.166486484021</v>
      </c>
    </row>
    <row r="216" customFormat="false" ht="15" hidden="false" customHeight="false" outlineLevel="0" collapsed="false">
      <c r="A216" s="12" t="str">
        <f aca="false">parametros_recargas!$B$94</f>
        <v>Ensamblaje y presurización — zona general</v>
      </c>
      <c r="B216" s="25" t="n">
        <f aca="false">parametros_recargas!$E$94*'Plan mensual'!D213+parametros_recargas!$F$94*'Plan mensual'!D214+parametros_recargas!$G$94*'Plan mensual'!D215+parametros_recargas!$H$94*'Plan mensual'!D216+parametros_recargas!$I$94*'Plan mensual'!D217+parametros_recargas!$J$94*'Plan mensual'!D218+parametros_recargas!$K$94*'Plan mensual'!D219+parametros_recargas!$L$94*'Plan mensual'!D220</f>
        <v>1203.69664826728</v>
      </c>
      <c r="C216" s="25" t="n">
        <f aca="false">parametros_recargas!$E$94*'Plan mensual'!E213+parametros_recargas!$F$94*'Plan mensual'!E214+parametros_recargas!$G$94*'Plan mensual'!E215+parametros_recargas!$H$94*'Plan mensual'!E216+parametros_recargas!$I$94*'Plan mensual'!E217+parametros_recargas!$J$94*'Plan mensual'!E218+parametros_recargas!$K$94*'Plan mensual'!E219+parametros_recargas!$L$94*'Plan mensual'!E220</f>
        <v>1215.08017041252</v>
      </c>
      <c r="D216" s="25" t="n">
        <f aca="false">parametros_recargas!$E$94*'Plan mensual'!F213+parametros_recargas!$F$94*'Plan mensual'!F214+parametros_recargas!$G$94*'Plan mensual'!F215+parametros_recargas!$H$94*'Plan mensual'!F216+parametros_recargas!$I$94*'Plan mensual'!F217+parametros_recargas!$J$94*'Plan mensual'!F218+parametros_recargas!$K$94*'Plan mensual'!F219+parametros_recargas!$L$94*'Plan mensual'!F220</f>
        <v>1226.58601563107</v>
      </c>
      <c r="E216" s="25" t="n">
        <f aca="false">parametros_recargas!$E$94*'Plan mensual'!G213+parametros_recargas!$F$94*'Plan mensual'!G214+parametros_recargas!$G$94*'Plan mensual'!G215+parametros_recargas!$H$94*'Plan mensual'!G216+parametros_recargas!$I$94*'Plan mensual'!G217+parametros_recargas!$J$94*'Plan mensual'!G218+parametros_recargas!$K$94*'Plan mensual'!G219+parametros_recargas!$L$94*'Plan mensual'!G220</f>
        <v>1238.21549836095</v>
      </c>
      <c r="F216" s="25" t="n">
        <f aca="false">parametros_recargas!$E$94*'Plan mensual'!H213+parametros_recargas!$F$94*'Plan mensual'!H214+parametros_recargas!$G$94*'Plan mensual'!H215+parametros_recargas!$H$94*'Plan mensual'!H216+parametros_recargas!$I$94*'Plan mensual'!H217+parametros_recargas!$J$94*'Plan mensual'!H218+parametros_recargas!$K$94*'Plan mensual'!H219+parametros_recargas!$L$94*'Plan mensual'!H220</f>
        <v>1249.96994716462</v>
      </c>
      <c r="G216" s="25" t="n">
        <f aca="false">parametros_recargas!$E$94*'Plan mensual'!I213+parametros_recargas!$F$94*'Plan mensual'!I214+parametros_recargas!$G$94*'Plan mensual'!I215+parametros_recargas!$H$94*'Plan mensual'!I216+parametros_recargas!$I$94*'Plan mensual'!I217+parametros_recargas!$J$94*'Plan mensual'!I218+parametros_recargas!$K$94*'Plan mensual'!I219+parametros_recargas!$L$94*'Plan mensual'!I220</f>
        <v>1261.8507048808</v>
      </c>
      <c r="H216" s="25" t="n">
        <f aca="false">parametros_recargas!$E$94*'Plan mensual'!J213+parametros_recargas!$F$94*'Plan mensual'!J214+parametros_recargas!$G$94*'Plan mensual'!J215+parametros_recargas!$H$94*'Plan mensual'!J216+parametros_recargas!$I$94*'Plan mensual'!J217+parametros_recargas!$J$94*'Plan mensual'!J218+parametros_recargas!$K$94*'Plan mensual'!J219+parametros_recargas!$L$94*'Plan mensual'!J220</f>
        <v>1273.85912877784</v>
      </c>
      <c r="I216" s="25" t="n">
        <f aca="false">parametros_recargas!$E$94*'Plan mensual'!K213+parametros_recargas!$F$94*'Plan mensual'!K214+parametros_recargas!$G$94*'Plan mensual'!K215+parametros_recargas!$H$94*'Plan mensual'!K216+parametros_recargas!$I$94*'Plan mensual'!K217+parametros_recargas!$J$94*'Plan mensual'!K218+parametros_recargas!$K$94*'Plan mensual'!K219+parametros_recargas!$L$94*'Plan mensual'!K220</f>
        <v>1285.9965907088</v>
      </c>
      <c r="J216" s="25" t="n">
        <f aca="false">parametros_recargas!$E$94*'Plan mensual'!L213+parametros_recargas!$F$94*'Plan mensual'!L214+parametros_recargas!$G$94*'Plan mensual'!L215+parametros_recargas!$H$94*'Plan mensual'!L216+parametros_recargas!$I$94*'Plan mensual'!L217+parametros_recargas!$J$94*'Plan mensual'!L218+parametros_recargas!$K$94*'Plan mensual'!L219+parametros_recargas!$L$94*'Plan mensual'!L220</f>
        <v>1298.26447726815</v>
      </c>
      <c r="K216" s="25" t="n">
        <f aca="false">parametros_recargas!$E$94*'Plan mensual'!M213+parametros_recargas!$F$94*'Plan mensual'!M214+parametros_recargas!$G$94*'Plan mensual'!M215+parametros_recargas!$H$94*'Plan mensual'!M216+parametros_recargas!$I$94*'Plan mensual'!M217+parametros_recargas!$J$94*'Plan mensual'!M218+parametros_recargas!$K$94*'Plan mensual'!M219+parametros_recargas!$L$94*'Plan mensual'!M220</f>
        <v>1310.66418995018</v>
      </c>
      <c r="L216" s="25" t="n">
        <f aca="false">parametros_recargas!$E$94*'Plan mensual'!N213+parametros_recargas!$F$94*'Plan mensual'!N214+parametros_recargas!$G$94*'Plan mensual'!N215+parametros_recargas!$H$94*'Plan mensual'!N216+parametros_recargas!$I$94*'Plan mensual'!N217+parametros_recargas!$J$94*'Plan mensual'!N218+parametros_recargas!$K$94*'Plan mensual'!N219+parametros_recargas!$L$94*'Plan mensual'!N220</f>
        <v>1323.19714530913</v>
      </c>
      <c r="M216" s="25" t="n">
        <f aca="false">parametros_recargas!$E$94*'Plan mensual'!O213+parametros_recargas!$F$94*'Plan mensual'!O214+parametros_recargas!$G$94*'Plan mensual'!O215+parametros_recargas!$H$94*'Plan mensual'!O216+parametros_recargas!$I$94*'Plan mensual'!O217+parametros_recargas!$J$94*'Plan mensual'!O218+parametros_recargas!$K$94*'Plan mensual'!O219+parametros_recargas!$L$94*'Plan mensual'!O220</f>
        <v>1335.86477512099</v>
      </c>
      <c r="N216" s="7" t="n">
        <f aca="false">SUM(B216:M216)</f>
        <v>15223.2452918523</v>
      </c>
      <c r="O216" s="26" t="n">
        <f aca="false">MAX(B216:M216)</f>
        <v>1335.86477512099</v>
      </c>
      <c r="P216" s="15" t="n">
        <f aca="false">O216/parametros_recargas!$B$6</f>
        <v>8.90576516747329</v>
      </c>
    </row>
    <row r="217" customFormat="false" ht="15" hidden="false" customHeight="false" outlineLevel="0" collapsed="false">
      <c r="A217" s="12" t="str">
        <f aca="false">parametros_recargas!$B$95</f>
        <v>Carga y presurización de halogenado</v>
      </c>
      <c r="B217" s="25" t="n">
        <f aca="false">parametros_recargas!$E$95*'Plan mensual'!D213+parametros_recargas!$F$95*'Plan mensual'!D214+parametros_recargas!$G$95*'Plan mensual'!D215+parametros_recargas!$H$95*'Plan mensual'!D216+parametros_recargas!$I$95*'Plan mensual'!D217+parametros_recargas!$J$95*'Plan mensual'!D218+parametros_recargas!$K$95*'Plan mensual'!D219+parametros_recargas!$L$95*'Plan mensual'!D220</f>
        <v>14.9725662899206</v>
      </c>
      <c r="C217" s="25" t="n">
        <f aca="false">parametros_recargas!$E$95*'Plan mensual'!E213+parametros_recargas!$F$95*'Plan mensual'!E214+parametros_recargas!$G$95*'Plan mensual'!E215+parametros_recargas!$H$95*'Plan mensual'!E216+parametros_recargas!$I$95*'Plan mensual'!E217+parametros_recargas!$J$95*'Plan mensual'!E218+parametros_recargas!$K$95*'Plan mensual'!E219+parametros_recargas!$L$95*'Plan mensual'!E220</f>
        <v>15.1144271768782</v>
      </c>
      <c r="D217" s="25" t="n">
        <f aca="false">parametros_recargas!$E$95*'Plan mensual'!F213+parametros_recargas!$F$95*'Plan mensual'!F214+parametros_recargas!$G$95*'Plan mensual'!F215+parametros_recargas!$H$95*'Plan mensual'!F216+parametros_recargas!$I$95*'Plan mensual'!F217+parametros_recargas!$J$95*'Plan mensual'!F218+parametros_recargas!$K$95*'Plan mensual'!F219+parametros_recargas!$L$95*'Plan mensual'!F220</f>
        <v>15.2578124478931</v>
      </c>
      <c r="E217" s="25" t="n">
        <f aca="false">parametros_recargas!$E$95*'Plan mensual'!G213+parametros_recargas!$F$95*'Plan mensual'!G214+parametros_recargas!$G$95*'Plan mensual'!G215+parametros_recargas!$H$95*'Plan mensual'!G216+parametros_recargas!$I$95*'Plan mensual'!G217+parametros_recargas!$J$95*'Plan mensual'!G218+parametros_recargas!$K$95*'Plan mensual'!G219+parametros_recargas!$L$95*'Plan mensual'!G220</f>
        <v>15.4027384834266</v>
      </c>
      <c r="F217" s="25" t="n">
        <f aca="false">parametros_recargas!$E$95*'Plan mensual'!H213+parametros_recargas!$F$95*'Plan mensual'!H214+parametros_recargas!$G$95*'Plan mensual'!H215+parametros_recargas!$H$95*'Plan mensual'!H216+parametros_recargas!$I$95*'Plan mensual'!H217+parametros_recargas!$J$95*'Plan mensual'!H218+parametros_recargas!$K$95*'Plan mensual'!H219+parametros_recargas!$L$95*'Plan mensual'!H220</f>
        <v>15.5492218399582</v>
      </c>
      <c r="G217" s="25" t="n">
        <f aca="false">parametros_recargas!$E$95*'Plan mensual'!I213+parametros_recargas!$F$95*'Plan mensual'!I214+parametros_recargas!$G$95*'Plan mensual'!I215+parametros_recargas!$H$95*'Plan mensual'!I216+parametros_recargas!$I$95*'Plan mensual'!I217+parametros_recargas!$J$95*'Plan mensual'!I218+parametros_recargas!$K$95*'Plan mensual'!I219+parametros_recargas!$L$95*'Plan mensual'!I220</f>
        <v>15.6972792518771</v>
      </c>
      <c r="H217" s="25" t="n">
        <f aca="false">parametros_recargas!$E$95*'Plan mensual'!J213+parametros_recargas!$F$95*'Plan mensual'!J214+parametros_recargas!$G$95*'Plan mensual'!J215+parametros_recargas!$H$95*'Plan mensual'!J216+parametros_recargas!$I$95*'Plan mensual'!J217+parametros_recargas!$J$95*'Plan mensual'!J218+parametros_recargas!$K$95*'Plan mensual'!J219+parametros_recargas!$L$95*'Plan mensual'!J220</f>
        <v>15.846927633394</v>
      </c>
      <c r="I217" s="25" t="n">
        <f aca="false">parametros_recargas!$E$95*'Plan mensual'!K213+parametros_recargas!$F$95*'Plan mensual'!K214+parametros_recargas!$G$95*'Plan mensual'!K215+parametros_recargas!$H$95*'Plan mensual'!K216+parametros_recargas!$I$95*'Plan mensual'!K217+parametros_recargas!$J$95*'Plan mensual'!K218+parametros_recargas!$K$95*'Plan mensual'!K219+parametros_recargas!$L$95*'Plan mensual'!K220</f>
        <v>15.9981840804735</v>
      </c>
      <c r="J217" s="25" t="n">
        <f aca="false">parametros_recargas!$E$95*'Plan mensual'!L213+parametros_recargas!$F$95*'Plan mensual'!L214+parametros_recargas!$G$95*'Plan mensual'!L215+parametros_recargas!$H$95*'Plan mensual'!L216+parametros_recargas!$I$95*'Plan mensual'!L217+parametros_recargas!$J$95*'Plan mensual'!L218+parametros_recargas!$K$95*'Plan mensual'!L219+parametros_recargas!$L$95*'Plan mensual'!L220</f>
        <v>16.1510658727869</v>
      </c>
      <c r="K217" s="25" t="n">
        <f aca="false">parametros_recargas!$E$95*'Plan mensual'!M213+parametros_recargas!$F$95*'Plan mensual'!M214+parametros_recargas!$G$95*'Plan mensual'!M215+parametros_recargas!$H$95*'Plan mensual'!M216+parametros_recargas!$I$95*'Plan mensual'!M217+parametros_recargas!$J$95*'Plan mensual'!M218+parametros_recargas!$K$95*'Plan mensual'!M219+parametros_recargas!$L$95*'Plan mensual'!M220</f>
        <v>16.3055904756866</v>
      </c>
      <c r="L217" s="25" t="n">
        <f aca="false">parametros_recargas!$E$95*'Plan mensual'!N213+parametros_recargas!$F$95*'Plan mensual'!N214+parametros_recargas!$G$95*'Plan mensual'!N215+parametros_recargas!$H$95*'Plan mensual'!N216+parametros_recargas!$I$95*'Plan mensual'!N217+parametros_recargas!$J$95*'Plan mensual'!N218+parametros_recargas!$K$95*'Plan mensual'!N219+parametros_recargas!$L$95*'Plan mensual'!N220</f>
        <v>16.4617755422008</v>
      </c>
      <c r="M217" s="25" t="n">
        <f aca="false">parametros_recargas!$E$95*'Plan mensual'!O213+parametros_recargas!$F$95*'Plan mensual'!O214+parametros_recargas!$G$95*'Plan mensual'!O215+parametros_recargas!$H$95*'Plan mensual'!O216+parametros_recargas!$I$95*'Plan mensual'!O217+parametros_recargas!$J$95*'Plan mensual'!O218+parametros_recargas!$K$95*'Plan mensual'!O219+parametros_recargas!$L$95*'Plan mensual'!O220</f>
        <v>16.6196389150509</v>
      </c>
      <c r="N217" s="7" t="n">
        <f aca="false">SUM(B217:M217)</f>
        <v>189.377228009547</v>
      </c>
      <c r="O217" s="26" t="n">
        <f aca="false">MAX(B217:M217)</f>
        <v>16.6196389150509</v>
      </c>
      <c r="P217" s="15" t="n">
        <f aca="false">O217/parametros_recargas!$B$6</f>
        <v>0.110797592767006</v>
      </c>
    </row>
    <row r="218" customFormat="false" ht="15" hidden="false" customHeight="false" outlineLevel="0" collapsed="false">
      <c r="A218" s="12" t="str">
        <f aca="false">parametros_recargas!$B$96</f>
        <v>Control de peso (CO₂ y halogenados sin recarga)</v>
      </c>
      <c r="B218" s="25" t="n">
        <f aca="false">parametros_recargas!$E$96*'Plan mensual'!D213+parametros_recargas!$F$96*'Plan mensual'!D214+parametros_recargas!$G$96*'Plan mensual'!D215+parametros_recargas!$H$96*'Plan mensual'!D216+parametros_recargas!$I$96*'Plan mensual'!D217+parametros_recargas!$J$96*'Plan mensual'!D218+parametros_recargas!$K$96*'Plan mensual'!D219+parametros_recargas!$L$96*'Plan mensual'!D220</f>
        <v>1093.93294353069</v>
      </c>
      <c r="C218" s="25" t="n">
        <f aca="false">parametros_recargas!$E$96*'Plan mensual'!E213+parametros_recargas!$F$96*'Plan mensual'!E214+parametros_recargas!$G$96*'Plan mensual'!E215+parametros_recargas!$H$96*'Plan mensual'!E216+parametros_recargas!$I$96*'Plan mensual'!E217+parametros_recargas!$J$96*'Plan mensual'!E218+parametros_recargas!$K$96*'Plan mensual'!E219+parametros_recargas!$L$96*'Plan mensual'!E220</f>
        <v>1104.28003708757</v>
      </c>
      <c r="D218" s="25" t="n">
        <f aca="false">parametros_recargas!$E$96*'Plan mensual'!F213+parametros_recargas!$F$96*'Plan mensual'!F214+parametros_recargas!$G$96*'Plan mensual'!F215+parametros_recargas!$H$96*'Plan mensual'!F216+parametros_recargas!$I$96*'Plan mensual'!F217+parametros_recargas!$J$96*'Plan mensual'!F218+parametros_recargas!$K$96*'Plan mensual'!F219+parametros_recargas!$L$96*'Plan mensual'!F220</f>
        <v>1114.73831664362</v>
      </c>
      <c r="E218" s="25" t="n">
        <f aca="false">parametros_recargas!$E$96*'Plan mensual'!G213+parametros_recargas!$F$96*'Plan mensual'!G214+parametros_recargas!$G$96*'Plan mensual'!G215+parametros_recargas!$H$96*'Plan mensual'!G216+parametros_recargas!$I$96*'Plan mensual'!G217+parametros_recargas!$J$96*'Plan mensual'!G218+parametros_recargas!$K$96*'Plan mensual'!G219+parametros_recargas!$L$96*'Plan mensual'!G220</f>
        <v>1125.308976962</v>
      </c>
      <c r="F218" s="25" t="n">
        <f aca="false">parametros_recargas!$E$96*'Plan mensual'!H213+parametros_recargas!$F$96*'Plan mensual'!H214+parametros_recargas!$G$96*'Plan mensual'!H215+parametros_recargas!$H$96*'Plan mensual'!H216+parametros_recargas!$I$96*'Plan mensual'!H217+parametros_recargas!$J$96*'Plan mensual'!H218+parametros_recargas!$K$96*'Plan mensual'!H219+parametros_recargas!$L$96*'Plan mensual'!H220</f>
        <v>1135.99322564439</v>
      </c>
      <c r="G218" s="25" t="n">
        <f aca="false">parametros_recargas!$E$96*'Plan mensual'!I213+parametros_recargas!$F$96*'Plan mensual'!I214+parametros_recargas!$G$96*'Plan mensual'!I215+parametros_recargas!$H$96*'Plan mensual'!I216+parametros_recargas!$I$96*'Plan mensual'!I217+parametros_recargas!$J$96*'Plan mensual'!I218+parametros_recargas!$K$96*'Plan mensual'!I219+parametros_recargas!$L$96*'Plan mensual'!I220</f>
        <v>1146.79228326886</v>
      </c>
      <c r="H218" s="25" t="n">
        <f aca="false">parametros_recargas!$E$96*'Plan mensual'!J213+parametros_recargas!$F$96*'Plan mensual'!J214+parametros_recargas!$G$96*'Plan mensual'!J215+parametros_recargas!$H$96*'Plan mensual'!J216+parametros_recargas!$I$96*'Plan mensual'!J217+parametros_recargas!$J$96*'Plan mensual'!J218+parametros_recargas!$K$96*'Plan mensual'!J219+parametros_recargas!$L$96*'Plan mensual'!J220</f>
        <v>1157.70738352941</v>
      </c>
      <c r="I218" s="25" t="n">
        <f aca="false">parametros_recargas!$E$96*'Plan mensual'!K213+parametros_recargas!$F$96*'Plan mensual'!K214+parametros_recargas!$G$96*'Plan mensual'!K215+parametros_recargas!$H$96*'Plan mensual'!K216+parametros_recargas!$I$96*'Plan mensual'!K217+parametros_recargas!$J$96*'Plan mensual'!K218+parametros_recargas!$K$96*'Plan mensual'!K219+parametros_recargas!$L$96*'Plan mensual'!K220</f>
        <v>1168.7397733768</v>
      </c>
      <c r="J218" s="25" t="n">
        <f aca="false">parametros_recargas!$E$96*'Plan mensual'!L213+parametros_recargas!$F$96*'Plan mensual'!L214+parametros_recargas!$G$96*'Plan mensual'!L215+parametros_recargas!$H$96*'Plan mensual'!L216+parametros_recargas!$I$96*'Plan mensual'!L217+parametros_recargas!$J$96*'Plan mensual'!L218+parametros_recargas!$K$96*'Plan mensual'!L219+parametros_recargas!$L$96*'Plan mensual'!L220</f>
        <v>1179.8907131611</v>
      </c>
      <c r="K218" s="25" t="n">
        <f aca="false">parametros_recargas!$E$96*'Plan mensual'!M213+parametros_recargas!$F$96*'Plan mensual'!M214+parametros_recargas!$G$96*'Plan mensual'!M215+parametros_recargas!$H$96*'Plan mensual'!M216+parametros_recargas!$I$96*'Plan mensual'!M217+parametros_recargas!$J$96*'Plan mensual'!M218+parametros_recargas!$K$96*'Plan mensual'!M219+parametros_recargas!$L$96*'Plan mensual'!M220</f>
        <v>1191.1614767756</v>
      </c>
      <c r="L218" s="25" t="n">
        <f aca="false">parametros_recargas!$E$96*'Plan mensual'!N213+parametros_recargas!$F$96*'Plan mensual'!N214+parametros_recargas!$G$96*'Plan mensual'!N215+parametros_recargas!$H$96*'Plan mensual'!N216+parametros_recargas!$I$96*'Plan mensual'!N217+parametros_recargas!$J$96*'Plan mensual'!N218+parametros_recargas!$K$96*'Plan mensual'!N219+parametros_recargas!$L$96*'Plan mensual'!N220</f>
        <v>1202.5533518024</v>
      </c>
      <c r="M218" s="25" t="n">
        <f aca="false">parametros_recargas!$E$96*'Plan mensual'!O213+parametros_recargas!$F$96*'Plan mensual'!O214+parametros_recargas!$G$96*'Plan mensual'!O215+parametros_recargas!$H$96*'Plan mensual'!O216+parametros_recargas!$I$96*'Plan mensual'!O217+parametros_recargas!$J$96*'Plan mensual'!O218+parametros_recargas!$K$96*'Plan mensual'!O219+parametros_recargas!$L$96*'Plan mensual'!O220</f>
        <v>1214.06763965944</v>
      </c>
      <c r="N218" s="7" t="n">
        <f aca="false">SUM(B218:M218)</f>
        <v>13835.1661214419</v>
      </c>
      <c r="O218" s="26" t="n">
        <f aca="false">MAX(B218:M218)</f>
        <v>1214.06763965944</v>
      </c>
      <c r="P218" s="15" t="n">
        <f aca="false">O218/parametros_recargas!$B$6</f>
        <v>8.09378426439626</v>
      </c>
    </row>
    <row r="219" customFormat="false" ht="15" hidden="false" customHeight="false" outlineLevel="0" collapsed="false">
      <c r="A219" s="12" t="str">
        <f aca="false">parametros_recargas!$B$97</f>
        <v>Ensayo de pérdidas</v>
      </c>
      <c r="B219" s="25" t="n">
        <f aca="false">parametros_recargas!$E$97*'Plan mensual'!D213+parametros_recargas!$F$97*'Plan mensual'!D214+parametros_recargas!$G$97*'Plan mensual'!D215+parametros_recargas!$H$97*'Plan mensual'!D216+parametros_recargas!$I$97*'Plan mensual'!D217+parametros_recargas!$J$97*'Plan mensual'!D218+parametros_recargas!$K$97*'Plan mensual'!D219+parametros_recargas!$L$97*'Plan mensual'!D220</f>
        <v>17576.3460340938</v>
      </c>
      <c r="C219" s="25" t="n">
        <f aca="false">parametros_recargas!$E$97*'Plan mensual'!E213+parametros_recargas!$F$97*'Plan mensual'!E214+parametros_recargas!$G$97*'Plan mensual'!E215+parametros_recargas!$H$97*'Plan mensual'!E216+parametros_recargas!$I$97*'Plan mensual'!E217+parametros_recargas!$J$97*'Plan mensual'!E218+parametros_recargas!$K$97*'Plan mensual'!E219+parametros_recargas!$L$97*'Plan mensual'!E220</f>
        <v>17751.336006109</v>
      </c>
      <c r="D219" s="25" t="n">
        <f aca="false">parametros_recargas!$E$97*'Plan mensual'!F213+parametros_recargas!$F$97*'Plan mensual'!F214+parametros_recargas!$G$97*'Plan mensual'!F215+parametros_recargas!$H$97*'Plan mensual'!F216+parametros_recargas!$I$97*'Plan mensual'!F217+parametros_recargas!$J$97*'Plan mensual'!F218+parametros_recargas!$K$97*'Plan mensual'!F219+parametros_recargas!$L$97*'Plan mensual'!F220</f>
        <v>17928.2063549443</v>
      </c>
      <c r="E219" s="25" t="n">
        <f aca="false">parametros_recargas!$E$97*'Plan mensual'!G213+parametros_recargas!$F$97*'Plan mensual'!G214+parametros_recargas!$G$97*'Plan mensual'!G215+parametros_recargas!$H$97*'Plan mensual'!G216+parametros_recargas!$I$97*'Plan mensual'!G217+parametros_recargas!$J$97*'Plan mensual'!G218+parametros_recargas!$K$97*'Plan mensual'!G219+parametros_recargas!$L$97*'Plan mensual'!G220</f>
        <v>18106.9772864263</v>
      </c>
      <c r="F219" s="25" t="n">
        <f aca="false">parametros_recargas!$E$97*'Plan mensual'!H213+parametros_recargas!$F$97*'Plan mensual'!H214+parametros_recargas!$G$97*'Plan mensual'!H215+parametros_recargas!$H$97*'Plan mensual'!H216+parametros_recargas!$I$97*'Plan mensual'!H217+parametros_recargas!$J$97*'Plan mensual'!H218+parametros_recargas!$K$97*'Plan mensual'!H219+parametros_recargas!$L$97*'Plan mensual'!H220</f>
        <v>18287.6692235054</v>
      </c>
      <c r="G219" s="25" t="n">
        <f aca="false">parametros_recargas!$E$97*'Plan mensual'!I213+parametros_recargas!$F$97*'Plan mensual'!I214+parametros_recargas!$G$97*'Plan mensual'!I215+parametros_recargas!$H$97*'Plan mensual'!I216+parametros_recargas!$I$97*'Plan mensual'!I217+parametros_recargas!$J$97*'Plan mensual'!I218+parametros_recargas!$K$97*'Plan mensual'!I219+parametros_recargas!$L$97*'Plan mensual'!I220</f>
        <v>18470.3028085898</v>
      </c>
      <c r="H219" s="25" t="n">
        <f aca="false">parametros_recargas!$E$97*'Plan mensual'!J213+parametros_recargas!$F$97*'Plan mensual'!J214+parametros_recargas!$G$97*'Plan mensual'!J215+parametros_recargas!$H$97*'Plan mensual'!J216+parametros_recargas!$I$97*'Plan mensual'!J217+parametros_recargas!$J$97*'Plan mensual'!J218+parametros_recargas!$K$97*'Plan mensual'!J219+parametros_recargas!$L$97*'Plan mensual'!J220</f>
        <v>18654.8989059029</v>
      </c>
      <c r="I219" s="25" t="n">
        <f aca="false">parametros_recargas!$E$97*'Plan mensual'!K213+parametros_recargas!$F$97*'Plan mensual'!K214+parametros_recargas!$G$97*'Plan mensual'!K215+parametros_recargas!$H$97*'Plan mensual'!K216+parametros_recargas!$I$97*'Plan mensual'!K217+parametros_recargas!$J$97*'Plan mensual'!K218+parametros_recargas!$K$97*'Plan mensual'!K219+parametros_recargas!$L$97*'Plan mensual'!K220</f>
        <v>18841.4786038675</v>
      </c>
      <c r="J219" s="25" t="n">
        <f aca="false">parametros_recargas!$E$97*'Plan mensual'!L213+parametros_recargas!$F$97*'Plan mensual'!L214+parametros_recargas!$G$97*'Plan mensual'!L215+parametros_recargas!$H$97*'Plan mensual'!L216+parametros_recargas!$I$97*'Plan mensual'!L217+parametros_recargas!$J$97*'Plan mensual'!L218+parametros_recargas!$K$97*'Plan mensual'!L219+parametros_recargas!$L$97*'Plan mensual'!L220</f>
        <v>19030.0632175147</v>
      </c>
      <c r="K219" s="25" t="n">
        <f aca="false">parametros_recargas!$E$97*'Plan mensual'!M213+parametros_recargas!$F$97*'Plan mensual'!M214+parametros_recargas!$G$97*'Plan mensual'!M215+parametros_recargas!$H$97*'Plan mensual'!M216+parametros_recargas!$I$97*'Plan mensual'!M217+parametros_recargas!$J$97*'Plan mensual'!M218+parametros_recargas!$K$97*'Plan mensual'!M219+parametros_recargas!$L$97*'Plan mensual'!M220</f>
        <v>19220.6742909188</v>
      </c>
      <c r="L219" s="25" t="n">
        <f aca="false">parametros_recargas!$E$97*'Plan mensual'!N213+parametros_recargas!$F$97*'Plan mensual'!N214+parametros_recargas!$G$97*'Plan mensual'!N215+parametros_recargas!$H$97*'Plan mensual'!N216+parametros_recargas!$I$97*'Plan mensual'!N217+parametros_recargas!$J$97*'Plan mensual'!N218+parametros_recargas!$K$97*'Plan mensual'!N219+parametros_recargas!$L$97*'Plan mensual'!N220</f>
        <v>19413.3335996589</v>
      </c>
      <c r="M219" s="25" t="n">
        <f aca="false">parametros_recargas!$E$97*'Plan mensual'!O213+parametros_recargas!$F$97*'Plan mensual'!O214+parametros_recargas!$G$97*'Plan mensual'!O215+parametros_recargas!$H$97*'Plan mensual'!O216+parametros_recargas!$I$97*'Plan mensual'!O217+parametros_recargas!$J$97*'Plan mensual'!O218+parametros_recargas!$K$97*'Plan mensual'!O219+parametros_recargas!$L$97*'Plan mensual'!O220</f>
        <v>19608.0631533061</v>
      </c>
      <c r="N219" s="7" t="n">
        <f aca="false">SUM(B219:M219)</f>
        <v>222889.349484838</v>
      </c>
      <c r="O219" s="26" t="n">
        <f aca="false">MAX(B219:M219)</f>
        <v>19608.0631533061</v>
      </c>
      <c r="P219" s="15" t="n">
        <f aca="false">O219/parametros_recargas!$B$6</f>
        <v>130.72042102204</v>
      </c>
    </row>
    <row r="220" customFormat="false" ht="15" hidden="false" customHeight="false" outlineLevel="0" collapsed="false">
      <c r="A220" s="12" t="str">
        <f aca="false">parametros_recargas!$B$98</f>
        <v>Precinto, etiqueta y despacho</v>
      </c>
      <c r="B220" s="25" t="n">
        <f aca="false">parametros_recargas!$E$98*'Plan mensual'!D213+parametros_recargas!$F$98*'Plan mensual'!D214+parametros_recargas!$G$98*'Plan mensual'!D215+parametros_recargas!$H$98*'Plan mensual'!D216+parametros_recargas!$I$98*'Plan mensual'!D217+parametros_recargas!$J$98*'Plan mensual'!D218+parametros_recargas!$K$98*'Plan mensual'!D219+parametros_recargas!$L$98*'Plan mensual'!D220</f>
        <v>17576.3460340938</v>
      </c>
      <c r="C220" s="25" t="n">
        <f aca="false">parametros_recargas!$E$98*'Plan mensual'!E213+parametros_recargas!$F$98*'Plan mensual'!E214+parametros_recargas!$G$98*'Plan mensual'!E215+parametros_recargas!$H$98*'Plan mensual'!E216+parametros_recargas!$I$98*'Plan mensual'!E217+parametros_recargas!$J$98*'Plan mensual'!E218+parametros_recargas!$K$98*'Plan mensual'!E219+parametros_recargas!$L$98*'Plan mensual'!E220</f>
        <v>17751.336006109</v>
      </c>
      <c r="D220" s="25" t="n">
        <f aca="false">parametros_recargas!$E$98*'Plan mensual'!F213+parametros_recargas!$F$98*'Plan mensual'!F214+parametros_recargas!$G$98*'Plan mensual'!F215+parametros_recargas!$H$98*'Plan mensual'!F216+parametros_recargas!$I$98*'Plan mensual'!F217+parametros_recargas!$J$98*'Plan mensual'!F218+parametros_recargas!$K$98*'Plan mensual'!F219+parametros_recargas!$L$98*'Plan mensual'!F220</f>
        <v>17928.2063549443</v>
      </c>
      <c r="E220" s="25" t="n">
        <f aca="false">parametros_recargas!$E$98*'Plan mensual'!G213+parametros_recargas!$F$98*'Plan mensual'!G214+parametros_recargas!$G$98*'Plan mensual'!G215+parametros_recargas!$H$98*'Plan mensual'!G216+parametros_recargas!$I$98*'Plan mensual'!G217+parametros_recargas!$J$98*'Plan mensual'!G218+parametros_recargas!$K$98*'Plan mensual'!G219+parametros_recargas!$L$98*'Plan mensual'!G220</f>
        <v>18106.9772864263</v>
      </c>
      <c r="F220" s="25" t="n">
        <f aca="false">parametros_recargas!$E$98*'Plan mensual'!H213+parametros_recargas!$F$98*'Plan mensual'!H214+parametros_recargas!$G$98*'Plan mensual'!H215+parametros_recargas!$H$98*'Plan mensual'!H216+parametros_recargas!$I$98*'Plan mensual'!H217+parametros_recargas!$J$98*'Plan mensual'!H218+parametros_recargas!$K$98*'Plan mensual'!H219+parametros_recargas!$L$98*'Plan mensual'!H220</f>
        <v>18287.6692235054</v>
      </c>
      <c r="G220" s="25" t="n">
        <f aca="false">parametros_recargas!$E$98*'Plan mensual'!I213+parametros_recargas!$F$98*'Plan mensual'!I214+parametros_recargas!$G$98*'Plan mensual'!I215+parametros_recargas!$H$98*'Plan mensual'!I216+parametros_recargas!$I$98*'Plan mensual'!I217+parametros_recargas!$J$98*'Plan mensual'!I218+parametros_recargas!$K$98*'Plan mensual'!I219+parametros_recargas!$L$98*'Plan mensual'!I220</f>
        <v>18470.3028085898</v>
      </c>
      <c r="H220" s="25" t="n">
        <f aca="false">parametros_recargas!$E$98*'Plan mensual'!J213+parametros_recargas!$F$98*'Plan mensual'!J214+parametros_recargas!$G$98*'Plan mensual'!J215+parametros_recargas!$H$98*'Plan mensual'!J216+parametros_recargas!$I$98*'Plan mensual'!J217+parametros_recargas!$J$98*'Plan mensual'!J218+parametros_recargas!$K$98*'Plan mensual'!J219+parametros_recargas!$L$98*'Plan mensual'!J220</f>
        <v>18654.8989059029</v>
      </c>
      <c r="I220" s="25" t="n">
        <f aca="false">parametros_recargas!$E$98*'Plan mensual'!K213+parametros_recargas!$F$98*'Plan mensual'!K214+parametros_recargas!$G$98*'Plan mensual'!K215+parametros_recargas!$H$98*'Plan mensual'!K216+parametros_recargas!$I$98*'Plan mensual'!K217+parametros_recargas!$J$98*'Plan mensual'!K218+parametros_recargas!$K$98*'Plan mensual'!K219+parametros_recargas!$L$98*'Plan mensual'!K220</f>
        <v>18841.4786038675</v>
      </c>
      <c r="J220" s="25" t="n">
        <f aca="false">parametros_recargas!$E$98*'Plan mensual'!L213+parametros_recargas!$F$98*'Plan mensual'!L214+parametros_recargas!$G$98*'Plan mensual'!L215+parametros_recargas!$H$98*'Plan mensual'!L216+parametros_recargas!$I$98*'Plan mensual'!L217+parametros_recargas!$J$98*'Plan mensual'!L218+parametros_recargas!$K$98*'Plan mensual'!L219+parametros_recargas!$L$98*'Plan mensual'!L220</f>
        <v>19030.0632175147</v>
      </c>
      <c r="K220" s="25" t="n">
        <f aca="false">parametros_recargas!$E$98*'Plan mensual'!M213+parametros_recargas!$F$98*'Plan mensual'!M214+parametros_recargas!$G$98*'Plan mensual'!M215+parametros_recargas!$H$98*'Plan mensual'!M216+parametros_recargas!$I$98*'Plan mensual'!M217+parametros_recargas!$J$98*'Plan mensual'!M218+parametros_recargas!$K$98*'Plan mensual'!M219+parametros_recargas!$L$98*'Plan mensual'!M220</f>
        <v>19220.6742909188</v>
      </c>
      <c r="L220" s="25" t="n">
        <f aca="false">parametros_recargas!$E$98*'Plan mensual'!N213+parametros_recargas!$F$98*'Plan mensual'!N214+parametros_recargas!$G$98*'Plan mensual'!N215+parametros_recargas!$H$98*'Plan mensual'!N216+parametros_recargas!$I$98*'Plan mensual'!N217+parametros_recargas!$J$98*'Plan mensual'!N218+parametros_recargas!$K$98*'Plan mensual'!N219+parametros_recargas!$L$98*'Plan mensual'!N220</f>
        <v>19413.3335996589</v>
      </c>
      <c r="M220" s="25" t="n">
        <f aca="false">parametros_recargas!$E$98*'Plan mensual'!O213+parametros_recargas!$F$98*'Plan mensual'!O214+parametros_recargas!$G$98*'Plan mensual'!O215+parametros_recargas!$H$98*'Plan mensual'!O216+parametros_recargas!$I$98*'Plan mensual'!O217+parametros_recargas!$J$98*'Plan mensual'!O218+parametros_recargas!$K$98*'Plan mensual'!O219+parametros_recargas!$L$98*'Plan mensual'!O220</f>
        <v>19608.0631533061</v>
      </c>
      <c r="N220" s="7" t="n">
        <f aca="false">SUM(B220:M220)</f>
        <v>222889.349484838</v>
      </c>
      <c r="O220" s="26" t="n">
        <f aca="false">MAX(B220:M220)</f>
        <v>19608.0631533061</v>
      </c>
      <c r="P220" s="15" t="n">
        <f aca="false">O220/parametros_recargas!$B$6</f>
        <v>130.72042102204</v>
      </c>
    </row>
    <row r="221" customFormat="false" ht="15" hidden="false" customHeight="false" outlineLevel="0" collapsed="false">
      <c r="A221" s="12" t="str">
        <f aca="false">parametros_recargas!$B$99</f>
        <v>Inutilización y disposición final</v>
      </c>
      <c r="B221" s="25" t="n">
        <f aca="false">parametros_recargas!$E$99*'Plan mensual'!D213+parametros_recargas!$F$99*'Plan mensual'!D214+parametros_recargas!$G$99*'Plan mensual'!D215+parametros_recargas!$H$99*'Plan mensual'!D216+parametros_recargas!$I$99*'Plan mensual'!D217+parametros_recargas!$J$99*'Plan mensual'!D218+parametros_recargas!$K$99*'Plan mensual'!D219+parametros_recargas!$L$99*'Plan mensual'!D220</f>
        <v>1381.1311292832</v>
      </c>
      <c r="C221" s="25" t="n">
        <f aca="false">parametros_recargas!$E$99*'Plan mensual'!E213+parametros_recargas!$F$99*'Plan mensual'!E214+parametros_recargas!$G$99*'Plan mensual'!E215+parametros_recargas!$H$99*'Plan mensual'!E216+parametros_recargas!$I$99*'Plan mensual'!E217+parametros_recargas!$J$99*'Plan mensual'!E218+parametros_recargas!$K$99*'Plan mensual'!E219+parametros_recargas!$L$99*'Plan mensual'!E220</f>
        <v>1394.8941005945</v>
      </c>
      <c r="D221" s="25" t="n">
        <f aca="false">parametros_recargas!$E$99*'Plan mensual'!F213+parametros_recargas!$F$99*'Plan mensual'!F214+parametros_recargas!$G$99*'Plan mensual'!F215+parametros_recargas!$H$99*'Plan mensual'!F216+parametros_recargas!$I$99*'Plan mensual'!F217+parametros_recargas!$J$99*'Plan mensual'!F218+parametros_recargas!$K$99*'Plan mensual'!F219+parametros_recargas!$L$99*'Plan mensual'!F220</f>
        <v>1408.80496365031</v>
      </c>
      <c r="E221" s="25" t="n">
        <f aca="false">parametros_recargas!$E$99*'Plan mensual'!G213+parametros_recargas!$F$99*'Plan mensual'!G214+parametros_recargas!$G$99*'Plan mensual'!G215+parametros_recargas!$H$99*'Plan mensual'!G216+parametros_recargas!$I$99*'Plan mensual'!G217+parametros_recargas!$J$99*'Plan mensual'!G218+parametros_recargas!$K$99*'Plan mensual'!G219+parametros_recargas!$L$99*'Plan mensual'!G220</f>
        <v>1422.86530764001</v>
      </c>
      <c r="F221" s="25" t="n">
        <f aca="false">parametros_recargas!$E$99*'Plan mensual'!H213+parametros_recargas!$F$99*'Plan mensual'!H214+parametros_recargas!$G$99*'Plan mensual'!H215+parametros_recargas!$H$99*'Plan mensual'!H216+parametros_recargas!$I$99*'Plan mensual'!H217+parametros_recargas!$J$99*'Plan mensual'!H218+parametros_recargas!$K$99*'Plan mensual'!H219+parametros_recargas!$L$99*'Plan mensual'!H220</f>
        <v>1437.07673882985</v>
      </c>
      <c r="G221" s="25" t="n">
        <f aca="false">parametros_recargas!$E$99*'Plan mensual'!I213+parametros_recargas!$F$99*'Plan mensual'!I214+parametros_recargas!$G$99*'Plan mensual'!I215+parametros_recargas!$H$99*'Plan mensual'!I216+parametros_recargas!$I$99*'Plan mensual'!I217+parametros_recargas!$J$99*'Plan mensual'!I218+parametros_recargas!$K$99*'Plan mensual'!I219+parametros_recargas!$L$99*'Plan mensual'!I220</f>
        <v>1451.44088074639</v>
      </c>
      <c r="H221" s="25" t="n">
        <f aca="false">parametros_recargas!$E$99*'Plan mensual'!J213+parametros_recargas!$F$99*'Plan mensual'!J214+parametros_recargas!$G$99*'Plan mensual'!J215+parametros_recargas!$H$99*'Plan mensual'!J216+parametros_recargas!$I$99*'Plan mensual'!J217+parametros_recargas!$J$99*'Plan mensual'!J218+parametros_recargas!$K$99*'Plan mensual'!J219+parametros_recargas!$L$99*'Plan mensual'!J220</f>
        <v>1465.95937436201</v>
      </c>
      <c r="I221" s="25" t="n">
        <f aca="false">parametros_recargas!$E$99*'Plan mensual'!K213+parametros_recargas!$F$99*'Plan mensual'!K214+parametros_recargas!$G$99*'Plan mensual'!K215+parametros_recargas!$H$99*'Plan mensual'!K216+parametros_recargas!$I$99*'Plan mensual'!K217+parametros_recargas!$J$99*'Plan mensual'!K218+parametros_recargas!$K$99*'Plan mensual'!K219+parametros_recargas!$L$99*'Plan mensual'!K220</f>
        <v>1480.63387828237</v>
      </c>
      <c r="J221" s="25" t="n">
        <f aca="false">parametros_recargas!$E$99*'Plan mensual'!L213+parametros_recargas!$F$99*'Plan mensual'!L214+parametros_recargas!$G$99*'Plan mensual'!L215+parametros_recargas!$H$99*'Plan mensual'!L216+parametros_recargas!$I$99*'Plan mensual'!L217+parametros_recargas!$J$99*'Plan mensual'!L218+parametros_recargas!$K$99*'Plan mensual'!L219+parametros_recargas!$L$99*'Plan mensual'!L220</f>
        <v>1495.46606893587</v>
      </c>
      <c r="K221" s="25" t="n">
        <f aca="false">parametros_recargas!$E$99*'Plan mensual'!M213+parametros_recargas!$F$99*'Plan mensual'!M214+parametros_recargas!$G$99*'Plan mensual'!M215+parametros_recargas!$H$99*'Plan mensual'!M216+parametros_recargas!$I$99*'Plan mensual'!M217+parametros_recargas!$J$99*'Plan mensual'!M218+parametros_recargas!$K$99*'Plan mensual'!M219+parametros_recargas!$L$99*'Plan mensual'!M220</f>
        <v>1510.45764076521</v>
      </c>
      <c r="L221" s="25" t="n">
        <f aca="false">parametros_recargas!$E$99*'Plan mensual'!N213+parametros_recargas!$F$99*'Plan mensual'!N214+parametros_recargas!$G$99*'Plan mensual'!N215+parametros_recargas!$H$99*'Plan mensual'!N216+parametros_recargas!$I$99*'Plan mensual'!N217+parametros_recargas!$J$99*'Plan mensual'!N218+parametros_recargas!$K$99*'Plan mensual'!N219+parametros_recargas!$L$99*'Plan mensual'!N220</f>
        <v>1525.61030642091</v>
      </c>
      <c r="M221" s="25" t="n">
        <f aca="false">parametros_recargas!$E$99*'Plan mensual'!O213+parametros_recargas!$F$99*'Plan mensual'!O214+parametros_recargas!$G$99*'Plan mensual'!O215+parametros_recargas!$H$99*'Plan mensual'!O216+parametros_recargas!$I$99*'Plan mensual'!O217+parametros_recargas!$J$99*'Plan mensual'!O218+parametros_recargas!$K$99*'Plan mensual'!O219+parametros_recargas!$L$99*'Plan mensual'!O220</f>
        <v>1540.925796957</v>
      </c>
      <c r="N221" s="7" t="n">
        <f aca="false">SUM(B221:M221)</f>
        <v>17515.2661864676</v>
      </c>
      <c r="O221" s="26" t="n">
        <f aca="false">MAX(B221:M221)</f>
        <v>1540.925796957</v>
      </c>
      <c r="P221" s="15" t="n">
        <f aca="false">O221/parametros_recargas!$B$6</f>
        <v>10.27283864638</v>
      </c>
    </row>
    <row r="222" customFormat="false" ht="15" hidden="false" customHeight="false" outlineLevel="0" collapsed="false">
      <c r="A222" s="12" t="str">
        <f aca="false">parametros_recargas!$B$100</f>
        <v>PH de mangueras (CO₂ y rodantes)</v>
      </c>
      <c r="B222" s="25" t="n">
        <f aca="false">'Plan mensual'!D221</f>
        <v>753.815761918971</v>
      </c>
      <c r="C222" s="25" t="n">
        <f aca="false">'Plan mensual'!E221</f>
        <v>759.61283841407</v>
      </c>
      <c r="D222" s="25" t="n">
        <f aca="false">'Plan mensual'!F221</f>
        <v>765.47220812598</v>
      </c>
      <c r="E222" s="25" t="n">
        <f aca="false">'Plan mensual'!G221</f>
        <v>771.394540434323</v>
      </c>
      <c r="F222" s="25" t="n">
        <f aca="false">'Plan mensual'!H221</f>
        <v>777.38051191162</v>
      </c>
      <c r="G222" s="25" t="n">
        <f aca="false">'Plan mensual'!I221</f>
        <v>783.430806400591</v>
      </c>
      <c r="H222" s="25" t="n">
        <f aca="false">'Plan mensual'!J221</f>
        <v>789.546115092271</v>
      </c>
      <c r="I222" s="25" t="n">
        <f aca="false">'Plan mensual'!K221</f>
        <v>795.727136604978</v>
      </c>
      <c r="J222" s="25" t="n">
        <f aca="false">'Plan mensual'!L221</f>
        <v>801.97457706412</v>
      </c>
      <c r="K222" s="25" t="n">
        <f aca="false">'Plan mensual'!M221</f>
        <v>808.289150182866</v>
      </c>
      <c r="L222" s="25" t="n">
        <f aca="false">'Plan mensual'!N221</f>
        <v>814.671577343678</v>
      </c>
      <c r="M222" s="25" t="n">
        <f aca="false">'Plan mensual'!O221</f>
        <v>821.122587680726</v>
      </c>
      <c r="N222" s="7" t="n">
        <f aca="false">SUM(B222:M222)</f>
        <v>9442.43781117419</v>
      </c>
      <c r="O222" s="26" t="n">
        <f aca="false">MAX(B222:M222)</f>
        <v>821.122587680726</v>
      </c>
      <c r="P222" s="15" t="n">
        <f aca="false">O222/parametros_recargas!$B$6</f>
        <v>5.47415058453817</v>
      </c>
    </row>
    <row r="225" customFormat="false" ht="23.85" hidden="false" customHeight="false" outlineLevel="0" collapsed="false">
      <c r="A225" s="3" t="s">
        <v>286</v>
      </c>
      <c r="B225" s="3" t="s">
        <v>124</v>
      </c>
      <c r="C225" s="3" t="s">
        <v>125</v>
      </c>
      <c r="D225" s="3" t="s">
        <v>126</v>
      </c>
      <c r="E225" s="3" t="s">
        <v>127</v>
      </c>
      <c r="F225" s="3" t="s">
        <v>128</v>
      </c>
      <c r="G225" s="3" t="s">
        <v>129</v>
      </c>
      <c r="H225" s="3" t="s">
        <v>130</v>
      </c>
      <c r="I225" s="3" t="s">
        <v>131</v>
      </c>
      <c r="J225" s="3" t="s">
        <v>132</v>
      </c>
      <c r="K225" s="3" t="s">
        <v>133</v>
      </c>
      <c r="L225" s="3" t="s">
        <v>134</v>
      </c>
      <c r="M225" s="3" t="s">
        <v>135</v>
      </c>
      <c r="N225" s="3" t="s">
        <v>277</v>
      </c>
      <c r="O225" s="3" t="s">
        <v>278</v>
      </c>
      <c r="P225" s="3" t="s">
        <v>279</v>
      </c>
    </row>
    <row r="226" customFormat="false" ht="15" hidden="false" customHeight="false" outlineLevel="0" collapsed="false">
      <c r="A226" s="12" t="str">
        <f aca="false">parametros_recargas!$B$72</f>
        <v>Recepción y registro</v>
      </c>
      <c r="B226" s="25" t="n">
        <f aca="false">parametros_recargas!$E$72*'Plan mensual'!D245+parametros_recargas!$F$72*'Plan mensual'!D246+parametros_recargas!$G$72*'Plan mensual'!D247+parametros_recargas!$H$72*'Plan mensual'!D248+parametros_recargas!$I$72*'Plan mensual'!D249+parametros_recargas!$J$72*'Plan mensual'!D250+parametros_recargas!$K$72*'Plan mensual'!D251+parametros_recargas!$L$72*'Plan mensual'!D252</f>
        <v>21019.6811881213</v>
      </c>
      <c r="C226" s="25" t="n">
        <f aca="false">parametros_recargas!$E$72*'Plan mensual'!E245+parametros_recargas!$F$72*'Plan mensual'!E246+parametros_recargas!$G$72*'Plan mensual'!E247+parametros_recargas!$H$72*'Plan mensual'!E248+parametros_recargas!$I$72*'Plan mensual'!E249+parametros_recargas!$J$72*'Plan mensual'!E250+parametros_recargas!$K$72*'Plan mensual'!E251+parametros_recargas!$L$72*'Plan mensual'!E252</f>
        <v>21135.3860117937</v>
      </c>
      <c r="D226" s="25" t="n">
        <f aca="false">parametros_recargas!$E$72*'Plan mensual'!F245+parametros_recargas!$F$72*'Plan mensual'!F246+parametros_recargas!$G$72*'Plan mensual'!F247+parametros_recargas!$H$72*'Plan mensual'!F248+parametros_recargas!$I$72*'Plan mensual'!F249+parametros_recargas!$J$72*'Plan mensual'!F250+parametros_recargas!$K$72*'Plan mensual'!F251+parametros_recargas!$L$72*'Plan mensual'!F252</f>
        <v>21251.7957302123</v>
      </c>
      <c r="E226" s="25" t="n">
        <f aca="false">parametros_recargas!$E$72*'Plan mensual'!G245+parametros_recargas!$F$72*'Plan mensual'!G246+parametros_recargas!$G$72*'Plan mensual'!G247+parametros_recargas!$H$72*'Plan mensual'!G248+parametros_recargas!$I$72*'Plan mensual'!G249+parametros_recargas!$J$72*'Plan mensual'!G250+parametros_recargas!$K$72*'Plan mensual'!G251+parametros_recargas!$L$72*'Plan mensual'!G252</f>
        <v>21368.9146377235</v>
      </c>
      <c r="F226" s="25" t="n">
        <f aca="false">parametros_recargas!$E$72*'Plan mensual'!H245+parametros_recargas!$F$72*'Plan mensual'!H246+parametros_recargas!$G$72*'Plan mensual'!H247+parametros_recargas!$H$72*'Plan mensual'!H248+parametros_recargas!$I$72*'Plan mensual'!H249+parametros_recargas!$J$72*'Plan mensual'!H250+parametros_recargas!$K$72*'Plan mensual'!H251+parametros_recargas!$L$72*'Plan mensual'!H252</f>
        <v>21486.7470548359</v>
      </c>
      <c r="G226" s="25" t="n">
        <f aca="false">parametros_recargas!$E$72*'Plan mensual'!I245+parametros_recargas!$F$72*'Plan mensual'!I246+parametros_recargas!$G$72*'Plan mensual'!I247+parametros_recargas!$H$72*'Plan mensual'!I248+parametros_recargas!$I$72*'Plan mensual'!I249+parametros_recargas!$J$72*'Plan mensual'!I250+parametros_recargas!$K$72*'Plan mensual'!I251+parametros_recargas!$L$72*'Plan mensual'!I252</f>
        <v>21605.2973283792</v>
      </c>
      <c r="H226" s="25" t="n">
        <f aca="false">parametros_recargas!$E$72*'Plan mensual'!J245+parametros_recargas!$F$72*'Plan mensual'!J246+parametros_recargas!$G$72*'Plan mensual'!J247+parametros_recargas!$H$72*'Plan mensual'!J248+parametros_recargas!$I$72*'Plan mensual'!J249+parametros_recargas!$J$72*'Plan mensual'!J250+parametros_recargas!$K$72*'Plan mensual'!J251+parametros_recargas!$L$72*'Plan mensual'!J252</f>
        <v>21724.5698316648</v>
      </c>
      <c r="I226" s="25" t="n">
        <f aca="false">parametros_recargas!$E$72*'Plan mensual'!K245+parametros_recargas!$F$72*'Plan mensual'!K246+parametros_recargas!$G$72*'Plan mensual'!K247+parametros_recargas!$H$72*'Plan mensual'!K248+parametros_recargas!$I$72*'Plan mensual'!K249+parametros_recargas!$J$72*'Plan mensual'!K250+parametros_recargas!$K$72*'Plan mensual'!K251+parametros_recargas!$L$72*'Plan mensual'!K252</f>
        <v>21844.568964647</v>
      </c>
      <c r="J226" s="25" t="n">
        <f aca="false">parametros_recargas!$E$72*'Plan mensual'!L245+parametros_recargas!$F$72*'Plan mensual'!L246+parametros_recargas!$G$72*'Plan mensual'!L247+parametros_recargas!$H$72*'Plan mensual'!L248+parametros_recargas!$I$72*'Plan mensual'!L249+parametros_recargas!$J$72*'Plan mensual'!L250+parametros_recargas!$K$72*'Plan mensual'!L251+parametros_recargas!$L$72*'Plan mensual'!L252</f>
        <v>21965.2991540858</v>
      </c>
      <c r="K226" s="25" t="n">
        <f aca="false">parametros_recargas!$E$72*'Plan mensual'!M245+parametros_recargas!$F$72*'Plan mensual'!M246+parametros_recargas!$G$72*'Plan mensual'!M247+parametros_recargas!$H$72*'Plan mensual'!M248+parametros_recargas!$I$72*'Plan mensual'!M249+parametros_recargas!$J$72*'Plan mensual'!M250+parametros_recargas!$K$72*'Plan mensual'!M251+parametros_recargas!$L$72*'Plan mensual'!M252</f>
        <v>22086.7648537093</v>
      </c>
      <c r="L226" s="25" t="n">
        <f aca="false">parametros_recargas!$E$72*'Plan mensual'!N245+parametros_recargas!$F$72*'Plan mensual'!N246+parametros_recargas!$G$72*'Plan mensual'!N247+parametros_recargas!$H$72*'Plan mensual'!N248+parametros_recargas!$I$72*'Plan mensual'!N249+parametros_recargas!$J$72*'Plan mensual'!N250+parametros_recargas!$K$72*'Plan mensual'!N251+parametros_recargas!$L$72*'Plan mensual'!N252</f>
        <v>22208.970544379</v>
      </c>
      <c r="M226" s="25" t="n">
        <f aca="false">parametros_recargas!$E$72*'Plan mensual'!O245+parametros_recargas!$F$72*'Plan mensual'!O246+parametros_recargas!$G$72*'Plan mensual'!O247+parametros_recargas!$H$72*'Plan mensual'!O248+parametros_recargas!$I$72*'Plan mensual'!O249+parametros_recargas!$J$72*'Plan mensual'!O250+parametros_recargas!$K$72*'Plan mensual'!O251+parametros_recargas!$L$72*'Plan mensual'!O252</f>
        <v>22331.9207342543</v>
      </c>
      <c r="N226" s="7" t="n">
        <f aca="false">SUM(B226:M226)</f>
        <v>260029.916033806</v>
      </c>
      <c r="O226" s="26" t="n">
        <f aca="false">MAX(B226:M226)</f>
        <v>22331.9207342543</v>
      </c>
      <c r="P226" s="15" t="n">
        <f aca="false">O226/parametros_recargas!$B$6</f>
        <v>148.879471561695</v>
      </c>
    </row>
    <row r="227" customFormat="false" ht="15" hidden="false" customHeight="false" outlineLevel="0" collapsed="false">
      <c r="A227" s="12" t="str">
        <f aca="false">parametros_recargas!$B$73</f>
        <v>Inspección visual</v>
      </c>
      <c r="B227" s="25" t="n">
        <f aca="false">parametros_recargas!$E$73*'Plan mensual'!D245+parametros_recargas!$F$73*'Plan mensual'!D246+parametros_recargas!$G$73*'Plan mensual'!D247+parametros_recargas!$H$73*'Plan mensual'!D248+parametros_recargas!$I$73*'Plan mensual'!D249+parametros_recargas!$J$73*'Plan mensual'!D250+parametros_recargas!$K$73*'Plan mensual'!D251+parametros_recargas!$L$73*'Plan mensual'!D252</f>
        <v>21019.6811881213</v>
      </c>
      <c r="C227" s="25" t="n">
        <f aca="false">parametros_recargas!$E$73*'Plan mensual'!E245+parametros_recargas!$F$73*'Plan mensual'!E246+parametros_recargas!$G$73*'Plan mensual'!E247+parametros_recargas!$H$73*'Plan mensual'!E248+parametros_recargas!$I$73*'Plan mensual'!E249+parametros_recargas!$J$73*'Plan mensual'!E250+parametros_recargas!$K$73*'Plan mensual'!E251+parametros_recargas!$L$73*'Plan mensual'!E252</f>
        <v>21135.3860117937</v>
      </c>
      <c r="D227" s="25" t="n">
        <f aca="false">parametros_recargas!$E$73*'Plan mensual'!F245+parametros_recargas!$F$73*'Plan mensual'!F246+parametros_recargas!$G$73*'Plan mensual'!F247+parametros_recargas!$H$73*'Plan mensual'!F248+parametros_recargas!$I$73*'Plan mensual'!F249+parametros_recargas!$J$73*'Plan mensual'!F250+parametros_recargas!$K$73*'Plan mensual'!F251+parametros_recargas!$L$73*'Plan mensual'!F252</f>
        <v>21251.7957302123</v>
      </c>
      <c r="E227" s="25" t="n">
        <f aca="false">parametros_recargas!$E$73*'Plan mensual'!G245+parametros_recargas!$F$73*'Plan mensual'!G246+parametros_recargas!$G$73*'Plan mensual'!G247+parametros_recargas!$H$73*'Plan mensual'!G248+parametros_recargas!$I$73*'Plan mensual'!G249+parametros_recargas!$J$73*'Plan mensual'!G250+parametros_recargas!$K$73*'Plan mensual'!G251+parametros_recargas!$L$73*'Plan mensual'!G252</f>
        <v>21368.9146377235</v>
      </c>
      <c r="F227" s="25" t="n">
        <f aca="false">parametros_recargas!$E$73*'Plan mensual'!H245+parametros_recargas!$F$73*'Plan mensual'!H246+parametros_recargas!$G$73*'Plan mensual'!H247+parametros_recargas!$H$73*'Plan mensual'!H248+parametros_recargas!$I$73*'Plan mensual'!H249+parametros_recargas!$J$73*'Plan mensual'!H250+parametros_recargas!$K$73*'Plan mensual'!H251+parametros_recargas!$L$73*'Plan mensual'!H252</f>
        <v>21486.7470548359</v>
      </c>
      <c r="G227" s="25" t="n">
        <f aca="false">parametros_recargas!$E$73*'Plan mensual'!I245+parametros_recargas!$F$73*'Plan mensual'!I246+parametros_recargas!$G$73*'Plan mensual'!I247+parametros_recargas!$H$73*'Plan mensual'!I248+parametros_recargas!$I$73*'Plan mensual'!I249+parametros_recargas!$J$73*'Plan mensual'!I250+parametros_recargas!$K$73*'Plan mensual'!I251+parametros_recargas!$L$73*'Plan mensual'!I252</f>
        <v>21605.2973283792</v>
      </c>
      <c r="H227" s="25" t="n">
        <f aca="false">parametros_recargas!$E$73*'Plan mensual'!J245+parametros_recargas!$F$73*'Plan mensual'!J246+parametros_recargas!$G$73*'Plan mensual'!J247+parametros_recargas!$H$73*'Plan mensual'!J248+parametros_recargas!$I$73*'Plan mensual'!J249+parametros_recargas!$J$73*'Plan mensual'!J250+parametros_recargas!$K$73*'Plan mensual'!J251+parametros_recargas!$L$73*'Plan mensual'!J252</f>
        <v>21724.5698316648</v>
      </c>
      <c r="I227" s="25" t="n">
        <f aca="false">parametros_recargas!$E$73*'Plan mensual'!K245+parametros_recargas!$F$73*'Plan mensual'!K246+parametros_recargas!$G$73*'Plan mensual'!K247+parametros_recargas!$H$73*'Plan mensual'!K248+parametros_recargas!$I$73*'Plan mensual'!K249+parametros_recargas!$J$73*'Plan mensual'!K250+parametros_recargas!$K$73*'Plan mensual'!K251+parametros_recargas!$L$73*'Plan mensual'!K252</f>
        <v>21844.568964647</v>
      </c>
      <c r="J227" s="25" t="n">
        <f aca="false">parametros_recargas!$E$73*'Plan mensual'!L245+parametros_recargas!$F$73*'Plan mensual'!L246+parametros_recargas!$G$73*'Plan mensual'!L247+parametros_recargas!$H$73*'Plan mensual'!L248+parametros_recargas!$I$73*'Plan mensual'!L249+parametros_recargas!$J$73*'Plan mensual'!L250+parametros_recargas!$K$73*'Plan mensual'!L251+parametros_recargas!$L$73*'Plan mensual'!L252</f>
        <v>21965.2991540858</v>
      </c>
      <c r="K227" s="25" t="n">
        <f aca="false">parametros_recargas!$E$73*'Plan mensual'!M245+parametros_recargas!$F$73*'Plan mensual'!M246+parametros_recargas!$G$73*'Plan mensual'!M247+parametros_recargas!$H$73*'Plan mensual'!M248+parametros_recargas!$I$73*'Plan mensual'!M249+parametros_recargas!$J$73*'Plan mensual'!M250+parametros_recargas!$K$73*'Plan mensual'!M251+parametros_recargas!$L$73*'Plan mensual'!M252</f>
        <v>22086.7648537093</v>
      </c>
      <c r="L227" s="25" t="n">
        <f aca="false">parametros_recargas!$E$73*'Plan mensual'!N245+parametros_recargas!$F$73*'Plan mensual'!N246+parametros_recargas!$G$73*'Plan mensual'!N247+parametros_recargas!$H$73*'Plan mensual'!N248+parametros_recargas!$I$73*'Plan mensual'!N249+parametros_recargas!$J$73*'Plan mensual'!N250+parametros_recargas!$K$73*'Plan mensual'!N251+parametros_recargas!$L$73*'Plan mensual'!N252</f>
        <v>22208.970544379</v>
      </c>
      <c r="M227" s="25" t="n">
        <f aca="false">parametros_recargas!$E$73*'Plan mensual'!O245+parametros_recargas!$F$73*'Plan mensual'!O246+parametros_recargas!$G$73*'Plan mensual'!O247+parametros_recargas!$H$73*'Plan mensual'!O248+parametros_recargas!$I$73*'Plan mensual'!O249+parametros_recargas!$J$73*'Plan mensual'!O250+parametros_recargas!$K$73*'Plan mensual'!O251+parametros_recargas!$L$73*'Plan mensual'!O252</f>
        <v>22331.9207342543</v>
      </c>
      <c r="N227" s="7" t="n">
        <f aca="false">SUM(B227:M227)</f>
        <v>260029.916033806</v>
      </c>
      <c r="O227" s="26" t="n">
        <f aca="false">MAX(B227:M227)</f>
        <v>22331.9207342543</v>
      </c>
      <c r="P227" s="15" t="n">
        <f aca="false">O227/parametros_recargas!$B$6</f>
        <v>148.879471561695</v>
      </c>
    </row>
    <row r="228" customFormat="false" ht="15" hidden="false" customHeight="false" outlineLevel="0" collapsed="false">
      <c r="A228" s="12" t="str">
        <f aca="false">parametros_recargas!$B$74</f>
        <v>Descarga ABC — ruta recuperable</v>
      </c>
      <c r="B228" s="25" t="n">
        <f aca="false">parametros_recargas!$E$74*'Plan mensual'!D245+parametros_recargas!$F$74*'Plan mensual'!D246+parametros_recargas!$G$74*'Plan mensual'!D247+parametros_recargas!$H$74*'Plan mensual'!D248+parametros_recargas!$I$74*'Plan mensual'!D249+parametros_recargas!$J$74*'Plan mensual'!D250+parametros_recargas!$K$74*'Plan mensual'!D251+parametros_recargas!$L$74*'Plan mensual'!D252</f>
        <v>15404.7388556753</v>
      </c>
      <c r="C228" s="25" t="n">
        <f aca="false">parametros_recargas!$E$74*'Plan mensual'!E245+parametros_recargas!$F$74*'Plan mensual'!E246+parametros_recargas!$G$74*'Plan mensual'!E247+parametros_recargas!$H$74*'Plan mensual'!E248+parametros_recargas!$I$74*'Plan mensual'!E249+parametros_recargas!$J$74*'Plan mensual'!E250+parametros_recargas!$K$74*'Plan mensual'!E251+parametros_recargas!$L$74*'Plan mensual'!E252</f>
        <v>15490.4935481429</v>
      </c>
      <c r="D228" s="25" t="n">
        <f aca="false">parametros_recargas!$E$74*'Plan mensual'!F245+parametros_recargas!$F$74*'Plan mensual'!F246+parametros_recargas!$G$74*'Plan mensual'!F247+parametros_recargas!$H$74*'Plan mensual'!F248+parametros_recargas!$I$74*'Plan mensual'!F249+parametros_recargas!$J$74*'Plan mensual'!F250+parametros_recargas!$K$74*'Plan mensual'!F251+parametros_recargas!$L$74*'Plan mensual'!F252</f>
        <v>15576.7706737318</v>
      </c>
      <c r="E228" s="25" t="n">
        <f aca="false">parametros_recargas!$E$74*'Plan mensual'!G245+parametros_recargas!$F$74*'Plan mensual'!G246+parametros_recargas!$G$74*'Plan mensual'!G247+parametros_recargas!$H$74*'Plan mensual'!G248+parametros_recargas!$I$74*'Plan mensual'!G249+parametros_recargas!$J$74*'Plan mensual'!G250+parametros_recargas!$K$74*'Plan mensual'!G251+parametros_recargas!$L$74*'Plan mensual'!G252</f>
        <v>15663.5734151993</v>
      </c>
      <c r="F228" s="25" t="n">
        <f aca="false">parametros_recargas!$E$74*'Plan mensual'!H245+parametros_recargas!$F$74*'Plan mensual'!H246+parametros_recargas!$G$74*'Plan mensual'!H247+parametros_recargas!$H$74*'Plan mensual'!H248+parametros_recargas!$I$74*'Plan mensual'!H249+parametros_recargas!$J$74*'Plan mensual'!H250+parametros_recargas!$K$74*'Plan mensual'!H251+parametros_recargas!$L$74*'Plan mensual'!H252</f>
        <v>15750.9049746924</v>
      </c>
      <c r="G228" s="25" t="n">
        <f aca="false">parametros_recargas!$E$74*'Plan mensual'!I245+parametros_recargas!$F$74*'Plan mensual'!I246+parametros_recargas!$G$74*'Plan mensual'!I247+parametros_recargas!$H$74*'Plan mensual'!I248+parametros_recargas!$I$74*'Plan mensual'!I249+parametros_recargas!$J$74*'Plan mensual'!I250+parametros_recargas!$K$74*'Plan mensual'!I251+parametros_recargas!$L$74*'Plan mensual'!I252</f>
        <v>15838.7685738665</v>
      </c>
      <c r="H228" s="25" t="n">
        <f aca="false">parametros_recargas!$E$74*'Plan mensual'!J245+parametros_recargas!$F$74*'Plan mensual'!J246+parametros_recargas!$G$74*'Plan mensual'!J247+parametros_recargas!$H$74*'Plan mensual'!J248+parametros_recargas!$I$74*'Plan mensual'!J249+parametros_recargas!$J$74*'Plan mensual'!J250+parametros_recargas!$K$74*'Plan mensual'!J251+parametros_recargas!$L$74*'Plan mensual'!J252</f>
        <v>15927.1674540035</v>
      </c>
      <c r="I228" s="25" t="n">
        <f aca="false">parametros_recargas!$E$74*'Plan mensual'!K245+parametros_recargas!$F$74*'Plan mensual'!K246+parametros_recargas!$G$74*'Plan mensual'!K247+parametros_recargas!$H$74*'Plan mensual'!K248+parametros_recargas!$I$74*'Plan mensual'!K249+parametros_recargas!$J$74*'Plan mensual'!K250+parametros_recargas!$K$74*'Plan mensual'!K251+parametros_recargas!$L$74*'Plan mensual'!K252</f>
        <v>16016.1048761322</v>
      </c>
      <c r="J228" s="25" t="n">
        <f aca="false">parametros_recargas!$E$74*'Plan mensual'!L245+parametros_recargas!$F$74*'Plan mensual'!L246+parametros_recargas!$G$74*'Plan mensual'!L247+parametros_recargas!$H$74*'Plan mensual'!L248+parametros_recargas!$I$74*'Plan mensual'!L249+parametros_recargas!$J$74*'Plan mensual'!L250+parametros_recargas!$K$74*'Plan mensual'!L251+parametros_recargas!$L$74*'Plan mensual'!L252</f>
        <v>16105.5841211479</v>
      </c>
      <c r="K228" s="25" t="n">
        <f aca="false">parametros_recargas!$E$74*'Plan mensual'!M245+parametros_recargas!$F$74*'Plan mensual'!M246+parametros_recargas!$G$74*'Plan mensual'!M247+parametros_recargas!$H$74*'Plan mensual'!M248+parametros_recargas!$I$74*'Plan mensual'!M249+parametros_recargas!$J$74*'Plan mensual'!M250+parametros_recargas!$K$74*'Plan mensual'!M251+parametros_recargas!$L$74*'Plan mensual'!M252</f>
        <v>16195.6084899337</v>
      </c>
      <c r="L228" s="25" t="n">
        <f aca="false">parametros_recargas!$E$74*'Plan mensual'!N245+parametros_recargas!$F$74*'Plan mensual'!N246+parametros_recargas!$G$74*'Plan mensual'!N247+parametros_recargas!$H$74*'Plan mensual'!N248+parametros_recargas!$I$74*'Plan mensual'!N249+parametros_recargas!$J$74*'Plan mensual'!N250+parametros_recargas!$K$74*'Plan mensual'!N251+parametros_recargas!$L$74*'Plan mensual'!N252</f>
        <v>16286.1813034824</v>
      </c>
      <c r="M228" s="25" t="n">
        <f aca="false">parametros_recargas!$E$74*'Plan mensual'!O245+parametros_recargas!$F$74*'Plan mensual'!O246+parametros_recargas!$G$74*'Plan mensual'!O247+parametros_recargas!$H$74*'Plan mensual'!O248+parametros_recargas!$I$74*'Plan mensual'!O249+parametros_recargas!$J$74*'Plan mensual'!O250+parametros_recargas!$K$74*'Plan mensual'!O251+parametros_recargas!$L$74*'Plan mensual'!O252</f>
        <v>16377.3059030189</v>
      </c>
      <c r="N228" s="7" t="n">
        <f aca="false">SUM(B228:M228)</f>
        <v>190633.202189027</v>
      </c>
      <c r="O228" s="26" t="n">
        <f aca="false">MAX(B228:M228)</f>
        <v>16377.3059030189</v>
      </c>
      <c r="P228" s="15" t="n">
        <f aca="false">O228/parametros_recargas!$B$6</f>
        <v>109.182039353459</v>
      </c>
    </row>
    <row r="229" customFormat="false" ht="15" hidden="false" customHeight="false" outlineLevel="0" collapsed="false">
      <c r="A229" s="12" t="str">
        <f aca="false">parametros_recargas!$B$75</f>
        <v>Descarga ABC — ruta descarte</v>
      </c>
      <c r="B229" s="25" t="n">
        <f aca="false">parametros_recargas!$E$75*'Plan mensual'!D245+parametros_recargas!$F$75*'Plan mensual'!D246+parametros_recargas!$G$75*'Plan mensual'!D247+parametros_recargas!$H$75*'Plan mensual'!D248+parametros_recargas!$I$75*'Plan mensual'!D249+parametros_recargas!$J$75*'Plan mensual'!D250+parametros_recargas!$K$75*'Plan mensual'!D251+parametros_recargas!$L$75*'Plan mensual'!D252</f>
        <v>1812.32221831474</v>
      </c>
      <c r="C229" s="25" t="n">
        <f aca="false">parametros_recargas!$E$75*'Plan mensual'!E245+parametros_recargas!$F$75*'Plan mensual'!E246+parametros_recargas!$G$75*'Plan mensual'!E247+parametros_recargas!$H$75*'Plan mensual'!E248+parametros_recargas!$I$75*'Plan mensual'!E249+parametros_recargas!$J$75*'Plan mensual'!E250+parametros_recargas!$K$75*'Plan mensual'!E251+parametros_recargas!$L$75*'Plan mensual'!E252</f>
        <v>1822.41100566387</v>
      </c>
      <c r="D229" s="25" t="n">
        <f aca="false">parametros_recargas!$E$75*'Plan mensual'!F245+parametros_recargas!$F$75*'Plan mensual'!F246+parametros_recargas!$G$75*'Plan mensual'!F247+parametros_recargas!$H$75*'Plan mensual'!F248+parametros_recargas!$I$75*'Plan mensual'!F249+parametros_recargas!$J$75*'Plan mensual'!F250+parametros_recargas!$K$75*'Plan mensual'!F251+parametros_recargas!$L$75*'Plan mensual'!F252</f>
        <v>1832.56125573316</v>
      </c>
      <c r="E229" s="25" t="n">
        <f aca="false">parametros_recargas!$E$75*'Plan mensual'!G245+parametros_recargas!$F$75*'Plan mensual'!G246+parametros_recargas!$G$75*'Plan mensual'!G247+parametros_recargas!$H$75*'Plan mensual'!G248+parametros_recargas!$I$75*'Plan mensual'!G249+parametros_recargas!$J$75*'Plan mensual'!G250+parametros_recargas!$K$75*'Plan mensual'!G251+parametros_recargas!$L$75*'Plan mensual'!G252</f>
        <v>1842.77334296462</v>
      </c>
      <c r="F229" s="25" t="n">
        <f aca="false">parametros_recargas!$E$75*'Plan mensual'!H245+parametros_recargas!$F$75*'Plan mensual'!H246+parametros_recargas!$G$75*'Plan mensual'!H247+parametros_recargas!$H$75*'Plan mensual'!H248+parametros_recargas!$I$75*'Plan mensual'!H249+parametros_recargas!$J$75*'Plan mensual'!H250+parametros_recargas!$K$75*'Plan mensual'!H251+parametros_recargas!$L$75*'Plan mensual'!H252</f>
        <v>1853.04764408146</v>
      </c>
      <c r="G229" s="25" t="n">
        <f aca="false">parametros_recargas!$E$75*'Plan mensual'!I245+parametros_recargas!$F$75*'Plan mensual'!I246+parametros_recargas!$G$75*'Plan mensual'!I247+parametros_recargas!$H$75*'Plan mensual'!I248+parametros_recargas!$I$75*'Plan mensual'!I249+parametros_recargas!$J$75*'Plan mensual'!I250+parametros_recargas!$K$75*'Plan mensual'!I251+parametros_recargas!$L$75*'Plan mensual'!I252</f>
        <v>1863.38453810194</v>
      </c>
      <c r="H229" s="25" t="n">
        <f aca="false">parametros_recargas!$E$75*'Plan mensual'!J245+parametros_recargas!$F$75*'Plan mensual'!J246+parametros_recargas!$G$75*'Plan mensual'!J247+parametros_recargas!$H$75*'Plan mensual'!J248+parametros_recargas!$I$75*'Plan mensual'!J249+parametros_recargas!$J$75*'Plan mensual'!J250+parametros_recargas!$K$75*'Plan mensual'!J251+parametros_recargas!$L$75*'Plan mensual'!J252</f>
        <v>1873.78440635336</v>
      </c>
      <c r="I229" s="25" t="n">
        <f aca="false">parametros_recargas!$E$75*'Plan mensual'!K245+parametros_recargas!$F$75*'Plan mensual'!K246+parametros_recargas!$G$75*'Plan mensual'!K247+parametros_recargas!$H$75*'Plan mensual'!K248+parametros_recargas!$I$75*'Plan mensual'!K249+parametros_recargas!$J$75*'Plan mensual'!K250+parametros_recargas!$K$75*'Plan mensual'!K251+parametros_recargas!$L$75*'Plan mensual'!K252</f>
        <v>1884.24763248614</v>
      </c>
      <c r="J229" s="25" t="n">
        <f aca="false">parametros_recargas!$E$75*'Plan mensual'!L245+parametros_recargas!$F$75*'Plan mensual'!L246+parametros_recargas!$G$75*'Plan mensual'!L247+parametros_recargas!$H$75*'Plan mensual'!L248+parametros_recargas!$I$75*'Plan mensual'!L249+parametros_recargas!$J$75*'Plan mensual'!L250+parametros_recargas!$K$75*'Plan mensual'!L251+parametros_recargas!$L$75*'Plan mensual'!L252</f>
        <v>1894.77460248798</v>
      </c>
      <c r="K229" s="25" t="n">
        <f aca="false">parametros_recargas!$E$75*'Plan mensual'!M245+parametros_recargas!$F$75*'Plan mensual'!M246+parametros_recargas!$G$75*'Plan mensual'!M247+parametros_recargas!$H$75*'Plan mensual'!M248+parametros_recargas!$I$75*'Plan mensual'!M249+parametros_recargas!$J$75*'Plan mensual'!M250+parametros_recargas!$K$75*'Plan mensual'!M251+parametros_recargas!$L$75*'Plan mensual'!M252</f>
        <v>1905.36570469808</v>
      </c>
      <c r="L229" s="25" t="n">
        <f aca="false">parametros_recargas!$E$75*'Plan mensual'!N245+parametros_recargas!$F$75*'Plan mensual'!N246+parametros_recargas!$G$75*'Plan mensual'!N247+parametros_recargas!$H$75*'Plan mensual'!N248+parametros_recargas!$I$75*'Plan mensual'!N249+parametros_recargas!$J$75*'Plan mensual'!N250+parametros_recargas!$K$75*'Plan mensual'!N251+parametros_recargas!$L$75*'Plan mensual'!N252</f>
        <v>1916.02132982146</v>
      </c>
      <c r="M229" s="25" t="n">
        <f aca="false">parametros_recargas!$E$75*'Plan mensual'!O245+parametros_recargas!$F$75*'Plan mensual'!O246+parametros_recargas!$G$75*'Plan mensual'!O247+parametros_recargas!$H$75*'Plan mensual'!O248+parametros_recargas!$I$75*'Plan mensual'!O249+parametros_recargas!$J$75*'Plan mensual'!O250+parametros_recargas!$K$75*'Plan mensual'!O251+parametros_recargas!$L$75*'Plan mensual'!O252</f>
        <v>1926.7418709434</v>
      </c>
      <c r="N229" s="7" t="n">
        <f aca="false">SUM(B229:M229)</f>
        <v>22427.4355516502</v>
      </c>
      <c r="O229" s="26" t="n">
        <f aca="false">MAX(B229:M229)</f>
        <v>1926.7418709434</v>
      </c>
      <c r="P229" s="15" t="n">
        <f aca="false">O229/parametros_recargas!$B$6</f>
        <v>12.8449458062894</v>
      </c>
    </row>
    <row r="230" customFormat="false" ht="15" hidden="false" customHeight="false" outlineLevel="0" collapsed="false">
      <c r="A230" s="12" t="str">
        <f aca="false">parametros_recargas!$B$76</f>
        <v>Descarga BC</v>
      </c>
      <c r="B230" s="25" t="n">
        <f aca="false">parametros_recargas!$E$76*'Plan mensual'!D245+parametros_recargas!$F$76*'Plan mensual'!D246+parametros_recargas!$G$76*'Plan mensual'!D247+parametros_recargas!$H$76*'Plan mensual'!D248+parametros_recargas!$I$76*'Plan mensual'!D249+parametros_recargas!$J$76*'Plan mensual'!D250+parametros_recargas!$K$76*'Plan mensual'!D251+parametros_recargas!$L$76*'Plan mensual'!D252</f>
        <v>28.923215107637</v>
      </c>
      <c r="C230" s="25" t="n">
        <f aca="false">parametros_recargas!$E$76*'Plan mensual'!E245+parametros_recargas!$F$76*'Plan mensual'!E246+parametros_recargas!$G$76*'Plan mensual'!E247+parametros_recargas!$H$76*'Plan mensual'!E248+parametros_recargas!$I$76*'Plan mensual'!E249+parametros_recargas!$J$76*'Plan mensual'!E250+parametros_recargas!$K$76*'Plan mensual'!E251+parametros_recargas!$L$76*'Plan mensual'!E252</f>
        <v>29.0659135772833</v>
      </c>
      <c r="D230" s="25" t="n">
        <f aca="false">parametros_recargas!$E$76*'Plan mensual'!F245+parametros_recargas!$F$76*'Plan mensual'!F246+parametros_recargas!$G$76*'Plan mensual'!F247+parametros_recargas!$H$76*'Plan mensual'!F248+parametros_recargas!$I$76*'Plan mensual'!F249+parametros_recargas!$J$76*'Plan mensual'!F250+parametros_recargas!$K$76*'Plan mensual'!F251+parametros_recargas!$L$76*'Plan mensual'!F252</f>
        <v>29.2094813918572</v>
      </c>
      <c r="E230" s="25" t="n">
        <f aca="false">parametros_recargas!$E$76*'Plan mensual'!G245+parametros_recargas!$F$76*'Plan mensual'!G246+parametros_recargas!$G$76*'Plan mensual'!G247+parametros_recargas!$H$76*'Plan mensual'!G248+parametros_recargas!$I$76*'Plan mensual'!G249+parametros_recargas!$J$76*'Plan mensual'!G250+parametros_recargas!$K$76*'Plan mensual'!G251+parametros_recargas!$L$76*'Plan mensual'!G252</f>
        <v>29.3539238475653</v>
      </c>
      <c r="F230" s="25" t="n">
        <f aca="false">parametros_recargas!$E$76*'Plan mensual'!H245+parametros_recargas!$F$76*'Plan mensual'!H246+parametros_recargas!$G$76*'Plan mensual'!H247+parametros_recargas!$H$76*'Plan mensual'!H248+parametros_recargas!$I$76*'Plan mensual'!H249+parametros_recargas!$J$76*'Plan mensual'!H250+parametros_recargas!$K$76*'Plan mensual'!H251+parametros_recargas!$L$76*'Plan mensual'!H252</f>
        <v>29.4992462728799</v>
      </c>
      <c r="G230" s="25" t="n">
        <f aca="false">parametros_recargas!$E$76*'Plan mensual'!I245+parametros_recargas!$F$76*'Plan mensual'!I246+parametros_recargas!$G$76*'Plan mensual'!I247+parametros_recargas!$H$76*'Plan mensual'!I248+parametros_recargas!$I$76*'Plan mensual'!I249+parametros_recargas!$J$76*'Plan mensual'!I250+parametros_recargas!$K$76*'Plan mensual'!I251+parametros_recargas!$L$76*'Plan mensual'!I252</f>
        <v>29.6454540287352</v>
      </c>
      <c r="H230" s="25" t="n">
        <f aca="false">parametros_recargas!$E$76*'Plan mensual'!J245+parametros_recargas!$F$76*'Plan mensual'!J246+parametros_recargas!$G$76*'Plan mensual'!J247+parametros_recargas!$H$76*'Plan mensual'!J248+parametros_recargas!$I$76*'Plan mensual'!J249+parametros_recargas!$J$76*'Plan mensual'!J250+parametros_recargas!$K$76*'Plan mensual'!J251+parametros_recargas!$L$76*'Plan mensual'!J252</f>
        <v>29.7925525087254</v>
      </c>
      <c r="I230" s="25" t="n">
        <f aca="false">parametros_recargas!$E$76*'Plan mensual'!K245+parametros_recargas!$F$76*'Plan mensual'!K246+parametros_recargas!$G$76*'Plan mensual'!K247+parametros_recargas!$H$76*'Plan mensual'!K248+parametros_recargas!$I$76*'Plan mensual'!K249+parametros_recargas!$J$76*'Plan mensual'!K250+parametros_recargas!$K$76*'Plan mensual'!K251+parametros_recargas!$L$76*'Plan mensual'!K252</f>
        <v>29.9405471393032</v>
      </c>
      <c r="J230" s="25" t="n">
        <f aca="false">parametros_recargas!$E$76*'Plan mensual'!L245+parametros_recargas!$F$76*'Plan mensual'!L246+parametros_recargas!$G$76*'Plan mensual'!L247+parametros_recargas!$H$76*'Plan mensual'!L248+parametros_recargas!$I$76*'Plan mensual'!L249+parametros_recargas!$J$76*'Plan mensual'!L250+parametros_recargas!$K$76*'Plan mensual'!L251+parametros_recargas!$L$76*'Plan mensual'!L252</f>
        <v>30.0894433799803</v>
      </c>
      <c r="K230" s="25" t="n">
        <f aca="false">parametros_recargas!$E$76*'Plan mensual'!M245+parametros_recargas!$F$76*'Plan mensual'!M246+parametros_recargas!$G$76*'Plan mensual'!M247+parametros_recargas!$H$76*'Plan mensual'!M248+parametros_recargas!$I$76*'Plan mensual'!M249+parametros_recargas!$J$76*'Plan mensual'!M250+parametros_recargas!$K$76*'Plan mensual'!M251+parametros_recargas!$L$76*'Plan mensual'!M252</f>
        <v>30.2392467235287</v>
      </c>
      <c r="L230" s="25" t="n">
        <f aca="false">parametros_recargas!$E$76*'Plan mensual'!N245+parametros_recargas!$F$76*'Plan mensual'!N246+parametros_recargas!$G$76*'Plan mensual'!N247+parametros_recargas!$H$76*'Plan mensual'!N248+parametros_recargas!$I$76*'Plan mensual'!N249+parametros_recargas!$J$76*'Plan mensual'!N250+parametros_recargas!$K$76*'Plan mensual'!N251+parametros_recargas!$L$76*'Plan mensual'!N252</f>
        <v>30.3899626961835</v>
      </c>
      <c r="M230" s="25" t="n">
        <f aca="false">parametros_recargas!$E$76*'Plan mensual'!O245+parametros_recargas!$F$76*'Plan mensual'!O246+parametros_recargas!$G$76*'Plan mensual'!O247+parametros_recargas!$H$76*'Plan mensual'!O248+parametros_recargas!$I$76*'Plan mensual'!O249+parametros_recargas!$J$76*'Plan mensual'!O250+parametros_recargas!$K$76*'Plan mensual'!O251+parametros_recargas!$L$76*'Plan mensual'!O252</f>
        <v>30.5415968578466</v>
      </c>
      <c r="N230" s="7" t="n">
        <f aca="false">SUM(B230:M230)</f>
        <v>356.690583531526</v>
      </c>
      <c r="O230" s="26" t="n">
        <f aca="false">MAX(B230:M230)</f>
        <v>30.5415968578466</v>
      </c>
      <c r="P230" s="15" t="n">
        <f aca="false">O230/parametros_recargas!$B$6</f>
        <v>0.203610645718977</v>
      </c>
    </row>
    <row r="231" customFormat="false" ht="15" hidden="false" customHeight="false" outlineLevel="0" collapsed="false">
      <c r="A231" s="12" t="str">
        <f aca="false">parametros_recargas!$B$77</f>
        <v>Descarga de agua / AFFF / sales K</v>
      </c>
      <c r="B231" s="25" t="n">
        <f aca="false">parametros_recargas!$E$77*'Plan mensual'!D245+parametros_recargas!$F$77*'Plan mensual'!D246+parametros_recargas!$G$77*'Plan mensual'!D247+parametros_recargas!$H$77*'Plan mensual'!D248+parametros_recargas!$I$77*'Plan mensual'!D249+parametros_recargas!$J$77*'Plan mensual'!D250+parametros_recargas!$K$77*'Plan mensual'!D251+parametros_recargas!$L$77*'Plan mensual'!D252</f>
        <v>977.893904237795</v>
      </c>
      <c r="C231" s="25" t="n">
        <f aca="false">parametros_recargas!$E$77*'Plan mensual'!E245+parametros_recargas!$F$77*'Plan mensual'!E246+parametros_recargas!$G$77*'Plan mensual'!E247+parametros_recargas!$H$77*'Plan mensual'!E248+parametros_recargas!$I$77*'Plan mensual'!E249+parametros_recargas!$J$77*'Plan mensual'!E250+parametros_recargas!$K$77*'Plan mensual'!E251+parametros_recargas!$L$77*'Plan mensual'!E252</f>
        <v>982.902046155358</v>
      </c>
      <c r="D231" s="25" t="n">
        <f aca="false">parametros_recargas!$E$77*'Plan mensual'!F245+parametros_recargas!$F$77*'Plan mensual'!F246+parametros_recargas!$G$77*'Plan mensual'!F247+parametros_recargas!$H$77*'Plan mensual'!F248+parametros_recargas!$I$77*'Plan mensual'!F249+parametros_recargas!$J$77*'Plan mensual'!F250+parametros_recargas!$K$77*'Plan mensual'!F251+parametros_recargas!$L$77*'Plan mensual'!F252</f>
        <v>987.940698580728</v>
      </c>
      <c r="E231" s="25" t="n">
        <f aca="false">parametros_recargas!$E$77*'Plan mensual'!G245+parametros_recargas!$F$77*'Plan mensual'!G246+parametros_recargas!$G$77*'Plan mensual'!G247+parametros_recargas!$H$77*'Plan mensual'!G248+parametros_recargas!$I$77*'Plan mensual'!G249+parametros_recargas!$J$77*'Plan mensual'!G250+parametros_recargas!$K$77*'Plan mensual'!G251+parametros_recargas!$L$77*'Plan mensual'!G252</f>
        <v>993.010047389446</v>
      </c>
      <c r="F231" s="25" t="n">
        <f aca="false">parametros_recargas!$E$77*'Plan mensual'!H245+parametros_recargas!$F$77*'Plan mensual'!H246+parametros_recargas!$G$77*'Plan mensual'!H247+parametros_recargas!$H$77*'Plan mensual'!H248+parametros_recargas!$I$77*'Plan mensual'!H249+parametros_recargas!$J$77*'Plan mensual'!H250+parametros_recargas!$K$77*'Plan mensual'!H251+parametros_recargas!$L$77*'Plan mensual'!H252</f>
        <v>998.11027958944</v>
      </c>
      <c r="G231" s="25" t="n">
        <f aca="false">parametros_recargas!$E$77*'Plan mensual'!I245+parametros_recargas!$F$77*'Plan mensual'!I246+parametros_recargas!$G$77*'Plan mensual'!I247+parametros_recargas!$H$77*'Plan mensual'!I248+parametros_recargas!$I$77*'Plan mensual'!I249+parametros_recargas!$J$77*'Plan mensual'!I250+parametros_recargas!$K$77*'Plan mensual'!I251+parametros_recargas!$L$77*'Plan mensual'!I252</f>
        <v>1003.24158332792</v>
      </c>
      <c r="H231" s="25" t="n">
        <f aca="false">parametros_recargas!$E$77*'Plan mensual'!J245+parametros_recargas!$F$77*'Plan mensual'!J246+parametros_recargas!$G$77*'Plan mensual'!J247+parametros_recargas!$H$77*'Plan mensual'!J248+parametros_recargas!$I$77*'Plan mensual'!J249+parametros_recargas!$J$77*'Plan mensual'!J250+parametros_recargas!$K$77*'Plan mensual'!J251+parametros_recargas!$L$77*'Plan mensual'!J252</f>
        <v>1008.40414789834</v>
      </c>
      <c r="I231" s="25" t="n">
        <f aca="false">parametros_recargas!$E$77*'Plan mensual'!K245+parametros_recargas!$F$77*'Plan mensual'!K246+parametros_recargas!$G$77*'Plan mensual'!K247+parametros_recargas!$H$77*'Plan mensual'!K248+parametros_recargas!$I$77*'Plan mensual'!K249+parametros_recargas!$J$77*'Plan mensual'!K250+parametros_recargas!$K$77*'Plan mensual'!K251+parametros_recargas!$L$77*'Plan mensual'!K252</f>
        <v>1013.59816374734</v>
      </c>
      <c r="J231" s="25" t="n">
        <f aca="false">parametros_recargas!$E$77*'Plan mensual'!L245+parametros_recargas!$F$77*'Plan mensual'!L246+parametros_recargas!$G$77*'Plan mensual'!L247+parametros_recargas!$H$77*'Plan mensual'!L248+parametros_recargas!$I$77*'Plan mensual'!L249+parametros_recargas!$J$77*'Plan mensual'!L250+parametros_recargas!$K$77*'Plan mensual'!L251+parametros_recargas!$L$77*'Plan mensual'!L252</f>
        <v>1018.8238224818</v>
      </c>
      <c r="K231" s="25" t="n">
        <f aca="false">parametros_recargas!$E$77*'Plan mensual'!M245+parametros_recargas!$F$77*'Plan mensual'!M246+parametros_recargas!$G$77*'Plan mensual'!M247+parametros_recargas!$H$77*'Plan mensual'!M248+parametros_recargas!$I$77*'Plan mensual'!M249+parametros_recargas!$J$77*'Plan mensual'!M250+parametros_recargas!$K$77*'Plan mensual'!M251+parametros_recargas!$L$77*'Plan mensual'!M252</f>
        <v>1024.08131687593</v>
      </c>
      <c r="L231" s="25" t="n">
        <f aca="false">parametros_recargas!$E$77*'Plan mensual'!N245+parametros_recargas!$F$77*'Plan mensual'!N246+parametros_recargas!$G$77*'Plan mensual'!N247+parametros_recargas!$H$77*'Plan mensual'!N248+parametros_recargas!$I$77*'Plan mensual'!N249+parametros_recargas!$J$77*'Plan mensual'!N250+parametros_recargas!$K$77*'Plan mensual'!N251+parametros_recargas!$L$77*'Plan mensual'!N252</f>
        <v>1029.37084087832</v>
      </c>
      <c r="M231" s="25" t="n">
        <f aca="false">parametros_recargas!$E$77*'Plan mensual'!O245+parametros_recargas!$F$77*'Plan mensual'!O246+parametros_recargas!$G$77*'Plan mensual'!O247+parametros_recargas!$H$77*'Plan mensual'!O248+parametros_recargas!$I$77*'Plan mensual'!O249+parametros_recargas!$J$77*'Plan mensual'!O250+parametros_recargas!$K$77*'Plan mensual'!O251+parametros_recargas!$L$77*'Plan mensual'!O252</f>
        <v>1034.69258961916</v>
      </c>
      <c r="N231" s="7" t="n">
        <f aca="false">SUM(B231:M231)</f>
        <v>12072.0694407816</v>
      </c>
      <c r="O231" s="26" t="n">
        <f aca="false">MAX(B231:M231)</f>
        <v>1034.69258961916</v>
      </c>
      <c r="P231" s="15" t="n">
        <f aca="false">O231/parametros_recargas!$B$6</f>
        <v>6.89795059746105</v>
      </c>
    </row>
    <row r="232" customFormat="false" ht="15" hidden="false" customHeight="false" outlineLevel="0" collapsed="false">
      <c r="A232" s="12" t="str">
        <f aca="false">parametros_recargas!$B$78</f>
        <v>Recuperación de CO₂</v>
      </c>
      <c r="B232" s="25" t="n">
        <f aca="false">parametros_recargas!$E$78*'Plan mensual'!D245+parametros_recargas!$F$78*'Plan mensual'!D246+parametros_recargas!$G$78*'Plan mensual'!D247+parametros_recargas!$H$78*'Plan mensual'!D248+parametros_recargas!$I$78*'Plan mensual'!D249+parametros_recargas!$J$78*'Plan mensual'!D250+parametros_recargas!$K$78*'Plan mensual'!D251+parametros_recargas!$L$78*'Plan mensual'!D252</f>
        <v>447.671748513866</v>
      </c>
      <c r="C232" s="25" t="n">
        <f aca="false">parametros_recargas!$E$78*'Plan mensual'!E245+parametros_recargas!$F$78*'Plan mensual'!E246+parametros_recargas!$G$78*'Plan mensual'!E247+parametros_recargas!$H$78*'Plan mensual'!E248+parametros_recargas!$I$78*'Plan mensual'!E249+parametros_recargas!$J$78*'Plan mensual'!E250+parametros_recargas!$K$78*'Plan mensual'!E251+parametros_recargas!$L$78*'Plan mensual'!E252</f>
        <v>449.962566507769</v>
      </c>
      <c r="D232" s="25" t="n">
        <f aca="false">parametros_recargas!$E$78*'Plan mensual'!F245+parametros_recargas!$F$78*'Plan mensual'!F246+parametros_recargas!$G$78*'Plan mensual'!F247+parametros_recargas!$H$78*'Plan mensual'!F248+parametros_recargas!$I$78*'Plan mensual'!F249+parametros_recargas!$J$78*'Plan mensual'!F250+parametros_recargas!$K$78*'Plan mensual'!F251+parametros_recargas!$L$78*'Plan mensual'!F252</f>
        <v>452.267340579881</v>
      </c>
      <c r="E232" s="25" t="n">
        <f aca="false">parametros_recargas!$E$78*'Plan mensual'!G245+parametros_recargas!$F$78*'Plan mensual'!G246+parametros_recargas!$G$78*'Plan mensual'!G247+parametros_recargas!$H$78*'Plan mensual'!G248+parametros_recargas!$I$78*'Plan mensual'!G249+parametros_recargas!$J$78*'Plan mensual'!G250+parametros_recargas!$K$78*'Plan mensual'!G251+parametros_recargas!$L$78*'Plan mensual'!G252</f>
        <v>454.58615575316</v>
      </c>
      <c r="F232" s="25" t="n">
        <f aca="false">parametros_recargas!$E$78*'Plan mensual'!H245+parametros_recargas!$F$78*'Plan mensual'!H246+parametros_recargas!$G$78*'Plan mensual'!H247+parametros_recargas!$H$78*'Plan mensual'!H248+parametros_recargas!$I$78*'Plan mensual'!H249+parametros_recargas!$J$78*'Plan mensual'!H250+parametros_recargas!$K$78*'Plan mensual'!H251+parametros_recargas!$L$78*'Plan mensual'!H252</f>
        <v>456.919097568537</v>
      </c>
      <c r="G232" s="25" t="n">
        <f aca="false">parametros_recargas!$E$78*'Plan mensual'!I245+parametros_recargas!$F$78*'Plan mensual'!I246+parametros_recargas!$G$78*'Plan mensual'!I247+parametros_recargas!$H$78*'Plan mensual'!I248+parametros_recargas!$I$78*'Plan mensual'!I249+parametros_recargas!$J$78*'Plan mensual'!I250+parametros_recargas!$K$78*'Plan mensual'!I251+parametros_recargas!$L$78*'Plan mensual'!I252</f>
        <v>459.266252088076</v>
      </c>
      <c r="H232" s="25" t="n">
        <f aca="false">parametros_recargas!$E$78*'Plan mensual'!J245+parametros_recargas!$F$78*'Plan mensual'!J246+parametros_recargas!$G$78*'Plan mensual'!J247+parametros_recargas!$H$78*'Plan mensual'!J248+parametros_recargas!$I$78*'Plan mensual'!J249+parametros_recargas!$J$78*'Plan mensual'!J250+parametros_recargas!$K$78*'Plan mensual'!J251+parametros_recargas!$L$78*'Plan mensual'!J252</f>
        <v>461.627705898144</v>
      </c>
      <c r="I232" s="25" t="n">
        <f aca="false">parametros_recargas!$E$78*'Plan mensual'!K245+parametros_recargas!$F$78*'Plan mensual'!K246+parametros_recargas!$G$78*'Plan mensual'!K247+parametros_recargas!$H$78*'Plan mensual'!K248+parametros_recargas!$I$78*'Plan mensual'!K249+parametros_recargas!$J$78*'Plan mensual'!K250+parametros_recargas!$K$78*'Plan mensual'!K251+parametros_recargas!$L$78*'Plan mensual'!K252</f>
        <v>464.00354611261</v>
      </c>
      <c r="J232" s="25" t="n">
        <f aca="false">parametros_recargas!$E$78*'Plan mensual'!L245+parametros_recargas!$F$78*'Plan mensual'!L246+parametros_recargas!$G$78*'Plan mensual'!L247+parametros_recargas!$H$78*'Plan mensual'!L248+parametros_recargas!$I$78*'Plan mensual'!L249+parametros_recargas!$J$78*'Plan mensual'!L250+parametros_recargas!$K$78*'Plan mensual'!L251+parametros_recargas!$L$78*'Plan mensual'!L252</f>
        <v>466.393860376055</v>
      </c>
      <c r="K232" s="25" t="n">
        <f aca="false">parametros_recargas!$E$78*'Plan mensual'!M245+parametros_recargas!$F$78*'Plan mensual'!M246+parametros_recargas!$G$78*'Plan mensual'!M247+parametros_recargas!$H$78*'Plan mensual'!M248+parametros_recargas!$I$78*'Plan mensual'!M249+parametros_recargas!$J$78*'Plan mensual'!M250+parametros_recargas!$K$78*'Plan mensual'!M251+parametros_recargas!$L$78*'Plan mensual'!M252</f>
        <v>468.798736867009</v>
      </c>
      <c r="L232" s="25" t="n">
        <f aca="false">parametros_recargas!$E$78*'Plan mensual'!N245+parametros_recargas!$F$78*'Plan mensual'!N246+parametros_recargas!$G$78*'Plan mensual'!N247+parametros_recargas!$H$78*'Plan mensual'!N248+parametros_recargas!$I$78*'Plan mensual'!N249+parametros_recargas!$J$78*'Plan mensual'!N250+parametros_recargas!$K$78*'Plan mensual'!N251+parametros_recargas!$L$78*'Plan mensual'!N252</f>
        <v>471.218264301198</v>
      </c>
      <c r="M232" s="25" t="n">
        <f aca="false">parametros_recargas!$E$78*'Plan mensual'!O245+parametros_recargas!$F$78*'Plan mensual'!O246+parametros_recargas!$G$78*'Plan mensual'!O247+parametros_recargas!$H$78*'Plan mensual'!O248+parametros_recargas!$I$78*'Plan mensual'!O249+parametros_recargas!$J$78*'Plan mensual'!O250+parametros_recargas!$K$78*'Plan mensual'!O251+parametros_recargas!$L$78*'Plan mensual'!O252</f>
        <v>473.652531934824</v>
      </c>
      <c r="N232" s="7" t="n">
        <f aca="false">SUM(B232:M232)</f>
        <v>5526.36780650113</v>
      </c>
      <c r="O232" s="26" t="n">
        <f aca="false">MAX(B232:M232)</f>
        <v>473.652531934824</v>
      </c>
      <c r="P232" s="15" t="n">
        <f aca="false">O232/parametros_recargas!$B$6</f>
        <v>3.15768354623216</v>
      </c>
    </row>
    <row r="233" customFormat="false" ht="15" hidden="false" customHeight="false" outlineLevel="0" collapsed="false">
      <c r="A233" s="12" t="str">
        <f aca="false">parametros_recargas!$B$79</f>
        <v>Recuperación de halogenado</v>
      </c>
      <c r="B233" s="25" t="n">
        <f aca="false">parametros_recargas!$E$79*'Plan mensual'!D245+parametros_recargas!$F$79*'Plan mensual'!D246+parametros_recargas!$G$79*'Plan mensual'!D247+parametros_recargas!$H$79*'Plan mensual'!D248+parametros_recargas!$I$79*'Plan mensual'!D249+parametros_recargas!$J$79*'Plan mensual'!D250+parametros_recargas!$K$79*'Plan mensual'!D251+parametros_recargas!$L$79*'Plan mensual'!D252</f>
        <v>18.2487957751745</v>
      </c>
      <c r="C233" s="25" t="n">
        <f aca="false">parametros_recargas!$E$79*'Plan mensual'!E245+parametros_recargas!$F$79*'Plan mensual'!E246+parametros_recargas!$G$79*'Plan mensual'!E247+parametros_recargas!$H$79*'Plan mensual'!E248+parametros_recargas!$I$79*'Plan mensual'!E249+parametros_recargas!$J$79*'Plan mensual'!E250+parametros_recargas!$K$79*'Plan mensual'!E251+parametros_recargas!$L$79*'Plan mensual'!E252</f>
        <v>18.3424557240625</v>
      </c>
      <c r="D233" s="25" t="n">
        <f aca="false">parametros_recargas!$E$79*'Plan mensual'!F245+parametros_recargas!$F$79*'Plan mensual'!F246+parametros_recargas!$G$79*'Plan mensual'!F247+parametros_recargas!$H$79*'Plan mensual'!F248+parametros_recargas!$I$79*'Plan mensual'!F249+parametros_recargas!$J$79*'Plan mensual'!F250+parametros_recargas!$K$79*'Plan mensual'!F251+parametros_recargas!$L$79*'Plan mensual'!F252</f>
        <v>18.4366862663259</v>
      </c>
      <c r="E233" s="25" t="n">
        <f aca="false">parametros_recargas!$E$79*'Plan mensual'!G245+parametros_recargas!$F$79*'Plan mensual'!G246+parametros_recargas!$G$79*'Plan mensual'!G247+parametros_recargas!$H$79*'Plan mensual'!G248+parametros_recargas!$I$79*'Plan mensual'!G249+parametros_recargas!$J$79*'Plan mensual'!G250+parametros_recargas!$K$79*'Plan mensual'!G251+parametros_recargas!$L$79*'Plan mensual'!G252</f>
        <v>18.5314908781231</v>
      </c>
      <c r="F233" s="25" t="n">
        <f aca="false">parametros_recargas!$E$79*'Plan mensual'!H245+parametros_recargas!$F$79*'Plan mensual'!H246+parametros_recargas!$G$79*'Plan mensual'!H247+parametros_recargas!$H$79*'Plan mensual'!H248+parametros_recargas!$I$79*'Plan mensual'!H249+parametros_recargas!$J$79*'Plan mensual'!H250+parametros_recargas!$K$79*'Plan mensual'!H251+parametros_recargas!$L$79*'Plan mensual'!H252</f>
        <v>18.6268730567896</v>
      </c>
      <c r="G233" s="25" t="n">
        <f aca="false">parametros_recargas!$E$79*'Plan mensual'!I245+parametros_recargas!$F$79*'Plan mensual'!I246+parametros_recargas!$G$79*'Plan mensual'!I247+parametros_recargas!$H$79*'Plan mensual'!I248+parametros_recargas!$I$79*'Plan mensual'!I249+parametros_recargas!$J$79*'Plan mensual'!I250+parametros_recargas!$K$79*'Plan mensual'!I251+parametros_recargas!$L$79*'Plan mensual'!I252</f>
        <v>18.7228363209673</v>
      </c>
      <c r="H233" s="25" t="n">
        <f aca="false">parametros_recargas!$E$79*'Plan mensual'!J245+parametros_recargas!$F$79*'Plan mensual'!J246+parametros_recargas!$G$79*'Plan mensual'!J247+parametros_recargas!$H$79*'Plan mensual'!J248+parametros_recargas!$I$79*'Plan mensual'!J249+parametros_recargas!$J$79*'Plan mensual'!J250+parametros_recargas!$K$79*'Plan mensual'!J251+parametros_recargas!$L$79*'Plan mensual'!J252</f>
        <v>18.8193842107346</v>
      </c>
      <c r="I233" s="25" t="n">
        <f aca="false">parametros_recargas!$E$79*'Plan mensual'!K245+parametros_recargas!$F$79*'Plan mensual'!K246+parametros_recargas!$G$79*'Plan mensual'!K247+parametros_recargas!$H$79*'Plan mensual'!K248+parametros_recargas!$I$79*'Plan mensual'!K249+parametros_recargas!$J$79*'Plan mensual'!K250+parametros_recargas!$K$79*'Plan mensual'!K251+parametros_recargas!$L$79*'Plan mensual'!K252</f>
        <v>18.9165202877364</v>
      </c>
      <c r="J233" s="25" t="n">
        <f aca="false">parametros_recargas!$E$79*'Plan mensual'!L245+parametros_recargas!$F$79*'Plan mensual'!L246+parametros_recargas!$G$79*'Plan mensual'!L247+parametros_recargas!$H$79*'Plan mensual'!L248+parametros_recargas!$I$79*'Plan mensual'!L249+parametros_recargas!$J$79*'Plan mensual'!L250+parametros_recargas!$K$79*'Plan mensual'!L251+parametros_recargas!$L$79*'Plan mensual'!L252</f>
        <v>19.0142481353159</v>
      </c>
      <c r="K233" s="25" t="n">
        <f aca="false">parametros_recargas!$E$79*'Plan mensual'!M245+parametros_recargas!$F$79*'Plan mensual'!M246+parametros_recargas!$G$79*'Plan mensual'!M247+parametros_recargas!$H$79*'Plan mensual'!M248+parametros_recargas!$I$79*'Plan mensual'!M249+parametros_recargas!$J$79*'Plan mensual'!M250+parametros_recargas!$K$79*'Plan mensual'!M251+parametros_recargas!$L$79*'Plan mensual'!M252</f>
        <v>19.1125713586466</v>
      </c>
      <c r="L233" s="25" t="n">
        <f aca="false">parametros_recargas!$E$79*'Plan mensual'!N245+parametros_recargas!$F$79*'Plan mensual'!N246+parametros_recargas!$G$79*'Plan mensual'!N247+parametros_recargas!$H$79*'Plan mensual'!N248+parametros_recargas!$I$79*'Plan mensual'!N249+parametros_recargas!$J$79*'Plan mensual'!N250+parametros_recargas!$K$79*'Plan mensual'!N251+parametros_recargas!$L$79*'Plan mensual'!N252</f>
        <v>19.2114935848655</v>
      </c>
      <c r="M233" s="25" t="n">
        <f aca="false">parametros_recargas!$E$79*'Plan mensual'!O245+parametros_recargas!$F$79*'Plan mensual'!O246+parametros_recargas!$G$79*'Plan mensual'!O247+parametros_recargas!$H$79*'Plan mensual'!O248+parametros_recargas!$I$79*'Plan mensual'!O249+parametros_recargas!$J$79*'Plan mensual'!O250+parametros_recargas!$K$79*'Plan mensual'!O251+parametros_recargas!$L$79*'Plan mensual'!O252</f>
        <v>19.3110184632067</v>
      </c>
      <c r="N233" s="7" t="n">
        <f aca="false">SUM(B233:M233)</f>
        <v>225.294374061949</v>
      </c>
      <c r="O233" s="26" t="n">
        <f aca="false">MAX(B233:M233)</f>
        <v>19.3110184632067</v>
      </c>
      <c r="P233" s="15" t="n">
        <f aca="false">O233/parametros_recargas!$B$6</f>
        <v>0.128740123088045</v>
      </c>
    </row>
    <row r="234" customFormat="false" ht="15" hidden="false" customHeight="false" outlineLevel="0" collapsed="false">
      <c r="A234" s="12" t="str">
        <f aca="false">parametros_recargas!$B$80</f>
        <v>Desarme y limpieza — recinto</v>
      </c>
      <c r="B234" s="25" t="n">
        <f aca="false">parametros_recargas!$E$80*'Plan mensual'!D245+parametros_recargas!$F$80*'Plan mensual'!D246+parametros_recargas!$G$80*'Plan mensual'!D247+parametros_recargas!$H$80*'Plan mensual'!D248+parametros_recargas!$I$80*'Plan mensual'!D249+parametros_recargas!$J$80*'Plan mensual'!D250+parametros_recargas!$K$80*'Plan mensual'!D251+parametros_recargas!$L$80*'Plan mensual'!D252</f>
        <v>18178.1051067274</v>
      </c>
      <c r="C234" s="25" t="n">
        <f aca="false">parametros_recargas!$E$80*'Plan mensual'!E245+parametros_recargas!$F$80*'Plan mensual'!E246+parametros_recargas!$G$80*'Plan mensual'!E247+parametros_recargas!$H$80*'Plan mensual'!E248+parametros_recargas!$I$80*'Plan mensual'!E249+parametros_recargas!$J$80*'Plan mensual'!E250+parametros_recargas!$K$80*'Plan mensual'!E251+parametros_recargas!$L$80*'Plan mensual'!E252</f>
        <v>18279.263876711</v>
      </c>
      <c r="D234" s="25" t="n">
        <f aca="false">parametros_recargas!$E$80*'Plan mensual'!F245+parametros_recargas!$F$80*'Plan mensual'!F246+parametros_recargas!$G$80*'Plan mensual'!F247+parametros_recargas!$H$80*'Plan mensual'!F248+parametros_recargas!$I$80*'Plan mensual'!F249+parametros_recargas!$J$80*'Plan mensual'!F250+parametros_recargas!$K$80*'Plan mensual'!F251+parametros_recargas!$L$80*'Plan mensual'!F252</f>
        <v>18381.0389242467</v>
      </c>
      <c r="E234" s="25" t="n">
        <f aca="false">parametros_recargas!$E$80*'Plan mensual'!G245+parametros_recargas!$F$80*'Plan mensual'!G246+parametros_recargas!$G$80*'Plan mensual'!G247+parametros_recargas!$H$80*'Plan mensual'!G248+parametros_recargas!$I$80*'Plan mensual'!G249+parametros_recargas!$J$80*'Plan mensual'!G250+parametros_recargas!$K$80*'Plan mensual'!G251+parametros_recargas!$L$80*'Plan mensual'!G252</f>
        <v>18483.4340038089</v>
      </c>
      <c r="F234" s="25" t="n">
        <f aca="false">parametros_recargas!$E$80*'Plan mensual'!H245+parametros_recargas!$F$80*'Plan mensual'!H246+parametros_recargas!$G$80*'Plan mensual'!H247+parametros_recargas!$H$80*'Plan mensual'!H248+parametros_recargas!$I$80*'Plan mensual'!H249+parametros_recargas!$J$80*'Plan mensual'!H250+parametros_recargas!$K$80*'Plan mensual'!H251+parametros_recargas!$L$80*'Plan mensual'!H252</f>
        <v>18586.4528927452</v>
      </c>
      <c r="G234" s="25" t="n">
        <f aca="false">parametros_recargas!$E$80*'Plan mensual'!I245+parametros_recargas!$F$80*'Plan mensual'!I246+parametros_recargas!$G$80*'Plan mensual'!I247+parametros_recargas!$H$80*'Plan mensual'!I248+parametros_recargas!$I$80*'Plan mensual'!I249+parametros_recargas!$J$80*'Plan mensual'!I250+parametros_recargas!$K$80*'Plan mensual'!I251+parametros_recargas!$L$80*'Plan mensual'!I252</f>
        <v>18690.0993914151</v>
      </c>
      <c r="H234" s="25" t="n">
        <f aca="false">parametros_recargas!$E$80*'Plan mensual'!J245+parametros_recargas!$F$80*'Plan mensual'!J246+parametros_recargas!$G$80*'Plan mensual'!J247+parametros_recargas!$H$80*'Plan mensual'!J248+parametros_recargas!$I$80*'Plan mensual'!J249+parametros_recargas!$J$80*'Plan mensual'!J250+parametros_recargas!$K$80*'Plan mensual'!J251+parametros_recargas!$L$80*'Plan mensual'!J252</f>
        <v>18794.3773233309</v>
      </c>
      <c r="I234" s="25" t="n">
        <f aca="false">parametros_recargas!$E$80*'Plan mensual'!K245+parametros_recargas!$F$80*'Plan mensual'!K246+parametros_recargas!$G$80*'Plan mensual'!K247+parametros_recargas!$H$80*'Plan mensual'!K248+parametros_recargas!$I$80*'Plan mensual'!K249+parametros_recargas!$J$80*'Plan mensual'!K250+parametros_recargas!$K$80*'Plan mensual'!K251+parametros_recargas!$L$80*'Plan mensual'!K252</f>
        <v>18899.2905352983</v>
      </c>
      <c r="J234" s="25" t="n">
        <f aca="false">parametros_recargas!$E$80*'Plan mensual'!L245+parametros_recargas!$F$80*'Plan mensual'!L246+parametros_recargas!$G$80*'Plan mensual'!L247+parametros_recargas!$H$80*'Plan mensual'!L248+parametros_recargas!$I$80*'Plan mensual'!L249+parametros_recargas!$J$80*'Plan mensual'!L250+parametros_recargas!$K$80*'Plan mensual'!L251+parametros_recargas!$L$80*'Plan mensual'!L252</f>
        <v>19004.8428975585</v>
      </c>
      <c r="K234" s="25" t="n">
        <f aca="false">parametros_recargas!$E$80*'Plan mensual'!M245+parametros_recargas!$F$80*'Plan mensual'!M246+parametros_recargas!$G$80*'Plan mensual'!M247+parametros_recargas!$H$80*'Plan mensual'!M248+parametros_recargas!$I$80*'Plan mensual'!M249+parametros_recargas!$J$80*'Plan mensual'!M250+parametros_recargas!$K$80*'Plan mensual'!M251+parametros_recargas!$L$80*'Plan mensual'!M252</f>
        <v>19111.0383039308</v>
      </c>
      <c r="L234" s="25" t="n">
        <f aca="false">parametros_recargas!$E$80*'Plan mensual'!N245+parametros_recargas!$F$80*'Plan mensual'!N246+parametros_recargas!$G$80*'Plan mensual'!N247+parametros_recargas!$H$80*'Plan mensual'!N248+parametros_recargas!$I$80*'Plan mensual'!N249+parametros_recargas!$J$80*'Plan mensual'!N250+parametros_recargas!$K$80*'Plan mensual'!N251+parametros_recargas!$L$80*'Plan mensual'!N252</f>
        <v>19217.8806719564</v>
      </c>
      <c r="M234" s="25" t="n">
        <f aca="false">parametros_recargas!$E$80*'Plan mensual'!O245+parametros_recargas!$F$80*'Plan mensual'!O246+parametros_recargas!$G$80*'Plan mensual'!O247+parametros_recargas!$H$80*'Plan mensual'!O248+parametros_recargas!$I$80*'Plan mensual'!O249+parametros_recargas!$J$80*'Plan mensual'!O250+parametros_recargas!$K$80*'Plan mensual'!O251+parametros_recargas!$L$80*'Plan mensual'!O252</f>
        <v>19325.373943043</v>
      </c>
      <c r="N234" s="7" t="n">
        <f aca="false">SUM(B234:M234)</f>
        <v>224951.197870772</v>
      </c>
      <c r="O234" s="26" t="n">
        <f aca="false">MAX(B234:M234)</f>
        <v>19325.373943043</v>
      </c>
      <c r="P234" s="15" t="n">
        <f aca="false">O234/parametros_recargas!$B$6</f>
        <v>128.835826286953</v>
      </c>
    </row>
    <row r="235" customFormat="false" ht="15" hidden="false" customHeight="false" outlineLevel="0" collapsed="false">
      <c r="A235" s="12" t="str">
        <f aca="false">parametros_recargas!$B$81</f>
        <v>Desarme e inspección interior — zona general</v>
      </c>
      <c r="B235" s="25" t="n">
        <f aca="false">parametros_recargas!$E$81*'Plan mensual'!D245+parametros_recargas!$F$81*'Plan mensual'!D246+parametros_recargas!$G$81*'Plan mensual'!D247+parametros_recargas!$H$81*'Plan mensual'!D248+parametros_recargas!$I$81*'Plan mensual'!D249+parametros_recargas!$J$81*'Plan mensual'!D250+parametros_recargas!$K$81*'Plan mensual'!D251+parametros_recargas!$L$81*'Plan mensual'!D252</f>
        <v>1443.81444852684</v>
      </c>
      <c r="C235" s="25" t="n">
        <f aca="false">parametros_recargas!$E$81*'Plan mensual'!E245+parametros_recargas!$F$81*'Plan mensual'!E246+parametros_recargas!$G$81*'Plan mensual'!E247+parametros_recargas!$H$81*'Plan mensual'!E248+parametros_recargas!$I$81*'Plan mensual'!E249+parametros_recargas!$J$81*'Plan mensual'!E250+parametros_recargas!$K$81*'Plan mensual'!E251+parametros_recargas!$L$81*'Plan mensual'!E252</f>
        <v>1451.20706838719</v>
      </c>
      <c r="D235" s="25" t="n">
        <f aca="false">parametros_recargas!$E$81*'Plan mensual'!F245+parametros_recargas!$F$81*'Plan mensual'!F246+parametros_recargas!$G$81*'Plan mensual'!F247+parametros_recargas!$H$81*'Plan mensual'!F248+parametros_recargas!$I$81*'Plan mensual'!F249+parametros_recargas!$J$81*'Plan mensual'!F250+parametros_recargas!$K$81*'Plan mensual'!F251+parametros_recargas!$L$81*'Plan mensual'!F252</f>
        <v>1458.64472542694</v>
      </c>
      <c r="E235" s="25" t="n">
        <f aca="false">parametros_recargas!$E$81*'Plan mensual'!G245+parametros_recargas!$F$81*'Plan mensual'!G246+parametros_recargas!$G$81*'Plan mensual'!G247+parametros_recargas!$H$81*'Plan mensual'!G248+parametros_recargas!$I$81*'Plan mensual'!G249+parametros_recargas!$J$81*'Plan mensual'!G250+parametros_recargas!$K$81*'Plan mensual'!G251+parametros_recargas!$L$81*'Plan mensual'!G252</f>
        <v>1466.12769402073</v>
      </c>
      <c r="F235" s="25" t="n">
        <f aca="false">parametros_recargas!$E$81*'Plan mensual'!H245+parametros_recargas!$F$81*'Plan mensual'!H246+parametros_recargas!$G$81*'Plan mensual'!H247+parametros_recargas!$H$81*'Plan mensual'!H248+parametros_recargas!$I$81*'Plan mensual'!H249+parametros_recargas!$J$81*'Plan mensual'!H250+parametros_recargas!$K$81*'Plan mensual'!H251+parametros_recargas!$L$81*'Plan mensual'!H252</f>
        <v>1473.65625021477</v>
      </c>
      <c r="G235" s="25" t="n">
        <f aca="false">parametros_recargas!$E$81*'Plan mensual'!I245+parametros_recargas!$F$81*'Plan mensual'!I246+parametros_recargas!$G$81*'Plan mensual'!I247+parametros_recargas!$H$81*'Plan mensual'!I248+parametros_recargas!$I$81*'Plan mensual'!I249+parametros_recargas!$J$81*'Plan mensual'!I250+parametros_recargas!$K$81*'Plan mensual'!I251+parametros_recargas!$L$81*'Plan mensual'!I252</f>
        <v>1481.23067173697</v>
      </c>
      <c r="H235" s="25" t="n">
        <f aca="false">parametros_recargas!$E$81*'Plan mensual'!J245+parametros_recargas!$F$81*'Plan mensual'!J246+parametros_recargas!$G$81*'Plan mensual'!J247+parametros_recargas!$H$81*'Plan mensual'!J248+parametros_recargas!$I$81*'Plan mensual'!J249+parametros_recargas!$J$81*'Plan mensual'!J250+parametros_recargas!$K$81*'Plan mensual'!J251+parametros_recargas!$L$81*'Plan mensual'!J252</f>
        <v>1488.85123800722</v>
      </c>
      <c r="I235" s="25" t="n">
        <f aca="false">parametros_recargas!$E$81*'Plan mensual'!K245+parametros_recargas!$F$81*'Plan mensual'!K246+parametros_recargas!$G$81*'Plan mensual'!K247+parametros_recargas!$H$81*'Plan mensual'!K248+parametros_recargas!$I$81*'Plan mensual'!K249+parametros_recargas!$J$81*'Plan mensual'!K250+parametros_recargas!$K$81*'Plan mensual'!K251+parametros_recargas!$L$81*'Plan mensual'!K252</f>
        <v>1496.51823014768</v>
      </c>
      <c r="J235" s="25" t="n">
        <f aca="false">parametros_recargas!$E$81*'Plan mensual'!L245+parametros_recargas!$F$81*'Plan mensual'!L246+parametros_recargas!$G$81*'Plan mensual'!L247+parametros_recargas!$H$81*'Plan mensual'!L248+parametros_recargas!$I$81*'Plan mensual'!L249+parametros_recargas!$J$81*'Plan mensual'!L250+parametros_recargas!$K$81*'Plan mensual'!L251+parametros_recargas!$L$81*'Plan mensual'!L252</f>
        <v>1504.23193099318</v>
      </c>
      <c r="K235" s="25" t="n">
        <f aca="false">parametros_recargas!$E$81*'Plan mensual'!M245+parametros_recargas!$F$81*'Plan mensual'!M246+parametros_recargas!$G$81*'Plan mensual'!M247+parametros_recargas!$H$81*'Plan mensual'!M248+parametros_recargas!$I$81*'Plan mensual'!M249+parametros_recargas!$J$81*'Plan mensual'!M250+parametros_recargas!$K$81*'Plan mensual'!M251+parametros_recargas!$L$81*'Plan mensual'!M252</f>
        <v>1511.99262510159</v>
      </c>
      <c r="L235" s="25" t="n">
        <f aca="false">parametros_recargas!$E$81*'Plan mensual'!N245+parametros_recargas!$F$81*'Plan mensual'!N246+parametros_recargas!$G$81*'Plan mensual'!N247+parametros_recargas!$H$81*'Plan mensual'!N248+parametros_recargas!$I$81*'Plan mensual'!N249+parametros_recargas!$J$81*'Plan mensual'!N250+parametros_recargas!$K$81*'Plan mensual'!N251+parametros_recargas!$L$81*'Plan mensual'!N252</f>
        <v>1519.80059876439</v>
      </c>
      <c r="M235" s="25" t="n">
        <f aca="false">parametros_recargas!$E$81*'Plan mensual'!O245+parametros_recargas!$F$81*'Plan mensual'!O246+parametros_recargas!$G$81*'Plan mensual'!O247+parametros_recargas!$H$81*'Plan mensual'!O248+parametros_recargas!$I$81*'Plan mensual'!O249+parametros_recargas!$J$81*'Plan mensual'!O250+parametros_recargas!$K$81*'Plan mensual'!O251+parametros_recargas!$L$81*'Plan mensual'!O252</f>
        <v>1527.65614001719</v>
      </c>
      <c r="N235" s="7" t="n">
        <f aca="false">SUM(B235:M235)</f>
        <v>17823.7316213447</v>
      </c>
      <c r="O235" s="26" t="n">
        <f aca="false">MAX(B235:M235)</f>
        <v>1527.65614001719</v>
      </c>
      <c r="P235" s="15" t="n">
        <f aca="false">O235/parametros_recargas!$B$6</f>
        <v>10.1843742667813</v>
      </c>
    </row>
    <row r="236" customFormat="false" ht="15" hidden="false" customHeight="false" outlineLevel="0" collapsed="false">
      <c r="A236" s="12" t="str">
        <f aca="false">parametros_recargas!$B$82</f>
        <v>Laboratorio — Puffer y mufla</v>
      </c>
      <c r="B236" s="25" t="n">
        <f aca="false">parametros_recargas!$E$82*'Plan mensual'!D245+parametros_recargas!$F$82*'Plan mensual'!D246+parametros_recargas!$G$82*'Plan mensual'!D247+parametros_recargas!$H$82*'Plan mensual'!D248+parametros_recargas!$I$82*'Plan mensual'!D249+parametros_recargas!$J$82*'Plan mensual'!D250+parametros_recargas!$K$82*'Plan mensual'!D251+parametros_recargas!$L$82*'Plan mensual'!D252</f>
        <v>18.1521453982551</v>
      </c>
      <c r="C236" s="25" t="n">
        <f aca="false">parametros_recargas!$E$82*'Plan mensual'!E245+parametros_recargas!$F$82*'Plan mensual'!E246+parametros_recargas!$G$82*'Plan mensual'!E247+parametros_recargas!$H$82*'Plan mensual'!E248+parametros_recargas!$I$82*'Plan mensual'!E249+parametros_recargas!$J$82*'Plan mensual'!E250+parametros_recargas!$K$82*'Plan mensual'!E251+parametros_recargas!$L$82*'Plan mensual'!E252</f>
        <v>18.253175970216</v>
      </c>
      <c r="D236" s="25" t="n">
        <f aca="false">parametros_recargas!$E$82*'Plan mensual'!F245+parametros_recargas!$F$82*'Plan mensual'!F246+parametros_recargas!$G$82*'Plan mensual'!F247+parametros_recargas!$H$82*'Plan mensual'!F248+parametros_recargas!$I$82*'Plan mensual'!F249+parametros_recargas!$J$82*'Plan mensual'!F250+parametros_recargas!$K$82*'Plan mensual'!F251+parametros_recargas!$L$82*'Plan mensual'!F252</f>
        <v>18.3548220387234</v>
      </c>
      <c r="E236" s="25" t="n">
        <f aca="false">parametros_recargas!$E$82*'Plan mensual'!G245+parametros_recargas!$F$82*'Plan mensual'!G246+parametros_recargas!$G$82*'Plan mensual'!G247+parametros_recargas!$H$82*'Plan mensual'!G248+parametros_recargas!$I$82*'Plan mensual'!G249+parametros_recargas!$J$82*'Plan mensual'!G250+parametros_recargas!$K$82*'Plan mensual'!G251+parametros_recargas!$L$82*'Plan mensual'!G252</f>
        <v>18.4570873534938</v>
      </c>
      <c r="F236" s="25" t="n">
        <f aca="false">parametros_recargas!$E$82*'Plan mensual'!H245+parametros_recargas!$F$82*'Plan mensual'!H246+parametros_recargas!$G$82*'Plan mensual'!H247+parametros_recargas!$H$82*'Plan mensual'!H248+parametros_recargas!$I$82*'Plan mensual'!H249+parametros_recargas!$J$82*'Plan mensual'!H250+parametros_recargas!$K$82*'Plan mensual'!H251+parametros_recargas!$L$82*'Plan mensual'!H252</f>
        <v>18.5599756870875</v>
      </c>
      <c r="G236" s="25" t="n">
        <f aca="false">parametros_recargas!$E$82*'Plan mensual'!I245+parametros_recargas!$F$82*'Plan mensual'!I246+parametros_recargas!$G$82*'Plan mensual'!I247+parametros_recargas!$H$82*'Plan mensual'!I248+parametros_recargas!$I$82*'Plan mensual'!I249+parametros_recargas!$J$82*'Plan mensual'!I250+parametros_recargas!$K$82*'Plan mensual'!I251+parametros_recargas!$L$82*'Plan mensual'!I252</f>
        <v>18.6634908350481</v>
      </c>
      <c r="H236" s="25" t="n">
        <f aca="false">parametros_recargas!$E$82*'Plan mensual'!J245+parametros_recargas!$F$82*'Plan mensual'!J246+parametros_recargas!$G$82*'Plan mensual'!J247+parametros_recargas!$H$82*'Plan mensual'!J248+parametros_recargas!$I$82*'Plan mensual'!J249+parametros_recargas!$J$82*'Plan mensual'!J250+parametros_recargas!$K$82*'Plan mensual'!J251+parametros_recargas!$L$82*'Plan mensual'!J252</f>
        <v>18.7676366160423</v>
      </c>
      <c r="I236" s="25" t="n">
        <f aca="false">parametros_recargas!$E$82*'Plan mensual'!K245+parametros_recargas!$F$82*'Plan mensual'!K246+parametros_recargas!$G$82*'Plan mensual'!K247+parametros_recargas!$H$82*'Plan mensual'!K248+parametros_recargas!$I$82*'Plan mensual'!K249+parametros_recargas!$J$82*'Plan mensual'!K250+parametros_recargas!$K$82*'Plan mensual'!K251+parametros_recargas!$L$82*'Plan mensual'!K252</f>
        <v>18.8724168720007</v>
      </c>
      <c r="J236" s="25" t="n">
        <f aca="false">parametros_recargas!$E$82*'Plan mensual'!L245+parametros_recargas!$F$82*'Plan mensual'!L246+parametros_recargas!$G$82*'Plan mensual'!L247+parametros_recargas!$H$82*'Plan mensual'!L248+parametros_recargas!$I$82*'Plan mensual'!L249+parametros_recargas!$J$82*'Plan mensual'!L250+parametros_recargas!$K$82*'Plan mensual'!L251+parametros_recargas!$L$82*'Plan mensual'!L252</f>
        <v>18.9778354682598</v>
      </c>
      <c r="K236" s="25" t="n">
        <f aca="false">parametros_recargas!$E$82*'Plan mensual'!M245+parametros_recargas!$F$82*'Plan mensual'!M246+parametros_recargas!$G$82*'Plan mensual'!M247+parametros_recargas!$H$82*'Plan mensual'!M248+parametros_recargas!$I$82*'Plan mensual'!M249+parametros_recargas!$J$82*'Plan mensual'!M250+parametros_recargas!$K$82*'Plan mensual'!M251+parametros_recargas!$L$82*'Plan mensual'!M252</f>
        <v>19.0838962937043</v>
      </c>
      <c r="L236" s="25" t="n">
        <f aca="false">parametros_recargas!$E$82*'Plan mensual'!N245+parametros_recargas!$F$82*'Plan mensual'!N246+parametros_recargas!$G$82*'Plan mensual'!N247+parametros_recargas!$H$82*'Plan mensual'!N248+parametros_recargas!$I$82*'Plan mensual'!N249+parametros_recargas!$J$82*'Plan mensual'!N250+parametros_recargas!$K$82*'Plan mensual'!N251+parametros_recargas!$L$82*'Plan mensual'!N252</f>
        <v>19.1906032609108</v>
      </c>
      <c r="M236" s="25" t="n">
        <f aca="false">parametros_recargas!$E$82*'Plan mensual'!O245+parametros_recargas!$F$82*'Plan mensual'!O246+parametros_recargas!$G$82*'Plan mensual'!O247+parametros_recargas!$H$82*'Plan mensual'!O248+parametros_recargas!$I$82*'Plan mensual'!O249+parametros_recargas!$J$82*'Plan mensual'!O250+parametros_recargas!$K$82*'Plan mensual'!O251+parametros_recargas!$L$82*'Plan mensual'!O252</f>
        <v>19.2979603062919</v>
      </c>
      <c r="N236" s="7" t="n">
        <f aca="false">SUM(B236:M236)</f>
        <v>224.631046100034</v>
      </c>
      <c r="O236" s="26" t="n">
        <f aca="false">MAX(B236:M236)</f>
        <v>19.2979603062919</v>
      </c>
      <c r="P236" s="15" t="n">
        <f aca="false">O236/parametros_recargas!$B$6</f>
        <v>0.128653068708612</v>
      </c>
    </row>
    <row r="237" customFormat="false" ht="15" hidden="false" customHeight="false" outlineLevel="0" collapsed="false">
      <c r="A237" s="12" t="str">
        <f aca="false">parametros_recargas!$B$83</f>
        <v>Prueba hidráulica</v>
      </c>
      <c r="B237" s="25" t="n">
        <f aca="false">parametros_recargas!$E$83*'Plan mensual'!D245+parametros_recargas!$F$83*'Plan mensual'!D246+parametros_recargas!$G$83*'Plan mensual'!D247+parametros_recargas!$H$83*'Plan mensual'!D248+parametros_recargas!$I$83*'Plan mensual'!D249+parametros_recargas!$J$83*'Plan mensual'!D250+parametros_recargas!$K$83*'Plan mensual'!D251+parametros_recargas!$L$83*'Plan mensual'!D252</f>
        <v>4497.3044088956</v>
      </c>
      <c r="C237" s="25" t="n">
        <f aca="false">parametros_recargas!$E$83*'Plan mensual'!E245+parametros_recargas!$F$83*'Plan mensual'!E246+parametros_recargas!$G$83*'Plan mensual'!E247+parametros_recargas!$H$83*'Plan mensual'!E248+parametros_recargas!$I$83*'Plan mensual'!E249+parametros_recargas!$J$83*'Plan mensual'!E250+parametros_recargas!$K$83*'Plan mensual'!E251+parametros_recargas!$L$83*'Plan mensual'!E252</f>
        <v>4521.94781620534</v>
      </c>
      <c r="D237" s="25" t="n">
        <f aca="false">parametros_recargas!$E$83*'Plan mensual'!F245+parametros_recargas!$F$83*'Plan mensual'!F246+parametros_recargas!$G$83*'Plan mensual'!F247+parametros_recargas!$H$83*'Plan mensual'!F248+parametros_recargas!$I$83*'Plan mensual'!F249+parametros_recargas!$J$83*'Plan mensual'!F250+parametros_recargas!$K$83*'Plan mensual'!F251+parametros_recargas!$L$83*'Plan mensual'!F252</f>
        <v>4546.74135561667</v>
      </c>
      <c r="E237" s="25" t="n">
        <f aca="false">parametros_recargas!$E$83*'Plan mensual'!G245+parametros_recargas!$F$83*'Plan mensual'!G246+parametros_recargas!$G$83*'Plan mensual'!G247+parametros_recargas!$H$83*'Plan mensual'!G248+parametros_recargas!$I$83*'Plan mensual'!G249+parametros_recargas!$J$83*'Plan mensual'!G250+parametros_recargas!$K$83*'Plan mensual'!G251+parametros_recargas!$L$83*'Plan mensual'!G252</f>
        <v>4571.68594176154</v>
      </c>
      <c r="F237" s="25" t="n">
        <f aca="false">parametros_recargas!$E$83*'Plan mensual'!H245+parametros_recargas!$F$83*'Plan mensual'!H246+parametros_recargas!$G$83*'Plan mensual'!H247+parametros_recargas!$H$83*'Plan mensual'!H248+parametros_recargas!$I$83*'Plan mensual'!H249+parametros_recargas!$J$83*'Plan mensual'!H250+parametros_recargas!$K$83*'Plan mensual'!H251+parametros_recargas!$L$83*'Plan mensual'!H252</f>
        <v>4596.78249484402</v>
      </c>
      <c r="G237" s="25" t="n">
        <f aca="false">parametros_recargas!$E$83*'Plan mensual'!I245+parametros_recargas!$F$83*'Plan mensual'!I246+parametros_recargas!$G$83*'Plan mensual'!I247+parametros_recargas!$H$83*'Plan mensual'!I248+parametros_recargas!$I$83*'Plan mensual'!I249+parametros_recargas!$J$83*'Plan mensual'!I250+parametros_recargas!$K$83*'Plan mensual'!I251+parametros_recargas!$L$83*'Plan mensual'!I252</f>
        <v>4622.03194067422</v>
      </c>
      <c r="H237" s="25" t="n">
        <f aca="false">parametros_recargas!$E$83*'Plan mensual'!J245+parametros_recargas!$F$83*'Plan mensual'!J246+parametros_recargas!$G$83*'Plan mensual'!J247+parametros_recargas!$H$83*'Plan mensual'!J248+parametros_recargas!$I$83*'Plan mensual'!J249+parametros_recargas!$J$83*'Plan mensual'!J250+parametros_recargas!$K$83*'Plan mensual'!J251+parametros_recargas!$L$83*'Plan mensual'!J252</f>
        <v>4647.43521070245</v>
      </c>
      <c r="I237" s="25" t="n">
        <f aca="false">parametros_recargas!$E$83*'Plan mensual'!K245+parametros_recargas!$F$83*'Plan mensual'!K246+parametros_recargas!$G$83*'Plan mensual'!K247+parametros_recargas!$H$83*'Plan mensual'!K248+parametros_recargas!$I$83*'Plan mensual'!K249+parametros_recargas!$J$83*'Plan mensual'!K250+parametros_recargas!$K$83*'Plan mensual'!K251+parametros_recargas!$L$83*'Plan mensual'!K252</f>
        <v>4672.99324205361</v>
      </c>
      <c r="J237" s="25" t="n">
        <f aca="false">parametros_recargas!$E$83*'Plan mensual'!L245+parametros_recargas!$F$83*'Plan mensual'!L246+parametros_recargas!$G$83*'Plan mensual'!L247+parametros_recargas!$H$83*'Plan mensual'!L248+parametros_recargas!$I$83*'Plan mensual'!L249+parametros_recargas!$J$83*'Plan mensual'!L250+parametros_recargas!$K$83*'Plan mensual'!L251+parametros_recargas!$L$83*'Plan mensual'!L252</f>
        <v>4698.7069775617</v>
      </c>
      <c r="K237" s="25" t="n">
        <f aca="false">parametros_recargas!$E$83*'Plan mensual'!M245+parametros_recargas!$F$83*'Plan mensual'!M246+parametros_recargas!$G$83*'Plan mensual'!M247+parametros_recargas!$H$83*'Plan mensual'!M248+parametros_recargas!$I$83*'Plan mensual'!M249+parametros_recargas!$J$83*'Plan mensual'!M250+parametros_recargas!$K$83*'Plan mensual'!M251+parametros_recargas!$L$83*'Plan mensual'!M252</f>
        <v>4724.57736580465</v>
      </c>
      <c r="L237" s="25" t="n">
        <f aca="false">parametros_recargas!$E$83*'Plan mensual'!N245+parametros_recargas!$F$83*'Plan mensual'!N246+parametros_recargas!$G$83*'Plan mensual'!N247+parametros_recargas!$H$83*'Plan mensual'!N248+parametros_recargas!$I$83*'Plan mensual'!N249+parametros_recargas!$J$83*'Plan mensual'!N250+parametros_recargas!$K$83*'Plan mensual'!N251+parametros_recargas!$L$83*'Plan mensual'!N252</f>
        <v>4750.6053611393</v>
      </c>
      <c r="M237" s="25" t="n">
        <f aca="false">parametros_recargas!$E$83*'Plan mensual'!O245+parametros_recargas!$F$83*'Plan mensual'!O246+parametros_recargas!$G$83*'Plan mensual'!O247+parametros_recargas!$H$83*'Plan mensual'!O248+parametros_recargas!$I$83*'Plan mensual'!O249+parametros_recargas!$J$83*'Plan mensual'!O250+parametros_recargas!$K$83*'Plan mensual'!O251+parametros_recargas!$L$83*'Plan mensual'!O252</f>
        <v>4776.79192373661</v>
      </c>
      <c r="N237" s="7" t="n">
        <f aca="false">SUM(B237:M237)</f>
        <v>55627.6040389957</v>
      </c>
      <c r="O237" s="26" t="n">
        <f aca="false">MAX(B237:M237)</f>
        <v>4776.79192373661</v>
      </c>
      <c r="P237" s="15" t="n">
        <f aca="false">O237/parametros_recargas!$B$6</f>
        <v>31.8452794915774</v>
      </c>
    </row>
    <row r="238" customFormat="false" ht="15" hidden="false" customHeight="false" outlineLevel="0" collapsed="false">
      <c r="A238" s="12" t="str">
        <f aca="false">parametros_recargas!$B$84</f>
        <v>Secado</v>
      </c>
      <c r="B238" s="25" t="n">
        <f aca="false">parametros_recargas!$E$84*'Plan mensual'!D245+parametros_recargas!$F$84*'Plan mensual'!D246+parametros_recargas!$G$84*'Plan mensual'!D247+parametros_recargas!$H$84*'Plan mensual'!D248+parametros_recargas!$I$84*'Plan mensual'!D249+parametros_recargas!$J$84*'Plan mensual'!D250+parametros_recargas!$K$84*'Plan mensual'!D251+parametros_recargas!$L$84*'Plan mensual'!D252</f>
        <v>4190.13850784398</v>
      </c>
      <c r="C238" s="25" t="n">
        <f aca="false">parametros_recargas!$E$84*'Plan mensual'!E245+parametros_recargas!$F$84*'Plan mensual'!E246+parametros_recargas!$G$84*'Plan mensual'!E247+parametros_recargas!$H$84*'Plan mensual'!E248+parametros_recargas!$I$84*'Plan mensual'!E249+parametros_recargas!$J$84*'Plan mensual'!E250+parametros_recargas!$K$84*'Plan mensual'!E251+parametros_recargas!$L$84*'Plan mensual'!E252</f>
        <v>4213.28943189477</v>
      </c>
      <c r="D238" s="25" t="n">
        <f aca="false">parametros_recargas!$E$84*'Plan mensual'!F245+parametros_recargas!$F$84*'Plan mensual'!F246+parametros_recargas!$G$84*'Plan mensual'!F247+parametros_recargas!$H$84*'Plan mensual'!F248+parametros_recargas!$I$84*'Plan mensual'!F249+parametros_recargas!$J$84*'Plan mensual'!F250+parametros_recargas!$K$84*'Plan mensual'!F251+parametros_recargas!$L$84*'Plan mensual'!F252</f>
        <v>4236.58139556877</v>
      </c>
      <c r="E238" s="25" t="n">
        <f aca="false">parametros_recargas!$E$84*'Plan mensual'!G245+parametros_recargas!$F$84*'Plan mensual'!G246+parametros_recargas!$G$84*'Plan mensual'!G247+parametros_recargas!$H$84*'Plan mensual'!G248+parametros_recargas!$I$84*'Plan mensual'!G249+parametros_recargas!$J$84*'Plan mensual'!G250+parametros_recargas!$K$84*'Plan mensual'!G251+parametros_recargas!$L$84*'Plan mensual'!G252</f>
        <v>4260.01525810491</v>
      </c>
      <c r="F238" s="25" t="n">
        <f aca="false">parametros_recargas!$E$84*'Plan mensual'!H245+parametros_recargas!$F$84*'Plan mensual'!H246+parametros_recargas!$G$84*'Plan mensual'!H247+parametros_recargas!$H$84*'Plan mensual'!H248+parametros_recargas!$I$84*'Plan mensual'!H249+parametros_recargas!$J$84*'Plan mensual'!H250+parametros_recargas!$K$84*'Plan mensual'!H251+parametros_recargas!$L$84*'Plan mensual'!H252</f>
        <v>4283.59188397675</v>
      </c>
      <c r="G238" s="25" t="n">
        <f aca="false">parametros_recargas!$E$84*'Plan mensual'!I245+parametros_recargas!$F$84*'Plan mensual'!I246+parametros_recargas!$G$84*'Plan mensual'!I247+parametros_recargas!$H$84*'Plan mensual'!I248+parametros_recargas!$I$84*'Plan mensual'!I249+parametros_recargas!$J$84*'Plan mensual'!I250+parametros_recargas!$K$84*'Plan mensual'!I251+parametros_recargas!$L$84*'Plan mensual'!I252</f>
        <v>4307.31214292441</v>
      </c>
      <c r="H238" s="25" t="n">
        <f aca="false">parametros_recargas!$E$84*'Plan mensual'!J245+parametros_recargas!$F$84*'Plan mensual'!J246+parametros_recargas!$G$84*'Plan mensual'!J247+parametros_recargas!$H$84*'Plan mensual'!J248+parametros_recargas!$I$84*'Plan mensual'!J249+parametros_recargas!$J$84*'Plan mensual'!J250+parametros_recargas!$K$84*'Plan mensual'!J251+parametros_recargas!$L$84*'Plan mensual'!J252</f>
        <v>4331.17690998659</v>
      </c>
      <c r="I238" s="25" t="n">
        <f aca="false">parametros_recargas!$E$84*'Plan mensual'!K245+parametros_recargas!$F$84*'Plan mensual'!K246+parametros_recargas!$G$84*'Plan mensual'!K247+parametros_recargas!$H$84*'Plan mensual'!K248+parametros_recargas!$I$84*'Plan mensual'!K249+parametros_recargas!$J$84*'Plan mensual'!K250+parametros_recargas!$K$84*'Plan mensual'!K251+parametros_recargas!$L$84*'Plan mensual'!K252</f>
        <v>4355.18706553292</v>
      </c>
      <c r="J238" s="25" t="n">
        <f aca="false">parametros_recargas!$E$84*'Plan mensual'!L245+parametros_recargas!$F$84*'Plan mensual'!L246+parametros_recargas!$G$84*'Plan mensual'!L247+parametros_recargas!$H$84*'Plan mensual'!L248+parametros_recargas!$I$84*'Plan mensual'!L249+parametros_recargas!$J$84*'Plan mensual'!L250+parametros_recargas!$K$84*'Plan mensual'!L251+parametros_recargas!$L$84*'Plan mensual'!L252</f>
        <v>4379.34349529638</v>
      </c>
      <c r="K238" s="25" t="n">
        <f aca="false">parametros_recargas!$E$84*'Plan mensual'!M245+parametros_recargas!$F$84*'Plan mensual'!M246+parametros_recargas!$G$84*'Plan mensual'!M247+parametros_recargas!$H$84*'Plan mensual'!M248+parametros_recargas!$I$84*'Plan mensual'!M249+parametros_recargas!$J$84*'Plan mensual'!M250+parametros_recargas!$K$84*'Plan mensual'!M251+parametros_recargas!$L$84*'Plan mensual'!M252</f>
        <v>4403.64709040599</v>
      </c>
      <c r="L238" s="25" t="n">
        <f aca="false">parametros_recargas!$E$84*'Plan mensual'!N245+parametros_recargas!$F$84*'Plan mensual'!N246+parametros_recargas!$G$84*'Plan mensual'!N247+parametros_recargas!$H$84*'Plan mensual'!N248+parametros_recargas!$I$84*'Plan mensual'!N249+parametros_recargas!$J$84*'Plan mensual'!N250+parametros_recargas!$K$84*'Plan mensual'!N251+parametros_recargas!$L$84*'Plan mensual'!N252</f>
        <v>4428.0987474197</v>
      </c>
      <c r="M238" s="25" t="n">
        <f aca="false">parametros_recargas!$E$84*'Plan mensual'!O245+parametros_recargas!$F$84*'Plan mensual'!O246+parametros_recargas!$G$84*'Plan mensual'!O247+parametros_recargas!$H$84*'Plan mensual'!O248+parametros_recargas!$I$84*'Plan mensual'!O249+parametros_recargas!$J$84*'Plan mensual'!O250+parametros_recargas!$K$84*'Plan mensual'!O251+parametros_recargas!$L$84*'Plan mensual'!O252</f>
        <v>4452.69936835746</v>
      </c>
      <c r="N238" s="7" t="n">
        <f aca="false">SUM(B238:M238)</f>
        <v>51841.0812973126</v>
      </c>
      <c r="O238" s="26" t="n">
        <f aca="false">MAX(B238:M238)</f>
        <v>4452.69936835746</v>
      </c>
      <c r="P238" s="15" t="n">
        <f aca="false">O238/parametros_recargas!$B$6</f>
        <v>29.6846624557164</v>
      </c>
    </row>
    <row r="239" customFormat="false" ht="15" hidden="false" customHeight="false" outlineLevel="0" collapsed="false">
      <c r="A239" s="12" t="str">
        <f aca="false">parametros_recargas!$B$85</f>
        <v>Inspección interior con videoscopio</v>
      </c>
      <c r="B239" s="25" t="n">
        <f aca="false">parametros_recargas!$E$85*'Plan mensual'!D245+parametros_recargas!$F$85*'Plan mensual'!D246+parametros_recargas!$G$85*'Plan mensual'!D247+parametros_recargas!$H$85*'Plan mensual'!D248+parametros_recargas!$I$85*'Plan mensual'!D249+parametros_recargas!$J$85*'Plan mensual'!D250+parametros_recargas!$K$85*'Plan mensual'!D251+parametros_recargas!$L$85*'Plan mensual'!D252</f>
        <v>4190.13850784398</v>
      </c>
      <c r="C239" s="25" t="n">
        <f aca="false">parametros_recargas!$E$85*'Plan mensual'!E245+parametros_recargas!$F$85*'Plan mensual'!E246+parametros_recargas!$G$85*'Plan mensual'!E247+parametros_recargas!$H$85*'Plan mensual'!E248+parametros_recargas!$I$85*'Plan mensual'!E249+parametros_recargas!$J$85*'Plan mensual'!E250+parametros_recargas!$K$85*'Plan mensual'!E251+parametros_recargas!$L$85*'Plan mensual'!E252</f>
        <v>4213.28943189477</v>
      </c>
      <c r="D239" s="25" t="n">
        <f aca="false">parametros_recargas!$E$85*'Plan mensual'!F245+parametros_recargas!$F$85*'Plan mensual'!F246+parametros_recargas!$G$85*'Plan mensual'!F247+parametros_recargas!$H$85*'Plan mensual'!F248+parametros_recargas!$I$85*'Plan mensual'!F249+parametros_recargas!$J$85*'Plan mensual'!F250+parametros_recargas!$K$85*'Plan mensual'!F251+parametros_recargas!$L$85*'Plan mensual'!F252</f>
        <v>4236.58139556877</v>
      </c>
      <c r="E239" s="25" t="n">
        <f aca="false">parametros_recargas!$E$85*'Plan mensual'!G245+parametros_recargas!$F$85*'Plan mensual'!G246+parametros_recargas!$G$85*'Plan mensual'!G247+parametros_recargas!$H$85*'Plan mensual'!G248+parametros_recargas!$I$85*'Plan mensual'!G249+parametros_recargas!$J$85*'Plan mensual'!G250+parametros_recargas!$K$85*'Plan mensual'!G251+parametros_recargas!$L$85*'Plan mensual'!G252</f>
        <v>4260.01525810491</v>
      </c>
      <c r="F239" s="25" t="n">
        <f aca="false">parametros_recargas!$E$85*'Plan mensual'!H245+parametros_recargas!$F$85*'Plan mensual'!H246+parametros_recargas!$G$85*'Plan mensual'!H247+parametros_recargas!$H$85*'Plan mensual'!H248+parametros_recargas!$I$85*'Plan mensual'!H249+parametros_recargas!$J$85*'Plan mensual'!H250+parametros_recargas!$K$85*'Plan mensual'!H251+parametros_recargas!$L$85*'Plan mensual'!H252</f>
        <v>4283.59188397675</v>
      </c>
      <c r="G239" s="25" t="n">
        <f aca="false">parametros_recargas!$E$85*'Plan mensual'!I245+parametros_recargas!$F$85*'Plan mensual'!I246+parametros_recargas!$G$85*'Plan mensual'!I247+parametros_recargas!$H$85*'Plan mensual'!I248+parametros_recargas!$I$85*'Plan mensual'!I249+parametros_recargas!$J$85*'Plan mensual'!I250+parametros_recargas!$K$85*'Plan mensual'!I251+parametros_recargas!$L$85*'Plan mensual'!I252</f>
        <v>4307.31214292441</v>
      </c>
      <c r="H239" s="25" t="n">
        <f aca="false">parametros_recargas!$E$85*'Plan mensual'!J245+parametros_recargas!$F$85*'Plan mensual'!J246+parametros_recargas!$G$85*'Plan mensual'!J247+parametros_recargas!$H$85*'Plan mensual'!J248+parametros_recargas!$I$85*'Plan mensual'!J249+parametros_recargas!$J$85*'Plan mensual'!J250+parametros_recargas!$K$85*'Plan mensual'!J251+parametros_recargas!$L$85*'Plan mensual'!J252</f>
        <v>4331.17690998659</v>
      </c>
      <c r="I239" s="25" t="n">
        <f aca="false">parametros_recargas!$E$85*'Plan mensual'!K245+parametros_recargas!$F$85*'Plan mensual'!K246+parametros_recargas!$G$85*'Plan mensual'!K247+parametros_recargas!$H$85*'Plan mensual'!K248+parametros_recargas!$I$85*'Plan mensual'!K249+parametros_recargas!$J$85*'Plan mensual'!K250+parametros_recargas!$K$85*'Plan mensual'!K251+parametros_recargas!$L$85*'Plan mensual'!K252</f>
        <v>4355.18706553292</v>
      </c>
      <c r="J239" s="25" t="n">
        <f aca="false">parametros_recargas!$E$85*'Plan mensual'!L245+parametros_recargas!$F$85*'Plan mensual'!L246+parametros_recargas!$G$85*'Plan mensual'!L247+parametros_recargas!$H$85*'Plan mensual'!L248+parametros_recargas!$I$85*'Plan mensual'!L249+parametros_recargas!$J$85*'Plan mensual'!L250+parametros_recargas!$K$85*'Plan mensual'!L251+parametros_recargas!$L$85*'Plan mensual'!L252</f>
        <v>4379.34349529638</v>
      </c>
      <c r="K239" s="25" t="n">
        <f aca="false">parametros_recargas!$E$85*'Plan mensual'!M245+parametros_recargas!$F$85*'Plan mensual'!M246+parametros_recargas!$G$85*'Plan mensual'!M247+parametros_recargas!$H$85*'Plan mensual'!M248+parametros_recargas!$I$85*'Plan mensual'!M249+parametros_recargas!$J$85*'Plan mensual'!M250+parametros_recargas!$K$85*'Plan mensual'!M251+parametros_recargas!$L$85*'Plan mensual'!M252</f>
        <v>4403.64709040599</v>
      </c>
      <c r="L239" s="25" t="n">
        <f aca="false">parametros_recargas!$E$85*'Plan mensual'!N245+parametros_recargas!$F$85*'Plan mensual'!N246+parametros_recargas!$G$85*'Plan mensual'!N247+parametros_recargas!$H$85*'Plan mensual'!N248+parametros_recargas!$I$85*'Plan mensual'!N249+parametros_recargas!$J$85*'Plan mensual'!N250+parametros_recargas!$K$85*'Plan mensual'!N251+parametros_recargas!$L$85*'Plan mensual'!N252</f>
        <v>4428.0987474197</v>
      </c>
      <c r="M239" s="25" t="n">
        <f aca="false">parametros_recargas!$E$85*'Plan mensual'!O245+parametros_recargas!$F$85*'Plan mensual'!O246+parametros_recargas!$G$85*'Plan mensual'!O247+parametros_recargas!$H$85*'Plan mensual'!O248+parametros_recargas!$I$85*'Plan mensual'!O249+parametros_recargas!$J$85*'Plan mensual'!O250+parametros_recargas!$K$85*'Plan mensual'!O251+parametros_recargas!$L$85*'Plan mensual'!O252</f>
        <v>4452.69936835746</v>
      </c>
      <c r="N239" s="7" t="n">
        <f aca="false">SUM(B239:M239)</f>
        <v>51841.0812973126</v>
      </c>
      <c r="O239" s="26" t="n">
        <f aca="false">MAX(B239:M239)</f>
        <v>4452.69936835746</v>
      </c>
      <c r="P239" s="15" t="n">
        <f aca="false">O239/parametros_recargas!$B$6</f>
        <v>29.6846624557164</v>
      </c>
    </row>
    <row r="240" customFormat="false" ht="15" hidden="false" customHeight="false" outlineLevel="0" collapsed="false">
      <c r="A240" s="12" t="str">
        <f aca="false">parametros_recargas!$B$86</f>
        <v>Pintura</v>
      </c>
      <c r="B240" s="25" t="n">
        <f aca="false">parametros_recargas!$E$86*'Plan mensual'!D245+parametros_recargas!$F$86*'Plan mensual'!D246+parametros_recargas!$G$86*'Plan mensual'!D247+parametros_recargas!$H$86*'Plan mensual'!D248+parametros_recargas!$I$86*'Plan mensual'!D249+parametros_recargas!$J$86*'Plan mensual'!D250+parametros_recargas!$K$86*'Plan mensual'!D251+parametros_recargas!$L$86*'Plan mensual'!D252</f>
        <v>2101.96811881213</v>
      </c>
      <c r="C240" s="25" t="n">
        <f aca="false">parametros_recargas!$E$86*'Plan mensual'!E245+parametros_recargas!$F$86*'Plan mensual'!E246+parametros_recargas!$G$86*'Plan mensual'!E247+parametros_recargas!$H$86*'Plan mensual'!E248+parametros_recargas!$I$86*'Plan mensual'!E249+parametros_recargas!$J$86*'Plan mensual'!E250+parametros_recargas!$K$86*'Plan mensual'!E251+parametros_recargas!$L$86*'Plan mensual'!E252</f>
        <v>2113.53860117937</v>
      </c>
      <c r="D240" s="25" t="n">
        <f aca="false">parametros_recargas!$E$86*'Plan mensual'!F245+parametros_recargas!$F$86*'Plan mensual'!F246+parametros_recargas!$G$86*'Plan mensual'!F247+parametros_recargas!$H$86*'Plan mensual'!F248+parametros_recargas!$I$86*'Plan mensual'!F249+parametros_recargas!$J$86*'Plan mensual'!F250+parametros_recargas!$K$86*'Plan mensual'!F251+parametros_recargas!$L$86*'Plan mensual'!F252</f>
        <v>2125.17957302123</v>
      </c>
      <c r="E240" s="25" t="n">
        <f aca="false">parametros_recargas!$E$86*'Plan mensual'!G245+parametros_recargas!$F$86*'Plan mensual'!G246+parametros_recargas!$G$86*'Plan mensual'!G247+parametros_recargas!$H$86*'Plan mensual'!G248+parametros_recargas!$I$86*'Plan mensual'!G249+parametros_recargas!$J$86*'Plan mensual'!G250+parametros_recargas!$K$86*'Plan mensual'!G251+parametros_recargas!$L$86*'Plan mensual'!G252</f>
        <v>2136.89146377235</v>
      </c>
      <c r="F240" s="25" t="n">
        <f aca="false">parametros_recargas!$E$86*'Plan mensual'!H245+parametros_recargas!$F$86*'Plan mensual'!H246+parametros_recargas!$G$86*'Plan mensual'!H247+parametros_recargas!$H$86*'Plan mensual'!H248+parametros_recargas!$I$86*'Plan mensual'!H249+parametros_recargas!$J$86*'Plan mensual'!H250+parametros_recargas!$K$86*'Plan mensual'!H251+parametros_recargas!$L$86*'Plan mensual'!H252</f>
        <v>2148.67470548359</v>
      </c>
      <c r="G240" s="25" t="n">
        <f aca="false">parametros_recargas!$E$86*'Plan mensual'!I245+parametros_recargas!$F$86*'Plan mensual'!I246+parametros_recargas!$G$86*'Plan mensual'!I247+parametros_recargas!$H$86*'Plan mensual'!I248+parametros_recargas!$I$86*'Plan mensual'!I249+parametros_recargas!$J$86*'Plan mensual'!I250+parametros_recargas!$K$86*'Plan mensual'!I251+parametros_recargas!$L$86*'Plan mensual'!I252</f>
        <v>2160.52973283792</v>
      </c>
      <c r="H240" s="25" t="n">
        <f aca="false">parametros_recargas!$E$86*'Plan mensual'!J245+parametros_recargas!$F$86*'Plan mensual'!J246+parametros_recargas!$G$86*'Plan mensual'!J247+parametros_recargas!$H$86*'Plan mensual'!J248+parametros_recargas!$I$86*'Plan mensual'!J249+parametros_recargas!$J$86*'Plan mensual'!J250+parametros_recargas!$K$86*'Plan mensual'!J251+parametros_recargas!$L$86*'Plan mensual'!J252</f>
        <v>2172.45698316648</v>
      </c>
      <c r="I240" s="25" t="n">
        <f aca="false">parametros_recargas!$E$86*'Plan mensual'!K245+parametros_recargas!$F$86*'Plan mensual'!K246+parametros_recargas!$G$86*'Plan mensual'!K247+parametros_recargas!$H$86*'Plan mensual'!K248+parametros_recargas!$I$86*'Plan mensual'!K249+parametros_recargas!$J$86*'Plan mensual'!K250+parametros_recargas!$K$86*'Plan mensual'!K251+parametros_recargas!$L$86*'Plan mensual'!K252</f>
        <v>2184.4568964647</v>
      </c>
      <c r="J240" s="25" t="n">
        <f aca="false">parametros_recargas!$E$86*'Plan mensual'!L245+parametros_recargas!$F$86*'Plan mensual'!L246+parametros_recargas!$G$86*'Plan mensual'!L247+parametros_recargas!$H$86*'Plan mensual'!L248+parametros_recargas!$I$86*'Plan mensual'!L249+parametros_recargas!$J$86*'Plan mensual'!L250+parametros_recargas!$K$86*'Plan mensual'!L251+parametros_recargas!$L$86*'Plan mensual'!L252</f>
        <v>2196.52991540858</v>
      </c>
      <c r="K240" s="25" t="n">
        <f aca="false">parametros_recargas!$E$86*'Plan mensual'!M245+parametros_recargas!$F$86*'Plan mensual'!M246+parametros_recargas!$G$86*'Plan mensual'!M247+parametros_recargas!$H$86*'Plan mensual'!M248+parametros_recargas!$I$86*'Plan mensual'!M249+parametros_recargas!$J$86*'Plan mensual'!M250+parametros_recargas!$K$86*'Plan mensual'!M251+parametros_recargas!$L$86*'Plan mensual'!M252</f>
        <v>2208.67648537093</v>
      </c>
      <c r="L240" s="25" t="n">
        <f aca="false">parametros_recargas!$E$86*'Plan mensual'!N245+parametros_recargas!$F$86*'Plan mensual'!N246+parametros_recargas!$G$86*'Plan mensual'!N247+parametros_recargas!$H$86*'Plan mensual'!N248+parametros_recargas!$I$86*'Plan mensual'!N249+parametros_recargas!$J$86*'Plan mensual'!N250+parametros_recargas!$K$86*'Plan mensual'!N251+parametros_recargas!$L$86*'Plan mensual'!N252</f>
        <v>2220.8970544379</v>
      </c>
      <c r="M240" s="25" t="n">
        <f aca="false">parametros_recargas!$E$86*'Plan mensual'!O245+parametros_recargas!$F$86*'Plan mensual'!O246+parametros_recargas!$G$86*'Plan mensual'!O247+parametros_recargas!$H$86*'Plan mensual'!O248+parametros_recargas!$I$86*'Plan mensual'!O249+parametros_recargas!$J$86*'Plan mensual'!O250+parametros_recargas!$K$86*'Plan mensual'!O251+parametros_recargas!$L$86*'Plan mensual'!O252</f>
        <v>2233.19207342543</v>
      </c>
      <c r="N240" s="7" t="n">
        <f aca="false">SUM(B240:M240)</f>
        <v>26002.9916033806</v>
      </c>
      <c r="O240" s="26" t="n">
        <f aca="false">MAX(B240:M240)</f>
        <v>2233.19207342543</v>
      </c>
      <c r="P240" s="15" t="n">
        <f aca="false">O240/parametros_recargas!$B$6</f>
        <v>14.8879471561695</v>
      </c>
    </row>
    <row r="241" customFormat="false" ht="15" hidden="false" customHeight="false" outlineLevel="0" collapsed="false">
      <c r="A241" s="12" t="str">
        <f aca="false">parametros_recargas!$B$87</f>
        <v>Carga de polvo ABC</v>
      </c>
      <c r="B241" s="25" t="n">
        <f aca="false">parametros_recargas!$E$87*'Plan mensual'!D245+parametros_recargas!$F$87*'Plan mensual'!D246+parametros_recargas!$G$87*'Plan mensual'!D247+parametros_recargas!$H$87*'Plan mensual'!D248+parametros_recargas!$I$87*'Plan mensual'!D249+parametros_recargas!$J$87*'Plan mensual'!D250+parametros_recargas!$K$87*'Plan mensual'!D251+parametros_recargas!$L$87*'Plan mensual'!D252</f>
        <v>18123.2221831474</v>
      </c>
      <c r="C241" s="25" t="n">
        <f aca="false">parametros_recargas!$E$87*'Plan mensual'!E245+parametros_recargas!$F$87*'Plan mensual'!E246+parametros_recargas!$G$87*'Plan mensual'!E247+parametros_recargas!$H$87*'Plan mensual'!E248+parametros_recargas!$I$87*'Plan mensual'!E249+parametros_recargas!$J$87*'Plan mensual'!E250+parametros_recargas!$K$87*'Plan mensual'!E251+parametros_recargas!$L$87*'Plan mensual'!E252</f>
        <v>18224.1100566387</v>
      </c>
      <c r="D241" s="25" t="n">
        <f aca="false">parametros_recargas!$E$87*'Plan mensual'!F245+parametros_recargas!$F$87*'Plan mensual'!F246+parametros_recargas!$G$87*'Plan mensual'!F247+parametros_recargas!$H$87*'Plan mensual'!F248+parametros_recargas!$I$87*'Plan mensual'!F249+parametros_recargas!$J$87*'Plan mensual'!F250+parametros_recargas!$K$87*'Plan mensual'!F251+parametros_recargas!$L$87*'Plan mensual'!F252</f>
        <v>18325.6125573316</v>
      </c>
      <c r="E241" s="25" t="n">
        <f aca="false">parametros_recargas!$E$87*'Plan mensual'!G245+parametros_recargas!$F$87*'Plan mensual'!G246+parametros_recargas!$G$87*'Plan mensual'!G247+parametros_recargas!$H$87*'Plan mensual'!G248+parametros_recargas!$I$87*'Plan mensual'!G249+parametros_recargas!$J$87*'Plan mensual'!G250+parametros_recargas!$K$87*'Plan mensual'!G251+parametros_recargas!$L$87*'Plan mensual'!G252</f>
        <v>18427.7334296462</v>
      </c>
      <c r="F241" s="25" t="n">
        <f aca="false">parametros_recargas!$E$87*'Plan mensual'!H245+parametros_recargas!$F$87*'Plan mensual'!H246+parametros_recargas!$G$87*'Plan mensual'!H247+parametros_recargas!$H$87*'Plan mensual'!H248+parametros_recargas!$I$87*'Plan mensual'!H249+parametros_recargas!$J$87*'Plan mensual'!H250+parametros_recargas!$K$87*'Plan mensual'!H251+parametros_recargas!$L$87*'Plan mensual'!H252</f>
        <v>18530.4764408146</v>
      </c>
      <c r="G241" s="25" t="n">
        <f aca="false">parametros_recargas!$E$87*'Plan mensual'!I245+parametros_recargas!$F$87*'Plan mensual'!I246+parametros_recargas!$G$87*'Plan mensual'!I247+parametros_recargas!$H$87*'Plan mensual'!I248+parametros_recargas!$I$87*'Plan mensual'!I249+parametros_recargas!$J$87*'Plan mensual'!I250+parametros_recargas!$K$87*'Plan mensual'!I251+parametros_recargas!$L$87*'Plan mensual'!I252</f>
        <v>18633.8453810194</v>
      </c>
      <c r="H241" s="25" t="n">
        <f aca="false">parametros_recargas!$E$87*'Plan mensual'!J245+parametros_recargas!$F$87*'Plan mensual'!J246+parametros_recargas!$G$87*'Plan mensual'!J247+parametros_recargas!$H$87*'Plan mensual'!J248+parametros_recargas!$I$87*'Plan mensual'!J249+parametros_recargas!$J$87*'Plan mensual'!J250+parametros_recargas!$K$87*'Plan mensual'!J251+parametros_recargas!$L$87*'Plan mensual'!J252</f>
        <v>18737.8440635336</v>
      </c>
      <c r="I241" s="25" t="n">
        <f aca="false">parametros_recargas!$E$87*'Plan mensual'!K245+parametros_recargas!$F$87*'Plan mensual'!K246+parametros_recargas!$G$87*'Plan mensual'!K247+parametros_recargas!$H$87*'Plan mensual'!K248+parametros_recargas!$I$87*'Plan mensual'!K249+parametros_recargas!$J$87*'Plan mensual'!K250+parametros_recargas!$K$87*'Plan mensual'!K251+parametros_recargas!$L$87*'Plan mensual'!K252</f>
        <v>18842.4763248614</v>
      </c>
      <c r="J241" s="25" t="n">
        <f aca="false">parametros_recargas!$E$87*'Plan mensual'!L245+parametros_recargas!$F$87*'Plan mensual'!L246+parametros_recargas!$G$87*'Plan mensual'!L247+parametros_recargas!$H$87*'Plan mensual'!L248+parametros_recargas!$I$87*'Plan mensual'!L249+parametros_recargas!$J$87*'Plan mensual'!L250+parametros_recargas!$K$87*'Plan mensual'!L251+parametros_recargas!$L$87*'Plan mensual'!L252</f>
        <v>18947.7460248798</v>
      </c>
      <c r="K241" s="25" t="n">
        <f aca="false">parametros_recargas!$E$87*'Plan mensual'!M245+parametros_recargas!$F$87*'Plan mensual'!M246+parametros_recargas!$G$87*'Plan mensual'!M247+parametros_recargas!$H$87*'Plan mensual'!M248+parametros_recargas!$I$87*'Plan mensual'!M249+parametros_recargas!$J$87*'Plan mensual'!M250+parametros_recargas!$K$87*'Plan mensual'!M251+parametros_recargas!$L$87*'Plan mensual'!M252</f>
        <v>19053.6570469808</v>
      </c>
      <c r="L241" s="25" t="n">
        <f aca="false">parametros_recargas!$E$87*'Plan mensual'!N245+parametros_recargas!$F$87*'Plan mensual'!N246+parametros_recargas!$G$87*'Plan mensual'!N247+parametros_recargas!$H$87*'Plan mensual'!N248+parametros_recargas!$I$87*'Plan mensual'!N249+parametros_recargas!$J$87*'Plan mensual'!N250+parametros_recargas!$K$87*'Plan mensual'!N251+parametros_recargas!$L$87*'Plan mensual'!N252</f>
        <v>19160.2132982146</v>
      </c>
      <c r="M241" s="25" t="n">
        <f aca="false">parametros_recargas!$E$87*'Plan mensual'!O245+parametros_recargas!$F$87*'Plan mensual'!O246+parametros_recargas!$G$87*'Plan mensual'!O247+parametros_recargas!$H$87*'Plan mensual'!O248+parametros_recargas!$I$87*'Plan mensual'!O249+parametros_recargas!$J$87*'Plan mensual'!O250+parametros_recargas!$K$87*'Plan mensual'!O251+parametros_recargas!$L$87*'Plan mensual'!O252</f>
        <v>19267.418709434</v>
      </c>
      <c r="N241" s="7" t="n">
        <f aca="false">SUM(B241:M241)</f>
        <v>224274.355516502</v>
      </c>
      <c r="O241" s="26" t="n">
        <f aca="false">MAX(B241:M241)</f>
        <v>19267.418709434</v>
      </c>
      <c r="P241" s="15" t="n">
        <f aca="false">O241/parametros_recargas!$B$6</f>
        <v>128.449458062893</v>
      </c>
    </row>
    <row r="242" customFormat="false" ht="15" hidden="false" customHeight="false" outlineLevel="0" collapsed="false">
      <c r="A242" s="12" t="str">
        <f aca="false">parametros_recargas!$B$88</f>
        <v>Carga de polvo BC</v>
      </c>
      <c r="B242" s="25" t="n">
        <f aca="false">parametros_recargas!$E$88*'Plan mensual'!D245+parametros_recargas!$F$88*'Plan mensual'!D246+parametros_recargas!$G$88*'Plan mensual'!D247+parametros_recargas!$H$88*'Plan mensual'!D248+parametros_recargas!$I$88*'Plan mensual'!D249+parametros_recargas!$J$88*'Plan mensual'!D250+parametros_recargas!$K$88*'Plan mensual'!D251+parametros_recargas!$L$88*'Plan mensual'!D252</f>
        <v>28.923215107637</v>
      </c>
      <c r="C242" s="25" t="n">
        <f aca="false">parametros_recargas!$E$88*'Plan mensual'!E245+parametros_recargas!$F$88*'Plan mensual'!E246+parametros_recargas!$G$88*'Plan mensual'!E247+parametros_recargas!$H$88*'Plan mensual'!E248+parametros_recargas!$I$88*'Plan mensual'!E249+parametros_recargas!$J$88*'Plan mensual'!E250+parametros_recargas!$K$88*'Plan mensual'!E251+parametros_recargas!$L$88*'Plan mensual'!E252</f>
        <v>29.0659135772833</v>
      </c>
      <c r="D242" s="25" t="n">
        <f aca="false">parametros_recargas!$E$88*'Plan mensual'!F245+parametros_recargas!$F$88*'Plan mensual'!F246+parametros_recargas!$G$88*'Plan mensual'!F247+parametros_recargas!$H$88*'Plan mensual'!F248+parametros_recargas!$I$88*'Plan mensual'!F249+parametros_recargas!$J$88*'Plan mensual'!F250+parametros_recargas!$K$88*'Plan mensual'!F251+parametros_recargas!$L$88*'Plan mensual'!F252</f>
        <v>29.2094813918572</v>
      </c>
      <c r="E242" s="25" t="n">
        <f aca="false">parametros_recargas!$E$88*'Plan mensual'!G245+parametros_recargas!$F$88*'Plan mensual'!G246+parametros_recargas!$G$88*'Plan mensual'!G247+parametros_recargas!$H$88*'Plan mensual'!G248+parametros_recargas!$I$88*'Plan mensual'!G249+parametros_recargas!$J$88*'Plan mensual'!G250+parametros_recargas!$K$88*'Plan mensual'!G251+parametros_recargas!$L$88*'Plan mensual'!G252</f>
        <v>29.3539238475653</v>
      </c>
      <c r="F242" s="25" t="n">
        <f aca="false">parametros_recargas!$E$88*'Plan mensual'!H245+parametros_recargas!$F$88*'Plan mensual'!H246+parametros_recargas!$G$88*'Plan mensual'!H247+parametros_recargas!$H$88*'Plan mensual'!H248+parametros_recargas!$I$88*'Plan mensual'!H249+parametros_recargas!$J$88*'Plan mensual'!H250+parametros_recargas!$K$88*'Plan mensual'!H251+parametros_recargas!$L$88*'Plan mensual'!H252</f>
        <v>29.4992462728799</v>
      </c>
      <c r="G242" s="25" t="n">
        <f aca="false">parametros_recargas!$E$88*'Plan mensual'!I245+parametros_recargas!$F$88*'Plan mensual'!I246+parametros_recargas!$G$88*'Plan mensual'!I247+parametros_recargas!$H$88*'Plan mensual'!I248+parametros_recargas!$I$88*'Plan mensual'!I249+parametros_recargas!$J$88*'Plan mensual'!I250+parametros_recargas!$K$88*'Plan mensual'!I251+parametros_recargas!$L$88*'Plan mensual'!I252</f>
        <v>29.6454540287352</v>
      </c>
      <c r="H242" s="25" t="n">
        <f aca="false">parametros_recargas!$E$88*'Plan mensual'!J245+parametros_recargas!$F$88*'Plan mensual'!J246+parametros_recargas!$G$88*'Plan mensual'!J247+parametros_recargas!$H$88*'Plan mensual'!J248+parametros_recargas!$I$88*'Plan mensual'!J249+parametros_recargas!$J$88*'Plan mensual'!J250+parametros_recargas!$K$88*'Plan mensual'!J251+parametros_recargas!$L$88*'Plan mensual'!J252</f>
        <v>29.7925525087254</v>
      </c>
      <c r="I242" s="25" t="n">
        <f aca="false">parametros_recargas!$E$88*'Plan mensual'!K245+parametros_recargas!$F$88*'Plan mensual'!K246+parametros_recargas!$G$88*'Plan mensual'!K247+parametros_recargas!$H$88*'Plan mensual'!K248+parametros_recargas!$I$88*'Plan mensual'!K249+parametros_recargas!$J$88*'Plan mensual'!K250+parametros_recargas!$K$88*'Plan mensual'!K251+parametros_recargas!$L$88*'Plan mensual'!K252</f>
        <v>29.9405471393032</v>
      </c>
      <c r="J242" s="25" t="n">
        <f aca="false">parametros_recargas!$E$88*'Plan mensual'!L245+parametros_recargas!$F$88*'Plan mensual'!L246+parametros_recargas!$G$88*'Plan mensual'!L247+parametros_recargas!$H$88*'Plan mensual'!L248+parametros_recargas!$I$88*'Plan mensual'!L249+parametros_recargas!$J$88*'Plan mensual'!L250+parametros_recargas!$K$88*'Plan mensual'!L251+parametros_recargas!$L$88*'Plan mensual'!L252</f>
        <v>30.0894433799803</v>
      </c>
      <c r="K242" s="25" t="n">
        <f aca="false">parametros_recargas!$E$88*'Plan mensual'!M245+parametros_recargas!$F$88*'Plan mensual'!M246+parametros_recargas!$G$88*'Plan mensual'!M247+parametros_recargas!$H$88*'Plan mensual'!M248+parametros_recargas!$I$88*'Plan mensual'!M249+parametros_recargas!$J$88*'Plan mensual'!M250+parametros_recargas!$K$88*'Plan mensual'!M251+parametros_recargas!$L$88*'Plan mensual'!M252</f>
        <v>30.2392467235287</v>
      </c>
      <c r="L242" s="25" t="n">
        <f aca="false">parametros_recargas!$E$88*'Plan mensual'!N245+parametros_recargas!$F$88*'Plan mensual'!N246+parametros_recargas!$G$88*'Plan mensual'!N247+parametros_recargas!$H$88*'Plan mensual'!N248+parametros_recargas!$I$88*'Plan mensual'!N249+parametros_recargas!$J$88*'Plan mensual'!N250+parametros_recargas!$K$88*'Plan mensual'!N251+parametros_recargas!$L$88*'Plan mensual'!N252</f>
        <v>30.3899626961835</v>
      </c>
      <c r="M242" s="25" t="n">
        <f aca="false">parametros_recargas!$E$88*'Plan mensual'!O245+parametros_recargas!$F$88*'Plan mensual'!O246+parametros_recargas!$G$88*'Plan mensual'!O247+parametros_recargas!$H$88*'Plan mensual'!O248+parametros_recargas!$I$88*'Plan mensual'!O249+parametros_recargas!$J$88*'Plan mensual'!O250+parametros_recargas!$K$88*'Plan mensual'!O251+parametros_recargas!$L$88*'Plan mensual'!O252</f>
        <v>30.5415968578466</v>
      </c>
      <c r="N242" s="7" t="n">
        <f aca="false">SUM(B242:M242)</f>
        <v>356.690583531526</v>
      </c>
      <c r="O242" s="26" t="n">
        <f aca="false">MAX(B242:M242)</f>
        <v>30.5415968578466</v>
      </c>
      <c r="P242" s="15" t="n">
        <f aca="false">O242/parametros_recargas!$B$6</f>
        <v>0.203610645718977</v>
      </c>
    </row>
    <row r="243" customFormat="false" ht="15" hidden="false" customHeight="false" outlineLevel="0" collapsed="false">
      <c r="A243" s="12" t="str">
        <f aca="false">parametros_recargas!$B$89</f>
        <v>Descarga y carga Clase D</v>
      </c>
      <c r="B243" s="25" t="n">
        <f aca="false">parametros_recargas!$E$89*'Plan mensual'!D245+parametros_recargas!$F$89*'Plan mensual'!D246+parametros_recargas!$G$89*'Plan mensual'!D247+parametros_recargas!$H$89*'Plan mensual'!D248+parametros_recargas!$I$89*'Plan mensual'!D249+parametros_recargas!$J$89*'Plan mensual'!D250+parametros_recargas!$K$89*'Plan mensual'!D251+parametros_recargas!$L$89*'Plan mensual'!D252</f>
        <v>25.9597084722687</v>
      </c>
      <c r="C243" s="25" t="n">
        <f aca="false">parametros_recargas!$E$89*'Plan mensual'!E245+parametros_recargas!$F$89*'Plan mensual'!E246+parametros_recargas!$G$89*'Plan mensual'!E247+parametros_recargas!$H$89*'Plan mensual'!E248+parametros_recargas!$I$89*'Plan mensual'!E249+parametros_recargas!$J$89*'Plan mensual'!E250+parametros_recargas!$K$89*'Plan mensual'!E251+parametros_recargas!$L$89*'Plan mensual'!E252</f>
        <v>26.0879064949809</v>
      </c>
      <c r="D243" s="25" t="n">
        <f aca="false">parametros_recargas!$E$89*'Plan mensual'!F245+parametros_recargas!$F$89*'Plan mensual'!F246+parametros_recargas!$G$89*'Plan mensual'!F247+parametros_recargas!$H$89*'Plan mensual'!F248+parametros_recargas!$I$89*'Plan mensual'!F249+parametros_recargas!$J$89*'Plan mensual'!F250+parametros_recargas!$K$89*'Plan mensual'!F251+parametros_recargas!$L$89*'Plan mensual'!F252</f>
        <v>26.2168855232712</v>
      </c>
      <c r="E243" s="25" t="n">
        <f aca="false">parametros_recargas!$E$89*'Plan mensual'!G245+parametros_recargas!$F$89*'Plan mensual'!G246+parametros_recargas!$G$89*'Plan mensual'!G247+parametros_recargas!$H$89*'Plan mensual'!G248+parametros_recargas!$I$89*'Plan mensual'!G249+parametros_recargas!$J$89*'Plan mensual'!G250+parametros_recargas!$K$89*'Plan mensual'!G251+parametros_recargas!$L$89*'Plan mensual'!G252</f>
        <v>26.3466503151668</v>
      </c>
      <c r="F243" s="25" t="n">
        <f aca="false">parametros_recargas!$E$89*'Plan mensual'!H245+parametros_recargas!$F$89*'Plan mensual'!H246+parametros_recargas!$G$89*'Plan mensual'!H247+parametros_recargas!$H$89*'Plan mensual'!H248+parametros_recargas!$I$89*'Plan mensual'!H249+parametros_recargas!$J$89*'Plan mensual'!H250+parametros_recargas!$K$89*'Plan mensual'!H251+parametros_recargas!$L$89*'Plan mensual'!H252</f>
        <v>26.4772056576821</v>
      </c>
      <c r="G243" s="25" t="n">
        <f aca="false">parametros_recargas!$E$89*'Plan mensual'!I245+parametros_recargas!$F$89*'Plan mensual'!I246+parametros_recargas!$G$89*'Plan mensual'!I247+parametros_recargas!$H$89*'Plan mensual'!I248+parametros_recargas!$I$89*'Plan mensual'!I249+parametros_recargas!$J$89*'Plan mensual'!I250+parametros_recargas!$K$89*'Plan mensual'!I251+parametros_recargas!$L$89*'Plan mensual'!I252</f>
        <v>26.6085563669946</v>
      </c>
      <c r="H243" s="25" t="n">
        <f aca="false">parametros_recargas!$E$89*'Plan mensual'!J245+parametros_recargas!$F$89*'Plan mensual'!J246+parametros_recargas!$G$89*'Plan mensual'!J247+parametros_recargas!$H$89*'Plan mensual'!J248+parametros_recargas!$I$89*'Plan mensual'!J249+parametros_recargas!$J$89*'Plan mensual'!J250+parametros_recargas!$K$89*'Plan mensual'!J251+parametros_recargas!$L$89*'Plan mensual'!J252</f>
        <v>26.740707288623</v>
      </c>
      <c r="I243" s="25" t="n">
        <f aca="false">parametros_recargas!$E$89*'Plan mensual'!K245+parametros_recargas!$F$89*'Plan mensual'!K246+parametros_recargas!$G$89*'Plan mensual'!K247+parametros_recargas!$H$89*'Plan mensual'!K248+parametros_recargas!$I$89*'Plan mensual'!K249+parametros_recargas!$J$89*'Plan mensual'!K250+parametros_recargas!$K$89*'Plan mensual'!K251+parametros_recargas!$L$89*'Plan mensual'!K252</f>
        <v>26.8736632976056</v>
      </c>
      <c r="J243" s="25" t="n">
        <f aca="false">parametros_recargas!$E$89*'Plan mensual'!L245+parametros_recargas!$F$89*'Plan mensual'!L246+parametros_recargas!$G$89*'Plan mensual'!L247+parametros_recargas!$H$89*'Plan mensual'!L248+parametros_recargas!$I$89*'Plan mensual'!L249+parametros_recargas!$J$89*'Plan mensual'!L250+parametros_recargas!$K$89*'Plan mensual'!L251+parametros_recargas!$L$89*'Plan mensual'!L252</f>
        <v>27.0074292986805</v>
      </c>
      <c r="K243" s="25" t="n">
        <f aca="false">parametros_recargas!$E$89*'Plan mensual'!M245+parametros_recargas!$F$89*'Plan mensual'!M246+parametros_recargas!$G$89*'Plan mensual'!M247+parametros_recargas!$H$89*'Plan mensual'!M248+parametros_recargas!$I$89*'Plan mensual'!M249+parametros_recargas!$J$89*'Plan mensual'!M250+parametros_recargas!$K$89*'Plan mensual'!M251+parametros_recargas!$L$89*'Plan mensual'!M252</f>
        <v>27.1420102264661</v>
      </c>
      <c r="L243" s="25" t="n">
        <f aca="false">parametros_recargas!$E$89*'Plan mensual'!N245+parametros_recargas!$F$89*'Plan mensual'!N246+parametros_recargas!$G$89*'Plan mensual'!N247+parametros_recargas!$H$89*'Plan mensual'!N248+parametros_recargas!$I$89*'Plan mensual'!N249+parametros_recargas!$J$89*'Plan mensual'!N250+parametros_recargas!$K$89*'Plan mensual'!N251+parametros_recargas!$L$89*'Plan mensual'!N252</f>
        <v>27.2774110456437</v>
      </c>
      <c r="M243" s="25" t="n">
        <f aca="false">parametros_recargas!$E$89*'Plan mensual'!O245+parametros_recargas!$F$89*'Plan mensual'!O246+parametros_recargas!$G$89*'Plan mensual'!O247+parametros_recargas!$H$89*'Plan mensual'!O248+parametros_recargas!$I$89*'Plan mensual'!O249+parametros_recargas!$J$89*'Plan mensual'!O250+parametros_recargas!$K$89*'Plan mensual'!O251+parametros_recargas!$L$89*'Plan mensual'!O252</f>
        <v>27.4136367511402</v>
      </c>
      <c r="N243" s="7" t="n">
        <f aca="false">SUM(B243:M243)</f>
        <v>320.151770738523</v>
      </c>
      <c r="O243" s="26" t="n">
        <f aca="false">MAX(B243:M243)</f>
        <v>27.4136367511402</v>
      </c>
      <c r="P243" s="15" t="n">
        <f aca="false">O243/parametros_recargas!$B$6</f>
        <v>0.182757578340934</v>
      </c>
    </row>
    <row r="244" customFormat="false" ht="15" hidden="false" customHeight="false" outlineLevel="0" collapsed="false">
      <c r="A244" s="12" t="str">
        <f aca="false">parametros_recargas!$B$90</f>
        <v>Carga de agua / AFFF / sales K</v>
      </c>
      <c r="B244" s="25" t="n">
        <f aca="false">parametros_recargas!$E$90*'Plan mensual'!D245+parametros_recargas!$F$90*'Plan mensual'!D246+parametros_recargas!$G$90*'Plan mensual'!D247+parametros_recargas!$H$90*'Plan mensual'!D248+parametros_recargas!$I$90*'Plan mensual'!D249+parametros_recargas!$J$90*'Plan mensual'!D250+parametros_recargas!$K$90*'Plan mensual'!D251+parametros_recargas!$L$90*'Plan mensual'!D252</f>
        <v>977.893904237795</v>
      </c>
      <c r="C244" s="25" t="n">
        <f aca="false">parametros_recargas!$E$90*'Plan mensual'!E245+parametros_recargas!$F$90*'Plan mensual'!E246+parametros_recargas!$G$90*'Plan mensual'!E247+parametros_recargas!$H$90*'Plan mensual'!E248+parametros_recargas!$I$90*'Plan mensual'!E249+parametros_recargas!$J$90*'Plan mensual'!E250+parametros_recargas!$K$90*'Plan mensual'!E251+parametros_recargas!$L$90*'Plan mensual'!E252</f>
        <v>982.902046155358</v>
      </c>
      <c r="D244" s="25" t="n">
        <f aca="false">parametros_recargas!$E$90*'Plan mensual'!F245+parametros_recargas!$F$90*'Plan mensual'!F246+parametros_recargas!$G$90*'Plan mensual'!F247+parametros_recargas!$H$90*'Plan mensual'!F248+parametros_recargas!$I$90*'Plan mensual'!F249+parametros_recargas!$J$90*'Plan mensual'!F250+parametros_recargas!$K$90*'Plan mensual'!F251+parametros_recargas!$L$90*'Plan mensual'!F252</f>
        <v>987.940698580728</v>
      </c>
      <c r="E244" s="25" t="n">
        <f aca="false">parametros_recargas!$E$90*'Plan mensual'!G245+parametros_recargas!$F$90*'Plan mensual'!G246+parametros_recargas!$G$90*'Plan mensual'!G247+parametros_recargas!$H$90*'Plan mensual'!G248+parametros_recargas!$I$90*'Plan mensual'!G249+parametros_recargas!$J$90*'Plan mensual'!G250+parametros_recargas!$K$90*'Plan mensual'!G251+parametros_recargas!$L$90*'Plan mensual'!G252</f>
        <v>993.010047389446</v>
      </c>
      <c r="F244" s="25" t="n">
        <f aca="false">parametros_recargas!$E$90*'Plan mensual'!H245+parametros_recargas!$F$90*'Plan mensual'!H246+parametros_recargas!$G$90*'Plan mensual'!H247+parametros_recargas!$H$90*'Plan mensual'!H248+parametros_recargas!$I$90*'Plan mensual'!H249+parametros_recargas!$J$90*'Plan mensual'!H250+parametros_recargas!$K$90*'Plan mensual'!H251+parametros_recargas!$L$90*'Plan mensual'!H252</f>
        <v>998.11027958944</v>
      </c>
      <c r="G244" s="25" t="n">
        <f aca="false">parametros_recargas!$E$90*'Plan mensual'!I245+parametros_recargas!$F$90*'Plan mensual'!I246+parametros_recargas!$G$90*'Plan mensual'!I247+parametros_recargas!$H$90*'Plan mensual'!I248+parametros_recargas!$I$90*'Plan mensual'!I249+parametros_recargas!$J$90*'Plan mensual'!I250+parametros_recargas!$K$90*'Plan mensual'!I251+parametros_recargas!$L$90*'Plan mensual'!I252</f>
        <v>1003.24158332792</v>
      </c>
      <c r="H244" s="25" t="n">
        <f aca="false">parametros_recargas!$E$90*'Plan mensual'!J245+parametros_recargas!$F$90*'Plan mensual'!J246+parametros_recargas!$G$90*'Plan mensual'!J247+parametros_recargas!$H$90*'Plan mensual'!J248+parametros_recargas!$I$90*'Plan mensual'!J249+parametros_recargas!$J$90*'Plan mensual'!J250+parametros_recargas!$K$90*'Plan mensual'!J251+parametros_recargas!$L$90*'Plan mensual'!J252</f>
        <v>1008.40414789834</v>
      </c>
      <c r="I244" s="25" t="n">
        <f aca="false">parametros_recargas!$E$90*'Plan mensual'!K245+parametros_recargas!$F$90*'Plan mensual'!K246+parametros_recargas!$G$90*'Plan mensual'!K247+parametros_recargas!$H$90*'Plan mensual'!K248+parametros_recargas!$I$90*'Plan mensual'!K249+parametros_recargas!$J$90*'Plan mensual'!K250+parametros_recargas!$K$90*'Plan mensual'!K251+parametros_recargas!$L$90*'Plan mensual'!K252</f>
        <v>1013.59816374734</v>
      </c>
      <c r="J244" s="25" t="n">
        <f aca="false">parametros_recargas!$E$90*'Plan mensual'!L245+parametros_recargas!$F$90*'Plan mensual'!L246+parametros_recargas!$G$90*'Plan mensual'!L247+parametros_recargas!$H$90*'Plan mensual'!L248+parametros_recargas!$I$90*'Plan mensual'!L249+parametros_recargas!$J$90*'Plan mensual'!L250+parametros_recargas!$K$90*'Plan mensual'!L251+parametros_recargas!$L$90*'Plan mensual'!L252</f>
        <v>1018.8238224818</v>
      </c>
      <c r="K244" s="25" t="n">
        <f aca="false">parametros_recargas!$E$90*'Plan mensual'!M245+parametros_recargas!$F$90*'Plan mensual'!M246+parametros_recargas!$G$90*'Plan mensual'!M247+parametros_recargas!$H$90*'Plan mensual'!M248+parametros_recargas!$I$90*'Plan mensual'!M249+parametros_recargas!$J$90*'Plan mensual'!M250+parametros_recargas!$K$90*'Plan mensual'!M251+parametros_recargas!$L$90*'Plan mensual'!M252</f>
        <v>1024.08131687593</v>
      </c>
      <c r="L244" s="25" t="n">
        <f aca="false">parametros_recargas!$E$90*'Plan mensual'!N245+parametros_recargas!$F$90*'Plan mensual'!N246+parametros_recargas!$G$90*'Plan mensual'!N247+parametros_recargas!$H$90*'Plan mensual'!N248+parametros_recargas!$I$90*'Plan mensual'!N249+parametros_recargas!$J$90*'Plan mensual'!N250+parametros_recargas!$K$90*'Plan mensual'!N251+parametros_recargas!$L$90*'Plan mensual'!N252</f>
        <v>1029.37084087832</v>
      </c>
      <c r="M244" s="25" t="n">
        <f aca="false">parametros_recargas!$E$90*'Plan mensual'!O245+parametros_recargas!$F$90*'Plan mensual'!O246+parametros_recargas!$G$90*'Plan mensual'!O247+parametros_recargas!$H$90*'Plan mensual'!O248+parametros_recargas!$I$90*'Plan mensual'!O249+parametros_recargas!$J$90*'Plan mensual'!O250+parametros_recargas!$K$90*'Plan mensual'!O251+parametros_recargas!$L$90*'Plan mensual'!O252</f>
        <v>1034.69258961916</v>
      </c>
      <c r="N244" s="7" t="n">
        <f aca="false">SUM(B244:M244)</f>
        <v>12072.0694407816</v>
      </c>
      <c r="O244" s="26" t="n">
        <f aca="false">MAX(B244:M244)</f>
        <v>1034.69258961916</v>
      </c>
      <c r="P244" s="15" t="n">
        <f aca="false">O244/parametros_recargas!$B$6</f>
        <v>6.89795059746105</v>
      </c>
    </row>
    <row r="245" customFormat="false" ht="15" hidden="false" customHeight="false" outlineLevel="0" collapsed="false">
      <c r="A245" s="12" t="str">
        <f aca="false">parametros_recargas!$B$91</f>
        <v>Carga de CO₂</v>
      </c>
      <c r="B245" s="25" t="n">
        <f aca="false">parametros_recargas!$E$91*'Plan mensual'!D245+parametros_recargas!$F$91*'Plan mensual'!D246+parametros_recargas!$G$91*'Plan mensual'!D247+parametros_recargas!$H$91*'Plan mensual'!D248+parametros_recargas!$I$91*'Plan mensual'!D249+parametros_recargas!$J$91*'Plan mensual'!D250+parametros_recargas!$K$91*'Plan mensual'!D251+parametros_recargas!$L$91*'Plan mensual'!D252</f>
        <v>537.20609821664</v>
      </c>
      <c r="C245" s="25" t="n">
        <f aca="false">parametros_recargas!$E$91*'Plan mensual'!E245+parametros_recargas!$F$91*'Plan mensual'!E246+parametros_recargas!$G$91*'Plan mensual'!E247+parametros_recargas!$H$91*'Plan mensual'!E248+parametros_recargas!$I$91*'Plan mensual'!E249+parametros_recargas!$J$91*'Plan mensual'!E250+parametros_recargas!$K$91*'Plan mensual'!E251+parametros_recargas!$L$91*'Plan mensual'!E252</f>
        <v>539.955079809323</v>
      </c>
      <c r="D245" s="25" t="n">
        <f aca="false">parametros_recargas!$E$91*'Plan mensual'!F245+parametros_recargas!$F$91*'Plan mensual'!F246+parametros_recargas!$G$91*'Plan mensual'!F247+parametros_recargas!$H$91*'Plan mensual'!F248+parametros_recargas!$I$91*'Plan mensual'!F249+parametros_recargas!$J$91*'Plan mensual'!F250+parametros_recargas!$K$91*'Plan mensual'!F251+parametros_recargas!$L$91*'Plan mensual'!F252</f>
        <v>542.720808695857</v>
      </c>
      <c r="E245" s="25" t="n">
        <f aca="false">parametros_recargas!$E$91*'Plan mensual'!G245+parametros_recargas!$F$91*'Plan mensual'!G246+parametros_recargas!$G$91*'Plan mensual'!G247+parametros_recargas!$H$91*'Plan mensual'!G248+parametros_recargas!$I$91*'Plan mensual'!G249+parametros_recargas!$J$91*'Plan mensual'!G250+parametros_recargas!$K$91*'Plan mensual'!G251+parametros_recargas!$L$91*'Plan mensual'!G252</f>
        <v>545.503386903792</v>
      </c>
      <c r="F245" s="25" t="n">
        <f aca="false">parametros_recargas!$E$91*'Plan mensual'!H245+parametros_recargas!$F$91*'Plan mensual'!H246+parametros_recargas!$G$91*'Plan mensual'!H247+parametros_recargas!$H$91*'Plan mensual'!H248+parametros_recargas!$I$91*'Plan mensual'!H249+parametros_recargas!$J$91*'Plan mensual'!H250+parametros_recargas!$K$91*'Plan mensual'!H251+parametros_recargas!$L$91*'Plan mensual'!H252</f>
        <v>548.302917082245</v>
      </c>
      <c r="G245" s="25" t="n">
        <f aca="false">parametros_recargas!$E$91*'Plan mensual'!I245+parametros_recargas!$F$91*'Plan mensual'!I246+parametros_recargas!$G$91*'Plan mensual'!I247+parametros_recargas!$H$91*'Plan mensual'!I248+parametros_recargas!$I$91*'Plan mensual'!I249+parametros_recargas!$J$91*'Plan mensual'!I250+parametros_recargas!$K$91*'Plan mensual'!I251+parametros_recargas!$L$91*'Plan mensual'!I252</f>
        <v>551.119502505691</v>
      </c>
      <c r="H245" s="25" t="n">
        <f aca="false">parametros_recargas!$E$91*'Plan mensual'!J245+parametros_recargas!$F$91*'Plan mensual'!J246+parametros_recargas!$G$91*'Plan mensual'!J247+parametros_recargas!$H$91*'Plan mensual'!J248+parametros_recargas!$I$91*'Plan mensual'!J249+parametros_recargas!$J$91*'Plan mensual'!J250+parametros_recargas!$K$91*'Plan mensual'!J251+parametros_recargas!$L$91*'Plan mensual'!J252</f>
        <v>553.953247077772</v>
      </c>
      <c r="I245" s="25" t="n">
        <f aca="false">parametros_recargas!$E$91*'Plan mensual'!K245+parametros_recargas!$F$91*'Plan mensual'!K246+parametros_recargas!$G$91*'Plan mensual'!K247+parametros_recargas!$H$91*'Plan mensual'!K248+parametros_recargas!$I$91*'Plan mensual'!K249+parametros_recargas!$J$91*'Plan mensual'!K250+parametros_recargas!$K$91*'Plan mensual'!K251+parametros_recargas!$L$91*'Plan mensual'!K252</f>
        <v>556.804255335131</v>
      </c>
      <c r="J245" s="25" t="n">
        <f aca="false">parametros_recargas!$E$91*'Plan mensual'!L245+parametros_recargas!$F$91*'Plan mensual'!L246+parametros_recargas!$G$91*'Plan mensual'!L247+parametros_recargas!$H$91*'Plan mensual'!L248+parametros_recargas!$I$91*'Plan mensual'!L249+parametros_recargas!$J$91*'Plan mensual'!L250+parametros_recargas!$K$91*'Plan mensual'!L251+parametros_recargas!$L$91*'Plan mensual'!L252</f>
        <v>559.672632451266</v>
      </c>
      <c r="K245" s="25" t="n">
        <f aca="false">parametros_recargas!$E$91*'Plan mensual'!M245+parametros_recargas!$F$91*'Plan mensual'!M246+parametros_recargas!$G$91*'Plan mensual'!M247+parametros_recargas!$H$91*'Plan mensual'!M248+parametros_recargas!$I$91*'Plan mensual'!M249+parametros_recargas!$J$91*'Plan mensual'!M250+parametros_recargas!$K$91*'Plan mensual'!M251+parametros_recargas!$L$91*'Plan mensual'!M252</f>
        <v>562.55848424041</v>
      </c>
      <c r="L245" s="25" t="n">
        <f aca="false">parametros_recargas!$E$91*'Plan mensual'!N245+parametros_recargas!$F$91*'Plan mensual'!N246+parametros_recargas!$G$91*'Plan mensual'!N247+parametros_recargas!$H$91*'Plan mensual'!N248+parametros_recargas!$I$91*'Plan mensual'!N249+parametros_recargas!$J$91*'Plan mensual'!N250+parametros_recargas!$K$91*'Plan mensual'!N251+parametros_recargas!$L$91*'Plan mensual'!N252</f>
        <v>565.461917161438</v>
      </c>
      <c r="M245" s="25" t="n">
        <f aca="false">parametros_recargas!$E$91*'Plan mensual'!O245+parametros_recargas!$F$91*'Plan mensual'!O246+parametros_recargas!$G$91*'Plan mensual'!O247+parametros_recargas!$H$91*'Plan mensual'!O248+parametros_recargas!$I$91*'Plan mensual'!O249+parametros_recargas!$J$91*'Plan mensual'!O250+parametros_recargas!$K$91*'Plan mensual'!O251+parametros_recargas!$L$91*'Plan mensual'!O252</f>
        <v>568.383038321789</v>
      </c>
      <c r="N245" s="7" t="n">
        <f aca="false">SUM(B245:M245)</f>
        <v>6631.64136780135</v>
      </c>
      <c r="O245" s="26" t="n">
        <f aca="false">MAX(B245:M245)</f>
        <v>568.383038321789</v>
      </c>
      <c r="P245" s="15" t="n">
        <f aca="false">O245/parametros_recargas!$B$6</f>
        <v>3.78922025547859</v>
      </c>
    </row>
    <row r="246" customFormat="false" ht="15" hidden="false" customHeight="false" outlineLevel="0" collapsed="false">
      <c r="A246" s="12" t="str">
        <f aca="false">parametros_recargas!$B$92</f>
        <v>Ensamblaje y marbete — recinto</v>
      </c>
      <c r="B246" s="25" t="n">
        <f aca="false">parametros_recargas!$E$92*'Plan mensual'!D245+parametros_recargas!$F$92*'Plan mensual'!D246+parametros_recargas!$G$92*'Plan mensual'!D247+parametros_recargas!$H$92*'Plan mensual'!D248+parametros_recargas!$I$92*'Plan mensual'!D249+parametros_recargas!$J$92*'Plan mensual'!D250+parametros_recargas!$K$92*'Plan mensual'!D251+parametros_recargas!$L$92*'Plan mensual'!D252</f>
        <v>18178.1051067274</v>
      </c>
      <c r="C246" s="25" t="n">
        <f aca="false">parametros_recargas!$E$92*'Plan mensual'!E245+parametros_recargas!$F$92*'Plan mensual'!E246+parametros_recargas!$G$92*'Plan mensual'!E247+parametros_recargas!$H$92*'Plan mensual'!E248+parametros_recargas!$I$92*'Plan mensual'!E249+parametros_recargas!$J$92*'Plan mensual'!E250+parametros_recargas!$K$92*'Plan mensual'!E251+parametros_recargas!$L$92*'Plan mensual'!E252</f>
        <v>18279.263876711</v>
      </c>
      <c r="D246" s="25" t="n">
        <f aca="false">parametros_recargas!$E$92*'Plan mensual'!F245+parametros_recargas!$F$92*'Plan mensual'!F246+parametros_recargas!$G$92*'Plan mensual'!F247+parametros_recargas!$H$92*'Plan mensual'!F248+parametros_recargas!$I$92*'Plan mensual'!F249+parametros_recargas!$J$92*'Plan mensual'!F250+parametros_recargas!$K$92*'Plan mensual'!F251+parametros_recargas!$L$92*'Plan mensual'!F252</f>
        <v>18381.0389242467</v>
      </c>
      <c r="E246" s="25" t="n">
        <f aca="false">parametros_recargas!$E$92*'Plan mensual'!G245+parametros_recargas!$F$92*'Plan mensual'!G246+parametros_recargas!$G$92*'Plan mensual'!G247+parametros_recargas!$H$92*'Plan mensual'!G248+parametros_recargas!$I$92*'Plan mensual'!G249+parametros_recargas!$J$92*'Plan mensual'!G250+parametros_recargas!$K$92*'Plan mensual'!G251+parametros_recargas!$L$92*'Plan mensual'!G252</f>
        <v>18483.4340038089</v>
      </c>
      <c r="F246" s="25" t="n">
        <f aca="false">parametros_recargas!$E$92*'Plan mensual'!H245+parametros_recargas!$F$92*'Plan mensual'!H246+parametros_recargas!$G$92*'Plan mensual'!H247+parametros_recargas!$H$92*'Plan mensual'!H248+parametros_recargas!$I$92*'Plan mensual'!H249+parametros_recargas!$J$92*'Plan mensual'!H250+parametros_recargas!$K$92*'Plan mensual'!H251+parametros_recargas!$L$92*'Plan mensual'!H252</f>
        <v>18586.4528927452</v>
      </c>
      <c r="G246" s="25" t="n">
        <f aca="false">parametros_recargas!$E$92*'Plan mensual'!I245+parametros_recargas!$F$92*'Plan mensual'!I246+parametros_recargas!$G$92*'Plan mensual'!I247+parametros_recargas!$H$92*'Plan mensual'!I248+parametros_recargas!$I$92*'Plan mensual'!I249+parametros_recargas!$J$92*'Plan mensual'!I250+parametros_recargas!$K$92*'Plan mensual'!I251+parametros_recargas!$L$92*'Plan mensual'!I252</f>
        <v>18690.0993914151</v>
      </c>
      <c r="H246" s="25" t="n">
        <f aca="false">parametros_recargas!$E$92*'Plan mensual'!J245+parametros_recargas!$F$92*'Plan mensual'!J246+parametros_recargas!$G$92*'Plan mensual'!J247+parametros_recargas!$H$92*'Plan mensual'!J248+parametros_recargas!$I$92*'Plan mensual'!J249+parametros_recargas!$J$92*'Plan mensual'!J250+parametros_recargas!$K$92*'Plan mensual'!J251+parametros_recargas!$L$92*'Plan mensual'!J252</f>
        <v>18794.3773233309</v>
      </c>
      <c r="I246" s="25" t="n">
        <f aca="false">parametros_recargas!$E$92*'Plan mensual'!K245+parametros_recargas!$F$92*'Plan mensual'!K246+parametros_recargas!$G$92*'Plan mensual'!K247+parametros_recargas!$H$92*'Plan mensual'!K248+parametros_recargas!$I$92*'Plan mensual'!K249+parametros_recargas!$J$92*'Plan mensual'!K250+parametros_recargas!$K$92*'Plan mensual'!K251+parametros_recargas!$L$92*'Plan mensual'!K252</f>
        <v>18899.2905352983</v>
      </c>
      <c r="J246" s="25" t="n">
        <f aca="false">parametros_recargas!$E$92*'Plan mensual'!L245+parametros_recargas!$F$92*'Plan mensual'!L246+parametros_recargas!$G$92*'Plan mensual'!L247+parametros_recargas!$H$92*'Plan mensual'!L248+parametros_recargas!$I$92*'Plan mensual'!L249+parametros_recargas!$J$92*'Plan mensual'!L250+parametros_recargas!$K$92*'Plan mensual'!L251+parametros_recargas!$L$92*'Plan mensual'!L252</f>
        <v>19004.8428975585</v>
      </c>
      <c r="K246" s="25" t="n">
        <f aca="false">parametros_recargas!$E$92*'Plan mensual'!M245+parametros_recargas!$F$92*'Plan mensual'!M246+parametros_recargas!$G$92*'Plan mensual'!M247+parametros_recargas!$H$92*'Plan mensual'!M248+parametros_recargas!$I$92*'Plan mensual'!M249+parametros_recargas!$J$92*'Plan mensual'!M250+parametros_recargas!$K$92*'Plan mensual'!M251+parametros_recargas!$L$92*'Plan mensual'!M252</f>
        <v>19111.0383039308</v>
      </c>
      <c r="L246" s="25" t="n">
        <f aca="false">parametros_recargas!$E$92*'Plan mensual'!N245+parametros_recargas!$F$92*'Plan mensual'!N246+parametros_recargas!$G$92*'Plan mensual'!N247+parametros_recargas!$H$92*'Plan mensual'!N248+parametros_recargas!$I$92*'Plan mensual'!N249+parametros_recargas!$J$92*'Plan mensual'!N250+parametros_recargas!$K$92*'Plan mensual'!N251+parametros_recargas!$L$92*'Plan mensual'!N252</f>
        <v>19217.8806719564</v>
      </c>
      <c r="M246" s="25" t="n">
        <f aca="false">parametros_recargas!$E$92*'Plan mensual'!O245+parametros_recargas!$F$92*'Plan mensual'!O246+parametros_recargas!$G$92*'Plan mensual'!O247+parametros_recargas!$H$92*'Plan mensual'!O248+parametros_recargas!$I$92*'Plan mensual'!O249+parametros_recargas!$J$92*'Plan mensual'!O250+parametros_recargas!$K$92*'Plan mensual'!O251+parametros_recargas!$L$92*'Plan mensual'!O252</f>
        <v>19325.373943043</v>
      </c>
      <c r="N246" s="7" t="n">
        <f aca="false">SUM(B246:M246)</f>
        <v>224951.197870772</v>
      </c>
      <c r="O246" s="26" t="n">
        <f aca="false">MAX(B246:M246)</f>
        <v>19325.373943043</v>
      </c>
      <c r="P246" s="15" t="n">
        <f aca="false">O246/parametros_recargas!$B$6</f>
        <v>128.835826286953</v>
      </c>
    </row>
    <row r="247" customFormat="false" ht="15" hidden="false" customHeight="false" outlineLevel="0" collapsed="false">
      <c r="A247" s="12" t="str">
        <f aca="false">parametros_recargas!$B$93</f>
        <v>Presurización — recinto</v>
      </c>
      <c r="B247" s="25" t="n">
        <f aca="false">parametros_recargas!$E$93*'Plan mensual'!D245+parametros_recargas!$F$93*'Plan mensual'!D246+parametros_recargas!$G$93*'Plan mensual'!D247+parametros_recargas!$H$93*'Plan mensual'!D248+parametros_recargas!$I$93*'Plan mensual'!D249+parametros_recargas!$J$93*'Plan mensual'!D250+parametros_recargas!$K$93*'Plan mensual'!D251+parametros_recargas!$L$93*'Plan mensual'!D252</f>
        <v>18178.1051067274</v>
      </c>
      <c r="C247" s="25" t="n">
        <f aca="false">parametros_recargas!$E$93*'Plan mensual'!E245+parametros_recargas!$F$93*'Plan mensual'!E246+parametros_recargas!$G$93*'Plan mensual'!E247+parametros_recargas!$H$93*'Plan mensual'!E248+parametros_recargas!$I$93*'Plan mensual'!E249+parametros_recargas!$J$93*'Plan mensual'!E250+parametros_recargas!$K$93*'Plan mensual'!E251+parametros_recargas!$L$93*'Plan mensual'!E252</f>
        <v>18279.263876711</v>
      </c>
      <c r="D247" s="25" t="n">
        <f aca="false">parametros_recargas!$E$93*'Plan mensual'!F245+parametros_recargas!$F$93*'Plan mensual'!F246+parametros_recargas!$G$93*'Plan mensual'!F247+parametros_recargas!$H$93*'Plan mensual'!F248+parametros_recargas!$I$93*'Plan mensual'!F249+parametros_recargas!$J$93*'Plan mensual'!F250+parametros_recargas!$K$93*'Plan mensual'!F251+parametros_recargas!$L$93*'Plan mensual'!F252</f>
        <v>18381.0389242467</v>
      </c>
      <c r="E247" s="25" t="n">
        <f aca="false">parametros_recargas!$E$93*'Plan mensual'!G245+parametros_recargas!$F$93*'Plan mensual'!G246+parametros_recargas!$G$93*'Plan mensual'!G247+parametros_recargas!$H$93*'Plan mensual'!G248+parametros_recargas!$I$93*'Plan mensual'!G249+parametros_recargas!$J$93*'Plan mensual'!G250+parametros_recargas!$K$93*'Plan mensual'!G251+parametros_recargas!$L$93*'Plan mensual'!G252</f>
        <v>18483.4340038089</v>
      </c>
      <c r="F247" s="25" t="n">
        <f aca="false">parametros_recargas!$E$93*'Plan mensual'!H245+parametros_recargas!$F$93*'Plan mensual'!H246+parametros_recargas!$G$93*'Plan mensual'!H247+parametros_recargas!$H$93*'Plan mensual'!H248+parametros_recargas!$I$93*'Plan mensual'!H249+parametros_recargas!$J$93*'Plan mensual'!H250+parametros_recargas!$K$93*'Plan mensual'!H251+parametros_recargas!$L$93*'Plan mensual'!H252</f>
        <v>18586.4528927452</v>
      </c>
      <c r="G247" s="25" t="n">
        <f aca="false">parametros_recargas!$E$93*'Plan mensual'!I245+parametros_recargas!$F$93*'Plan mensual'!I246+parametros_recargas!$G$93*'Plan mensual'!I247+parametros_recargas!$H$93*'Plan mensual'!I248+parametros_recargas!$I$93*'Plan mensual'!I249+parametros_recargas!$J$93*'Plan mensual'!I250+parametros_recargas!$K$93*'Plan mensual'!I251+parametros_recargas!$L$93*'Plan mensual'!I252</f>
        <v>18690.0993914151</v>
      </c>
      <c r="H247" s="25" t="n">
        <f aca="false">parametros_recargas!$E$93*'Plan mensual'!J245+parametros_recargas!$F$93*'Plan mensual'!J246+parametros_recargas!$G$93*'Plan mensual'!J247+parametros_recargas!$H$93*'Plan mensual'!J248+parametros_recargas!$I$93*'Plan mensual'!J249+parametros_recargas!$J$93*'Plan mensual'!J250+parametros_recargas!$K$93*'Plan mensual'!J251+parametros_recargas!$L$93*'Plan mensual'!J252</f>
        <v>18794.3773233309</v>
      </c>
      <c r="I247" s="25" t="n">
        <f aca="false">parametros_recargas!$E$93*'Plan mensual'!K245+parametros_recargas!$F$93*'Plan mensual'!K246+parametros_recargas!$G$93*'Plan mensual'!K247+parametros_recargas!$H$93*'Plan mensual'!K248+parametros_recargas!$I$93*'Plan mensual'!K249+parametros_recargas!$J$93*'Plan mensual'!K250+parametros_recargas!$K$93*'Plan mensual'!K251+parametros_recargas!$L$93*'Plan mensual'!K252</f>
        <v>18899.2905352983</v>
      </c>
      <c r="J247" s="25" t="n">
        <f aca="false">parametros_recargas!$E$93*'Plan mensual'!L245+parametros_recargas!$F$93*'Plan mensual'!L246+parametros_recargas!$G$93*'Plan mensual'!L247+parametros_recargas!$H$93*'Plan mensual'!L248+parametros_recargas!$I$93*'Plan mensual'!L249+parametros_recargas!$J$93*'Plan mensual'!L250+parametros_recargas!$K$93*'Plan mensual'!L251+parametros_recargas!$L$93*'Plan mensual'!L252</f>
        <v>19004.8428975585</v>
      </c>
      <c r="K247" s="25" t="n">
        <f aca="false">parametros_recargas!$E$93*'Plan mensual'!M245+parametros_recargas!$F$93*'Plan mensual'!M246+parametros_recargas!$G$93*'Plan mensual'!M247+parametros_recargas!$H$93*'Plan mensual'!M248+parametros_recargas!$I$93*'Plan mensual'!M249+parametros_recargas!$J$93*'Plan mensual'!M250+parametros_recargas!$K$93*'Plan mensual'!M251+parametros_recargas!$L$93*'Plan mensual'!M252</f>
        <v>19111.0383039308</v>
      </c>
      <c r="L247" s="25" t="n">
        <f aca="false">parametros_recargas!$E$93*'Plan mensual'!N245+parametros_recargas!$F$93*'Plan mensual'!N246+parametros_recargas!$G$93*'Plan mensual'!N247+parametros_recargas!$H$93*'Plan mensual'!N248+parametros_recargas!$I$93*'Plan mensual'!N249+parametros_recargas!$J$93*'Plan mensual'!N250+parametros_recargas!$K$93*'Plan mensual'!N251+parametros_recargas!$L$93*'Plan mensual'!N252</f>
        <v>19217.8806719564</v>
      </c>
      <c r="M247" s="25" t="n">
        <f aca="false">parametros_recargas!$E$93*'Plan mensual'!O245+parametros_recargas!$F$93*'Plan mensual'!O246+parametros_recargas!$G$93*'Plan mensual'!O247+parametros_recargas!$H$93*'Plan mensual'!O248+parametros_recargas!$I$93*'Plan mensual'!O249+parametros_recargas!$J$93*'Plan mensual'!O250+parametros_recargas!$K$93*'Plan mensual'!O251+parametros_recargas!$L$93*'Plan mensual'!O252</f>
        <v>19325.373943043</v>
      </c>
      <c r="N247" s="7" t="n">
        <f aca="false">SUM(B247:M247)</f>
        <v>224951.197870772</v>
      </c>
      <c r="O247" s="26" t="n">
        <f aca="false">MAX(B247:M247)</f>
        <v>19325.373943043</v>
      </c>
      <c r="P247" s="15" t="n">
        <f aca="false">O247/parametros_recargas!$B$6</f>
        <v>128.835826286953</v>
      </c>
    </row>
    <row r="248" customFormat="false" ht="15" hidden="false" customHeight="false" outlineLevel="0" collapsed="false">
      <c r="A248" s="12" t="str">
        <f aca="false">parametros_recargas!$B$94</f>
        <v>Ensamblaje y presurización — zona general</v>
      </c>
      <c r="B248" s="25" t="n">
        <f aca="false">parametros_recargas!$E$94*'Plan mensual'!D245+parametros_recargas!$F$94*'Plan mensual'!D246+parametros_recargas!$G$94*'Plan mensual'!D247+parametros_recargas!$H$94*'Plan mensual'!D248+parametros_recargas!$I$94*'Plan mensual'!D249+parametros_recargas!$J$94*'Plan mensual'!D250+parametros_recargas!$K$94*'Plan mensual'!D251+parametros_recargas!$L$94*'Plan mensual'!D252</f>
        <v>1443.81444852684</v>
      </c>
      <c r="C248" s="25" t="n">
        <f aca="false">parametros_recargas!$E$94*'Plan mensual'!E245+parametros_recargas!$F$94*'Plan mensual'!E246+parametros_recargas!$G$94*'Plan mensual'!E247+parametros_recargas!$H$94*'Plan mensual'!E248+parametros_recargas!$I$94*'Plan mensual'!E249+parametros_recargas!$J$94*'Plan mensual'!E250+parametros_recargas!$K$94*'Plan mensual'!E251+parametros_recargas!$L$94*'Plan mensual'!E252</f>
        <v>1451.20706838719</v>
      </c>
      <c r="D248" s="25" t="n">
        <f aca="false">parametros_recargas!$E$94*'Plan mensual'!F245+parametros_recargas!$F$94*'Plan mensual'!F246+parametros_recargas!$G$94*'Plan mensual'!F247+parametros_recargas!$H$94*'Plan mensual'!F248+parametros_recargas!$I$94*'Plan mensual'!F249+parametros_recargas!$J$94*'Plan mensual'!F250+parametros_recargas!$K$94*'Plan mensual'!F251+parametros_recargas!$L$94*'Plan mensual'!F252</f>
        <v>1458.64472542694</v>
      </c>
      <c r="E248" s="25" t="n">
        <f aca="false">parametros_recargas!$E$94*'Plan mensual'!G245+parametros_recargas!$F$94*'Plan mensual'!G246+parametros_recargas!$G$94*'Plan mensual'!G247+parametros_recargas!$H$94*'Plan mensual'!G248+parametros_recargas!$I$94*'Plan mensual'!G249+parametros_recargas!$J$94*'Plan mensual'!G250+parametros_recargas!$K$94*'Plan mensual'!G251+parametros_recargas!$L$94*'Plan mensual'!G252</f>
        <v>1466.12769402073</v>
      </c>
      <c r="F248" s="25" t="n">
        <f aca="false">parametros_recargas!$E$94*'Plan mensual'!H245+parametros_recargas!$F$94*'Plan mensual'!H246+parametros_recargas!$G$94*'Plan mensual'!H247+parametros_recargas!$H$94*'Plan mensual'!H248+parametros_recargas!$I$94*'Plan mensual'!H249+parametros_recargas!$J$94*'Plan mensual'!H250+parametros_recargas!$K$94*'Plan mensual'!H251+parametros_recargas!$L$94*'Plan mensual'!H252</f>
        <v>1473.65625021477</v>
      </c>
      <c r="G248" s="25" t="n">
        <f aca="false">parametros_recargas!$E$94*'Plan mensual'!I245+parametros_recargas!$F$94*'Plan mensual'!I246+parametros_recargas!$G$94*'Plan mensual'!I247+parametros_recargas!$H$94*'Plan mensual'!I248+parametros_recargas!$I$94*'Plan mensual'!I249+parametros_recargas!$J$94*'Plan mensual'!I250+parametros_recargas!$K$94*'Plan mensual'!I251+parametros_recargas!$L$94*'Plan mensual'!I252</f>
        <v>1481.23067173697</v>
      </c>
      <c r="H248" s="25" t="n">
        <f aca="false">parametros_recargas!$E$94*'Plan mensual'!J245+parametros_recargas!$F$94*'Plan mensual'!J246+parametros_recargas!$G$94*'Plan mensual'!J247+parametros_recargas!$H$94*'Plan mensual'!J248+parametros_recargas!$I$94*'Plan mensual'!J249+parametros_recargas!$J$94*'Plan mensual'!J250+parametros_recargas!$K$94*'Plan mensual'!J251+parametros_recargas!$L$94*'Plan mensual'!J252</f>
        <v>1488.85123800722</v>
      </c>
      <c r="I248" s="25" t="n">
        <f aca="false">parametros_recargas!$E$94*'Plan mensual'!K245+parametros_recargas!$F$94*'Plan mensual'!K246+parametros_recargas!$G$94*'Plan mensual'!K247+parametros_recargas!$H$94*'Plan mensual'!K248+parametros_recargas!$I$94*'Plan mensual'!K249+parametros_recargas!$J$94*'Plan mensual'!K250+parametros_recargas!$K$94*'Plan mensual'!K251+parametros_recargas!$L$94*'Plan mensual'!K252</f>
        <v>1496.51823014768</v>
      </c>
      <c r="J248" s="25" t="n">
        <f aca="false">parametros_recargas!$E$94*'Plan mensual'!L245+parametros_recargas!$F$94*'Plan mensual'!L246+parametros_recargas!$G$94*'Plan mensual'!L247+parametros_recargas!$H$94*'Plan mensual'!L248+parametros_recargas!$I$94*'Plan mensual'!L249+parametros_recargas!$J$94*'Plan mensual'!L250+parametros_recargas!$K$94*'Plan mensual'!L251+parametros_recargas!$L$94*'Plan mensual'!L252</f>
        <v>1504.23193099318</v>
      </c>
      <c r="K248" s="25" t="n">
        <f aca="false">parametros_recargas!$E$94*'Plan mensual'!M245+parametros_recargas!$F$94*'Plan mensual'!M246+parametros_recargas!$G$94*'Plan mensual'!M247+parametros_recargas!$H$94*'Plan mensual'!M248+parametros_recargas!$I$94*'Plan mensual'!M249+parametros_recargas!$J$94*'Plan mensual'!M250+parametros_recargas!$K$94*'Plan mensual'!M251+parametros_recargas!$L$94*'Plan mensual'!M252</f>
        <v>1511.99262510159</v>
      </c>
      <c r="L248" s="25" t="n">
        <f aca="false">parametros_recargas!$E$94*'Plan mensual'!N245+parametros_recargas!$F$94*'Plan mensual'!N246+parametros_recargas!$G$94*'Plan mensual'!N247+parametros_recargas!$H$94*'Plan mensual'!N248+parametros_recargas!$I$94*'Plan mensual'!N249+parametros_recargas!$J$94*'Plan mensual'!N250+parametros_recargas!$K$94*'Plan mensual'!N251+parametros_recargas!$L$94*'Plan mensual'!N252</f>
        <v>1519.80059876439</v>
      </c>
      <c r="M248" s="25" t="n">
        <f aca="false">parametros_recargas!$E$94*'Plan mensual'!O245+parametros_recargas!$F$94*'Plan mensual'!O246+parametros_recargas!$G$94*'Plan mensual'!O247+parametros_recargas!$H$94*'Plan mensual'!O248+parametros_recargas!$I$94*'Plan mensual'!O249+parametros_recargas!$J$94*'Plan mensual'!O250+parametros_recargas!$K$94*'Plan mensual'!O251+parametros_recargas!$L$94*'Plan mensual'!O252</f>
        <v>1527.65614001719</v>
      </c>
      <c r="N248" s="7" t="n">
        <f aca="false">SUM(B248:M248)</f>
        <v>17823.7316213447</v>
      </c>
      <c r="O248" s="26" t="n">
        <f aca="false">MAX(B248:M248)</f>
        <v>1527.65614001719</v>
      </c>
      <c r="P248" s="15" t="n">
        <f aca="false">O248/parametros_recargas!$B$6</f>
        <v>10.1843742667813</v>
      </c>
    </row>
    <row r="249" customFormat="false" ht="15" hidden="false" customHeight="false" outlineLevel="0" collapsed="false">
      <c r="A249" s="12" t="str">
        <f aca="false">parametros_recargas!$B$95</f>
        <v>Carga y presurización de halogenado</v>
      </c>
      <c r="B249" s="25" t="n">
        <f aca="false">parametros_recargas!$E$95*'Plan mensual'!D245+parametros_recargas!$F$95*'Plan mensual'!D246+parametros_recargas!$G$95*'Plan mensual'!D247+parametros_recargas!$H$95*'Plan mensual'!D248+parametros_recargas!$I$95*'Plan mensual'!D249+parametros_recargas!$J$95*'Plan mensual'!D250+parametros_recargas!$K$95*'Plan mensual'!D251+parametros_recargas!$L$95*'Plan mensual'!D252</f>
        <v>18.2487957751745</v>
      </c>
      <c r="C249" s="25" t="n">
        <f aca="false">parametros_recargas!$E$95*'Plan mensual'!E245+parametros_recargas!$F$95*'Plan mensual'!E246+parametros_recargas!$G$95*'Plan mensual'!E247+parametros_recargas!$H$95*'Plan mensual'!E248+parametros_recargas!$I$95*'Plan mensual'!E249+parametros_recargas!$J$95*'Plan mensual'!E250+parametros_recargas!$K$95*'Plan mensual'!E251+parametros_recargas!$L$95*'Plan mensual'!E252</f>
        <v>18.3424557240625</v>
      </c>
      <c r="D249" s="25" t="n">
        <f aca="false">parametros_recargas!$E$95*'Plan mensual'!F245+parametros_recargas!$F$95*'Plan mensual'!F246+parametros_recargas!$G$95*'Plan mensual'!F247+parametros_recargas!$H$95*'Plan mensual'!F248+parametros_recargas!$I$95*'Plan mensual'!F249+parametros_recargas!$J$95*'Plan mensual'!F250+parametros_recargas!$K$95*'Plan mensual'!F251+parametros_recargas!$L$95*'Plan mensual'!F252</f>
        <v>18.4366862663259</v>
      </c>
      <c r="E249" s="25" t="n">
        <f aca="false">parametros_recargas!$E$95*'Plan mensual'!G245+parametros_recargas!$F$95*'Plan mensual'!G246+parametros_recargas!$G$95*'Plan mensual'!G247+parametros_recargas!$H$95*'Plan mensual'!G248+parametros_recargas!$I$95*'Plan mensual'!G249+parametros_recargas!$J$95*'Plan mensual'!G250+parametros_recargas!$K$95*'Plan mensual'!G251+parametros_recargas!$L$95*'Plan mensual'!G252</f>
        <v>18.5314908781231</v>
      </c>
      <c r="F249" s="25" t="n">
        <f aca="false">parametros_recargas!$E$95*'Plan mensual'!H245+parametros_recargas!$F$95*'Plan mensual'!H246+parametros_recargas!$G$95*'Plan mensual'!H247+parametros_recargas!$H$95*'Plan mensual'!H248+parametros_recargas!$I$95*'Plan mensual'!H249+parametros_recargas!$J$95*'Plan mensual'!H250+parametros_recargas!$K$95*'Plan mensual'!H251+parametros_recargas!$L$95*'Plan mensual'!H252</f>
        <v>18.6268730567896</v>
      </c>
      <c r="G249" s="25" t="n">
        <f aca="false">parametros_recargas!$E$95*'Plan mensual'!I245+parametros_recargas!$F$95*'Plan mensual'!I246+parametros_recargas!$G$95*'Plan mensual'!I247+parametros_recargas!$H$95*'Plan mensual'!I248+parametros_recargas!$I$95*'Plan mensual'!I249+parametros_recargas!$J$95*'Plan mensual'!I250+parametros_recargas!$K$95*'Plan mensual'!I251+parametros_recargas!$L$95*'Plan mensual'!I252</f>
        <v>18.7228363209673</v>
      </c>
      <c r="H249" s="25" t="n">
        <f aca="false">parametros_recargas!$E$95*'Plan mensual'!J245+parametros_recargas!$F$95*'Plan mensual'!J246+parametros_recargas!$G$95*'Plan mensual'!J247+parametros_recargas!$H$95*'Plan mensual'!J248+parametros_recargas!$I$95*'Plan mensual'!J249+parametros_recargas!$J$95*'Plan mensual'!J250+parametros_recargas!$K$95*'Plan mensual'!J251+parametros_recargas!$L$95*'Plan mensual'!J252</f>
        <v>18.8193842107346</v>
      </c>
      <c r="I249" s="25" t="n">
        <f aca="false">parametros_recargas!$E$95*'Plan mensual'!K245+parametros_recargas!$F$95*'Plan mensual'!K246+parametros_recargas!$G$95*'Plan mensual'!K247+parametros_recargas!$H$95*'Plan mensual'!K248+parametros_recargas!$I$95*'Plan mensual'!K249+parametros_recargas!$J$95*'Plan mensual'!K250+parametros_recargas!$K$95*'Plan mensual'!K251+parametros_recargas!$L$95*'Plan mensual'!K252</f>
        <v>18.9165202877364</v>
      </c>
      <c r="J249" s="25" t="n">
        <f aca="false">parametros_recargas!$E$95*'Plan mensual'!L245+parametros_recargas!$F$95*'Plan mensual'!L246+parametros_recargas!$G$95*'Plan mensual'!L247+parametros_recargas!$H$95*'Plan mensual'!L248+parametros_recargas!$I$95*'Plan mensual'!L249+parametros_recargas!$J$95*'Plan mensual'!L250+parametros_recargas!$K$95*'Plan mensual'!L251+parametros_recargas!$L$95*'Plan mensual'!L252</f>
        <v>19.0142481353159</v>
      </c>
      <c r="K249" s="25" t="n">
        <f aca="false">parametros_recargas!$E$95*'Plan mensual'!M245+parametros_recargas!$F$95*'Plan mensual'!M246+parametros_recargas!$G$95*'Plan mensual'!M247+parametros_recargas!$H$95*'Plan mensual'!M248+parametros_recargas!$I$95*'Plan mensual'!M249+parametros_recargas!$J$95*'Plan mensual'!M250+parametros_recargas!$K$95*'Plan mensual'!M251+parametros_recargas!$L$95*'Plan mensual'!M252</f>
        <v>19.1125713586466</v>
      </c>
      <c r="L249" s="25" t="n">
        <f aca="false">parametros_recargas!$E$95*'Plan mensual'!N245+parametros_recargas!$F$95*'Plan mensual'!N246+parametros_recargas!$G$95*'Plan mensual'!N247+parametros_recargas!$H$95*'Plan mensual'!N248+parametros_recargas!$I$95*'Plan mensual'!N249+parametros_recargas!$J$95*'Plan mensual'!N250+parametros_recargas!$K$95*'Plan mensual'!N251+parametros_recargas!$L$95*'Plan mensual'!N252</f>
        <v>19.2114935848655</v>
      </c>
      <c r="M249" s="25" t="n">
        <f aca="false">parametros_recargas!$E$95*'Plan mensual'!O245+parametros_recargas!$F$95*'Plan mensual'!O246+parametros_recargas!$G$95*'Plan mensual'!O247+parametros_recargas!$H$95*'Plan mensual'!O248+parametros_recargas!$I$95*'Plan mensual'!O249+parametros_recargas!$J$95*'Plan mensual'!O250+parametros_recargas!$K$95*'Plan mensual'!O251+parametros_recargas!$L$95*'Plan mensual'!O252</f>
        <v>19.3110184632067</v>
      </c>
      <c r="N249" s="7" t="n">
        <f aca="false">SUM(B249:M249)</f>
        <v>225.294374061949</v>
      </c>
      <c r="O249" s="26" t="n">
        <f aca="false">MAX(B249:M249)</f>
        <v>19.3110184632067</v>
      </c>
      <c r="P249" s="15" t="n">
        <f aca="false">O249/parametros_recargas!$B$6</f>
        <v>0.128740123088045</v>
      </c>
    </row>
    <row r="250" customFormat="false" ht="15" hidden="false" customHeight="false" outlineLevel="0" collapsed="false">
      <c r="A250" s="12" t="str">
        <f aca="false">parametros_recargas!$B$96</f>
        <v>Control de peso (CO₂ y halogenados sin recarga)</v>
      </c>
      <c r="B250" s="25" t="n">
        <f aca="false">parametros_recargas!$E$96*'Plan mensual'!D245+parametros_recargas!$F$96*'Plan mensual'!D246+parametros_recargas!$G$96*'Plan mensual'!D247+parametros_recargas!$H$96*'Plan mensual'!D248+parametros_recargas!$I$96*'Plan mensual'!D249+parametros_recargas!$J$96*'Plan mensual'!D250+parametros_recargas!$K$96*'Plan mensual'!D251+parametros_recargas!$L$96*'Plan mensual'!D252</f>
        <v>1308.22728316435</v>
      </c>
      <c r="C250" s="25" t="n">
        <f aca="false">parametros_recargas!$E$96*'Plan mensual'!E245+parametros_recargas!$F$96*'Plan mensual'!E246+parametros_recargas!$G$96*'Plan mensual'!E247+parametros_recargas!$H$96*'Plan mensual'!E248+parametros_recargas!$I$96*'Plan mensual'!E249+parametros_recargas!$J$96*'Plan mensual'!E250+parametros_recargas!$K$96*'Plan mensual'!E251+parametros_recargas!$L$96*'Plan mensual'!E252</f>
        <v>1314.92255339394</v>
      </c>
      <c r="D250" s="25" t="n">
        <f aca="false">parametros_recargas!$E$96*'Plan mensual'!F245+parametros_recargas!$F$96*'Plan mensual'!F246+parametros_recargas!$G$96*'Plan mensual'!F247+parametros_recargas!$H$96*'Plan mensual'!F248+parametros_recargas!$I$96*'Plan mensual'!F249+parametros_recargas!$J$96*'Plan mensual'!F250+parametros_recargas!$K$96*'Plan mensual'!F251+parametros_recargas!$L$96*'Plan mensual'!F252</f>
        <v>1321.65861242264</v>
      </c>
      <c r="E250" s="25" t="n">
        <f aca="false">parametros_recargas!$E$96*'Plan mensual'!G245+parametros_recargas!$F$96*'Plan mensual'!G246+parametros_recargas!$G$96*'Plan mensual'!G247+parametros_recargas!$H$96*'Plan mensual'!G248+parametros_recargas!$I$96*'Plan mensual'!G249+parametros_recargas!$J$96*'Plan mensual'!G250+parametros_recargas!$K$96*'Plan mensual'!G251+parametros_recargas!$L$96*'Plan mensual'!G252</f>
        <v>1328.43570874322</v>
      </c>
      <c r="F250" s="25" t="n">
        <f aca="false">parametros_recargas!$E$96*'Plan mensual'!H245+parametros_recargas!$F$96*'Plan mensual'!H246+parametros_recargas!$G$96*'Plan mensual'!H247+parametros_recargas!$H$96*'Plan mensual'!H248+parametros_recargas!$I$96*'Plan mensual'!H249+parametros_recargas!$J$96*'Plan mensual'!H250+parametros_recargas!$K$96*'Plan mensual'!H251+parametros_recargas!$L$96*'Plan mensual'!H252</f>
        <v>1335.25409236227</v>
      </c>
      <c r="G250" s="25" t="n">
        <f aca="false">parametros_recargas!$E$96*'Plan mensual'!I245+parametros_recargas!$F$96*'Plan mensual'!I246+parametros_recargas!$G$96*'Plan mensual'!I247+parametros_recargas!$H$96*'Plan mensual'!I248+parametros_recargas!$I$96*'Plan mensual'!I249+parametros_recargas!$J$96*'Plan mensual'!I250+parametros_recargas!$K$96*'Plan mensual'!I251+parametros_recargas!$L$96*'Plan mensual'!I252</f>
        <v>1342.11401480951</v>
      </c>
      <c r="H250" s="25" t="n">
        <f aca="false">parametros_recargas!$E$96*'Plan mensual'!J245+parametros_recargas!$F$96*'Plan mensual'!J246+parametros_recargas!$G$96*'Plan mensual'!J247+parametros_recargas!$H$96*'Plan mensual'!J248+parametros_recargas!$I$96*'Plan mensual'!J249+parametros_recargas!$J$96*'Plan mensual'!J250+parametros_recargas!$K$96*'Plan mensual'!J251+parametros_recargas!$L$96*'Plan mensual'!J252</f>
        <v>1349.01572914701</v>
      </c>
      <c r="I250" s="25" t="n">
        <f aca="false">parametros_recargas!$E$96*'Plan mensual'!K245+parametros_recargas!$F$96*'Plan mensual'!K246+parametros_recargas!$G$96*'Plan mensual'!K247+parametros_recargas!$H$96*'Plan mensual'!K248+parametros_recargas!$I$96*'Plan mensual'!K249+parametros_recargas!$J$96*'Plan mensual'!K250+parametros_recargas!$K$96*'Plan mensual'!K251+parametros_recargas!$L$96*'Plan mensual'!K252</f>
        <v>1355.95948997852</v>
      </c>
      <c r="J250" s="25" t="n">
        <f aca="false">parametros_recargas!$E$96*'Plan mensual'!L245+parametros_recargas!$F$96*'Plan mensual'!L246+parametros_recargas!$G$96*'Plan mensual'!L247+parametros_recargas!$H$96*'Plan mensual'!L248+parametros_recargas!$I$96*'Plan mensual'!L249+parametros_recargas!$J$96*'Plan mensual'!L250+parametros_recargas!$K$96*'Plan mensual'!L251+parametros_recargas!$L$96*'Plan mensual'!L252</f>
        <v>1362.9455534589</v>
      </c>
      <c r="K250" s="25" t="n">
        <f aca="false">parametros_recargas!$E$96*'Plan mensual'!M245+parametros_recargas!$F$96*'Plan mensual'!M246+parametros_recargas!$G$96*'Plan mensual'!M247+parametros_recargas!$H$96*'Plan mensual'!M248+parametros_recargas!$I$96*'Plan mensual'!M249+parametros_recargas!$J$96*'Plan mensual'!M250+parametros_recargas!$K$96*'Plan mensual'!M251+parametros_recargas!$L$96*'Plan mensual'!M252</f>
        <v>1369.97417730356</v>
      </c>
      <c r="L250" s="25" t="n">
        <f aca="false">parametros_recargas!$E$96*'Plan mensual'!N245+parametros_recargas!$F$96*'Plan mensual'!N246+parametros_recargas!$G$96*'Plan mensual'!N247+parametros_recargas!$H$96*'Plan mensual'!N248+parametros_recargas!$I$96*'Plan mensual'!N249+parametros_recargas!$J$96*'Plan mensual'!N250+parametros_recargas!$K$96*'Plan mensual'!N251+parametros_recargas!$L$96*'Plan mensual'!N252</f>
        <v>1377.04562079795</v>
      </c>
      <c r="M250" s="25" t="n">
        <f aca="false">parametros_recargas!$E$96*'Plan mensual'!O245+parametros_recargas!$F$96*'Plan mensual'!O246+parametros_recargas!$G$96*'Plan mensual'!O247+parametros_recargas!$H$96*'Plan mensual'!O248+parametros_recargas!$I$96*'Plan mensual'!O249+parametros_recargas!$J$96*'Plan mensual'!O250+parametros_recargas!$K$96*'Plan mensual'!O251+parametros_recargas!$L$96*'Plan mensual'!O252</f>
        <v>1384.16014480713</v>
      </c>
      <c r="N250" s="7" t="n">
        <f aca="false">SUM(B250:M250)</f>
        <v>16149.712980389</v>
      </c>
      <c r="O250" s="26" t="n">
        <f aca="false">MAX(B250:M250)</f>
        <v>1384.16014480713</v>
      </c>
      <c r="P250" s="15" t="n">
        <f aca="false">O250/parametros_recargas!$B$6</f>
        <v>9.22773429871419</v>
      </c>
    </row>
    <row r="251" customFormat="false" ht="15" hidden="false" customHeight="false" outlineLevel="0" collapsed="false">
      <c r="A251" s="12" t="str">
        <f aca="false">parametros_recargas!$B$97</f>
        <v>Ensayo de pérdidas</v>
      </c>
      <c r="B251" s="25" t="n">
        <f aca="false">parametros_recargas!$E$97*'Plan mensual'!D245+parametros_recargas!$F$97*'Plan mensual'!D246+parametros_recargas!$G$97*'Plan mensual'!D247+parametros_recargas!$H$97*'Plan mensual'!D248+parametros_recargas!$I$97*'Plan mensual'!D249+parametros_recargas!$J$97*'Plan mensual'!D250+parametros_recargas!$K$97*'Plan mensual'!D251+parametros_recargas!$L$97*'Plan mensual'!D252</f>
        <v>21019.6811881213</v>
      </c>
      <c r="C251" s="25" t="n">
        <f aca="false">parametros_recargas!$E$97*'Plan mensual'!E245+parametros_recargas!$F$97*'Plan mensual'!E246+parametros_recargas!$G$97*'Plan mensual'!E247+parametros_recargas!$H$97*'Plan mensual'!E248+parametros_recargas!$I$97*'Plan mensual'!E249+parametros_recargas!$J$97*'Plan mensual'!E250+parametros_recargas!$K$97*'Plan mensual'!E251+parametros_recargas!$L$97*'Plan mensual'!E252</f>
        <v>21135.3860117937</v>
      </c>
      <c r="D251" s="25" t="n">
        <f aca="false">parametros_recargas!$E$97*'Plan mensual'!F245+parametros_recargas!$F$97*'Plan mensual'!F246+parametros_recargas!$G$97*'Plan mensual'!F247+parametros_recargas!$H$97*'Plan mensual'!F248+parametros_recargas!$I$97*'Plan mensual'!F249+parametros_recargas!$J$97*'Plan mensual'!F250+parametros_recargas!$K$97*'Plan mensual'!F251+parametros_recargas!$L$97*'Plan mensual'!F252</f>
        <v>21251.7957302123</v>
      </c>
      <c r="E251" s="25" t="n">
        <f aca="false">parametros_recargas!$E$97*'Plan mensual'!G245+parametros_recargas!$F$97*'Plan mensual'!G246+parametros_recargas!$G$97*'Plan mensual'!G247+parametros_recargas!$H$97*'Plan mensual'!G248+parametros_recargas!$I$97*'Plan mensual'!G249+parametros_recargas!$J$97*'Plan mensual'!G250+parametros_recargas!$K$97*'Plan mensual'!G251+parametros_recargas!$L$97*'Plan mensual'!G252</f>
        <v>21368.9146377235</v>
      </c>
      <c r="F251" s="25" t="n">
        <f aca="false">parametros_recargas!$E$97*'Plan mensual'!H245+parametros_recargas!$F$97*'Plan mensual'!H246+parametros_recargas!$G$97*'Plan mensual'!H247+parametros_recargas!$H$97*'Plan mensual'!H248+parametros_recargas!$I$97*'Plan mensual'!H249+parametros_recargas!$J$97*'Plan mensual'!H250+parametros_recargas!$K$97*'Plan mensual'!H251+parametros_recargas!$L$97*'Plan mensual'!H252</f>
        <v>21486.7470548359</v>
      </c>
      <c r="G251" s="25" t="n">
        <f aca="false">parametros_recargas!$E$97*'Plan mensual'!I245+parametros_recargas!$F$97*'Plan mensual'!I246+parametros_recargas!$G$97*'Plan mensual'!I247+parametros_recargas!$H$97*'Plan mensual'!I248+parametros_recargas!$I$97*'Plan mensual'!I249+parametros_recargas!$J$97*'Plan mensual'!I250+parametros_recargas!$K$97*'Plan mensual'!I251+parametros_recargas!$L$97*'Plan mensual'!I252</f>
        <v>21605.2973283792</v>
      </c>
      <c r="H251" s="25" t="n">
        <f aca="false">parametros_recargas!$E$97*'Plan mensual'!J245+parametros_recargas!$F$97*'Plan mensual'!J246+parametros_recargas!$G$97*'Plan mensual'!J247+parametros_recargas!$H$97*'Plan mensual'!J248+parametros_recargas!$I$97*'Plan mensual'!J249+parametros_recargas!$J$97*'Plan mensual'!J250+parametros_recargas!$K$97*'Plan mensual'!J251+parametros_recargas!$L$97*'Plan mensual'!J252</f>
        <v>21724.5698316648</v>
      </c>
      <c r="I251" s="25" t="n">
        <f aca="false">parametros_recargas!$E$97*'Plan mensual'!K245+parametros_recargas!$F$97*'Plan mensual'!K246+parametros_recargas!$G$97*'Plan mensual'!K247+parametros_recargas!$H$97*'Plan mensual'!K248+parametros_recargas!$I$97*'Plan mensual'!K249+parametros_recargas!$J$97*'Plan mensual'!K250+parametros_recargas!$K$97*'Plan mensual'!K251+parametros_recargas!$L$97*'Plan mensual'!K252</f>
        <v>21844.568964647</v>
      </c>
      <c r="J251" s="25" t="n">
        <f aca="false">parametros_recargas!$E$97*'Plan mensual'!L245+parametros_recargas!$F$97*'Plan mensual'!L246+parametros_recargas!$G$97*'Plan mensual'!L247+parametros_recargas!$H$97*'Plan mensual'!L248+parametros_recargas!$I$97*'Plan mensual'!L249+parametros_recargas!$J$97*'Plan mensual'!L250+parametros_recargas!$K$97*'Plan mensual'!L251+parametros_recargas!$L$97*'Plan mensual'!L252</f>
        <v>21965.2991540858</v>
      </c>
      <c r="K251" s="25" t="n">
        <f aca="false">parametros_recargas!$E$97*'Plan mensual'!M245+parametros_recargas!$F$97*'Plan mensual'!M246+parametros_recargas!$G$97*'Plan mensual'!M247+parametros_recargas!$H$97*'Plan mensual'!M248+parametros_recargas!$I$97*'Plan mensual'!M249+parametros_recargas!$J$97*'Plan mensual'!M250+parametros_recargas!$K$97*'Plan mensual'!M251+parametros_recargas!$L$97*'Plan mensual'!M252</f>
        <v>22086.7648537093</v>
      </c>
      <c r="L251" s="25" t="n">
        <f aca="false">parametros_recargas!$E$97*'Plan mensual'!N245+parametros_recargas!$F$97*'Plan mensual'!N246+parametros_recargas!$G$97*'Plan mensual'!N247+parametros_recargas!$H$97*'Plan mensual'!N248+parametros_recargas!$I$97*'Plan mensual'!N249+parametros_recargas!$J$97*'Plan mensual'!N250+parametros_recargas!$K$97*'Plan mensual'!N251+parametros_recargas!$L$97*'Plan mensual'!N252</f>
        <v>22208.970544379</v>
      </c>
      <c r="M251" s="25" t="n">
        <f aca="false">parametros_recargas!$E$97*'Plan mensual'!O245+parametros_recargas!$F$97*'Plan mensual'!O246+parametros_recargas!$G$97*'Plan mensual'!O247+parametros_recargas!$H$97*'Plan mensual'!O248+parametros_recargas!$I$97*'Plan mensual'!O249+parametros_recargas!$J$97*'Plan mensual'!O250+parametros_recargas!$K$97*'Plan mensual'!O251+parametros_recargas!$L$97*'Plan mensual'!O252</f>
        <v>22331.9207342543</v>
      </c>
      <c r="N251" s="7" t="n">
        <f aca="false">SUM(B251:M251)</f>
        <v>260029.916033806</v>
      </c>
      <c r="O251" s="26" t="n">
        <f aca="false">MAX(B251:M251)</f>
        <v>22331.9207342543</v>
      </c>
      <c r="P251" s="15" t="n">
        <f aca="false">O251/parametros_recargas!$B$6</f>
        <v>148.879471561695</v>
      </c>
    </row>
    <row r="252" customFormat="false" ht="15" hidden="false" customHeight="false" outlineLevel="0" collapsed="false">
      <c r="A252" s="12" t="str">
        <f aca="false">parametros_recargas!$B$98</f>
        <v>Precinto, etiqueta y despacho</v>
      </c>
      <c r="B252" s="25" t="n">
        <f aca="false">parametros_recargas!$E$98*'Plan mensual'!D245+parametros_recargas!$F$98*'Plan mensual'!D246+parametros_recargas!$G$98*'Plan mensual'!D247+parametros_recargas!$H$98*'Plan mensual'!D248+parametros_recargas!$I$98*'Plan mensual'!D249+parametros_recargas!$J$98*'Plan mensual'!D250+parametros_recargas!$K$98*'Plan mensual'!D251+parametros_recargas!$L$98*'Plan mensual'!D252</f>
        <v>21019.6811881213</v>
      </c>
      <c r="C252" s="25" t="n">
        <f aca="false">parametros_recargas!$E$98*'Plan mensual'!E245+parametros_recargas!$F$98*'Plan mensual'!E246+parametros_recargas!$G$98*'Plan mensual'!E247+parametros_recargas!$H$98*'Plan mensual'!E248+parametros_recargas!$I$98*'Plan mensual'!E249+parametros_recargas!$J$98*'Plan mensual'!E250+parametros_recargas!$K$98*'Plan mensual'!E251+parametros_recargas!$L$98*'Plan mensual'!E252</f>
        <v>21135.3860117937</v>
      </c>
      <c r="D252" s="25" t="n">
        <f aca="false">parametros_recargas!$E$98*'Plan mensual'!F245+parametros_recargas!$F$98*'Plan mensual'!F246+parametros_recargas!$G$98*'Plan mensual'!F247+parametros_recargas!$H$98*'Plan mensual'!F248+parametros_recargas!$I$98*'Plan mensual'!F249+parametros_recargas!$J$98*'Plan mensual'!F250+parametros_recargas!$K$98*'Plan mensual'!F251+parametros_recargas!$L$98*'Plan mensual'!F252</f>
        <v>21251.7957302123</v>
      </c>
      <c r="E252" s="25" t="n">
        <f aca="false">parametros_recargas!$E$98*'Plan mensual'!G245+parametros_recargas!$F$98*'Plan mensual'!G246+parametros_recargas!$G$98*'Plan mensual'!G247+parametros_recargas!$H$98*'Plan mensual'!G248+parametros_recargas!$I$98*'Plan mensual'!G249+parametros_recargas!$J$98*'Plan mensual'!G250+parametros_recargas!$K$98*'Plan mensual'!G251+parametros_recargas!$L$98*'Plan mensual'!G252</f>
        <v>21368.9146377235</v>
      </c>
      <c r="F252" s="25" t="n">
        <f aca="false">parametros_recargas!$E$98*'Plan mensual'!H245+parametros_recargas!$F$98*'Plan mensual'!H246+parametros_recargas!$G$98*'Plan mensual'!H247+parametros_recargas!$H$98*'Plan mensual'!H248+parametros_recargas!$I$98*'Plan mensual'!H249+parametros_recargas!$J$98*'Plan mensual'!H250+parametros_recargas!$K$98*'Plan mensual'!H251+parametros_recargas!$L$98*'Plan mensual'!H252</f>
        <v>21486.7470548359</v>
      </c>
      <c r="G252" s="25" t="n">
        <f aca="false">parametros_recargas!$E$98*'Plan mensual'!I245+parametros_recargas!$F$98*'Plan mensual'!I246+parametros_recargas!$G$98*'Plan mensual'!I247+parametros_recargas!$H$98*'Plan mensual'!I248+parametros_recargas!$I$98*'Plan mensual'!I249+parametros_recargas!$J$98*'Plan mensual'!I250+parametros_recargas!$K$98*'Plan mensual'!I251+parametros_recargas!$L$98*'Plan mensual'!I252</f>
        <v>21605.2973283792</v>
      </c>
      <c r="H252" s="25" t="n">
        <f aca="false">parametros_recargas!$E$98*'Plan mensual'!J245+parametros_recargas!$F$98*'Plan mensual'!J246+parametros_recargas!$G$98*'Plan mensual'!J247+parametros_recargas!$H$98*'Plan mensual'!J248+parametros_recargas!$I$98*'Plan mensual'!J249+parametros_recargas!$J$98*'Plan mensual'!J250+parametros_recargas!$K$98*'Plan mensual'!J251+parametros_recargas!$L$98*'Plan mensual'!J252</f>
        <v>21724.5698316648</v>
      </c>
      <c r="I252" s="25" t="n">
        <f aca="false">parametros_recargas!$E$98*'Plan mensual'!K245+parametros_recargas!$F$98*'Plan mensual'!K246+parametros_recargas!$G$98*'Plan mensual'!K247+parametros_recargas!$H$98*'Plan mensual'!K248+parametros_recargas!$I$98*'Plan mensual'!K249+parametros_recargas!$J$98*'Plan mensual'!K250+parametros_recargas!$K$98*'Plan mensual'!K251+parametros_recargas!$L$98*'Plan mensual'!K252</f>
        <v>21844.568964647</v>
      </c>
      <c r="J252" s="25" t="n">
        <f aca="false">parametros_recargas!$E$98*'Plan mensual'!L245+parametros_recargas!$F$98*'Plan mensual'!L246+parametros_recargas!$G$98*'Plan mensual'!L247+parametros_recargas!$H$98*'Plan mensual'!L248+parametros_recargas!$I$98*'Plan mensual'!L249+parametros_recargas!$J$98*'Plan mensual'!L250+parametros_recargas!$K$98*'Plan mensual'!L251+parametros_recargas!$L$98*'Plan mensual'!L252</f>
        <v>21965.2991540858</v>
      </c>
      <c r="K252" s="25" t="n">
        <f aca="false">parametros_recargas!$E$98*'Plan mensual'!M245+parametros_recargas!$F$98*'Plan mensual'!M246+parametros_recargas!$G$98*'Plan mensual'!M247+parametros_recargas!$H$98*'Plan mensual'!M248+parametros_recargas!$I$98*'Plan mensual'!M249+parametros_recargas!$J$98*'Plan mensual'!M250+parametros_recargas!$K$98*'Plan mensual'!M251+parametros_recargas!$L$98*'Plan mensual'!M252</f>
        <v>22086.7648537093</v>
      </c>
      <c r="L252" s="25" t="n">
        <f aca="false">parametros_recargas!$E$98*'Plan mensual'!N245+parametros_recargas!$F$98*'Plan mensual'!N246+parametros_recargas!$G$98*'Plan mensual'!N247+parametros_recargas!$H$98*'Plan mensual'!N248+parametros_recargas!$I$98*'Plan mensual'!N249+parametros_recargas!$J$98*'Plan mensual'!N250+parametros_recargas!$K$98*'Plan mensual'!N251+parametros_recargas!$L$98*'Plan mensual'!N252</f>
        <v>22208.970544379</v>
      </c>
      <c r="M252" s="25" t="n">
        <f aca="false">parametros_recargas!$E$98*'Plan mensual'!O245+parametros_recargas!$F$98*'Plan mensual'!O246+parametros_recargas!$G$98*'Plan mensual'!O247+parametros_recargas!$H$98*'Plan mensual'!O248+parametros_recargas!$I$98*'Plan mensual'!O249+parametros_recargas!$J$98*'Plan mensual'!O250+parametros_recargas!$K$98*'Plan mensual'!O251+parametros_recargas!$L$98*'Plan mensual'!O252</f>
        <v>22331.9207342543</v>
      </c>
      <c r="N252" s="7" t="n">
        <f aca="false">SUM(B252:M252)</f>
        <v>260029.916033806</v>
      </c>
      <c r="O252" s="26" t="n">
        <f aca="false">MAX(B252:M252)</f>
        <v>22331.9207342543</v>
      </c>
      <c r="P252" s="15" t="n">
        <f aca="false">O252/parametros_recargas!$B$6</f>
        <v>148.879471561695</v>
      </c>
    </row>
    <row r="253" customFormat="false" ht="15" hidden="false" customHeight="false" outlineLevel="0" collapsed="false">
      <c r="A253" s="12" t="str">
        <f aca="false">parametros_recargas!$B$99</f>
        <v>Inutilización y disposición final</v>
      </c>
      <c r="B253" s="25" t="n">
        <f aca="false">parametros_recargas!$E$99*'Plan mensual'!D245+parametros_recargas!$F$99*'Plan mensual'!D246+parametros_recargas!$G$99*'Plan mensual'!D247+parametros_recargas!$H$99*'Plan mensual'!D248+parametros_recargas!$I$99*'Plan mensual'!D249+parametros_recargas!$J$99*'Plan mensual'!D250+parametros_recargas!$K$99*'Plan mensual'!D251+parametros_recargas!$L$99*'Plan mensual'!D252</f>
        <v>1651.72971181545</v>
      </c>
      <c r="C253" s="25" t="n">
        <f aca="false">parametros_recargas!$E$99*'Plan mensual'!E245+parametros_recargas!$F$99*'Plan mensual'!E246+parametros_recargas!$G$99*'Plan mensual'!E247+parametros_recargas!$H$99*'Plan mensual'!E248+parametros_recargas!$I$99*'Plan mensual'!E249+parametros_recargas!$J$99*'Plan mensual'!E250+parametros_recargas!$K$99*'Plan mensual'!E251+parametros_recargas!$L$99*'Plan mensual'!E252</f>
        <v>1660.83337650964</v>
      </c>
      <c r="D253" s="25" t="n">
        <f aca="false">parametros_recargas!$E$99*'Plan mensual'!F245+parametros_recargas!$F$99*'Plan mensual'!F246+parametros_recargas!$G$99*'Plan mensual'!F247+parametros_recargas!$H$99*'Plan mensual'!F248+parametros_recargas!$I$99*'Plan mensual'!F249+parametros_recargas!$J$99*'Plan mensual'!F250+parametros_recargas!$K$99*'Plan mensual'!F251+parametros_recargas!$L$99*'Plan mensual'!F252</f>
        <v>1669.99250237832</v>
      </c>
      <c r="E253" s="25" t="n">
        <f aca="false">parametros_recargas!$E$99*'Plan mensual'!G245+parametros_recargas!$F$99*'Plan mensual'!G246+parametros_recargas!$G$99*'Plan mensual'!G247+parametros_recargas!$H$99*'Plan mensual'!G248+parametros_recargas!$I$99*'Plan mensual'!G249+parametros_recargas!$J$99*'Plan mensual'!G250+parametros_recargas!$K$99*'Plan mensual'!G251+parametros_recargas!$L$99*'Plan mensual'!G252</f>
        <v>1679.207427301</v>
      </c>
      <c r="F253" s="25" t="n">
        <f aca="false">parametros_recargas!$E$99*'Plan mensual'!H245+parametros_recargas!$F$99*'Plan mensual'!H246+parametros_recargas!$G$99*'Plan mensual'!H247+parametros_recargas!$H$99*'Plan mensual'!H248+parametros_recargas!$I$99*'Plan mensual'!H249+parametros_recargas!$J$99*'Plan mensual'!H250+parametros_recargas!$K$99*'Plan mensual'!H251+parametros_recargas!$L$99*'Plan mensual'!H252</f>
        <v>1688.47849121564</v>
      </c>
      <c r="G253" s="25" t="n">
        <f aca="false">parametros_recargas!$E$99*'Plan mensual'!I245+parametros_recargas!$F$99*'Plan mensual'!I246+parametros_recargas!$G$99*'Plan mensual'!I247+parametros_recargas!$H$99*'Plan mensual'!I248+parametros_recargas!$I$99*'Plan mensual'!I249+parametros_recargas!$J$99*'Plan mensual'!I250+parametros_recargas!$K$99*'Plan mensual'!I251+parametros_recargas!$L$99*'Plan mensual'!I252</f>
        <v>1697.80603613113</v>
      </c>
      <c r="H253" s="25" t="n">
        <f aca="false">parametros_recargas!$E$99*'Plan mensual'!J245+parametros_recargas!$F$99*'Plan mensual'!J246+parametros_recargas!$G$99*'Plan mensual'!J247+parametros_recargas!$H$99*'Plan mensual'!J248+parametros_recargas!$I$99*'Plan mensual'!J249+parametros_recargas!$J$99*'Plan mensual'!J250+parametros_recargas!$K$99*'Plan mensual'!J251+parametros_recargas!$L$99*'Plan mensual'!J252</f>
        <v>1707.19040613997</v>
      </c>
      <c r="I253" s="25" t="n">
        <f aca="false">parametros_recargas!$E$99*'Plan mensual'!K245+parametros_recargas!$F$99*'Plan mensual'!K246+parametros_recargas!$G$99*'Plan mensual'!K247+parametros_recargas!$H$99*'Plan mensual'!K248+parametros_recargas!$I$99*'Plan mensual'!K249+parametros_recargas!$J$99*'Plan mensual'!K250+parametros_recargas!$K$99*'Plan mensual'!K251+parametros_recargas!$L$99*'Plan mensual'!K252</f>
        <v>1716.63194743092</v>
      </c>
      <c r="J253" s="25" t="n">
        <f aca="false">parametros_recargas!$E$99*'Plan mensual'!L245+parametros_recargas!$F$99*'Plan mensual'!L246+parametros_recargas!$G$99*'Plan mensual'!L247+parametros_recargas!$H$99*'Plan mensual'!L248+parametros_recargas!$I$99*'Plan mensual'!L249+parametros_recargas!$J$99*'Plan mensual'!L250+parametros_recargas!$K$99*'Plan mensual'!L251+parametros_recargas!$L$99*'Plan mensual'!L252</f>
        <v>1726.13100830179</v>
      </c>
      <c r="K253" s="25" t="n">
        <f aca="false">parametros_recargas!$E$99*'Plan mensual'!M245+parametros_recargas!$F$99*'Plan mensual'!M246+parametros_recargas!$G$99*'Plan mensual'!M247+parametros_recargas!$H$99*'Plan mensual'!M248+parametros_recargas!$I$99*'Plan mensual'!M249+parametros_recargas!$J$99*'Plan mensual'!M250+parametros_recargas!$K$99*'Plan mensual'!M251+parametros_recargas!$L$99*'Plan mensual'!M252</f>
        <v>1735.68793917228</v>
      </c>
      <c r="L253" s="25" t="n">
        <f aca="false">parametros_recargas!$E$99*'Plan mensual'!N245+parametros_recargas!$F$99*'Plan mensual'!N246+parametros_recargas!$G$99*'Plan mensual'!N247+parametros_recargas!$H$99*'Plan mensual'!N248+parametros_recargas!$I$99*'Plan mensual'!N249+parametros_recargas!$J$99*'Plan mensual'!N250+parametros_recargas!$K$99*'Plan mensual'!N251+parametros_recargas!$L$99*'Plan mensual'!N252</f>
        <v>1745.30309259691</v>
      </c>
      <c r="M253" s="25" t="n">
        <f aca="false">parametros_recargas!$E$99*'Plan mensual'!O245+parametros_recargas!$F$99*'Plan mensual'!O246+parametros_recargas!$G$99*'Plan mensual'!O247+parametros_recargas!$H$99*'Plan mensual'!O248+parametros_recargas!$I$99*'Plan mensual'!O249+parametros_recargas!$J$99*'Plan mensual'!O250+parametros_recargas!$K$99*'Plan mensual'!O251+parametros_recargas!$L$99*'Plan mensual'!O252</f>
        <v>1754.97682327802</v>
      </c>
      <c r="N253" s="7" t="n">
        <f aca="false">SUM(B253:M253)</f>
        <v>20433.9687622711</v>
      </c>
      <c r="O253" s="26" t="n">
        <f aca="false">MAX(B253:M253)</f>
        <v>1754.97682327802</v>
      </c>
      <c r="P253" s="15" t="n">
        <f aca="false">O253/parametros_recargas!$B$6</f>
        <v>11.6998454885201</v>
      </c>
    </row>
    <row r="254" customFormat="false" ht="15" hidden="false" customHeight="false" outlineLevel="0" collapsed="false">
      <c r="A254" s="12" t="str">
        <f aca="false">parametros_recargas!$B$100</f>
        <v>PH de mangueras (CO₂ y rodantes)</v>
      </c>
      <c r="B254" s="25" t="n">
        <f aca="false">'Plan mensual'!D253</f>
        <v>965.06558256868</v>
      </c>
      <c r="C254" s="25" t="n">
        <f aca="false">'Plan mensual'!E253</f>
        <v>968.866487786179</v>
      </c>
      <c r="D254" s="25" t="n">
        <f aca="false">'Plan mensual'!F253</f>
        <v>972.690548806812</v>
      </c>
      <c r="E254" s="25" t="n">
        <f aca="false">'Plan mensual'!G253</f>
        <v>976.537906699928</v>
      </c>
      <c r="F254" s="25" t="n">
        <f aca="false">'Plan mensual'!H253</f>
        <v>980.408703394293</v>
      </c>
      <c r="G254" s="25" t="n">
        <f aca="false">'Plan mensual'!I253</f>
        <v>984.30308168333</v>
      </c>
      <c r="H254" s="25" t="n">
        <f aca="false">'Plan mensual'!J253</f>
        <v>988.221185230387</v>
      </c>
      <c r="I254" s="25" t="n">
        <f aca="false">'Plan mensual'!K253</f>
        <v>992.163158574033</v>
      </c>
      <c r="J254" s="25" t="n">
        <f aca="false">'Plan mensual'!L253</f>
        <v>996.129147133393</v>
      </c>
      <c r="K254" s="25" t="n">
        <f aca="false">'Plan mensual'!M253</f>
        <v>1000.11929721351</v>
      </c>
      <c r="L254" s="25" t="n">
        <f aca="false">'Plan mensual'!N253</f>
        <v>1004.13375601075</v>
      </c>
      <c r="M254" s="25" t="n">
        <f aca="false">'Plan mensual'!O253</f>
        <v>1008.17267161822</v>
      </c>
      <c r="N254" s="7" t="n">
        <f aca="false">SUM(B254:M254)</f>
        <v>11836.8115267195</v>
      </c>
      <c r="O254" s="26" t="n">
        <f aca="false">MAX(B254:M254)</f>
        <v>1008.17267161822</v>
      </c>
      <c r="P254" s="15" t="n">
        <f aca="false">O254/parametros_recargas!$B$6</f>
        <v>6.72115114412144</v>
      </c>
    </row>
    <row r="257" customFormat="false" ht="23.85" hidden="false" customHeight="false" outlineLevel="0" collapsed="false">
      <c r="A257" s="3" t="s">
        <v>287</v>
      </c>
      <c r="B257" s="3" t="s">
        <v>124</v>
      </c>
      <c r="C257" s="3" t="s">
        <v>125</v>
      </c>
      <c r="D257" s="3" t="s">
        <v>126</v>
      </c>
      <c r="E257" s="3" t="s">
        <v>127</v>
      </c>
      <c r="F257" s="3" t="s">
        <v>128</v>
      </c>
      <c r="G257" s="3" t="s">
        <v>129</v>
      </c>
      <c r="H257" s="3" t="s">
        <v>130</v>
      </c>
      <c r="I257" s="3" t="s">
        <v>131</v>
      </c>
      <c r="J257" s="3" t="s">
        <v>132</v>
      </c>
      <c r="K257" s="3" t="s">
        <v>133</v>
      </c>
      <c r="L257" s="3" t="s">
        <v>134</v>
      </c>
      <c r="M257" s="3" t="s">
        <v>135</v>
      </c>
      <c r="N257" s="3" t="s">
        <v>277</v>
      </c>
      <c r="O257" s="3" t="s">
        <v>278</v>
      </c>
      <c r="P257" s="3" t="s">
        <v>279</v>
      </c>
    </row>
    <row r="258" customFormat="false" ht="15" hidden="false" customHeight="false" outlineLevel="0" collapsed="false">
      <c r="A258" s="12" t="str">
        <f aca="false">parametros_recargas!$B$72</f>
        <v>Recepción y registro</v>
      </c>
      <c r="B258" s="25" t="n">
        <f aca="false">parametros_recargas!$E$72*'Plan mensual'!D277+parametros_recargas!$F$72*'Plan mensual'!D278+parametros_recargas!$G$72*'Plan mensual'!D279+parametros_recargas!$H$72*'Plan mensual'!D280+parametros_recargas!$I$72*'Plan mensual'!D281+parametros_recargas!$J$72*'Plan mensual'!D282+parametros_recargas!$K$72*'Plan mensual'!D283+parametros_recargas!$L$72*'Plan mensual'!D284</f>
        <v>23075.6943696417</v>
      </c>
      <c r="C258" s="25" t="n">
        <f aca="false">parametros_recargas!$E$72*'Plan mensual'!E277+parametros_recargas!$F$72*'Plan mensual'!E278+parametros_recargas!$G$72*'Plan mensual'!E279+parametros_recargas!$H$72*'Plan mensual'!E280+parametros_recargas!$I$72*'Plan mensual'!E281+parametros_recargas!$J$72*'Plan mensual'!E282+parametros_recargas!$K$72*'Plan mensual'!E283+parametros_recargas!$L$72*'Plan mensual'!E284</f>
        <v>23194.250886987</v>
      </c>
      <c r="D258" s="25" t="n">
        <f aca="false">parametros_recargas!$E$72*'Plan mensual'!F277+parametros_recargas!$F$72*'Plan mensual'!F278+parametros_recargas!$G$72*'Plan mensual'!F279+parametros_recargas!$H$72*'Plan mensual'!F280+parametros_recargas!$I$72*'Plan mensual'!F281+parametros_recargas!$J$72*'Plan mensual'!F282+parametros_recargas!$K$72*'Plan mensual'!F283+parametros_recargas!$L$72*'Plan mensual'!F284</f>
        <v>23313.494150254</v>
      </c>
      <c r="E258" s="25" t="n">
        <f aca="false">parametros_recargas!$E$72*'Plan mensual'!G277+parametros_recargas!$F$72*'Plan mensual'!G278+parametros_recargas!$G$72*'Plan mensual'!G279+parametros_recargas!$H$72*'Plan mensual'!G280+parametros_recargas!$I$72*'Plan mensual'!G281+parametros_recargas!$J$72*'Plan mensual'!G282+parametros_recargas!$K$72*'Plan mensual'!G283+parametros_recargas!$L$72*'Plan mensual'!G284</f>
        <v>23433.4281374608</v>
      </c>
      <c r="F258" s="25" t="n">
        <f aca="false">parametros_recargas!$E$72*'Plan mensual'!H277+parametros_recargas!$F$72*'Plan mensual'!H278+parametros_recargas!$G$72*'Plan mensual'!H279+parametros_recargas!$H$72*'Plan mensual'!H280+parametros_recargas!$I$72*'Plan mensual'!H281+parametros_recargas!$J$72*'Plan mensual'!H282+parametros_recargas!$K$72*'Plan mensual'!H283+parametros_recargas!$L$72*'Plan mensual'!H284</f>
        <v>23554.0568496682</v>
      </c>
      <c r="G258" s="25" t="n">
        <f aca="false">parametros_recargas!$E$72*'Plan mensual'!I277+parametros_recargas!$F$72*'Plan mensual'!I278+parametros_recargas!$G$72*'Plan mensual'!I279+parametros_recargas!$H$72*'Plan mensual'!I280+parametros_recargas!$I$72*'Plan mensual'!I281+parametros_recargas!$J$72*'Plan mensual'!I282+parametros_recargas!$K$72*'Plan mensual'!I283+parametros_recargas!$L$72*'Plan mensual'!I284</f>
        <v>23675.3843111137</v>
      </c>
      <c r="H258" s="25" t="n">
        <f aca="false">parametros_recargas!$E$72*'Plan mensual'!J277+parametros_recargas!$F$72*'Plan mensual'!J278+parametros_recargas!$G$72*'Plan mensual'!J279+parametros_recargas!$H$72*'Plan mensual'!J280+parametros_recargas!$I$72*'Plan mensual'!J281+parametros_recargas!$J$72*'Plan mensual'!J282+parametros_recargas!$K$72*'Plan mensual'!J283+parametros_recargas!$L$72*'Plan mensual'!J284</f>
        <v>23797.414569345</v>
      </c>
      <c r="I258" s="25" t="n">
        <f aca="false">parametros_recargas!$E$72*'Plan mensual'!K277+parametros_recargas!$F$72*'Plan mensual'!K278+parametros_recargas!$G$72*'Plan mensual'!K279+parametros_recargas!$H$72*'Plan mensual'!K280+parametros_recargas!$I$72*'Plan mensual'!K281+parametros_recargas!$J$72*'Plan mensual'!K282+parametros_recargas!$K$72*'Plan mensual'!K283+parametros_recargas!$L$72*'Plan mensual'!K284</f>
        <v>23920.151695356</v>
      </c>
      <c r="J258" s="25" t="n">
        <f aca="false">parametros_recargas!$E$72*'Plan mensual'!L277+parametros_recargas!$F$72*'Plan mensual'!L278+parametros_recargas!$G$72*'Plan mensual'!L279+parametros_recargas!$H$72*'Plan mensual'!L280+parametros_recargas!$I$72*'Plan mensual'!L281+parametros_recargas!$J$72*'Plan mensual'!L282+parametros_recargas!$K$72*'Plan mensual'!L283+parametros_recargas!$L$72*'Plan mensual'!L284</f>
        <v>24043.5997837216</v>
      </c>
      <c r="K258" s="25" t="n">
        <f aca="false">parametros_recargas!$E$72*'Plan mensual'!M277+parametros_recargas!$F$72*'Plan mensual'!M278+parametros_recargas!$G$72*'Plan mensual'!M279+parametros_recargas!$H$72*'Plan mensual'!M280+parametros_recargas!$I$72*'Plan mensual'!M281+parametros_recargas!$J$72*'Plan mensual'!M282+parametros_recargas!$K$72*'Plan mensual'!M283+parametros_recargas!$L$72*'Plan mensual'!M284</f>
        <v>24167.762952735</v>
      </c>
      <c r="L258" s="25" t="n">
        <f aca="false">parametros_recargas!$E$72*'Plan mensual'!N277+parametros_recargas!$F$72*'Plan mensual'!N278+parametros_recargas!$G$72*'Plan mensual'!N279+parametros_recargas!$H$72*'Plan mensual'!N280+parametros_recargas!$I$72*'Plan mensual'!N281+parametros_recargas!$J$72*'Plan mensual'!N282+parametros_recargas!$K$72*'Plan mensual'!N283+parametros_recargas!$L$72*'Plan mensual'!N284</f>
        <v>24292.645344545</v>
      </c>
      <c r="M258" s="25" t="n">
        <f aca="false">parametros_recargas!$E$72*'Plan mensual'!O277+parametros_recargas!$F$72*'Plan mensual'!O278+parametros_recargas!$G$72*'Plan mensual'!O279+parametros_recargas!$H$72*'Plan mensual'!O280+parametros_recargas!$I$72*'Plan mensual'!O281+parametros_recargas!$J$72*'Plan mensual'!O282+parametros_recargas!$K$72*'Plan mensual'!O283+parametros_recargas!$L$72*'Plan mensual'!O284</f>
        <v>24418.2511252938</v>
      </c>
      <c r="N258" s="7" t="n">
        <f aca="false">SUM(B258:M258)</f>
        <v>284886.134176122</v>
      </c>
      <c r="O258" s="26" t="n">
        <f aca="false">MAX(B258:M258)</f>
        <v>24418.2511252938</v>
      </c>
      <c r="P258" s="15" t="n">
        <f aca="false">O258/parametros_recargas!$B$6</f>
        <v>162.788340835292</v>
      </c>
    </row>
    <row r="259" customFormat="false" ht="15" hidden="false" customHeight="false" outlineLevel="0" collapsed="false">
      <c r="A259" s="12" t="str">
        <f aca="false">parametros_recargas!$B$73</f>
        <v>Inspección visual</v>
      </c>
      <c r="B259" s="25" t="n">
        <f aca="false">parametros_recargas!$E$73*'Plan mensual'!D277+parametros_recargas!$F$73*'Plan mensual'!D278+parametros_recargas!$G$73*'Plan mensual'!D279+parametros_recargas!$H$73*'Plan mensual'!D280+parametros_recargas!$I$73*'Plan mensual'!D281+parametros_recargas!$J$73*'Plan mensual'!D282+parametros_recargas!$K$73*'Plan mensual'!D283+parametros_recargas!$L$73*'Plan mensual'!D284</f>
        <v>23075.6943696417</v>
      </c>
      <c r="C259" s="25" t="n">
        <f aca="false">parametros_recargas!$E$73*'Plan mensual'!E277+parametros_recargas!$F$73*'Plan mensual'!E278+parametros_recargas!$G$73*'Plan mensual'!E279+parametros_recargas!$H$73*'Plan mensual'!E280+parametros_recargas!$I$73*'Plan mensual'!E281+parametros_recargas!$J$73*'Plan mensual'!E282+parametros_recargas!$K$73*'Plan mensual'!E283+parametros_recargas!$L$73*'Plan mensual'!E284</f>
        <v>23194.250886987</v>
      </c>
      <c r="D259" s="25" t="n">
        <f aca="false">parametros_recargas!$E$73*'Plan mensual'!F277+parametros_recargas!$F$73*'Plan mensual'!F278+parametros_recargas!$G$73*'Plan mensual'!F279+parametros_recargas!$H$73*'Plan mensual'!F280+parametros_recargas!$I$73*'Plan mensual'!F281+parametros_recargas!$J$73*'Plan mensual'!F282+parametros_recargas!$K$73*'Plan mensual'!F283+parametros_recargas!$L$73*'Plan mensual'!F284</f>
        <v>23313.494150254</v>
      </c>
      <c r="E259" s="25" t="n">
        <f aca="false">parametros_recargas!$E$73*'Plan mensual'!G277+parametros_recargas!$F$73*'Plan mensual'!G278+parametros_recargas!$G$73*'Plan mensual'!G279+parametros_recargas!$H$73*'Plan mensual'!G280+parametros_recargas!$I$73*'Plan mensual'!G281+parametros_recargas!$J$73*'Plan mensual'!G282+parametros_recargas!$K$73*'Plan mensual'!G283+parametros_recargas!$L$73*'Plan mensual'!G284</f>
        <v>23433.4281374608</v>
      </c>
      <c r="F259" s="25" t="n">
        <f aca="false">parametros_recargas!$E$73*'Plan mensual'!H277+parametros_recargas!$F$73*'Plan mensual'!H278+parametros_recargas!$G$73*'Plan mensual'!H279+parametros_recargas!$H$73*'Plan mensual'!H280+parametros_recargas!$I$73*'Plan mensual'!H281+parametros_recargas!$J$73*'Plan mensual'!H282+parametros_recargas!$K$73*'Plan mensual'!H283+parametros_recargas!$L$73*'Plan mensual'!H284</f>
        <v>23554.0568496682</v>
      </c>
      <c r="G259" s="25" t="n">
        <f aca="false">parametros_recargas!$E$73*'Plan mensual'!I277+parametros_recargas!$F$73*'Plan mensual'!I278+parametros_recargas!$G$73*'Plan mensual'!I279+parametros_recargas!$H$73*'Plan mensual'!I280+parametros_recargas!$I$73*'Plan mensual'!I281+parametros_recargas!$J$73*'Plan mensual'!I282+parametros_recargas!$K$73*'Plan mensual'!I283+parametros_recargas!$L$73*'Plan mensual'!I284</f>
        <v>23675.3843111137</v>
      </c>
      <c r="H259" s="25" t="n">
        <f aca="false">parametros_recargas!$E$73*'Plan mensual'!J277+parametros_recargas!$F$73*'Plan mensual'!J278+parametros_recargas!$G$73*'Plan mensual'!J279+parametros_recargas!$H$73*'Plan mensual'!J280+parametros_recargas!$I$73*'Plan mensual'!J281+parametros_recargas!$J$73*'Plan mensual'!J282+parametros_recargas!$K$73*'Plan mensual'!J283+parametros_recargas!$L$73*'Plan mensual'!J284</f>
        <v>23797.414569345</v>
      </c>
      <c r="I259" s="25" t="n">
        <f aca="false">parametros_recargas!$E$73*'Plan mensual'!K277+parametros_recargas!$F$73*'Plan mensual'!K278+parametros_recargas!$G$73*'Plan mensual'!K279+parametros_recargas!$H$73*'Plan mensual'!K280+parametros_recargas!$I$73*'Plan mensual'!K281+parametros_recargas!$J$73*'Plan mensual'!K282+parametros_recargas!$K$73*'Plan mensual'!K283+parametros_recargas!$L$73*'Plan mensual'!K284</f>
        <v>23920.151695356</v>
      </c>
      <c r="J259" s="25" t="n">
        <f aca="false">parametros_recargas!$E$73*'Plan mensual'!L277+parametros_recargas!$F$73*'Plan mensual'!L278+parametros_recargas!$G$73*'Plan mensual'!L279+parametros_recargas!$H$73*'Plan mensual'!L280+parametros_recargas!$I$73*'Plan mensual'!L281+parametros_recargas!$J$73*'Plan mensual'!L282+parametros_recargas!$K$73*'Plan mensual'!L283+parametros_recargas!$L$73*'Plan mensual'!L284</f>
        <v>24043.5997837216</v>
      </c>
      <c r="K259" s="25" t="n">
        <f aca="false">parametros_recargas!$E$73*'Plan mensual'!M277+parametros_recargas!$F$73*'Plan mensual'!M278+parametros_recargas!$G$73*'Plan mensual'!M279+parametros_recargas!$H$73*'Plan mensual'!M280+parametros_recargas!$I$73*'Plan mensual'!M281+parametros_recargas!$J$73*'Plan mensual'!M282+parametros_recargas!$K$73*'Plan mensual'!M283+parametros_recargas!$L$73*'Plan mensual'!M284</f>
        <v>24167.762952735</v>
      </c>
      <c r="L259" s="25" t="n">
        <f aca="false">parametros_recargas!$E$73*'Plan mensual'!N277+parametros_recargas!$F$73*'Plan mensual'!N278+parametros_recargas!$G$73*'Plan mensual'!N279+parametros_recargas!$H$73*'Plan mensual'!N280+parametros_recargas!$I$73*'Plan mensual'!N281+parametros_recargas!$J$73*'Plan mensual'!N282+parametros_recargas!$K$73*'Plan mensual'!N283+parametros_recargas!$L$73*'Plan mensual'!N284</f>
        <v>24292.645344545</v>
      </c>
      <c r="M259" s="25" t="n">
        <f aca="false">parametros_recargas!$E$73*'Plan mensual'!O277+parametros_recargas!$F$73*'Plan mensual'!O278+parametros_recargas!$G$73*'Plan mensual'!O279+parametros_recargas!$H$73*'Plan mensual'!O280+parametros_recargas!$I$73*'Plan mensual'!O281+parametros_recargas!$J$73*'Plan mensual'!O282+parametros_recargas!$K$73*'Plan mensual'!O283+parametros_recargas!$L$73*'Plan mensual'!O284</f>
        <v>24418.2511252938</v>
      </c>
      <c r="N259" s="7" t="n">
        <f aca="false">SUM(B259:M259)</f>
        <v>284886.134176122</v>
      </c>
      <c r="O259" s="26" t="n">
        <f aca="false">MAX(B259:M259)</f>
        <v>24418.2511252938</v>
      </c>
      <c r="P259" s="15" t="n">
        <f aca="false">O259/parametros_recargas!$B$6</f>
        <v>162.788340835292</v>
      </c>
    </row>
    <row r="260" customFormat="false" ht="15" hidden="false" customHeight="false" outlineLevel="0" collapsed="false">
      <c r="A260" s="12" t="str">
        <f aca="false">parametros_recargas!$B$74</f>
        <v>Descarga ABC — ruta recuperable</v>
      </c>
      <c r="B260" s="25" t="n">
        <f aca="false">parametros_recargas!$E$74*'Plan mensual'!D277+parametros_recargas!$F$74*'Plan mensual'!D278+parametros_recargas!$G$74*'Plan mensual'!D279+parametros_recargas!$H$74*'Plan mensual'!D280+parametros_recargas!$I$74*'Plan mensual'!D281+parametros_recargas!$J$74*'Plan mensual'!D282+parametros_recargas!$K$74*'Plan mensual'!D283+parametros_recargas!$L$74*'Plan mensual'!D284</f>
        <v>16860.7166826316</v>
      </c>
      <c r="C260" s="25" t="n">
        <f aca="false">parametros_recargas!$E$74*'Plan mensual'!E277+parametros_recargas!$F$74*'Plan mensual'!E278+parametros_recargas!$G$74*'Plan mensual'!E279+parametros_recargas!$H$74*'Plan mensual'!E280+parametros_recargas!$I$74*'Plan mensual'!E281+parametros_recargas!$J$74*'Plan mensual'!E282+parametros_recargas!$K$74*'Plan mensual'!E283+parametros_recargas!$L$74*'Plan mensual'!E284</f>
        <v>16948.5093969653</v>
      </c>
      <c r="D260" s="25" t="n">
        <f aca="false">parametros_recargas!$E$74*'Plan mensual'!F277+parametros_recargas!$F$74*'Plan mensual'!F278+parametros_recargas!$G$74*'Plan mensual'!F279+parametros_recargas!$H$74*'Plan mensual'!F280+parametros_recargas!$I$74*'Plan mensual'!F281+parametros_recargas!$J$74*'Plan mensual'!F282+parametros_recargas!$K$74*'Plan mensual'!F283+parametros_recargas!$L$74*'Plan mensual'!F284</f>
        <v>17036.8106559988</v>
      </c>
      <c r="E260" s="25" t="n">
        <f aca="false">parametros_recargas!$E$74*'Plan mensual'!G277+parametros_recargas!$F$74*'Plan mensual'!G278+parametros_recargas!$G$74*'Plan mensual'!G279+parametros_recargas!$H$74*'Plan mensual'!G280+parametros_recargas!$I$74*'Plan mensual'!G281+parametros_recargas!$J$74*'Plan mensual'!G282+parametros_recargas!$K$74*'Plan mensual'!G283+parametros_recargas!$L$74*'Plan mensual'!G284</f>
        <v>17125.6234055086</v>
      </c>
      <c r="F260" s="25" t="n">
        <f aca="false">parametros_recargas!$E$74*'Plan mensual'!H277+parametros_recargas!$F$74*'Plan mensual'!H278+parametros_recargas!$G$74*'Plan mensual'!H279+parametros_recargas!$H$74*'Plan mensual'!H280+parametros_recargas!$I$74*'Plan mensual'!H281+parametros_recargas!$J$74*'Plan mensual'!H282+parametros_recargas!$K$74*'Plan mensual'!H283+parametros_recargas!$L$74*'Plan mensual'!H284</f>
        <v>17214.9506083347</v>
      </c>
      <c r="G260" s="25" t="n">
        <f aca="false">parametros_recargas!$E$74*'Plan mensual'!I277+parametros_recargas!$F$74*'Plan mensual'!I278+parametros_recargas!$G$74*'Plan mensual'!I279+parametros_recargas!$H$74*'Plan mensual'!I280+parametros_recargas!$I$74*'Plan mensual'!I281+parametros_recargas!$J$74*'Plan mensual'!I282+parametros_recargas!$K$74*'Plan mensual'!I283+parametros_recargas!$L$74*'Plan mensual'!I284</f>
        <v>17304.7952444797</v>
      </c>
      <c r="H260" s="25" t="n">
        <f aca="false">parametros_recargas!$E$74*'Plan mensual'!J277+parametros_recargas!$F$74*'Plan mensual'!J278+parametros_recargas!$G$74*'Plan mensual'!J279+parametros_recargas!$H$74*'Plan mensual'!J280+parametros_recargas!$I$74*'Plan mensual'!J281+parametros_recargas!$J$74*'Plan mensual'!J282+parametros_recargas!$K$74*'Plan mensual'!J283+parametros_recargas!$L$74*'Plan mensual'!J284</f>
        <v>17395.1603112079</v>
      </c>
      <c r="I260" s="25" t="n">
        <f aca="false">parametros_recargas!$E$74*'Plan mensual'!K277+parametros_recargas!$F$74*'Plan mensual'!K278+parametros_recargas!$G$74*'Plan mensual'!K279+parametros_recargas!$H$74*'Plan mensual'!K280+parametros_recargas!$I$74*'Plan mensual'!K281+parametros_recargas!$J$74*'Plan mensual'!K282+parametros_recargas!$K$74*'Plan mensual'!K283+parametros_recargas!$L$74*'Plan mensual'!K284</f>
        <v>17486.0488231454</v>
      </c>
      <c r="J260" s="25" t="n">
        <f aca="false">parametros_recargas!$E$74*'Plan mensual'!L277+parametros_recargas!$F$74*'Plan mensual'!L278+parametros_recargas!$G$74*'Plan mensual'!L279+parametros_recargas!$H$74*'Plan mensual'!L280+parametros_recargas!$I$74*'Plan mensual'!L281+parametros_recargas!$J$74*'Plan mensual'!L282+parametros_recargas!$K$74*'Plan mensual'!L283+parametros_recargas!$L$74*'Plan mensual'!L284</f>
        <v>17577.4638123809</v>
      </c>
      <c r="K260" s="25" t="n">
        <f aca="false">parametros_recargas!$E$74*'Plan mensual'!M277+parametros_recargas!$F$74*'Plan mensual'!M278+parametros_recargas!$G$74*'Plan mensual'!M279+parametros_recargas!$H$74*'Plan mensual'!M280+parametros_recargas!$I$74*'Plan mensual'!M281+parametros_recargas!$J$74*'Plan mensual'!M282+parametros_recargas!$K$74*'Plan mensual'!M283+parametros_recargas!$L$74*'Plan mensual'!M284</f>
        <v>17669.4083285665</v>
      </c>
      <c r="L260" s="25" t="n">
        <f aca="false">parametros_recargas!$E$74*'Plan mensual'!N277+parametros_recargas!$F$74*'Plan mensual'!N278+parametros_recargas!$G$74*'Plan mensual'!N279+parametros_recargas!$H$74*'Plan mensual'!N280+parametros_recargas!$I$74*'Plan mensual'!N281+parametros_recargas!$J$74*'Plan mensual'!N282+parametros_recargas!$K$74*'Plan mensual'!N283+parametros_recargas!$L$74*'Plan mensual'!N284</f>
        <v>17761.8854390196</v>
      </c>
      <c r="M260" s="25" t="n">
        <f aca="false">parametros_recargas!$E$74*'Plan mensual'!O277+parametros_recargas!$F$74*'Plan mensual'!O278+parametros_recargas!$G$74*'Plan mensual'!O279+parametros_recargas!$H$74*'Plan mensual'!O280+parametros_recargas!$I$74*'Plan mensual'!O281+parametros_recargas!$J$74*'Plan mensual'!O282+parametros_recargas!$K$74*'Plan mensual'!O283+parametros_recargas!$L$74*'Plan mensual'!O284</f>
        <v>17854.8982288253</v>
      </c>
      <c r="N260" s="7" t="n">
        <f aca="false">SUM(B260:M260)</f>
        <v>208236.270937064</v>
      </c>
      <c r="O260" s="26" t="n">
        <f aca="false">MAX(B260:M260)</f>
        <v>17854.8982288253</v>
      </c>
      <c r="P260" s="15" t="n">
        <f aca="false">O260/parametros_recargas!$B$6</f>
        <v>119.032654858835</v>
      </c>
    </row>
    <row r="261" customFormat="false" ht="15" hidden="false" customHeight="false" outlineLevel="0" collapsed="false">
      <c r="A261" s="12" t="str">
        <f aca="false">parametros_recargas!$B$75</f>
        <v>Descarga ABC — ruta descarte</v>
      </c>
      <c r="B261" s="25" t="n">
        <f aca="false">parametros_recargas!$E$75*'Plan mensual'!D277+parametros_recargas!$F$75*'Plan mensual'!D278+parametros_recargas!$G$75*'Plan mensual'!D279+parametros_recargas!$H$75*'Plan mensual'!D280+parametros_recargas!$I$75*'Plan mensual'!D281+parametros_recargas!$J$75*'Plan mensual'!D282+parametros_recargas!$K$75*'Plan mensual'!D283+parametros_recargas!$L$75*'Plan mensual'!D284</f>
        <v>1983.61372736843</v>
      </c>
      <c r="C261" s="25" t="n">
        <f aca="false">parametros_recargas!$E$75*'Plan mensual'!E277+parametros_recargas!$F$75*'Plan mensual'!E278+parametros_recargas!$G$75*'Plan mensual'!E279+parametros_recargas!$H$75*'Plan mensual'!E280+parametros_recargas!$I$75*'Plan mensual'!E281+parametros_recargas!$J$75*'Plan mensual'!E282+parametros_recargas!$K$75*'Plan mensual'!E283+parametros_recargas!$L$75*'Plan mensual'!E284</f>
        <v>1993.94228199592</v>
      </c>
      <c r="D261" s="25" t="n">
        <f aca="false">parametros_recargas!$E$75*'Plan mensual'!F277+parametros_recargas!$F$75*'Plan mensual'!F278+parametros_recargas!$G$75*'Plan mensual'!F279+parametros_recargas!$H$75*'Plan mensual'!F280+parametros_recargas!$I$75*'Plan mensual'!F281+parametros_recargas!$J$75*'Plan mensual'!F282+parametros_recargas!$K$75*'Plan mensual'!F283+parametros_recargas!$L$75*'Plan mensual'!F284</f>
        <v>2004.33066541162</v>
      </c>
      <c r="E261" s="25" t="n">
        <f aca="false">parametros_recargas!$E$75*'Plan mensual'!G277+parametros_recargas!$F$75*'Plan mensual'!G278+parametros_recargas!$G$75*'Plan mensual'!G279+parametros_recargas!$H$75*'Plan mensual'!G280+parametros_recargas!$I$75*'Plan mensual'!G281+parametros_recargas!$J$75*'Plan mensual'!G282+parametros_recargas!$K$75*'Plan mensual'!G283+parametros_recargas!$L$75*'Plan mensual'!G284</f>
        <v>2014.77922417748</v>
      </c>
      <c r="F261" s="25" t="n">
        <f aca="false">parametros_recargas!$E$75*'Plan mensual'!H277+parametros_recargas!$F$75*'Plan mensual'!H278+parametros_recargas!$G$75*'Plan mensual'!H279+parametros_recargas!$H$75*'Plan mensual'!H280+parametros_recargas!$I$75*'Plan mensual'!H281+parametros_recargas!$J$75*'Plan mensual'!H282+parametros_recargas!$K$75*'Plan mensual'!H283+parametros_recargas!$L$75*'Plan mensual'!H284</f>
        <v>2025.28830686291</v>
      </c>
      <c r="G261" s="25" t="n">
        <f aca="false">parametros_recargas!$E$75*'Plan mensual'!I277+parametros_recargas!$F$75*'Plan mensual'!I278+parametros_recargas!$G$75*'Plan mensual'!I279+parametros_recargas!$H$75*'Plan mensual'!I280+parametros_recargas!$I$75*'Plan mensual'!I281+parametros_recargas!$J$75*'Plan mensual'!I282+parametros_recargas!$K$75*'Plan mensual'!I283+parametros_recargas!$L$75*'Plan mensual'!I284</f>
        <v>2035.85826405644</v>
      </c>
      <c r="H261" s="25" t="n">
        <f aca="false">parametros_recargas!$E$75*'Plan mensual'!J277+parametros_recargas!$F$75*'Plan mensual'!J278+parametros_recargas!$G$75*'Plan mensual'!J279+parametros_recargas!$H$75*'Plan mensual'!J280+parametros_recargas!$I$75*'Plan mensual'!J281+parametros_recargas!$J$75*'Plan mensual'!J282+parametros_recargas!$K$75*'Plan mensual'!J283+parametros_recargas!$L$75*'Plan mensual'!J284</f>
        <v>2046.4894483774</v>
      </c>
      <c r="I261" s="25" t="n">
        <f aca="false">parametros_recargas!$E$75*'Plan mensual'!K277+parametros_recargas!$F$75*'Plan mensual'!K278+parametros_recargas!$G$75*'Plan mensual'!K279+parametros_recargas!$H$75*'Plan mensual'!K280+parametros_recargas!$I$75*'Plan mensual'!K281+parametros_recargas!$J$75*'Plan mensual'!K282+parametros_recargas!$K$75*'Plan mensual'!K283+parametros_recargas!$L$75*'Plan mensual'!K284</f>
        <v>2057.1822144877</v>
      </c>
      <c r="J261" s="25" t="n">
        <f aca="false">parametros_recargas!$E$75*'Plan mensual'!L277+parametros_recargas!$F$75*'Plan mensual'!L278+parametros_recargas!$G$75*'Plan mensual'!L279+parametros_recargas!$H$75*'Plan mensual'!L280+parametros_recargas!$I$75*'Plan mensual'!L281+parametros_recargas!$J$75*'Plan mensual'!L282+parametros_recargas!$K$75*'Plan mensual'!L283+parametros_recargas!$L$75*'Plan mensual'!L284</f>
        <v>2067.93691910364</v>
      </c>
      <c r="K261" s="25" t="n">
        <f aca="false">parametros_recargas!$E$75*'Plan mensual'!M277+parametros_recargas!$F$75*'Plan mensual'!M278+parametros_recargas!$G$75*'Plan mensual'!M279+parametros_recargas!$H$75*'Plan mensual'!M280+parametros_recargas!$I$75*'Plan mensual'!M281+parametros_recargas!$J$75*'Plan mensual'!M282+parametros_recargas!$K$75*'Plan mensual'!M283+parametros_recargas!$L$75*'Plan mensual'!M284</f>
        <v>2078.75392100782</v>
      </c>
      <c r="L261" s="25" t="n">
        <f aca="false">parametros_recargas!$E$75*'Plan mensual'!N277+parametros_recargas!$F$75*'Plan mensual'!N278+parametros_recargas!$G$75*'Plan mensual'!N279+parametros_recargas!$H$75*'Plan mensual'!N280+parametros_recargas!$I$75*'Plan mensual'!N281+parametros_recargas!$J$75*'Plan mensual'!N282+parametros_recargas!$K$75*'Plan mensual'!N283+parametros_recargas!$L$75*'Plan mensual'!N284</f>
        <v>2089.63358106113</v>
      </c>
      <c r="M261" s="25" t="n">
        <f aca="false">parametros_recargas!$E$75*'Plan mensual'!O277+parametros_recargas!$F$75*'Plan mensual'!O278+parametros_recargas!$G$75*'Plan mensual'!O279+parametros_recargas!$H$75*'Plan mensual'!O280+parametros_recargas!$I$75*'Plan mensual'!O281+parametros_recargas!$J$75*'Plan mensual'!O282+parametros_recargas!$K$75*'Plan mensual'!O283+parametros_recargas!$L$75*'Plan mensual'!O284</f>
        <v>2100.57626221474</v>
      </c>
      <c r="N261" s="7" t="n">
        <f aca="false">SUM(B261:M261)</f>
        <v>24498.3848161252</v>
      </c>
      <c r="O261" s="26" t="n">
        <f aca="false">MAX(B261:M261)</f>
        <v>2100.57626221474</v>
      </c>
      <c r="P261" s="15" t="n">
        <f aca="false">O261/parametros_recargas!$B$6</f>
        <v>14.0038417480983</v>
      </c>
    </row>
    <row r="262" customFormat="false" ht="15" hidden="false" customHeight="false" outlineLevel="0" collapsed="false">
      <c r="A262" s="12" t="str">
        <f aca="false">parametros_recargas!$B$76</f>
        <v>Descarga BC</v>
      </c>
      <c r="B262" s="25" t="n">
        <f aca="false">parametros_recargas!$E$76*'Plan mensual'!D277+parametros_recargas!$F$76*'Plan mensual'!D278+parametros_recargas!$G$76*'Plan mensual'!D279+parametros_recargas!$H$76*'Plan mensual'!D280+parametros_recargas!$I$76*'Plan mensual'!D281+parametros_recargas!$J$76*'Plan mensual'!D282+parametros_recargas!$K$76*'Plan mensual'!D283+parametros_recargas!$L$76*'Plan mensual'!D284</f>
        <v>32.6090995478909</v>
      </c>
      <c r="C262" s="25" t="n">
        <f aca="false">parametros_recargas!$E$76*'Plan mensual'!E277+parametros_recargas!$F$76*'Plan mensual'!E278+parametros_recargas!$G$76*'Plan mensual'!E279+parametros_recargas!$H$76*'Plan mensual'!E280+parametros_recargas!$I$76*'Plan mensual'!E281+parametros_recargas!$J$76*'Plan mensual'!E282+parametros_recargas!$K$76*'Plan mensual'!E283+parametros_recargas!$L$76*'Plan mensual'!E284</f>
        <v>32.7574418327995</v>
      </c>
      <c r="D262" s="25" t="n">
        <f aca="false">parametros_recargas!$E$76*'Plan mensual'!F277+parametros_recargas!$F$76*'Plan mensual'!F278+parametros_recargas!$G$76*'Plan mensual'!F279+parametros_recargas!$H$76*'Plan mensual'!F280+parametros_recargas!$I$76*'Plan mensual'!F281+parametros_recargas!$J$76*'Plan mensual'!F282+parametros_recargas!$K$76*'Plan mensual'!F283+parametros_recargas!$L$76*'Plan mensual'!F284</f>
        <v>32.9066433995212</v>
      </c>
      <c r="E262" s="25" t="n">
        <f aca="false">parametros_recargas!$E$76*'Plan mensual'!G277+parametros_recargas!$F$76*'Plan mensual'!G278+parametros_recargas!$G$76*'Plan mensual'!G279+parametros_recargas!$H$76*'Plan mensual'!G280+parametros_recargas!$I$76*'Plan mensual'!G281+parametros_recargas!$J$76*'Plan mensual'!G282+parametros_recargas!$K$76*'Plan mensual'!G283+parametros_recargas!$L$76*'Plan mensual'!G284</f>
        <v>33.0567092254988</v>
      </c>
      <c r="F262" s="25" t="n">
        <f aca="false">parametros_recargas!$E$76*'Plan mensual'!H277+parametros_recargas!$F$76*'Plan mensual'!H278+parametros_recargas!$G$76*'Plan mensual'!H279+parametros_recargas!$H$76*'Plan mensual'!H280+parametros_recargas!$I$76*'Plan mensual'!H281+parametros_recargas!$J$76*'Plan mensual'!H282+parametros_recargas!$K$76*'Plan mensual'!H283+parametros_recargas!$L$76*'Plan mensual'!H284</f>
        <v>33.2076443170073</v>
      </c>
      <c r="G262" s="25" t="n">
        <f aca="false">parametros_recargas!$E$76*'Plan mensual'!I277+parametros_recargas!$F$76*'Plan mensual'!I278+parametros_recargas!$G$76*'Plan mensual'!I279+parametros_recargas!$H$76*'Plan mensual'!I280+parametros_recargas!$I$76*'Plan mensual'!I281+parametros_recargas!$J$76*'Plan mensual'!I282+parametros_recargas!$K$76*'Plan mensual'!I283+parametros_recargas!$L$76*'Plan mensual'!I284</f>
        <v>33.3594537093206</v>
      </c>
      <c r="H262" s="25" t="n">
        <f aca="false">parametros_recargas!$E$76*'Plan mensual'!J277+parametros_recargas!$F$76*'Plan mensual'!J278+parametros_recargas!$G$76*'Plan mensual'!J279+parametros_recargas!$H$76*'Plan mensual'!J280+parametros_recargas!$I$76*'Plan mensual'!J281+parametros_recargas!$J$76*'Plan mensual'!J282+parametros_recargas!$K$76*'Plan mensual'!J283+parametros_recargas!$L$76*'Plan mensual'!J284</f>
        <v>33.5121424668801</v>
      </c>
      <c r="I262" s="25" t="n">
        <f aca="false">parametros_recargas!$E$76*'Plan mensual'!K277+parametros_recargas!$F$76*'Plan mensual'!K278+parametros_recargas!$G$76*'Plan mensual'!K279+parametros_recargas!$H$76*'Plan mensual'!K280+parametros_recargas!$I$76*'Plan mensual'!K281+parametros_recargas!$J$76*'Plan mensual'!K282+parametros_recargas!$K$76*'Plan mensual'!K283+parametros_recargas!$L$76*'Plan mensual'!K284</f>
        <v>33.6657156834629</v>
      </c>
      <c r="J262" s="25" t="n">
        <f aca="false">parametros_recargas!$E$76*'Plan mensual'!L277+parametros_recargas!$F$76*'Plan mensual'!L278+parametros_recargas!$G$76*'Plan mensual'!L279+parametros_recargas!$H$76*'Plan mensual'!L280+parametros_recargas!$I$76*'Plan mensual'!L281+parametros_recargas!$J$76*'Plan mensual'!L282+parametros_recargas!$K$76*'Plan mensual'!L283+parametros_recargas!$L$76*'Plan mensual'!L284</f>
        <v>33.8201784823524</v>
      </c>
      <c r="K262" s="25" t="n">
        <f aca="false">parametros_recargas!$E$76*'Plan mensual'!M277+parametros_recargas!$F$76*'Plan mensual'!M278+parametros_recargas!$G$76*'Plan mensual'!M279+parametros_recargas!$H$76*'Plan mensual'!M280+parametros_recargas!$I$76*'Plan mensual'!M281+parametros_recargas!$J$76*'Plan mensual'!M282+parametros_recargas!$K$76*'Plan mensual'!M283+parametros_recargas!$L$76*'Plan mensual'!M284</f>
        <v>33.975536016509</v>
      </c>
      <c r="L262" s="25" t="n">
        <f aca="false">parametros_recargas!$E$76*'Plan mensual'!N277+parametros_recargas!$F$76*'Plan mensual'!N278+parametros_recargas!$G$76*'Plan mensual'!N279+parametros_recargas!$H$76*'Plan mensual'!N280+parametros_recargas!$I$76*'Plan mensual'!N281+parametros_recargas!$J$76*'Plan mensual'!N282+parametros_recargas!$K$76*'Plan mensual'!N283+parametros_recargas!$L$76*'Plan mensual'!N284</f>
        <v>34.1317934687415</v>
      </c>
      <c r="M262" s="25" t="n">
        <f aca="false">parametros_recargas!$E$76*'Plan mensual'!O277+parametros_recargas!$F$76*'Plan mensual'!O278+parametros_recargas!$G$76*'Plan mensual'!O279+parametros_recargas!$H$76*'Plan mensual'!O280+parametros_recargas!$I$76*'Plan mensual'!O281+parametros_recargas!$J$76*'Plan mensual'!O282+parametros_recargas!$K$76*'Plan mensual'!O283+parametros_recargas!$L$76*'Plan mensual'!O284</f>
        <v>34.288956051881</v>
      </c>
      <c r="N262" s="7" t="n">
        <f aca="false">SUM(B262:M262)</f>
        <v>401.291314201865</v>
      </c>
      <c r="O262" s="26" t="n">
        <f aca="false">MAX(B262:M262)</f>
        <v>34.288956051881</v>
      </c>
      <c r="P262" s="15" t="n">
        <f aca="false">O262/parametros_recargas!$B$6</f>
        <v>0.228593040345873</v>
      </c>
    </row>
    <row r="263" customFormat="false" ht="15" hidden="false" customHeight="false" outlineLevel="0" collapsed="false">
      <c r="A263" s="12" t="str">
        <f aca="false">parametros_recargas!$B$77</f>
        <v>Descarga de agua / AFFF / sales K</v>
      </c>
      <c r="B263" s="25" t="n">
        <f aca="false">parametros_recargas!$E$77*'Plan mensual'!D277+parametros_recargas!$F$77*'Plan mensual'!D278+parametros_recargas!$G$77*'Plan mensual'!D279+parametros_recargas!$H$77*'Plan mensual'!D280+parametros_recargas!$I$77*'Plan mensual'!D281+parametros_recargas!$J$77*'Plan mensual'!D282+parametros_recargas!$K$77*'Plan mensual'!D283+parametros_recargas!$L$77*'Plan mensual'!D284</f>
        <v>1094.98144036345</v>
      </c>
      <c r="C263" s="25" t="n">
        <f aca="false">parametros_recargas!$E$77*'Plan mensual'!E277+parametros_recargas!$F$77*'Plan mensual'!E278+parametros_recargas!$G$77*'Plan mensual'!E279+parametros_recargas!$H$77*'Plan mensual'!E280+parametros_recargas!$I$77*'Plan mensual'!E281+parametros_recargas!$J$77*'Plan mensual'!E282+parametros_recargas!$K$77*'Plan mensual'!E283+parametros_recargas!$L$77*'Plan mensual'!E284</f>
        <v>1100.14733231518</v>
      </c>
      <c r="D263" s="25" t="n">
        <f aca="false">parametros_recargas!$E$77*'Plan mensual'!F277+parametros_recargas!$F$77*'Plan mensual'!F278+parametros_recargas!$G$77*'Plan mensual'!F279+parametros_recargas!$H$77*'Plan mensual'!F280+parametros_recargas!$I$77*'Plan mensual'!F281+parametros_recargas!$J$77*'Plan mensual'!F282+parametros_recargas!$K$77*'Plan mensual'!F283+parametros_recargas!$L$77*'Plan mensual'!F284</f>
        <v>1105.3431480139</v>
      </c>
      <c r="E263" s="25" t="n">
        <f aca="false">parametros_recargas!$E$77*'Plan mensual'!G277+parametros_recargas!$F$77*'Plan mensual'!G278+parametros_recargas!$G$77*'Plan mensual'!G279+parametros_recargas!$H$77*'Plan mensual'!G280+parametros_recargas!$I$77*'Plan mensual'!G281+parametros_recargas!$J$77*'Plan mensual'!G282+parametros_recargas!$K$77*'Plan mensual'!G283+parametros_recargas!$L$77*'Plan mensual'!G284</f>
        <v>1110.56906079477</v>
      </c>
      <c r="F263" s="25" t="n">
        <f aca="false">parametros_recargas!$E$77*'Plan mensual'!H277+parametros_recargas!$F$77*'Plan mensual'!H278+parametros_recargas!$G$77*'Plan mensual'!H279+parametros_recargas!$H$77*'Plan mensual'!H280+parametros_recargas!$I$77*'Plan mensual'!H281+parametros_recargas!$J$77*'Plan mensual'!H282+parametros_recargas!$K$77*'Plan mensual'!H283+parametros_recargas!$L$77*'Plan mensual'!H284</f>
        <v>1115.82524499698</v>
      </c>
      <c r="G263" s="25" t="n">
        <f aca="false">parametros_recargas!$E$77*'Plan mensual'!I277+parametros_recargas!$F$77*'Plan mensual'!I278+parametros_recargas!$G$77*'Plan mensual'!I279+parametros_recargas!$H$77*'Plan mensual'!I280+parametros_recargas!$I$77*'Plan mensual'!I281+parametros_recargas!$J$77*'Plan mensual'!I282+parametros_recargas!$K$77*'Plan mensual'!I283+parametros_recargas!$L$77*'Plan mensual'!I284</f>
        <v>1121.11187596961</v>
      </c>
      <c r="H263" s="25" t="n">
        <f aca="false">parametros_recargas!$E$77*'Plan mensual'!J277+parametros_recargas!$F$77*'Plan mensual'!J278+parametros_recargas!$G$77*'Plan mensual'!J279+parametros_recargas!$H$77*'Plan mensual'!J280+parametros_recargas!$I$77*'Plan mensual'!J281+parametros_recargas!$J$77*'Plan mensual'!J282+parametros_recargas!$K$77*'Plan mensual'!J283+parametros_recargas!$L$77*'Plan mensual'!J284</f>
        <v>1126.42913007744</v>
      </c>
      <c r="I263" s="25" t="n">
        <f aca="false">parametros_recargas!$E$77*'Plan mensual'!K277+parametros_recargas!$F$77*'Plan mensual'!K278+parametros_recargas!$G$77*'Plan mensual'!K279+parametros_recargas!$H$77*'Plan mensual'!K280+parametros_recargas!$I$77*'Plan mensual'!K281+parametros_recargas!$J$77*'Plan mensual'!K282+parametros_recargas!$K$77*'Plan mensual'!K283+parametros_recargas!$L$77*'Plan mensual'!K284</f>
        <v>1131.77718470688</v>
      </c>
      <c r="J263" s="25" t="n">
        <f aca="false">parametros_recargas!$E$77*'Plan mensual'!L277+parametros_recargas!$F$77*'Plan mensual'!L278+parametros_recargas!$G$77*'Plan mensual'!L279+parametros_recargas!$H$77*'Plan mensual'!L280+parametros_recargas!$I$77*'Plan mensual'!L281+parametros_recargas!$J$77*'Plan mensual'!L282+parametros_recargas!$K$77*'Plan mensual'!L283+parametros_recargas!$L$77*'Plan mensual'!L284</f>
        <v>1137.15621827183</v>
      </c>
      <c r="K263" s="25" t="n">
        <f aca="false">parametros_recargas!$E$77*'Plan mensual'!M277+parametros_recargas!$F$77*'Plan mensual'!M278+parametros_recargas!$G$77*'Plan mensual'!M279+parametros_recargas!$H$77*'Plan mensual'!M280+parametros_recargas!$I$77*'Plan mensual'!M281+parametros_recargas!$J$77*'Plan mensual'!M282+parametros_recargas!$K$77*'Plan mensual'!M283+parametros_recargas!$L$77*'Plan mensual'!M284</f>
        <v>1142.56641021968</v>
      </c>
      <c r="L263" s="25" t="n">
        <f aca="false">parametros_recargas!$E$77*'Plan mensual'!N277+parametros_recargas!$F$77*'Plan mensual'!N278+parametros_recargas!$G$77*'Plan mensual'!N279+parametros_recargas!$H$77*'Plan mensual'!N280+parametros_recargas!$I$77*'Plan mensual'!N281+parametros_recargas!$J$77*'Plan mensual'!N282+parametros_recargas!$K$77*'Plan mensual'!N283+parametros_recargas!$L$77*'Plan mensual'!N284</f>
        <v>1148.0079410373</v>
      </c>
      <c r="M263" s="25" t="n">
        <f aca="false">parametros_recargas!$E$77*'Plan mensual'!O277+parametros_recargas!$F$77*'Plan mensual'!O278+parametros_recargas!$G$77*'Plan mensual'!O279+parametros_recargas!$H$77*'Plan mensual'!O280+parametros_recargas!$I$77*'Plan mensual'!O281+parametros_recargas!$J$77*'Plan mensual'!O282+parametros_recargas!$K$77*'Plan mensual'!O283+parametros_recargas!$L$77*'Plan mensual'!O284</f>
        <v>1153.480992257</v>
      </c>
      <c r="N263" s="7" t="n">
        <f aca="false">SUM(B263:M263)</f>
        <v>13487.395979024</v>
      </c>
      <c r="O263" s="26" t="n">
        <f aca="false">MAX(B263:M263)</f>
        <v>1153.480992257</v>
      </c>
      <c r="P263" s="15" t="n">
        <f aca="false">O263/parametros_recargas!$B$6</f>
        <v>7.68987328171336</v>
      </c>
    </row>
    <row r="264" customFormat="false" ht="15" hidden="false" customHeight="false" outlineLevel="0" collapsed="false">
      <c r="A264" s="12" t="str">
        <f aca="false">parametros_recargas!$B$78</f>
        <v>Recuperación de CO₂</v>
      </c>
      <c r="B264" s="25" t="n">
        <f aca="false">parametros_recargas!$E$78*'Plan mensual'!D277+parametros_recargas!$F$78*'Plan mensual'!D278+parametros_recargas!$G$78*'Plan mensual'!D279+parametros_recargas!$H$78*'Plan mensual'!D280+parametros_recargas!$I$78*'Plan mensual'!D281+parametros_recargas!$J$78*'Plan mensual'!D282+parametros_recargas!$K$78*'Plan mensual'!D283+parametros_recargas!$L$78*'Plan mensual'!D284</f>
        <v>499.999118810383</v>
      </c>
      <c r="C264" s="25" t="n">
        <f aca="false">parametros_recargas!$E$78*'Plan mensual'!E277+parametros_recargas!$F$78*'Plan mensual'!E278+parametros_recargas!$G$78*'Plan mensual'!E279+parametros_recargas!$H$78*'Plan mensual'!E280+parametros_recargas!$I$78*'Plan mensual'!E281+parametros_recargas!$J$78*'Plan mensual'!E282+parametros_recargas!$K$78*'Plan mensual'!E283+parametros_recargas!$L$78*'Plan mensual'!E284</f>
        <v>502.357410319727</v>
      </c>
      <c r="D264" s="25" t="n">
        <f aca="false">parametros_recargas!$E$78*'Plan mensual'!F277+parametros_recargas!$F$78*'Plan mensual'!F278+parametros_recargas!$G$78*'Plan mensual'!F279+parametros_recargas!$H$78*'Plan mensual'!F280+parametros_recargas!$I$78*'Plan mensual'!F281+parametros_recargas!$J$78*'Plan mensual'!F282+parametros_recargas!$K$78*'Plan mensual'!F283+parametros_recargas!$L$78*'Plan mensual'!F284</f>
        <v>504.729362377749</v>
      </c>
      <c r="E264" s="25" t="n">
        <f aca="false">parametros_recargas!$E$78*'Plan mensual'!G277+parametros_recargas!$F$78*'Plan mensual'!G278+parametros_recargas!$G$78*'Plan mensual'!G279+parametros_recargas!$H$78*'Plan mensual'!G280+parametros_recargas!$I$78*'Plan mensual'!G281+parametros_recargas!$J$78*'Plan mensual'!G282+parametros_recargas!$K$78*'Plan mensual'!G283+parametros_recargas!$L$78*'Plan mensual'!G284</f>
        <v>507.115054114018</v>
      </c>
      <c r="F264" s="25" t="n">
        <f aca="false">parametros_recargas!$E$78*'Plan mensual'!H277+parametros_recargas!$F$78*'Plan mensual'!H278+parametros_recargas!$G$78*'Plan mensual'!H279+parametros_recargas!$H$78*'Plan mensual'!H280+parametros_recargas!$I$78*'Plan mensual'!H281+parametros_recargas!$J$78*'Plan mensual'!H282+parametros_recargas!$K$78*'Plan mensual'!H283+parametros_recargas!$L$78*'Plan mensual'!H284</f>
        <v>509.514565116465</v>
      </c>
      <c r="G264" s="25" t="n">
        <f aca="false">parametros_recargas!$E$78*'Plan mensual'!I277+parametros_recargas!$F$78*'Plan mensual'!I278+parametros_recargas!$G$78*'Plan mensual'!I279+parametros_recargas!$H$78*'Plan mensual'!I280+parametros_recargas!$I$78*'Plan mensual'!I281+parametros_recargas!$J$78*'Plan mensual'!I282+parametros_recargas!$K$78*'Plan mensual'!I283+parametros_recargas!$L$78*'Plan mensual'!I284</f>
        <v>511.927975434041</v>
      </c>
      <c r="H264" s="25" t="n">
        <f aca="false">parametros_recargas!$E$78*'Plan mensual'!J277+parametros_recargas!$F$78*'Plan mensual'!J278+parametros_recargas!$G$78*'Plan mensual'!J279+parametros_recargas!$H$78*'Plan mensual'!J280+parametros_recargas!$I$78*'Plan mensual'!J281+parametros_recargas!$J$78*'Plan mensual'!J282+parametros_recargas!$K$78*'Plan mensual'!J283+parametros_recargas!$L$78*'Plan mensual'!J284</f>
        <v>514.355365579384</v>
      </c>
      <c r="I264" s="25" t="n">
        <f aca="false">parametros_recargas!$E$78*'Plan mensual'!K277+parametros_recargas!$F$78*'Plan mensual'!K278+parametros_recargas!$G$78*'Plan mensual'!K279+parametros_recargas!$H$78*'Plan mensual'!K280+parametros_recargas!$I$78*'Plan mensual'!K281+parametros_recargas!$J$78*'Plan mensual'!K282+parametros_recargas!$K$78*'Plan mensual'!K283+parametros_recargas!$L$78*'Plan mensual'!K284</f>
        <v>516.796816531505</v>
      </c>
      <c r="J264" s="25" t="n">
        <f aca="false">parametros_recargas!$E$78*'Plan mensual'!L277+parametros_recargas!$F$78*'Plan mensual'!L278+parametros_recargas!$G$78*'Plan mensual'!L279+parametros_recargas!$H$78*'Plan mensual'!L280+parametros_recargas!$I$78*'Plan mensual'!L281+parametros_recargas!$J$78*'Plan mensual'!L282+parametros_recargas!$K$78*'Plan mensual'!L283+parametros_recargas!$L$78*'Plan mensual'!L284</f>
        <v>519.252409738493</v>
      </c>
      <c r="K264" s="25" t="n">
        <f aca="false">parametros_recargas!$E$78*'Plan mensual'!M277+parametros_recargas!$F$78*'Plan mensual'!M278+parametros_recargas!$G$78*'Plan mensual'!M279+parametros_recargas!$H$78*'Plan mensual'!M280+parametros_recargas!$I$78*'Plan mensual'!M281+parametros_recargas!$J$78*'Plan mensual'!M282+parametros_recargas!$K$78*'Plan mensual'!M283+parametros_recargas!$L$78*'Plan mensual'!M284</f>
        <v>521.722227120231</v>
      </c>
      <c r="L264" s="25" t="n">
        <f aca="false">parametros_recargas!$E$78*'Plan mensual'!N277+parametros_recargas!$F$78*'Plan mensual'!N278+parametros_recargas!$G$78*'Plan mensual'!N279+parametros_recargas!$H$78*'Plan mensual'!N280+parametros_recargas!$I$78*'Plan mensual'!N281+parametros_recargas!$J$78*'Plan mensual'!N282+parametros_recargas!$K$78*'Plan mensual'!N283+parametros_recargas!$L$78*'Plan mensual'!N284</f>
        <v>524.206351071124</v>
      </c>
      <c r="M264" s="25" t="n">
        <f aca="false">parametros_recargas!$E$78*'Plan mensual'!O277+parametros_recargas!$F$78*'Plan mensual'!O278+parametros_recargas!$G$78*'Plan mensual'!O279+parametros_recargas!$H$78*'Plan mensual'!O280+parametros_recargas!$I$78*'Plan mensual'!O281+parametros_recargas!$J$78*'Plan mensual'!O282+parametros_recargas!$K$78*'Plan mensual'!O283+parametros_recargas!$L$78*'Plan mensual'!O284</f>
        <v>526.704864462856</v>
      </c>
      <c r="N264" s="7" t="n">
        <f aca="false">SUM(B264:M264)</f>
        <v>6158.68152067598</v>
      </c>
      <c r="O264" s="26" t="n">
        <f aca="false">MAX(B264:M264)</f>
        <v>526.704864462856</v>
      </c>
      <c r="P264" s="15" t="n">
        <f aca="false">O264/parametros_recargas!$B$6</f>
        <v>3.51136576308571</v>
      </c>
    </row>
    <row r="265" customFormat="false" ht="15" hidden="false" customHeight="false" outlineLevel="0" collapsed="false">
      <c r="A265" s="12" t="str">
        <f aca="false">parametros_recargas!$B$79</f>
        <v>Recuperación de halogenado</v>
      </c>
      <c r="B265" s="25" t="n">
        <f aca="false">parametros_recargas!$E$79*'Plan mensual'!D277+parametros_recargas!$F$79*'Plan mensual'!D278+parametros_recargas!$G$79*'Plan mensual'!D279+parametros_recargas!$H$79*'Plan mensual'!D280+parametros_recargas!$I$79*'Plan mensual'!D281+parametros_recargas!$J$79*'Plan mensual'!D282+parametros_recargas!$K$79*'Plan mensual'!D283+parametros_recargas!$L$79*'Plan mensual'!D284</f>
        <v>20.6402750940143</v>
      </c>
      <c r="C265" s="25" t="n">
        <f aca="false">parametros_recargas!$E$79*'Plan mensual'!E277+parametros_recargas!$F$79*'Plan mensual'!E278+parametros_recargas!$G$79*'Plan mensual'!E279+parametros_recargas!$H$79*'Plan mensual'!E280+parametros_recargas!$I$79*'Plan mensual'!E281+parametros_recargas!$J$79*'Plan mensual'!E282+parametros_recargas!$K$79*'Plan mensual'!E283+parametros_recargas!$L$79*'Plan mensual'!E284</f>
        <v>20.737751016692</v>
      </c>
      <c r="D265" s="25" t="n">
        <f aca="false">parametros_recargas!$E$79*'Plan mensual'!F277+parametros_recargas!$F$79*'Plan mensual'!F278+parametros_recargas!$G$79*'Plan mensual'!F279+parametros_recargas!$H$79*'Plan mensual'!F280+parametros_recargas!$I$79*'Plan mensual'!F281+parametros_recargas!$J$79*'Plan mensual'!F282+parametros_recargas!$K$79*'Plan mensual'!F283+parametros_recargas!$L$79*'Plan mensual'!F284</f>
        <v>20.8357915746496</v>
      </c>
      <c r="E265" s="25" t="n">
        <f aca="false">parametros_recargas!$E$79*'Plan mensual'!G277+parametros_recargas!$F$79*'Plan mensual'!G278+parametros_recargas!$G$79*'Plan mensual'!G279+parametros_recargas!$H$79*'Plan mensual'!G280+parametros_recargas!$I$79*'Plan mensual'!G281+parametros_recargas!$J$79*'Plan mensual'!G282+parametros_recargas!$K$79*'Plan mensual'!G283+parametros_recargas!$L$79*'Plan mensual'!G284</f>
        <v>20.9344000385718</v>
      </c>
      <c r="F265" s="25" t="n">
        <f aca="false">parametros_recargas!$E$79*'Plan mensual'!H277+parametros_recargas!$F$79*'Plan mensual'!H278+parametros_recargas!$G$79*'Plan mensual'!H279+parametros_recargas!$H$79*'Plan mensual'!H280+parametros_recargas!$I$79*'Plan mensual'!H281+parametros_recargas!$J$79*'Plan mensual'!H282+parametros_recargas!$K$79*'Plan mensual'!H283+parametros_recargas!$L$79*'Plan mensual'!H284</f>
        <v>21.0335796980889</v>
      </c>
      <c r="G265" s="25" t="n">
        <f aca="false">parametros_recargas!$E$79*'Plan mensual'!I277+parametros_recargas!$F$79*'Plan mensual'!I278+parametros_recargas!$G$79*'Plan mensual'!I279+parametros_recargas!$H$79*'Plan mensual'!I280+parametros_recargas!$I$79*'Plan mensual'!I281+parametros_recargas!$J$79*'Plan mensual'!I282+parametros_recargas!$K$79*'Plan mensual'!I283+parametros_recargas!$L$79*'Plan mensual'!I284</f>
        <v>21.1333338618864</v>
      </c>
      <c r="H265" s="25" t="n">
        <f aca="false">parametros_recargas!$E$79*'Plan mensual'!J277+parametros_recargas!$F$79*'Plan mensual'!J278+parametros_recargas!$G$79*'Plan mensual'!J279+parametros_recargas!$H$79*'Plan mensual'!J280+parametros_recargas!$I$79*'Plan mensual'!J281+parametros_recargas!$J$79*'Plan mensual'!J282+parametros_recargas!$K$79*'Plan mensual'!J283+parametros_recargas!$L$79*'Plan mensual'!J284</f>
        <v>21.2336658578159</v>
      </c>
      <c r="I265" s="25" t="n">
        <f aca="false">parametros_recargas!$E$79*'Plan mensual'!K277+parametros_recargas!$F$79*'Plan mensual'!K278+parametros_recargas!$G$79*'Plan mensual'!K279+parametros_recargas!$H$79*'Plan mensual'!K280+parametros_recargas!$I$79*'Plan mensual'!K281+parametros_recargas!$J$79*'Plan mensual'!K282+parametros_recargas!$K$79*'Plan mensual'!K283+parametros_recargas!$L$79*'Plan mensual'!K284</f>
        <v>21.3345790330053</v>
      </c>
      <c r="J265" s="25" t="n">
        <f aca="false">parametros_recargas!$E$79*'Plan mensual'!L277+parametros_recargas!$F$79*'Plan mensual'!L278+parametros_recargas!$G$79*'Plan mensual'!L279+parametros_recargas!$H$79*'Plan mensual'!L280+parametros_recargas!$I$79*'Plan mensual'!L281+parametros_recargas!$J$79*'Plan mensual'!L282+parametros_recargas!$K$79*'Plan mensual'!L283+parametros_recargas!$L$79*'Plan mensual'!L284</f>
        <v>21.4360767539714</v>
      </c>
      <c r="K265" s="25" t="n">
        <f aca="false">parametros_recargas!$E$79*'Plan mensual'!M277+parametros_recargas!$F$79*'Plan mensual'!M278+parametros_recargas!$G$79*'Plan mensual'!M279+parametros_recargas!$H$79*'Plan mensual'!M280+parametros_recargas!$I$79*'Plan mensual'!M281+parametros_recargas!$J$79*'Plan mensual'!M282+parametros_recargas!$K$79*'Plan mensual'!M283+parametros_recargas!$L$79*'Plan mensual'!M284</f>
        <v>21.5381624067316</v>
      </c>
      <c r="L265" s="25" t="n">
        <f aca="false">parametros_recargas!$E$79*'Plan mensual'!N277+parametros_recargas!$F$79*'Plan mensual'!N278+parametros_recargas!$G$79*'Plan mensual'!N279+parametros_recargas!$H$79*'Plan mensual'!N280+parametros_recargas!$I$79*'Plan mensual'!N281+parametros_recargas!$J$79*'Plan mensual'!N282+parametros_recargas!$K$79*'Plan mensual'!N283+parametros_recargas!$L$79*'Plan mensual'!N284</f>
        <v>21.6408393969169</v>
      </c>
      <c r="M265" s="25" t="n">
        <f aca="false">parametros_recargas!$E$79*'Plan mensual'!O277+parametros_recargas!$F$79*'Plan mensual'!O278+parametros_recargas!$G$79*'Plan mensual'!O279+parametros_recargas!$H$79*'Plan mensual'!O280+parametros_recargas!$I$79*'Plan mensual'!O281+parametros_recargas!$J$79*'Plan mensual'!O282+parametros_recargas!$K$79*'Plan mensual'!O283+parametros_recargas!$L$79*'Plan mensual'!O284</f>
        <v>21.7441111498857</v>
      </c>
      <c r="N265" s="7" t="n">
        <f aca="false">SUM(B265:M265)</f>
        <v>254.24256588223</v>
      </c>
      <c r="O265" s="26" t="n">
        <f aca="false">MAX(B265:M265)</f>
        <v>21.7441111498857</v>
      </c>
      <c r="P265" s="15" t="n">
        <f aca="false">O265/parametros_recargas!$B$6</f>
        <v>0.144960740999238</v>
      </c>
    </row>
    <row r="266" customFormat="false" ht="15" hidden="false" customHeight="false" outlineLevel="0" collapsed="false">
      <c r="A266" s="12" t="str">
        <f aca="false">parametros_recargas!$B$80</f>
        <v>Desarme y limpieza — recinto</v>
      </c>
      <c r="B266" s="25" t="n">
        <f aca="false">parametros_recargas!$E$80*'Plan mensual'!D277+parametros_recargas!$F$80*'Plan mensual'!D278+parametros_recargas!$G$80*'Plan mensual'!D279+parametros_recargas!$H$80*'Plan mensual'!D280+parametros_recargas!$I$80*'Plan mensual'!D281+parametros_recargas!$J$80*'Plan mensual'!D282+parametros_recargas!$K$80*'Plan mensual'!D283+parametros_recargas!$L$80*'Plan mensual'!D284</f>
        <v>19898.1553536606</v>
      </c>
      <c r="C266" s="25" t="n">
        <f aca="false">parametros_recargas!$E$80*'Plan mensual'!E277+parametros_recargas!$F$80*'Plan mensual'!E278+parametros_recargas!$G$80*'Plan mensual'!E279+parametros_recargas!$H$80*'Plan mensual'!E280+parametros_recargas!$I$80*'Plan mensual'!E281+parametros_recargas!$J$80*'Plan mensual'!E282+parametros_recargas!$K$80*'Plan mensual'!E283+parametros_recargas!$L$80*'Plan mensual'!E284</f>
        <v>20001.7229093261</v>
      </c>
      <c r="D266" s="25" t="n">
        <f aca="false">parametros_recargas!$E$80*'Plan mensual'!F277+parametros_recargas!$F$80*'Plan mensual'!F278+parametros_recargas!$G$80*'Plan mensual'!F279+parametros_recargas!$H$80*'Plan mensual'!F280+parametros_recargas!$I$80*'Plan mensual'!F281+parametros_recargas!$J$80*'Plan mensual'!F282+parametros_recargas!$K$80*'Plan mensual'!F283+parametros_recargas!$L$80*'Plan mensual'!F284</f>
        <v>20105.8903864305</v>
      </c>
      <c r="E266" s="25" t="n">
        <f aca="false">parametros_recargas!$E$80*'Plan mensual'!G277+parametros_recargas!$F$80*'Plan mensual'!G278+parametros_recargas!$G$80*'Plan mensual'!G279+parametros_recargas!$H$80*'Plan mensual'!G280+parametros_recargas!$I$80*'Plan mensual'!G281+parametros_recargas!$J$80*'Plan mensual'!G282+parametros_recargas!$K$80*'Plan mensual'!G283+parametros_recargas!$L$80*'Plan mensual'!G284</f>
        <v>20210.6612600557</v>
      </c>
      <c r="F266" s="25" t="n">
        <f aca="false">parametros_recargas!$E$80*'Plan mensual'!H277+parametros_recargas!$F$80*'Plan mensual'!H278+parametros_recargas!$G$80*'Plan mensual'!H279+parametros_recargas!$H$80*'Plan mensual'!H280+parametros_recargas!$I$80*'Plan mensual'!H281+parametros_recargas!$J$80*'Plan mensual'!H282+parametros_recargas!$K$80*'Plan mensual'!H283+parametros_recargas!$L$80*'Plan mensual'!H284</f>
        <v>20316.039025413</v>
      </c>
      <c r="G266" s="25" t="n">
        <f aca="false">parametros_recargas!$E$80*'Plan mensual'!I277+parametros_recargas!$F$80*'Plan mensual'!I278+parametros_recargas!$G$80*'Plan mensual'!I279+parametros_recargas!$H$80*'Plan mensual'!I280+parametros_recargas!$I$80*'Plan mensual'!I281+parametros_recargas!$J$80*'Plan mensual'!I282+parametros_recargas!$K$80*'Plan mensual'!I283+parametros_recargas!$L$80*'Plan mensual'!I284</f>
        <v>20422.0271979603</v>
      </c>
      <c r="H266" s="25" t="n">
        <f aca="false">parametros_recargas!$E$80*'Plan mensual'!J277+parametros_recargas!$F$80*'Plan mensual'!J278+parametros_recargas!$G$80*'Plan mensual'!J279+parametros_recargas!$H$80*'Plan mensual'!J280+parametros_recargas!$I$80*'Plan mensual'!J281+parametros_recargas!$J$80*'Plan mensual'!J282+parametros_recargas!$K$80*'Plan mensual'!J283+parametros_recargas!$L$80*'Plan mensual'!J284</f>
        <v>20528.6293135188</v>
      </c>
      <c r="I266" s="25" t="n">
        <f aca="false">parametros_recargas!$E$80*'Plan mensual'!K277+parametros_recargas!$F$80*'Plan mensual'!K278+parametros_recargas!$G$80*'Plan mensual'!K279+parametros_recargas!$H$80*'Plan mensual'!K280+parametros_recargas!$I$80*'Plan mensual'!K281+parametros_recargas!$J$80*'Plan mensual'!K282+parametros_recargas!$K$80*'Plan mensual'!K283+parametros_recargas!$L$80*'Plan mensual'!K284</f>
        <v>20635.848928391</v>
      </c>
      <c r="J266" s="25" t="n">
        <f aca="false">parametros_recargas!$E$80*'Plan mensual'!L277+parametros_recargas!$F$80*'Plan mensual'!L278+parametros_recargas!$G$80*'Plan mensual'!L279+parametros_recargas!$H$80*'Plan mensual'!L280+parametros_recargas!$I$80*'Plan mensual'!L281+parametros_recargas!$J$80*'Plan mensual'!L282+parametros_recargas!$K$80*'Plan mensual'!L283+parametros_recargas!$L$80*'Plan mensual'!L284</f>
        <v>20743.6896194799</v>
      </c>
      <c r="K266" s="25" t="n">
        <f aca="false">parametros_recargas!$E$80*'Plan mensual'!M277+parametros_recargas!$F$80*'Plan mensual'!M278+parametros_recargas!$G$80*'Plan mensual'!M279+parametros_recargas!$H$80*'Plan mensual'!M280+parametros_recargas!$I$80*'Plan mensual'!M281+parametros_recargas!$J$80*'Plan mensual'!M282+parametros_recargas!$K$80*'Plan mensual'!M283+parametros_recargas!$L$80*'Plan mensual'!M284</f>
        <v>20852.1549844075</v>
      </c>
      <c r="L266" s="25" t="n">
        <f aca="false">parametros_recargas!$E$80*'Plan mensual'!N277+parametros_recargas!$F$80*'Plan mensual'!N278+parametros_recargas!$G$80*'Plan mensual'!N279+parametros_recargas!$H$80*'Plan mensual'!N280+parametros_recargas!$I$80*'Plan mensual'!N281+parametros_recargas!$J$80*'Plan mensual'!N282+parametros_recargas!$K$80*'Plan mensual'!N283+parametros_recargas!$L$80*'Plan mensual'!N284</f>
        <v>20961.2486416355</v>
      </c>
      <c r="M266" s="25" t="n">
        <f aca="false">parametros_recargas!$E$80*'Plan mensual'!O277+parametros_recargas!$F$80*'Plan mensual'!O278+parametros_recargas!$G$80*'Plan mensual'!O279+parametros_recargas!$H$80*'Plan mensual'!O280+parametros_recargas!$I$80*'Plan mensual'!O281+parametros_recargas!$J$80*'Plan mensual'!O282+parametros_recargas!$K$80*'Plan mensual'!O283+parametros_recargas!$L$80*'Plan mensual'!O284</f>
        <v>21070.9742305858</v>
      </c>
      <c r="N266" s="7" t="n">
        <f aca="false">SUM(B266:M266)</f>
        <v>245747.041850865</v>
      </c>
      <c r="O266" s="26" t="n">
        <f aca="false">MAX(B266:M266)</f>
        <v>21070.9742305858</v>
      </c>
      <c r="P266" s="15" t="n">
        <f aca="false">O266/parametros_recargas!$B$6</f>
        <v>140.473161537239</v>
      </c>
    </row>
    <row r="267" customFormat="false" ht="15" hidden="false" customHeight="false" outlineLevel="0" collapsed="false">
      <c r="A267" s="12" t="str">
        <f aca="false">parametros_recargas!$B$81</f>
        <v>Desarme e inspección interior — zona general</v>
      </c>
      <c r="B267" s="25" t="n">
        <f aca="false">parametros_recargas!$E$81*'Plan mensual'!D277+parametros_recargas!$F$81*'Plan mensual'!D278+parametros_recargas!$G$81*'Plan mensual'!D279+parametros_recargas!$H$81*'Plan mensual'!D280+parametros_recargas!$I$81*'Plan mensual'!D281+parametros_recargas!$J$81*'Plan mensual'!D282+parametros_recargas!$K$81*'Plan mensual'!D283+parametros_recargas!$L$81*'Plan mensual'!D284</f>
        <v>1615.62083426785</v>
      </c>
      <c r="C267" s="25" t="n">
        <f aca="false">parametros_recargas!$E$81*'Plan mensual'!E277+parametros_recargas!$F$81*'Plan mensual'!E278+parametros_recargas!$G$81*'Plan mensual'!E279+parametros_recargas!$H$81*'Plan mensual'!E280+parametros_recargas!$I$81*'Plan mensual'!E281+parametros_recargas!$J$81*'Plan mensual'!E282+parametros_recargas!$K$81*'Plan mensual'!E283+parametros_recargas!$L$81*'Plan mensual'!E284</f>
        <v>1623.2424936516</v>
      </c>
      <c r="D267" s="25" t="n">
        <f aca="false">parametros_recargas!$E$81*'Plan mensual'!F277+parametros_recargas!$F$81*'Plan mensual'!F278+parametros_recargas!$G$81*'Plan mensual'!F279+parametros_recargas!$H$81*'Plan mensual'!F280+parametros_recargas!$I$81*'Plan mensual'!F281+parametros_recargas!$J$81*'Plan mensual'!F282+parametros_recargas!$K$81*'Plan mensual'!F283+parametros_recargas!$L$81*'Plan mensual'!F284</f>
        <v>1630.9083019663</v>
      </c>
      <c r="E267" s="25" t="n">
        <f aca="false">parametros_recargas!$E$81*'Plan mensual'!G277+parametros_recargas!$F$81*'Plan mensual'!G278+parametros_recargas!$G$81*'Plan mensual'!G279+parametros_recargas!$H$81*'Plan mensual'!G280+parametros_recargas!$I$81*'Plan mensual'!G281+parametros_recargas!$J$81*'Plan mensual'!G282+parametros_recargas!$K$81*'Plan mensual'!G283+parametros_recargas!$L$81*'Plan mensual'!G284</f>
        <v>1638.61851494736</v>
      </c>
      <c r="F267" s="25" t="n">
        <f aca="false">parametros_recargas!$E$81*'Plan mensual'!H277+parametros_recargas!$F$81*'Plan mensual'!H278+parametros_recargas!$G$81*'Plan mensual'!H279+parametros_recargas!$H$81*'Plan mensual'!H280+parametros_recargas!$I$81*'Plan mensual'!H281+parametros_recargas!$J$81*'Plan mensual'!H282+parametros_recargas!$K$81*'Plan mensual'!H283+parametros_recargas!$L$81*'Plan mensual'!H284</f>
        <v>1646.37338981154</v>
      </c>
      <c r="G267" s="25" t="n">
        <f aca="false">parametros_recargas!$E$81*'Plan mensual'!I277+parametros_recargas!$F$81*'Plan mensual'!I278+parametros_recargas!$G$81*'Plan mensual'!I279+parametros_recargas!$H$81*'Plan mensual'!I280+parametros_recargas!$I$81*'Plan mensual'!I281+parametros_recargas!$J$81*'Plan mensual'!I282+parametros_recargas!$K$81*'Plan mensual'!I283+parametros_recargas!$L$81*'Plan mensual'!I284</f>
        <v>1654.17318526554</v>
      </c>
      <c r="H267" s="25" t="n">
        <f aca="false">parametros_recargas!$E$81*'Plan mensual'!J277+parametros_recargas!$F$81*'Plan mensual'!J278+parametros_recargas!$G$81*'Plan mensual'!J279+parametros_recargas!$H$81*'Plan mensual'!J280+parametros_recargas!$I$81*'Plan mensual'!J281+parametros_recargas!$J$81*'Plan mensual'!J282+parametros_recargas!$K$81*'Plan mensual'!J283+parametros_recargas!$L$81*'Plan mensual'!J284</f>
        <v>1662.01816151464</v>
      </c>
      <c r="I267" s="25" t="n">
        <f aca="false">parametros_recargas!$E$81*'Plan mensual'!K277+parametros_recargas!$F$81*'Plan mensual'!K278+parametros_recargas!$G$81*'Plan mensual'!K279+parametros_recargas!$H$81*'Plan mensual'!K280+parametros_recargas!$I$81*'Plan mensual'!K281+parametros_recargas!$J$81*'Plan mensual'!K282+parametros_recargas!$K$81*'Plan mensual'!K283+parametros_recargas!$L$81*'Plan mensual'!K284</f>
        <v>1669.90858027139</v>
      </c>
      <c r="J267" s="25" t="n">
        <f aca="false">parametros_recargas!$E$81*'Plan mensual'!L277+parametros_recargas!$F$81*'Plan mensual'!L278+parametros_recargas!$G$81*'Plan mensual'!L279+parametros_recargas!$H$81*'Plan mensual'!L280+parametros_recargas!$I$81*'Plan mensual'!L281+parametros_recargas!$J$81*'Plan mensual'!L282+parametros_recargas!$K$81*'Plan mensual'!L283+parametros_recargas!$L$81*'Plan mensual'!L284</f>
        <v>1677.84470476429</v>
      </c>
      <c r="K267" s="25" t="n">
        <f aca="false">parametros_recargas!$E$81*'Plan mensual'!M277+parametros_recargas!$F$81*'Plan mensual'!M278+parametros_recargas!$G$81*'Plan mensual'!M279+parametros_recargas!$H$81*'Plan mensual'!M280+parametros_recargas!$I$81*'Plan mensual'!M281+parametros_recargas!$J$81*'Plan mensual'!M282+parametros_recargas!$K$81*'Plan mensual'!M283+parametros_recargas!$L$81*'Plan mensual'!M284</f>
        <v>1685.82679974665</v>
      </c>
      <c r="L267" s="25" t="n">
        <f aca="false">parametros_recargas!$E$81*'Plan mensual'!N277+parametros_recargas!$F$81*'Plan mensual'!N278+parametros_recargas!$G$81*'Plan mensual'!N279+parametros_recargas!$H$81*'Plan mensual'!N280+parametros_recargas!$I$81*'Plan mensual'!N281+parametros_recargas!$J$81*'Plan mensual'!N282+parametros_recargas!$K$81*'Plan mensual'!N283+parametros_recargas!$L$81*'Plan mensual'!N284</f>
        <v>1693.85513150534</v>
      </c>
      <c r="M267" s="25" t="n">
        <f aca="false">parametros_recargas!$E$81*'Plan mensual'!O277+parametros_recargas!$F$81*'Plan mensual'!O278+parametros_recargas!$G$81*'Plan mensual'!O279+parametros_recargas!$H$81*'Plan mensual'!O280+parametros_recargas!$I$81*'Plan mensual'!O281+parametros_recargas!$J$81*'Plan mensual'!O282+parametros_recargas!$K$81*'Plan mensual'!O283+parametros_recargas!$L$81*'Plan mensual'!O284</f>
        <v>1701.92996786975</v>
      </c>
      <c r="N267" s="7" t="n">
        <f aca="false">SUM(B267:M267)</f>
        <v>19900.3200655822</v>
      </c>
      <c r="O267" s="26" t="n">
        <f aca="false">MAX(B267:M267)</f>
        <v>1701.92996786975</v>
      </c>
      <c r="P267" s="15" t="n">
        <f aca="false">O267/parametros_recargas!$B$6</f>
        <v>11.3461997857983</v>
      </c>
    </row>
    <row r="268" customFormat="false" ht="15" hidden="false" customHeight="false" outlineLevel="0" collapsed="false">
      <c r="A268" s="12" t="str">
        <f aca="false">parametros_recargas!$B$82</f>
        <v>Laboratorio — Puffer y mufla</v>
      </c>
      <c r="B268" s="25" t="n">
        <f aca="false">parametros_recargas!$E$82*'Plan mensual'!D277+parametros_recargas!$F$82*'Plan mensual'!D278+parametros_recargas!$G$82*'Plan mensual'!D279+parametros_recargas!$H$82*'Plan mensual'!D280+parametros_recargas!$I$82*'Plan mensual'!D281+parametros_recargas!$J$82*'Plan mensual'!D282+parametros_recargas!$K$82*'Plan mensual'!D283+parametros_recargas!$L$82*'Plan mensual'!D284</f>
        <v>19.8687463732322</v>
      </c>
      <c r="C268" s="25" t="n">
        <f aca="false">parametros_recargas!$E$82*'Plan mensual'!E277+parametros_recargas!$F$82*'Plan mensual'!E278+parametros_recargas!$G$82*'Plan mensual'!E279+parametros_recargas!$H$82*'Plan mensual'!E280+parametros_recargas!$I$82*'Plan mensual'!E281+parametros_recargas!$J$82*'Plan mensual'!E282+parametros_recargas!$K$82*'Plan mensual'!E283+parametros_recargas!$L$82*'Plan mensual'!E284</f>
        <v>19.972180261792</v>
      </c>
      <c r="D268" s="25" t="n">
        <f aca="false">parametros_recargas!$E$82*'Plan mensual'!F277+parametros_recargas!$F$82*'Plan mensual'!F278+parametros_recargas!$G$82*'Plan mensual'!F279+parametros_recargas!$H$82*'Plan mensual'!F280+parametros_recargas!$I$82*'Plan mensual'!F281+parametros_recargas!$J$82*'Plan mensual'!F282+parametros_recargas!$K$82*'Plan mensual'!F283+parametros_recargas!$L$82*'Plan mensual'!F284</f>
        <v>20.0762132975157</v>
      </c>
      <c r="E268" s="25" t="n">
        <f aca="false">parametros_recargas!$E$82*'Plan mensual'!G277+parametros_recargas!$F$82*'Plan mensual'!G278+parametros_recargas!$G$82*'Plan mensual'!G279+parametros_recargas!$H$82*'Plan mensual'!G280+parametros_recargas!$I$82*'Plan mensual'!G281+parametros_recargas!$J$82*'Plan mensual'!G282+parametros_recargas!$K$82*'Plan mensual'!G283+parametros_recargas!$L$82*'Plan mensual'!G284</f>
        <v>20.1808489510003</v>
      </c>
      <c r="F268" s="25" t="n">
        <f aca="false">parametros_recargas!$E$82*'Plan mensual'!H277+parametros_recargas!$F$82*'Plan mensual'!H278+parametros_recargas!$G$82*'Plan mensual'!H279+parametros_recargas!$H$82*'Plan mensual'!H280+parametros_recargas!$I$82*'Plan mensual'!H281+parametros_recargas!$J$82*'Plan mensual'!H282+parametros_recargas!$K$82*'Plan mensual'!H283+parametros_recargas!$L$82*'Plan mensual'!H284</f>
        <v>20.2860907129461</v>
      </c>
      <c r="G268" s="25" t="n">
        <f aca="false">parametros_recargas!$E$82*'Plan mensual'!I277+parametros_recargas!$F$82*'Plan mensual'!I278+parametros_recargas!$G$82*'Plan mensual'!I279+parametros_recargas!$H$82*'Plan mensual'!I280+parametros_recargas!$I$82*'Plan mensual'!I281+parametros_recargas!$J$82*'Plan mensual'!I282+parametros_recargas!$K$82*'Plan mensual'!I283+parametros_recargas!$L$82*'Plan mensual'!I284</f>
        <v>20.3919420942737</v>
      </c>
      <c r="H268" s="25" t="n">
        <f aca="false">parametros_recargas!$E$82*'Plan mensual'!J277+parametros_recargas!$F$82*'Plan mensual'!J278+parametros_recargas!$G$82*'Plan mensual'!J279+parametros_recargas!$H$82*'Plan mensual'!J280+parametros_recargas!$I$82*'Plan mensual'!J281+parametros_recargas!$J$82*'Plan mensual'!J282+parametros_recargas!$K$82*'Plan mensual'!J283+parametros_recargas!$L$82*'Plan mensual'!J284</f>
        <v>20.4984066262409</v>
      </c>
      <c r="I268" s="25" t="n">
        <f aca="false">parametros_recargas!$E$82*'Plan mensual'!K277+parametros_recargas!$F$82*'Plan mensual'!K278+parametros_recargas!$G$82*'Plan mensual'!K279+parametros_recargas!$H$82*'Plan mensual'!K280+parametros_recargas!$I$82*'Plan mensual'!K281+parametros_recargas!$J$82*'Plan mensual'!K282+parametros_recargas!$K$82*'Plan mensual'!K283+parametros_recargas!$L$82*'Plan mensual'!K284</f>
        <v>20.6054878605604</v>
      </c>
      <c r="J268" s="25" t="n">
        <f aca="false">parametros_recargas!$E$82*'Plan mensual'!L277+parametros_recargas!$F$82*'Plan mensual'!L278+parametros_recargas!$G$82*'Plan mensual'!L279+parametros_recargas!$H$82*'Plan mensual'!L280+parametros_recargas!$I$82*'Plan mensual'!L281+parametros_recargas!$J$82*'Plan mensual'!L282+parametros_recargas!$K$82*'Plan mensual'!L283+parametros_recargas!$L$82*'Plan mensual'!L284</f>
        <v>20.7131893695187</v>
      </c>
      <c r="K268" s="25" t="n">
        <f aca="false">parametros_recargas!$E$82*'Plan mensual'!M277+parametros_recargas!$F$82*'Plan mensual'!M278+parametros_recargas!$G$82*'Plan mensual'!M279+parametros_recargas!$H$82*'Plan mensual'!M280+parametros_recargas!$I$82*'Plan mensual'!M281+parametros_recargas!$J$82*'Plan mensual'!M282+parametros_recargas!$K$82*'Plan mensual'!M283+parametros_recargas!$L$82*'Plan mensual'!M284</f>
        <v>20.8215147460947</v>
      </c>
      <c r="L268" s="25" t="n">
        <f aca="false">parametros_recargas!$E$82*'Plan mensual'!N277+parametros_recargas!$F$82*'Plan mensual'!N278+parametros_recargas!$G$82*'Plan mensual'!N279+parametros_recargas!$H$82*'Plan mensual'!N280+parametros_recargas!$I$82*'Plan mensual'!N281+parametros_recargas!$J$82*'Plan mensual'!N282+parametros_recargas!$K$82*'Plan mensual'!N283+parametros_recargas!$L$82*'Plan mensual'!N284</f>
        <v>20.93046760408</v>
      </c>
      <c r="M268" s="25" t="n">
        <f aca="false">parametros_recargas!$E$82*'Plan mensual'!O277+parametros_recargas!$F$82*'Plan mensual'!O278+parametros_recargas!$G$82*'Plan mensual'!O279+parametros_recargas!$H$82*'Plan mensual'!O280+parametros_recargas!$I$82*'Plan mensual'!O281+parametros_recargas!$J$82*'Plan mensual'!O282+parametros_recargas!$K$82*'Plan mensual'!O283+parametros_recargas!$L$82*'Plan mensual'!O284</f>
        <v>21.0400515781993</v>
      </c>
      <c r="N268" s="7" t="n">
        <f aca="false">SUM(B268:M268)</f>
        <v>245.385139475454</v>
      </c>
      <c r="O268" s="26" t="n">
        <f aca="false">MAX(B268:M268)</f>
        <v>21.0400515781993</v>
      </c>
      <c r="P268" s="15" t="n">
        <f aca="false">O268/parametros_recargas!$B$6</f>
        <v>0.140267010521328</v>
      </c>
    </row>
    <row r="269" customFormat="false" ht="15" hidden="false" customHeight="false" outlineLevel="0" collapsed="false">
      <c r="A269" s="12" t="str">
        <f aca="false">parametros_recargas!$B$83</f>
        <v>Prueba hidráulica</v>
      </c>
      <c r="B269" s="25" t="n">
        <f aca="false">parametros_recargas!$E$83*'Plan mensual'!D277+parametros_recargas!$F$83*'Plan mensual'!D278+parametros_recargas!$G$83*'Plan mensual'!D279+parametros_recargas!$H$83*'Plan mensual'!D280+parametros_recargas!$I$83*'Plan mensual'!D281+parametros_recargas!$J$83*'Plan mensual'!D282+parametros_recargas!$K$83*'Plan mensual'!D283+parametros_recargas!$L$83*'Plan mensual'!D284</f>
        <v>4943.63330603737</v>
      </c>
      <c r="C269" s="25" t="n">
        <f aca="false">parametros_recargas!$E$83*'Plan mensual'!E277+parametros_recargas!$F$83*'Plan mensual'!E278+parametros_recargas!$G$83*'Plan mensual'!E279+parametros_recargas!$H$83*'Plan mensual'!E280+parametros_recargas!$I$83*'Plan mensual'!E281+parametros_recargas!$J$83*'Plan mensual'!E282+parametros_recargas!$K$83*'Plan mensual'!E283+parametros_recargas!$L$83*'Plan mensual'!E284</f>
        <v>4968.89437709195</v>
      </c>
      <c r="D269" s="25" t="n">
        <f aca="false">parametros_recargas!$E$83*'Plan mensual'!F277+parametros_recargas!$F$83*'Plan mensual'!F278+parametros_recargas!$G$83*'Plan mensual'!F279+parametros_recargas!$H$83*'Plan mensual'!F280+parametros_recargas!$I$83*'Plan mensual'!F281+parametros_recargas!$J$83*'Plan mensual'!F282+parametros_recargas!$K$83*'Plan mensual'!F283+parametros_recargas!$L$83*'Plan mensual'!F284</f>
        <v>4994.30177445497</v>
      </c>
      <c r="E269" s="25" t="n">
        <f aca="false">parametros_recargas!$E$83*'Plan mensual'!G277+parametros_recargas!$F$83*'Plan mensual'!G278+parametros_recargas!$G$83*'Plan mensual'!G279+parametros_recargas!$H$83*'Plan mensual'!G280+parametros_recargas!$I$83*'Plan mensual'!G281+parametros_recargas!$J$83*'Plan mensual'!G282+parametros_recargas!$K$83*'Plan mensual'!G283+parametros_recargas!$L$83*'Plan mensual'!G284</f>
        <v>5019.85634573059</v>
      </c>
      <c r="F269" s="25" t="n">
        <f aca="false">parametros_recargas!$E$83*'Plan mensual'!H277+parametros_recargas!$F$83*'Plan mensual'!H278+parametros_recargas!$G$83*'Plan mensual'!H279+parametros_recargas!$H$83*'Plan mensual'!H280+parametros_recargas!$I$83*'Plan mensual'!H281+parametros_recargas!$J$83*'Plan mensual'!H282+parametros_recargas!$K$83*'Plan mensual'!H283+parametros_recargas!$L$83*'Plan mensual'!H284</f>
        <v>5045.55894343274</v>
      </c>
      <c r="G269" s="25" t="n">
        <f aca="false">parametros_recargas!$E$83*'Plan mensual'!I277+parametros_recargas!$F$83*'Plan mensual'!I278+parametros_recargas!$G$83*'Plan mensual'!I279+parametros_recargas!$H$83*'Plan mensual'!I280+parametros_recargas!$I$83*'Plan mensual'!I281+parametros_recargas!$J$83*'Plan mensual'!I282+parametros_recargas!$K$83*'Plan mensual'!I283+parametros_recargas!$L$83*'Plan mensual'!I284</f>
        <v>5071.41042501362</v>
      </c>
      <c r="H269" s="25" t="n">
        <f aca="false">parametros_recargas!$E$83*'Plan mensual'!J277+parametros_recargas!$F$83*'Plan mensual'!J278+parametros_recargas!$G$83*'Plan mensual'!J279+parametros_recargas!$H$83*'Plan mensual'!J280+parametros_recargas!$I$83*'Plan mensual'!J281+parametros_recargas!$J$83*'Plan mensual'!J282+parametros_recargas!$K$83*'Plan mensual'!J283+parametros_recargas!$L$83*'Plan mensual'!J284</f>
        <v>5097.41165289224</v>
      </c>
      <c r="I269" s="25" t="n">
        <f aca="false">parametros_recargas!$E$83*'Plan mensual'!K277+parametros_recargas!$F$83*'Plan mensual'!K278+parametros_recargas!$G$83*'Plan mensual'!K279+parametros_recargas!$H$83*'Plan mensual'!K280+parametros_recargas!$I$83*'Plan mensual'!K281+parametros_recargas!$J$83*'Plan mensual'!K282+parametros_recargas!$K$83*'Plan mensual'!K283+parametros_recargas!$L$83*'Plan mensual'!K284</f>
        <v>5123.56349448325</v>
      </c>
      <c r="J269" s="25" t="n">
        <f aca="false">parametros_recargas!$E$83*'Plan mensual'!L277+parametros_recargas!$F$83*'Plan mensual'!L278+parametros_recargas!$G$83*'Plan mensual'!L279+parametros_recargas!$H$83*'Plan mensual'!L280+parametros_recargas!$I$83*'Plan mensual'!L281+parametros_recargas!$J$83*'Plan mensual'!L282+parametros_recargas!$K$83*'Plan mensual'!L283+parametros_recargas!$L$83*'Plan mensual'!L284</f>
        <v>5149.86682222586</v>
      </c>
      <c r="K269" s="25" t="n">
        <f aca="false">parametros_recargas!$E$83*'Plan mensual'!M277+parametros_recargas!$F$83*'Plan mensual'!M278+parametros_recargas!$G$83*'Plan mensual'!M279+parametros_recargas!$H$83*'Plan mensual'!M280+parametros_recargas!$I$83*'Plan mensual'!M281+parametros_recargas!$J$83*'Plan mensual'!M282+parametros_recargas!$K$83*'Plan mensual'!M283+parametros_recargas!$L$83*'Plan mensual'!M284</f>
        <v>5176.32251361291</v>
      </c>
      <c r="L269" s="25" t="n">
        <f aca="false">parametros_recargas!$E$83*'Plan mensual'!N277+parametros_recargas!$F$83*'Plan mensual'!N278+parametros_recargas!$G$83*'Plan mensual'!N279+parametros_recargas!$H$83*'Plan mensual'!N280+parametros_recargas!$I$83*'Plan mensual'!N281+parametros_recargas!$J$83*'Plan mensual'!N282+parametros_recargas!$K$83*'Plan mensual'!N283+parametros_recargas!$L$83*'Plan mensual'!N284</f>
        <v>5202.93145122019</v>
      </c>
      <c r="M269" s="25" t="n">
        <f aca="false">parametros_recargas!$E$83*'Plan mensual'!O277+parametros_recargas!$F$83*'Plan mensual'!O278+parametros_recargas!$G$83*'Plan mensual'!O279+parametros_recargas!$H$83*'Plan mensual'!O280+parametros_recargas!$I$83*'Plan mensual'!O281+parametros_recargas!$J$83*'Plan mensual'!O282+parametros_recargas!$K$83*'Plan mensual'!O283+parametros_recargas!$L$83*'Plan mensual'!O284</f>
        <v>5229.69452273586</v>
      </c>
      <c r="N269" s="7" t="n">
        <f aca="false">SUM(B269:M269)</f>
        <v>61023.4456289315</v>
      </c>
      <c r="O269" s="26" t="n">
        <f aca="false">MAX(B269:M269)</f>
        <v>5229.69452273586</v>
      </c>
      <c r="P269" s="15" t="n">
        <f aca="false">O269/parametros_recargas!$B$6</f>
        <v>34.8646301515724</v>
      </c>
    </row>
    <row r="270" customFormat="false" ht="15" hidden="false" customHeight="false" outlineLevel="0" collapsed="false">
      <c r="A270" s="12" t="str">
        <f aca="false">parametros_recargas!$B$84</f>
        <v>Secado</v>
      </c>
      <c r="B270" s="25" t="n">
        <f aca="false">parametros_recargas!$E$84*'Plan mensual'!D277+parametros_recargas!$F$84*'Plan mensual'!D278+parametros_recargas!$G$84*'Plan mensual'!D279+parametros_recargas!$H$84*'Plan mensual'!D280+parametros_recargas!$I$84*'Plan mensual'!D281+parametros_recargas!$J$84*'Plan mensual'!D282+parametros_recargas!$K$84*'Plan mensual'!D283+parametros_recargas!$L$84*'Plan mensual'!D284</f>
        <v>4595.12413939225</v>
      </c>
      <c r="C270" s="25" t="n">
        <f aca="false">parametros_recargas!$E$84*'Plan mensual'!E277+parametros_recargas!$F$84*'Plan mensual'!E278+parametros_recargas!$G$84*'Plan mensual'!E279+parametros_recargas!$H$84*'Plan mensual'!E280+parametros_recargas!$I$84*'Plan mensual'!E281+parametros_recargas!$J$84*'Plan mensual'!E282+parametros_recargas!$K$84*'Plan mensual'!E283+parametros_recargas!$L$84*'Plan mensual'!E284</f>
        <v>4618.83794002762</v>
      </c>
      <c r="D270" s="25" t="n">
        <f aca="false">parametros_recargas!$E$84*'Plan mensual'!F277+parametros_recargas!$F$84*'Plan mensual'!F278+parametros_recargas!$G$84*'Plan mensual'!F279+parametros_recargas!$H$84*'Plan mensual'!F280+parametros_recargas!$I$84*'Plan mensual'!F281+parametros_recargas!$J$84*'Plan mensual'!F282+parametros_recargas!$K$84*'Plan mensual'!F283+parametros_recargas!$L$84*'Plan mensual'!F284</f>
        <v>4642.68910431233</v>
      </c>
      <c r="E270" s="25" t="n">
        <f aca="false">parametros_recargas!$E$84*'Plan mensual'!G277+parametros_recargas!$F$84*'Plan mensual'!G278+parametros_recargas!$G$84*'Plan mensual'!G279+parametros_recargas!$H$84*'Plan mensual'!G280+parametros_recargas!$I$84*'Plan mensual'!G281+parametros_recargas!$J$84*'Plan mensual'!G282+parametros_recargas!$K$84*'Plan mensual'!G283+parametros_recargas!$L$84*'Plan mensual'!G284</f>
        <v>4666.67842793376</v>
      </c>
      <c r="F270" s="25" t="n">
        <f aca="false">parametros_recargas!$E$84*'Plan mensual'!H277+parametros_recargas!$F$84*'Plan mensual'!H278+parametros_recargas!$G$84*'Plan mensual'!H279+parametros_recargas!$H$84*'Plan mensual'!H280+parametros_recargas!$I$84*'Plan mensual'!H281+parametros_recargas!$J$84*'Plan mensual'!H282+parametros_recargas!$K$84*'Plan mensual'!H283+parametros_recargas!$L$84*'Plan mensual'!H284</f>
        <v>4690.80671118838</v>
      </c>
      <c r="G270" s="25" t="n">
        <f aca="false">parametros_recargas!$E$84*'Plan mensual'!I277+parametros_recargas!$F$84*'Plan mensual'!I278+parametros_recargas!$G$84*'Plan mensual'!I279+parametros_recargas!$H$84*'Plan mensual'!I280+parametros_recargas!$I$84*'Plan mensual'!I281+parametros_recargas!$J$84*'Plan mensual'!I282+parametros_recargas!$K$84*'Plan mensual'!I283+parametros_recargas!$L$84*'Plan mensual'!I284</f>
        <v>4715.07475900842</v>
      </c>
      <c r="H270" s="25" t="n">
        <f aca="false">parametros_recargas!$E$84*'Plan mensual'!J277+parametros_recargas!$F$84*'Plan mensual'!J278+parametros_recargas!$G$84*'Plan mensual'!J279+parametros_recargas!$H$84*'Plan mensual'!J280+parametros_recargas!$I$84*'Plan mensual'!J281+parametros_recargas!$J$84*'Plan mensual'!J282+parametros_recargas!$K$84*'Plan mensual'!J283+parametros_recargas!$L$84*'Plan mensual'!J284</f>
        <v>4739.48338098871</v>
      </c>
      <c r="I270" s="25" t="n">
        <f aca="false">parametros_recargas!$E$84*'Plan mensual'!K277+parametros_recargas!$F$84*'Plan mensual'!K278+parametros_recargas!$G$84*'Plan mensual'!K279+parametros_recargas!$H$84*'Plan mensual'!K280+parametros_recargas!$I$84*'Plan mensual'!K281+parametros_recargas!$J$84*'Plan mensual'!K282+parametros_recargas!$K$84*'Plan mensual'!K283+parametros_recargas!$L$84*'Plan mensual'!K284</f>
        <v>4764.03339141373</v>
      </c>
      <c r="J270" s="25" t="n">
        <f aca="false">parametros_recargas!$E$84*'Plan mensual'!L277+parametros_recargas!$F$84*'Plan mensual'!L278+parametros_recargas!$G$84*'Plan mensual'!L279+parametros_recargas!$H$84*'Plan mensual'!L280+parametros_recargas!$I$84*'Plan mensual'!L281+parametros_recargas!$J$84*'Plan mensual'!L282+parametros_recargas!$K$84*'Plan mensual'!L283+parametros_recargas!$L$84*'Plan mensual'!L284</f>
        <v>4788.72560928475</v>
      </c>
      <c r="K270" s="25" t="n">
        <f aca="false">parametros_recargas!$E$84*'Plan mensual'!M277+parametros_recargas!$F$84*'Plan mensual'!M278+parametros_recargas!$G$84*'Plan mensual'!M279+parametros_recargas!$H$84*'Plan mensual'!M280+parametros_recargas!$I$84*'Plan mensual'!M281+parametros_recargas!$J$84*'Plan mensual'!M282+parametros_recargas!$K$84*'Plan mensual'!M283+parametros_recargas!$L$84*'Plan mensual'!M284</f>
        <v>4813.56085834714</v>
      </c>
      <c r="L270" s="25" t="n">
        <f aca="false">parametros_recargas!$E$84*'Plan mensual'!N277+parametros_recargas!$F$84*'Plan mensual'!N278+parametros_recargas!$G$84*'Plan mensual'!N279+parametros_recargas!$H$84*'Plan mensual'!N280+parametros_recargas!$I$84*'Plan mensual'!N281+parametros_recargas!$J$84*'Plan mensual'!N282+parametros_recargas!$K$84*'Plan mensual'!N283+parametros_recargas!$L$84*'Plan mensual'!N284</f>
        <v>4838.53996711789</v>
      </c>
      <c r="M270" s="25" t="n">
        <f aca="false">parametros_recargas!$E$84*'Plan mensual'!O277+parametros_recargas!$F$84*'Plan mensual'!O278+parametros_recargas!$G$84*'Plan mensual'!O279+parametros_recargas!$H$84*'Plan mensual'!O280+parametros_recargas!$I$84*'Plan mensual'!O281+parametros_recargas!$J$84*'Plan mensual'!O282+parametros_recargas!$K$84*'Plan mensual'!O283+parametros_recargas!$L$84*'Plan mensual'!O284</f>
        <v>4863.66376891321</v>
      </c>
      <c r="N270" s="7" t="n">
        <f aca="false">SUM(B270:M270)</f>
        <v>56737.2180579282</v>
      </c>
      <c r="O270" s="26" t="n">
        <f aca="false">MAX(B270:M270)</f>
        <v>4863.66376891321</v>
      </c>
      <c r="P270" s="15" t="n">
        <f aca="false">O270/parametros_recargas!$B$6</f>
        <v>32.4244251260881</v>
      </c>
    </row>
    <row r="271" customFormat="false" ht="15" hidden="false" customHeight="false" outlineLevel="0" collapsed="false">
      <c r="A271" s="12" t="str">
        <f aca="false">parametros_recargas!$B$85</f>
        <v>Inspección interior con videoscopio</v>
      </c>
      <c r="B271" s="25" t="n">
        <f aca="false">parametros_recargas!$E$85*'Plan mensual'!D277+parametros_recargas!$F$85*'Plan mensual'!D278+parametros_recargas!$G$85*'Plan mensual'!D279+parametros_recargas!$H$85*'Plan mensual'!D280+parametros_recargas!$I$85*'Plan mensual'!D281+parametros_recargas!$J$85*'Plan mensual'!D282+parametros_recargas!$K$85*'Plan mensual'!D283+parametros_recargas!$L$85*'Plan mensual'!D284</f>
        <v>4595.12413939225</v>
      </c>
      <c r="C271" s="25" t="n">
        <f aca="false">parametros_recargas!$E$85*'Plan mensual'!E277+parametros_recargas!$F$85*'Plan mensual'!E278+parametros_recargas!$G$85*'Plan mensual'!E279+parametros_recargas!$H$85*'Plan mensual'!E280+parametros_recargas!$I$85*'Plan mensual'!E281+parametros_recargas!$J$85*'Plan mensual'!E282+parametros_recargas!$K$85*'Plan mensual'!E283+parametros_recargas!$L$85*'Plan mensual'!E284</f>
        <v>4618.83794002762</v>
      </c>
      <c r="D271" s="25" t="n">
        <f aca="false">parametros_recargas!$E$85*'Plan mensual'!F277+parametros_recargas!$F$85*'Plan mensual'!F278+parametros_recargas!$G$85*'Plan mensual'!F279+parametros_recargas!$H$85*'Plan mensual'!F280+parametros_recargas!$I$85*'Plan mensual'!F281+parametros_recargas!$J$85*'Plan mensual'!F282+parametros_recargas!$K$85*'Plan mensual'!F283+parametros_recargas!$L$85*'Plan mensual'!F284</f>
        <v>4642.68910431233</v>
      </c>
      <c r="E271" s="25" t="n">
        <f aca="false">parametros_recargas!$E$85*'Plan mensual'!G277+parametros_recargas!$F$85*'Plan mensual'!G278+parametros_recargas!$G$85*'Plan mensual'!G279+parametros_recargas!$H$85*'Plan mensual'!G280+parametros_recargas!$I$85*'Plan mensual'!G281+parametros_recargas!$J$85*'Plan mensual'!G282+parametros_recargas!$K$85*'Plan mensual'!G283+parametros_recargas!$L$85*'Plan mensual'!G284</f>
        <v>4666.67842793376</v>
      </c>
      <c r="F271" s="25" t="n">
        <f aca="false">parametros_recargas!$E$85*'Plan mensual'!H277+parametros_recargas!$F$85*'Plan mensual'!H278+parametros_recargas!$G$85*'Plan mensual'!H279+parametros_recargas!$H$85*'Plan mensual'!H280+parametros_recargas!$I$85*'Plan mensual'!H281+parametros_recargas!$J$85*'Plan mensual'!H282+parametros_recargas!$K$85*'Plan mensual'!H283+parametros_recargas!$L$85*'Plan mensual'!H284</f>
        <v>4690.80671118838</v>
      </c>
      <c r="G271" s="25" t="n">
        <f aca="false">parametros_recargas!$E$85*'Plan mensual'!I277+parametros_recargas!$F$85*'Plan mensual'!I278+parametros_recargas!$G$85*'Plan mensual'!I279+parametros_recargas!$H$85*'Plan mensual'!I280+parametros_recargas!$I$85*'Plan mensual'!I281+parametros_recargas!$J$85*'Plan mensual'!I282+parametros_recargas!$K$85*'Plan mensual'!I283+parametros_recargas!$L$85*'Plan mensual'!I284</f>
        <v>4715.07475900842</v>
      </c>
      <c r="H271" s="25" t="n">
        <f aca="false">parametros_recargas!$E$85*'Plan mensual'!J277+parametros_recargas!$F$85*'Plan mensual'!J278+parametros_recargas!$G$85*'Plan mensual'!J279+parametros_recargas!$H$85*'Plan mensual'!J280+parametros_recargas!$I$85*'Plan mensual'!J281+parametros_recargas!$J$85*'Plan mensual'!J282+parametros_recargas!$K$85*'Plan mensual'!J283+parametros_recargas!$L$85*'Plan mensual'!J284</f>
        <v>4739.48338098871</v>
      </c>
      <c r="I271" s="25" t="n">
        <f aca="false">parametros_recargas!$E$85*'Plan mensual'!K277+parametros_recargas!$F$85*'Plan mensual'!K278+parametros_recargas!$G$85*'Plan mensual'!K279+parametros_recargas!$H$85*'Plan mensual'!K280+parametros_recargas!$I$85*'Plan mensual'!K281+parametros_recargas!$J$85*'Plan mensual'!K282+parametros_recargas!$K$85*'Plan mensual'!K283+parametros_recargas!$L$85*'Plan mensual'!K284</f>
        <v>4764.03339141373</v>
      </c>
      <c r="J271" s="25" t="n">
        <f aca="false">parametros_recargas!$E$85*'Plan mensual'!L277+parametros_recargas!$F$85*'Plan mensual'!L278+parametros_recargas!$G$85*'Plan mensual'!L279+parametros_recargas!$H$85*'Plan mensual'!L280+parametros_recargas!$I$85*'Plan mensual'!L281+parametros_recargas!$J$85*'Plan mensual'!L282+parametros_recargas!$K$85*'Plan mensual'!L283+parametros_recargas!$L$85*'Plan mensual'!L284</f>
        <v>4788.72560928475</v>
      </c>
      <c r="K271" s="25" t="n">
        <f aca="false">parametros_recargas!$E$85*'Plan mensual'!M277+parametros_recargas!$F$85*'Plan mensual'!M278+parametros_recargas!$G$85*'Plan mensual'!M279+parametros_recargas!$H$85*'Plan mensual'!M280+parametros_recargas!$I$85*'Plan mensual'!M281+parametros_recargas!$J$85*'Plan mensual'!M282+parametros_recargas!$K$85*'Plan mensual'!M283+parametros_recargas!$L$85*'Plan mensual'!M284</f>
        <v>4813.56085834714</v>
      </c>
      <c r="L271" s="25" t="n">
        <f aca="false">parametros_recargas!$E$85*'Plan mensual'!N277+parametros_recargas!$F$85*'Plan mensual'!N278+parametros_recargas!$G$85*'Plan mensual'!N279+parametros_recargas!$H$85*'Plan mensual'!N280+parametros_recargas!$I$85*'Plan mensual'!N281+parametros_recargas!$J$85*'Plan mensual'!N282+parametros_recargas!$K$85*'Plan mensual'!N283+parametros_recargas!$L$85*'Plan mensual'!N284</f>
        <v>4838.53996711789</v>
      </c>
      <c r="M271" s="25" t="n">
        <f aca="false">parametros_recargas!$E$85*'Plan mensual'!O277+parametros_recargas!$F$85*'Plan mensual'!O278+parametros_recargas!$G$85*'Plan mensual'!O279+parametros_recargas!$H$85*'Plan mensual'!O280+parametros_recargas!$I$85*'Plan mensual'!O281+parametros_recargas!$J$85*'Plan mensual'!O282+parametros_recargas!$K$85*'Plan mensual'!O283+parametros_recargas!$L$85*'Plan mensual'!O284</f>
        <v>4863.66376891321</v>
      </c>
      <c r="N271" s="7" t="n">
        <f aca="false">SUM(B271:M271)</f>
        <v>56737.2180579282</v>
      </c>
      <c r="O271" s="26" t="n">
        <f aca="false">MAX(B271:M271)</f>
        <v>4863.66376891321</v>
      </c>
      <c r="P271" s="15" t="n">
        <f aca="false">O271/parametros_recargas!$B$6</f>
        <v>32.4244251260881</v>
      </c>
    </row>
    <row r="272" customFormat="false" ht="15" hidden="false" customHeight="false" outlineLevel="0" collapsed="false">
      <c r="A272" s="12" t="str">
        <f aca="false">parametros_recargas!$B$86</f>
        <v>Pintura</v>
      </c>
      <c r="B272" s="25" t="n">
        <f aca="false">parametros_recargas!$E$86*'Plan mensual'!D277+parametros_recargas!$F$86*'Plan mensual'!D278+parametros_recargas!$G$86*'Plan mensual'!D279+parametros_recargas!$H$86*'Plan mensual'!D280+parametros_recargas!$I$86*'Plan mensual'!D281+parametros_recargas!$J$86*'Plan mensual'!D282+parametros_recargas!$K$86*'Plan mensual'!D283+parametros_recargas!$L$86*'Plan mensual'!D284</f>
        <v>2307.56943696417</v>
      </c>
      <c r="C272" s="25" t="n">
        <f aca="false">parametros_recargas!$E$86*'Plan mensual'!E277+parametros_recargas!$F$86*'Plan mensual'!E278+parametros_recargas!$G$86*'Plan mensual'!E279+parametros_recargas!$H$86*'Plan mensual'!E280+parametros_recargas!$I$86*'Plan mensual'!E281+parametros_recargas!$J$86*'Plan mensual'!E282+parametros_recargas!$K$86*'Plan mensual'!E283+parametros_recargas!$L$86*'Plan mensual'!E284</f>
        <v>2319.4250886987</v>
      </c>
      <c r="D272" s="25" t="n">
        <f aca="false">parametros_recargas!$E$86*'Plan mensual'!F277+parametros_recargas!$F$86*'Plan mensual'!F278+parametros_recargas!$G$86*'Plan mensual'!F279+parametros_recargas!$H$86*'Plan mensual'!F280+parametros_recargas!$I$86*'Plan mensual'!F281+parametros_recargas!$J$86*'Plan mensual'!F282+parametros_recargas!$K$86*'Plan mensual'!F283+parametros_recargas!$L$86*'Plan mensual'!F284</f>
        <v>2331.3494150254</v>
      </c>
      <c r="E272" s="25" t="n">
        <f aca="false">parametros_recargas!$E$86*'Plan mensual'!G277+parametros_recargas!$F$86*'Plan mensual'!G278+parametros_recargas!$G$86*'Plan mensual'!G279+parametros_recargas!$H$86*'Plan mensual'!G280+parametros_recargas!$I$86*'Plan mensual'!G281+parametros_recargas!$J$86*'Plan mensual'!G282+parametros_recargas!$K$86*'Plan mensual'!G283+parametros_recargas!$L$86*'Plan mensual'!G284</f>
        <v>2343.34281374608</v>
      </c>
      <c r="F272" s="25" t="n">
        <f aca="false">parametros_recargas!$E$86*'Plan mensual'!H277+parametros_recargas!$F$86*'Plan mensual'!H278+parametros_recargas!$G$86*'Plan mensual'!H279+parametros_recargas!$H$86*'Plan mensual'!H280+parametros_recargas!$I$86*'Plan mensual'!H281+parametros_recargas!$J$86*'Plan mensual'!H282+parametros_recargas!$K$86*'Plan mensual'!H283+parametros_recargas!$L$86*'Plan mensual'!H284</f>
        <v>2355.40568496682</v>
      </c>
      <c r="G272" s="25" t="n">
        <f aca="false">parametros_recargas!$E$86*'Plan mensual'!I277+parametros_recargas!$F$86*'Plan mensual'!I278+parametros_recargas!$G$86*'Plan mensual'!I279+parametros_recargas!$H$86*'Plan mensual'!I280+parametros_recargas!$I$86*'Plan mensual'!I281+parametros_recargas!$J$86*'Plan mensual'!I282+parametros_recargas!$K$86*'Plan mensual'!I283+parametros_recargas!$L$86*'Plan mensual'!I284</f>
        <v>2367.53843111137</v>
      </c>
      <c r="H272" s="25" t="n">
        <f aca="false">parametros_recargas!$E$86*'Plan mensual'!J277+parametros_recargas!$F$86*'Plan mensual'!J278+parametros_recargas!$G$86*'Plan mensual'!J279+parametros_recargas!$H$86*'Plan mensual'!J280+parametros_recargas!$I$86*'Plan mensual'!J281+parametros_recargas!$J$86*'Plan mensual'!J282+parametros_recargas!$K$86*'Plan mensual'!J283+parametros_recargas!$L$86*'Plan mensual'!J284</f>
        <v>2379.7414569345</v>
      </c>
      <c r="I272" s="25" t="n">
        <f aca="false">parametros_recargas!$E$86*'Plan mensual'!K277+parametros_recargas!$F$86*'Plan mensual'!K278+parametros_recargas!$G$86*'Plan mensual'!K279+parametros_recargas!$H$86*'Plan mensual'!K280+parametros_recargas!$I$86*'Plan mensual'!K281+parametros_recargas!$J$86*'Plan mensual'!K282+parametros_recargas!$K$86*'Plan mensual'!K283+parametros_recargas!$L$86*'Plan mensual'!K284</f>
        <v>2392.0151695356</v>
      </c>
      <c r="J272" s="25" t="n">
        <f aca="false">parametros_recargas!$E$86*'Plan mensual'!L277+parametros_recargas!$F$86*'Plan mensual'!L278+parametros_recargas!$G$86*'Plan mensual'!L279+parametros_recargas!$H$86*'Plan mensual'!L280+parametros_recargas!$I$86*'Plan mensual'!L281+parametros_recargas!$J$86*'Plan mensual'!L282+parametros_recargas!$K$86*'Plan mensual'!L283+parametros_recargas!$L$86*'Plan mensual'!L284</f>
        <v>2404.35997837216</v>
      </c>
      <c r="K272" s="25" t="n">
        <f aca="false">parametros_recargas!$E$86*'Plan mensual'!M277+parametros_recargas!$F$86*'Plan mensual'!M278+parametros_recargas!$G$86*'Plan mensual'!M279+parametros_recargas!$H$86*'Plan mensual'!M280+parametros_recargas!$I$86*'Plan mensual'!M281+parametros_recargas!$J$86*'Plan mensual'!M282+parametros_recargas!$K$86*'Plan mensual'!M283+parametros_recargas!$L$86*'Plan mensual'!M284</f>
        <v>2416.7762952735</v>
      </c>
      <c r="L272" s="25" t="n">
        <f aca="false">parametros_recargas!$E$86*'Plan mensual'!N277+parametros_recargas!$F$86*'Plan mensual'!N278+parametros_recargas!$G$86*'Plan mensual'!N279+parametros_recargas!$H$86*'Plan mensual'!N280+parametros_recargas!$I$86*'Plan mensual'!N281+parametros_recargas!$J$86*'Plan mensual'!N282+parametros_recargas!$K$86*'Plan mensual'!N283+parametros_recargas!$L$86*'Plan mensual'!N284</f>
        <v>2429.2645344545</v>
      </c>
      <c r="M272" s="25" t="n">
        <f aca="false">parametros_recargas!$E$86*'Plan mensual'!O277+parametros_recargas!$F$86*'Plan mensual'!O278+parametros_recargas!$G$86*'Plan mensual'!O279+parametros_recargas!$H$86*'Plan mensual'!O280+parametros_recargas!$I$86*'Plan mensual'!O281+parametros_recargas!$J$86*'Plan mensual'!O282+parametros_recargas!$K$86*'Plan mensual'!O283+parametros_recargas!$L$86*'Plan mensual'!O284</f>
        <v>2441.82511252938</v>
      </c>
      <c r="N272" s="7" t="n">
        <f aca="false">SUM(B272:M272)</f>
        <v>28488.6134176122</v>
      </c>
      <c r="O272" s="26" t="n">
        <f aca="false">MAX(B272:M272)</f>
        <v>2441.82511252938</v>
      </c>
      <c r="P272" s="15" t="n">
        <f aca="false">O272/parametros_recargas!$B$6</f>
        <v>16.2788340835292</v>
      </c>
    </row>
    <row r="273" customFormat="false" ht="15" hidden="false" customHeight="false" outlineLevel="0" collapsed="false">
      <c r="A273" s="12" t="str">
        <f aca="false">parametros_recargas!$B$87</f>
        <v>Carga de polvo ABC</v>
      </c>
      <c r="B273" s="25" t="n">
        <f aca="false">parametros_recargas!$E$87*'Plan mensual'!D277+parametros_recargas!$F$87*'Plan mensual'!D278+parametros_recargas!$G$87*'Plan mensual'!D279+parametros_recargas!$H$87*'Plan mensual'!D280+parametros_recargas!$I$87*'Plan mensual'!D281+parametros_recargas!$J$87*'Plan mensual'!D282+parametros_recargas!$K$87*'Plan mensual'!D283+parametros_recargas!$L$87*'Plan mensual'!D284</f>
        <v>19836.1372736843</v>
      </c>
      <c r="C273" s="25" t="n">
        <f aca="false">parametros_recargas!$E$87*'Plan mensual'!E277+parametros_recargas!$F$87*'Plan mensual'!E278+parametros_recargas!$G$87*'Plan mensual'!E279+parametros_recargas!$H$87*'Plan mensual'!E280+parametros_recargas!$I$87*'Plan mensual'!E281+parametros_recargas!$J$87*'Plan mensual'!E282+parametros_recargas!$K$87*'Plan mensual'!E283+parametros_recargas!$L$87*'Plan mensual'!E284</f>
        <v>19939.4228199592</v>
      </c>
      <c r="D273" s="25" t="n">
        <f aca="false">parametros_recargas!$E$87*'Plan mensual'!F277+parametros_recargas!$F$87*'Plan mensual'!F278+parametros_recargas!$G$87*'Plan mensual'!F279+parametros_recargas!$H$87*'Plan mensual'!F280+parametros_recargas!$I$87*'Plan mensual'!F281+parametros_recargas!$J$87*'Plan mensual'!F282+parametros_recargas!$K$87*'Plan mensual'!F283+parametros_recargas!$L$87*'Plan mensual'!F284</f>
        <v>20043.3066541162</v>
      </c>
      <c r="E273" s="25" t="n">
        <f aca="false">parametros_recargas!$E$87*'Plan mensual'!G277+parametros_recargas!$F$87*'Plan mensual'!G278+parametros_recargas!$G$87*'Plan mensual'!G279+parametros_recargas!$H$87*'Plan mensual'!G280+parametros_recargas!$I$87*'Plan mensual'!G281+parametros_recargas!$J$87*'Plan mensual'!G282+parametros_recargas!$K$87*'Plan mensual'!G283+parametros_recargas!$L$87*'Plan mensual'!G284</f>
        <v>20147.7922417748</v>
      </c>
      <c r="F273" s="25" t="n">
        <f aca="false">parametros_recargas!$E$87*'Plan mensual'!H277+parametros_recargas!$F$87*'Plan mensual'!H278+parametros_recargas!$G$87*'Plan mensual'!H279+parametros_recargas!$H$87*'Plan mensual'!H280+parametros_recargas!$I$87*'Plan mensual'!H281+parametros_recargas!$J$87*'Plan mensual'!H282+parametros_recargas!$K$87*'Plan mensual'!H283+parametros_recargas!$L$87*'Plan mensual'!H284</f>
        <v>20252.8830686291</v>
      </c>
      <c r="G273" s="25" t="n">
        <f aca="false">parametros_recargas!$E$87*'Plan mensual'!I277+parametros_recargas!$F$87*'Plan mensual'!I278+parametros_recargas!$G$87*'Plan mensual'!I279+parametros_recargas!$H$87*'Plan mensual'!I280+parametros_recargas!$I$87*'Plan mensual'!I281+parametros_recargas!$J$87*'Plan mensual'!I282+parametros_recargas!$K$87*'Plan mensual'!I283+parametros_recargas!$L$87*'Plan mensual'!I284</f>
        <v>20358.5826405644</v>
      </c>
      <c r="H273" s="25" t="n">
        <f aca="false">parametros_recargas!$E$87*'Plan mensual'!J277+parametros_recargas!$F$87*'Plan mensual'!J278+parametros_recargas!$G$87*'Plan mensual'!J279+parametros_recargas!$H$87*'Plan mensual'!J280+parametros_recargas!$I$87*'Plan mensual'!J281+parametros_recargas!$J$87*'Plan mensual'!J282+parametros_recargas!$K$87*'Plan mensual'!J283+parametros_recargas!$L$87*'Plan mensual'!J284</f>
        <v>20464.894483774</v>
      </c>
      <c r="I273" s="25" t="n">
        <f aca="false">parametros_recargas!$E$87*'Plan mensual'!K277+parametros_recargas!$F$87*'Plan mensual'!K278+parametros_recargas!$G$87*'Plan mensual'!K279+parametros_recargas!$H$87*'Plan mensual'!K280+parametros_recargas!$I$87*'Plan mensual'!K281+parametros_recargas!$J$87*'Plan mensual'!K282+parametros_recargas!$K$87*'Plan mensual'!K283+parametros_recargas!$L$87*'Plan mensual'!K284</f>
        <v>20571.822144877</v>
      </c>
      <c r="J273" s="25" t="n">
        <f aca="false">parametros_recargas!$E$87*'Plan mensual'!L277+parametros_recargas!$F$87*'Plan mensual'!L278+parametros_recargas!$G$87*'Plan mensual'!L279+parametros_recargas!$H$87*'Plan mensual'!L280+parametros_recargas!$I$87*'Plan mensual'!L281+parametros_recargas!$J$87*'Plan mensual'!L282+parametros_recargas!$K$87*'Plan mensual'!L283+parametros_recargas!$L$87*'Plan mensual'!L284</f>
        <v>20679.3691910364</v>
      </c>
      <c r="K273" s="25" t="n">
        <f aca="false">parametros_recargas!$E$87*'Plan mensual'!M277+parametros_recargas!$F$87*'Plan mensual'!M278+parametros_recargas!$G$87*'Plan mensual'!M279+parametros_recargas!$H$87*'Plan mensual'!M280+parametros_recargas!$I$87*'Plan mensual'!M281+parametros_recargas!$J$87*'Plan mensual'!M282+parametros_recargas!$K$87*'Plan mensual'!M283+parametros_recargas!$L$87*'Plan mensual'!M284</f>
        <v>20787.5392100782</v>
      </c>
      <c r="L273" s="25" t="n">
        <f aca="false">parametros_recargas!$E$87*'Plan mensual'!N277+parametros_recargas!$F$87*'Plan mensual'!N278+parametros_recargas!$G$87*'Plan mensual'!N279+parametros_recargas!$H$87*'Plan mensual'!N280+parametros_recargas!$I$87*'Plan mensual'!N281+parametros_recargas!$J$87*'Plan mensual'!N282+parametros_recargas!$K$87*'Plan mensual'!N283+parametros_recargas!$L$87*'Plan mensual'!N284</f>
        <v>20896.3358106113</v>
      </c>
      <c r="M273" s="25" t="n">
        <f aca="false">parametros_recargas!$E$87*'Plan mensual'!O277+parametros_recargas!$F$87*'Plan mensual'!O278+parametros_recargas!$G$87*'Plan mensual'!O279+parametros_recargas!$H$87*'Plan mensual'!O280+parametros_recargas!$I$87*'Plan mensual'!O281+parametros_recargas!$J$87*'Plan mensual'!O282+parametros_recargas!$K$87*'Plan mensual'!O283+parametros_recargas!$L$87*'Plan mensual'!O284</f>
        <v>21005.7626221474</v>
      </c>
      <c r="N273" s="7" t="n">
        <f aca="false">SUM(B273:M273)</f>
        <v>244983.848161252</v>
      </c>
      <c r="O273" s="26" t="n">
        <f aca="false">MAX(B273:M273)</f>
        <v>21005.7626221474</v>
      </c>
      <c r="P273" s="15" t="n">
        <f aca="false">O273/parametros_recargas!$B$6</f>
        <v>140.038417480983</v>
      </c>
    </row>
    <row r="274" customFormat="false" ht="15" hidden="false" customHeight="false" outlineLevel="0" collapsed="false">
      <c r="A274" s="12" t="str">
        <f aca="false">parametros_recargas!$B$88</f>
        <v>Carga de polvo BC</v>
      </c>
      <c r="B274" s="25" t="n">
        <f aca="false">parametros_recargas!$E$88*'Plan mensual'!D277+parametros_recargas!$F$88*'Plan mensual'!D278+parametros_recargas!$G$88*'Plan mensual'!D279+parametros_recargas!$H$88*'Plan mensual'!D280+parametros_recargas!$I$88*'Plan mensual'!D281+parametros_recargas!$J$88*'Plan mensual'!D282+parametros_recargas!$K$88*'Plan mensual'!D283+parametros_recargas!$L$88*'Plan mensual'!D284</f>
        <v>32.6090995478909</v>
      </c>
      <c r="C274" s="25" t="n">
        <f aca="false">parametros_recargas!$E$88*'Plan mensual'!E277+parametros_recargas!$F$88*'Plan mensual'!E278+parametros_recargas!$G$88*'Plan mensual'!E279+parametros_recargas!$H$88*'Plan mensual'!E280+parametros_recargas!$I$88*'Plan mensual'!E281+parametros_recargas!$J$88*'Plan mensual'!E282+parametros_recargas!$K$88*'Plan mensual'!E283+parametros_recargas!$L$88*'Plan mensual'!E284</f>
        <v>32.7574418327995</v>
      </c>
      <c r="D274" s="25" t="n">
        <f aca="false">parametros_recargas!$E$88*'Plan mensual'!F277+parametros_recargas!$F$88*'Plan mensual'!F278+parametros_recargas!$G$88*'Plan mensual'!F279+parametros_recargas!$H$88*'Plan mensual'!F280+parametros_recargas!$I$88*'Plan mensual'!F281+parametros_recargas!$J$88*'Plan mensual'!F282+parametros_recargas!$K$88*'Plan mensual'!F283+parametros_recargas!$L$88*'Plan mensual'!F284</f>
        <v>32.9066433995212</v>
      </c>
      <c r="E274" s="25" t="n">
        <f aca="false">parametros_recargas!$E$88*'Plan mensual'!G277+parametros_recargas!$F$88*'Plan mensual'!G278+parametros_recargas!$G$88*'Plan mensual'!G279+parametros_recargas!$H$88*'Plan mensual'!G280+parametros_recargas!$I$88*'Plan mensual'!G281+parametros_recargas!$J$88*'Plan mensual'!G282+parametros_recargas!$K$88*'Plan mensual'!G283+parametros_recargas!$L$88*'Plan mensual'!G284</f>
        <v>33.0567092254988</v>
      </c>
      <c r="F274" s="25" t="n">
        <f aca="false">parametros_recargas!$E$88*'Plan mensual'!H277+parametros_recargas!$F$88*'Plan mensual'!H278+parametros_recargas!$G$88*'Plan mensual'!H279+parametros_recargas!$H$88*'Plan mensual'!H280+parametros_recargas!$I$88*'Plan mensual'!H281+parametros_recargas!$J$88*'Plan mensual'!H282+parametros_recargas!$K$88*'Plan mensual'!H283+parametros_recargas!$L$88*'Plan mensual'!H284</f>
        <v>33.2076443170073</v>
      </c>
      <c r="G274" s="25" t="n">
        <f aca="false">parametros_recargas!$E$88*'Plan mensual'!I277+parametros_recargas!$F$88*'Plan mensual'!I278+parametros_recargas!$G$88*'Plan mensual'!I279+parametros_recargas!$H$88*'Plan mensual'!I280+parametros_recargas!$I$88*'Plan mensual'!I281+parametros_recargas!$J$88*'Plan mensual'!I282+parametros_recargas!$K$88*'Plan mensual'!I283+parametros_recargas!$L$88*'Plan mensual'!I284</f>
        <v>33.3594537093206</v>
      </c>
      <c r="H274" s="25" t="n">
        <f aca="false">parametros_recargas!$E$88*'Plan mensual'!J277+parametros_recargas!$F$88*'Plan mensual'!J278+parametros_recargas!$G$88*'Plan mensual'!J279+parametros_recargas!$H$88*'Plan mensual'!J280+parametros_recargas!$I$88*'Plan mensual'!J281+parametros_recargas!$J$88*'Plan mensual'!J282+parametros_recargas!$K$88*'Plan mensual'!J283+parametros_recargas!$L$88*'Plan mensual'!J284</f>
        <v>33.5121424668801</v>
      </c>
      <c r="I274" s="25" t="n">
        <f aca="false">parametros_recargas!$E$88*'Plan mensual'!K277+parametros_recargas!$F$88*'Plan mensual'!K278+parametros_recargas!$G$88*'Plan mensual'!K279+parametros_recargas!$H$88*'Plan mensual'!K280+parametros_recargas!$I$88*'Plan mensual'!K281+parametros_recargas!$J$88*'Plan mensual'!K282+parametros_recargas!$K$88*'Plan mensual'!K283+parametros_recargas!$L$88*'Plan mensual'!K284</f>
        <v>33.6657156834629</v>
      </c>
      <c r="J274" s="25" t="n">
        <f aca="false">parametros_recargas!$E$88*'Plan mensual'!L277+parametros_recargas!$F$88*'Plan mensual'!L278+parametros_recargas!$G$88*'Plan mensual'!L279+parametros_recargas!$H$88*'Plan mensual'!L280+parametros_recargas!$I$88*'Plan mensual'!L281+parametros_recargas!$J$88*'Plan mensual'!L282+parametros_recargas!$K$88*'Plan mensual'!L283+parametros_recargas!$L$88*'Plan mensual'!L284</f>
        <v>33.8201784823524</v>
      </c>
      <c r="K274" s="25" t="n">
        <f aca="false">parametros_recargas!$E$88*'Plan mensual'!M277+parametros_recargas!$F$88*'Plan mensual'!M278+parametros_recargas!$G$88*'Plan mensual'!M279+parametros_recargas!$H$88*'Plan mensual'!M280+parametros_recargas!$I$88*'Plan mensual'!M281+parametros_recargas!$J$88*'Plan mensual'!M282+parametros_recargas!$K$88*'Plan mensual'!M283+parametros_recargas!$L$88*'Plan mensual'!M284</f>
        <v>33.975536016509</v>
      </c>
      <c r="L274" s="25" t="n">
        <f aca="false">parametros_recargas!$E$88*'Plan mensual'!N277+parametros_recargas!$F$88*'Plan mensual'!N278+parametros_recargas!$G$88*'Plan mensual'!N279+parametros_recargas!$H$88*'Plan mensual'!N280+parametros_recargas!$I$88*'Plan mensual'!N281+parametros_recargas!$J$88*'Plan mensual'!N282+parametros_recargas!$K$88*'Plan mensual'!N283+parametros_recargas!$L$88*'Plan mensual'!N284</f>
        <v>34.1317934687415</v>
      </c>
      <c r="M274" s="25" t="n">
        <f aca="false">parametros_recargas!$E$88*'Plan mensual'!O277+parametros_recargas!$F$88*'Plan mensual'!O278+parametros_recargas!$G$88*'Plan mensual'!O279+parametros_recargas!$H$88*'Plan mensual'!O280+parametros_recargas!$I$88*'Plan mensual'!O281+parametros_recargas!$J$88*'Plan mensual'!O282+parametros_recargas!$K$88*'Plan mensual'!O283+parametros_recargas!$L$88*'Plan mensual'!O284</f>
        <v>34.288956051881</v>
      </c>
      <c r="N274" s="7" t="n">
        <f aca="false">SUM(B274:M274)</f>
        <v>401.291314201865</v>
      </c>
      <c r="O274" s="26" t="n">
        <f aca="false">MAX(B274:M274)</f>
        <v>34.288956051881</v>
      </c>
      <c r="P274" s="15" t="n">
        <f aca="false">O274/parametros_recargas!$B$6</f>
        <v>0.228593040345873</v>
      </c>
    </row>
    <row r="275" customFormat="false" ht="15" hidden="false" customHeight="false" outlineLevel="0" collapsed="false">
      <c r="A275" s="12" t="str">
        <f aca="false">parametros_recargas!$B$89</f>
        <v>Descarga y carga Clase D</v>
      </c>
      <c r="B275" s="25" t="n">
        <f aca="false">parametros_recargas!$E$89*'Plan mensual'!D277+parametros_recargas!$F$89*'Plan mensual'!D278+parametros_recargas!$G$89*'Plan mensual'!D279+parametros_recargas!$H$89*'Plan mensual'!D280+parametros_recargas!$I$89*'Plan mensual'!D281+parametros_recargas!$J$89*'Plan mensual'!D282+parametros_recargas!$K$89*'Plan mensual'!D283+parametros_recargas!$L$89*'Plan mensual'!D284</f>
        <v>29.4089804284739</v>
      </c>
      <c r="C275" s="25" t="n">
        <f aca="false">parametros_recargas!$E$89*'Plan mensual'!E277+parametros_recargas!$F$89*'Plan mensual'!E278+parametros_recargas!$G$89*'Plan mensual'!E279+parametros_recargas!$H$89*'Plan mensual'!E280+parametros_recargas!$I$89*'Plan mensual'!E281+parametros_recargas!$J$89*'Plan mensual'!E282+parametros_recargas!$K$89*'Plan mensual'!E283+parametros_recargas!$L$89*'Plan mensual'!E284</f>
        <v>29.5426475341618</v>
      </c>
      <c r="D275" s="25" t="n">
        <f aca="false">parametros_recargas!$E$89*'Plan mensual'!F277+parametros_recargas!$F$89*'Plan mensual'!F278+parametros_recargas!$G$89*'Plan mensual'!F279+parametros_recargas!$H$89*'Plan mensual'!F280+parametros_recargas!$I$89*'Plan mensual'!F281+parametros_recargas!$J$89*'Plan mensual'!F282+parametros_recargas!$K$89*'Plan mensual'!F283+parametros_recargas!$L$89*'Plan mensual'!F284</f>
        <v>29.6770889147841</v>
      </c>
      <c r="E275" s="25" t="n">
        <f aca="false">parametros_recargas!$E$89*'Plan mensual'!G277+parametros_recargas!$F$89*'Plan mensual'!G278+parametros_recargas!$G$89*'Plan mensual'!G279+parametros_recargas!$H$89*'Plan mensual'!G280+parametros_recargas!$I$89*'Plan mensual'!G281+parametros_recargas!$J$89*'Plan mensual'!G282+parametros_recargas!$K$89*'Plan mensual'!G283+parametros_recargas!$L$89*'Plan mensual'!G284</f>
        <v>29.8123090553761</v>
      </c>
      <c r="F275" s="25" t="n">
        <f aca="false">parametros_recargas!$E$89*'Plan mensual'!H277+parametros_recargas!$F$89*'Plan mensual'!H278+parametros_recargas!$G$89*'Plan mensual'!H279+parametros_recargas!$H$89*'Plan mensual'!H280+parametros_recargas!$I$89*'Plan mensual'!H281+parametros_recargas!$J$89*'Plan mensual'!H282+parametros_recargas!$K$89*'Plan mensual'!H283+parametros_recargas!$L$89*'Plan mensual'!H284</f>
        <v>29.9483124669528</v>
      </c>
      <c r="G275" s="25" t="n">
        <f aca="false">parametros_recargas!$E$89*'Plan mensual'!I277+parametros_recargas!$F$89*'Plan mensual'!I278+parametros_recargas!$G$89*'Plan mensual'!I279+parametros_recargas!$H$89*'Plan mensual'!I280+parametros_recargas!$I$89*'Plan mensual'!I281+parametros_recargas!$J$89*'Plan mensual'!I282+parametros_recargas!$K$89*'Plan mensual'!I283+parametros_recargas!$L$89*'Plan mensual'!I284</f>
        <v>30.0851036866597</v>
      </c>
      <c r="H275" s="25" t="n">
        <f aca="false">parametros_recargas!$E$89*'Plan mensual'!J277+parametros_recargas!$F$89*'Plan mensual'!J278+parametros_recargas!$G$89*'Plan mensual'!J279+parametros_recargas!$H$89*'Plan mensual'!J280+parametros_recargas!$I$89*'Plan mensual'!J281+parametros_recargas!$J$89*'Plan mensual'!J282+parametros_recargas!$K$89*'Plan mensual'!J283+parametros_recargas!$L$89*'Plan mensual'!J284</f>
        <v>30.2226872779237</v>
      </c>
      <c r="I275" s="25" t="n">
        <f aca="false">parametros_recargas!$E$89*'Plan mensual'!K277+parametros_recargas!$F$89*'Plan mensual'!K278+parametros_recargas!$G$89*'Plan mensual'!K279+parametros_recargas!$H$89*'Plan mensual'!K280+parametros_recargas!$I$89*'Plan mensual'!K281+parametros_recargas!$J$89*'Plan mensual'!K282+parametros_recargas!$K$89*'Plan mensual'!K283+parametros_recargas!$L$89*'Plan mensual'!K284</f>
        <v>30.3610678306059</v>
      </c>
      <c r="J275" s="25" t="n">
        <f aca="false">parametros_recargas!$E$89*'Plan mensual'!L277+parametros_recargas!$F$89*'Plan mensual'!L278+parametros_recargas!$G$89*'Plan mensual'!L279+parametros_recargas!$H$89*'Plan mensual'!L280+parametros_recargas!$I$89*'Plan mensual'!L281+parametros_recargas!$J$89*'Plan mensual'!L282+parametros_recargas!$K$89*'Plan mensual'!L283+parametros_recargas!$L$89*'Plan mensual'!L284</f>
        <v>30.5002499611544</v>
      </c>
      <c r="K275" s="25" t="n">
        <f aca="false">parametros_recargas!$E$89*'Plan mensual'!M277+parametros_recargas!$F$89*'Plan mensual'!M278+parametros_recargas!$G$89*'Plan mensual'!M279+parametros_recargas!$H$89*'Plan mensual'!M280+parametros_recargas!$I$89*'Plan mensual'!M281+parametros_recargas!$J$89*'Plan mensual'!M282+parametros_recargas!$K$89*'Plan mensual'!M283+parametros_recargas!$L$89*'Plan mensual'!M284</f>
        <v>30.6402383127582</v>
      </c>
      <c r="L275" s="25" t="n">
        <f aca="false">parametros_recargas!$E$89*'Plan mensual'!N277+parametros_recargas!$F$89*'Plan mensual'!N278+parametros_recargas!$G$89*'Plan mensual'!N279+parametros_recargas!$H$89*'Plan mensual'!N280+parametros_recargas!$I$89*'Plan mensual'!N281+parametros_recargas!$J$89*'Plan mensual'!N282+parametros_recargas!$K$89*'Plan mensual'!N283+parametros_recargas!$L$89*'Plan mensual'!N284</f>
        <v>30.7810375555024</v>
      </c>
      <c r="M275" s="25" t="n">
        <f aca="false">parametros_recargas!$E$89*'Plan mensual'!O277+parametros_recargas!$F$89*'Plan mensual'!O278+parametros_recargas!$G$89*'Plan mensual'!O279+parametros_recargas!$H$89*'Plan mensual'!O280+parametros_recargas!$I$89*'Plan mensual'!O281+parametros_recargas!$J$89*'Plan mensual'!O282+parametros_recargas!$K$89*'Plan mensual'!O283+parametros_recargas!$L$89*'Plan mensual'!O284</f>
        <v>30.9226523865239</v>
      </c>
      <c r="N275" s="7" t="n">
        <f aca="false">SUM(B275:M275)</f>
        <v>361.902375410877</v>
      </c>
      <c r="O275" s="26" t="n">
        <f aca="false">MAX(B275:M275)</f>
        <v>30.9226523865239</v>
      </c>
      <c r="P275" s="15" t="n">
        <f aca="false">O275/parametros_recargas!$B$6</f>
        <v>0.206151015910159</v>
      </c>
    </row>
    <row r="276" customFormat="false" ht="15" hidden="false" customHeight="false" outlineLevel="0" collapsed="false">
      <c r="A276" s="12" t="str">
        <f aca="false">parametros_recargas!$B$90</f>
        <v>Carga de agua / AFFF / sales K</v>
      </c>
      <c r="B276" s="25" t="n">
        <f aca="false">parametros_recargas!$E$90*'Plan mensual'!D277+parametros_recargas!$F$90*'Plan mensual'!D278+parametros_recargas!$G$90*'Plan mensual'!D279+parametros_recargas!$H$90*'Plan mensual'!D280+parametros_recargas!$I$90*'Plan mensual'!D281+parametros_recargas!$J$90*'Plan mensual'!D282+parametros_recargas!$K$90*'Plan mensual'!D283+parametros_recargas!$L$90*'Plan mensual'!D284</f>
        <v>1094.98144036345</v>
      </c>
      <c r="C276" s="25" t="n">
        <f aca="false">parametros_recargas!$E$90*'Plan mensual'!E277+parametros_recargas!$F$90*'Plan mensual'!E278+parametros_recargas!$G$90*'Plan mensual'!E279+parametros_recargas!$H$90*'Plan mensual'!E280+parametros_recargas!$I$90*'Plan mensual'!E281+parametros_recargas!$J$90*'Plan mensual'!E282+parametros_recargas!$K$90*'Plan mensual'!E283+parametros_recargas!$L$90*'Plan mensual'!E284</f>
        <v>1100.14733231518</v>
      </c>
      <c r="D276" s="25" t="n">
        <f aca="false">parametros_recargas!$E$90*'Plan mensual'!F277+parametros_recargas!$F$90*'Plan mensual'!F278+parametros_recargas!$G$90*'Plan mensual'!F279+parametros_recargas!$H$90*'Plan mensual'!F280+parametros_recargas!$I$90*'Plan mensual'!F281+parametros_recargas!$J$90*'Plan mensual'!F282+parametros_recargas!$K$90*'Plan mensual'!F283+parametros_recargas!$L$90*'Plan mensual'!F284</f>
        <v>1105.3431480139</v>
      </c>
      <c r="E276" s="25" t="n">
        <f aca="false">parametros_recargas!$E$90*'Plan mensual'!G277+parametros_recargas!$F$90*'Plan mensual'!G278+parametros_recargas!$G$90*'Plan mensual'!G279+parametros_recargas!$H$90*'Plan mensual'!G280+parametros_recargas!$I$90*'Plan mensual'!G281+parametros_recargas!$J$90*'Plan mensual'!G282+parametros_recargas!$K$90*'Plan mensual'!G283+parametros_recargas!$L$90*'Plan mensual'!G284</f>
        <v>1110.56906079477</v>
      </c>
      <c r="F276" s="25" t="n">
        <f aca="false">parametros_recargas!$E$90*'Plan mensual'!H277+parametros_recargas!$F$90*'Plan mensual'!H278+parametros_recargas!$G$90*'Plan mensual'!H279+parametros_recargas!$H$90*'Plan mensual'!H280+parametros_recargas!$I$90*'Plan mensual'!H281+parametros_recargas!$J$90*'Plan mensual'!H282+parametros_recargas!$K$90*'Plan mensual'!H283+parametros_recargas!$L$90*'Plan mensual'!H284</f>
        <v>1115.82524499698</v>
      </c>
      <c r="G276" s="25" t="n">
        <f aca="false">parametros_recargas!$E$90*'Plan mensual'!I277+parametros_recargas!$F$90*'Plan mensual'!I278+parametros_recargas!$G$90*'Plan mensual'!I279+parametros_recargas!$H$90*'Plan mensual'!I280+parametros_recargas!$I$90*'Plan mensual'!I281+parametros_recargas!$J$90*'Plan mensual'!I282+parametros_recargas!$K$90*'Plan mensual'!I283+parametros_recargas!$L$90*'Plan mensual'!I284</f>
        <v>1121.11187596961</v>
      </c>
      <c r="H276" s="25" t="n">
        <f aca="false">parametros_recargas!$E$90*'Plan mensual'!J277+parametros_recargas!$F$90*'Plan mensual'!J278+parametros_recargas!$G$90*'Plan mensual'!J279+parametros_recargas!$H$90*'Plan mensual'!J280+parametros_recargas!$I$90*'Plan mensual'!J281+parametros_recargas!$J$90*'Plan mensual'!J282+parametros_recargas!$K$90*'Plan mensual'!J283+parametros_recargas!$L$90*'Plan mensual'!J284</f>
        <v>1126.42913007744</v>
      </c>
      <c r="I276" s="25" t="n">
        <f aca="false">parametros_recargas!$E$90*'Plan mensual'!K277+parametros_recargas!$F$90*'Plan mensual'!K278+parametros_recargas!$G$90*'Plan mensual'!K279+parametros_recargas!$H$90*'Plan mensual'!K280+parametros_recargas!$I$90*'Plan mensual'!K281+parametros_recargas!$J$90*'Plan mensual'!K282+parametros_recargas!$K$90*'Plan mensual'!K283+parametros_recargas!$L$90*'Plan mensual'!K284</f>
        <v>1131.77718470688</v>
      </c>
      <c r="J276" s="25" t="n">
        <f aca="false">parametros_recargas!$E$90*'Plan mensual'!L277+parametros_recargas!$F$90*'Plan mensual'!L278+parametros_recargas!$G$90*'Plan mensual'!L279+parametros_recargas!$H$90*'Plan mensual'!L280+parametros_recargas!$I$90*'Plan mensual'!L281+parametros_recargas!$J$90*'Plan mensual'!L282+parametros_recargas!$K$90*'Plan mensual'!L283+parametros_recargas!$L$90*'Plan mensual'!L284</f>
        <v>1137.15621827183</v>
      </c>
      <c r="K276" s="25" t="n">
        <f aca="false">parametros_recargas!$E$90*'Plan mensual'!M277+parametros_recargas!$F$90*'Plan mensual'!M278+parametros_recargas!$G$90*'Plan mensual'!M279+parametros_recargas!$H$90*'Plan mensual'!M280+parametros_recargas!$I$90*'Plan mensual'!M281+parametros_recargas!$J$90*'Plan mensual'!M282+parametros_recargas!$K$90*'Plan mensual'!M283+parametros_recargas!$L$90*'Plan mensual'!M284</f>
        <v>1142.56641021968</v>
      </c>
      <c r="L276" s="25" t="n">
        <f aca="false">parametros_recargas!$E$90*'Plan mensual'!N277+parametros_recargas!$F$90*'Plan mensual'!N278+parametros_recargas!$G$90*'Plan mensual'!N279+parametros_recargas!$H$90*'Plan mensual'!N280+parametros_recargas!$I$90*'Plan mensual'!N281+parametros_recargas!$J$90*'Plan mensual'!N282+parametros_recargas!$K$90*'Plan mensual'!N283+parametros_recargas!$L$90*'Plan mensual'!N284</f>
        <v>1148.0079410373</v>
      </c>
      <c r="M276" s="25" t="n">
        <f aca="false">parametros_recargas!$E$90*'Plan mensual'!O277+parametros_recargas!$F$90*'Plan mensual'!O278+parametros_recargas!$G$90*'Plan mensual'!O279+parametros_recargas!$H$90*'Plan mensual'!O280+parametros_recargas!$I$90*'Plan mensual'!O281+parametros_recargas!$J$90*'Plan mensual'!O282+parametros_recargas!$K$90*'Plan mensual'!O283+parametros_recargas!$L$90*'Plan mensual'!O284</f>
        <v>1153.480992257</v>
      </c>
      <c r="N276" s="7" t="n">
        <f aca="false">SUM(B276:M276)</f>
        <v>13487.395979024</v>
      </c>
      <c r="O276" s="26" t="n">
        <f aca="false">MAX(B276:M276)</f>
        <v>1153.480992257</v>
      </c>
      <c r="P276" s="15" t="n">
        <f aca="false">O276/parametros_recargas!$B$6</f>
        <v>7.68987328171336</v>
      </c>
    </row>
    <row r="277" customFormat="false" ht="15" hidden="false" customHeight="false" outlineLevel="0" collapsed="false">
      <c r="A277" s="12" t="str">
        <f aca="false">parametros_recargas!$B$91</f>
        <v>Carga de CO₂</v>
      </c>
      <c r="B277" s="25" t="n">
        <f aca="false">parametros_recargas!$E$91*'Plan mensual'!D277+parametros_recargas!$F$91*'Plan mensual'!D278+parametros_recargas!$G$91*'Plan mensual'!D279+parametros_recargas!$H$91*'Plan mensual'!D280+parametros_recargas!$I$91*'Plan mensual'!D281+parametros_recargas!$J$91*'Plan mensual'!D282+parametros_recargas!$K$91*'Plan mensual'!D283+parametros_recargas!$L$91*'Plan mensual'!D284</f>
        <v>599.998942572459</v>
      </c>
      <c r="C277" s="25" t="n">
        <f aca="false">parametros_recargas!$E$91*'Plan mensual'!E277+parametros_recargas!$F$91*'Plan mensual'!E278+parametros_recargas!$G$91*'Plan mensual'!E279+parametros_recargas!$H$91*'Plan mensual'!E280+parametros_recargas!$I$91*'Plan mensual'!E281+parametros_recargas!$J$91*'Plan mensual'!E282+parametros_recargas!$K$91*'Plan mensual'!E283+parametros_recargas!$L$91*'Plan mensual'!E284</f>
        <v>602.828892383672</v>
      </c>
      <c r="D277" s="25" t="n">
        <f aca="false">parametros_recargas!$E$91*'Plan mensual'!F277+parametros_recargas!$F$91*'Plan mensual'!F278+parametros_recargas!$G$91*'Plan mensual'!F279+parametros_recargas!$H$91*'Plan mensual'!F280+parametros_recargas!$I$91*'Plan mensual'!F281+parametros_recargas!$J$91*'Plan mensual'!F282+parametros_recargas!$K$91*'Plan mensual'!F283+parametros_recargas!$L$91*'Plan mensual'!F284</f>
        <v>605.675234853299</v>
      </c>
      <c r="E277" s="25" t="n">
        <f aca="false">parametros_recargas!$E$91*'Plan mensual'!G277+parametros_recargas!$F$91*'Plan mensual'!G278+parametros_recargas!$G$91*'Plan mensual'!G279+parametros_recargas!$H$91*'Plan mensual'!G280+parametros_recargas!$I$91*'Plan mensual'!G281+parametros_recargas!$J$91*'Plan mensual'!G282+parametros_recargas!$K$91*'Plan mensual'!G283+parametros_recargas!$L$91*'Plan mensual'!G284</f>
        <v>608.538064936822</v>
      </c>
      <c r="F277" s="25" t="n">
        <f aca="false">parametros_recargas!$E$91*'Plan mensual'!H277+parametros_recargas!$F$91*'Plan mensual'!H278+parametros_recargas!$G$91*'Plan mensual'!H279+parametros_recargas!$H$91*'Plan mensual'!H280+parametros_recargas!$I$91*'Plan mensual'!H281+parametros_recargas!$J$91*'Plan mensual'!H282+parametros_recargas!$K$91*'Plan mensual'!H283+parametros_recargas!$L$91*'Plan mensual'!H284</f>
        <v>611.417478139759</v>
      </c>
      <c r="G277" s="25" t="n">
        <f aca="false">parametros_recargas!$E$91*'Plan mensual'!I277+parametros_recargas!$F$91*'Plan mensual'!I278+parametros_recargas!$G$91*'Plan mensual'!I279+parametros_recargas!$H$91*'Plan mensual'!I280+parametros_recargas!$I$91*'Plan mensual'!I281+parametros_recargas!$J$91*'Plan mensual'!I282+parametros_recargas!$K$91*'Plan mensual'!I283+parametros_recargas!$L$91*'Plan mensual'!I284</f>
        <v>614.31357052085</v>
      </c>
      <c r="H277" s="25" t="n">
        <f aca="false">parametros_recargas!$E$91*'Plan mensual'!J277+parametros_recargas!$F$91*'Plan mensual'!J278+parametros_recargas!$G$91*'Plan mensual'!J279+parametros_recargas!$H$91*'Plan mensual'!J280+parametros_recargas!$I$91*'Plan mensual'!J281+parametros_recargas!$J$91*'Plan mensual'!J282+parametros_recargas!$K$91*'Plan mensual'!J283+parametros_recargas!$L$91*'Plan mensual'!J284</f>
        <v>617.22643869526</v>
      </c>
      <c r="I277" s="25" t="n">
        <f aca="false">parametros_recargas!$E$91*'Plan mensual'!K277+parametros_recargas!$F$91*'Plan mensual'!K278+parametros_recargas!$G$91*'Plan mensual'!K279+parametros_recargas!$H$91*'Plan mensual'!K280+parametros_recargas!$I$91*'Plan mensual'!K281+parametros_recargas!$J$91*'Plan mensual'!K282+parametros_recargas!$K$91*'Plan mensual'!K283+parametros_recargas!$L$91*'Plan mensual'!K284</f>
        <v>620.156179837806</v>
      </c>
      <c r="J277" s="25" t="n">
        <f aca="false">parametros_recargas!$E$91*'Plan mensual'!L277+parametros_recargas!$F$91*'Plan mensual'!L278+parametros_recargas!$G$91*'Plan mensual'!L279+parametros_recargas!$H$91*'Plan mensual'!L280+parametros_recargas!$I$91*'Plan mensual'!L281+parametros_recargas!$J$91*'Plan mensual'!L282+parametros_recargas!$K$91*'Plan mensual'!L283+parametros_recargas!$L$91*'Plan mensual'!L284</f>
        <v>623.102891686192</v>
      </c>
      <c r="K277" s="25" t="n">
        <f aca="false">parametros_recargas!$E$91*'Plan mensual'!M277+parametros_recargas!$F$91*'Plan mensual'!M278+parametros_recargas!$G$91*'Plan mensual'!M279+parametros_recargas!$H$91*'Plan mensual'!M280+parametros_recargas!$I$91*'Plan mensual'!M281+parametros_recargas!$J$91*'Plan mensual'!M282+parametros_recargas!$K$91*'Plan mensual'!M283+parametros_recargas!$L$91*'Plan mensual'!M284</f>
        <v>626.066672544277</v>
      </c>
      <c r="L277" s="25" t="n">
        <f aca="false">parametros_recargas!$E$91*'Plan mensual'!N277+parametros_recargas!$F$91*'Plan mensual'!N278+parametros_recargas!$G$91*'Plan mensual'!N279+parametros_recargas!$H$91*'Plan mensual'!N280+parametros_recargas!$I$91*'Plan mensual'!N281+parametros_recargas!$J$91*'Plan mensual'!N282+parametros_recargas!$K$91*'Plan mensual'!N283+parametros_recargas!$L$91*'Plan mensual'!N284</f>
        <v>629.047621285349</v>
      </c>
      <c r="M277" s="25" t="n">
        <f aca="false">parametros_recargas!$E$91*'Plan mensual'!O277+parametros_recargas!$F$91*'Plan mensual'!O278+parametros_recargas!$G$91*'Plan mensual'!O279+parametros_recargas!$H$91*'Plan mensual'!O280+parametros_recargas!$I$91*'Plan mensual'!O281+parametros_recargas!$J$91*'Plan mensual'!O282+parametros_recargas!$K$91*'Plan mensual'!O283+parametros_recargas!$L$91*'Plan mensual'!O284</f>
        <v>632.045837355428</v>
      </c>
      <c r="N277" s="7" t="n">
        <f aca="false">SUM(B277:M277)</f>
        <v>7390.41782481117</v>
      </c>
      <c r="O277" s="26" t="n">
        <f aca="false">MAX(B277:M277)</f>
        <v>632.045837355428</v>
      </c>
      <c r="P277" s="15" t="n">
        <f aca="false">O277/parametros_recargas!$B$6</f>
        <v>4.21363891570285</v>
      </c>
    </row>
    <row r="278" customFormat="false" ht="15" hidden="false" customHeight="false" outlineLevel="0" collapsed="false">
      <c r="A278" s="12" t="str">
        <f aca="false">parametros_recargas!$B$92</f>
        <v>Ensamblaje y marbete — recinto</v>
      </c>
      <c r="B278" s="25" t="n">
        <f aca="false">parametros_recargas!$E$92*'Plan mensual'!D277+parametros_recargas!$F$92*'Plan mensual'!D278+parametros_recargas!$G$92*'Plan mensual'!D279+parametros_recargas!$H$92*'Plan mensual'!D280+parametros_recargas!$I$92*'Plan mensual'!D281+parametros_recargas!$J$92*'Plan mensual'!D282+parametros_recargas!$K$92*'Plan mensual'!D283+parametros_recargas!$L$92*'Plan mensual'!D284</f>
        <v>19898.1553536606</v>
      </c>
      <c r="C278" s="25" t="n">
        <f aca="false">parametros_recargas!$E$92*'Plan mensual'!E277+parametros_recargas!$F$92*'Plan mensual'!E278+parametros_recargas!$G$92*'Plan mensual'!E279+parametros_recargas!$H$92*'Plan mensual'!E280+parametros_recargas!$I$92*'Plan mensual'!E281+parametros_recargas!$J$92*'Plan mensual'!E282+parametros_recargas!$K$92*'Plan mensual'!E283+parametros_recargas!$L$92*'Plan mensual'!E284</f>
        <v>20001.7229093261</v>
      </c>
      <c r="D278" s="25" t="n">
        <f aca="false">parametros_recargas!$E$92*'Plan mensual'!F277+parametros_recargas!$F$92*'Plan mensual'!F278+parametros_recargas!$G$92*'Plan mensual'!F279+parametros_recargas!$H$92*'Plan mensual'!F280+parametros_recargas!$I$92*'Plan mensual'!F281+parametros_recargas!$J$92*'Plan mensual'!F282+parametros_recargas!$K$92*'Plan mensual'!F283+parametros_recargas!$L$92*'Plan mensual'!F284</f>
        <v>20105.8903864305</v>
      </c>
      <c r="E278" s="25" t="n">
        <f aca="false">parametros_recargas!$E$92*'Plan mensual'!G277+parametros_recargas!$F$92*'Plan mensual'!G278+parametros_recargas!$G$92*'Plan mensual'!G279+parametros_recargas!$H$92*'Plan mensual'!G280+parametros_recargas!$I$92*'Plan mensual'!G281+parametros_recargas!$J$92*'Plan mensual'!G282+parametros_recargas!$K$92*'Plan mensual'!G283+parametros_recargas!$L$92*'Plan mensual'!G284</f>
        <v>20210.6612600557</v>
      </c>
      <c r="F278" s="25" t="n">
        <f aca="false">parametros_recargas!$E$92*'Plan mensual'!H277+parametros_recargas!$F$92*'Plan mensual'!H278+parametros_recargas!$G$92*'Plan mensual'!H279+parametros_recargas!$H$92*'Plan mensual'!H280+parametros_recargas!$I$92*'Plan mensual'!H281+parametros_recargas!$J$92*'Plan mensual'!H282+parametros_recargas!$K$92*'Plan mensual'!H283+parametros_recargas!$L$92*'Plan mensual'!H284</f>
        <v>20316.039025413</v>
      </c>
      <c r="G278" s="25" t="n">
        <f aca="false">parametros_recargas!$E$92*'Plan mensual'!I277+parametros_recargas!$F$92*'Plan mensual'!I278+parametros_recargas!$G$92*'Plan mensual'!I279+parametros_recargas!$H$92*'Plan mensual'!I280+parametros_recargas!$I$92*'Plan mensual'!I281+parametros_recargas!$J$92*'Plan mensual'!I282+parametros_recargas!$K$92*'Plan mensual'!I283+parametros_recargas!$L$92*'Plan mensual'!I284</f>
        <v>20422.0271979603</v>
      </c>
      <c r="H278" s="25" t="n">
        <f aca="false">parametros_recargas!$E$92*'Plan mensual'!J277+parametros_recargas!$F$92*'Plan mensual'!J278+parametros_recargas!$G$92*'Plan mensual'!J279+parametros_recargas!$H$92*'Plan mensual'!J280+parametros_recargas!$I$92*'Plan mensual'!J281+parametros_recargas!$J$92*'Plan mensual'!J282+parametros_recargas!$K$92*'Plan mensual'!J283+parametros_recargas!$L$92*'Plan mensual'!J284</f>
        <v>20528.6293135188</v>
      </c>
      <c r="I278" s="25" t="n">
        <f aca="false">parametros_recargas!$E$92*'Plan mensual'!K277+parametros_recargas!$F$92*'Plan mensual'!K278+parametros_recargas!$G$92*'Plan mensual'!K279+parametros_recargas!$H$92*'Plan mensual'!K280+parametros_recargas!$I$92*'Plan mensual'!K281+parametros_recargas!$J$92*'Plan mensual'!K282+parametros_recargas!$K$92*'Plan mensual'!K283+parametros_recargas!$L$92*'Plan mensual'!K284</f>
        <v>20635.848928391</v>
      </c>
      <c r="J278" s="25" t="n">
        <f aca="false">parametros_recargas!$E$92*'Plan mensual'!L277+parametros_recargas!$F$92*'Plan mensual'!L278+parametros_recargas!$G$92*'Plan mensual'!L279+parametros_recargas!$H$92*'Plan mensual'!L280+parametros_recargas!$I$92*'Plan mensual'!L281+parametros_recargas!$J$92*'Plan mensual'!L282+parametros_recargas!$K$92*'Plan mensual'!L283+parametros_recargas!$L$92*'Plan mensual'!L284</f>
        <v>20743.6896194799</v>
      </c>
      <c r="K278" s="25" t="n">
        <f aca="false">parametros_recargas!$E$92*'Plan mensual'!M277+parametros_recargas!$F$92*'Plan mensual'!M278+parametros_recargas!$G$92*'Plan mensual'!M279+parametros_recargas!$H$92*'Plan mensual'!M280+parametros_recargas!$I$92*'Plan mensual'!M281+parametros_recargas!$J$92*'Plan mensual'!M282+parametros_recargas!$K$92*'Plan mensual'!M283+parametros_recargas!$L$92*'Plan mensual'!M284</f>
        <v>20852.1549844075</v>
      </c>
      <c r="L278" s="25" t="n">
        <f aca="false">parametros_recargas!$E$92*'Plan mensual'!N277+parametros_recargas!$F$92*'Plan mensual'!N278+parametros_recargas!$G$92*'Plan mensual'!N279+parametros_recargas!$H$92*'Plan mensual'!N280+parametros_recargas!$I$92*'Plan mensual'!N281+parametros_recargas!$J$92*'Plan mensual'!N282+parametros_recargas!$K$92*'Plan mensual'!N283+parametros_recargas!$L$92*'Plan mensual'!N284</f>
        <v>20961.2486416355</v>
      </c>
      <c r="M278" s="25" t="n">
        <f aca="false">parametros_recargas!$E$92*'Plan mensual'!O277+parametros_recargas!$F$92*'Plan mensual'!O278+parametros_recargas!$G$92*'Plan mensual'!O279+parametros_recargas!$H$92*'Plan mensual'!O280+parametros_recargas!$I$92*'Plan mensual'!O281+parametros_recargas!$J$92*'Plan mensual'!O282+parametros_recargas!$K$92*'Plan mensual'!O283+parametros_recargas!$L$92*'Plan mensual'!O284</f>
        <v>21070.9742305858</v>
      </c>
      <c r="N278" s="7" t="n">
        <f aca="false">SUM(B278:M278)</f>
        <v>245747.041850865</v>
      </c>
      <c r="O278" s="26" t="n">
        <f aca="false">MAX(B278:M278)</f>
        <v>21070.9742305858</v>
      </c>
      <c r="P278" s="15" t="n">
        <f aca="false">O278/parametros_recargas!$B$6</f>
        <v>140.473161537239</v>
      </c>
    </row>
    <row r="279" customFormat="false" ht="15" hidden="false" customHeight="false" outlineLevel="0" collapsed="false">
      <c r="A279" s="12" t="str">
        <f aca="false">parametros_recargas!$B$93</f>
        <v>Presurización — recinto</v>
      </c>
      <c r="B279" s="25" t="n">
        <f aca="false">parametros_recargas!$E$93*'Plan mensual'!D277+parametros_recargas!$F$93*'Plan mensual'!D278+parametros_recargas!$G$93*'Plan mensual'!D279+parametros_recargas!$H$93*'Plan mensual'!D280+parametros_recargas!$I$93*'Plan mensual'!D281+parametros_recargas!$J$93*'Plan mensual'!D282+parametros_recargas!$K$93*'Plan mensual'!D283+parametros_recargas!$L$93*'Plan mensual'!D284</f>
        <v>19898.1553536606</v>
      </c>
      <c r="C279" s="25" t="n">
        <f aca="false">parametros_recargas!$E$93*'Plan mensual'!E277+parametros_recargas!$F$93*'Plan mensual'!E278+parametros_recargas!$G$93*'Plan mensual'!E279+parametros_recargas!$H$93*'Plan mensual'!E280+parametros_recargas!$I$93*'Plan mensual'!E281+parametros_recargas!$J$93*'Plan mensual'!E282+parametros_recargas!$K$93*'Plan mensual'!E283+parametros_recargas!$L$93*'Plan mensual'!E284</f>
        <v>20001.7229093261</v>
      </c>
      <c r="D279" s="25" t="n">
        <f aca="false">parametros_recargas!$E$93*'Plan mensual'!F277+parametros_recargas!$F$93*'Plan mensual'!F278+parametros_recargas!$G$93*'Plan mensual'!F279+parametros_recargas!$H$93*'Plan mensual'!F280+parametros_recargas!$I$93*'Plan mensual'!F281+parametros_recargas!$J$93*'Plan mensual'!F282+parametros_recargas!$K$93*'Plan mensual'!F283+parametros_recargas!$L$93*'Plan mensual'!F284</f>
        <v>20105.8903864305</v>
      </c>
      <c r="E279" s="25" t="n">
        <f aca="false">parametros_recargas!$E$93*'Plan mensual'!G277+parametros_recargas!$F$93*'Plan mensual'!G278+parametros_recargas!$G$93*'Plan mensual'!G279+parametros_recargas!$H$93*'Plan mensual'!G280+parametros_recargas!$I$93*'Plan mensual'!G281+parametros_recargas!$J$93*'Plan mensual'!G282+parametros_recargas!$K$93*'Plan mensual'!G283+parametros_recargas!$L$93*'Plan mensual'!G284</f>
        <v>20210.6612600557</v>
      </c>
      <c r="F279" s="25" t="n">
        <f aca="false">parametros_recargas!$E$93*'Plan mensual'!H277+parametros_recargas!$F$93*'Plan mensual'!H278+parametros_recargas!$G$93*'Plan mensual'!H279+parametros_recargas!$H$93*'Plan mensual'!H280+parametros_recargas!$I$93*'Plan mensual'!H281+parametros_recargas!$J$93*'Plan mensual'!H282+parametros_recargas!$K$93*'Plan mensual'!H283+parametros_recargas!$L$93*'Plan mensual'!H284</f>
        <v>20316.039025413</v>
      </c>
      <c r="G279" s="25" t="n">
        <f aca="false">parametros_recargas!$E$93*'Plan mensual'!I277+parametros_recargas!$F$93*'Plan mensual'!I278+parametros_recargas!$G$93*'Plan mensual'!I279+parametros_recargas!$H$93*'Plan mensual'!I280+parametros_recargas!$I$93*'Plan mensual'!I281+parametros_recargas!$J$93*'Plan mensual'!I282+parametros_recargas!$K$93*'Plan mensual'!I283+parametros_recargas!$L$93*'Plan mensual'!I284</f>
        <v>20422.0271979603</v>
      </c>
      <c r="H279" s="25" t="n">
        <f aca="false">parametros_recargas!$E$93*'Plan mensual'!J277+parametros_recargas!$F$93*'Plan mensual'!J278+parametros_recargas!$G$93*'Plan mensual'!J279+parametros_recargas!$H$93*'Plan mensual'!J280+parametros_recargas!$I$93*'Plan mensual'!J281+parametros_recargas!$J$93*'Plan mensual'!J282+parametros_recargas!$K$93*'Plan mensual'!J283+parametros_recargas!$L$93*'Plan mensual'!J284</f>
        <v>20528.6293135188</v>
      </c>
      <c r="I279" s="25" t="n">
        <f aca="false">parametros_recargas!$E$93*'Plan mensual'!K277+parametros_recargas!$F$93*'Plan mensual'!K278+parametros_recargas!$G$93*'Plan mensual'!K279+parametros_recargas!$H$93*'Plan mensual'!K280+parametros_recargas!$I$93*'Plan mensual'!K281+parametros_recargas!$J$93*'Plan mensual'!K282+parametros_recargas!$K$93*'Plan mensual'!K283+parametros_recargas!$L$93*'Plan mensual'!K284</f>
        <v>20635.848928391</v>
      </c>
      <c r="J279" s="25" t="n">
        <f aca="false">parametros_recargas!$E$93*'Plan mensual'!L277+parametros_recargas!$F$93*'Plan mensual'!L278+parametros_recargas!$G$93*'Plan mensual'!L279+parametros_recargas!$H$93*'Plan mensual'!L280+parametros_recargas!$I$93*'Plan mensual'!L281+parametros_recargas!$J$93*'Plan mensual'!L282+parametros_recargas!$K$93*'Plan mensual'!L283+parametros_recargas!$L$93*'Plan mensual'!L284</f>
        <v>20743.6896194799</v>
      </c>
      <c r="K279" s="25" t="n">
        <f aca="false">parametros_recargas!$E$93*'Plan mensual'!M277+parametros_recargas!$F$93*'Plan mensual'!M278+parametros_recargas!$G$93*'Plan mensual'!M279+parametros_recargas!$H$93*'Plan mensual'!M280+parametros_recargas!$I$93*'Plan mensual'!M281+parametros_recargas!$J$93*'Plan mensual'!M282+parametros_recargas!$K$93*'Plan mensual'!M283+parametros_recargas!$L$93*'Plan mensual'!M284</f>
        <v>20852.1549844075</v>
      </c>
      <c r="L279" s="25" t="n">
        <f aca="false">parametros_recargas!$E$93*'Plan mensual'!N277+parametros_recargas!$F$93*'Plan mensual'!N278+parametros_recargas!$G$93*'Plan mensual'!N279+parametros_recargas!$H$93*'Plan mensual'!N280+parametros_recargas!$I$93*'Plan mensual'!N281+parametros_recargas!$J$93*'Plan mensual'!N282+parametros_recargas!$K$93*'Plan mensual'!N283+parametros_recargas!$L$93*'Plan mensual'!N284</f>
        <v>20961.2486416355</v>
      </c>
      <c r="M279" s="25" t="n">
        <f aca="false">parametros_recargas!$E$93*'Plan mensual'!O277+parametros_recargas!$F$93*'Plan mensual'!O278+parametros_recargas!$G$93*'Plan mensual'!O279+parametros_recargas!$H$93*'Plan mensual'!O280+parametros_recargas!$I$93*'Plan mensual'!O281+parametros_recargas!$J$93*'Plan mensual'!O282+parametros_recargas!$K$93*'Plan mensual'!O283+parametros_recargas!$L$93*'Plan mensual'!O284</f>
        <v>21070.9742305858</v>
      </c>
      <c r="N279" s="7" t="n">
        <f aca="false">SUM(B279:M279)</f>
        <v>245747.041850865</v>
      </c>
      <c r="O279" s="26" t="n">
        <f aca="false">MAX(B279:M279)</f>
        <v>21070.9742305858</v>
      </c>
      <c r="P279" s="15" t="n">
        <f aca="false">O279/parametros_recargas!$B$6</f>
        <v>140.473161537239</v>
      </c>
    </row>
    <row r="280" customFormat="false" ht="15" hidden="false" customHeight="false" outlineLevel="0" collapsed="false">
      <c r="A280" s="12" t="str">
        <f aca="false">parametros_recargas!$B$94</f>
        <v>Ensamblaje y presurización — zona general</v>
      </c>
      <c r="B280" s="25" t="n">
        <f aca="false">parametros_recargas!$E$94*'Plan mensual'!D277+parametros_recargas!$F$94*'Plan mensual'!D278+parametros_recargas!$G$94*'Plan mensual'!D279+parametros_recargas!$H$94*'Plan mensual'!D280+parametros_recargas!$I$94*'Plan mensual'!D281+parametros_recargas!$J$94*'Plan mensual'!D282+parametros_recargas!$K$94*'Plan mensual'!D283+parametros_recargas!$L$94*'Plan mensual'!D284</f>
        <v>1615.62083426785</v>
      </c>
      <c r="C280" s="25" t="n">
        <f aca="false">parametros_recargas!$E$94*'Plan mensual'!E277+parametros_recargas!$F$94*'Plan mensual'!E278+parametros_recargas!$G$94*'Plan mensual'!E279+parametros_recargas!$H$94*'Plan mensual'!E280+parametros_recargas!$I$94*'Plan mensual'!E281+parametros_recargas!$J$94*'Plan mensual'!E282+parametros_recargas!$K$94*'Plan mensual'!E283+parametros_recargas!$L$94*'Plan mensual'!E284</f>
        <v>1623.2424936516</v>
      </c>
      <c r="D280" s="25" t="n">
        <f aca="false">parametros_recargas!$E$94*'Plan mensual'!F277+parametros_recargas!$F$94*'Plan mensual'!F278+parametros_recargas!$G$94*'Plan mensual'!F279+parametros_recargas!$H$94*'Plan mensual'!F280+parametros_recargas!$I$94*'Plan mensual'!F281+parametros_recargas!$J$94*'Plan mensual'!F282+parametros_recargas!$K$94*'Plan mensual'!F283+parametros_recargas!$L$94*'Plan mensual'!F284</f>
        <v>1630.9083019663</v>
      </c>
      <c r="E280" s="25" t="n">
        <f aca="false">parametros_recargas!$E$94*'Plan mensual'!G277+parametros_recargas!$F$94*'Plan mensual'!G278+parametros_recargas!$G$94*'Plan mensual'!G279+parametros_recargas!$H$94*'Plan mensual'!G280+parametros_recargas!$I$94*'Plan mensual'!G281+parametros_recargas!$J$94*'Plan mensual'!G282+parametros_recargas!$K$94*'Plan mensual'!G283+parametros_recargas!$L$94*'Plan mensual'!G284</f>
        <v>1638.61851494736</v>
      </c>
      <c r="F280" s="25" t="n">
        <f aca="false">parametros_recargas!$E$94*'Plan mensual'!H277+parametros_recargas!$F$94*'Plan mensual'!H278+parametros_recargas!$G$94*'Plan mensual'!H279+parametros_recargas!$H$94*'Plan mensual'!H280+parametros_recargas!$I$94*'Plan mensual'!H281+parametros_recargas!$J$94*'Plan mensual'!H282+parametros_recargas!$K$94*'Plan mensual'!H283+parametros_recargas!$L$94*'Plan mensual'!H284</f>
        <v>1646.37338981154</v>
      </c>
      <c r="G280" s="25" t="n">
        <f aca="false">parametros_recargas!$E$94*'Plan mensual'!I277+parametros_recargas!$F$94*'Plan mensual'!I278+parametros_recargas!$G$94*'Plan mensual'!I279+parametros_recargas!$H$94*'Plan mensual'!I280+parametros_recargas!$I$94*'Plan mensual'!I281+parametros_recargas!$J$94*'Plan mensual'!I282+parametros_recargas!$K$94*'Plan mensual'!I283+parametros_recargas!$L$94*'Plan mensual'!I284</f>
        <v>1654.17318526554</v>
      </c>
      <c r="H280" s="25" t="n">
        <f aca="false">parametros_recargas!$E$94*'Plan mensual'!J277+parametros_recargas!$F$94*'Plan mensual'!J278+parametros_recargas!$G$94*'Plan mensual'!J279+parametros_recargas!$H$94*'Plan mensual'!J280+parametros_recargas!$I$94*'Plan mensual'!J281+parametros_recargas!$J$94*'Plan mensual'!J282+parametros_recargas!$K$94*'Plan mensual'!J283+parametros_recargas!$L$94*'Plan mensual'!J284</f>
        <v>1662.01816151464</v>
      </c>
      <c r="I280" s="25" t="n">
        <f aca="false">parametros_recargas!$E$94*'Plan mensual'!K277+parametros_recargas!$F$94*'Plan mensual'!K278+parametros_recargas!$G$94*'Plan mensual'!K279+parametros_recargas!$H$94*'Plan mensual'!K280+parametros_recargas!$I$94*'Plan mensual'!K281+parametros_recargas!$J$94*'Plan mensual'!K282+parametros_recargas!$K$94*'Plan mensual'!K283+parametros_recargas!$L$94*'Plan mensual'!K284</f>
        <v>1669.90858027139</v>
      </c>
      <c r="J280" s="25" t="n">
        <f aca="false">parametros_recargas!$E$94*'Plan mensual'!L277+parametros_recargas!$F$94*'Plan mensual'!L278+parametros_recargas!$G$94*'Plan mensual'!L279+parametros_recargas!$H$94*'Plan mensual'!L280+parametros_recargas!$I$94*'Plan mensual'!L281+parametros_recargas!$J$94*'Plan mensual'!L282+parametros_recargas!$K$94*'Plan mensual'!L283+parametros_recargas!$L$94*'Plan mensual'!L284</f>
        <v>1677.84470476429</v>
      </c>
      <c r="K280" s="25" t="n">
        <f aca="false">parametros_recargas!$E$94*'Plan mensual'!M277+parametros_recargas!$F$94*'Plan mensual'!M278+parametros_recargas!$G$94*'Plan mensual'!M279+parametros_recargas!$H$94*'Plan mensual'!M280+parametros_recargas!$I$94*'Plan mensual'!M281+parametros_recargas!$J$94*'Plan mensual'!M282+parametros_recargas!$K$94*'Plan mensual'!M283+parametros_recargas!$L$94*'Plan mensual'!M284</f>
        <v>1685.82679974665</v>
      </c>
      <c r="L280" s="25" t="n">
        <f aca="false">parametros_recargas!$E$94*'Plan mensual'!N277+parametros_recargas!$F$94*'Plan mensual'!N278+parametros_recargas!$G$94*'Plan mensual'!N279+parametros_recargas!$H$94*'Plan mensual'!N280+parametros_recargas!$I$94*'Plan mensual'!N281+parametros_recargas!$J$94*'Plan mensual'!N282+parametros_recargas!$K$94*'Plan mensual'!N283+parametros_recargas!$L$94*'Plan mensual'!N284</f>
        <v>1693.85513150534</v>
      </c>
      <c r="M280" s="25" t="n">
        <f aca="false">parametros_recargas!$E$94*'Plan mensual'!O277+parametros_recargas!$F$94*'Plan mensual'!O278+parametros_recargas!$G$94*'Plan mensual'!O279+parametros_recargas!$H$94*'Plan mensual'!O280+parametros_recargas!$I$94*'Plan mensual'!O281+parametros_recargas!$J$94*'Plan mensual'!O282+parametros_recargas!$K$94*'Plan mensual'!O283+parametros_recargas!$L$94*'Plan mensual'!O284</f>
        <v>1701.92996786975</v>
      </c>
      <c r="N280" s="7" t="n">
        <f aca="false">SUM(B280:M280)</f>
        <v>19900.3200655822</v>
      </c>
      <c r="O280" s="26" t="n">
        <f aca="false">MAX(B280:M280)</f>
        <v>1701.92996786975</v>
      </c>
      <c r="P280" s="15" t="n">
        <f aca="false">O280/parametros_recargas!$B$6</f>
        <v>11.3461997857983</v>
      </c>
    </row>
    <row r="281" customFormat="false" ht="15" hidden="false" customHeight="false" outlineLevel="0" collapsed="false">
      <c r="A281" s="12" t="str">
        <f aca="false">parametros_recargas!$B$95</f>
        <v>Carga y presurización de halogenado</v>
      </c>
      <c r="B281" s="25" t="n">
        <f aca="false">parametros_recargas!$E$95*'Plan mensual'!D277+parametros_recargas!$F$95*'Plan mensual'!D278+parametros_recargas!$G$95*'Plan mensual'!D279+parametros_recargas!$H$95*'Plan mensual'!D280+parametros_recargas!$I$95*'Plan mensual'!D281+parametros_recargas!$J$95*'Plan mensual'!D282+parametros_recargas!$K$95*'Plan mensual'!D283+parametros_recargas!$L$95*'Plan mensual'!D284</f>
        <v>20.6402750940143</v>
      </c>
      <c r="C281" s="25" t="n">
        <f aca="false">parametros_recargas!$E$95*'Plan mensual'!E277+parametros_recargas!$F$95*'Plan mensual'!E278+parametros_recargas!$G$95*'Plan mensual'!E279+parametros_recargas!$H$95*'Plan mensual'!E280+parametros_recargas!$I$95*'Plan mensual'!E281+parametros_recargas!$J$95*'Plan mensual'!E282+parametros_recargas!$K$95*'Plan mensual'!E283+parametros_recargas!$L$95*'Plan mensual'!E284</f>
        <v>20.737751016692</v>
      </c>
      <c r="D281" s="25" t="n">
        <f aca="false">parametros_recargas!$E$95*'Plan mensual'!F277+parametros_recargas!$F$95*'Plan mensual'!F278+parametros_recargas!$G$95*'Plan mensual'!F279+parametros_recargas!$H$95*'Plan mensual'!F280+parametros_recargas!$I$95*'Plan mensual'!F281+parametros_recargas!$J$95*'Plan mensual'!F282+parametros_recargas!$K$95*'Plan mensual'!F283+parametros_recargas!$L$95*'Plan mensual'!F284</f>
        <v>20.8357915746496</v>
      </c>
      <c r="E281" s="25" t="n">
        <f aca="false">parametros_recargas!$E$95*'Plan mensual'!G277+parametros_recargas!$F$95*'Plan mensual'!G278+parametros_recargas!$G$95*'Plan mensual'!G279+parametros_recargas!$H$95*'Plan mensual'!G280+parametros_recargas!$I$95*'Plan mensual'!G281+parametros_recargas!$J$95*'Plan mensual'!G282+parametros_recargas!$K$95*'Plan mensual'!G283+parametros_recargas!$L$95*'Plan mensual'!G284</f>
        <v>20.9344000385718</v>
      </c>
      <c r="F281" s="25" t="n">
        <f aca="false">parametros_recargas!$E$95*'Plan mensual'!H277+parametros_recargas!$F$95*'Plan mensual'!H278+parametros_recargas!$G$95*'Plan mensual'!H279+parametros_recargas!$H$95*'Plan mensual'!H280+parametros_recargas!$I$95*'Plan mensual'!H281+parametros_recargas!$J$95*'Plan mensual'!H282+parametros_recargas!$K$95*'Plan mensual'!H283+parametros_recargas!$L$95*'Plan mensual'!H284</f>
        <v>21.0335796980889</v>
      </c>
      <c r="G281" s="25" t="n">
        <f aca="false">parametros_recargas!$E$95*'Plan mensual'!I277+parametros_recargas!$F$95*'Plan mensual'!I278+parametros_recargas!$G$95*'Plan mensual'!I279+parametros_recargas!$H$95*'Plan mensual'!I280+parametros_recargas!$I$95*'Plan mensual'!I281+parametros_recargas!$J$95*'Plan mensual'!I282+parametros_recargas!$K$95*'Plan mensual'!I283+parametros_recargas!$L$95*'Plan mensual'!I284</f>
        <v>21.1333338618864</v>
      </c>
      <c r="H281" s="25" t="n">
        <f aca="false">parametros_recargas!$E$95*'Plan mensual'!J277+parametros_recargas!$F$95*'Plan mensual'!J278+parametros_recargas!$G$95*'Plan mensual'!J279+parametros_recargas!$H$95*'Plan mensual'!J280+parametros_recargas!$I$95*'Plan mensual'!J281+parametros_recargas!$J$95*'Plan mensual'!J282+parametros_recargas!$K$95*'Plan mensual'!J283+parametros_recargas!$L$95*'Plan mensual'!J284</f>
        <v>21.2336658578159</v>
      </c>
      <c r="I281" s="25" t="n">
        <f aca="false">parametros_recargas!$E$95*'Plan mensual'!K277+parametros_recargas!$F$95*'Plan mensual'!K278+parametros_recargas!$G$95*'Plan mensual'!K279+parametros_recargas!$H$95*'Plan mensual'!K280+parametros_recargas!$I$95*'Plan mensual'!K281+parametros_recargas!$J$95*'Plan mensual'!K282+parametros_recargas!$K$95*'Plan mensual'!K283+parametros_recargas!$L$95*'Plan mensual'!K284</f>
        <v>21.3345790330053</v>
      </c>
      <c r="J281" s="25" t="n">
        <f aca="false">parametros_recargas!$E$95*'Plan mensual'!L277+parametros_recargas!$F$95*'Plan mensual'!L278+parametros_recargas!$G$95*'Plan mensual'!L279+parametros_recargas!$H$95*'Plan mensual'!L280+parametros_recargas!$I$95*'Plan mensual'!L281+parametros_recargas!$J$95*'Plan mensual'!L282+parametros_recargas!$K$95*'Plan mensual'!L283+parametros_recargas!$L$95*'Plan mensual'!L284</f>
        <v>21.4360767539714</v>
      </c>
      <c r="K281" s="25" t="n">
        <f aca="false">parametros_recargas!$E$95*'Plan mensual'!M277+parametros_recargas!$F$95*'Plan mensual'!M278+parametros_recargas!$G$95*'Plan mensual'!M279+parametros_recargas!$H$95*'Plan mensual'!M280+parametros_recargas!$I$95*'Plan mensual'!M281+parametros_recargas!$J$95*'Plan mensual'!M282+parametros_recargas!$K$95*'Plan mensual'!M283+parametros_recargas!$L$95*'Plan mensual'!M284</f>
        <v>21.5381624067316</v>
      </c>
      <c r="L281" s="25" t="n">
        <f aca="false">parametros_recargas!$E$95*'Plan mensual'!N277+parametros_recargas!$F$95*'Plan mensual'!N278+parametros_recargas!$G$95*'Plan mensual'!N279+parametros_recargas!$H$95*'Plan mensual'!N280+parametros_recargas!$I$95*'Plan mensual'!N281+parametros_recargas!$J$95*'Plan mensual'!N282+parametros_recargas!$K$95*'Plan mensual'!N283+parametros_recargas!$L$95*'Plan mensual'!N284</f>
        <v>21.6408393969169</v>
      </c>
      <c r="M281" s="25" t="n">
        <f aca="false">parametros_recargas!$E$95*'Plan mensual'!O277+parametros_recargas!$F$95*'Plan mensual'!O278+parametros_recargas!$G$95*'Plan mensual'!O279+parametros_recargas!$H$95*'Plan mensual'!O280+parametros_recargas!$I$95*'Plan mensual'!O281+parametros_recargas!$J$95*'Plan mensual'!O282+parametros_recargas!$K$95*'Plan mensual'!O283+parametros_recargas!$L$95*'Plan mensual'!O284</f>
        <v>21.7441111498857</v>
      </c>
      <c r="N281" s="7" t="n">
        <f aca="false">SUM(B281:M281)</f>
        <v>254.24256588223</v>
      </c>
      <c r="O281" s="26" t="n">
        <f aca="false">MAX(B281:M281)</f>
        <v>21.7441111498857</v>
      </c>
      <c r="P281" s="15" t="n">
        <f aca="false">O281/parametros_recargas!$B$6</f>
        <v>0.144960740999238</v>
      </c>
    </row>
    <row r="282" customFormat="false" ht="15" hidden="false" customHeight="false" outlineLevel="0" collapsed="false">
      <c r="A282" s="12" t="str">
        <f aca="false">parametros_recargas!$B$96</f>
        <v>Control de peso (CO₂ y halogenados sin recarga)</v>
      </c>
      <c r="B282" s="25" t="n">
        <f aca="false">parametros_recargas!$E$96*'Plan mensual'!D277+parametros_recargas!$F$96*'Plan mensual'!D278+parametros_recargas!$G$96*'Plan mensual'!D279+parametros_recargas!$H$96*'Plan mensual'!D280+parametros_recargas!$I$96*'Plan mensual'!D281+parametros_recargas!$J$96*'Plan mensual'!D282+parametros_recargas!$K$96*'Plan mensual'!D283+parametros_recargas!$L$96*'Plan mensual'!D284</f>
        <v>1461.91835795111</v>
      </c>
      <c r="C282" s="25" t="n">
        <f aca="false">parametros_recargas!$E$96*'Plan mensual'!E277+parametros_recargas!$F$96*'Plan mensual'!E278+parametros_recargas!$G$96*'Plan mensual'!E279+parametros_recargas!$H$96*'Plan mensual'!E280+parametros_recargas!$I$96*'Plan mensual'!E281+parametros_recargas!$J$96*'Plan mensual'!E282+parametros_recargas!$K$96*'Plan mensual'!E283+parametros_recargas!$L$96*'Plan mensual'!E284</f>
        <v>1468.81400194531</v>
      </c>
      <c r="D282" s="25" t="n">
        <f aca="false">parametros_recargas!$E$96*'Plan mensual'!F277+parametros_recargas!$F$96*'Plan mensual'!F278+parametros_recargas!$G$96*'Plan mensual'!F279+parametros_recargas!$H$96*'Plan mensual'!F280+parametros_recargas!$I$96*'Plan mensual'!F281+parametros_recargas!$J$96*'Plan mensual'!F282+parametros_recargas!$K$96*'Plan mensual'!F283+parametros_recargas!$L$96*'Plan mensual'!F284</f>
        <v>1475.74958938165</v>
      </c>
      <c r="E282" s="25" t="n">
        <f aca="false">parametros_recargas!$E$96*'Plan mensual'!G277+parametros_recargas!$F$96*'Plan mensual'!G278+parametros_recargas!$G$96*'Plan mensual'!G279+parametros_recargas!$H$96*'Plan mensual'!G280+parametros_recargas!$I$96*'Plan mensual'!G281+parametros_recargas!$J$96*'Plan mensual'!G282+parametros_recargas!$K$96*'Plan mensual'!G283+parametros_recargas!$L$96*'Plan mensual'!G284</f>
        <v>1482.72535163497</v>
      </c>
      <c r="F282" s="25" t="n">
        <f aca="false">parametros_recargas!$E$96*'Plan mensual'!H277+parametros_recargas!$F$96*'Plan mensual'!H278+parametros_recargas!$G$96*'Plan mensual'!H279+parametros_recargas!$H$96*'Plan mensual'!H280+parametros_recargas!$I$96*'Plan mensual'!H281+parametros_recargas!$J$96*'Plan mensual'!H282+parametros_recargas!$K$96*'Plan mensual'!H283+parametros_recargas!$L$96*'Plan mensual'!H284</f>
        <v>1489.74152142037</v>
      </c>
      <c r="G282" s="25" t="n">
        <f aca="false">parametros_recargas!$E$96*'Plan mensual'!I277+parametros_recargas!$F$96*'Plan mensual'!I278+parametros_recargas!$G$96*'Plan mensual'!I279+parametros_recargas!$H$96*'Plan mensual'!I280+parametros_recargas!$I$96*'Plan mensual'!I281+parametros_recargas!$J$96*'Plan mensual'!I282+parametros_recargas!$K$96*'Plan mensual'!I283+parametros_recargas!$L$96*'Plan mensual'!I284</f>
        <v>1496.79833280098</v>
      </c>
      <c r="H282" s="25" t="n">
        <f aca="false">parametros_recargas!$E$96*'Plan mensual'!J277+parametros_recargas!$F$96*'Plan mensual'!J278+parametros_recargas!$G$96*'Plan mensual'!J279+parametros_recargas!$H$96*'Plan mensual'!J280+parametros_recargas!$I$96*'Plan mensual'!J281+parametros_recargas!$J$96*'Plan mensual'!J282+parametros_recargas!$K$96*'Plan mensual'!J283+parametros_recargas!$L$96*'Plan mensual'!J284</f>
        <v>1503.89602119572</v>
      </c>
      <c r="I282" s="25" t="n">
        <f aca="false">parametros_recargas!$E$96*'Plan mensual'!K277+parametros_recargas!$F$96*'Plan mensual'!K278+parametros_recargas!$G$96*'Plan mensual'!K279+parametros_recargas!$H$96*'Plan mensual'!K280+parametros_recargas!$I$96*'Plan mensual'!K281+parametros_recargas!$J$96*'Plan mensual'!K282+parametros_recargas!$K$96*'Plan mensual'!K283+parametros_recargas!$L$96*'Plan mensual'!K284</f>
        <v>1511.03482338723</v>
      </c>
      <c r="J282" s="25" t="n">
        <f aca="false">parametros_recargas!$E$96*'Plan mensual'!L277+parametros_recargas!$F$96*'Plan mensual'!L278+parametros_recargas!$G$96*'Plan mensual'!L279+parametros_recargas!$H$96*'Plan mensual'!L280+parametros_recargas!$I$96*'Plan mensual'!L281+parametros_recargas!$J$96*'Plan mensual'!L282+parametros_recargas!$K$96*'Plan mensual'!L283+parametros_recargas!$L$96*'Plan mensual'!L284</f>
        <v>1518.2149775297</v>
      </c>
      <c r="K282" s="25" t="n">
        <f aca="false">parametros_recargas!$E$96*'Plan mensual'!M277+parametros_recargas!$F$96*'Plan mensual'!M278+parametros_recargas!$G$96*'Plan mensual'!M279+parametros_recargas!$H$96*'Plan mensual'!M280+parametros_recargas!$I$96*'Plan mensual'!M281+parametros_recargas!$J$96*'Plan mensual'!M282+parametros_recargas!$K$96*'Plan mensual'!M283+parametros_recargas!$L$96*'Plan mensual'!M284</f>
        <v>1525.43672315684</v>
      </c>
      <c r="L282" s="25" t="n">
        <f aca="false">parametros_recargas!$E$96*'Plan mensual'!N277+parametros_recargas!$F$96*'Plan mensual'!N278+parametros_recargas!$G$96*'Plan mensual'!N279+parametros_recargas!$H$96*'Plan mensual'!N280+parametros_recargas!$I$96*'Plan mensual'!N281+parametros_recargas!$J$96*'Plan mensual'!N282+parametros_recargas!$K$96*'Plan mensual'!N283+parametros_recargas!$L$96*'Plan mensual'!N284</f>
        <v>1532.7003011899</v>
      </c>
      <c r="M282" s="25" t="n">
        <f aca="false">parametros_recargas!$E$96*'Plan mensual'!O277+parametros_recargas!$F$96*'Plan mensual'!O278+parametros_recargas!$G$96*'Plan mensual'!O279+parametros_recargas!$H$96*'Plan mensual'!O280+parametros_recargas!$I$96*'Plan mensual'!O281+parametros_recargas!$J$96*'Plan mensual'!O282+parametros_recargas!$K$96*'Plan mensual'!O283+parametros_recargas!$L$96*'Plan mensual'!O284</f>
        <v>1540.00595394566</v>
      </c>
      <c r="N282" s="7" t="n">
        <f aca="false">SUM(B282:M282)</f>
        <v>18007.0359555394</v>
      </c>
      <c r="O282" s="26" t="n">
        <f aca="false">MAX(B282:M282)</f>
        <v>1540.00595394566</v>
      </c>
      <c r="P282" s="15" t="n">
        <f aca="false">O282/parametros_recargas!$B$6</f>
        <v>10.2667063596377</v>
      </c>
    </row>
    <row r="283" customFormat="false" ht="15" hidden="false" customHeight="false" outlineLevel="0" collapsed="false">
      <c r="A283" s="12" t="str">
        <f aca="false">parametros_recargas!$B$97</f>
        <v>Ensayo de pérdidas</v>
      </c>
      <c r="B283" s="25" t="n">
        <f aca="false">parametros_recargas!$E$97*'Plan mensual'!D277+parametros_recargas!$F$97*'Plan mensual'!D278+parametros_recargas!$G$97*'Plan mensual'!D279+parametros_recargas!$H$97*'Plan mensual'!D280+parametros_recargas!$I$97*'Plan mensual'!D281+parametros_recargas!$J$97*'Plan mensual'!D282+parametros_recargas!$K$97*'Plan mensual'!D283+parametros_recargas!$L$97*'Plan mensual'!D284</f>
        <v>23075.6943696417</v>
      </c>
      <c r="C283" s="25" t="n">
        <f aca="false">parametros_recargas!$E$97*'Plan mensual'!E277+parametros_recargas!$F$97*'Plan mensual'!E278+parametros_recargas!$G$97*'Plan mensual'!E279+parametros_recargas!$H$97*'Plan mensual'!E280+parametros_recargas!$I$97*'Plan mensual'!E281+parametros_recargas!$J$97*'Plan mensual'!E282+parametros_recargas!$K$97*'Plan mensual'!E283+parametros_recargas!$L$97*'Plan mensual'!E284</f>
        <v>23194.250886987</v>
      </c>
      <c r="D283" s="25" t="n">
        <f aca="false">parametros_recargas!$E$97*'Plan mensual'!F277+parametros_recargas!$F$97*'Plan mensual'!F278+parametros_recargas!$G$97*'Plan mensual'!F279+parametros_recargas!$H$97*'Plan mensual'!F280+parametros_recargas!$I$97*'Plan mensual'!F281+parametros_recargas!$J$97*'Plan mensual'!F282+parametros_recargas!$K$97*'Plan mensual'!F283+parametros_recargas!$L$97*'Plan mensual'!F284</f>
        <v>23313.494150254</v>
      </c>
      <c r="E283" s="25" t="n">
        <f aca="false">parametros_recargas!$E$97*'Plan mensual'!G277+parametros_recargas!$F$97*'Plan mensual'!G278+parametros_recargas!$G$97*'Plan mensual'!G279+parametros_recargas!$H$97*'Plan mensual'!G280+parametros_recargas!$I$97*'Plan mensual'!G281+parametros_recargas!$J$97*'Plan mensual'!G282+parametros_recargas!$K$97*'Plan mensual'!G283+parametros_recargas!$L$97*'Plan mensual'!G284</f>
        <v>23433.4281374608</v>
      </c>
      <c r="F283" s="25" t="n">
        <f aca="false">parametros_recargas!$E$97*'Plan mensual'!H277+parametros_recargas!$F$97*'Plan mensual'!H278+parametros_recargas!$G$97*'Plan mensual'!H279+parametros_recargas!$H$97*'Plan mensual'!H280+parametros_recargas!$I$97*'Plan mensual'!H281+parametros_recargas!$J$97*'Plan mensual'!H282+parametros_recargas!$K$97*'Plan mensual'!H283+parametros_recargas!$L$97*'Plan mensual'!H284</f>
        <v>23554.0568496682</v>
      </c>
      <c r="G283" s="25" t="n">
        <f aca="false">parametros_recargas!$E$97*'Plan mensual'!I277+parametros_recargas!$F$97*'Plan mensual'!I278+parametros_recargas!$G$97*'Plan mensual'!I279+parametros_recargas!$H$97*'Plan mensual'!I280+parametros_recargas!$I$97*'Plan mensual'!I281+parametros_recargas!$J$97*'Plan mensual'!I282+parametros_recargas!$K$97*'Plan mensual'!I283+parametros_recargas!$L$97*'Plan mensual'!I284</f>
        <v>23675.3843111137</v>
      </c>
      <c r="H283" s="25" t="n">
        <f aca="false">parametros_recargas!$E$97*'Plan mensual'!J277+parametros_recargas!$F$97*'Plan mensual'!J278+parametros_recargas!$G$97*'Plan mensual'!J279+parametros_recargas!$H$97*'Plan mensual'!J280+parametros_recargas!$I$97*'Plan mensual'!J281+parametros_recargas!$J$97*'Plan mensual'!J282+parametros_recargas!$K$97*'Plan mensual'!J283+parametros_recargas!$L$97*'Plan mensual'!J284</f>
        <v>23797.414569345</v>
      </c>
      <c r="I283" s="25" t="n">
        <f aca="false">parametros_recargas!$E$97*'Plan mensual'!K277+parametros_recargas!$F$97*'Plan mensual'!K278+parametros_recargas!$G$97*'Plan mensual'!K279+parametros_recargas!$H$97*'Plan mensual'!K280+parametros_recargas!$I$97*'Plan mensual'!K281+parametros_recargas!$J$97*'Plan mensual'!K282+parametros_recargas!$K$97*'Plan mensual'!K283+parametros_recargas!$L$97*'Plan mensual'!K284</f>
        <v>23920.151695356</v>
      </c>
      <c r="J283" s="25" t="n">
        <f aca="false">parametros_recargas!$E$97*'Plan mensual'!L277+parametros_recargas!$F$97*'Plan mensual'!L278+parametros_recargas!$G$97*'Plan mensual'!L279+parametros_recargas!$H$97*'Plan mensual'!L280+parametros_recargas!$I$97*'Plan mensual'!L281+parametros_recargas!$J$97*'Plan mensual'!L282+parametros_recargas!$K$97*'Plan mensual'!L283+parametros_recargas!$L$97*'Plan mensual'!L284</f>
        <v>24043.5997837216</v>
      </c>
      <c r="K283" s="25" t="n">
        <f aca="false">parametros_recargas!$E$97*'Plan mensual'!M277+parametros_recargas!$F$97*'Plan mensual'!M278+parametros_recargas!$G$97*'Plan mensual'!M279+parametros_recargas!$H$97*'Plan mensual'!M280+parametros_recargas!$I$97*'Plan mensual'!M281+parametros_recargas!$J$97*'Plan mensual'!M282+parametros_recargas!$K$97*'Plan mensual'!M283+parametros_recargas!$L$97*'Plan mensual'!M284</f>
        <v>24167.762952735</v>
      </c>
      <c r="L283" s="25" t="n">
        <f aca="false">parametros_recargas!$E$97*'Plan mensual'!N277+parametros_recargas!$F$97*'Plan mensual'!N278+parametros_recargas!$G$97*'Plan mensual'!N279+parametros_recargas!$H$97*'Plan mensual'!N280+parametros_recargas!$I$97*'Plan mensual'!N281+parametros_recargas!$J$97*'Plan mensual'!N282+parametros_recargas!$K$97*'Plan mensual'!N283+parametros_recargas!$L$97*'Plan mensual'!N284</f>
        <v>24292.645344545</v>
      </c>
      <c r="M283" s="25" t="n">
        <f aca="false">parametros_recargas!$E$97*'Plan mensual'!O277+parametros_recargas!$F$97*'Plan mensual'!O278+parametros_recargas!$G$97*'Plan mensual'!O279+parametros_recargas!$H$97*'Plan mensual'!O280+parametros_recargas!$I$97*'Plan mensual'!O281+parametros_recargas!$J$97*'Plan mensual'!O282+parametros_recargas!$K$97*'Plan mensual'!O283+parametros_recargas!$L$97*'Plan mensual'!O284</f>
        <v>24418.2511252938</v>
      </c>
      <c r="N283" s="7" t="n">
        <f aca="false">SUM(B283:M283)</f>
        <v>284886.134176122</v>
      </c>
      <c r="O283" s="26" t="n">
        <f aca="false">MAX(B283:M283)</f>
        <v>24418.2511252938</v>
      </c>
      <c r="P283" s="15" t="n">
        <f aca="false">O283/parametros_recargas!$B$6</f>
        <v>162.788340835292</v>
      </c>
    </row>
    <row r="284" customFormat="false" ht="15" hidden="false" customHeight="false" outlineLevel="0" collapsed="false">
      <c r="A284" s="12" t="str">
        <f aca="false">parametros_recargas!$B$98</f>
        <v>Precinto, etiqueta y despacho</v>
      </c>
      <c r="B284" s="25" t="n">
        <f aca="false">parametros_recargas!$E$98*'Plan mensual'!D277+parametros_recargas!$F$98*'Plan mensual'!D278+parametros_recargas!$G$98*'Plan mensual'!D279+parametros_recargas!$H$98*'Plan mensual'!D280+parametros_recargas!$I$98*'Plan mensual'!D281+parametros_recargas!$J$98*'Plan mensual'!D282+parametros_recargas!$K$98*'Plan mensual'!D283+parametros_recargas!$L$98*'Plan mensual'!D284</f>
        <v>23075.6943696417</v>
      </c>
      <c r="C284" s="25" t="n">
        <f aca="false">parametros_recargas!$E$98*'Plan mensual'!E277+parametros_recargas!$F$98*'Plan mensual'!E278+parametros_recargas!$G$98*'Plan mensual'!E279+parametros_recargas!$H$98*'Plan mensual'!E280+parametros_recargas!$I$98*'Plan mensual'!E281+parametros_recargas!$J$98*'Plan mensual'!E282+parametros_recargas!$K$98*'Plan mensual'!E283+parametros_recargas!$L$98*'Plan mensual'!E284</f>
        <v>23194.250886987</v>
      </c>
      <c r="D284" s="25" t="n">
        <f aca="false">parametros_recargas!$E$98*'Plan mensual'!F277+parametros_recargas!$F$98*'Plan mensual'!F278+parametros_recargas!$G$98*'Plan mensual'!F279+parametros_recargas!$H$98*'Plan mensual'!F280+parametros_recargas!$I$98*'Plan mensual'!F281+parametros_recargas!$J$98*'Plan mensual'!F282+parametros_recargas!$K$98*'Plan mensual'!F283+parametros_recargas!$L$98*'Plan mensual'!F284</f>
        <v>23313.494150254</v>
      </c>
      <c r="E284" s="25" t="n">
        <f aca="false">parametros_recargas!$E$98*'Plan mensual'!G277+parametros_recargas!$F$98*'Plan mensual'!G278+parametros_recargas!$G$98*'Plan mensual'!G279+parametros_recargas!$H$98*'Plan mensual'!G280+parametros_recargas!$I$98*'Plan mensual'!G281+parametros_recargas!$J$98*'Plan mensual'!G282+parametros_recargas!$K$98*'Plan mensual'!G283+parametros_recargas!$L$98*'Plan mensual'!G284</f>
        <v>23433.4281374608</v>
      </c>
      <c r="F284" s="25" t="n">
        <f aca="false">parametros_recargas!$E$98*'Plan mensual'!H277+parametros_recargas!$F$98*'Plan mensual'!H278+parametros_recargas!$G$98*'Plan mensual'!H279+parametros_recargas!$H$98*'Plan mensual'!H280+parametros_recargas!$I$98*'Plan mensual'!H281+parametros_recargas!$J$98*'Plan mensual'!H282+parametros_recargas!$K$98*'Plan mensual'!H283+parametros_recargas!$L$98*'Plan mensual'!H284</f>
        <v>23554.0568496682</v>
      </c>
      <c r="G284" s="25" t="n">
        <f aca="false">parametros_recargas!$E$98*'Plan mensual'!I277+parametros_recargas!$F$98*'Plan mensual'!I278+parametros_recargas!$G$98*'Plan mensual'!I279+parametros_recargas!$H$98*'Plan mensual'!I280+parametros_recargas!$I$98*'Plan mensual'!I281+parametros_recargas!$J$98*'Plan mensual'!I282+parametros_recargas!$K$98*'Plan mensual'!I283+parametros_recargas!$L$98*'Plan mensual'!I284</f>
        <v>23675.3843111137</v>
      </c>
      <c r="H284" s="25" t="n">
        <f aca="false">parametros_recargas!$E$98*'Plan mensual'!J277+parametros_recargas!$F$98*'Plan mensual'!J278+parametros_recargas!$G$98*'Plan mensual'!J279+parametros_recargas!$H$98*'Plan mensual'!J280+parametros_recargas!$I$98*'Plan mensual'!J281+parametros_recargas!$J$98*'Plan mensual'!J282+parametros_recargas!$K$98*'Plan mensual'!J283+parametros_recargas!$L$98*'Plan mensual'!J284</f>
        <v>23797.414569345</v>
      </c>
      <c r="I284" s="25" t="n">
        <f aca="false">parametros_recargas!$E$98*'Plan mensual'!K277+parametros_recargas!$F$98*'Plan mensual'!K278+parametros_recargas!$G$98*'Plan mensual'!K279+parametros_recargas!$H$98*'Plan mensual'!K280+parametros_recargas!$I$98*'Plan mensual'!K281+parametros_recargas!$J$98*'Plan mensual'!K282+parametros_recargas!$K$98*'Plan mensual'!K283+parametros_recargas!$L$98*'Plan mensual'!K284</f>
        <v>23920.151695356</v>
      </c>
      <c r="J284" s="25" t="n">
        <f aca="false">parametros_recargas!$E$98*'Plan mensual'!L277+parametros_recargas!$F$98*'Plan mensual'!L278+parametros_recargas!$G$98*'Plan mensual'!L279+parametros_recargas!$H$98*'Plan mensual'!L280+parametros_recargas!$I$98*'Plan mensual'!L281+parametros_recargas!$J$98*'Plan mensual'!L282+parametros_recargas!$K$98*'Plan mensual'!L283+parametros_recargas!$L$98*'Plan mensual'!L284</f>
        <v>24043.5997837216</v>
      </c>
      <c r="K284" s="25" t="n">
        <f aca="false">parametros_recargas!$E$98*'Plan mensual'!M277+parametros_recargas!$F$98*'Plan mensual'!M278+parametros_recargas!$G$98*'Plan mensual'!M279+parametros_recargas!$H$98*'Plan mensual'!M280+parametros_recargas!$I$98*'Plan mensual'!M281+parametros_recargas!$J$98*'Plan mensual'!M282+parametros_recargas!$K$98*'Plan mensual'!M283+parametros_recargas!$L$98*'Plan mensual'!M284</f>
        <v>24167.762952735</v>
      </c>
      <c r="L284" s="25" t="n">
        <f aca="false">parametros_recargas!$E$98*'Plan mensual'!N277+parametros_recargas!$F$98*'Plan mensual'!N278+parametros_recargas!$G$98*'Plan mensual'!N279+parametros_recargas!$H$98*'Plan mensual'!N280+parametros_recargas!$I$98*'Plan mensual'!N281+parametros_recargas!$J$98*'Plan mensual'!N282+parametros_recargas!$K$98*'Plan mensual'!N283+parametros_recargas!$L$98*'Plan mensual'!N284</f>
        <v>24292.645344545</v>
      </c>
      <c r="M284" s="25" t="n">
        <f aca="false">parametros_recargas!$E$98*'Plan mensual'!O277+parametros_recargas!$F$98*'Plan mensual'!O278+parametros_recargas!$G$98*'Plan mensual'!O279+parametros_recargas!$H$98*'Plan mensual'!O280+parametros_recargas!$I$98*'Plan mensual'!O281+parametros_recargas!$J$98*'Plan mensual'!O282+parametros_recargas!$K$98*'Plan mensual'!O283+parametros_recargas!$L$98*'Plan mensual'!O284</f>
        <v>24418.2511252938</v>
      </c>
      <c r="N284" s="7" t="n">
        <f aca="false">SUM(B284:M284)</f>
        <v>284886.134176122</v>
      </c>
      <c r="O284" s="26" t="n">
        <f aca="false">MAX(B284:M284)</f>
        <v>24418.2511252938</v>
      </c>
      <c r="P284" s="15" t="n">
        <f aca="false">O284/parametros_recargas!$B$6</f>
        <v>162.788340835292</v>
      </c>
    </row>
    <row r="285" customFormat="false" ht="15" hidden="false" customHeight="false" outlineLevel="0" collapsed="false">
      <c r="A285" s="12" t="str">
        <f aca="false">parametros_recargas!$B$99</f>
        <v>Inutilización y disposición final</v>
      </c>
      <c r="B285" s="25" t="n">
        <f aca="false">parametros_recargas!$E$99*'Plan mensual'!D277+parametros_recargas!$F$99*'Plan mensual'!D278+parametros_recargas!$G$99*'Plan mensual'!D279+parametros_recargas!$H$99*'Plan mensual'!D280+parametros_recargas!$I$99*'Plan mensual'!D281+parametros_recargas!$J$99*'Plan mensual'!D282+parametros_recargas!$K$99*'Plan mensual'!D283+parametros_recargas!$L$99*'Plan mensual'!D284</f>
        <v>1812.72227498397</v>
      </c>
      <c r="C285" s="25" t="n">
        <f aca="false">parametros_recargas!$E$99*'Plan mensual'!E277+parametros_recargas!$F$99*'Plan mensual'!E278+parametros_recargas!$G$99*'Plan mensual'!E279+parametros_recargas!$H$99*'Plan mensual'!E280+parametros_recargas!$I$99*'Plan mensual'!E281+parametros_recargas!$J$99*'Plan mensual'!E282+parametros_recargas!$K$99*'Plan mensual'!E283+parametros_recargas!$L$99*'Plan mensual'!E284</f>
        <v>1822.04957693764</v>
      </c>
      <c r="D285" s="25" t="n">
        <f aca="false">parametros_recargas!$E$99*'Plan mensual'!F277+parametros_recargas!$F$99*'Plan mensual'!F278+parametros_recargas!$G$99*'Plan mensual'!F279+parametros_recargas!$H$99*'Plan mensual'!F280+parametros_recargas!$I$99*'Plan mensual'!F281+parametros_recargas!$J$99*'Plan mensual'!F282+parametros_recargas!$K$99*'Plan mensual'!F283+parametros_recargas!$L$99*'Plan mensual'!F284</f>
        <v>1831.4309078618</v>
      </c>
      <c r="E285" s="25" t="n">
        <f aca="false">parametros_recargas!$E$99*'Plan mensual'!G277+parametros_recargas!$F$99*'Plan mensual'!G278+parametros_recargas!$G$99*'Plan mensual'!G279+parametros_recargas!$H$99*'Plan mensual'!G280+parametros_recargas!$I$99*'Plan mensual'!G281+parametros_recargas!$J$99*'Plan mensual'!G282+parametros_recargas!$K$99*'Plan mensual'!G283+parametros_recargas!$L$99*'Plan mensual'!G284</f>
        <v>1840.8665807226</v>
      </c>
      <c r="F285" s="25" t="n">
        <f aca="false">parametros_recargas!$E$99*'Plan mensual'!H277+parametros_recargas!$F$99*'Plan mensual'!H278+parametros_recargas!$G$99*'Plan mensual'!H279+parametros_recargas!$H$99*'Plan mensual'!H280+parametros_recargas!$I$99*'Plan mensual'!H281+parametros_recargas!$J$99*'Plan mensual'!H282+parametros_recargas!$K$99*'Plan mensual'!H283+parametros_recargas!$L$99*'Plan mensual'!H284</f>
        <v>1850.35691029903</v>
      </c>
      <c r="G285" s="25" t="n">
        <f aca="false">parametros_recargas!$E$99*'Plan mensual'!I277+parametros_recargas!$F$99*'Plan mensual'!I278+parametros_recargas!$G$99*'Plan mensual'!I279+parametros_recargas!$H$99*'Plan mensual'!I280+parametros_recargas!$I$99*'Plan mensual'!I281+parametros_recargas!$J$99*'Plan mensual'!I282+parametros_recargas!$K$99*'Plan mensual'!I283+parametros_recargas!$L$99*'Plan mensual'!I284</f>
        <v>1859.90221319349</v>
      </c>
      <c r="H285" s="25" t="n">
        <f aca="false">parametros_recargas!$E$99*'Plan mensual'!J277+parametros_recargas!$F$99*'Plan mensual'!J278+parametros_recargas!$G$99*'Plan mensual'!J279+parametros_recargas!$H$99*'Plan mensual'!J280+parametros_recargas!$I$99*'Plan mensual'!J281+parametros_recargas!$J$99*'Plan mensual'!J282+parametros_recargas!$K$99*'Plan mensual'!J283+parametros_recargas!$L$99*'Plan mensual'!J284</f>
        <v>1869.50280784231</v>
      </c>
      <c r="I285" s="25" t="n">
        <f aca="false">parametros_recargas!$E$99*'Plan mensual'!K277+parametros_recargas!$F$99*'Plan mensual'!K278+parametros_recargas!$G$99*'Plan mensual'!K279+parametros_recargas!$H$99*'Plan mensual'!K280+parametros_recargas!$I$99*'Plan mensual'!K281+parametros_recargas!$J$99*'Plan mensual'!K282+parametros_recargas!$K$99*'Plan mensual'!K283+parametros_recargas!$L$99*'Plan mensual'!K284</f>
        <v>1879.15901452638</v>
      </c>
      <c r="J285" s="25" t="n">
        <f aca="false">parametros_recargas!$E$99*'Plan mensual'!L277+parametros_recargas!$F$99*'Plan mensual'!L278+parametros_recargas!$G$99*'Plan mensual'!L279+parametros_recargas!$H$99*'Plan mensual'!L280+parametros_recargas!$I$99*'Plan mensual'!L281+parametros_recargas!$J$99*'Plan mensual'!L282+parametros_recargas!$K$99*'Plan mensual'!L283+parametros_recargas!$L$99*'Plan mensual'!L284</f>
        <v>1888.87115538183</v>
      </c>
      <c r="K285" s="25" t="n">
        <f aca="false">parametros_recargas!$E$99*'Plan mensual'!M277+parametros_recargas!$F$99*'Plan mensual'!M278+parametros_recargas!$G$99*'Plan mensual'!M279+parametros_recargas!$H$99*'Plan mensual'!M280+parametros_recargas!$I$99*'Plan mensual'!M281+parametros_recargas!$J$99*'Plan mensual'!M282+parametros_recargas!$K$99*'Plan mensual'!M283+parametros_recargas!$L$99*'Plan mensual'!M284</f>
        <v>1898.63955441079</v>
      </c>
      <c r="L285" s="25" t="n">
        <f aca="false">parametros_recargas!$E$99*'Plan mensual'!N277+parametros_recargas!$F$99*'Plan mensual'!N278+parametros_recargas!$G$99*'Plan mensual'!N279+parametros_recargas!$H$99*'Plan mensual'!N280+parametros_recargas!$I$99*'Plan mensual'!N281+parametros_recargas!$J$99*'Plan mensual'!N282+parametros_recargas!$K$99*'Plan mensual'!N283+parametros_recargas!$L$99*'Plan mensual'!N284</f>
        <v>1908.46453749219</v>
      </c>
      <c r="M285" s="25" t="n">
        <f aca="false">parametros_recargas!$E$99*'Plan mensual'!O277+parametros_recargas!$F$99*'Plan mensual'!O278+parametros_recargas!$G$99*'Plan mensual'!O279+parametros_recargas!$H$99*'Plan mensual'!O280+parametros_recargas!$I$99*'Plan mensual'!O281+parametros_recargas!$J$99*'Plan mensual'!O282+parametros_recargas!$K$99*'Plan mensual'!O283+parametros_recargas!$L$99*'Plan mensual'!O284</f>
        <v>1918.34643239264</v>
      </c>
      <c r="N285" s="7" t="n">
        <f aca="false">SUM(B285:M285)</f>
        <v>22380.3119660447</v>
      </c>
      <c r="O285" s="26" t="n">
        <f aca="false">MAX(B285:M285)</f>
        <v>1918.34643239264</v>
      </c>
      <c r="P285" s="15" t="n">
        <f aca="false">O285/parametros_recargas!$B$6</f>
        <v>12.788976215951</v>
      </c>
    </row>
    <row r="286" customFormat="false" ht="15" hidden="false" customHeight="false" outlineLevel="0" collapsed="false">
      <c r="A286" s="12" t="str">
        <f aca="false">parametros_recargas!$B$100</f>
        <v>PH de mangueras (CO₂ y rodantes)</v>
      </c>
      <c r="B286" s="25" t="n">
        <f aca="false">'Plan mensual'!D285</f>
        <v>1121.46811262705</v>
      </c>
      <c r="C286" s="25" t="n">
        <f aca="false">'Plan mensual'!E285</f>
        <v>1125.40155991113</v>
      </c>
      <c r="D286" s="25" t="n">
        <f aca="false">'Plan mensual'!F285</f>
        <v>1129.35779193063</v>
      </c>
      <c r="E286" s="25" t="n">
        <f aca="false">'Plan mensual'!G285</f>
        <v>1133.33694066754</v>
      </c>
      <c r="F286" s="25" t="n">
        <f aca="false">'Plan mensual'!H285</f>
        <v>1137.33913886835</v>
      </c>
      <c r="G286" s="25" t="n">
        <f aca="false">'Plan mensual'!I285</f>
        <v>1141.3645200485</v>
      </c>
      <c r="H286" s="25" t="n">
        <f aca="false">'Plan mensual'!J285</f>
        <v>1145.41321849683</v>
      </c>
      <c r="I286" s="25" t="n">
        <f aca="false">'Plan mensual'!K285</f>
        <v>1149.48536928004</v>
      </c>
      <c r="J286" s="25" t="n">
        <f aca="false">'Plan mensual'!L285</f>
        <v>1153.58110824724</v>
      </c>
      <c r="K286" s="25" t="n">
        <f aca="false">'Plan mensual'!M285</f>
        <v>1157.70057203442</v>
      </c>
      <c r="L286" s="25" t="n">
        <f aca="false">'Plan mensual'!N285</f>
        <v>1161.84389806906</v>
      </c>
      <c r="M286" s="25" t="n">
        <f aca="false">'Plan mensual'!O285</f>
        <v>1166.01122457471</v>
      </c>
      <c r="N286" s="7" t="n">
        <f aca="false">SUM(B286:M286)</f>
        <v>13722.3034547555</v>
      </c>
      <c r="O286" s="26" t="n">
        <f aca="false">MAX(B286:M286)</f>
        <v>1166.01122457471</v>
      </c>
      <c r="P286" s="15" t="n">
        <f aca="false">O286/parametros_recargas!$B$6</f>
        <v>7.7734081638314</v>
      </c>
    </row>
    <row r="289" customFormat="false" ht="23.85" hidden="false" customHeight="false" outlineLevel="0" collapsed="false">
      <c r="A289" s="3" t="s">
        <v>288</v>
      </c>
      <c r="B289" s="3" t="s">
        <v>124</v>
      </c>
      <c r="C289" s="3" t="s">
        <v>125</v>
      </c>
      <c r="D289" s="3" t="s">
        <v>126</v>
      </c>
      <c r="E289" s="3" t="s">
        <v>127</v>
      </c>
      <c r="F289" s="3" t="s">
        <v>128</v>
      </c>
      <c r="G289" s="3" t="s">
        <v>129</v>
      </c>
      <c r="H289" s="3" t="s">
        <v>130</v>
      </c>
      <c r="I289" s="3" t="s">
        <v>131</v>
      </c>
      <c r="J289" s="3" t="s">
        <v>132</v>
      </c>
      <c r="K289" s="3" t="s">
        <v>133</v>
      </c>
      <c r="L289" s="3" t="s">
        <v>134</v>
      </c>
      <c r="M289" s="3" t="s">
        <v>135</v>
      </c>
      <c r="N289" s="3" t="s">
        <v>277</v>
      </c>
      <c r="O289" s="3" t="s">
        <v>278</v>
      </c>
      <c r="P289" s="3" t="s">
        <v>279</v>
      </c>
    </row>
    <row r="290" customFormat="false" ht="15" hidden="false" customHeight="false" outlineLevel="0" collapsed="false">
      <c r="A290" s="12" t="str">
        <f aca="false">parametros_recargas!$B$72</f>
        <v>Recepción y registro</v>
      </c>
      <c r="B290" s="25" t="n">
        <f aca="false">parametros_recargas!$E$72*'Plan mensual'!D309+parametros_recargas!$F$72*'Plan mensual'!D310+parametros_recargas!$G$72*'Plan mensual'!D311+parametros_recargas!$H$72*'Plan mensual'!D312+parametros_recargas!$I$72*'Plan mensual'!D313+parametros_recargas!$J$72*'Plan mensual'!D314+parametros_recargas!$K$72*'Plan mensual'!D315+parametros_recargas!$L$72*'Plan mensual'!D316</f>
        <v>25086.066237832</v>
      </c>
      <c r="C290" s="25" t="n">
        <f aca="false">parametros_recargas!$E$72*'Plan mensual'!E309+parametros_recargas!$F$72*'Plan mensual'!E310+parametros_recargas!$G$72*'Plan mensual'!E311+parametros_recargas!$H$72*'Plan mensual'!E312+parametros_recargas!$I$72*'Plan mensual'!E313+parametros_recargas!$J$72*'Plan mensual'!E314+parametros_recargas!$K$72*'Plan mensual'!E315+parametros_recargas!$L$72*'Plan mensual'!E316</f>
        <v>25213.1559042428</v>
      </c>
      <c r="D290" s="25" t="n">
        <f aca="false">parametros_recargas!$E$72*'Plan mensual'!F309+parametros_recargas!$F$72*'Plan mensual'!F310+parametros_recargas!$G$72*'Plan mensual'!F311+parametros_recargas!$H$72*'Plan mensual'!F312+parametros_recargas!$I$72*'Plan mensual'!F313+parametros_recargas!$J$72*'Plan mensual'!F314+parametros_recargas!$K$72*'Plan mensual'!F315+parametros_recargas!$L$72*'Plan mensual'!F316</f>
        <v>25340.9817453664</v>
      </c>
      <c r="E290" s="25" t="n">
        <f aca="false">parametros_recargas!$E$72*'Plan mensual'!G309+parametros_recargas!$F$72*'Plan mensual'!G310+parametros_recargas!$G$72*'Plan mensual'!G311+parametros_recargas!$H$72*'Plan mensual'!G312+parametros_recargas!$I$72*'Plan mensual'!G313+parametros_recargas!$J$72*'Plan mensual'!G314+parametros_recargas!$K$72*'Plan mensual'!G315+parametros_recargas!$L$72*'Plan mensual'!G316</f>
        <v>25469.5480255401</v>
      </c>
      <c r="F290" s="25" t="n">
        <f aca="false">parametros_recargas!$E$72*'Plan mensual'!H309+parametros_recargas!$F$72*'Plan mensual'!H310+parametros_recargas!$G$72*'Plan mensual'!H311+parametros_recargas!$H$72*'Plan mensual'!H312+parametros_recargas!$I$72*'Plan mensual'!H313+parametros_recargas!$J$72*'Plan mensual'!H314+parametros_recargas!$K$72*'Plan mensual'!H315+parametros_recargas!$L$72*'Plan mensual'!H316</f>
        <v>25598.8590338026</v>
      </c>
      <c r="G290" s="25" t="n">
        <f aca="false">parametros_recargas!$E$72*'Plan mensual'!I309+parametros_recargas!$F$72*'Plan mensual'!I310+parametros_recargas!$G$72*'Plan mensual'!I311+parametros_recargas!$H$72*'Plan mensual'!I312+parametros_recargas!$I$72*'Plan mensual'!I313+parametros_recargas!$J$72*'Plan mensual'!I314+parametros_recargas!$K$72*'Plan mensual'!I315+parametros_recargas!$L$72*'Plan mensual'!I316</f>
        <v>25728.9190840372</v>
      </c>
      <c r="H290" s="25" t="n">
        <f aca="false">parametros_recargas!$E$72*'Plan mensual'!J309+parametros_recargas!$F$72*'Plan mensual'!J310+parametros_recargas!$G$72*'Plan mensual'!J311+parametros_recargas!$H$72*'Plan mensual'!J312+parametros_recargas!$I$72*'Plan mensual'!J313+parametros_recargas!$J$72*'Plan mensual'!J314+parametros_recargas!$K$72*'Plan mensual'!J315+parametros_recargas!$L$72*'Plan mensual'!J316</f>
        <v>25859.7325151157</v>
      </c>
      <c r="I290" s="25" t="n">
        <f aca="false">parametros_recargas!$E$72*'Plan mensual'!K309+parametros_recargas!$F$72*'Plan mensual'!K310+parametros_recargas!$G$72*'Plan mensual'!K311+parametros_recargas!$H$72*'Plan mensual'!K312+parametros_recargas!$I$72*'Plan mensual'!K313+parametros_recargas!$J$72*'Plan mensual'!K314+parametros_recargas!$K$72*'Plan mensual'!K315+parametros_recargas!$L$72*'Plan mensual'!K316</f>
        <v>25991.3036910429</v>
      </c>
      <c r="J290" s="25" t="n">
        <f aca="false">parametros_recargas!$E$72*'Plan mensual'!L309+parametros_recargas!$F$72*'Plan mensual'!L310+parametros_recargas!$G$72*'Plan mensual'!L311+parametros_recargas!$H$72*'Plan mensual'!L312+parametros_recargas!$I$72*'Plan mensual'!L313+parametros_recargas!$J$72*'Plan mensual'!L314+parametros_recargas!$K$72*'Plan mensual'!L315+parametros_recargas!$L$72*'Plan mensual'!L316</f>
        <v>26123.6370011025</v>
      </c>
      <c r="K290" s="25" t="n">
        <f aca="false">parametros_recargas!$E$72*'Plan mensual'!M309+parametros_recargas!$F$72*'Plan mensual'!M310+parametros_recargas!$G$72*'Plan mensual'!M311+parametros_recargas!$H$72*'Plan mensual'!M312+parametros_recargas!$I$72*'Plan mensual'!M313+parametros_recargas!$J$72*'Plan mensual'!M314+parametros_recargas!$K$72*'Plan mensual'!M315+parametros_recargas!$L$72*'Plan mensual'!M316</f>
        <v>26256.7368600033</v>
      </c>
      <c r="L290" s="25" t="n">
        <f aca="false">parametros_recargas!$E$72*'Plan mensual'!N309+parametros_recargas!$F$72*'Plan mensual'!N310+parametros_recargas!$G$72*'Plan mensual'!N311+parametros_recargas!$H$72*'Plan mensual'!N312+parametros_recargas!$I$72*'Plan mensual'!N313+parametros_recargas!$J$72*'Plan mensual'!N314+parametros_recargas!$K$72*'Plan mensual'!N315+parametros_recargas!$L$72*'Plan mensual'!N316</f>
        <v>26390.6077080267</v>
      </c>
      <c r="M290" s="25" t="n">
        <f aca="false">parametros_recargas!$E$72*'Plan mensual'!O309+parametros_recargas!$F$72*'Plan mensual'!O310+parametros_recargas!$G$72*'Plan mensual'!O311+parametros_recargas!$H$72*'Plan mensual'!O312+parametros_recargas!$I$72*'Plan mensual'!O313+parametros_recargas!$J$72*'Plan mensual'!O314+parametros_recargas!$K$72*'Plan mensual'!O315+parametros_recargas!$L$72*'Plan mensual'!O316</f>
        <v>26525.2540111746</v>
      </c>
      <c r="N290" s="7" t="n">
        <f aca="false">SUM(B290:M290)</f>
        <v>309584.801817287</v>
      </c>
      <c r="O290" s="26" t="n">
        <f aca="false">MAX(B290:M290)</f>
        <v>26525.2540111746</v>
      </c>
      <c r="P290" s="15" t="n">
        <f aca="false">O290/parametros_recargas!$B$6</f>
        <v>176.835026741164</v>
      </c>
    </row>
    <row r="291" customFormat="false" ht="15" hidden="false" customHeight="false" outlineLevel="0" collapsed="false">
      <c r="A291" s="12" t="str">
        <f aca="false">parametros_recargas!$B$73</f>
        <v>Inspección visual</v>
      </c>
      <c r="B291" s="25" t="n">
        <f aca="false">parametros_recargas!$E$73*'Plan mensual'!D309+parametros_recargas!$F$73*'Plan mensual'!D310+parametros_recargas!$G$73*'Plan mensual'!D311+parametros_recargas!$H$73*'Plan mensual'!D312+parametros_recargas!$I$73*'Plan mensual'!D313+parametros_recargas!$J$73*'Plan mensual'!D314+parametros_recargas!$K$73*'Plan mensual'!D315+parametros_recargas!$L$73*'Plan mensual'!D316</f>
        <v>25086.066237832</v>
      </c>
      <c r="C291" s="25" t="n">
        <f aca="false">parametros_recargas!$E$73*'Plan mensual'!E309+parametros_recargas!$F$73*'Plan mensual'!E310+parametros_recargas!$G$73*'Plan mensual'!E311+parametros_recargas!$H$73*'Plan mensual'!E312+parametros_recargas!$I$73*'Plan mensual'!E313+parametros_recargas!$J$73*'Plan mensual'!E314+parametros_recargas!$K$73*'Plan mensual'!E315+parametros_recargas!$L$73*'Plan mensual'!E316</f>
        <v>25213.1559042428</v>
      </c>
      <c r="D291" s="25" t="n">
        <f aca="false">parametros_recargas!$E$73*'Plan mensual'!F309+parametros_recargas!$F$73*'Plan mensual'!F310+parametros_recargas!$G$73*'Plan mensual'!F311+parametros_recargas!$H$73*'Plan mensual'!F312+parametros_recargas!$I$73*'Plan mensual'!F313+parametros_recargas!$J$73*'Plan mensual'!F314+parametros_recargas!$K$73*'Plan mensual'!F315+parametros_recargas!$L$73*'Plan mensual'!F316</f>
        <v>25340.9817453664</v>
      </c>
      <c r="E291" s="25" t="n">
        <f aca="false">parametros_recargas!$E$73*'Plan mensual'!G309+parametros_recargas!$F$73*'Plan mensual'!G310+parametros_recargas!$G$73*'Plan mensual'!G311+parametros_recargas!$H$73*'Plan mensual'!G312+parametros_recargas!$I$73*'Plan mensual'!G313+parametros_recargas!$J$73*'Plan mensual'!G314+parametros_recargas!$K$73*'Plan mensual'!G315+parametros_recargas!$L$73*'Plan mensual'!G316</f>
        <v>25469.5480255401</v>
      </c>
      <c r="F291" s="25" t="n">
        <f aca="false">parametros_recargas!$E$73*'Plan mensual'!H309+parametros_recargas!$F$73*'Plan mensual'!H310+parametros_recargas!$G$73*'Plan mensual'!H311+parametros_recargas!$H$73*'Plan mensual'!H312+parametros_recargas!$I$73*'Plan mensual'!H313+parametros_recargas!$J$73*'Plan mensual'!H314+parametros_recargas!$K$73*'Plan mensual'!H315+parametros_recargas!$L$73*'Plan mensual'!H316</f>
        <v>25598.8590338026</v>
      </c>
      <c r="G291" s="25" t="n">
        <f aca="false">parametros_recargas!$E$73*'Plan mensual'!I309+parametros_recargas!$F$73*'Plan mensual'!I310+parametros_recargas!$G$73*'Plan mensual'!I311+parametros_recargas!$H$73*'Plan mensual'!I312+parametros_recargas!$I$73*'Plan mensual'!I313+parametros_recargas!$J$73*'Plan mensual'!I314+parametros_recargas!$K$73*'Plan mensual'!I315+parametros_recargas!$L$73*'Plan mensual'!I316</f>
        <v>25728.9190840372</v>
      </c>
      <c r="H291" s="25" t="n">
        <f aca="false">parametros_recargas!$E$73*'Plan mensual'!J309+parametros_recargas!$F$73*'Plan mensual'!J310+parametros_recargas!$G$73*'Plan mensual'!J311+parametros_recargas!$H$73*'Plan mensual'!J312+parametros_recargas!$I$73*'Plan mensual'!J313+parametros_recargas!$J$73*'Plan mensual'!J314+parametros_recargas!$K$73*'Plan mensual'!J315+parametros_recargas!$L$73*'Plan mensual'!J316</f>
        <v>25859.7325151157</v>
      </c>
      <c r="I291" s="25" t="n">
        <f aca="false">parametros_recargas!$E$73*'Plan mensual'!K309+parametros_recargas!$F$73*'Plan mensual'!K310+parametros_recargas!$G$73*'Plan mensual'!K311+parametros_recargas!$H$73*'Plan mensual'!K312+parametros_recargas!$I$73*'Plan mensual'!K313+parametros_recargas!$J$73*'Plan mensual'!K314+parametros_recargas!$K$73*'Plan mensual'!K315+parametros_recargas!$L$73*'Plan mensual'!K316</f>
        <v>25991.3036910429</v>
      </c>
      <c r="J291" s="25" t="n">
        <f aca="false">parametros_recargas!$E$73*'Plan mensual'!L309+parametros_recargas!$F$73*'Plan mensual'!L310+parametros_recargas!$G$73*'Plan mensual'!L311+parametros_recargas!$H$73*'Plan mensual'!L312+parametros_recargas!$I$73*'Plan mensual'!L313+parametros_recargas!$J$73*'Plan mensual'!L314+parametros_recargas!$K$73*'Plan mensual'!L315+parametros_recargas!$L$73*'Plan mensual'!L316</f>
        <v>26123.6370011025</v>
      </c>
      <c r="K291" s="25" t="n">
        <f aca="false">parametros_recargas!$E$73*'Plan mensual'!M309+parametros_recargas!$F$73*'Plan mensual'!M310+parametros_recargas!$G$73*'Plan mensual'!M311+parametros_recargas!$H$73*'Plan mensual'!M312+parametros_recargas!$I$73*'Plan mensual'!M313+parametros_recargas!$J$73*'Plan mensual'!M314+parametros_recargas!$K$73*'Plan mensual'!M315+parametros_recargas!$L$73*'Plan mensual'!M316</f>
        <v>26256.7368600033</v>
      </c>
      <c r="L291" s="25" t="n">
        <f aca="false">parametros_recargas!$E$73*'Plan mensual'!N309+parametros_recargas!$F$73*'Plan mensual'!N310+parametros_recargas!$G$73*'Plan mensual'!N311+parametros_recargas!$H$73*'Plan mensual'!N312+parametros_recargas!$I$73*'Plan mensual'!N313+parametros_recargas!$J$73*'Plan mensual'!N314+parametros_recargas!$K$73*'Plan mensual'!N315+parametros_recargas!$L$73*'Plan mensual'!N316</f>
        <v>26390.6077080267</v>
      </c>
      <c r="M291" s="25" t="n">
        <f aca="false">parametros_recargas!$E$73*'Plan mensual'!O309+parametros_recargas!$F$73*'Plan mensual'!O310+parametros_recargas!$G$73*'Plan mensual'!O311+parametros_recargas!$H$73*'Plan mensual'!O312+parametros_recargas!$I$73*'Plan mensual'!O313+parametros_recargas!$J$73*'Plan mensual'!O314+parametros_recargas!$K$73*'Plan mensual'!O315+parametros_recargas!$L$73*'Plan mensual'!O316</f>
        <v>26525.2540111746</v>
      </c>
      <c r="N291" s="7" t="n">
        <f aca="false">SUM(B291:M291)</f>
        <v>309584.801817287</v>
      </c>
      <c r="O291" s="26" t="n">
        <f aca="false">MAX(B291:M291)</f>
        <v>26525.2540111746</v>
      </c>
      <c r="P291" s="15" t="n">
        <f aca="false">O291/parametros_recargas!$B$6</f>
        <v>176.835026741164</v>
      </c>
    </row>
    <row r="292" customFormat="false" ht="15" hidden="false" customHeight="false" outlineLevel="0" collapsed="false">
      <c r="A292" s="12" t="str">
        <f aca="false">parametros_recargas!$B$74</f>
        <v>Descarga ABC — ruta recuperable</v>
      </c>
      <c r="B292" s="25" t="n">
        <f aca="false">parametros_recargas!$E$74*'Plan mensual'!D309+parametros_recargas!$F$74*'Plan mensual'!D310+parametros_recargas!$G$74*'Plan mensual'!D311+parametros_recargas!$H$74*'Plan mensual'!D312+parametros_recargas!$I$74*'Plan mensual'!D313+parametros_recargas!$J$74*'Plan mensual'!D314+parametros_recargas!$K$74*'Plan mensual'!D315+parametros_recargas!$L$74*'Plan mensual'!D316</f>
        <v>18286.2286885</v>
      </c>
      <c r="C292" s="25" t="n">
        <f aca="false">parametros_recargas!$E$74*'Plan mensual'!E309+parametros_recargas!$F$74*'Plan mensual'!E310+parametros_recargas!$G$74*'Plan mensual'!E311+parametros_recargas!$H$74*'Plan mensual'!E312+parametros_recargas!$I$74*'Plan mensual'!E313+parametros_recargas!$J$74*'Plan mensual'!E314+parametros_recargas!$K$74*'Plan mensual'!E315+parametros_recargas!$L$74*'Plan mensual'!E316</f>
        <v>18380.2740115673</v>
      </c>
      <c r="D292" s="25" t="n">
        <f aca="false">parametros_recargas!$E$74*'Plan mensual'!F309+parametros_recargas!$F$74*'Plan mensual'!F310+parametros_recargas!$G$74*'Plan mensual'!F311+parametros_recargas!$H$74*'Plan mensual'!F312+parametros_recargas!$I$74*'Plan mensual'!F313+parametros_recargas!$J$74*'Plan mensual'!F314+parametros_recargas!$K$74*'Plan mensual'!F315+parametros_recargas!$L$74*'Plan mensual'!F316</f>
        <v>18474.8640979553</v>
      </c>
      <c r="E292" s="25" t="n">
        <f aca="false">parametros_recargas!$E$74*'Plan mensual'!G309+parametros_recargas!$F$74*'Plan mensual'!G310+parametros_recargas!$G$74*'Plan mensual'!G311+parametros_recargas!$H$74*'Plan mensual'!G312+parametros_recargas!$I$74*'Plan mensual'!G313+parametros_recargas!$J$74*'Plan mensual'!G314+parametros_recargas!$K$74*'Plan mensual'!G315+parametros_recargas!$L$74*'Plan mensual'!G316</f>
        <v>18570.002103239</v>
      </c>
      <c r="F292" s="25" t="n">
        <f aca="false">parametros_recargas!$E$74*'Plan mensual'!H309+parametros_recargas!$F$74*'Plan mensual'!H310+parametros_recargas!$G$74*'Plan mensual'!H311+parametros_recargas!$H$74*'Plan mensual'!H312+parametros_recargas!$I$74*'Plan mensual'!H313+parametros_recargas!$J$74*'Plan mensual'!H314+parametros_recargas!$K$74*'Plan mensual'!H315+parametros_recargas!$L$74*'Plan mensual'!H316</f>
        <v>18665.6912012723</v>
      </c>
      <c r="G292" s="25" t="n">
        <f aca="false">parametros_recargas!$E$74*'Plan mensual'!I309+parametros_recargas!$F$74*'Plan mensual'!I310+parametros_recargas!$G$74*'Plan mensual'!I311+parametros_recargas!$H$74*'Plan mensual'!I312+parametros_recargas!$I$74*'Plan mensual'!I313+parametros_recargas!$J$74*'Plan mensual'!I314+parametros_recargas!$K$74*'Plan mensual'!I315+parametros_recargas!$L$74*'Plan mensual'!I316</f>
        <v>18761.9345842939</v>
      </c>
      <c r="H292" s="25" t="n">
        <f aca="false">parametros_recargas!$E$74*'Plan mensual'!J309+parametros_recargas!$F$74*'Plan mensual'!J310+parametros_recargas!$G$74*'Plan mensual'!J311+parametros_recargas!$H$74*'Plan mensual'!J312+parametros_recargas!$I$74*'Plan mensual'!J313+parametros_recargas!$J$74*'Plan mensual'!J314+parametros_recargas!$K$74*'Plan mensual'!J315+parametros_recargas!$L$74*'Plan mensual'!J316</f>
        <v>18858.7354630337</v>
      </c>
      <c r="I292" s="25" t="n">
        <f aca="false">parametros_recargas!$E$74*'Plan mensual'!K309+parametros_recargas!$F$74*'Plan mensual'!K310+parametros_recargas!$G$74*'Plan mensual'!K311+parametros_recargas!$H$74*'Plan mensual'!K312+parametros_recargas!$I$74*'Plan mensual'!K313+parametros_recargas!$J$74*'Plan mensual'!K314+parametros_recargas!$K$74*'Plan mensual'!K315+parametros_recargas!$L$74*'Plan mensual'!K316</f>
        <v>18956.0970668199</v>
      </c>
      <c r="J292" s="25" t="n">
        <f aca="false">parametros_recargas!$E$74*'Plan mensual'!L309+parametros_recargas!$F$74*'Plan mensual'!L310+parametros_recargas!$G$74*'Plan mensual'!L311+parametros_recargas!$H$74*'Plan mensual'!L312+parametros_recargas!$I$74*'Plan mensual'!L313+parametros_recargas!$J$74*'Plan mensual'!L314+parametros_recargas!$K$74*'Plan mensual'!L315+parametros_recargas!$L$74*'Plan mensual'!L316</f>
        <v>19054.022643687</v>
      </c>
      <c r="K292" s="25" t="n">
        <f aca="false">parametros_recargas!$E$74*'Plan mensual'!M309+parametros_recargas!$F$74*'Plan mensual'!M310+parametros_recargas!$G$74*'Plan mensual'!M311+parametros_recargas!$H$74*'Plan mensual'!M312+parametros_recargas!$I$74*'Plan mensual'!M313+parametros_recargas!$J$74*'Plan mensual'!M314+parametros_recargas!$K$74*'Plan mensual'!M315+parametros_recargas!$L$74*'Plan mensual'!M316</f>
        <v>19152.5154604835</v>
      </c>
      <c r="L292" s="25" t="n">
        <f aca="false">parametros_recargas!$E$74*'Plan mensual'!N309+parametros_recargas!$F$74*'Plan mensual'!N310+parametros_recargas!$G$74*'Plan mensual'!N311+parametros_recargas!$H$74*'Plan mensual'!N312+parametros_recargas!$I$74*'Plan mensual'!N313+parametros_recargas!$J$74*'Plan mensual'!N314+parametros_recargas!$K$74*'Plan mensual'!N315+parametros_recargas!$L$74*'Plan mensual'!N316</f>
        <v>19251.5788029819</v>
      </c>
      <c r="M292" s="25" t="n">
        <f aca="false">parametros_recargas!$E$74*'Plan mensual'!O309+parametros_recargas!$F$74*'Plan mensual'!O310+parametros_recargas!$G$74*'Plan mensual'!O311+parametros_recargas!$H$74*'Plan mensual'!O312+parametros_recargas!$I$74*'Plan mensual'!O313+parametros_recargas!$J$74*'Plan mensual'!O314+parametros_recargas!$K$74*'Plan mensual'!O315+parametros_recargas!$L$74*'Plan mensual'!O316</f>
        <v>19351.2159759872</v>
      </c>
      <c r="N292" s="7" t="n">
        <f aca="false">SUM(B292:M292)</f>
        <v>225763.160099821</v>
      </c>
      <c r="O292" s="26" t="n">
        <f aca="false">MAX(B292:M292)</f>
        <v>19351.2159759872</v>
      </c>
      <c r="P292" s="15" t="n">
        <f aca="false">O292/parametros_recargas!$B$6</f>
        <v>129.008106506581</v>
      </c>
    </row>
    <row r="293" customFormat="false" ht="15" hidden="false" customHeight="false" outlineLevel="0" collapsed="false">
      <c r="A293" s="12" t="str">
        <f aca="false">parametros_recargas!$B$75</f>
        <v>Descarga ABC — ruta descarte</v>
      </c>
      <c r="B293" s="25" t="n">
        <f aca="false">parametros_recargas!$E$75*'Plan mensual'!D309+parametros_recargas!$F$75*'Plan mensual'!D310+parametros_recargas!$G$75*'Plan mensual'!D311+parametros_recargas!$H$75*'Plan mensual'!D312+parametros_recargas!$I$75*'Plan mensual'!D313+parametros_recargas!$J$75*'Plan mensual'!D314+parametros_recargas!$K$75*'Plan mensual'!D315+parametros_recargas!$L$75*'Plan mensual'!D316</f>
        <v>2151.32102217647</v>
      </c>
      <c r="C293" s="25" t="n">
        <f aca="false">parametros_recargas!$E$75*'Plan mensual'!E309+parametros_recargas!$F$75*'Plan mensual'!E310+parametros_recargas!$G$75*'Plan mensual'!E311+parametros_recargas!$H$75*'Plan mensual'!E312+parametros_recargas!$I$75*'Plan mensual'!E313+parametros_recargas!$J$75*'Plan mensual'!E314+parametros_recargas!$K$75*'Plan mensual'!E315+parametros_recargas!$L$75*'Plan mensual'!E316</f>
        <v>2162.38517783145</v>
      </c>
      <c r="D293" s="25" t="n">
        <f aca="false">parametros_recargas!$E$75*'Plan mensual'!F309+parametros_recargas!$F$75*'Plan mensual'!F310+parametros_recargas!$G$75*'Plan mensual'!F311+parametros_recargas!$H$75*'Plan mensual'!F312+parametros_recargas!$I$75*'Plan mensual'!F313+parametros_recargas!$J$75*'Plan mensual'!F314+parametros_recargas!$K$75*'Plan mensual'!F315+parametros_recargas!$L$75*'Plan mensual'!F316</f>
        <v>2173.51342328886</v>
      </c>
      <c r="E293" s="25" t="n">
        <f aca="false">parametros_recargas!$E$75*'Plan mensual'!G309+parametros_recargas!$F$75*'Plan mensual'!G310+parametros_recargas!$G$75*'Plan mensual'!G311+parametros_recargas!$H$75*'Plan mensual'!G312+parametros_recargas!$I$75*'Plan mensual'!G313+parametros_recargas!$J$75*'Plan mensual'!G314+parametros_recargas!$K$75*'Plan mensual'!G315+parametros_recargas!$L$75*'Plan mensual'!G316</f>
        <v>2184.70612979282</v>
      </c>
      <c r="F293" s="25" t="n">
        <f aca="false">parametros_recargas!$E$75*'Plan mensual'!H309+parametros_recargas!$F$75*'Plan mensual'!H310+parametros_recargas!$G$75*'Plan mensual'!H311+parametros_recargas!$H$75*'Plan mensual'!H312+parametros_recargas!$I$75*'Plan mensual'!H313+parametros_recargas!$J$75*'Plan mensual'!H314+parametros_recargas!$K$75*'Plan mensual'!H315+parametros_recargas!$L$75*'Plan mensual'!H316</f>
        <v>2195.96367073792</v>
      </c>
      <c r="G293" s="25" t="n">
        <f aca="false">parametros_recargas!$E$75*'Plan mensual'!I309+parametros_recargas!$F$75*'Plan mensual'!I310+parametros_recargas!$G$75*'Plan mensual'!I311+parametros_recargas!$H$75*'Plan mensual'!I312+parametros_recargas!$I$75*'Plan mensual'!I313+parametros_recargas!$J$75*'Plan mensual'!I314+parametros_recargas!$K$75*'Plan mensual'!I315+parametros_recargas!$L$75*'Plan mensual'!I316</f>
        <v>2207.28642168164</v>
      </c>
      <c r="H293" s="25" t="n">
        <f aca="false">parametros_recargas!$E$75*'Plan mensual'!J309+parametros_recargas!$F$75*'Plan mensual'!J310+parametros_recargas!$G$75*'Plan mensual'!J311+parametros_recargas!$H$75*'Plan mensual'!J312+parametros_recargas!$I$75*'Plan mensual'!J313+parametros_recargas!$J$75*'Plan mensual'!J314+parametros_recargas!$K$75*'Plan mensual'!J315+parametros_recargas!$L$75*'Plan mensual'!J316</f>
        <v>2218.67476035691</v>
      </c>
      <c r="I293" s="25" t="n">
        <f aca="false">parametros_recargas!$E$75*'Plan mensual'!K309+parametros_recargas!$F$75*'Plan mensual'!K310+parametros_recargas!$G$75*'Plan mensual'!K311+parametros_recargas!$H$75*'Plan mensual'!K312+parametros_recargas!$I$75*'Plan mensual'!K313+parametros_recargas!$J$75*'Plan mensual'!K314+parametros_recargas!$K$75*'Plan mensual'!K315+parametros_recargas!$L$75*'Plan mensual'!K316</f>
        <v>2230.1290666847</v>
      </c>
      <c r="J293" s="25" t="n">
        <f aca="false">parametros_recargas!$E$75*'Plan mensual'!L309+parametros_recargas!$F$75*'Plan mensual'!L310+parametros_recargas!$G$75*'Plan mensual'!L311+parametros_recargas!$H$75*'Plan mensual'!L312+parametros_recargas!$I$75*'Plan mensual'!L313+parametros_recargas!$J$75*'Plan mensual'!L314+parametros_recargas!$K$75*'Plan mensual'!L315+parametros_recargas!$L$75*'Plan mensual'!L316</f>
        <v>2241.6497227867</v>
      </c>
      <c r="K293" s="25" t="n">
        <f aca="false">parametros_recargas!$E$75*'Plan mensual'!M309+parametros_recargas!$F$75*'Plan mensual'!M310+parametros_recargas!$G$75*'Plan mensual'!M311+parametros_recargas!$H$75*'Plan mensual'!M312+parametros_recargas!$I$75*'Plan mensual'!M313+parametros_recargas!$J$75*'Plan mensual'!M314+parametros_recargas!$K$75*'Plan mensual'!M315+parametros_recargas!$L$75*'Plan mensual'!M316</f>
        <v>2253.23711299806</v>
      </c>
      <c r="L293" s="25" t="n">
        <f aca="false">parametros_recargas!$E$75*'Plan mensual'!N309+parametros_recargas!$F$75*'Plan mensual'!N310+parametros_recargas!$G$75*'Plan mensual'!N311+parametros_recargas!$H$75*'Plan mensual'!N312+parametros_recargas!$I$75*'Plan mensual'!N313+parametros_recargas!$J$75*'Plan mensual'!N314+parametros_recargas!$K$75*'Plan mensual'!N315+parametros_recargas!$L$75*'Plan mensual'!N316</f>
        <v>2264.89162388022</v>
      </c>
      <c r="M293" s="25" t="n">
        <f aca="false">parametros_recargas!$E$75*'Plan mensual'!O309+parametros_recargas!$F$75*'Plan mensual'!O310+parametros_recargas!$G$75*'Plan mensual'!O311+parametros_recargas!$H$75*'Plan mensual'!O312+parametros_recargas!$I$75*'Plan mensual'!O313+parametros_recargas!$J$75*'Plan mensual'!O314+parametros_recargas!$K$75*'Plan mensual'!O315+parametros_recargas!$L$75*'Plan mensual'!O316</f>
        <v>2276.61364423379</v>
      </c>
      <c r="N293" s="7" t="n">
        <f aca="false">SUM(B293:M293)</f>
        <v>26560.3717764495</v>
      </c>
      <c r="O293" s="26" t="n">
        <f aca="false">MAX(B293:M293)</f>
        <v>2276.61364423379</v>
      </c>
      <c r="P293" s="15" t="n">
        <f aca="false">O293/parametros_recargas!$B$6</f>
        <v>15.1774242948919</v>
      </c>
    </row>
    <row r="294" customFormat="false" ht="15" hidden="false" customHeight="false" outlineLevel="0" collapsed="false">
      <c r="A294" s="12" t="str">
        <f aca="false">parametros_recargas!$B$76</f>
        <v>Descarga BC</v>
      </c>
      <c r="B294" s="25" t="n">
        <f aca="false">parametros_recargas!$E$76*'Plan mensual'!D309+parametros_recargas!$F$76*'Plan mensual'!D310+parametros_recargas!$G$76*'Plan mensual'!D311+parametros_recargas!$H$76*'Plan mensual'!D312+parametros_recargas!$I$76*'Plan mensual'!D313+parametros_recargas!$J$76*'Plan mensual'!D314+parametros_recargas!$K$76*'Plan mensual'!D315+parametros_recargas!$L$76*'Plan mensual'!D316</f>
        <v>36.274716328488</v>
      </c>
      <c r="C294" s="25" t="n">
        <f aca="false">parametros_recargas!$E$76*'Plan mensual'!E309+parametros_recargas!$F$76*'Plan mensual'!E310+parametros_recargas!$G$76*'Plan mensual'!E311+parametros_recargas!$H$76*'Plan mensual'!E312+parametros_recargas!$I$76*'Plan mensual'!E313+parametros_recargas!$J$76*'Plan mensual'!E314+parametros_recargas!$K$76*'Plan mensual'!E315+parametros_recargas!$L$76*'Plan mensual'!E316</f>
        <v>36.4356030818528</v>
      </c>
      <c r="D294" s="25" t="n">
        <f aca="false">parametros_recargas!$E$76*'Plan mensual'!F309+parametros_recargas!$F$76*'Plan mensual'!F310+parametros_recargas!$G$76*'Plan mensual'!F311+parametros_recargas!$H$76*'Plan mensual'!F312+parametros_recargas!$I$76*'Plan mensual'!F313+parametros_recargas!$J$76*'Plan mensual'!F314+parametros_recargas!$K$76*'Plan mensual'!F315+parametros_recargas!$L$76*'Plan mensual'!F316</f>
        <v>36.5974217816362</v>
      </c>
      <c r="E294" s="25" t="n">
        <f aca="false">parametros_recargas!$E$76*'Plan mensual'!G309+parametros_recargas!$F$76*'Plan mensual'!G310+parametros_recargas!$G$76*'Plan mensual'!G311+parametros_recargas!$H$76*'Plan mensual'!G312+parametros_recargas!$I$76*'Plan mensual'!G313+parametros_recargas!$J$76*'Plan mensual'!G314+parametros_recargas!$K$76*'Plan mensual'!G315+parametros_recargas!$L$76*'Plan mensual'!G316</f>
        <v>36.7601778261951</v>
      </c>
      <c r="F294" s="25" t="n">
        <f aca="false">parametros_recargas!$E$76*'Plan mensual'!H309+parametros_recargas!$F$76*'Plan mensual'!H310+parametros_recargas!$G$76*'Plan mensual'!H311+parametros_recargas!$H$76*'Plan mensual'!H312+parametros_recargas!$I$76*'Plan mensual'!H313+parametros_recargas!$J$76*'Plan mensual'!H314+parametros_recargas!$K$76*'Plan mensual'!H315+parametros_recargas!$L$76*'Plan mensual'!H316</f>
        <v>36.9238766451567</v>
      </c>
      <c r="G294" s="25" t="n">
        <f aca="false">parametros_recargas!$E$76*'Plan mensual'!I309+parametros_recargas!$F$76*'Plan mensual'!I310+parametros_recargas!$G$76*'Plan mensual'!I311+parametros_recargas!$H$76*'Plan mensual'!I312+parametros_recargas!$I$76*'Plan mensual'!I313+parametros_recargas!$J$76*'Plan mensual'!I314+parametros_recargas!$K$76*'Plan mensual'!I315+parametros_recargas!$L$76*'Plan mensual'!I316</f>
        <v>37.0885236995999</v>
      </c>
      <c r="H294" s="25" t="n">
        <f aca="false">parametros_recargas!$E$76*'Plan mensual'!J309+parametros_recargas!$F$76*'Plan mensual'!J310+parametros_recargas!$G$76*'Plan mensual'!J311+parametros_recargas!$H$76*'Plan mensual'!J312+parametros_recargas!$I$76*'Plan mensual'!J313+parametros_recargas!$J$76*'Plan mensual'!J314+parametros_recargas!$K$76*'Plan mensual'!J315+parametros_recargas!$L$76*'Plan mensual'!J316</f>
        <v>37.254124482237</v>
      </c>
      <c r="I294" s="25" t="n">
        <f aca="false">parametros_recargas!$E$76*'Plan mensual'!K309+parametros_recargas!$F$76*'Plan mensual'!K310+parametros_recargas!$G$76*'Plan mensual'!K311+parametros_recargas!$H$76*'Plan mensual'!K312+parametros_recargas!$I$76*'Plan mensual'!K313+parametros_recargas!$J$76*'Plan mensual'!K314+parametros_recargas!$K$76*'Plan mensual'!K315+parametros_recargas!$L$76*'Plan mensual'!K316</f>
        <v>37.4206845175973</v>
      </c>
      <c r="J294" s="25" t="n">
        <f aca="false">parametros_recargas!$E$76*'Plan mensual'!L309+parametros_recargas!$F$76*'Plan mensual'!L310+parametros_recargas!$G$76*'Plan mensual'!L311+parametros_recargas!$H$76*'Plan mensual'!L312+parametros_recargas!$I$76*'Plan mensual'!L313+parametros_recargas!$J$76*'Plan mensual'!L314+parametros_recargas!$K$76*'Plan mensual'!L315+parametros_recargas!$L$76*'Plan mensual'!L316</f>
        <v>37.5882093622112</v>
      </c>
      <c r="K294" s="25" t="n">
        <f aca="false">parametros_recargas!$E$76*'Plan mensual'!M309+parametros_recargas!$F$76*'Plan mensual'!M310+parametros_recargas!$G$76*'Plan mensual'!M311+parametros_recargas!$H$76*'Plan mensual'!M312+parametros_recargas!$I$76*'Plan mensual'!M313+parametros_recargas!$J$76*'Plan mensual'!M314+parametros_recargas!$K$76*'Plan mensual'!M315+parametros_recargas!$L$76*'Plan mensual'!M316</f>
        <v>37.7567046047956</v>
      </c>
      <c r="L294" s="25" t="n">
        <f aca="false">parametros_recargas!$E$76*'Plan mensual'!N309+parametros_recargas!$F$76*'Plan mensual'!N310+parametros_recargas!$G$76*'Plan mensual'!N311+parametros_recargas!$H$76*'Plan mensual'!N312+parametros_recargas!$I$76*'Plan mensual'!N313+parametros_recargas!$J$76*'Plan mensual'!N314+parametros_recargas!$K$76*'Plan mensual'!N315+parametros_recargas!$L$76*'Plan mensual'!N316</f>
        <v>37.9261758664406</v>
      </c>
      <c r="M294" s="25" t="n">
        <f aca="false">parametros_recargas!$E$76*'Plan mensual'!O309+parametros_recargas!$F$76*'Plan mensual'!O310+parametros_recargas!$G$76*'Plan mensual'!O311+parametros_recargas!$H$76*'Plan mensual'!O312+parametros_recargas!$I$76*'Plan mensual'!O313+parametros_recargas!$J$76*'Plan mensual'!O314+parametros_recargas!$K$76*'Plan mensual'!O315+parametros_recargas!$L$76*'Plan mensual'!O316</f>
        <v>38.0966288007965</v>
      </c>
      <c r="N294" s="7" t="n">
        <f aca="false">SUM(B294:M294)</f>
        <v>446.122846997007</v>
      </c>
      <c r="O294" s="26" t="n">
        <f aca="false">MAX(B294:M294)</f>
        <v>38.0966288007965</v>
      </c>
      <c r="P294" s="15" t="n">
        <f aca="false">O294/parametros_recargas!$B$6</f>
        <v>0.253977525338643</v>
      </c>
    </row>
    <row r="295" customFormat="false" ht="15" hidden="false" customHeight="false" outlineLevel="0" collapsed="false">
      <c r="A295" s="12" t="str">
        <f aca="false">parametros_recargas!$B$77</f>
        <v>Descarga de agua / AFFF / sales K</v>
      </c>
      <c r="B295" s="25" t="n">
        <f aca="false">parametros_recargas!$E$77*'Plan mensual'!D309+parametros_recargas!$F$77*'Plan mensual'!D310+parametros_recargas!$G$77*'Plan mensual'!D311+parametros_recargas!$H$77*'Plan mensual'!D312+parametros_recargas!$I$77*'Plan mensual'!D313+parametros_recargas!$J$77*'Plan mensual'!D314+parametros_recargas!$K$77*'Plan mensual'!D315+parametros_recargas!$L$77*'Plan mensual'!D316</f>
        <v>1208.53884473014</v>
      </c>
      <c r="C295" s="25" t="n">
        <f aca="false">parametros_recargas!$E$77*'Plan mensual'!E309+parametros_recargas!$F$77*'Plan mensual'!E310+parametros_recargas!$G$77*'Plan mensual'!E311+parametros_recargas!$H$77*'Plan mensual'!E312+parametros_recargas!$I$77*'Plan mensual'!E313+parametros_recargas!$J$77*'Plan mensual'!E314+parametros_recargas!$K$77*'Plan mensual'!E315+parametros_recargas!$L$77*'Plan mensual'!E316</f>
        <v>1214.10668679974</v>
      </c>
      <c r="D295" s="25" t="n">
        <f aca="false">parametros_recargas!$E$77*'Plan mensual'!F309+parametros_recargas!$F$77*'Plan mensual'!F310+parametros_recargas!$G$77*'Plan mensual'!F311+parametros_recargas!$H$77*'Plan mensual'!F312+parametros_recargas!$I$77*'Plan mensual'!F313+parametros_recargas!$J$77*'Plan mensual'!F314+parametros_recargas!$K$77*'Plan mensual'!F315+parametros_recargas!$L$77*'Plan mensual'!F316</f>
        <v>1219.70678093713</v>
      </c>
      <c r="E295" s="25" t="n">
        <f aca="false">parametros_recargas!$E$77*'Plan mensual'!G309+parametros_recargas!$F$77*'Plan mensual'!G310+parametros_recargas!$G$77*'Plan mensual'!G311+parametros_recargas!$H$77*'Plan mensual'!G312+parametros_recargas!$I$77*'Plan mensual'!G313+parametros_recargas!$J$77*'Plan mensual'!G314+parametros_recargas!$K$77*'Plan mensual'!G315+parametros_recargas!$L$77*'Plan mensual'!G316</f>
        <v>1225.3393139644</v>
      </c>
      <c r="F295" s="25" t="n">
        <f aca="false">parametros_recargas!$E$77*'Plan mensual'!H309+parametros_recargas!$F$77*'Plan mensual'!H310+parametros_recargas!$G$77*'Plan mensual'!H311+parametros_recargas!$H$77*'Plan mensual'!H312+parametros_recargas!$I$77*'Plan mensual'!H313+parametros_recargas!$J$77*'Plan mensual'!H314+parametros_recargas!$K$77*'Plan mensual'!H315+parametros_recargas!$L$77*'Plan mensual'!H316</f>
        <v>1231.0044737858</v>
      </c>
      <c r="G295" s="25" t="n">
        <f aca="false">parametros_recargas!$E$77*'Plan mensual'!I309+parametros_recargas!$F$77*'Plan mensual'!I310+parametros_recargas!$G$77*'Plan mensual'!I311+parametros_recargas!$H$77*'Plan mensual'!I312+parametros_recargas!$I$77*'Plan mensual'!I313+parametros_recargas!$J$77*'Plan mensual'!I314+parametros_recargas!$K$77*'Plan mensual'!I315+parametros_recargas!$L$77*'Plan mensual'!I316</f>
        <v>1236.70244939406</v>
      </c>
      <c r="H295" s="25" t="n">
        <f aca="false">parametros_recargas!$E$77*'Plan mensual'!J309+parametros_recargas!$F$77*'Plan mensual'!J310+parametros_recargas!$G$77*'Plan mensual'!J311+parametros_recargas!$H$77*'Plan mensual'!J312+parametros_recargas!$I$77*'Plan mensual'!J313+parametros_recargas!$J$77*'Plan mensual'!J314+parametros_recargas!$K$77*'Plan mensual'!J315+parametros_recargas!$L$77*'Plan mensual'!J316</f>
        <v>1242.43343087664</v>
      </c>
      <c r="I295" s="25" t="n">
        <f aca="false">parametros_recargas!$E$77*'Plan mensual'!K309+parametros_recargas!$F$77*'Plan mensual'!K310+parametros_recargas!$G$77*'Plan mensual'!K311+parametros_recargas!$H$77*'Plan mensual'!K312+parametros_recargas!$I$77*'Plan mensual'!K313+parametros_recargas!$J$77*'Plan mensual'!K314+parametros_recargas!$K$77*'Plan mensual'!K315+parametros_recargas!$L$77*'Plan mensual'!K316</f>
        <v>1248.1976094221</v>
      </c>
      <c r="J295" s="25" t="n">
        <f aca="false">parametros_recargas!$E$77*'Plan mensual'!L309+parametros_recargas!$F$77*'Plan mensual'!L310+parametros_recargas!$G$77*'Plan mensual'!L311+parametros_recargas!$H$77*'Plan mensual'!L312+parametros_recargas!$I$77*'Plan mensual'!L313+parametros_recargas!$J$77*'Plan mensual'!L314+parametros_recargas!$K$77*'Plan mensual'!L315+parametros_recargas!$L$77*'Plan mensual'!L316</f>
        <v>1253.99517732646</v>
      </c>
      <c r="K295" s="25" t="n">
        <f aca="false">parametros_recargas!$E$77*'Plan mensual'!M309+parametros_recargas!$F$77*'Plan mensual'!M310+parametros_recargas!$G$77*'Plan mensual'!M311+parametros_recargas!$H$77*'Plan mensual'!M312+parametros_recargas!$I$77*'Plan mensual'!M313+parametros_recargas!$J$77*'Plan mensual'!M314+parametros_recargas!$K$77*'Plan mensual'!M315+parametros_recargas!$L$77*'Plan mensual'!M316</f>
        <v>1259.82632799964</v>
      </c>
      <c r="L295" s="25" t="n">
        <f aca="false">parametros_recargas!$E$77*'Plan mensual'!N309+parametros_recargas!$F$77*'Plan mensual'!N310+parametros_recargas!$G$77*'Plan mensual'!N311+parametros_recargas!$H$77*'Plan mensual'!N312+parametros_recargas!$I$77*'Plan mensual'!N313+parametros_recargas!$J$77*'Plan mensual'!N314+parametros_recargas!$K$77*'Plan mensual'!N315+parametros_recargas!$L$77*'Plan mensual'!N316</f>
        <v>1265.6912559719</v>
      </c>
      <c r="M295" s="25" t="n">
        <f aca="false">parametros_recargas!$E$77*'Plan mensual'!O309+parametros_recargas!$F$77*'Plan mensual'!O310+parametros_recargas!$G$77*'Plan mensual'!O311+parametros_recargas!$H$77*'Plan mensual'!O312+parametros_recargas!$I$77*'Plan mensual'!O313+parametros_recargas!$J$77*'Plan mensual'!O314+parametros_recargas!$K$77*'Plan mensual'!O315+parametros_recargas!$L$77*'Plan mensual'!O316</f>
        <v>1271.59015690031</v>
      </c>
      <c r="N295" s="7" t="n">
        <f aca="false">SUM(B295:M295)</f>
        <v>14877.1325081083</v>
      </c>
      <c r="O295" s="26" t="n">
        <f aca="false">MAX(B295:M295)</f>
        <v>1271.59015690031</v>
      </c>
      <c r="P295" s="15" t="n">
        <f aca="false">O295/parametros_recargas!$B$6</f>
        <v>8.47726771266876</v>
      </c>
    </row>
    <row r="296" customFormat="false" ht="15" hidden="false" customHeight="false" outlineLevel="0" collapsed="false">
      <c r="A296" s="12" t="str">
        <f aca="false">parametros_recargas!$B$78</f>
        <v>Recuperación de CO₂</v>
      </c>
      <c r="B296" s="25" t="n">
        <f aca="false">parametros_recargas!$E$78*'Plan mensual'!D309+parametros_recargas!$F$78*'Plan mensual'!D310+parametros_recargas!$G$78*'Plan mensual'!D311+parametros_recargas!$H$78*'Plan mensual'!D312+parametros_recargas!$I$78*'Plan mensual'!D313+parametros_recargas!$J$78*'Plan mensual'!D314+parametros_recargas!$K$78*'Plan mensual'!D315+parametros_recargas!$L$78*'Plan mensual'!D316</f>
        <v>550.8881407768</v>
      </c>
      <c r="C296" s="25" t="n">
        <f aca="false">parametros_recargas!$E$78*'Plan mensual'!E309+parametros_recargas!$F$78*'Plan mensual'!E310+parametros_recargas!$G$78*'Plan mensual'!E311+parametros_recargas!$H$78*'Plan mensual'!E312+parametros_recargas!$I$78*'Plan mensual'!E313+parametros_recargas!$J$78*'Plan mensual'!E314+parametros_recargas!$K$78*'Plan mensual'!E315+parametros_recargas!$L$78*'Plan mensual'!E316</f>
        <v>553.425841560007</v>
      </c>
      <c r="D296" s="25" t="n">
        <f aca="false">parametros_recargas!$E$78*'Plan mensual'!F309+parametros_recargas!$F$78*'Plan mensual'!F310+parametros_recargas!$G$78*'Plan mensual'!F311+parametros_recargas!$H$78*'Plan mensual'!F312+parametros_recargas!$I$78*'Plan mensual'!F313+parametros_recargas!$J$78*'Plan mensual'!F314+parametros_recargas!$K$78*'Plan mensual'!F315+parametros_recargas!$L$78*'Plan mensual'!F316</f>
        <v>555.97824213115</v>
      </c>
      <c r="E296" s="25" t="n">
        <f aca="false">parametros_recargas!$E$78*'Plan mensual'!G309+parametros_recargas!$F$78*'Plan mensual'!G310+parametros_recargas!$G$78*'Plan mensual'!G311+parametros_recargas!$H$78*'Plan mensual'!G312+parametros_recargas!$I$78*'Plan mensual'!G313+parametros_recargas!$J$78*'Plan mensual'!G314+parametros_recargas!$K$78*'Plan mensual'!G315+parametros_recargas!$L$78*'Plan mensual'!G316</f>
        <v>558.545427639656</v>
      </c>
      <c r="F296" s="25" t="n">
        <f aca="false">parametros_recargas!$E$78*'Plan mensual'!H309+parametros_recargas!$F$78*'Plan mensual'!H310+parametros_recargas!$G$78*'Plan mensual'!H311+parametros_recargas!$H$78*'Plan mensual'!H312+parametros_recargas!$I$78*'Plan mensual'!H313+parametros_recargas!$J$78*'Plan mensual'!H314+parametros_recargas!$K$78*'Plan mensual'!H315+parametros_recargas!$L$78*'Plan mensual'!H316</f>
        <v>561.127483728183</v>
      </c>
      <c r="G296" s="25" t="n">
        <f aca="false">parametros_recargas!$E$78*'Plan mensual'!I309+parametros_recargas!$F$78*'Plan mensual'!I310+parametros_recargas!$G$78*'Plan mensual'!I311+parametros_recargas!$H$78*'Plan mensual'!I312+parametros_recargas!$I$78*'Plan mensual'!I313+parametros_recargas!$J$78*'Plan mensual'!I314+parametros_recargas!$K$78*'Plan mensual'!I315+parametros_recargas!$L$78*'Plan mensual'!I316</f>
        <v>563.724496535483</v>
      </c>
      <c r="H296" s="25" t="n">
        <f aca="false">parametros_recargas!$E$78*'Plan mensual'!J309+parametros_recargas!$F$78*'Plan mensual'!J310+parametros_recargas!$G$78*'Plan mensual'!J311+parametros_recargas!$H$78*'Plan mensual'!J312+parametros_recargas!$I$78*'Plan mensual'!J313+parametros_recargas!$J$78*'Plan mensual'!J314+parametros_recargas!$K$78*'Plan mensual'!J315+parametros_recargas!$L$78*'Plan mensual'!J316</f>
        <v>566.336552699268</v>
      </c>
      <c r="I296" s="25" t="n">
        <f aca="false">parametros_recargas!$E$78*'Plan mensual'!K309+parametros_recargas!$F$78*'Plan mensual'!K310+parametros_recargas!$G$78*'Plan mensual'!K311+parametros_recargas!$H$78*'Plan mensual'!K312+parametros_recargas!$I$78*'Plan mensual'!K313+parametros_recargas!$J$78*'Plan mensual'!K314+parametros_recargas!$K$78*'Plan mensual'!K315+parametros_recargas!$L$78*'Plan mensual'!K316</f>
        <v>568.963739359106</v>
      </c>
      <c r="J296" s="25" t="n">
        <f aca="false">parametros_recargas!$E$78*'Plan mensual'!L309+parametros_recargas!$F$78*'Plan mensual'!L310+parametros_recargas!$G$78*'Plan mensual'!L311+parametros_recargas!$H$78*'Plan mensual'!L312+parametros_recargas!$I$78*'Plan mensual'!L313+parametros_recargas!$J$78*'Plan mensual'!L314+parametros_recargas!$K$78*'Plan mensual'!L315+parametros_recargas!$L$78*'Plan mensual'!L316</f>
        <v>571.606144159327</v>
      </c>
      <c r="K296" s="25" t="n">
        <f aca="false">parametros_recargas!$E$78*'Plan mensual'!M309+parametros_recargas!$F$78*'Plan mensual'!M310+parametros_recargas!$G$78*'Plan mensual'!M311+parametros_recargas!$H$78*'Plan mensual'!M312+parametros_recargas!$I$78*'Plan mensual'!M313+parametros_recargas!$J$78*'Plan mensual'!M314+parametros_recargas!$K$78*'Plan mensual'!M315+parametros_recargas!$L$78*'Plan mensual'!M316</f>
        <v>574.263855251946</v>
      </c>
      <c r="L296" s="25" t="n">
        <f aca="false">parametros_recargas!$E$78*'Plan mensual'!N309+parametros_recargas!$F$78*'Plan mensual'!N310+parametros_recargas!$G$78*'Plan mensual'!N311+parametros_recargas!$H$78*'Plan mensual'!N312+parametros_recargas!$I$78*'Plan mensual'!N313+parametros_recargas!$J$78*'Plan mensual'!N314+parametros_recargas!$K$78*'Plan mensual'!N315+parametros_recargas!$L$78*'Plan mensual'!N316</f>
        <v>576.936961299603</v>
      </c>
      <c r="M296" s="25" t="n">
        <f aca="false">parametros_recargas!$E$78*'Plan mensual'!O309+parametros_recargas!$F$78*'Plan mensual'!O310+parametros_recargas!$G$78*'Plan mensual'!O311+parametros_recargas!$H$78*'Plan mensual'!O312+parametros_recargas!$I$78*'Plan mensual'!O313+parametros_recargas!$J$78*'Plan mensual'!O314+parametros_recargas!$K$78*'Plan mensual'!O315+parametros_recargas!$L$78*'Plan mensual'!O316</f>
        <v>579.625551478523</v>
      </c>
      <c r="N296" s="7" t="n">
        <f aca="false">SUM(B296:M296)</f>
        <v>6781.42243661905</v>
      </c>
      <c r="O296" s="26" t="n">
        <f aca="false">MAX(B296:M296)</f>
        <v>579.625551478523</v>
      </c>
      <c r="P296" s="15" t="n">
        <f aca="false">O296/parametros_recargas!$B$6</f>
        <v>3.86417034319015</v>
      </c>
    </row>
    <row r="297" customFormat="false" ht="15" hidden="false" customHeight="false" outlineLevel="0" collapsed="false">
      <c r="A297" s="12" t="str">
        <f aca="false">parametros_recargas!$B$79</f>
        <v>Recuperación de halogenado</v>
      </c>
      <c r="B297" s="25" t="n">
        <f aca="false">parametros_recargas!$E$79*'Plan mensual'!D309+parametros_recargas!$F$79*'Plan mensual'!D310+parametros_recargas!$G$79*'Plan mensual'!D311+parametros_recargas!$H$79*'Plan mensual'!D312+parametros_recargas!$I$79*'Plan mensual'!D313+parametros_recargas!$J$79*'Plan mensual'!D314+parametros_recargas!$K$79*'Plan mensual'!D315+parametros_recargas!$L$79*'Plan mensual'!D316</f>
        <v>22.9341552122238</v>
      </c>
      <c r="C297" s="25" t="n">
        <f aca="false">parametros_recargas!$E$79*'Plan mensual'!E309+parametros_recargas!$F$79*'Plan mensual'!E310+parametros_recargas!$G$79*'Plan mensual'!E311+parametros_recargas!$H$79*'Plan mensual'!E312+parametros_recargas!$I$79*'Plan mensual'!E313+parametros_recargas!$J$79*'Plan mensual'!E314+parametros_recargas!$K$79*'Plan mensual'!E315+parametros_recargas!$L$79*'Plan mensual'!E316</f>
        <v>23.0399707636578</v>
      </c>
      <c r="D297" s="25" t="n">
        <f aca="false">parametros_recargas!$E$79*'Plan mensual'!F309+parametros_recargas!$F$79*'Plan mensual'!F310+parametros_recargas!$G$79*'Plan mensual'!F311+parametros_recargas!$H$79*'Plan mensual'!F312+parametros_recargas!$I$79*'Plan mensual'!F313+parametros_recargas!$J$79*'Plan mensual'!F314+parametros_recargas!$K$79*'Plan mensual'!F315+parametros_recargas!$L$79*'Plan mensual'!F316</f>
        <v>23.1463992581846</v>
      </c>
      <c r="E297" s="25" t="n">
        <f aca="false">parametros_recargas!$E$79*'Plan mensual'!G309+parametros_recargas!$F$79*'Plan mensual'!G310+parametros_recargas!$G$79*'Plan mensual'!G311+parametros_recargas!$H$79*'Plan mensual'!G312+parametros_recargas!$I$79*'Plan mensual'!G313+parametros_recargas!$J$79*'Plan mensual'!G314+parametros_recargas!$K$79*'Plan mensual'!G315+parametros_recargas!$L$79*'Plan mensual'!G316</f>
        <v>23.2534442463147</v>
      </c>
      <c r="F297" s="25" t="n">
        <f aca="false">parametros_recargas!$E$79*'Plan mensual'!H309+parametros_recargas!$F$79*'Plan mensual'!H310+parametros_recargas!$G$79*'Plan mensual'!H311+parametros_recargas!$H$79*'Plan mensual'!H312+parametros_recargas!$I$79*'Plan mensual'!H313+parametros_recargas!$J$79*'Plan mensual'!H314+parametros_recargas!$K$79*'Plan mensual'!H315+parametros_recargas!$L$79*'Plan mensual'!H316</f>
        <v>23.3611092991252</v>
      </c>
      <c r="G297" s="25" t="n">
        <f aca="false">parametros_recargas!$E$79*'Plan mensual'!I309+parametros_recargas!$F$79*'Plan mensual'!I310+parametros_recargas!$G$79*'Plan mensual'!I311+parametros_recargas!$H$79*'Plan mensual'!I312+parametros_recargas!$I$79*'Plan mensual'!I313+parametros_recargas!$J$79*'Plan mensual'!I314+parametros_recargas!$K$79*'Plan mensual'!I315+parametros_recargas!$L$79*'Plan mensual'!I316</f>
        <v>23.4693980083789</v>
      </c>
      <c r="H297" s="25" t="n">
        <f aca="false">parametros_recargas!$E$79*'Plan mensual'!J309+parametros_recargas!$F$79*'Plan mensual'!J310+parametros_recargas!$G$79*'Plan mensual'!J311+parametros_recargas!$H$79*'Plan mensual'!J312+parametros_recargas!$I$79*'Plan mensual'!J313+parametros_recargas!$J$79*'Plan mensual'!J314+parametros_recargas!$K$79*'Plan mensual'!J315+parametros_recargas!$L$79*'Plan mensual'!J316</f>
        <v>23.5783139866443</v>
      </c>
      <c r="I297" s="25" t="n">
        <f aca="false">parametros_recargas!$E$79*'Plan mensual'!K309+parametros_recargas!$F$79*'Plan mensual'!K310+parametros_recargas!$G$79*'Plan mensual'!K311+parametros_recargas!$H$79*'Plan mensual'!K312+parametros_recargas!$I$79*'Plan mensual'!K313+parametros_recargas!$J$79*'Plan mensual'!K314+parametros_recargas!$K$79*'Plan mensual'!K315+parametros_recargas!$L$79*'Plan mensual'!K316</f>
        <v>23.6878608674155</v>
      </c>
      <c r="J297" s="25" t="n">
        <f aca="false">parametros_recargas!$E$79*'Plan mensual'!L309+parametros_recargas!$F$79*'Plan mensual'!L310+parametros_recargas!$G$79*'Plan mensual'!L311+parametros_recargas!$H$79*'Plan mensual'!L312+parametros_recargas!$I$79*'Plan mensual'!L313+parametros_recargas!$J$79*'Plan mensual'!L314+parametros_recargas!$K$79*'Plan mensual'!L315+parametros_recargas!$L$79*'Plan mensual'!L316</f>
        <v>23.7980423052342</v>
      </c>
      <c r="K297" s="25" t="n">
        <f aca="false">parametros_recargas!$E$79*'Plan mensual'!M309+parametros_recargas!$F$79*'Plan mensual'!M310+parametros_recargas!$G$79*'Plan mensual'!M311+parametros_recargas!$H$79*'Plan mensual'!M312+parametros_recargas!$I$79*'Plan mensual'!M313+parametros_recargas!$J$79*'Plan mensual'!M314+parametros_recargas!$K$79*'Plan mensual'!M315+parametros_recargas!$L$79*'Plan mensual'!M316</f>
        <v>23.9088619758112</v>
      </c>
      <c r="L297" s="25" t="n">
        <f aca="false">parametros_recargas!$E$79*'Plan mensual'!N309+parametros_recargas!$F$79*'Plan mensual'!N310+parametros_recargas!$G$79*'Plan mensual'!N311+parametros_recargas!$H$79*'Plan mensual'!N312+parametros_recargas!$I$79*'Plan mensual'!N313+parametros_recargas!$J$79*'Plan mensual'!N314+parametros_recargas!$K$79*'Plan mensual'!N315+parametros_recargas!$L$79*'Plan mensual'!N316</f>
        <v>24.0203235761489</v>
      </c>
      <c r="M297" s="25" t="n">
        <f aca="false">parametros_recargas!$E$79*'Plan mensual'!O309+parametros_recargas!$F$79*'Plan mensual'!O310+parametros_recargas!$G$79*'Plan mensual'!O311+parametros_recargas!$H$79*'Plan mensual'!O312+parametros_recargas!$I$79*'Plan mensual'!O313+parametros_recargas!$J$79*'Plan mensual'!O314+parametros_recargas!$K$79*'Plan mensual'!O315+parametros_recargas!$L$79*'Plan mensual'!O316</f>
        <v>24.132430824665</v>
      </c>
      <c r="N297" s="7" t="n">
        <f aca="false">SUM(B297:M297)</f>
        <v>282.330310323804</v>
      </c>
      <c r="O297" s="26" t="n">
        <f aca="false">MAX(B297:M297)</f>
        <v>24.132430824665</v>
      </c>
      <c r="P297" s="15" t="n">
        <f aca="false">O297/parametros_recargas!$B$6</f>
        <v>0.160882872164434</v>
      </c>
    </row>
    <row r="298" customFormat="false" ht="15" hidden="false" customHeight="false" outlineLevel="0" collapsed="false">
      <c r="A298" s="12" t="str">
        <f aca="false">parametros_recargas!$B$80</f>
        <v>Desarme y limpieza — recinto</v>
      </c>
      <c r="B298" s="25" t="n">
        <f aca="false">parametros_recargas!$E$80*'Plan mensual'!D309+parametros_recargas!$F$80*'Plan mensual'!D310+parametros_recargas!$G$80*'Plan mensual'!D311+parametros_recargas!$H$80*'Plan mensual'!D312+parametros_recargas!$I$80*'Plan mensual'!D313+parametros_recargas!$J$80*'Plan mensual'!D314+parametros_recargas!$K$80*'Plan mensual'!D315+parametros_recargas!$L$80*'Plan mensual'!D316</f>
        <v>21582.2382091458</v>
      </c>
      <c r="C298" s="25" t="n">
        <f aca="false">parametros_recargas!$E$80*'Plan mensual'!E309+parametros_recargas!$F$80*'Plan mensual'!E310+parametros_recargas!$G$80*'Plan mensual'!E311+parametros_recargas!$H$80*'Plan mensual'!E312+parametros_recargas!$I$80*'Plan mensual'!E313+parametros_recargas!$J$80*'Plan mensual'!E314+parametros_recargas!$K$80*'Plan mensual'!E315+parametros_recargas!$L$80*'Plan mensual'!E316</f>
        <v>21693.1859681484</v>
      </c>
      <c r="D298" s="25" t="n">
        <f aca="false">parametros_recargas!$E$80*'Plan mensual'!F309+parametros_recargas!$F$80*'Plan mensual'!F310+parametros_recargas!$G$80*'Plan mensual'!F311+parametros_recargas!$H$80*'Plan mensual'!F312+parametros_recargas!$I$80*'Plan mensual'!F313+parametros_recargas!$J$80*'Plan mensual'!F314+parametros_recargas!$K$80*'Plan mensual'!F315+parametros_recargas!$L$80*'Plan mensual'!F316</f>
        <v>21804.776398872</v>
      </c>
      <c r="E298" s="25" t="n">
        <f aca="false">parametros_recargas!$E$80*'Plan mensual'!G309+parametros_recargas!$F$80*'Plan mensual'!G310+parametros_recargas!$G$80*'Plan mensual'!G311+parametros_recargas!$H$80*'Plan mensual'!G312+parametros_recargas!$I$80*'Plan mensual'!G313+parametros_recargas!$J$80*'Plan mensual'!G314+parametros_recargas!$K$80*'Plan mensual'!G315+parametros_recargas!$L$80*'Plan mensual'!G316</f>
        <v>21917.0132240318</v>
      </c>
      <c r="F298" s="25" t="n">
        <f aca="false">parametros_recargas!$E$80*'Plan mensual'!H309+parametros_recargas!$F$80*'Plan mensual'!H310+parametros_recargas!$G$80*'Plan mensual'!H311+parametros_recargas!$H$80*'Plan mensual'!H312+parametros_recargas!$I$80*'Plan mensual'!H313+parametros_recargas!$J$80*'Plan mensual'!H314+parametros_recargas!$K$80*'Plan mensual'!H315+parametros_recargas!$L$80*'Plan mensual'!H316</f>
        <v>22029.9001879076</v>
      </c>
      <c r="G298" s="25" t="n">
        <f aca="false">parametros_recargas!$E$80*'Plan mensual'!I309+parametros_recargas!$F$80*'Plan mensual'!I310+parametros_recargas!$G$80*'Plan mensual'!I311+parametros_recargas!$H$80*'Plan mensual'!I312+parametros_recargas!$I$80*'Plan mensual'!I313+parametros_recargas!$J$80*'Plan mensual'!I314+parametros_recargas!$K$80*'Plan mensual'!I315+parametros_recargas!$L$80*'Plan mensual'!I316</f>
        <v>22143.4410564677</v>
      </c>
      <c r="H298" s="25" t="n">
        <f aca="false">parametros_recargas!$E$80*'Plan mensual'!J309+parametros_recargas!$F$80*'Plan mensual'!J310+parametros_recargas!$G$80*'Plan mensual'!J311+parametros_recargas!$H$80*'Plan mensual'!J312+parametros_recargas!$I$80*'Plan mensual'!J313+parametros_recargas!$J$80*'Plan mensual'!J314+parametros_recargas!$K$80*'Plan mensual'!J315+parametros_recargas!$L$80*'Plan mensual'!J316</f>
        <v>22257.6396174954</v>
      </c>
      <c r="I298" s="25" t="n">
        <f aca="false">parametros_recargas!$E$80*'Plan mensual'!K309+parametros_recargas!$F$80*'Plan mensual'!K310+parametros_recargas!$G$80*'Plan mensual'!K311+parametros_recargas!$H$80*'Plan mensual'!K312+parametros_recargas!$I$80*'Plan mensual'!K313+parametros_recargas!$J$80*'Plan mensual'!K314+parametros_recargas!$K$80*'Plan mensual'!K315+parametros_recargas!$L$80*'Plan mensual'!K316</f>
        <v>22372.4996807147</v>
      </c>
      <c r="J298" s="25" t="n">
        <f aca="false">parametros_recargas!$E$80*'Plan mensual'!L309+parametros_recargas!$F$80*'Plan mensual'!L310+parametros_recargas!$G$80*'Plan mensual'!L311+parametros_recargas!$H$80*'Plan mensual'!L312+parametros_recargas!$I$80*'Plan mensual'!L313+parametros_recargas!$J$80*'Plan mensual'!L314+parametros_recargas!$K$80*'Plan mensual'!L315+parametros_recargas!$L$80*'Plan mensual'!L316</f>
        <v>22488.0250779178</v>
      </c>
      <c r="K298" s="25" t="n">
        <f aca="false">parametros_recargas!$E$80*'Plan mensual'!M309+parametros_recargas!$F$80*'Plan mensual'!M310+parametros_recargas!$G$80*'Plan mensual'!M311+parametros_recargas!$H$80*'Plan mensual'!M312+parametros_recargas!$I$80*'Plan mensual'!M313+parametros_recargas!$J$80*'Plan mensual'!M314+parametros_recargas!$K$80*'Plan mensual'!M315+parametros_recargas!$L$80*'Plan mensual'!M316</f>
        <v>22604.2196630926</v>
      </c>
      <c r="L298" s="25" t="n">
        <f aca="false">parametros_recargas!$E$80*'Plan mensual'!N309+parametros_recargas!$F$80*'Plan mensual'!N310+parametros_recargas!$G$80*'Plan mensual'!N311+parametros_recargas!$H$80*'Plan mensual'!N312+parametros_recargas!$I$80*'Plan mensual'!N313+parametros_recargas!$J$80*'Plan mensual'!N314+parametros_recargas!$K$80*'Plan mensual'!N315+parametros_recargas!$L$80*'Plan mensual'!N316</f>
        <v>22721.0873125518</v>
      </c>
      <c r="M298" s="25" t="n">
        <f aca="false">parametros_recargas!$E$80*'Plan mensual'!O309+parametros_recargas!$F$80*'Plan mensual'!O310+parametros_recargas!$G$80*'Plan mensual'!O311+parametros_recargas!$H$80*'Plan mensual'!O312+parametros_recargas!$I$80*'Plan mensual'!O313+parametros_recargas!$J$80*'Plan mensual'!O314+parametros_recargas!$K$80*'Plan mensual'!O315+parametros_recargas!$L$80*'Plan mensual'!O316</f>
        <v>22838.6319250615</v>
      </c>
      <c r="N298" s="7" t="n">
        <f aca="false">SUM(B298:M298)</f>
        <v>266452.658321407</v>
      </c>
      <c r="O298" s="26" t="n">
        <f aca="false">MAX(B298:M298)</f>
        <v>22838.6319250615</v>
      </c>
      <c r="P298" s="15" t="n">
        <f aca="false">O298/parametros_recargas!$B$6</f>
        <v>152.257546167077</v>
      </c>
    </row>
    <row r="299" customFormat="false" ht="15" hidden="false" customHeight="false" outlineLevel="0" collapsed="false">
      <c r="A299" s="12" t="str">
        <f aca="false">parametros_recargas!$B$81</f>
        <v>Desarme e inspección interior — zona general</v>
      </c>
      <c r="B299" s="25" t="n">
        <f aca="false">parametros_recargas!$E$81*'Plan mensual'!D309+parametros_recargas!$F$81*'Plan mensual'!D310+parametros_recargas!$G$81*'Plan mensual'!D311+parametros_recargas!$H$81*'Plan mensual'!D312+parametros_recargas!$I$81*'Plan mensual'!D313+parametros_recargas!$J$81*'Plan mensual'!D314+parametros_recargas!$K$81*'Plan mensual'!D315+parametros_recargas!$L$81*'Plan mensual'!D316</f>
        <v>1782.36114071917</v>
      </c>
      <c r="C299" s="25" t="n">
        <f aca="false">parametros_recargas!$E$81*'Plan mensual'!E309+parametros_recargas!$F$81*'Plan mensual'!E310+parametros_recargas!$G$81*'Plan mensual'!E311+parametros_recargas!$H$81*'Plan mensual'!E312+parametros_recargas!$I$81*'Plan mensual'!E313+parametros_recargas!$J$81*'Plan mensual'!E314+parametros_recargas!$K$81*'Plan mensual'!E315+parametros_recargas!$L$81*'Plan mensual'!E316</f>
        <v>1790.57249912341</v>
      </c>
      <c r="D299" s="25" t="n">
        <f aca="false">parametros_recargas!$E$81*'Plan mensual'!F309+parametros_recargas!$F$81*'Plan mensual'!F310+parametros_recargas!$G$81*'Plan mensual'!F311+parametros_recargas!$H$81*'Plan mensual'!F312+parametros_recargas!$I$81*'Plan mensual'!F313+parametros_recargas!$J$81*'Plan mensual'!F314+parametros_recargas!$K$81*'Plan mensual'!F315+parametros_recargas!$L$81*'Plan mensual'!F316</f>
        <v>1798.83142232647</v>
      </c>
      <c r="E299" s="25" t="n">
        <f aca="false">parametros_recargas!$E$81*'Plan mensual'!G309+parametros_recargas!$F$81*'Plan mensual'!G310+parametros_recargas!$G$81*'Plan mensual'!G311+parametros_recargas!$H$81*'Plan mensual'!G312+parametros_recargas!$I$81*'Plan mensual'!G313+parametros_recargas!$J$81*'Plan mensual'!G314+parametros_recargas!$K$81*'Plan mensual'!G315+parametros_recargas!$L$81*'Plan mensual'!G316</f>
        <v>1807.13818585037</v>
      </c>
      <c r="F299" s="25" t="n">
        <f aca="false">parametros_recargas!$E$81*'Plan mensual'!H309+parametros_recargas!$F$81*'Plan mensual'!H310+parametros_recargas!$G$81*'Plan mensual'!H311+parametros_recargas!$H$81*'Plan mensual'!H312+parametros_recargas!$I$81*'Plan mensual'!H313+parametros_recargas!$J$81*'Plan mensual'!H314+parametros_recargas!$K$81*'Plan mensual'!H315+parametros_recargas!$L$81*'Plan mensual'!H316</f>
        <v>1815.49306681311</v>
      </c>
      <c r="G299" s="25" t="n">
        <f aca="false">parametros_recargas!$E$81*'Plan mensual'!I309+parametros_recargas!$F$81*'Plan mensual'!I310+parametros_recargas!$G$81*'Plan mensual'!I311+parametros_recargas!$H$81*'Plan mensual'!I312+parametros_recargas!$I$81*'Plan mensual'!I313+parametros_recargas!$J$81*'Plan mensual'!I314+parametros_recargas!$K$81*'Plan mensual'!I315+parametros_recargas!$L$81*'Plan mensual'!I316</f>
        <v>1823.89634393793</v>
      </c>
      <c r="H299" s="25" t="n">
        <f aca="false">parametros_recargas!$E$81*'Plan mensual'!J309+parametros_recargas!$F$81*'Plan mensual'!J310+parametros_recargas!$G$81*'Plan mensual'!J311+parametros_recargas!$H$81*'Plan mensual'!J312+parametros_recargas!$I$81*'Plan mensual'!J313+parametros_recargas!$J$81*'Plan mensual'!J314+parametros_recargas!$K$81*'Plan mensual'!J315+parametros_recargas!$L$81*'Plan mensual'!J316</f>
        <v>1832.34829756255</v>
      </c>
      <c r="I299" s="25" t="n">
        <f aca="false">parametros_recargas!$E$81*'Plan mensual'!K309+parametros_recargas!$F$81*'Plan mensual'!K310+parametros_recargas!$G$81*'Plan mensual'!K311+parametros_recargas!$H$81*'Plan mensual'!K312+parametros_recargas!$I$81*'Plan mensual'!K313+parametros_recargas!$J$81*'Plan mensual'!K314+parametros_recargas!$K$81*'Plan mensual'!K315+parametros_recargas!$L$81*'Plan mensual'!K316</f>
        <v>1840.84920964862</v>
      </c>
      <c r="J299" s="25" t="n">
        <f aca="false">parametros_recargas!$E$81*'Plan mensual'!L309+parametros_recargas!$F$81*'Plan mensual'!L310+parametros_recargas!$G$81*'Plan mensual'!L311+parametros_recargas!$H$81*'Plan mensual'!L312+parametros_recargas!$I$81*'Plan mensual'!L313+parametros_recargas!$J$81*'Plan mensual'!L314+parametros_recargas!$K$81*'Plan mensual'!L315+parametros_recargas!$L$81*'Plan mensual'!L316</f>
        <v>1849.39936379102</v>
      </c>
      <c r="K299" s="25" t="n">
        <f aca="false">parametros_recargas!$E$81*'Plan mensual'!M309+parametros_recargas!$F$81*'Plan mensual'!M310+parametros_recargas!$G$81*'Plan mensual'!M311+parametros_recargas!$H$81*'Plan mensual'!M312+parametros_recargas!$I$81*'Plan mensual'!M313+parametros_recargas!$J$81*'Plan mensual'!M314+parametros_recargas!$K$81*'Plan mensual'!M315+parametros_recargas!$L$81*'Plan mensual'!M316</f>
        <v>1857.9990452274</v>
      </c>
      <c r="L299" s="25" t="n">
        <f aca="false">parametros_recargas!$E$81*'Plan mensual'!N309+parametros_recargas!$F$81*'Plan mensual'!N310+parametros_recargas!$G$81*'Plan mensual'!N311+parametros_recargas!$H$81*'Plan mensual'!N312+parametros_recargas!$I$81*'Plan mensual'!N313+parametros_recargas!$J$81*'Plan mensual'!N314+parametros_recargas!$K$81*'Plan mensual'!N315+parametros_recargas!$L$81*'Plan mensual'!N316</f>
        <v>1866.64854084765</v>
      </c>
      <c r="M299" s="25" t="n">
        <f aca="false">parametros_recargas!$E$81*'Plan mensual'!O309+parametros_recargas!$F$81*'Plan mensual'!O310+parametros_recargas!$G$81*'Plan mensual'!O311+parametros_recargas!$H$81*'Plan mensual'!O312+parametros_recargas!$I$81*'Plan mensual'!O313+parametros_recargas!$J$81*'Plan mensual'!O314+parametros_recargas!$K$81*'Plan mensual'!O315+parametros_recargas!$L$81*'Plan mensual'!O316</f>
        <v>1875.3481392035</v>
      </c>
      <c r="N299" s="7" t="n">
        <f aca="false">SUM(B299:M299)</f>
        <v>21940.8852550512</v>
      </c>
      <c r="O299" s="26" t="n">
        <f aca="false">MAX(B299:M299)</f>
        <v>1875.3481392035</v>
      </c>
      <c r="P299" s="15" t="n">
        <f aca="false">O299/parametros_recargas!$B$6</f>
        <v>12.5023209280233</v>
      </c>
    </row>
    <row r="300" customFormat="false" ht="15" hidden="false" customHeight="false" outlineLevel="0" collapsed="false">
      <c r="A300" s="12" t="str">
        <f aca="false">parametros_recargas!$B$82</f>
        <v>Laboratorio — Puffer y mufla</v>
      </c>
      <c r="B300" s="25" t="n">
        <f aca="false">parametros_recargas!$E$82*'Plan mensual'!D309+parametros_recargas!$F$82*'Plan mensual'!D310+parametros_recargas!$G$82*'Plan mensual'!D311+parametros_recargas!$H$82*'Plan mensual'!D312+parametros_recargas!$I$82*'Plan mensual'!D313+parametros_recargas!$J$82*'Plan mensual'!D314+parametros_recargas!$K$82*'Plan mensual'!D315+parametros_recargas!$L$82*'Plan mensual'!D316</f>
        <v>21.5494849380932</v>
      </c>
      <c r="C300" s="25" t="n">
        <f aca="false">parametros_recargas!$E$82*'Plan mensual'!E309+parametros_recargas!$F$82*'Plan mensual'!E310+parametros_recargas!$G$82*'Plan mensual'!E311+parametros_recargas!$H$82*'Plan mensual'!E312+parametros_recargas!$I$82*'Plan mensual'!E313+parametros_recargas!$J$82*'Plan mensual'!E314+parametros_recargas!$K$82*'Plan mensual'!E315+parametros_recargas!$L$82*'Plan mensual'!E316</f>
        <v>21.6602873813964</v>
      </c>
      <c r="D300" s="25" t="n">
        <f aca="false">parametros_recargas!$E$82*'Plan mensual'!F309+parametros_recargas!$F$82*'Plan mensual'!F310+parametros_recargas!$G$82*'Plan mensual'!F311+parametros_recargas!$H$82*'Plan mensual'!F312+parametros_recargas!$I$82*'Plan mensual'!F313+parametros_recargas!$J$82*'Plan mensual'!F314+parametros_recargas!$K$82*'Plan mensual'!F315+parametros_recargas!$L$82*'Plan mensual'!F316</f>
        <v>21.7717316546702</v>
      </c>
      <c r="E300" s="25" t="n">
        <f aca="false">parametros_recargas!$E$82*'Plan mensual'!G309+parametros_recargas!$F$82*'Plan mensual'!G310+parametros_recargas!$G$82*'Plan mensual'!G311+parametros_recargas!$H$82*'Plan mensual'!G312+parametros_recargas!$I$82*'Plan mensual'!G313+parametros_recargas!$J$82*'Plan mensual'!G314+parametros_recargas!$K$82*'Plan mensual'!G315+parametros_recargas!$L$82*'Plan mensual'!G316</f>
        <v>21.8838214757544</v>
      </c>
      <c r="F300" s="25" t="n">
        <f aca="false">parametros_recargas!$E$82*'Plan mensual'!H309+parametros_recargas!$F$82*'Plan mensual'!H310+parametros_recargas!$G$82*'Plan mensual'!H311+parametros_recargas!$H$82*'Plan mensual'!H312+parametros_recargas!$I$82*'Plan mensual'!H313+parametros_recargas!$J$82*'Plan mensual'!H314+parametros_recargas!$K$82*'Plan mensual'!H315+parametros_recargas!$L$82*'Plan mensual'!H316</f>
        <v>21.9965605840243</v>
      </c>
      <c r="G300" s="25" t="n">
        <f aca="false">parametros_recargas!$E$82*'Plan mensual'!I309+parametros_recargas!$F$82*'Plan mensual'!I310+parametros_recargas!$G$82*'Plan mensual'!I311+parametros_recargas!$H$82*'Plan mensual'!I312+parametros_recargas!$I$82*'Plan mensual'!I313+parametros_recargas!$J$82*'Plan mensual'!I314+parametros_recargas!$K$82*'Plan mensual'!I315+parametros_recargas!$L$82*'Plan mensual'!I316</f>
        <v>22.109952740516</v>
      </c>
      <c r="H300" s="25" t="n">
        <f aca="false">parametros_recargas!$E$82*'Plan mensual'!J309+parametros_recargas!$F$82*'Plan mensual'!J310+parametros_recargas!$G$82*'Plan mensual'!J311+parametros_recargas!$H$82*'Plan mensual'!J312+parametros_recargas!$I$82*'Plan mensual'!J313+parametros_recargas!$J$82*'Plan mensual'!J314+parametros_recargas!$K$82*'Plan mensual'!J315+parametros_recargas!$L$82*'Plan mensual'!J316</f>
        <v>22.2240017280513</v>
      </c>
      <c r="I300" s="25" t="n">
        <f aca="false">parametros_recargas!$E$82*'Plan mensual'!K309+parametros_recargas!$F$82*'Plan mensual'!K310+parametros_recargas!$G$82*'Plan mensual'!K311+parametros_recargas!$H$82*'Plan mensual'!K312+parametros_recargas!$I$82*'Plan mensual'!K313+parametros_recargas!$J$82*'Plan mensual'!K314+parametros_recargas!$K$82*'Plan mensual'!K315+parametros_recargas!$L$82*'Plan mensual'!K316</f>
        <v>22.3387113513646</v>
      </c>
      <c r="J300" s="25" t="n">
        <f aca="false">parametros_recargas!$E$82*'Plan mensual'!L309+parametros_recargas!$F$82*'Plan mensual'!L310+parametros_recargas!$G$82*'Plan mensual'!L311+parametros_recargas!$H$82*'Plan mensual'!L312+parametros_recargas!$I$82*'Plan mensual'!L313+parametros_recargas!$J$82*'Plan mensual'!L314+parametros_recargas!$K$82*'Plan mensual'!L315+parametros_recargas!$L$82*'Plan mensual'!L316</f>
        <v>22.4540854372292</v>
      </c>
      <c r="K300" s="25" t="n">
        <f aca="false">parametros_recargas!$E$82*'Plan mensual'!M309+parametros_recargas!$F$82*'Plan mensual'!M310+parametros_recargas!$G$82*'Plan mensual'!M311+parametros_recargas!$H$82*'Plan mensual'!M312+parametros_recargas!$I$82*'Plan mensual'!M313+parametros_recargas!$J$82*'Plan mensual'!M314+parametros_recargas!$K$82*'Plan mensual'!M315+parametros_recargas!$L$82*'Plan mensual'!M316</f>
        <v>22.5701278345854</v>
      </c>
      <c r="L300" s="25" t="n">
        <f aca="false">parametros_recargas!$E$82*'Plan mensual'!N309+parametros_recargas!$F$82*'Plan mensual'!N310+parametros_recargas!$G$82*'Plan mensual'!N311+parametros_recargas!$H$82*'Plan mensual'!N312+parametros_recargas!$I$82*'Plan mensual'!N313+parametros_recargas!$J$82*'Plan mensual'!N314+parametros_recargas!$K$82*'Plan mensual'!N315+parametros_recargas!$L$82*'Plan mensual'!N316</f>
        <v>22.6868424146686</v>
      </c>
      <c r="M300" s="25" t="n">
        <f aca="false">parametros_recargas!$E$82*'Plan mensual'!O309+parametros_recargas!$F$82*'Plan mensual'!O310+parametros_recargas!$G$82*'Plan mensual'!O311+parametros_recargas!$H$82*'Plan mensual'!O312+parametros_recargas!$I$82*'Plan mensual'!O313+parametros_recargas!$J$82*'Plan mensual'!O314+parametros_recargas!$K$82*'Plan mensual'!O315+parametros_recargas!$L$82*'Plan mensual'!O316</f>
        <v>22.8042330711387</v>
      </c>
      <c r="N300" s="7" t="n">
        <f aca="false">SUM(B300:M300)</f>
        <v>266.049840611492</v>
      </c>
      <c r="O300" s="26" t="n">
        <f aca="false">MAX(B300:M300)</f>
        <v>22.8042330711387</v>
      </c>
      <c r="P300" s="15" t="n">
        <f aca="false">O300/parametros_recargas!$B$6</f>
        <v>0.152028220474258</v>
      </c>
    </row>
    <row r="301" customFormat="false" ht="15" hidden="false" customHeight="false" outlineLevel="0" collapsed="false">
      <c r="A301" s="12" t="str">
        <f aca="false">parametros_recargas!$B$83</f>
        <v>Prueba hidráulica</v>
      </c>
      <c r="B301" s="25" t="n">
        <f aca="false">parametros_recargas!$E$83*'Plan mensual'!D309+parametros_recargas!$F$83*'Plan mensual'!D310+parametros_recargas!$G$83*'Plan mensual'!D311+parametros_recargas!$H$83*'Plan mensual'!D312+parametros_recargas!$I$83*'Plan mensual'!D313+parametros_recargas!$J$83*'Plan mensual'!D314+parametros_recargas!$K$83*'Plan mensual'!D315+parametros_recargas!$L$83*'Plan mensual'!D316</f>
        <v>5379.77490098544</v>
      </c>
      <c r="C301" s="25" t="n">
        <f aca="false">parametros_recargas!$E$83*'Plan mensual'!E309+parametros_recargas!$F$83*'Plan mensual'!E310+parametros_recargas!$G$83*'Plan mensual'!E311+parametros_recargas!$H$83*'Plan mensual'!E312+parametros_recargas!$I$83*'Plan mensual'!E313+parametros_recargas!$J$83*'Plan mensual'!E314+parametros_recargas!$K$83*'Plan mensual'!E315+parametros_recargas!$L$83*'Plan mensual'!E316</f>
        <v>5406.86318688849</v>
      </c>
      <c r="D301" s="25" t="n">
        <f aca="false">parametros_recargas!$E$83*'Plan mensual'!F309+parametros_recargas!$F$83*'Plan mensual'!F310+parametros_recargas!$G$83*'Plan mensual'!F311+parametros_recargas!$H$83*'Plan mensual'!F312+parametros_recargas!$I$83*'Plan mensual'!F313+parametros_recargas!$J$83*'Plan mensual'!F314+parametros_recargas!$K$83*'Plan mensual'!F315+parametros_recargas!$L$83*'Plan mensual'!F316</f>
        <v>5434.10838335443</v>
      </c>
      <c r="E301" s="25" t="n">
        <f aca="false">parametros_recargas!$E$83*'Plan mensual'!G309+parametros_recargas!$F$83*'Plan mensual'!G310+parametros_recargas!$G$83*'Plan mensual'!G311+parametros_recargas!$H$83*'Plan mensual'!G312+parametros_recargas!$I$83*'Plan mensual'!G313+parametros_recargas!$J$83*'Plan mensual'!G314+parametros_recargas!$K$83*'Plan mensual'!G315+parametros_recargas!$L$83*'Plan mensual'!G316</f>
        <v>5461.51139929734</v>
      </c>
      <c r="F301" s="25" t="n">
        <f aca="false">parametros_recargas!$E$83*'Plan mensual'!H309+parametros_recargas!$F$83*'Plan mensual'!H310+parametros_recargas!$G$83*'Plan mensual'!H311+parametros_recargas!$H$83*'Plan mensual'!H312+parametros_recargas!$I$83*'Plan mensual'!H313+parametros_recargas!$J$83*'Plan mensual'!H314+parametros_recargas!$K$83*'Plan mensual'!H315+parametros_recargas!$L$83*'Plan mensual'!H316</f>
        <v>5489.07314889626</v>
      </c>
      <c r="G301" s="25" t="n">
        <f aca="false">parametros_recargas!$E$83*'Plan mensual'!I309+parametros_recargas!$F$83*'Plan mensual'!I310+parametros_recargas!$G$83*'Plan mensual'!I311+parametros_recargas!$H$83*'Plan mensual'!I312+parametros_recargas!$I$83*'Plan mensual'!I313+parametros_recargas!$J$83*'Plan mensual'!I314+parametros_recargas!$K$83*'Plan mensual'!I315+parametros_recargas!$L$83*'Plan mensual'!I316</f>
        <v>5516.79455162567</v>
      </c>
      <c r="H301" s="25" t="n">
        <f aca="false">parametros_recargas!$E$83*'Plan mensual'!J309+parametros_recargas!$F$83*'Plan mensual'!J310+parametros_recargas!$G$83*'Plan mensual'!J311+parametros_recargas!$H$83*'Plan mensual'!J312+parametros_recargas!$I$83*'Plan mensual'!J313+parametros_recargas!$J$83*'Plan mensual'!J314+parametros_recargas!$K$83*'Plan mensual'!J315+parametros_recargas!$L$83*'Plan mensual'!J316</f>
        <v>5544.67653228613</v>
      </c>
      <c r="I301" s="25" t="n">
        <f aca="false">parametros_recargas!$E$83*'Plan mensual'!K309+parametros_recargas!$F$83*'Plan mensual'!K310+parametros_recargas!$G$83*'Plan mensual'!K311+parametros_recargas!$H$83*'Plan mensual'!K312+parametros_recargas!$I$83*'Plan mensual'!K313+parametros_recargas!$J$83*'Plan mensual'!K314+parametros_recargas!$K$83*'Plan mensual'!K315+parametros_recargas!$L$83*'Plan mensual'!K316</f>
        <v>5572.72002103521</v>
      </c>
      <c r="J301" s="25" t="n">
        <f aca="false">parametros_recargas!$E$83*'Plan mensual'!L309+parametros_recargas!$F$83*'Plan mensual'!L310+parametros_recargas!$G$83*'Plan mensual'!L311+parametros_recargas!$H$83*'Plan mensual'!L312+parametros_recargas!$I$83*'Plan mensual'!L313+parametros_recargas!$J$83*'Plan mensual'!L314+parametros_recargas!$K$83*'Plan mensual'!L315+parametros_recargas!$L$83*'Plan mensual'!L316</f>
        <v>5600.92595341843</v>
      </c>
      <c r="K301" s="25" t="n">
        <f aca="false">parametros_recargas!$E$83*'Plan mensual'!M309+parametros_recargas!$F$83*'Plan mensual'!M310+parametros_recargas!$G$83*'Plan mensual'!M311+parametros_recargas!$H$83*'Plan mensual'!M312+parametros_recargas!$I$83*'Plan mensual'!M313+parametros_recargas!$J$83*'Plan mensual'!M314+parametros_recargas!$K$83*'Plan mensual'!M315+parametros_recargas!$L$83*'Plan mensual'!M316</f>
        <v>5629.29527040055</v>
      </c>
      <c r="L301" s="25" t="n">
        <f aca="false">parametros_recargas!$E$83*'Plan mensual'!N309+parametros_recargas!$F$83*'Plan mensual'!N310+parametros_recargas!$G$83*'Plan mensual'!N311+parametros_recargas!$H$83*'Plan mensual'!N312+parametros_recargas!$I$83*'Plan mensual'!N313+parametros_recargas!$J$83*'Plan mensual'!N314+parametros_recargas!$K$83*'Plan mensual'!N315+parametros_recargas!$L$83*'Plan mensual'!N316</f>
        <v>5657.82891839691</v>
      </c>
      <c r="M301" s="25" t="n">
        <f aca="false">parametros_recargas!$E$83*'Plan mensual'!O309+parametros_recargas!$F$83*'Plan mensual'!O310+parametros_recargas!$G$83*'Plan mensual'!O311+parametros_recargas!$H$83*'Plan mensual'!O312+parametros_recargas!$I$83*'Plan mensual'!O313+parametros_recargas!$J$83*'Plan mensual'!O314+parametros_recargas!$K$83*'Plan mensual'!O315+parametros_recargas!$L$83*'Plan mensual'!O316</f>
        <v>5686.52784930501</v>
      </c>
      <c r="N301" s="7" t="n">
        <f aca="false">SUM(B301:M301)</f>
        <v>66380.1001158899</v>
      </c>
      <c r="O301" s="26" t="n">
        <f aca="false">MAX(B301:M301)</f>
        <v>5686.52784930501</v>
      </c>
      <c r="P301" s="15" t="n">
        <f aca="false">O301/parametros_recargas!$B$6</f>
        <v>37.9101856620334</v>
      </c>
    </row>
    <row r="302" customFormat="false" ht="15" hidden="false" customHeight="false" outlineLevel="0" collapsed="false">
      <c r="A302" s="12" t="str">
        <f aca="false">parametros_recargas!$B$84</f>
        <v>Secado</v>
      </c>
      <c r="B302" s="25" t="n">
        <f aca="false">parametros_recargas!$E$84*'Plan mensual'!D309+parametros_recargas!$F$84*'Plan mensual'!D310+parametros_recargas!$G$84*'Plan mensual'!D311+parametros_recargas!$H$84*'Plan mensual'!D312+parametros_recargas!$I$84*'Plan mensual'!D313+parametros_recargas!$J$84*'Plan mensual'!D314+parametros_recargas!$K$84*'Plan mensual'!D315+parametros_recargas!$L$84*'Plan mensual'!D316</f>
        <v>4991.32786071183</v>
      </c>
      <c r="C302" s="25" t="n">
        <f aca="false">parametros_recargas!$E$84*'Plan mensual'!E309+parametros_recargas!$F$84*'Plan mensual'!E310+parametros_recargas!$G$84*'Plan mensual'!E311+parametros_recargas!$H$84*'Plan mensual'!E312+parametros_recargas!$I$84*'Plan mensual'!E313+parametros_recargas!$J$84*'Plan mensual'!E314+parametros_recargas!$K$84*'Plan mensual'!E315+parametros_recargas!$L$84*'Plan mensual'!E316</f>
        <v>5016.7417031701</v>
      </c>
      <c r="D302" s="25" t="n">
        <f aca="false">parametros_recargas!$E$84*'Plan mensual'!F309+parametros_recargas!$F$84*'Plan mensual'!F310+parametros_recargas!$G$84*'Plan mensual'!F311+parametros_recargas!$H$84*'Plan mensual'!F312+parametros_recargas!$I$84*'Plan mensual'!F313+parametros_recargas!$J$84*'Plan mensual'!F314+parametros_recargas!$K$84*'Plan mensual'!F315+parametros_recargas!$L$84*'Plan mensual'!F316</f>
        <v>5042.30275687458</v>
      </c>
      <c r="E302" s="25" t="n">
        <f aca="false">parametros_recargas!$E$84*'Plan mensual'!G309+parametros_recargas!$F$84*'Plan mensual'!G310+parametros_recargas!$G$84*'Plan mensual'!G311+parametros_recargas!$H$84*'Plan mensual'!G312+parametros_recargas!$I$84*'Plan mensual'!G313+parametros_recargas!$J$84*'Plan mensual'!G314+parametros_recargas!$K$84*'Plan mensual'!G315+parametros_recargas!$L$84*'Plan mensual'!G316</f>
        <v>5068.01187455546</v>
      </c>
      <c r="F302" s="25" t="n">
        <f aca="false">parametros_recargas!$E$84*'Plan mensual'!H309+parametros_recargas!$F$84*'Plan mensual'!H310+parametros_recargas!$G$84*'Plan mensual'!H311+parametros_recargas!$H$84*'Plan mensual'!H312+parametros_recargas!$I$84*'Plan mensual'!H313+parametros_recargas!$J$84*'Plan mensual'!H314+parametros_recargas!$K$84*'Plan mensual'!H315+parametros_recargas!$L$84*'Plan mensual'!H316</f>
        <v>5093.86991388244</v>
      </c>
      <c r="G302" s="25" t="n">
        <f aca="false">parametros_recargas!$E$84*'Plan mensual'!I309+parametros_recargas!$F$84*'Plan mensual'!I310+parametros_recargas!$G$84*'Plan mensual'!I311+parametros_recargas!$H$84*'Plan mensual'!I312+parametros_recargas!$I$84*'Plan mensual'!I313+parametros_recargas!$J$84*'Plan mensual'!I314+parametros_recargas!$K$84*'Plan mensual'!I315+parametros_recargas!$L$84*'Plan mensual'!I316</f>
        <v>5119.87773749331</v>
      </c>
      <c r="H302" s="25" t="n">
        <f aca="false">parametros_recargas!$E$84*'Plan mensual'!J309+parametros_recargas!$F$84*'Plan mensual'!J310+parametros_recargas!$G$84*'Plan mensual'!J311+parametros_recargas!$H$84*'Plan mensual'!J312+parametros_recargas!$I$84*'Plan mensual'!J313+parametros_recargas!$J$84*'Plan mensual'!J314+parametros_recargas!$K$84*'Plan mensual'!J315+parametros_recargas!$L$84*'Plan mensual'!J316</f>
        <v>5146.03621302277</v>
      </c>
      <c r="I302" s="25" t="n">
        <f aca="false">parametros_recargas!$E$84*'Plan mensual'!K309+parametros_recargas!$F$84*'Plan mensual'!K310+parametros_recargas!$G$84*'Plan mensual'!K311+parametros_recargas!$H$84*'Plan mensual'!K312+parametros_recargas!$I$84*'Plan mensual'!K313+parametros_recargas!$J$84*'Plan mensual'!K314+parametros_recargas!$K$84*'Plan mensual'!K315+parametros_recargas!$L$84*'Plan mensual'!K316</f>
        <v>5172.3462131313</v>
      </c>
      <c r="J302" s="25" t="n">
        <f aca="false">parametros_recargas!$E$84*'Plan mensual'!L309+parametros_recargas!$F$84*'Plan mensual'!L310+parametros_recargas!$G$84*'Plan mensual'!L311+parametros_recargas!$H$84*'Plan mensual'!L312+parametros_recargas!$I$84*'Plan mensual'!L313+parametros_recargas!$J$84*'Plan mensual'!L314+parametros_recargas!$K$84*'Plan mensual'!L315+parametros_recargas!$L$84*'Plan mensual'!L316</f>
        <v>5198.80861553438</v>
      </c>
      <c r="K302" s="25" t="n">
        <f aca="false">parametros_recargas!$E$84*'Plan mensual'!M309+parametros_recargas!$F$84*'Plan mensual'!M310+parametros_recargas!$G$84*'Plan mensual'!M311+parametros_recargas!$H$84*'Plan mensual'!M312+parametros_recargas!$I$84*'Plan mensual'!M313+parametros_recargas!$J$84*'Plan mensual'!M314+parametros_recargas!$K$84*'Plan mensual'!M315+parametros_recargas!$L$84*'Plan mensual'!M316</f>
        <v>5225.42430303166</v>
      </c>
      <c r="L302" s="25" t="n">
        <f aca="false">parametros_recargas!$E$84*'Plan mensual'!N309+parametros_recargas!$F$84*'Plan mensual'!N310+parametros_recargas!$G$84*'Plan mensual'!N311+parametros_recargas!$H$84*'Plan mensual'!N312+parametros_recargas!$I$84*'Plan mensual'!N313+parametros_recargas!$J$84*'Plan mensual'!N314+parametros_recargas!$K$84*'Plan mensual'!N315+parametros_recargas!$L$84*'Plan mensual'!N316</f>
        <v>5252.19416353647</v>
      </c>
      <c r="M302" s="25" t="n">
        <f aca="false">parametros_recargas!$E$84*'Plan mensual'!O309+parametros_recargas!$F$84*'Plan mensual'!O310+parametros_recargas!$G$84*'Plan mensual'!O311+parametros_recargas!$H$84*'Plan mensual'!O312+parametros_recargas!$I$84*'Plan mensual'!O313+parametros_recargas!$J$84*'Plan mensual'!O314+parametros_recargas!$K$84*'Plan mensual'!O315+parametros_recargas!$L$84*'Plan mensual'!O316</f>
        <v>5279.11909010547</v>
      </c>
      <c r="N302" s="7" t="n">
        <f aca="false">SUM(B302:M302)</f>
        <v>61606.0604450498</v>
      </c>
      <c r="O302" s="26" t="n">
        <f aca="false">MAX(B302:M302)</f>
        <v>5279.11909010547</v>
      </c>
      <c r="P302" s="15" t="n">
        <f aca="false">O302/parametros_recargas!$B$6</f>
        <v>35.1941272673698</v>
      </c>
    </row>
    <row r="303" customFormat="false" ht="15" hidden="false" customHeight="false" outlineLevel="0" collapsed="false">
      <c r="A303" s="12" t="str">
        <f aca="false">parametros_recargas!$B$85</f>
        <v>Inspección interior con videoscopio</v>
      </c>
      <c r="B303" s="25" t="n">
        <f aca="false">parametros_recargas!$E$85*'Plan mensual'!D309+parametros_recargas!$F$85*'Plan mensual'!D310+parametros_recargas!$G$85*'Plan mensual'!D311+parametros_recargas!$H$85*'Plan mensual'!D312+parametros_recargas!$I$85*'Plan mensual'!D313+parametros_recargas!$J$85*'Plan mensual'!D314+parametros_recargas!$K$85*'Plan mensual'!D315+parametros_recargas!$L$85*'Plan mensual'!D316</f>
        <v>4991.32786071183</v>
      </c>
      <c r="C303" s="25" t="n">
        <f aca="false">parametros_recargas!$E$85*'Plan mensual'!E309+parametros_recargas!$F$85*'Plan mensual'!E310+parametros_recargas!$G$85*'Plan mensual'!E311+parametros_recargas!$H$85*'Plan mensual'!E312+parametros_recargas!$I$85*'Plan mensual'!E313+parametros_recargas!$J$85*'Plan mensual'!E314+parametros_recargas!$K$85*'Plan mensual'!E315+parametros_recargas!$L$85*'Plan mensual'!E316</f>
        <v>5016.7417031701</v>
      </c>
      <c r="D303" s="25" t="n">
        <f aca="false">parametros_recargas!$E$85*'Plan mensual'!F309+parametros_recargas!$F$85*'Plan mensual'!F310+parametros_recargas!$G$85*'Plan mensual'!F311+parametros_recargas!$H$85*'Plan mensual'!F312+parametros_recargas!$I$85*'Plan mensual'!F313+parametros_recargas!$J$85*'Plan mensual'!F314+parametros_recargas!$K$85*'Plan mensual'!F315+parametros_recargas!$L$85*'Plan mensual'!F316</f>
        <v>5042.30275687458</v>
      </c>
      <c r="E303" s="25" t="n">
        <f aca="false">parametros_recargas!$E$85*'Plan mensual'!G309+parametros_recargas!$F$85*'Plan mensual'!G310+parametros_recargas!$G$85*'Plan mensual'!G311+parametros_recargas!$H$85*'Plan mensual'!G312+parametros_recargas!$I$85*'Plan mensual'!G313+parametros_recargas!$J$85*'Plan mensual'!G314+parametros_recargas!$K$85*'Plan mensual'!G315+parametros_recargas!$L$85*'Plan mensual'!G316</f>
        <v>5068.01187455546</v>
      </c>
      <c r="F303" s="25" t="n">
        <f aca="false">parametros_recargas!$E$85*'Plan mensual'!H309+parametros_recargas!$F$85*'Plan mensual'!H310+parametros_recargas!$G$85*'Plan mensual'!H311+parametros_recargas!$H$85*'Plan mensual'!H312+parametros_recargas!$I$85*'Plan mensual'!H313+parametros_recargas!$J$85*'Plan mensual'!H314+parametros_recargas!$K$85*'Plan mensual'!H315+parametros_recargas!$L$85*'Plan mensual'!H316</f>
        <v>5093.86991388244</v>
      </c>
      <c r="G303" s="25" t="n">
        <f aca="false">parametros_recargas!$E$85*'Plan mensual'!I309+parametros_recargas!$F$85*'Plan mensual'!I310+parametros_recargas!$G$85*'Plan mensual'!I311+parametros_recargas!$H$85*'Plan mensual'!I312+parametros_recargas!$I$85*'Plan mensual'!I313+parametros_recargas!$J$85*'Plan mensual'!I314+parametros_recargas!$K$85*'Plan mensual'!I315+parametros_recargas!$L$85*'Plan mensual'!I316</f>
        <v>5119.87773749331</v>
      </c>
      <c r="H303" s="25" t="n">
        <f aca="false">parametros_recargas!$E$85*'Plan mensual'!J309+parametros_recargas!$F$85*'Plan mensual'!J310+parametros_recargas!$G$85*'Plan mensual'!J311+parametros_recargas!$H$85*'Plan mensual'!J312+parametros_recargas!$I$85*'Plan mensual'!J313+parametros_recargas!$J$85*'Plan mensual'!J314+parametros_recargas!$K$85*'Plan mensual'!J315+parametros_recargas!$L$85*'Plan mensual'!J316</f>
        <v>5146.03621302277</v>
      </c>
      <c r="I303" s="25" t="n">
        <f aca="false">parametros_recargas!$E$85*'Plan mensual'!K309+parametros_recargas!$F$85*'Plan mensual'!K310+parametros_recargas!$G$85*'Plan mensual'!K311+parametros_recargas!$H$85*'Plan mensual'!K312+parametros_recargas!$I$85*'Plan mensual'!K313+parametros_recargas!$J$85*'Plan mensual'!K314+parametros_recargas!$K$85*'Plan mensual'!K315+parametros_recargas!$L$85*'Plan mensual'!K316</f>
        <v>5172.3462131313</v>
      </c>
      <c r="J303" s="25" t="n">
        <f aca="false">parametros_recargas!$E$85*'Plan mensual'!L309+parametros_recargas!$F$85*'Plan mensual'!L310+parametros_recargas!$G$85*'Plan mensual'!L311+parametros_recargas!$H$85*'Plan mensual'!L312+parametros_recargas!$I$85*'Plan mensual'!L313+parametros_recargas!$J$85*'Plan mensual'!L314+parametros_recargas!$K$85*'Plan mensual'!L315+parametros_recargas!$L$85*'Plan mensual'!L316</f>
        <v>5198.80861553438</v>
      </c>
      <c r="K303" s="25" t="n">
        <f aca="false">parametros_recargas!$E$85*'Plan mensual'!M309+parametros_recargas!$F$85*'Plan mensual'!M310+parametros_recargas!$G$85*'Plan mensual'!M311+parametros_recargas!$H$85*'Plan mensual'!M312+parametros_recargas!$I$85*'Plan mensual'!M313+parametros_recargas!$J$85*'Plan mensual'!M314+parametros_recargas!$K$85*'Plan mensual'!M315+parametros_recargas!$L$85*'Plan mensual'!M316</f>
        <v>5225.42430303166</v>
      </c>
      <c r="L303" s="25" t="n">
        <f aca="false">parametros_recargas!$E$85*'Plan mensual'!N309+parametros_recargas!$F$85*'Plan mensual'!N310+parametros_recargas!$G$85*'Plan mensual'!N311+parametros_recargas!$H$85*'Plan mensual'!N312+parametros_recargas!$I$85*'Plan mensual'!N313+parametros_recargas!$J$85*'Plan mensual'!N314+parametros_recargas!$K$85*'Plan mensual'!N315+parametros_recargas!$L$85*'Plan mensual'!N316</f>
        <v>5252.19416353647</v>
      </c>
      <c r="M303" s="25" t="n">
        <f aca="false">parametros_recargas!$E$85*'Plan mensual'!O309+parametros_recargas!$F$85*'Plan mensual'!O310+parametros_recargas!$G$85*'Plan mensual'!O311+parametros_recargas!$H$85*'Plan mensual'!O312+parametros_recargas!$I$85*'Plan mensual'!O313+parametros_recargas!$J$85*'Plan mensual'!O314+parametros_recargas!$K$85*'Plan mensual'!O315+parametros_recargas!$L$85*'Plan mensual'!O316</f>
        <v>5279.11909010547</v>
      </c>
      <c r="N303" s="7" t="n">
        <f aca="false">SUM(B303:M303)</f>
        <v>61606.0604450498</v>
      </c>
      <c r="O303" s="26" t="n">
        <f aca="false">MAX(B303:M303)</f>
        <v>5279.11909010547</v>
      </c>
      <c r="P303" s="15" t="n">
        <f aca="false">O303/parametros_recargas!$B$6</f>
        <v>35.1941272673698</v>
      </c>
    </row>
    <row r="304" customFormat="false" ht="15" hidden="false" customHeight="false" outlineLevel="0" collapsed="false">
      <c r="A304" s="12" t="str">
        <f aca="false">parametros_recargas!$B$86</f>
        <v>Pintura</v>
      </c>
      <c r="B304" s="25" t="n">
        <f aca="false">parametros_recargas!$E$86*'Plan mensual'!D309+parametros_recargas!$F$86*'Plan mensual'!D310+parametros_recargas!$G$86*'Plan mensual'!D311+parametros_recargas!$H$86*'Plan mensual'!D312+parametros_recargas!$I$86*'Plan mensual'!D313+parametros_recargas!$J$86*'Plan mensual'!D314+parametros_recargas!$K$86*'Plan mensual'!D315+parametros_recargas!$L$86*'Plan mensual'!D316</f>
        <v>2508.6066237832</v>
      </c>
      <c r="C304" s="25" t="n">
        <f aca="false">parametros_recargas!$E$86*'Plan mensual'!E309+parametros_recargas!$F$86*'Plan mensual'!E310+parametros_recargas!$G$86*'Plan mensual'!E311+parametros_recargas!$H$86*'Plan mensual'!E312+parametros_recargas!$I$86*'Plan mensual'!E313+parametros_recargas!$J$86*'Plan mensual'!E314+parametros_recargas!$K$86*'Plan mensual'!E315+parametros_recargas!$L$86*'Plan mensual'!E316</f>
        <v>2521.31559042428</v>
      </c>
      <c r="D304" s="25" t="n">
        <f aca="false">parametros_recargas!$E$86*'Plan mensual'!F309+parametros_recargas!$F$86*'Plan mensual'!F310+parametros_recargas!$G$86*'Plan mensual'!F311+parametros_recargas!$H$86*'Plan mensual'!F312+parametros_recargas!$I$86*'Plan mensual'!F313+parametros_recargas!$J$86*'Plan mensual'!F314+parametros_recargas!$K$86*'Plan mensual'!F315+parametros_recargas!$L$86*'Plan mensual'!F316</f>
        <v>2534.09817453664</v>
      </c>
      <c r="E304" s="25" t="n">
        <f aca="false">parametros_recargas!$E$86*'Plan mensual'!G309+parametros_recargas!$F$86*'Plan mensual'!G310+parametros_recargas!$G$86*'Plan mensual'!G311+parametros_recargas!$H$86*'Plan mensual'!G312+parametros_recargas!$I$86*'Plan mensual'!G313+parametros_recargas!$J$86*'Plan mensual'!G314+parametros_recargas!$K$86*'Plan mensual'!G315+parametros_recargas!$L$86*'Plan mensual'!G316</f>
        <v>2546.95480255401</v>
      </c>
      <c r="F304" s="25" t="n">
        <f aca="false">parametros_recargas!$E$86*'Plan mensual'!H309+parametros_recargas!$F$86*'Plan mensual'!H310+parametros_recargas!$G$86*'Plan mensual'!H311+parametros_recargas!$H$86*'Plan mensual'!H312+parametros_recargas!$I$86*'Plan mensual'!H313+parametros_recargas!$J$86*'Plan mensual'!H314+parametros_recargas!$K$86*'Plan mensual'!H315+parametros_recargas!$L$86*'Plan mensual'!H316</f>
        <v>2559.88590338026</v>
      </c>
      <c r="G304" s="25" t="n">
        <f aca="false">parametros_recargas!$E$86*'Plan mensual'!I309+parametros_recargas!$F$86*'Plan mensual'!I310+parametros_recargas!$G$86*'Plan mensual'!I311+parametros_recargas!$H$86*'Plan mensual'!I312+parametros_recargas!$I$86*'Plan mensual'!I313+parametros_recargas!$J$86*'Plan mensual'!I314+parametros_recargas!$K$86*'Plan mensual'!I315+parametros_recargas!$L$86*'Plan mensual'!I316</f>
        <v>2572.89190840372</v>
      </c>
      <c r="H304" s="25" t="n">
        <f aca="false">parametros_recargas!$E$86*'Plan mensual'!J309+parametros_recargas!$F$86*'Plan mensual'!J310+parametros_recargas!$G$86*'Plan mensual'!J311+parametros_recargas!$H$86*'Plan mensual'!J312+parametros_recargas!$I$86*'Plan mensual'!J313+parametros_recargas!$J$86*'Plan mensual'!J314+parametros_recargas!$K$86*'Plan mensual'!J315+parametros_recargas!$L$86*'Plan mensual'!J316</f>
        <v>2585.97325151157</v>
      </c>
      <c r="I304" s="25" t="n">
        <f aca="false">parametros_recargas!$E$86*'Plan mensual'!K309+parametros_recargas!$F$86*'Plan mensual'!K310+parametros_recargas!$G$86*'Plan mensual'!K311+parametros_recargas!$H$86*'Plan mensual'!K312+parametros_recargas!$I$86*'Plan mensual'!K313+parametros_recargas!$J$86*'Plan mensual'!K314+parametros_recargas!$K$86*'Plan mensual'!K315+parametros_recargas!$L$86*'Plan mensual'!K316</f>
        <v>2599.13036910429</v>
      </c>
      <c r="J304" s="25" t="n">
        <f aca="false">parametros_recargas!$E$86*'Plan mensual'!L309+parametros_recargas!$F$86*'Plan mensual'!L310+parametros_recargas!$G$86*'Plan mensual'!L311+parametros_recargas!$H$86*'Plan mensual'!L312+parametros_recargas!$I$86*'Plan mensual'!L313+parametros_recargas!$J$86*'Plan mensual'!L314+parametros_recargas!$K$86*'Plan mensual'!L315+parametros_recargas!$L$86*'Plan mensual'!L316</f>
        <v>2612.36370011025</v>
      </c>
      <c r="K304" s="25" t="n">
        <f aca="false">parametros_recargas!$E$86*'Plan mensual'!M309+parametros_recargas!$F$86*'Plan mensual'!M310+parametros_recargas!$G$86*'Plan mensual'!M311+parametros_recargas!$H$86*'Plan mensual'!M312+parametros_recargas!$I$86*'Plan mensual'!M313+parametros_recargas!$J$86*'Plan mensual'!M314+parametros_recargas!$K$86*'Plan mensual'!M315+parametros_recargas!$L$86*'Plan mensual'!M316</f>
        <v>2625.67368600033</v>
      </c>
      <c r="L304" s="25" t="n">
        <f aca="false">parametros_recargas!$E$86*'Plan mensual'!N309+parametros_recargas!$F$86*'Plan mensual'!N310+parametros_recargas!$G$86*'Plan mensual'!N311+parametros_recargas!$H$86*'Plan mensual'!N312+parametros_recargas!$I$86*'Plan mensual'!N313+parametros_recargas!$J$86*'Plan mensual'!N314+parametros_recargas!$K$86*'Plan mensual'!N315+parametros_recargas!$L$86*'Plan mensual'!N316</f>
        <v>2639.06077080267</v>
      </c>
      <c r="M304" s="25" t="n">
        <f aca="false">parametros_recargas!$E$86*'Plan mensual'!O309+parametros_recargas!$F$86*'Plan mensual'!O310+parametros_recargas!$G$86*'Plan mensual'!O311+parametros_recargas!$H$86*'Plan mensual'!O312+parametros_recargas!$I$86*'Plan mensual'!O313+parametros_recargas!$J$86*'Plan mensual'!O314+parametros_recargas!$K$86*'Plan mensual'!O315+parametros_recargas!$L$86*'Plan mensual'!O316</f>
        <v>2652.52540111746</v>
      </c>
      <c r="N304" s="7" t="n">
        <f aca="false">SUM(B304:M304)</f>
        <v>30958.4801817287</v>
      </c>
      <c r="O304" s="26" t="n">
        <f aca="false">MAX(B304:M304)</f>
        <v>2652.52540111746</v>
      </c>
      <c r="P304" s="15" t="n">
        <f aca="false">O304/parametros_recargas!$B$6</f>
        <v>17.6835026741164</v>
      </c>
    </row>
    <row r="305" customFormat="false" ht="15" hidden="false" customHeight="false" outlineLevel="0" collapsed="false">
      <c r="A305" s="12" t="str">
        <f aca="false">parametros_recargas!$B$87</f>
        <v>Carga de polvo ABC</v>
      </c>
      <c r="B305" s="25" t="n">
        <f aca="false">parametros_recargas!$E$87*'Plan mensual'!D309+parametros_recargas!$F$87*'Plan mensual'!D310+parametros_recargas!$G$87*'Plan mensual'!D311+parametros_recargas!$H$87*'Plan mensual'!D312+parametros_recargas!$I$87*'Plan mensual'!D313+parametros_recargas!$J$87*'Plan mensual'!D314+parametros_recargas!$K$87*'Plan mensual'!D315+parametros_recargas!$L$87*'Plan mensual'!D316</f>
        <v>21513.2102217647</v>
      </c>
      <c r="C305" s="25" t="n">
        <f aca="false">parametros_recargas!$E$87*'Plan mensual'!E309+parametros_recargas!$F$87*'Plan mensual'!E310+parametros_recargas!$G$87*'Plan mensual'!E311+parametros_recargas!$H$87*'Plan mensual'!E312+parametros_recargas!$I$87*'Plan mensual'!E313+parametros_recargas!$J$87*'Plan mensual'!E314+parametros_recargas!$K$87*'Plan mensual'!E315+parametros_recargas!$L$87*'Plan mensual'!E316</f>
        <v>21623.8517783145</v>
      </c>
      <c r="D305" s="25" t="n">
        <f aca="false">parametros_recargas!$E$87*'Plan mensual'!F309+parametros_recargas!$F$87*'Plan mensual'!F310+parametros_recargas!$G$87*'Plan mensual'!F311+parametros_recargas!$H$87*'Plan mensual'!F312+parametros_recargas!$I$87*'Plan mensual'!F313+parametros_recargas!$J$87*'Plan mensual'!F314+parametros_recargas!$K$87*'Plan mensual'!F315+parametros_recargas!$L$87*'Plan mensual'!F316</f>
        <v>21735.1342328886</v>
      </c>
      <c r="E305" s="25" t="n">
        <f aca="false">parametros_recargas!$E$87*'Plan mensual'!G309+parametros_recargas!$F$87*'Plan mensual'!G310+parametros_recargas!$G$87*'Plan mensual'!G311+parametros_recargas!$H$87*'Plan mensual'!G312+parametros_recargas!$I$87*'Plan mensual'!G313+parametros_recargas!$J$87*'Plan mensual'!G314+parametros_recargas!$K$87*'Plan mensual'!G315+parametros_recargas!$L$87*'Plan mensual'!G316</f>
        <v>21847.0612979282</v>
      </c>
      <c r="F305" s="25" t="n">
        <f aca="false">parametros_recargas!$E$87*'Plan mensual'!H309+parametros_recargas!$F$87*'Plan mensual'!H310+parametros_recargas!$G$87*'Plan mensual'!H311+parametros_recargas!$H$87*'Plan mensual'!H312+parametros_recargas!$I$87*'Plan mensual'!H313+parametros_recargas!$J$87*'Plan mensual'!H314+parametros_recargas!$K$87*'Plan mensual'!H315+parametros_recargas!$L$87*'Plan mensual'!H316</f>
        <v>21959.6367073792</v>
      </c>
      <c r="G305" s="25" t="n">
        <f aca="false">parametros_recargas!$E$87*'Plan mensual'!I309+parametros_recargas!$F$87*'Plan mensual'!I310+parametros_recargas!$G$87*'Plan mensual'!I311+parametros_recargas!$H$87*'Plan mensual'!I312+parametros_recargas!$I$87*'Plan mensual'!I313+parametros_recargas!$J$87*'Plan mensual'!I314+parametros_recargas!$K$87*'Plan mensual'!I315+parametros_recargas!$L$87*'Plan mensual'!I316</f>
        <v>22072.8642168164</v>
      </c>
      <c r="H305" s="25" t="n">
        <f aca="false">parametros_recargas!$E$87*'Plan mensual'!J309+parametros_recargas!$F$87*'Plan mensual'!J310+parametros_recargas!$G$87*'Plan mensual'!J311+parametros_recargas!$H$87*'Plan mensual'!J312+parametros_recargas!$I$87*'Plan mensual'!J313+parametros_recargas!$J$87*'Plan mensual'!J314+parametros_recargas!$K$87*'Plan mensual'!J315+parametros_recargas!$L$87*'Plan mensual'!J316</f>
        <v>22186.7476035691</v>
      </c>
      <c r="I305" s="25" t="n">
        <f aca="false">parametros_recargas!$E$87*'Plan mensual'!K309+parametros_recargas!$F$87*'Plan mensual'!K310+parametros_recargas!$G$87*'Plan mensual'!K311+parametros_recargas!$H$87*'Plan mensual'!K312+parametros_recargas!$I$87*'Plan mensual'!K313+parametros_recargas!$J$87*'Plan mensual'!K314+parametros_recargas!$K$87*'Plan mensual'!K315+parametros_recargas!$L$87*'Plan mensual'!K316</f>
        <v>22301.290666847</v>
      </c>
      <c r="J305" s="25" t="n">
        <f aca="false">parametros_recargas!$E$87*'Plan mensual'!L309+parametros_recargas!$F$87*'Plan mensual'!L310+parametros_recargas!$G$87*'Plan mensual'!L311+parametros_recargas!$H$87*'Plan mensual'!L312+parametros_recargas!$I$87*'Plan mensual'!L313+parametros_recargas!$J$87*'Plan mensual'!L314+parametros_recargas!$K$87*'Plan mensual'!L315+parametros_recargas!$L$87*'Plan mensual'!L316</f>
        <v>22416.497227867</v>
      </c>
      <c r="K305" s="25" t="n">
        <f aca="false">parametros_recargas!$E$87*'Plan mensual'!M309+parametros_recargas!$F$87*'Plan mensual'!M310+parametros_recargas!$G$87*'Plan mensual'!M311+parametros_recargas!$H$87*'Plan mensual'!M312+parametros_recargas!$I$87*'Plan mensual'!M313+parametros_recargas!$J$87*'Plan mensual'!M314+parametros_recargas!$K$87*'Plan mensual'!M315+parametros_recargas!$L$87*'Plan mensual'!M316</f>
        <v>22532.3711299806</v>
      </c>
      <c r="L305" s="25" t="n">
        <f aca="false">parametros_recargas!$E$87*'Plan mensual'!N309+parametros_recargas!$F$87*'Plan mensual'!N310+parametros_recargas!$G$87*'Plan mensual'!N311+parametros_recargas!$H$87*'Plan mensual'!N312+parametros_recargas!$I$87*'Plan mensual'!N313+parametros_recargas!$J$87*'Plan mensual'!N314+parametros_recargas!$K$87*'Plan mensual'!N315+parametros_recargas!$L$87*'Plan mensual'!N316</f>
        <v>22648.9162388022</v>
      </c>
      <c r="M305" s="25" t="n">
        <f aca="false">parametros_recargas!$E$87*'Plan mensual'!O309+parametros_recargas!$F$87*'Plan mensual'!O310+parametros_recargas!$G$87*'Plan mensual'!O311+parametros_recargas!$H$87*'Plan mensual'!O312+parametros_recargas!$I$87*'Plan mensual'!O313+parametros_recargas!$J$87*'Plan mensual'!O314+parametros_recargas!$K$87*'Plan mensual'!O315+parametros_recargas!$L$87*'Plan mensual'!O316</f>
        <v>22766.1364423379</v>
      </c>
      <c r="N305" s="7" t="n">
        <f aca="false">SUM(B305:M305)</f>
        <v>265603.717764495</v>
      </c>
      <c r="O305" s="26" t="n">
        <f aca="false">MAX(B305:M305)</f>
        <v>22766.1364423379</v>
      </c>
      <c r="P305" s="15" t="n">
        <f aca="false">O305/parametros_recargas!$B$6</f>
        <v>151.774242948919</v>
      </c>
    </row>
    <row r="306" customFormat="false" ht="15" hidden="false" customHeight="false" outlineLevel="0" collapsed="false">
      <c r="A306" s="12" t="str">
        <f aca="false">parametros_recargas!$B$88</f>
        <v>Carga de polvo BC</v>
      </c>
      <c r="B306" s="25" t="n">
        <f aca="false">parametros_recargas!$E$88*'Plan mensual'!D309+parametros_recargas!$F$88*'Plan mensual'!D310+parametros_recargas!$G$88*'Plan mensual'!D311+parametros_recargas!$H$88*'Plan mensual'!D312+parametros_recargas!$I$88*'Plan mensual'!D313+parametros_recargas!$J$88*'Plan mensual'!D314+parametros_recargas!$K$88*'Plan mensual'!D315+parametros_recargas!$L$88*'Plan mensual'!D316</f>
        <v>36.274716328488</v>
      </c>
      <c r="C306" s="25" t="n">
        <f aca="false">parametros_recargas!$E$88*'Plan mensual'!E309+parametros_recargas!$F$88*'Plan mensual'!E310+parametros_recargas!$G$88*'Plan mensual'!E311+parametros_recargas!$H$88*'Plan mensual'!E312+parametros_recargas!$I$88*'Plan mensual'!E313+parametros_recargas!$J$88*'Plan mensual'!E314+parametros_recargas!$K$88*'Plan mensual'!E315+parametros_recargas!$L$88*'Plan mensual'!E316</f>
        <v>36.4356030818528</v>
      </c>
      <c r="D306" s="25" t="n">
        <f aca="false">parametros_recargas!$E$88*'Plan mensual'!F309+parametros_recargas!$F$88*'Plan mensual'!F310+parametros_recargas!$G$88*'Plan mensual'!F311+parametros_recargas!$H$88*'Plan mensual'!F312+parametros_recargas!$I$88*'Plan mensual'!F313+parametros_recargas!$J$88*'Plan mensual'!F314+parametros_recargas!$K$88*'Plan mensual'!F315+parametros_recargas!$L$88*'Plan mensual'!F316</f>
        <v>36.5974217816362</v>
      </c>
      <c r="E306" s="25" t="n">
        <f aca="false">parametros_recargas!$E$88*'Plan mensual'!G309+parametros_recargas!$F$88*'Plan mensual'!G310+parametros_recargas!$G$88*'Plan mensual'!G311+parametros_recargas!$H$88*'Plan mensual'!G312+parametros_recargas!$I$88*'Plan mensual'!G313+parametros_recargas!$J$88*'Plan mensual'!G314+parametros_recargas!$K$88*'Plan mensual'!G315+parametros_recargas!$L$88*'Plan mensual'!G316</f>
        <v>36.7601778261951</v>
      </c>
      <c r="F306" s="25" t="n">
        <f aca="false">parametros_recargas!$E$88*'Plan mensual'!H309+parametros_recargas!$F$88*'Plan mensual'!H310+parametros_recargas!$G$88*'Plan mensual'!H311+parametros_recargas!$H$88*'Plan mensual'!H312+parametros_recargas!$I$88*'Plan mensual'!H313+parametros_recargas!$J$88*'Plan mensual'!H314+parametros_recargas!$K$88*'Plan mensual'!H315+parametros_recargas!$L$88*'Plan mensual'!H316</f>
        <v>36.9238766451567</v>
      </c>
      <c r="G306" s="25" t="n">
        <f aca="false">parametros_recargas!$E$88*'Plan mensual'!I309+parametros_recargas!$F$88*'Plan mensual'!I310+parametros_recargas!$G$88*'Plan mensual'!I311+parametros_recargas!$H$88*'Plan mensual'!I312+parametros_recargas!$I$88*'Plan mensual'!I313+parametros_recargas!$J$88*'Plan mensual'!I314+parametros_recargas!$K$88*'Plan mensual'!I315+parametros_recargas!$L$88*'Plan mensual'!I316</f>
        <v>37.0885236995999</v>
      </c>
      <c r="H306" s="25" t="n">
        <f aca="false">parametros_recargas!$E$88*'Plan mensual'!J309+parametros_recargas!$F$88*'Plan mensual'!J310+parametros_recargas!$G$88*'Plan mensual'!J311+parametros_recargas!$H$88*'Plan mensual'!J312+parametros_recargas!$I$88*'Plan mensual'!J313+parametros_recargas!$J$88*'Plan mensual'!J314+parametros_recargas!$K$88*'Plan mensual'!J315+parametros_recargas!$L$88*'Plan mensual'!J316</f>
        <v>37.254124482237</v>
      </c>
      <c r="I306" s="25" t="n">
        <f aca="false">parametros_recargas!$E$88*'Plan mensual'!K309+parametros_recargas!$F$88*'Plan mensual'!K310+parametros_recargas!$G$88*'Plan mensual'!K311+parametros_recargas!$H$88*'Plan mensual'!K312+parametros_recargas!$I$88*'Plan mensual'!K313+parametros_recargas!$J$88*'Plan mensual'!K314+parametros_recargas!$K$88*'Plan mensual'!K315+parametros_recargas!$L$88*'Plan mensual'!K316</f>
        <v>37.4206845175973</v>
      </c>
      <c r="J306" s="25" t="n">
        <f aca="false">parametros_recargas!$E$88*'Plan mensual'!L309+parametros_recargas!$F$88*'Plan mensual'!L310+parametros_recargas!$G$88*'Plan mensual'!L311+parametros_recargas!$H$88*'Plan mensual'!L312+parametros_recargas!$I$88*'Plan mensual'!L313+parametros_recargas!$J$88*'Plan mensual'!L314+parametros_recargas!$K$88*'Plan mensual'!L315+parametros_recargas!$L$88*'Plan mensual'!L316</f>
        <v>37.5882093622112</v>
      </c>
      <c r="K306" s="25" t="n">
        <f aca="false">parametros_recargas!$E$88*'Plan mensual'!M309+parametros_recargas!$F$88*'Plan mensual'!M310+parametros_recargas!$G$88*'Plan mensual'!M311+parametros_recargas!$H$88*'Plan mensual'!M312+parametros_recargas!$I$88*'Plan mensual'!M313+parametros_recargas!$J$88*'Plan mensual'!M314+parametros_recargas!$K$88*'Plan mensual'!M315+parametros_recargas!$L$88*'Plan mensual'!M316</f>
        <v>37.7567046047956</v>
      </c>
      <c r="L306" s="25" t="n">
        <f aca="false">parametros_recargas!$E$88*'Plan mensual'!N309+parametros_recargas!$F$88*'Plan mensual'!N310+parametros_recargas!$G$88*'Plan mensual'!N311+parametros_recargas!$H$88*'Plan mensual'!N312+parametros_recargas!$I$88*'Plan mensual'!N313+parametros_recargas!$J$88*'Plan mensual'!N314+parametros_recargas!$K$88*'Plan mensual'!N315+parametros_recargas!$L$88*'Plan mensual'!N316</f>
        <v>37.9261758664406</v>
      </c>
      <c r="M306" s="25" t="n">
        <f aca="false">parametros_recargas!$E$88*'Plan mensual'!O309+parametros_recargas!$F$88*'Plan mensual'!O310+parametros_recargas!$G$88*'Plan mensual'!O311+parametros_recargas!$H$88*'Plan mensual'!O312+parametros_recargas!$I$88*'Plan mensual'!O313+parametros_recargas!$J$88*'Plan mensual'!O314+parametros_recargas!$K$88*'Plan mensual'!O315+parametros_recargas!$L$88*'Plan mensual'!O316</f>
        <v>38.0966288007965</v>
      </c>
      <c r="N306" s="7" t="n">
        <f aca="false">SUM(B306:M306)</f>
        <v>446.122846997007</v>
      </c>
      <c r="O306" s="26" t="n">
        <f aca="false">MAX(B306:M306)</f>
        <v>38.0966288007965</v>
      </c>
      <c r="P306" s="15" t="n">
        <f aca="false">O306/parametros_recargas!$B$6</f>
        <v>0.253977525338643</v>
      </c>
    </row>
    <row r="307" customFormat="false" ht="15" hidden="false" customHeight="false" outlineLevel="0" collapsed="false">
      <c r="A307" s="12" t="str">
        <f aca="false">parametros_recargas!$B$89</f>
        <v>Descarga y carga Clase D</v>
      </c>
      <c r="B307" s="25" t="n">
        <f aca="false">parametros_recargas!$E$89*'Plan mensual'!D309+parametros_recargas!$F$89*'Plan mensual'!D310+parametros_recargas!$G$89*'Plan mensual'!D311+parametros_recargas!$H$89*'Plan mensual'!D312+parametros_recargas!$I$89*'Plan mensual'!D313+parametros_recargas!$J$89*'Plan mensual'!D314+parametros_recargas!$K$89*'Plan mensual'!D315+parametros_recargas!$L$89*'Plan mensual'!D316</f>
        <v>32.7532710525233</v>
      </c>
      <c r="C307" s="25" t="n">
        <f aca="false">parametros_recargas!$E$89*'Plan mensual'!E309+parametros_recargas!$F$89*'Plan mensual'!E310+parametros_recargas!$G$89*'Plan mensual'!E311+parametros_recargas!$H$89*'Plan mensual'!E312+parametros_recargas!$I$89*'Plan mensual'!E313+parametros_recargas!$J$89*'Plan mensual'!E314+parametros_recargas!$K$89*'Plan mensual'!E315+parametros_recargas!$L$89*'Plan mensual'!E316</f>
        <v>32.8985867520557</v>
      </c>
      <c r="D307" s="25" t="n">
        <f aca="false">parametros_recargas!$E$89*'Plan mensual'!F309+parametros_recargas!$F$89*'Plan mensual'!F310+parametros_recargas!$G$89*'Plan mensual'!F311+parametros_recargas!$H$89*'Plan mensual'!F312+parametros_recargas!$I$89*'Plan mensual'!F313+parametros_recargas!$J$89*'Plan mensual'!F314+parametros_recargas!$K$89*'Plan mensual'!F315+parametros_recargas!$L$89*'Plan mensual'!F316</f>
        <v>33.0447442017192</v>
      </c>
      <c r="E307" s="25" t="n">
        <f aca="false">parametros_recargas!$E$89*'Plan mensual'!G309+parametros_recargas!$F$89*'Plan mensual'!G310+parametros_recargas!$G$89*'Plan mensual'!G311+parametros_recargas!$H$89*'Plan mensual'!G312+parametros_recargas!$I$89*'Plan mensual'!G313+parametros_recargas!$J$89*'Plan mensual'!G314+parametros_recargas!$K$89*'Plan mensual'!G315+parametros_recargas!$L$89*'Plan mensual'!G316</f>
        <v>33.1917482774032</v>
      </c>
      <c r="F307" s="25" t="n">
        <f aca="false">parametros_recargas!$E$89*'Plan mensual'!H309+parametros_recargas!$F$89*'Plan mensual'!H310+parametros_recargas!$G$89*'Plan mensual'!H311+parametros_recargas!$H$89*'Plan mensual'!H312+parametros_recargas!$I$89*'Plan mensual'!H313+parametros_recargas!$J$89*'Plan mensual'!H314+parametros_recargas!$K$89*'Plan mensual'!H315+parametros_recargas!$L$89*'Plan mensual'!H316</f>
        <v>33.3396038832411</v>
      </c>
      <c r="G307" s="25" t="n">
        <f aca="false">parametros_recargas!$E$89*'Plan mensual'!I309+parametros_recargas!$F$89*'Plan mensual'!I310+parametros_recargas!$G$89*'Plan mensual'!I311+parametros_recargas!$H$89*'Plan mensual'!I312+parametros_recargas!$I$89*'Plan mensual'!I313+parametros_recargas!$J$89*'Plan mensual'!I314+parametros_recargas!$K$89*'Plan mensual'!I315+parametros_recargas!$L$89*'Plan mensual'!I316</f>
        <v>33.4883159517736</v>
      </c>
      <c r="H307" s="25" t="n">
        <f aca="false">parametros_recargas!$E$89*'Plan mensual'!J309+parametros_recargas!$F$89*'Plan mensual'!J310+parametros_recargas!$G$89*'Plan mensual'!J311+parametros_recargas!$H$89*'Plan mensual'!J312+parametros_recargas!$I$89*'Plan mensual'!J313+parametros_recargas!$J$89*'Plan mensual'!J314+parametros_recargas!$K$89*'Plan mensual'!J315+parametros_recargas!$L$89*'Plan mensual'!J316</f>
        <v>33.6378894441137</v>
      </c>
      <c r="I307" s="25" t="n">
        <f aca="false">parametros_recargas!$E$89*'Plan mensual'!K309+parametros_recargas!$F$89*'Plan mensual'!K310+parametros_recargas!$G$89*'Plan mensual'!K311+parametros_recargas!$H$89*'Plan mensual'!K312+parametros_recargas!$I$89*'Plan mensual'!K313+parametros_recargas!$J$89*'Plan mensual'!K314+parametros_recargas!$K$89*'Plan mensual'!K315+parametros_recargas!$L$89*'Plan mensual'!K316</f>
        <v>33.7883293501116</v>
      </c>
      <c r="J307" s="25" t="n">
        <f aca="false">parametros_recargas!$E$89*'Plan mensual'!L309+parametros_recargas!$F$89*'Plan mensual'!L310+parametros_recargas!$G$89*'Plan mensual'!L311+parametros_recargas!$H$89*'Plan mensual'!L312+parametros_recargas!$I$89*'Plan mensual'!L313+parametros_recargas!$J$89*'Plan mensual'!L314+parametros_recargas!$K$89*'Plan mensual'!L315+parametros_recargas!$L$89*'Plan mensual'!L316</f>
        <v>33.9396406885219</v>
      </c>
      <c r="K307" s="25" t="n">
        <f aca="false">parametros_recargas!$E$89*'Plan mensual'!M309+parametros_recargas!$F$89*'Plan mensual'!M310+parametros_recargas!$G$89*'Plan mensual'!M311+parametros_recargas!$H$89*'Plan mensual'!M312+parametros_recargas!$I$89*'Plan mensual'!M313+parametros_recargas!$J$89*'Plan mensual'!M314+parametros_recargas!$K$89*'Plan mensual'!M315+parametros_recargas!$L$89*'Plan mensual'!M316</f>
        <v>34.0918285071705</v>
      </c>
      <c r="L307" s="25" t="n">
        <f aca="false">parametros_recargas!$E$89*'Plan mensual'!N309+parametros_recargas!$F$89*'Plan mensual'!N310+parametros_recargas!$G$89*'Plan mensual'!N311+parametros_recargas!$H$89*'Plan mensual'!N312+parametros_recargas!$I$89*'Plan mensual'!N313+parametros_recargas!$J$89*'Plan mensual'!N314+parametros_recargas!$K$89*'Plan mensual'!N315+parametros_recargas!$L$89*'Plan mensual'!N316</f>
        <v>34.2448978831229</v>
      </c>
      <c r="M307" s="25" t="n">
        <f aca="false">parametros_recargas!$E$89*'Plan mensual'!O309+parametros_recargas!$F$89*'Plan mensual'!O310+parametros_recargas!$G$89*'Plan mensual'!O311+parametros_recargas!$H$89*'Plan mensual'!O312+parametros_recargas!$I$89*'Plan mensual'!O313+parametros_recargas!$J$89*'Plan mensual'!O314+parametros_recargas!$K$89*'Plan mensual'!O315+parametros_recargas!$L$89*'Plan mensual'!O316</f>
        <v>34.3988539228542</v>
      </c>
      <c r="N307" s="7" t="n">
        <f aca="false">SUM(B307:M307)</f>
        <v>402.817709914611</v>
      </c>
      <c r="O307" s="26" t="n">
        <f aca="false">MAX(B307:M307)</f>
        <v>34.3988539228542</v>
      </c>
      <c r="P307" s="15" t="n">
        <f aca="false">O307/parametros_recargas!$B$6</f>
        <v>0.229325692819028</v>
      </c>
    </row>
    <row r="308" customFormat="false" ht="15" hidden="false" customHeight="false" outlineLevel="0" collapsed="false">
      <c r="A308" s="12" t="str">
        <f aca="false">parametros_recargas!$B$90</f>
        <v>Carga de agua / AFFF / sales K</v>
      </c>
      <c r="B308" s="25" t="n">
        <f aca="false">parametros_recargas!$E$90*'Plan mensual'!D309+parametros_recargas!$F$90*'Plan mensual'!D310+parametros_recargas!$G$90*'Plan mensual'!D311+parametros_recargas!$H$90*'Plan mensual'!D312+parametros_recargas!$I$90*'Plan mensual'!D313+parametros_recargas!$J$90*'Plan mensual'!D314+parametros_recargas!$K$90*'Plan mensual'!D315+parametros_recargas!$L$90*'Plan mensual'!D316</f>
        <v>1208.53884473014</v>
      </c>
      <c r="C308" s="25" t="n">
        <f aca="false">parametros_recargas!$E$90*'Plan mensual'!E309+parametros_recargas!$F$90*'Plan mensual'!E310+parametros_recargas!$G$90*'Plan mensual'!E311+parametros_recargas!$H$90*'Plan mensual'!E312+parametros_recargas!$I$90*'Plan mensual'!E313+parametros_recargas!$J$90*'Plan mensual'!E314+parametros_recargas!$K$90*'Plan mensual'!E315+parametros_recargas!$L$90*'Plan mensual'!E316</f>
        <v>1214.10668679974</v>
      </c>
      <c r="D308" s="25" t="n">
        <f aca="false">parametros_recargas!$E$90*'Plan mensual'!F309+parametros_recargas!$F$90*'Plan mensual'!F310+parametros_recargas!$G$90*'Plan mensual'!F311+parametros_recargas!$H$90*'Plan mensual'!F312+parametros_recargas!$I$90*'Plan mensual'!F313+parametros_recargas!$J$90*'Plan mensual'!F314+parametros_recargas!$K$90*'Plan mensual'!F315+parametros_recargas!$L$90*'Plan mensual'!F316</f>
        <v>1219.70678093713</v>
      </c>
      <c r="E308" s="25" t="n">
        <f aca="false">parametros_recargas!$E$90*'Plan mensual'!G309+parametros_recargas!$F$90*'Plan mensual'!G310+parametros_recargas!$G$90*'Plan mensual'!G311+parametros_recargas!$H$90*'Plan mensual'!G312+parametros_recargas!$I$90*'Plan mensual'!G313+parametros_recargas!$J$90*'Plan mensual'!G314+parametros_recargas!$K$90*'Plan mensual'!G315+parametros_recargas!$L$90*'Plan mensual'!G316</f>
        <v>1225.3393139644</v>
      </c>
      <c r="F308" s="25" t="n">
        <f aca="false">parametros_recargas!$E$90*'Plan mensual'!H309+parametros_recargas!$F$90*'Plan mensual'!H310+parametros_recargas!$G$90*'Plan mensual'!H311+parametros_recargas!$H$90*'Plan mensual'!H312+parametros_recargas!$I$90*'Plan mensual'!H313+parametros_recargas!$J$90*'Plan mensual'!H314+parametros_recargas!$K$90*'Plan mensual'!H315+parametros_recargas!$L$90*'Plan mensual'!H316</f>
        <v>1231.0044737858</v>
      </c>
      <c r="G308" s="25" t="n">
        <f aca="false">parametros_recargas!$E$90*'Plan mensual'!I309+parametros_recargas!$F$90*'Plan mensual'!I310+parametros_recargas!$G$90*'Plan mensual'!I311+parametros_recargas!$H$90*'Plan mensual'!I312+parametros_recargas!$I$90*'Plan mensual'!I313+parametros_recargas!$J$90*'Plan mensual'!I314+parametros_recargas!$K$90*'Plan mensual'!I315+parametros_recargas!$L$90*'Plan mensual'!I316</f>
        <v>1236.70244939406</v>
      </c>
      <c r="H308" s="25" t="n">
        <f aca="false">parametros_recargas!$E$90*'Plan mensual'!J309+parametros_recargas!$F$90*'Plan mensual'!J310+parametros_recargas!$G$90*'Plan mensual'!J311+parametros_recargas!$H$90*'Plan mensual'!J312+parametros_recargas!$I$90*'Plan mensual'!J313+parametros_recargas!$J$90*'Plan mensual'!J314+parametros_recargas!$K$90*'Plan mensual'!J315+parametros_recargas!$L$90*'Plan mensual'!J316</f>
        <v>1242.43343087664</v>
      </c>
      <c r="I308" s="25" t="n">
        <f aca="false">parametros_recargas!$E$90*'Plan mensual'!K309+parametros_recargas!$F$90*'Plan mensual'!K310+parametros_recargas!$G$90*'Plan mensual'!K311+parametros_recargas!$H$90*'Plan mensual'!K312+parametros_recargas!$I$90*'Plan mensual'!K313+parametros_recargas!$J$90*'Plan mensual'!K314+parametros_recargas!$K$90*'Plan mensual'!K315+parametros_recargas!$L$90*'Plan mensual'!K316</f>
        <v>1248.1976094221</v>
      </c>
      <c r="J308" s="25" t="n">
        <f aca="false">parametros_recargas!$E$90*'Plan mensual'!L309+parametros_recargas!$F$90*'Plan mensual'!L310+parametros_recargas!$G$90*'Plan mensual'!L311+parametros_recargas!$H$90*'Plan mensual'!L312+parametros_recargas!$I$90*'Plan mensual'!L313+parametros_recargas!$J$90*'Plan mensual'!L314+parametros_recargas!$K$90*'Plan mensual'!L315+parametros_recargas!$L$90*'Plan mensual'!L316</f>
        <v>1253.99517732646</v>
      </c>
      <c r="K308" s="25" t="n">
        <f aca="false">parametros_recargas!$E$90*'Plan mensual'!M309+parametros_recargas!$F$90*'Plan mensual'!M310+parametros_recargas!$G$90*'Plan mensual'!M311+parametros_recargas!$H$90*'Plan mensual'!M312+parametros_recargas!$I$90*'Plan mensual'!M313+parametros_recargas!$J$90*'Plan mensual'!M314+parametros_recargas!$K$90*'Plan mensual'!M315+parametros_recargas!$L$90*'Plan mensual'!M316</f>
        <v>1259.82632799964</v>
      </c>
      <c r="L308" s="25" t="n">
        <f aca="false">parametros_recargas!$E$90*'Plan mensual'!N309+parametros_recargas!$F$90*'Plan mensual'!N310+parametros_recargas!$G$90*'Plan mensual'!N311+parametros_recargas!$H$90*'Plan mensual'!N312+parametros_recargas!$I$90*'Plan mensual'!N313+parametros_recargas!$J$90*'Plan mensual'!N314+parametros_recargas!$K$90*'Plan mensual'!N315+parametros_recargas!$L$90*'Plan mensual'!N316</f>
        <v>1265.6912559719</v>
      </c>
      <c r="M308" s="25" t="n">
        <f aca="false">parametros_recargas!$E$90*'Plan mensual'!O309+parametros_recargas!$F$90*'Plan mensual'!O310+parametros_recargas!$G$90*'Plan mensual'!O311+parametros_recargas!$H$90*'Plan mensual'!O312+parametros_recargas!$I$90*'Plan mensual'!O313+parametros_recargas!$J$90*'Plan mensual'!O314+parametros_recargas!$K$90*'Plan mensual'!O315+parametros_recargas!$L$90*'Plan mensual'!O316</f>
        <v>1271.59015690031</v>
      </c>
      <c r="N308" s="7" t="n">
        <f aca="false">SUM(B308:M308)</f>
        <v>14877.1325081083</v>
      </c>
      <c r="O308" s="26" t="n">
        <f aca="false">MAX(B308:M308)</f>
        <v>1271.59015690031</v>
      </c>
      <c r="P308" s="15" t="n">
        <f aca="false">O308/parametros_recargas!$B$6</f>
        <v>8.47726771266876</v>
      </c>
    </row>
    <row r="309" customFormat="false" ht="15" hidden="false" customHeight="false" outlineLevel="0" collapsed="false">
      <c r="A309" s="12" t="str">
        <f aca="false">parametros_recargas!$B$91</f>
        <v>Carga de CO₂</v>
      </c>
      <c r="B309" s="25" t="n">
        <f aca="false">parametros_recargas!$E$91*'Plan mensual'!D309+parametros_recargas!$F$91*'Plan mensual'!D310+parametros_recargas!$G$91*'Plan mensual'!D311+parametros_recargas!$H$91*'Plan mensual'!D312+parametros_recargas!$I$91*'Plan mensual'!D313+parametros_recargas!$J$91*'Plan mensual'!D314+parametros_recargas!$K$91*'Plan mensual'!D315+parametros_recargas!$L$91*'Plan mensual'!D316</f>
        <v>661.06576893216</v>
      </c>
      <c r="C309" s="25" t="n">
        <f aca="false">parametros_recargas!$E$91*'Plan mensual'!E309+parametros_recargas!$F$91*'Plan mensual'!E310+parametros_recargas!$G$91*'Plan mensual'!E311+parametros_recargas!$H$91*'Plan mensual'!E312+parametros_recargas!$I$91*'Plan mensual'!E313+parametros_recargas!$J$91*'Plan mensual'!E314+parametros_recargas!$K$91*'Plan mensual'!E315+parametros_recargas!$L$91*'Plan mensual'!E316</f>
        <v>664.111009872008</v>
      </c>
      <c r="D309" s="25" t="n">
        <f aca="false">parametros_recargas!$E$91*'Plan mensual'!F309+parametros_recargas!$F$91*'Plan mensual'!F310+parametros_recargas!$G$91*'Plan mensual'!F311+parametros_recargas!$H$91*'Plan mensual'!F312+parametros_recargas!$I$91*'Plan mensual'!F313+parametros_recargas!$J$91*'Plan mensual'!F314+parametros_recargas!$K$91*'Plan mensual'!F315+parametros_recargas!$L$91*'Plan mensual'!F316</f>
        <v>667.17389055738</v>
      </c>
      <c r="E309" s="25" t="n">
        <f aca="false">parametros_recargas!$E$91*'Plan mensual'!G309+parametros_recargas!$F$91*'Plan mensual'!G310+parametros_recargas!$G$91*'Plan mensual'!G311+parametros_recargas!$H$91*'Plan mensual'!G312+parametros_recargas!$I$91*'Plan mensual'!G313+parametros_recargas!$J$91*'Plan mensual'!G314+parametros_recargas!$K$91*'Plan mensual'!G315+parametros_recargas!$L$91*'Plan mensual'!G316</f>
        <v>670.254513167587</v>
      </c>
      <c r="F309" s="25" t="n">
        <f aca="false">parametros_recargas!$E$91*'Plan mensual'!H309+parametros_recargas!$F$91*'Plan mensual'!H310+parametros_recargas!$G$91*'Plan mensual'!H311+parametros_recargas!$H$91*'Plan mensual'!H312+parametros_recargas!$I$91*'Plan mensual'!H313+parametros_recargas!$J$91*'Plan mensual'!H314+parametros_recargas!$K$91*'Plan mensual'!H315+parametros_recargas!$L$91*'Plan mensual'!H316</f>
        <v>673.35298047382</v>
      </c>
      <c r="G309" s="25" t="n">
        <f aca="false">parametros_recargas!$E$91*'Plan mensual'!I309+parametros_recargas!$F$91*'Plan mensual'!I310+parametros_recargas!$G$91*'Plan mensual'!I311+parametros_recargas!$H$91*'Plan mensual'!I312+parametros_recargas!$I$91*'Plan mensual'!I313+parametros_recargas!$J$91*'Plan mensual'!I314+parametros_recargas!$K$91*'Plan mensual'!I315+parametros_recargas!$L$91*'Plan mensual'!I316</f>
        <v>676.469395842579</v>
      </c>
      <c r="H309" s="25" t="n">
        <f aca="false">parametros_recargas!$E$91*'Plan mensual'!J309+parametros_recargas!$F$91*'Plan mensual'!J310+parametros_recargas!$G$91*'Plan mensual'!J311+parametros_recargas!$H$91*'Plan mensual'!J312+parametros_recargas!$I$91*'Plan mensual'!J313+parametros_recargas!$J$91*'Plan mensual'!J314+parametros_recargas!$K$91*'Plan mensual'!J315+parametros_recargas!$L$91*'Plan mensual'!J316</f>
        <v>679.603863239121</v>
      </c>
      <c r="I309" s="25" t="n">
        <f aca="false">parametros_recargas!$E$91*'Plan mensual'!K309+parametros_recargas!$F$91*'Plan mensual'!K310+parametros_recargas!$G$91*'Plan mensual'!K311+parametros_recargas!$H$91*'Plan mensual'!K312+parametros_recargas!$I$91*'Plan mensual'!K313+parametros_recargas!$J$91*'Plan mensual'!K314+parametros_recargas!$K$91*'Plan mensual'!K315+parametros_recargas!$L$91*'Plan mensual'!K316</f>
        <v>682.756487230927</v>
      </c>
      <c r="J309" s="25" t="n">
        <f aca="false">parametros_recargas!$E$91*'Plan mensual'!L309+parametros_recargas!$F$91*'Plan mensual'!L310+parametros_recargas!$G$91*'Plan mensual'!L311+parametros_recargas!$H$91*'Plan mensual'!L312+parametros_recargas!$I$91*'Plan mensual'!L313+parametros_recargas!$J$91*'Plan mensual'!L314+parametros_recargas!$K$91*'Plan mensual'!L315+parametros_recargas!$L$91*'Plan mensual'!L316</f>
        <v>685.927372991193</v>
      </c>
      <c r="K309" s="25" t="n">
        <f aca="false">parametros_recargas!$E$91*'Plan mensual'!M309+parametros_recargas!$F$91*'Plan mensual'!M310+parametros_recargas!$G$91*'Plan mensual'!M311+parametros_recargas!$H$91*'Plan mensual'!M312+parametros_recargas!$I$91*'Plan mensual'!M313+parametros_recargas!$J$91*'Plan mensual'!M314+parametros_recargas!$K$91*'Plan mensual'!M315+parametros_recargas!$L$91*'Plan mensual'!M316</f>
        <v>689.116626302336</v>
      </c>
      <c r="L309" s="25" t="n">
        <f aca="false">parametros_recargas!$E$91*'Plan mensual'!N309+parametros_recargas!$F$91*'Plan mensual'!N310+parametros_recargas!$G$91*'Plan mensual'!N311+parametros_recargas!$H$91*'Plan mensual'!N312+parametros_recargas!$I$91*'Plan mensual'!N313+parametros_recargas!$J$91*'Plan mensual'!N314+parametros_recargas!$K$91*'Plan mensual'!N315+parametros_recargas!$L$91*'Plan mensual'!N316</f>
        <v>692.324353559524</v>
      </c>
      <c r="M309" s="25" t="n">
        <f aca="false">parametros_recargas!$E$91*'Plan mensual'!O309+parametros_recargas!$F$91*'Plan mensual'!O310+parametros_recargas!$G$91*'Plan mensual'!O311+parametros_recargas!$H$91*'Plan mensual'!O312+parametros_recargas!$I$91*'Plan mensual'!O313+parametros_recargas!$J$91*'Plan mensual'!O314+parametros_recargas!$K$91*'Plan mensual'!O315+parametros_recargas!$L$91*'Plan mensual'!O316</f>
        <v>695.550661774227</v>
      </c>
      <c r="N309" s="7" t="n">
        <f aca="false">SUM(B309:M309)</f>
        <v>8137.70692394286</v>
      </c>
      <c r="O309" s="26" t="n">
        <f aca="false">MAX(B309:M309)</f>
        <v>695.550661774227</v>
      </c>
      <c r="P309" s="15" t="n">
        <f aca="false">O309/parametros_recargas!$B$6</f>
        <v>4.63700441182818</v>
      </c>
    </row>
    <row r="310" customFormat="false" ht="15" hidden="false" customHeight="false" outlineLevel="0" collapsed="false">
      <c r="A310" s="12" t="str">
        <f aca="false">parametros_recargas!$B$92</f>
        <v>Ensamblaje y marbete — recinto</v>
      </c>
      <c r="B310" s="25" t="n">
        <f aca="false">parametros_recargas!$E$92*'Plan mensual'!D309+parametros_recargas!$F$92*'Plan mensual'!D310+parametros_recargas!$G$92*'Plan mensual'!D311+parametros_recargas!$H$92*'Plan mensual'!D312+parametros_recargas!$I$92*'Plan mensual'!D313+parametros_recargas!$J$92*'Plan mensual'!D314+parametros_recargas!$K$92*'Plan mensual'!D315+parametros_recargas!$L$92*'Plan mensual'!D316</f>
        <v>21582.2382091458</v>
      </c>
      <c r="C310" s="25" t="n">
        <f aca="false">parametros_recargas!$E$92*'Plan mensual'!E309+parametros_recargas!$F$92*'Plan mensual'!E310+parametros_recargas!$G$92*'Plan mensual'!E311+parametros_recargas!$H$92*'Plan mensual'!E312+parametros_recargas!$I$92*'Plan mensual'!E313+parametros_recargas!$J$92*'Plan mensual'!E314+parametros_recargas!$K$92*'Plan mensual'!E315+parametros_recargas!$L$92*'Plan mensual'!E316</f>
        <v>21693.1859681484</v>
      </c>
      <c r="D310" s="25" t="n">
        <f aca="false">parametros_recargas!$E$92*'Plan mensual'!F309+parametros_recargas!$F$92*'Plan mensual'!F310+parametros_recargas!$G$92*'Plan mensual'!F311+parametros_recargas!$H$92*'Plan mensual'!F312+parametros_recargas!$I$92*'Plan mensual'!F313+parametros_recargas!$J$92*'Plan mensual'!F314+parametros_recargas!$K$92*'Plan mensual'!F315+parametros_recargas!$L$92*'Plan mensual'!F316</f>
        <v>21804.776398872</v>
      </c>
      <c r="E310" s="25" t="n">
        <f aca="false">parametros_recargas!$E$92*'Plan mensual'!G309+parametros_recargas!$F$92*'Plan mensual'!G310+parametros_recargas!$G$92*'Plan mensual'!G311+parametros_recargas!$H$92*'Plan mensual'!G312+parametros_recargas!$I$92*'Plan mensual'!G313+parametros_recargas!$J$92*'Plan mensual'!G314+parametros_recargas!$K$92*'Plan mensual'!G315+parametros_recargas!$L$92*'Plan mensual'!G316</f>
        <v>21917.0132240318</v>
      </c>
      <c r="F310" s="25" t="n">
        <f aca="false">parametros_recargas!$E$92*'Plan mensual'!H309+parametros_recargas!$F$92*'Plan mensual'!H310+parametros_recargas!$G$92*'Plan mensual'!H311+parametros_recargas!$H$92*'Plan mensual'!H312+parametros_recargas!$I$92*'Plan mensual'!H313+parametros_recargas!$J$92*'Plan mensual'!H314+parametros_recargas!$K$92*'Plan mensual'!H315+parametros_recargas!$L$92*'Plan mensual'!H316</f>
        <v>22029.9001879076</v>
      </c>
      <c r="G310" s="25" t="n">
        <f aca="false">parametros_recargas!$E$92*'Plan mensual'!I309+parametros_recargas!$F$92*'Plan mensual'!I310+parametros_recargas!$G$92*'Plan mensual'!I311+parametros_recargas!$H$92*'Plan mensual'!I312+parametros_recargas!$I$92*'Plan mensual'!I313+parametros_recargas!$J$92*'Plan mensual'!I314+parametros_recargas!$K$92*'Plan mensual'!I315+parametros_recargas!$L$92*'Plan mensual'!I316</f>
        <v>22143.4410564677</v>
      </c>
      <c r="H310" s="25" t="n">
        <f aca="false">parametros_recargas!$E$92*'Plan mensual'!J309+parametros_recargas!$F$92*'Plan mensual'!J310+parametros_recargas!$G$92*'Plan mensual'!J311+parametros_recargas!$H$92*'Plan mensual'!J312+parametros_recargas!$I$92*'Plan mensual'!J313+parametros_recargas!$J$92*'Plan mensual'!J314+parametros_recargas!$K$92*'Plan mensual'!J315+parametros_recargas!$L$92*'Plan mensual'!J316</f>
        <v>22257.6396174954</v>
      </c>
      <c r="I310" s="25" t="n">
        <f aca="false">parametros_recargas!$E$92*'Plan mensual'!K309+parametros_recargas!$F$92*'Plan mensual'!K310+parametros_recargas!$G$92*'Plan mensual'!K311+parametros_recargas!$H$92*'Plan mensual'!K312+parametros_recargas!$I$92*'Plan mensual'!K313+parametros_recargas!$J$92*'Plan mensual'!K314+parametros_recargas!$K$92*'Plan mensual'!K315+parametros_recargas!$L$92*'Plan mensual'!K316</f>
        <v>22372.4996807147</v>
      </c>
      <c r="J310" s="25" t="n">
        <f aca="false">parametros_recargas!$E$92*'Plan mensual'!L309+parametros_recargas!$F$92*'Plan mensual'!L310+parametros_recargas!$G$92*'Plan mensual'!L311+parametros_recargas!$H$92*'Plan mensual'!L312+parametros_recargas!$I$92*'Plan mensual'!L313+parametros_recargas!$J$92*'Plan mensual'!L314+parametros_recargas!$K$92*'Plan mensual'!L315+parametros_recargas!$L$92*'Plan mensual'!L316</f>
        <v>22488.0250779178</v>
      </c>
      <c r="K310" s="25" t="n">
        <f aca="false">parametros_recargas!$E$92*'Plan mensual'!M309+parametros_recargas!$F$92*'Plan mensual'!M310+parametros_recargas!$G$92*'Plan mensual'!M311+parametros_recargas!$H$92*'Plan mensual'!M312+parametros_recargas!$I$92*'Plan mensual'!M313+parametros_recargas!$J$92*'Plan mensual'!M314+parametros_recargas!$K$92*'Plan mensual'!M315+parametros_recargas!$L$92*'Plan mensual'!M316</f>
        <v>22604.2196630926</v>
      </c>
      <c r="L310" s="25" t="n">
        <f aca="false">parametros_recargas!$E$92*'Plan mensual'!N309+parametros_recargas!$F$92*'Plan mensual'!N310+parametros_recargas!$G$92*'Plan mensual'!N311+parametros_recargas!$H$92*'Plan mensual'!N312+parametros_recargas!$I$92*'Plan mensual'!N313+parametros_recargas!$J$92*'Plan mensual'!N314+parametros_recargas!$K$92*'Plan mensual'!N315+parametros_recargas!$L$92*'Plan mensual'!N316</f>
        <v>22721.0873125518</v>
      </c>
      <c r="M310" s="25" t="n">
        <f aca="false">parametros_recargas!$E$92*'Plan mensual'!O309+parametros_recargas!$F$92*'Plan mensual'!O310+parametros_recargas!$G$92*'Plan mensual'!O311+parametros_recargas!$H$92*'Plan mensual'!O312+parametros_recargas!$I$92*'Plan mensual'!O313+parametros_recargas!$J$92*'Plan mensual'!O314+parametros_recargas!$K$92*'Plan mensual'!O315+parametros_recargas!$L$92*'Plan mensual'!O316</f>
        <v>22838.6319250615</v>
      </c>
      <c r="N310" s="7" t="n">
        <f aca="false">SUM(B310:M310)</f>
        <v>266452.658321407</v>
      </c>
      <c r="O310" s="26" t="n">
        <f aca="false">MAX(B310:M310)</f>
        <v>22838.6319250615</v>
      </c>
      <c r="P310" s="15" t="n">
        <f aca="false">O310/parametros_recargas!$B$6</f>
        <v>152.257546167077</v>
      </c>
    </row>
    <row r="311" customFormat="false" ht="15" hidden="false" customHeight="false" outlineLevel="0" collapsed="false">
      <c r="A311" s="12" t="str">
        <f aca="false">parametros_recargas!$B$93</f>
        <v>Presurización — recinto</v>
      </c>
      <c r="B311" s="25" t="n">
        <f aca="false">parametros_recargas!$E$93*'Plan mensual'!D309+parametros_recargas!$F$93*'Plan mensual'!D310+parametros_recargas!$G$93*'Plan mensual'!D311+parametros_recargas!$H$93*'Plan mensual'!D312+parametros_recargas!$I$93*'Plan mensual'!D313+parametros_recargas!$J$93*'Plan mensual'!D314+parametros_recargas!$K$93*'Plan mensual'!D315+parametros_recargas!$L$93*'Plan mensual'!D316</f>
        <v>21582.2382091458</v>
      </c>
      <c r="C311" s="25" t="n">
        <f aca="false">parametros_recargas!$E$93*'Plan mensual'!E309+parametros_recargas!$F$93*'Plan mensual'!E310+parametros_recargas!$G$93*'Plan mensual'!E311+parametros_recargas!$H$93*'Plan mensual'!E312+parametros_recargas!$I$93*'Plan mensual'!E313+parametros_recargas!$J$93*'Plan mensual'!E314+parametros_recargas!$K$93*'Plan mensual'!E315+parametros_recargas!$L$93*'Plan mensual'!E316</f>
        <v>21693.1859681484</v>
      </c>
      <c r="D311" s="25" t="n">
        <f aca="false">parametros_recargas!$E$93*'Plan mensual'!F309+parametros_recargas!$F$93*'Plan mensual'!F310+parametros_recargas!$G$93*'Plan mensual'!F311+parametros_recargas!$H$93*'Plan mensual'!F312+parametros_recargas!$I$93*'Plan mensual'!F313+parametros_recargas!$J$93*'Plan mensual'!F314+parametros_recargas!$K$93*'Plan mensual'!F315+parametros_recargas!$L$93*'Plan mensual'!F316</f>
        <v>21804.776398872</v>
      </c>
      <c r="E311" s="25" t="n">
        <f aca="false">parametros_recargas!$E$93*'Plan mensual'!G309+parametros_recargas!$F$93*'Plan mensual'!G310+parametros_recargas!$G$93*'Plan mensual'!G311+parametros_recargas!$H$93*'Plan mensual'!G312+parametros_recargas!$I$93*'Plan mensual'!G313+parametros_recargas!$J$93*'Plan mensual'!G314+parametros_recargas!$K$93*'Plan mensual'!G315+parametros_recargas!$L$93*'Plan mensual'!G316</f>
        <v>21917.0132240318</v>
      </c>
      <c r="F311" s="25" t="n">
        <f aca="false">parametros_recargas!$E$93*'Plan mensual'!H309+parametros_recargas!$F$93*'Plan mensual'!H310+parametros_recargas!$G$93*'Plan mensual'!H311+parametros_recargas!$H$93*'Plan mensual'!H312+parametros_recargas!$I$93*'Plan mensual'!H313+parametros_recargas!$J$93*'Plan mensual'!H314+parametros_recargas!$K$93*'Plan mensual'!H315+parametros_recargas!$L$93*'Plan mensual'!H316</f>
        <v>22029.9001879076</v>
      </c>
      <c r="G311" s="25" t="n">
        <f aca="false">parametros_recargas!$E$93*'Plan mensual'!I309+parametros_recargas!$F$93*'Plan mensual'!I310+parametros_recargas!$G$93*'Plan mensual'!I311+parametros_recargas!$H$93*'Plan mensual'!I312+parametros_recargas!$I$93*'Plan mensual'!I313+parametros_recargas!$J$93*'Plan mensual'!I314+parametros_recargas!$K$93*'Plan mensual'!I315+parametros_recargas!$L$93*'Plan mensual'!I316</f>
        <v>22143.4410564677</v>
      </c>
      <c r="H311" s="25" t="n">
        <f aca="false">parametros_recargas!$E$93*'Plan mensual'!J309+parametros_recargas!$F$93*'Plan mensual'!J310+parametros_recargas!$G$93*'Plan mensual'!J311+parametros_recargas!$H$93*'Plan mensual'!J312+parametros_recargas!$I$93*'Plan mensual'!J313+parametros_recargas!$J$93*'Plan mensual'!J314+parametros_recargas!$K$93*'Plan mensual'!J315+parametros_recargas!$L$93*'Plan mensual'!J316</f>
        <v>22257.6396174954</v>
      </c>
      <c r="I311" s="25" t="n">
        <f aca="false">parametros_recargas!$E$93*'Plan mensual'!K309+parametros_recargas!$F$93*'Plan mensual'!K310+parametros_recargas!$G$93*'Plan mensual'!K311+parametros_recargas!$H$93*'Plan mensual'!K312+parametros_recargas!$I$93*'Plan mensual'!K313+parametros_recargas!$J$93*'Plan mensual'!K314+parametros_recargas!$K$93*'Plan mensual'!K315+parametros_recargas!$L$93*'Plan mensual'!K316</f>
        <v>22372.4996807147</v>
      </c>
      <c r="J311" s="25" t="n">
        <f aca="false">parametros_recargas!$E$93*'Plan mensual'!L309+parametros_recargas!$F$93*'Plan mensual'!L310+parametros_recargas!$G$93*'Plan mensual'!L311+parametros_recargas!$H$93*'Plan mensual'!L312+parametros_recargas!$I$93*'Plan mensual'!L313+parametros_recargas!$J$93*'Plan mensual'!L314+parametros_recargas!$K$93*'Plan mensual'!L315+parametros_recargas!$L$93*'Plan mensual'!L316</f>
        <v>22488.0250779178</v>
      </c>
      <c r="K311" s="25" t="n">
        <f aca="false">parametros_recargas!$E$93*'Plan mensual'!M309+parametros_recargas!$F$93*'Plan mensual'!M310+parametros_recargas!$G$93*'Plan mensual'!M311+parametros_recargas!$H$93*'Plan mensual'!M312+parametros_recargas!$I$93*'Plan mensual'!M313+parametros_recargas!$J$93*'Plan mensual'!M314+parametros_recargas!$K$93*'Plan mensual'!M315+parametros_recargas!$L$93*'Plan mensual'!M316</f>
        <v>22604.2196630926</v>
      </c>
      <c r="L311" s="25" t="n">
        <f aca="false">parametros_recargas!$E$93*'Plan mensual'!N309+parametros_recargas!$F$93*'Plan mensual'!N310+parametros_recargas!$G$93*'Plan mensual'!N311+parametros_recargas!$H$93*'Plan mensual'!N312+parametros_recargas!$I$93*'Plan mensual'!N313+parametros_recargas!$J$93*'Plan mensual'!N314+parametros_recargas!$K$93*'Plan mensual'!N315+parametros_recargas!$L$93*'Plan mensual'!N316</f>
        <v>22721.0873125518</v>
      </c>
      <c r="M311" s="25" t="n">
        <f aca="false">parametros_recargas!$E$93*'Plan mensual'!O309+parametros_recargas!$F$93*'Plan mensual'!O310+parametros_recargas!$G$93*'Plan mensual'!O311+parametros_recargas!$H$93*'Plan mensual'!O312+parametros_recargas!$I$93*'Plan mensual'!O313+parametros_recargas!$J$93*'Plan mensual'!O314+parametros_recargas!$K$93*'Plan mensual'!O315+parametros_recargas!$L$93*'Plan mensual'!O316</f>
        <v>22838.6319250615</v>
      </c>
      <c r="N311" s="7" t="n">
        <f aca="false">SUM(B311:M311)</f>
        <v>266452.658321407</v>
      </c>
      <c r="O311" s="26" t="n">
        <f aca="false">MAX(B311:M311)</f>
        <v>22838.6319250615</v>
      </c>
      <c r="P311" s="15" t="n">
        <f aca="false">O311/parametros_recargas!$B$6</f>
        <v>152.257546167077</v>
      </c>
    </row>
    <row r="312" customFormat="false" ht="15" hidden="false" customHeight="false" outlineLevel="0" collapsed="false">
      <c r="A312" s="12" t="str">
        <f aca="false">parametros_recargas!$B$94</f>
        <v>Ensamblaje y presurización — zona general</v>
      </c>
      <c r="B312" s="25" t="n">
        <f aca="false">parametros_recargas!$E$94*'Plan mensual'!D309+parametros_recargas!$F$94*'Plan mensual'!D310+parametros_recargas!$G$94*'Plan mensual'!D311+parametros_recargas!$H$94*'Plan mensual'!D312+parametros_recargas!$I$94*'Plan mensual'!D313+parametros_recargas!$J$94*'Plan mensual'!D314+parametros_recargas!$K$94*'Plan mensual'!D315+parametros_recargas!$L$94*'Plan mensual'!D316</f>
        <v>1782.36114071917</v>
      </c>
      <c r="C312" s="25" t="n">
        <f aca="false">parametros_recargas!$E$94*'Plan mensual'!E309+parametros_recargas!$F$94*'Plan mensual'!E310+parametros_recargas!$G$94*'Plan mensual'!E311+parametros_recargas!$H$94*'Plan mensual'!E312+parametros_recargas!$I$94*'Plan mensual'!E313+parametros_recargas!$J$94*'Plan mensual'!E314+parametros_recargas!$K$94*'Plan mensual'!E315+parametros_recargas!$L$94*'Plan mensual'!E316</f>
        <v>1790.57249912341</v>
      </c>
      <c r="D312" s="25" t="n">
        <f aca="false">parametros_recargas!$E$94*'Plan mensual'!F309+parametros_recargas!$F$94*'Plan mensual'!F310+parametros_recargas!$G$94*'Plan mensual'!F311+parametros_recargas!$H$94*'Plan mensual'!F312+parametros_recargas!$I$94*'Plan mensual'!F313+parametros_recargas!$J$94*'Plan mensual'!F314+parametros_recargas!$K$94*'Plan mensual'!F315+parametros_recargas!$L$94*'Plan mensual'!F316</f>
        <v>1798.83142232647</v>
      </c>
      <c r="E312" s="25" t="n">
        <f aca="false">parametros_recargas!$E$94*'Plan mensual'!G309+parametros_recargas!$F$94*'Plan mensual'!G310+parametros_recargas!$G$94*'Plan mensual'!G311+parametros_recargas!$H$94*'Plan mensual'!G312+parametros_recargas!$I$94*'Plan mensual'!G313+parametros_recargas!$J$94*'Plan mensual'!G314+parametros_recargas!$K$94*'Plan mensual'!G315+parametros_recargas!$L$94*'Plan mensual'!G316</f>
        <v>1807.13818585037</v>
      </c>
      <c r="F312" s="25" t="n">
        <f aca="false">parametros_recargas!$E$94*'Plan mensual'!H309+parametros_recargas!$F$94*'Plan mensual'!H310+parametros_recargas!$G$94*'Plan mensual'!H311+parametros_recargas!$H$94*'Plan mensual'!H312+parametros_recargas!$I$94*'Plan mensual'!H313+parametros_recargas!$J$94*'Plan mensual'!H314+parametros_recargas!$K$94*'Plan mensual'!H315+parametros_recargas!$L$94*'Plan mensual'!H316</f>
        <v>1815.49306681311</v>
      </c>
      <c r="G312" s="25" t="n">
        <f aca="false">parametros_recargas!$E$94*'Plan mensual'!I309+parametros_recargas!$F$94*'Plan mensual'!I310+parametros_recargas!$G$94*'Plan mensual'!I311+parametros_recargas!$H$94*'Plan mensual'!I312+parametros_recargas!$I$94*'Plan mensual'!I313+parametros_recargas!$J$94*'Plan mensual'!I314+parametros_recargas!$K$94*'Plan mensual'!I315+parametros_recargas!$L$94*'Plan mensual'!I316</f>
        <v>1823.89634393793</v>
      </c>
      <c r="H312" s="25" t="n">
        <f aca="false">parametros_recargas!$E$94*'Plan mensual'!J309+parametros_recargas!$F$94*'Plan mensual'!J310+parametros_recargas!$G$94*'Plan mensual'!J311+parametros_recargas!$H$94*'Plan mensual'!J312+parametros_recargas!$I$94*'Plan mensual'!J313+parametros_recargas!$J$94*'Plan mensual'!J314+parametros_recargas!$K$94*'Plan mensual'!J315+parametros_recargas!$L$94*'Plan mensual'!J316</f>
        <v>1832.34829756255</v>
      </c>
      <c r="I312" s="25" t="n">
        <f aca="false">parametros_recargas!$E$94*'Plan mensual'!K309+parametros_recargas!$F$94*'Plan mensual'!K310+parametros_recargas!$G$94*'Plan mensual'!K311+parametros_recargas!$H$94*'Plan mensual'!K312+parametros_recargas!$I$94*'Plan mensual'!K313+parametros_recargas!$J$94*'Plan mensual'!K314+parametros_recargas!$K$94*'Plan mensual'!K315+parametros_recargas!$L$94*'Plan mensual'!K316</f>
        <v>1840.84920964862</v>
      </c>
      <c r="J312" s="25" t="n">
        <f aca="false">parametros_recargas!$E$94*'Plan mensual'!L309+parametros_recargas!$F$94*'Plan mensual'!L310+parametros_recargas!$G$94*'Plan mensual'!L311+parametros_recargas!$H$94*'Plan mensual'!L312+parametros_recargas!$I$94*'Plan mensual'!L313+parametros_recargas!$J$94*'Plan mensual'!L314+parametros_recargas!$K$94*'Plan mensual'!L315+parametros_recargas!$L$94*'Plan mensual'!L316</f>
        <v>1849.39936379102</v>
      </c>
      <c r="K312" s="25" t="n">
        <f aca="false">parametros_recargas!$E$94*'Plan mensual'!M309+parametros_recargas!$F$94*'Plan mensual'!M310+parametros_recargas!$G$94*'Plan mensual'!M311+parametros_recargas!$H$94*'Plan mensual'!M312+parametros_recargas!$I$94*'Plan mensual'!M313+parametros_recargas!$J$94*'Plan mensual'!M314+parametros_recargas!$K$94*'Plan mensual'!M315+parametros_recargas!$L$94*'Plan mensual'!M316</f>
        <v>1857.9990452274</v>
      </c>
      <c r="L312" s="25" t="n">
        <f aca="false">parametros_recargas!$E$94*'Plan mensual'!N309+parametros_recargas!$F$94*'Plan mensual'!N310+parametros_recargas!$G$94*'Plan mensual'!N311+parametros_recargas!$H$94*'Plan mensual'!N312+parametros_recargas!$I$94*'Plan mensual'!N313+parametros_recargas!$J$94*'Plan mensual'!N314+parametros_recargas!$K$94*'Plan mensual'!N315+parametros_recargas!$L$94*'Plan mensual'!N316</f>
        <v>1866.64854084765</v>
      </c>
      <c r="M312" s="25" t="n">
        <f aca="false">parametros_recargas!$E$94*'Plan mensual'!O309+parametros_recargas!$F$94*'Plan mensual'!O310+parametros_recargas!$G$94*'Plan mensual'!O311+parametros_recargas!$H$94*'Plan mensual'!O312+parametros_recargas!$I$94*'Plan mensual'!O313+parametros_recargas!$J$94*'Plan mensual'!O314+parametros_recargas!$K$94*'Plan mensual'!O315+parametros_recargas!$L$94*'Plan mensual'!O316</f>
        <v>1875.3481392035</v>
      </c>
      <c r="N312" s="7" t="n">
        <f aca="false">SUM(B312:M312)</f>
        <v>21940.8852550512</v>
      </c>
      <c r="O312" s="26" t="n">
        <f aca="false">MAX(B312:M312)</f>
        <v>1875.3481392035</v>
      </c>
      <c r="P312" s="15" t="n">
        <f aca="false">O312/parametros_recargas!$B$6</f>
        <v>12.5023209280233</v>
      </c>
    </row>
    <row r="313" customFormat="false" ht="15" hidden="false" customHeight="false" outlineLevel="0" collapsed="false">
      <c r="A313" s="12" t="str">
        <f aca="false">parametros_recargas!$B$95</f>
        <v>Carga y presurización de halogenado</v>
      </c>
      <c r="B313" s="25" t="n">
        <f aca="false">parametros_recargas!$E$95*'Plan mensual'!D309+parametros_recargas!$F$95*'Plan mensual'!D310+parametros_recargas!$G$95*'Plan mensual'!D311+parametros_recargas!$H$95*'Plan mensual'!D312+parametros_recargas!$I$95*'Plan mensual'!D313+parametros_recargas!$J$95*'Plan mensual'!D314+parametros_recargas!$K$95*'Plan mensual'!D315+parametros_recargas!$L$95*'Plan mensual'!D316</f>
        <v>22.9341552122238</v>
      </c>
      <c r="C313" s="25" t="n">
        <f aca="false">parametros_recargas!$E$95*'Plan mensual'!E309+parametros_recargas!$F$95*'Plan mensual'!E310+parametros_recargas!$G$95*'Plan mensual'!E311+parametros_recargas!$H$95*'Plan mensual'!E312+parametros_recargas!$I$95*'Plan mensual'!E313+parametros_recargas!$J$95*'Plan mensual'!E314+parametros_recargas!$K$95*'Plan mensual'!E315+parametros_recargas!$L$95*'Plan mensual'!E316</f>
        <v>23.0399707636578</v>
      </c>
      <c r="D313" s="25" t="n">
        <f aca="false">parametros_recargas!$E$95*'Plan mensual'!F309+parametros_recargas!$F$95*'Plan mensual'!F310+parametros_recargas!$G$95*'Plan mensual'!F311+parametros_recargas!$H$95*'Plan mensual'!F312+parametros_recargas!$I$95*'Plan mensual'!F313+parametros_recargas!$J$95*'Plan mensual'!F314+parametros_recargas!$K$95*'Plan mensual'!F315+parametros_recargas!$L$95*'Plan mensual'!F316</f>
        <v>23.1463992581846</v>
      </c>
      <c r="E313" s="25" t="n">
        <f aca="false">parametros_recargas!$E$95*'Plan mensual'!G309+parametros_recargas!$F$95*'Plan mensual'!G310+parametros_recargas!$G$95*'Plan mensual'!G311+parametros_recargas!$H$95*'Plan mensual'!G312+parametros_recargas!$I$95*'Plan mensual'!G313+parametros_recargas!$J$95*'Plan mensual'!G314+parametros_recargas!$K$95*'Plan mensual'!G315+parametros_recargas!$L$95*'Plan mensual'!G316</f>
        <v>23.2534442463147</v>
      </c>
      <c r="F313" s="25" t="n">
        <f aca="false">parametros_recargas!$E$95*'Plan mensual'!H309+parametros_recargas!$F$95*'Plan mensual'!H310+parametros_recargas!$G$95*'Plan mensual'!H311+parametros_recargas!$H$95*'Plan mensual'!H312+parametros_recargas!$I$95*'Plan mensual'!H313+parametros_recargas!$J$95*'Plan mensual'!H314+parametros_recargas!$K$95*'Plan mensual'!H315+parametros_recargas!$L$95*'Plan mensual'!H316</f>
        <v>23.3611092991252</v>
      </c>
      <c r="G313" s="25" t="n">
        <f aca="false">parametros_recargas!$E$95*'Plan mensual'!I309+parametros_recargas!$F$95*'Plan mensual'!I310+parametros_recargas!$G$95*'Plan mensual'!I311+parametros_recargas!$H$95*'Plan mensual'!I312+parametros_recargas!$I$95*'Plan mensual'!I313+parametros_recargas!$J$95*'Plan mensual'!I314+parametros_recargas!$K$95*'Plan mensual'!I315+parametros_recargas!$L$95*'Plan mensual'!I316</f>
        <v>23.4693980083789</v>
      </c>
      <c r="H313" s="25" t="n">
        <f aca="false">parametros_recargas!$E$95*'Plan mensual'!J309+parametros_recargas!$F$95*'Plan mensual'!J310+parametros_recargas!$G$95*'Plan mensual'!J311+parametros_recargas!$H$95*'Plan mensual'!J312+parametros_recargas!$I$95*'Plan mensual'!J313+parametros_recargas!$J$95*'Plan mensual'!J314+parametros_recargas!$K$95*'Plan mensual'!J315+parametros_recargas!$L$95*'Plan mensual'!J316</f>
        <v>23.5783139866443</v>
      </c>
      <c r="I313" s="25" t="n">
        <f aca="false">parametros_recargas!$E$95*'Plan mensual'!K309+parametros_recargas!$F$95*'Plan mensual'!K310+parametros_recargas!$G$95*'Plan mensual'!K311+parametros_recargas!$H$95*'Plan mensual'!K312+parametros_recargas!$I$95*'Plan mensual'!K313+parametros_recargas!$J$95*'Plan mensual'!K314+parametros_recargas!$K$95*'Plan mensual'!K315+parametros_recargas!$L$95*'Plan mensual'!K316</f>
        <v>23.6878608674155</v>
      </c>
      <c r="J313" s="25" t="n">
        <f aca="false">parametros_recargas!$E$95*'Plan mensual'!L309+parametros_recargas!$F$95*'Plan mensual'!L310+parametros_recargas!$G$95*'Plan mensual'!L311+parametros_recargas!$H$95*'Plan mensual'!L312+parametros_recargas!$I$95*'Plan mensual'!L313+parametros_recargas!$J$95*'Plan mensual'!L314+parametros_recargas!$K$95*'Plan mensual'!L315+parametros_recargas!$L$95*'Plan mensual'!L316</f>
        <v>23.7980423052342</v>
      </c>
      <c r="K313" s="25" t="n">
        <f aca="false">parametros_recargas!$E$95*'Plan mensual'!M309+parametros_recargas!$F$95*'Plan mensual'!M310+parametros_recargas!$G$95*'Plan mensual'!M311+parametros_recargas!$H$95*'Plan mensual'!M312+parametros_recargas!$I$95*'Plan mensual'!M313+parametros_recargas!$J$95*'Plan mensual'!M314+parametros_recargas!$K$95*'Plan mensual'!M315+parametros_recargas!$L$95*'Plan mensual'!M316</f>
        <v>23.9088619758112</v>
      </c>
      <c r="L313" s="25" t="n">
        <f aca="false">parametros_recargas!$E$95*'Plan mensual'!N309+parametros_recargas!$F$95*'Plan mensual'!N310+parametros_recargas!$G$95*'Plan mensual'!N311+parametros_recargas!$H$95*'Plan mensual'!N312+parametros_recargas!$I$95*'Plan mensual'!N313+parametros_recargas!$J$95*'Plan mensual'!N314+parametros_recargas!$K$95*'Plan mensual'!N315+parametros_recargas!$L$95*'Plan mensual'!N316</f>
        <v>24.0203235761489</v>
      </c>
      <c r="M313" s="25" t="n">
        <f aca="false">parametros_recargas!$E$95*'Plan mensual'!O309+parametros_recargas!$F$95*'Plan mensual'!O310+parametros_recargas!$G$95*'Plan mensual'!O311+parametros_recargas!$H$95*'Plan mensual'!O312+parametros_recargas!$I$95*'Plan mensual'!O313+parametros_recargas!$J$95*'Plan mensual'!O314+parametros_recargas!$K$95*'Plan mensual'!O315+parametros_recargas!$L$95*'Plan mensual'!O316</f>
        <v>24.132430824665</v>
      </c>
      <c r="N313" s="7" t="n">
        <f aca="false">SUM(B313:M313)</f>
        <v>282.330310323804</v>
      </c>
      <c r="O313" s="26" t="n">
        <f aca="false">MAX(B313:M313)</f>
        <v>24.132430824665</v>
      </c>
      <c r="P313" s="15" t="n">
        <f aca="false">O313/parametros_recargas!$B$6</f>
        <v>0.160882872164434</v>
      </c>
    </row>
    <row r="314" customFormat="false" ht="15" hidden="false" customHeight="false" outlineLevel="0" collapsed="false">
      <c r="A314" s="12" t="str">
        <f aca="false">parametros_recargas!$B$96</f>
        <v>Control de peso (CO₂ y halogenados sin recarga)</v>
      </c>
      <c r="B314" s="25" t="n">
        <f aca="false">parametros_recargas!$E$96*'Plan mensual'!D309+parametros_recargas!$F$96*'Plan mensual'!D310+parametros_recargas!$G$96*'Plan mensual'!D311+parametros_recargas!$H$96*'Plan mensual'!D312+parametros_recargas!$I$96*'Plan mensual'!D313+parametros_recargas!$J$96*'Plan mensual'!D314+parametros_recargas!$K$96*'Plan mensual'!D315+parametros_recargas!$L$96*'Plan mensual'!D316</f>
        <v>1611.28925981171</v>
      </c>
      <c r="C314" s="25" t="n">
        <f aca="false">parametros_recargas!$E$96*'Plan mensual'!E309+parametros_recargas!$F$96*'Plan mensual'!E310+parametros_recargas!$G$96*'Plan mensual'!E311+parametros_recargas!$H$96*'Plan mensual'!E312+parametros_recargas!$I$96*'Plan mensual'!E313+parametros_recargas!$J$96*'Plan mensual'!E314+parametros_recargas!$K$96*'Plan mensual'!E315+parametros_recargas!$L$96*'Plan mensual'!E316</f>
        <v>1618.71226865899</v>
      </c>
      <c r="D314" s="25" t="n">
        <f aca="false">parametros_recargas!$E$96*'Plan mensual'!F309+parametros_recargas!$F$96*'Plan mensual'!F310+parametros_recargas!$G$96*'Plan mensual'!F311+parametros_recargas!$H$96*'Plan mensual'!F312+parametros_recargas!$I$96*'Plan mensual'!F313+parametros_recargas!$J$96*'Plan mensual'!F314+parametros_recargas!$K$96*'Plan mensual'!F315+parametros_recargas!$L$96*'Plan mensual'!F316</f>
        <v>1626.17827574177</v>
      </c>
      <c r="E314" s="25" t="n">
        <f aca="false">parametros_recargas!$E$96*'Plan mensual'!G309+parametros_recargas!$F$96*'Plan mensual'!G310+parametros_recargas!$G$96*'Plan mensual'!G311+parametros_recargas!$H$96*'Plan mensual'!G312+parametros_recargas!$I$96*'Plan mensual'!G313+parametros_recargas!$J$96*'Plan mensual'!G314+parametros_recargas!$K$96*'Plan mensual'!G315+parametros_recargas!$L$96*'Plan mensual'!G316</f>
        <v>1633.68753012998</v>
      </c>
      <c r="F314" s="25" t="n">
        <f aca="false">parametros_recargas!$E$96*'Plan mensual'!H309+parametros_recargas!$F$96*'Plan mensual'!H310+parametros_recargas!$G$96*'Plan mensual'!H311+parametros_recargas!$H$96*'Plan mensual'!H312+parametros_recargas!$I$96*'Plan mensual'!H313+parametros_recargas!$J$96*'Plan mensual'!H314+parametros_recargas!$K$96*'Plan mensual'!H315+parametros_recargas!$L$96*'Plan mensual'!H316</f>
        <v>1641.24028233629</v>
      </c>
      <c r="G314" s="25" t="n">
        <f aca="false">parametros_recargas!$E$96*'Plan mensual'!I309+parametros_recargas!$F$96*'Plan mensual'!I310+parametros_recargas!$G$96*'Plan mensual'!I311+parametros_recargas!$H$96*'Plan mensual'!I312+parametros_recargas!$I$96*'Plan mensual'!I313+parametros_recargas!$J$96*'Plan mensual'!I314+parametros_recargas!$K$96*'Plan mensual'!I315+parametros_recargas!$L$96*'Plan mensual'!I316</f>
        <v>1648.83678432449</v>
      </c>
      <c r="H314" s="25" t="n">
        <f aca="false">parametros_recargas!$E$96*'Plan mensual'!J309+parametros_recargas!$F$96*'Plan mensual'!J310+parametros_recargas!$G$96*'Plan mensual'!J311+parametros_recargas!$H$96*'Plan mensual'!J312+parametros_recargas!$I$96*'Plan mensual'!J313+parametros_recargas!$J$96*'Plan mensual'!J314+parametros_recargas!$K$96*'Plan mensual'!J315+parametros_recargas!$L$96*'Plan mensual'!J316</f>
        <v>1656.47728951788</v>
      </c>
      <c r="I314" s="25" t="n">
        <f aca="false">parametros_recargas!$E$96*'Plan mensual'!K309+parametros_recargas!$F$96*'Plan mensual'!K310+parametros_recargas!$G$96*'Plan mensual'!K311+parametros_recargas!$H$96*'Plan mensual'!K312+parametros_recargas!$I$96*'Plan mensual'!K313+parametros_recargas!$J$96*'Plan mensual'!K314+parametros_recargas!$K$96*'Plan mensual'!K315+parametros_recargas!$L$96*'Plan mensual'!K316</f>
        <v>1664.16205280774</v>
      </c>
      <c r="J314" s="25" t="n">
        <f aca="false">parametros_recargas!$E$96*'Plan mensual'!L309+parametros_recargas!$F$96*'Plan mensual'!L310+parametros_recargas!$G$96*'Plan mensual'!L311+parametros_recargas!$H$96*'Plan mensual'!L312+parametros_recargas!$I$96*'Plan mensual'!L313+parametros_recargas!$J$96*'Plan mensual'!L314+parametros_recargas!$K$96*'Plan mensual'!L315+parametros_recargas!$L$96*'Plan mensual'!L316</f>
        <v>1671.89133056182</v>
      </c>
      <c r="K314" s="25" t="n">
        <f aca="false">parametros_recargas!$E$96*'Plan mensual'!M309+parametros_recargas!$F$96*'Plan mensual'!M310+parametros_recargas!$G$96*'Plan mensual'!M311+parametros_recargas!$H$96*'Plan mensual'!M312+parametros_recargas!$I$96*'Plan mensual'!M313+parametros_recargas!$J$96*'Plan mensual'!M314+parametros_recargas!$K$96*'Plan mensual'!M315+parametros_recargas!$L$96*'Plan mensual'!M316</f>
        <v>1679.66538063288</v>
      </c>
      <c r="L314" s="25" t="n">
        <f aca="false">parametros_recargas!$E$96*'Plan mensual'!N309+parametros_recargas!$F$96*'Plan mensual'!N310+parametros_recargas!$G$96*'Plan mensual'!N311+parametros_recargas!$H$96*'Plan mensual'!N312+parametros_recargas!$I$96*'Plan mensual'!N313+parametros_recargas!$J$96*'Plan mensual'!N314+parametros_recargas!$K$96*'Plan mensual'!N315+parametros_recargas!$L$96*'Plan mensual'!N316</f>
        <v>1687.48446236734</v>
      </c>
      <c r="M314" s="25" t="n">
        <f aca="false">parametros_recargas!$E$96*'Plan mensual'!O309+parametros_recargas!$F$96*'Plan mensual'!O310+parametros_recargas!$G$96*'Plan mensual'!O311+parametros_recargas!$H$96*'Plan mensual'!O312+parametros_recargas!$I$96*'Plan mensual'!O313+parametros_recargas!$J$96*'Plan mensual'!O314+parametros_recargas!$K$96*'Plan mensual'!O315+parametros_recargas!$L$96*'Plan mensual'!O316</f>
        <v>1695.34883661386</v>
      </c>
      <c r="N314" s="7" t="n">
        <f aca="false">SUM(B314:M314)</f>
        <v>19834.9737535048</v>
      </c>
      <c r="O314" s="26" t="n">
        <f aca="false">MAX(B314:M314)</f>
        <v>1695.34883661386</v>
      </c>
      <c r="P314" s="15" t="n">
        <f aca="false">O314/parametros_recargas!$B$6</f>
        <v>11.3023255774257</v>
      </c>
    </row>
    <row r="315" customFormat="false" ht="15" hidden="false" customHeight="false" outlineLevel="0" collapsed="false">
      <c r="A315" s="12" t="str">
        <f aca="false">parametros_recargas!$B$97</f>
        <v>Ensayo de pérdidas</v>
      </c>
      <c r="B315" s="25" t="n">
        <f aca="false">parametros_recargas!$E$97*'Plan mensual'!D309+parametros_recargas!$F$97*'Plan mensual'!D310+parametros_recargas!$G$97*'Plan mensual'!D311+parametros_recargas!$H$97*'Plan mensual'!D312+parametros_recargas!$I$97*'Plan mensual'!D313+parametros_recargas!$J$97*'Plan mensual'!D314+parametros_recargas!$K$97*'Plan mensual'!D315+parametros_recargas!$L$97*'Plan mensual'!D316</f>
        <v>25086.066237832</v>
      </c>
      <c r="C315" s="25" t="n">
        <f aca="false">parametros_recargas!$E$97*'Plan mensual'!E309+parametros_recargas!$F$97*'Plan mensual'!E310+parametros_recargas!$G$97*'Plan mensual'!E311+parametros_recargas!$H$97*'Plan mensual'!E312+parametros_recargas!$I$97*'Plan mensual'!E313+parametros_recargas!$J$97*'Plan mensual'!E314+parametros_recargas!$K$97*'Plan mensual'!E315+parametros_recargas!$L$97*'Plan mensual'!E316</f>
        <v>25213.1559042428</v>
      </c>
      <c r="D315" s="25" t="n">
        <f aca="false">parametros_recargas!$E$97*'Plan mensual'!F309+parametros_recargas!$F$97*'Plan mensual'!F310+parametros_recargas!$G$97*'Plan mensual'!F311+parametros_recargas!$H$97*'Plan mensual'!F312+parametros_recargas!$I$97*'Plan mensual'!F313+parametros_recargas!$J$97*'Plan mensual'!F314+parametros_recargas!$K$97*'Plan mensual'!F315+parametros_recargas!$L$97*'Plan mensual'!F316</f>
        <v>25340.9817453664</v>
      </c>
      <c r="E315" s="25" t="n">
        <f aca="false">parametros_recargas!$E$97*'Plan mensual'!G309+parametros_recargas!$F$97*'Plan mensual'!G310+parametros_recargas!$G$97*'Plan mensual'!G311+parametros_recargas!$H$97*'Plan mensual'!G312+parametros_recargas!$I$97*'Plan mensual'!G313+parametros_recargas!$J$97*'Plan mensual'!G314+parametros_recargas!$K$97*'Plan mensual'!G315+parametros_recargas!$L$97*'Plan mensual'!G316</f>
        <v>25469.5480255401</v>
      </c>
      <c r="F315" s="25" t="n">
        <f aca="false">parametros_recargas!$E$97*'Plan mensual'!H309+parametros_recargas!$F$97*'Plan mensual'!H310+parametros_recargas!$G$97*'Plan mensual'!H311+parametros_recargas!$H$97*'Plan mensual'!H312+parametros_recargas!$I$97*'Plan mensual'!H313+parametros_recargas!$J$97*'Plan mensual'!H314+parametros_recargas!$K$97*'Plan mensual'!H315+parametros_recargas!$L$97*'Plan mensual'!H316</f>
        <v>25598.8590338026</v>
      </c>
      <c r="G315" s="25" t="n">
        <f aca="false">parametros_recargas!$E$97*'Plan mensual'!I309+parametros_recargas!$F$97*'Plan mensual'!I310+parametros_recargas!$G$97*'Plan mensual'!I311+parametros_recargas!$H$97*'Plan mensual'!I312+parametros_recargas!$I$97*'Plan mensual'!I313+parametros_recargas!$J$97*'Plan mensual'!I314+parametros_recargas!$K$97*'Plan mensual'!I315+parametros_recargas!$L$97*'Plan mensual'!I316</f>
        <v>25728.9190840372</v>
      </c>
      <c r="H315" s="25" t="n">
        <f aca="false">parametros_recargas!$E$97*'Plan mensual'!J309+parametros_recargas!$F$97*'Plan mensual'!J310+parametros_recargas!$G$97*'Plan mensual'!J311+parametros_recargas!$H$97*'Plan mensual'!J312+parametros_recargas!$I$97*'Plan mensual'!J313+parametros_recargas!$J$97*'Plan mensual'!J314+parametros_recargas!$K$97*'Plan mensual'!J315+parametros_recargas!$L$97*'Plan mensual'!J316</f>
        <v>25859.7325151157</v>
      </c>
      <c r="I315" s="25" t="n">
        <f aca="false">parametros_recargas!$E$97*'Plan mensual'!K309+parametros_recargas!$F$97*'Plan mensual'!K310+parametros_recargas!$G$97*'Plan mensual'!K311+parametros_recargas!$H$97*'Plan mensual'!K312+parametros_recargas!$I$97*'Plan mensual'!K313+parametros_recargas!$J$97*'Plan mensual'!K314+parametros_recargas!$K$97*'Plan mensual'!K315+parametros_recargas!$L$97*'Plan mensual'!K316</f>
        <v>25991.3036910429</v>
      </c>
      <c r="J315" s="25" t="n">
        <f aca="false">parametros_recargas!$E$97*'Plan mensual'!L309+parametros_recargas!$F$97*'Plan mensual'!L310+parametros_recargas!$G$97*'Plan mensual'!L311+parametros_recargas!$H$97*'Plan mensual'!L312+parametros_recargas!$I$97*'Plan mensual'!L313+parametros_recargas!$J$97*'Plan mensual'!L314+parametros_recargas!$K$97*'Plan mensual'!L315+parametros_recargas!$L$97*'Plan mensual'!L316</f>
        <v>26123.6370011025</v>
      </c>
      <c r="K315" s="25" t="n">
        <f aca="false">parametros_recargas!$E$97*'Plan mensual'!M309+parametros_recargas!$F$97*'Plan mensual'!M310+parametros_recargas!$G$97*'Plan mensual'!M311+parametros_recargas!$H$97*'Plan mensual'!M312+parametros_recargas!$I$97*'Plan mensual'!M313+parametros_recargas!$J$97*'Plan mensual'!M314+parametros_recargas!$K$97*'Plan mensual'!M315+parametros_recargas!$L$97*'Plan mensual'!M316</f>
        <v>26256.7368600033</v>
      </c>
      <c r="L315" s="25" t="n">
        <f aca="false">parametros_recargas!$E$97*'Plan mensual'!N309+parametros_recargas!$F$97*'Plan mensual'!N310+parametros_recargas!$G$97*'Plan mensual'!N311+parametros_recargas!$H$97*'Plan mensual'!N312+parametros_recargas!$I$97*'Plan mensual'!N313+parametros_recargas!$J$97*'Plan mensual'!N314+parametros_recargas!$K$97*'Plan mensual'!N315+parametros_recargas!$L$97*'Plan mensual'!N316</f>
        <v>26390.6077080267</v>
      </c>
      <c r="M315" s="25" t="n">
        <f aca="false">parametros_recargas!$E$97*'Plan mensual'!O309+parametros_recargas!$F$97*'Plan mensual'!O310+parametros_recargas!$G$97*'Plan mensual'!O311+parametros_recargas!$H$97*'Plan mensual'!O312+parametros_recargas!$I$97*'Plan mensual'!O313+parametros_recargas!$J$97*'Plan mensual'!O314+parametros_recargas!$K$97*'Plan mensual'!O315+parametros_recargas!$L$97*'Plan mensual'!O316</f>
        <v>26525.2540111746</v>
      </c>
      <c r="N315" s="7" t="n">
        <f aca="false">SUM(B315:M315)</f>
        <v>309584.801817287</v>
      </c>
      <c r="O315" s="26" t="n">
        <f aca="false">MAX(B315:M315)</f>
        <v>26525.2540111746</v>
      </c>
      <c r="P315" s="15" t="n">
        <f aca="false">O315/parametros_recargas!$B$6</f>
        <v>176.835026741164</v>
      </c>
    </row>
    <row r="316" customFormat="false" ht="15" hidden="false" customHeight="false" outlineLevel="0" collapsed="false">
      <c r="A316" s="12" t="str">
        <f aca="false">parametros_recargas!$B$98</f>
        <v>Precinto, etiqueta y despacho</v>
      </c>
      <c r="B316" s="25" t="n">
        <f aca="false">parametros_recargas!$E$98*'Plan mensual'!D309+parametros_recargas!$F$98*'Plan mensual'!D310+parametros_recargas!$G$98*'Plan mensual'!D311+parametros_recargas!$H$98*'Plan mensual'!D312+parametros_recargas!$I$98*'Plan mensual'!D313+parametros_recargas!$J$98*'Plan mensual'!D314+parametros_recargas!$K$98*'Plan mensual'!D315+parametros_recargas!$L$98*'Plan mensual'!D316</f>
        <v>25086.066237832</v>
      </c>
      <c r="C316" s="25" t="n">
        <f aca="false">parametros_recargas!$E$98*'Plan mensual'!E309+parametros_recargas!$F$98*'Plan mensual'!E310+parametros_recargas!$G$98*'Plan mensual'!E311+parametros_recargas!$H$98*'Plan mensual'!E312+parametros_recargas!$I$98*'Plan mensual'!E313+parametros_recargas!$J$98*'Plan mensual'!E314+parametros_recargas!$K$98*'Plan mensual'!E315+parametros_recargas!$L$98*'Plan mensual'!E316</f>
        <v>25213.1559042428</v>
      </c>
      <c r="D316" s="25" t="n">
        <f aca="false">parametros_recargas!$E$98*'Plan mensual'!F309+parametros_recargas!$F$98*'Plan mensual'!F310+parametros_recargas!$G$98*'Plan mensual'!F311+parametros_recargas!$H$98*'Plan mensual'!F312+parametros_recargas!$I$98*'Plan mensual'!F313+parametros_recargas!$J$98*'Plan mensual'!F314+parametros_recargas!$K$98*'Plan mensual'!F315+parametros_recargas!$L$98*'Plan mensual'!F316</f>
        <v>25340.9817453664</v>
      </c>
      <c r="E316" s="25" t="n">
        <f aca="false">parametros_recargas!$E$98*'Plan mensual'!G309+parametros_recargas!$F$98*'Plan mensual'!G310+parametros_recargas!$G$98*'Plan mensual'!G311+parametros_recargas!$H$98*'Plan mensual'!G312+parametros_recargas!$I$98*'Plan mensual'!G313+parametros_recargas!$J$98*'Plan mensual'!G314+parametros_recargas!$K$98*'Plan mensual'!G315+parametros_recargas!$L$98*'Plan mensual'!G316</f>
        <v>25469.5480255401</v>
      </c>
      <c r="F316" s="25" t="n">
        <f aca="false">parametros_recargas!$E$98*'Plan mensual'!H309+parametros_recargas!$F$98*'Plan mensual'!H310+parametros_recargas!$G$98*'Plan mensual'!H311+parametros_recargas!$H$98*'Plan mensual'!H312+parametros_recargas!$I$98*'Plan mensual'!H313+parametros_recargas!$J$98*'Plan mensual'!H314+parametros_recargas!$K$98*'Plan mensual'!H315+parametros_recargas!$L$98*'Plan mensual'!H316</f>
        <v>25598.8590338026</v>
      </c>
      <c r="G316" s="25" t="n">
        <f aca="false">parametros_recargas!$E$98*'Plan mensual'!I309+parametros_recargas!$F$98*'Plan mensual'!I310+parametros_recargas!$G$98*'Plan mensual'!I311+parametros_recargas!$H$98*'Plan mensual'!I312+parametros_recargas!$I$98*'Plan mensual'!I313+parametros_recargas!$J$98*'Plan mensual'!I314+parametros_recargas!$K$98*'Plan mensual'!I315+parametros_recargas!$L$98*'Plan mensual'!I316</f>
        <v>25728.9190840372</v>
      </c>
      <c r="H316" s="25" t="n">
        <f aca="false">parametros_recargas!$E$98*'Plan mensual'!J309+parametros_recargas!$F$98*'Plan mensual'!J310+parametros_recargas!$G$98*'Plan mensual'!J311+parametros_recargas!$H$98*'Plan mensual'!J312+parametros_recargas!$I$98*'Plan mensual'!J313+parametros_recargas!$J$98*'Plan mensual'!J314+parametros_recargas!$K$98*'Plan mensual'!J315+parametros_recargas!$L$98*'Plan mensual'!J316</f>
        <v>25859.7325151157</v>
      </c>
      <c r="I316" s="25" t="n">
        <f aca="false">parametros_recargas!$E$98*'Plan mensual'!K309+parametros_recargas!$F$98*'Plan mensual'!K310+parametros_recargas!$G$98*'Plan mensual'!K311+parametros_recargas!$H$98*'Plan mensual'!K312+parametros_recargas!$I$98*'Plan mensual'!K313+parametros_recargas!$J$98*'Plan mensual'!K314+parametros_recargas!$K$98*'Plan mensual'!K315+parametros_recargas!$L$98*'Plan mensual'!K316</f>
        <v>25991.3036910429</v>
      </c>
      <c r="J316" s="25" t="n">
        <f aca="false">parametros_recargas!$E$98*'Plan mensual'!L309+parametros_recargas!$F$98*'Plan mensual'!L310+parametros_recargas!$G$98*'Plan mensual'!L311+parametros_recargas!$H$98*'Plan mensual'!L312+parametros_recargas!$I$98*'Plan mensual'!L313+parametros_recargas!$J$98*'Plan mensual'!L314+parametros_recargas!$K$98*'Plan mensual'!L315+parametros_recargas!$L$98*'Plan mensual'!L316</f>
        <v>26123.6370011025</v>
      </c>
      <c r="K316" s="25" t="n">
        <f aca="false">parametros_recargas!$E$98*'Plan mensual'!M309+parametros_recargas!$F$98*'Plan mensual'!M310+parametros_recargas!$G$98*'Plan mensual'!M311+parametros_recargas!$H$98*'Plan mensual'!M312+parametros_recargas!$I$98*'Plan mensual'!M313+parametros_recargas!$J$98*'Plan mensual'!M314+parametros_recargas!$K$98*'Plan mensual'!M315+parametros_recargas!$L$98*'Plan mensual'!M316</f>
        <v>26256.7368600033</v>
      </c>
      <c r="L316" s="25" t="n">
        <f aca="false">parametros_recargas!$E$98*'Plan mensual'!N309+parametros_recargas!$F$98*'Plan mensual'!N310+parametros_recargas!$G$98*'Plan mensual'!N311+parametros_recargas!$H$98*'Plan mensual'!N312+parametros_recargas!$I$98*'Plan mensual'!N313+parametros_recargas!$J$98*'Plan mensual'!N314+parametros_recargas!$K$98*'Plan mensual'!N315+parametros_recargas!$L$98*'Plan mensual'!N316</f>
        <v>26390.6077080267</v>
      </c>
      <c r="M316" s="25" t="n">
        <f aca="false">parametros_recargas!$E$98*'Plan mensual'!O309+parametros_recargas!$F$98*'Plan mensual'!O310+parametros_recargas!$G$98*'Plan mensual'!O311+parametros_recargas!$H$98*'Plan mensual'!O312+parametros_recargas!$I$98*'Plan mensual'!O313+parametros_recargas!$J$98*'Plan mensual'!O314+parametros_recargas!$K$98*'Plan mensual'!O315+parametros_recargas!$L$98*'Plan mensual'!O316</f>
        <v>26525.2540111746</v>
      </c>
      <c r="N316" s="7" t="n">
        <f aca="false">SUM(B316:M316)</f>
        <v>309584.801817287</v>
      </c>
      <c r="O316" s="26" t="n">
        <f aca="false">MAX(B316:M316)</f>
        <v>26525.2540111746</v>
      </c>
      <c r="P316" s="15" t="n">
        <f aca="false">O316/parametros_recargas!$B$6</f>
        <v>176.835026741164</v>
      </c>
    </row>
    <row r="317" customFormat="false" ht="15" hidden="false" customHeight="false" outlineLevel="0" collapsed="false">
      <c r="A317" s="12" t="str">
        <f aca="false">parametros_recargas!$B$99</f>
        <v>Inutilización y disposición final</v>
      </c>
      <c r="B317" s="25" t="n">
        <f aca="false">parametros_recargas!$E$99*'Plan mensual'!D309+parametros_recargas!$F$99*'Plan mensual'!D310+parametros_recargas!$G$99*'Plan mensual'!D311+parametros_recargas!$H$99*'Plan mensual'!D312+parametros_recargas!$I$99*'Plan mensual'!D313+parametros_recargas!$J$99*'Plan mensual'!D314+parametros_recargas!$K$99*'Plan mensual'!D315+parametros_recargas!$L$99*'Plan mensual'!D316</f>
        <v>1970.15942297477</v>
      </c>
      <c r="C317" s="25" t="n">
        <f aca="false">parametros_recargas!$E$99*'Plan mensual'!E309+parametros_recargas!$F$99*'Plan mensual'!E310+parametros_recargas!$G$99*'Plan mensual'!E311+parametros_recargas!$H$99*'Plan mensual'!E312+parametros_recargas!$I$99*'Plan mensual'!E313+parametros_recargas!$J$99*'Plan mensual'!E314+parametros_recargas!$K$99*'Plan mensual'!E315+parametros_recargas!$L$99*'Plan mensual'!E316</f>
        <v>1980.15741623543</v>
      </c>
      <c r="D317" s="25" t="n">
        <f aca="false">parametros_recargas!$E$99*'Plan mensual'!F309+parametros_recargas!$F$99*'Plan mensual'!F310+parametros_recargas!$G$99*'Plan mensual'!F311+parametros_recargas!$H$99*'Plan mensual'!F312+parametros_recargas!$I$99*'Plan mensual'!F313+parametros_recargas!$J$99*'Plan mensual'!F314+parametros_recargas!$K$99*'Plan mensual'!F315+parametros_recargas!$L$99*'Plan mensual'!F316</f>
        <v>1990.21332348724</v>
      </c>
      <c r="E317" s="25" t="n">
        <f aca="false">parametros_recargas!$E$99*'Plan mensual'!G309+parametros_recargas!$F$99*'Plan mensual'!G310+parametros_recargas!$G$99*'Plan mensual'!G311+parametros_recargas!$H$99*'Plan mensual'!G312+parametros_recargas!$I$99*'Plan mensual'!G313+parametros_recargas!$J$99*'Plan mensual'!G314+parametros_recargas!$K$99*'Plan mensual'!G315+parametros_recargas!$L$99*'Plan mensual'!G316</f>
        <v>2000.32748020056</v>
      </c>
      <c r="F317" s="25" t="n">
        <f aca="false">parametros_recargas!$E$99*'Plan mensual'!H309+parametros_recargas!$F$99*'Plan mensual'!H310+parametros_recargas!$G$99*'Plan mensual'!H311+parametros_recargas!$H$99*'Plan mensual'!H312+parametros_recargas!$I$99*'Plan mensual'!H313+parametros_recargas!$J$99*'Plan mensual'!H314+parametros_recargas!$K$99*'Plan mensual'!H315+parametros_recargas!$L$99*'Plan mensual'!H316</f>
        <v>2010.500223789</v>
      </c>
      <c r="G317" s="25" t="n">
        <f aca="false">parametros_recargas!$E$99*'Plan mensual'!I309+parametros_recargas!$F$99*'Plan mensual'!I310+parametros_recargas!$G$99*'Plan mensual'!I311+parametros_recargas!$H$99*'Plan mensual'!I312+parametros_recargas!$I$99*'Plan mensual'!I313+parametros_recargas!$J$99*'Plan mensual'!I314+parametros_recargas!$K$99*'Plan mensual'!I315+parametros_recargas!$L$99*'Plan mensual'!I316</f>
        <v>2020.73189362061</v>
      </c>
      <c r="H317" s="25" t="n">
        <f aca="false">parametros_recargas!$E$99*'Plan mensual'!J309+parametros_recargas!$F$99*'Plan mensual'!J310+parametros_recargas!$G$99*'Plan mensual'!J311+parametros_recargas!$H$99*'Plan mensual'!J312+parametros_recargas!$I$99*'Plan mensual'!J313+parametros_recargas!$J$99*'Plan mensual'!J314+parametros_recargas!$K$99*'Plan mensual'!J315+parametros_recargas!$L$99*'Plan mensual'!J316</f>
        <v>2031.02283102931</v>
      </c>
      <c r="I317" s="25" t="n">
        <f aca="false">parametros_recargas!$E$99*'Plan mensual'!K309+parametros_recargas!$F$99*'Plan mensual'!K310+parametros_recargas!$G$99*'Plan mensual'!K311+parametros_recargas!$H$99*'Plan mensual'!K312+parametros_recargas!$I$99*'Plan mensual'!K313+parametros_recargas!$J$99*'Plan mensual'!K314+parametros_recargas!$K$99*'Plan mensual'!K315+parametros_recargas!$L$99*'Plan mensual'!K316</f>
        <v>2041.37337932616</v>
      </c>
      <c r="J317" s="25" t="n">
        <f aca="false">parametros_recargas!$E$99*'Plan mensual'!L309+parametros_recargas!$F$99*'Plan mensual'!L310+parametros_recargas!$G$99*'Plan mensual'!L311+parametros_recargas!$H$99*'Plan mensual'!L312+parametros_recargas!$I$99*'Plan mensual'!L313+parametros_recargas!$J$99*'Plan mensual'!L314+parametros_recargas!$K$99*'Plan mensual'!L315+parametros_recargas!$L$99*'Plan mensual'!L316</f>
        <v>2051.78388381091</v>
      </c>
      <c r="K317" s="25" t="n">
        <f aca="false">parametros_recargas!$E$99*'Plan mensual'!M309+parametros_recargas!$F$99*'Plan mensual'!M310+parametros_recargas!$G$99*'Plan mensual'!M311+parametros_recargas!$H$99*'Plan mensual'!M312+parametros_recargas!$I$99*'Plan mensual'!M313+parametros_recargas!$J$99*'Plan mensual'!M314+parametros_recargas!$K$99*'Plan mensual'!M315+parametros_recargas!$L$99*'Plan mensual'!M316</f>
        <v>2062.25469178347</v>
      </c>
      <c r="L317" s="25" t="n">
        <f aca="false">parametros_recargas!$E$99*'Plan mensual'!N309+parametros_recargas!$F$99*'Plan mensual'!N310+parametros_recargas!$G$99*'Plan mensual'!N311+parametros_recargas!$H$99*'Plan mensual'!N312+parametros_recargas!$I$99*'Plan mensual'!N313+parametros_recargas!$J$99*'Plan mensual'!N314+parametros_recargas!$K$99*'Plan mensual'!N315+parametros_recargas!$L$99*'Plan mensual'!N316</f>
        <v>2072.78615255549</v>
      </c>
      <c r="M317" s="25" t="n">
        <f aca="false">parametros_recargas!$E$99*'Plan mensual'!O309+parametros_recargas!$F$99*'Plan mensual'!O310+parametros_recargas!$G$99*'Plan mensual'!O311+parametros_recargas!$H$99*'Plan mensual'!O312+parametros_recargas!$I$99*'Plan mensual'!O313+parametros_recargas!$J$99*'Plan mensual'!O314+parametros_recargas!$K$99*'Plan mensual'!O315+parametros_recargas!$L$99*'Plan mensual'!O316</f>
        <v>2083.37861746206</v>
      </c>
      <c r="N317" s="7" t="n">
        <f aca="false">SUM(B317:M317)</f>
        <v>24314.689316275</v>
      </c>
      <c r="O317" s="26" t="n">
        <f aca="false">MAX(B317:M317)</f>
        <v>2083.37861746206</v>
      </c>
      <c r="P317" s="15" t="n">
        <f aca="false">O317/parametros_recargas!$B$6</f>
        <v>13.8891907830804</v>
      </c>
    </row>
    <row r="318" customFormat="false" ht="15" hidden="false" customHeight="false" outlineLevel="0" collapsed="false">
      <c r="A318" s="12" t="str">
        <f aca="false">parametros_recargas!$B$100</f>
        <v>PH de mangueras (CO₂ y rodantes)</v>
      </c>
      <c r="B318" s="25" t="n">
        <f aca="false">'Plan mensual'!D317</f>
        <v>1270.90088621972</v>
      </c>
      <c r="C318" s="25" t="n">
        <f aca="false">'Plan mensual'!E317</f>
        <v>1275.15156954803</v>
      </c>
      <c r="D318" s="25" t="n">
        <f aca="false">'Plan mensual'!F317</f>
        <v>1279.42687522107</v>
      </c>
      <c r="E318" s="25" t="n">
        <f aca="false">'Plan mensual'!G317</f>
        <v>1283.72694586529</v>
      </c>
      <c r="F318" s="25" t="n">
        <f aca="false">'Plan mensual'!H317</f>
        <v>1288.0519249333</v>
      </c>
      <c r="G318" s="25" t="n">
        <f aca="false">'Plan mensual'!I317</f>
        <v>1292.4019567087</v>
      </c>
      <c r="H318" s="25" t="n">
        <f aca="false">'Plan mensual'!J317</f>
        <v>1296.77718631082</v>
      </c>
      <c r="I318" s="25" t="n">
        <f aca="false">'Plan mensual'!K317</f>
        <v>1301.17775969962</v>
      </c>
      <c r="J318" s="25" t="n">
        <f aca="false">'Plan mensual'!L317</f>
        <v>1305.60382368056</v>
      </c>
      <c r="K318" s="25" t="n">
        <f aca="false">'Plan mensual'!M317</f>
        <v>1310.05552590945</v>
      </c>
      <c r="L318" s="25" t="n">
        <f aca="false">'Plan mensual'!N317</f>
        <v>1314.53301489742</v>
      </c>
      <c r="M318" s="25" t="n">
        <f aca="false">'Plan mensual'!O317</f>
        <v>1319.03644001586</v>
      </c>
      <c r="N318" s="7" t="n">
        <f aca="false">SUM(B318:M318)</f>
        <v>15536.8439090098</v>
      </c>
      <c r="O318" s="26" t="n">
        <f aca="false">MAX(B318:M318)</f>
        <v>1319.03644001586</v>
      </c>
      <c r="P318" s="15" t="n">
        <f aca="false">O318/parametros_recargas!$B$6</f>
        <v>8.79357626677241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5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11" min="2" style="0" width="10"/>
    <col collapsed="false" customWidth="true" hidden="false" outlineLevel="0" max="13" min="12" style="0" width="3"/>
    <col collapsed="false" customWidth="true" hidden="false" outlineLevel="0" max="14" min="14" style="0" width="30"/>
    <col collapsed="false" customWidth="true" hidden="false" outlineLevel="0" max="15" min="15" style="0" width="56"/>
  </cols>
  <sheetData>
    <row r="1" customFormat="false" ht="15" hidden="false" customHeight="false" outlineLevel="0" collapsed="false">
      <c r="A1" s="3" t="s">
        <v>289</v>
      </c>
      <c r="B1" s="3" t="n">
        <v>2026</v>
      </c>
      <c r="C1" s="3" t="n">
        <v>2027</v>
      </c>
      <c r="D1" s="3" t="n">
        <v>2028</v>
      </c>
      <c r="E1" s="3" t="n">
        <v>2029</v>
      </c>
      <c r="F1" s="3" t="n">
        <v>2030</v>
      </c>
      <c r="G1" s="3" t="n">
        <v>2031</v>
      </c>
      <c r="H1" s="3" t="n">
        <v>2032</v>
      </c>
      <c r="I1" s="3" t="n">
        <v>2033</v>
      </c>
      <c r="J1" s="3" t="n">
        <v>2034</v>
      </c>
      <c r="K1" s="3" t="n">
        <v>2035</v>
      </c>
      <c r="N1" s="3" t="s">
        <v>290</v>
      </c>
      <c r="O1" s="3" t="s">
        <v>291</v>
      </c>
    </row>
    <row r="2" customFormat="false" ht="15" hidden="false" customHeight="false" outlineLevel="0" collapsed="false">
      <c r="A2" s="12" t="str">
        <f aca="false">parametros_recargas!$B$72</f>
        <v>Recepción y registro</v>
      </c>
      <c r="B2" s="27" t="n">
        <f aca="false">IF(parametros_recargas!$N$72*B34*B66=0,0,'Demanda por puesto'!$P$2/(parametros_recargas!$N$72*B34*B66))</f>
        <v>0.104632353289969</v>
      </c>
      <c r="C2" s="27" t="n">
        <f aca="false">IF(parametros_recargas!$N$72*C34*C66=0,0,'Demanda por puesto'!$P$34/(parametros_recargas!$N$72*C34*C66))</f>
        <v>0.350478460088649</v>
      </c>
      <c r="D2" s="27" t="n">
        <f aca="false">IF(parametros_recargas!$N$72*D34*D66=0,0,'Demanda por puesto'!$P$66/(parametros_recargas!$N$72*D34*D66))</f>
        <v>0.68224621243466</v>
      </c>
      <c r="E2" s="27" t="n">
        <f aca="false">IF(parametros_recargas!$N$72*E34*E66=0,0,'Demanda por puesto'!$P$98/(parametros_recargas!$N$72*E34*E66))</f>
        <v>1.14814182695133</v>
      </c>
      <c r="F2" s="27" t="n">
        <f aca="false">IF(parametros_recargas!$N$72*F34*F66=0,0,'Demanda por puesto'!$P$130/(parametros_recargas!$N$72*F34*F66))</f>
        <v>1.65990871980986</v>
      </c>
      <c r="G2" s="27" t="n">
        <f aca="false">IF(parametros_recargas!$N$72*G34*G66=0,0,'Demanda por puesto'!$P$162/(parametros_recargas!$N$72*G34*G66))</f>
        <v>2.21929187485707</v>
      </c>
      <c r="H2" s="27" t="n">
        <f aca="false">IF(parametros_recargas!$N$72*H34*H66=0,0,'Demanda por puesto'!$P$194/(parametros_recargas!$N$72*H34*H66))</f>
        <v>2.72334210462584</v>
      </c>
      <c r="I2" s="27" t="n">
        <f aca="false">IF(parametros_recargas!$N$72*I34*I66=0,0,'Demanda por puesto'!$P$226/(parametros_recargas!$N$72*I34*I66))</f>
        <v>3.10165565753532</v>
      </c>
      <c r="J2" s="27" t="n">
        <f aca="false">IF(parametros_recargas!$N$72*J34*J66=0,0,'Demanda por puesto'!$P$258/(parametros_recargas!$N$72*J34*J66))</f>
        <v>3.39142376740191</v>
      </c>
      <c r="K2" s="27" t="n">
        <f aca="false">IF(parametros_recargas!$N$72*K34*K66=0,0,'Demanda por puesto'!$P$290/(parametros_recargas!$N$72*K34*K66))</f>
        <v>3.68406305710758</v>
      </c>
      <c r="N2" s="28" t="s">
        <v>292</v>
      </c>
      <c r="O2" s="4" t="s">
        <v>293</v>
      </c>
    </row>
    <row r="3" customFormat="false" ht="15" hidden="false" customHeight="false" outlineLevel="0" collapsed="false">
      <c r="A3" s="12" t="str">
        <f aca="false">parametros_recargas!$B$73</f>
        <v>Inspección visual</v>
      </c>
      <c r="B3" s="27" t="n">
        <f aca="false">IF(parametros_recargas!$N$73*B35*B67=0,0,'Demanda por puesto'!$P$3/(parametros_recargas!$N$73*B35*B67))</f>
        <v>0.125558823947963</v>
      </c>
      <c r="C3" s="27" t="n">
        <f aca="false">IF(parametros_recargas!$N$73*C35*C67=0,0,'Demanda por puesto'!$P$35/(parametros_recargas!$N$73*C35*C67))</f>
        <v>0.420574152106379</v>
      </c>
      <c r="D3" s="27" t="n">
        <f aca="false">IF(parametros_recargas!$N$73*D35*D67=0,0,'Demanda por puesto'!$P$67/(parametros_recargas!$N$73*D35*D67))</f>
        <v>0.818695454921592</v>
      </c>
      <c r="E3" s="27" t="n">
        <f aca="false">IF(parametros_recargas!$N$73*E35*E67=0,0,'Demanda por puesto'!$P$99/(parametros_recargas!$N$73*E35*E67))</f>
        <v>1.37777019234159</v>
      </c>
      <c r="F3" s="27" t="n">
        <f aca="false">IF(parametros_recargas!$N$73*F35*F67=0,0,'Demanda por puesto'!$P$131/(parametros_recargas!$N$73*F35*F67))</f>
        <v>1.99189046377183</v>
      </c>
      <c r="G3" s="27" t="n">
        <f aca="false">IF(parametros_recargas!$N$73*G35*G67=0,0,'Demanda por puesto'!$P$163/(parametros_recargas!$N$73*G35*G67))</f>
        <v>2.66315024982849</v>
      </c>
      <c r="H3" s="27" t="n">
        <f aca="false">IF(parametros_recargas!$N$73*H35*H67=0,0,'Demanda por puesto'!$P$195/(parametros_recargas!$N$73*H35*H67))</f>
        <v>3.26801052555101</v>
      </c>
      <c r="I3" s="27" t="n">
        <f aca="false">IF(parametros_recargas!$N$73*I35*I67=0,0,'Demanda por puesto'!$P$227/(parametros_recargas!$N$73*I35*I67))</f>
        <v>3.72198678904238</v>
      </c>
      <c r="J3" s="27" t="n">
        <f aca="false">IF(parametros_recargas!$N$73*J35*J67=0,0,'Demanda por puesto'!$P$259/(parametros_recargas!$N$73*J35*J67))</f>
        <v>4.06970852088229</v>
      </c>
      <c r="K3" s="27" t="n">
        <f aca="false">IF(parametros_recargas!$N$73*K35*K67=0,0,'Demanda por puesto'!$P$291/(parametros_recargas!$N$73*K35*K67))</f>
        <v>4.4208756685291</v>
      </c>
      <c r="N3" s="28" t="s">
        <v>294</v>
      </c>
      <c r="O3" s="4" t="s">
        <v>295</v>
      </c>
    </row>
    <row r="4" customFormat="false" ht="15" hidden="false" customHeight="false" outlineLevel="0" collapsed="false">
      <c r="A4" s="12" t="str">
        <f aca="false">parametros_recargas!$B$74</f>
        <v>Descarga ABC — ruta recuperable</v>
      </c>
      <c r="B4" s="27" t="n">
        <f aca="false">IF(parametros_recargas!$N$74*B36*B68=0,0,'Demanda por puesto'!$P$4/(parametros_recargas!$N$74*B36*B68))</f>
        <v>0.0877412480009104</v>
      </c>
      <c r="C4" s="27" t="n">
        <f aca="false">IF(parametros_recargas!$N$74*C36*C68=0,0,'Demanda por puesto'!$P$36/(parametros_recargas!$N$74*C36*C68))</f>
        <v>0.295355004043888</v>
      </c>
      <c r="D4" s="27" t="n">
        <f aca="false">IF(parametros_recargas!$N$74*D36*D68=0,0,'Demanda por puesto'!$P$68/(parametros_recargas!$N$74*D36*D68))</f>
        <v>0.566041952484484</v>
      </c>
      <c r="E4" s="27" t="n">
        <f aca="false">IF(parametros_recargas!$N$74*E36*E68=0,0,'Demanda por puesto'!$P$100/(parametros_recargas!$N$74*E36*E68))</f>
        <v>0.952830250673347</v>
      </c>
      <c r="F4" s="27" t="n">
        <f aca="false">IF(parametros_recargas!$N$74*F36*F68=0,0,'Demanda por puesto'!$P$132/(parametros_recargas!$N$74*F36*F68))</f>
        <v>1.38082802842629</v>
      </c>
      <c r="G4" s="27" t="n">
        <f aca="false">IF(parametros_recargas!$N$74*G36*G68=0,0,'Demanda por puesto'!$P$164/(parametros_recargas!$N$74*G36*G68))</f>
        <v>1.84828754046968</v>
      </c>
      <c r="H4" s="27" t="n">
        <f aca="false">IF(parametros_recargas!$N$74*H36*H68=0,0,'Demanda por puesto'!$P$196/(parametros_recargas!$N$74*H36*H68))</f>
        <v>2.26446550990739</v>
      </c>
      <c r="I4" s="27" t="n">
        <f aca="false">IF(parametros_recargas!$N$74*I36*I68=0,0,'Demanda por puesto'!$P$228/(parametros_recargas!$N$74*I36*I68))</f>
        <v>2.57790926251224</v>
      </c>
      <c r="J4" s="27" t="n">
        <f aca="false">IF(parametros_recargas!$N$74*J36*J68=0,0,'Demanda por puesto'!$P$260/(parametros_recargas!$N$74*J36*J68))</f>
        <v>2.8104932397225</v>
      </c>
      <c r="K4" s="27" t="n">
        <f aca="false">IF(parametros_recargas!$N$74*K36*K68=0,0,'Demanda por puesto'!$P$292/(parametros_recargas!$N$74*K36*K68))</f>
        <v>3.04602473696094</v>
      </c>
      <c r="N4" s="28" t="s">
        <v>296</v>
      </c>
      <c r="O4" s="4" t="s">
        <v>297</v>
      </c>
    </row>
    <row r="5" customFormat="false" ht="15" hidden="false" customHeight="false" outlineLevel="0" collapsed="false">
      <c r="A5" s="12" t="str">
        <f aca="false">parametros_recargas!$B$75</f>
        <v>Descarga ABC — ruta descarte</v>
      </c>
      <c r="B5" s="27" t="n">
        <f aca="false">IF(parametros_recargas!$N$75*B37*B69=0,0,'Demanda por puesto'!$P$5/(parametros_recargas!$N$75*B37*B69))</f>
        <v>0.010322499764813</v>
      </c>
      <c r="C5" s="27" t="n">
        <f aca="false">IF(parametros_recargas!$N$75*C37*C69=0,0,'Demanda por puesto'!$P$37/(parametros_recargas!$N$75*C37*C69))</f>
        <v>0.0347476475345751</v>
      </c>
      <c r="D5" s="27" t="n">
        <f aca="false">IF(parametros_recargas!$N$75*D37*D69=0,0,'Demanda por puesto'!$P$69/(parametros_recargas!$N$75*D37*D69))</f>
        <v>0.0665931708805276</v>
      </c>
      <c r="E5" s="27" t="n">
        <f aca="false">IF(parametros_recargas!$N$75*E37*E69=0,0,'Demanda por puesto'!$P$101/(parametros_recargas!$N$75*E37*E69))</f>
        <v>0.112097676549806</v>
      </c>
      <c r="F5" s="27" t="n">
        <f aca="false">IF(parametros_recargas!$N$75*F37*F69=0,0,'Demanda por puesto'!$P$133/(parametros_recargas!$N$75*F37*F69))</f>
        <v>0.162450356285446</v>
      </c>
      <c r="G5" s="27" t="n">
        <f aca="false">IF(parametros_recargas!$N$75*G37*G69=0,0,'Demanda por puesto'!$P$165/(parametros_recargas!$N$75*G37*G69))</f>
        <v>0.217445592996433</v>
      </c>
      <c r="H5" s="27" t="n">
        <f aca="false">IF(parametros_recargas!$N$75*H37*H69=0,0,'Demanda por puesto'!$P$197/(parametros_recargas!$N$75*H37*H69))</f>
        <v>0.266407707047928</v>
      </c>
      <c r="I5" s="27" t="n">
        <f aca="false">IF(parametros_recargas!$N$75*I37*I69=0,0,'Demanda por puesto'!$P$229/(parametros_recargas!$N$75*I37*I69))</f>
        <v>0.303283442648499</v>
      </c>
      <c r="J5" s="27" t="n">
        <f aca="false">IF(parametros_recargas!$N$75*J37*J69=0,0,'Demanda por puesto'!$P$261/(parametros_recargas!$N$75*J37*J69))</f>
        <v>0.330646263496764</v>
      </c>
      <c r="K5" s="27" t="n">
        <f aca="false">IF(parametros_recargas!$N$75*K37*K69=0,0,'Demanda por puesto'!$P$293/(parametros_recargas!$N$75*K37*K69))</f>
        <v>0.35835585140717</v>
      </c>
      <c r="N5" s="28" t="s">
        <v>298</v>
      </c>
      <c r="O5" s="4" t="s">
        <v>299</v>
      </c>
    </row>
    <row r="6" customFormat="false" ht="15" hidden="false" customHeight="false" outlineLevel="0" collapsed="false">
      <c r="A6" s="12" t="str">
        <f aca="false">parametros_recargas!$B$76</f>
        <v>Descarga BC</v>
      </c>
      <c r="B6" s="27" t="n">
        <f aca="false">IF(parametros_recargas!$N$76*B38*B70=0,0,'Demanda por puesto'!$P$6/(parametros_recargas!$N$76*B38*B70))</f>
        <v>0.000115766348147933</v>
      </c>
      <c r="C6" s="27" t="n">
        <f aca="false">IF(parametros_recargas!$N$76*C38*C70=0,0,'Demanda por puesto'!$P$38/(parametros_recargas!$N$76*C38*C70))</f>
        <v>0.000605732869542849</v>
      </c>
      <c r="D6" s="27" t="n">
        <f aca="false">IF(parametros_recargas!$N$76*D38*D70=0,0,'Demanda por puesto'!$P$70/(parametros_recargas!$N$76*D38*D70))</f>
        <v>0.00109750038069787</v>
      </c>
      <c r="E6" s="27" t="n">
        <f aca="false">IF(parametros_recargas!$N$76*E38*E70=0,0,'Demanda por puesto'!$P$102/(parametros_recargas!$N$76*E38*E70))</f>
        <v>0.00178000304222567</v>
      </c>
      <c r="F6" s="27" t="n">
        <f aca="false">IF(parametros_recargas!$N$76*F38*F70=0,0,'Demanda por puesto'!$P$134/(parametros_recargas!$N$76*F38*F70))</f>
        <v>0.00245923338070418</v>
      </c>
      <c r="G6" s="27" t="n">
        <f aca="false">IF(parametros_recargas!$N$76*G38*G70=0,0,'Demanda por puesto'!$P$166/(parametros_recargas!$N$76*G38*G70))</f>
        <v>0.0032791837941887</v>
      </c>
      <c r="H6" s="27" t="n">
        <f aca="false">IF(parametros_recargas!$N$76*H38*H70=0,0,'Demanda por puesto'!$P$198/(parametros_recargas!$N$76*H38*H70))</f>
        <v>0.00418750947048071</v>
      </c>
      <c r="I6" s="27" t="n">
        <f aca="false">IF(parametros_recargas!$N$76*I38*I70=0,0,'Demanda por puesto'!$P$230/(parametros_recargas!$N$76*I38*I70))</f>
        <v>0.00480747357947585</v>
      </c>
      <c r="J6" s="27" t="n">
        <f aca="false">IF(parametros_recargas!$N$76*J38*J70=0,0,'Demanda por puesto'!$P$262/(parametros_recargas!$N$76*J38*J70))</f>
        <v>0.00539733567483311</v>
      </c>
      <c r="K6" s="27" t="n">
        <f aca="false">IF(parametros_recargas!$N$76*K38*K70=0,0,'Demanda por puesto'!$P$294/(parametros_recargas!$N$76*K38*K70))</f>
        <v>0.00599669157049574</v>
      </c>
      <c r="N6" s="28" t="s">
        <v>300</v>
      </c>
      <c r="O6" s="4" t="s">
        <v>301</v>
      </c>
    </row>
    <row r="7" customFormat="false" ht="15" hidden="false" customHeight="false" outlineLevel="0" collapsed="false">
      <c r="A7" s="12" t="str">
        <f aca="false">parametros_recargas!$B$77</f>
        <v>Descarga de agua / AFFF / sales K</v>
      </c>
      <c r="B7" s="27" t="n">
        <f aca="false">IF(parametros_recargas!$N$77*B39*B71=0,0,'Demanda por puesto'!$P$7/(parametros_recargas!$N$77*B39*B71))</f>
        <v>0.00624457322425782</v>
      </c>
      <c r="C7" s="27" t="n">
        <f aca="false">IF(parametros_recargas!$N$77*C39*C71=0,0,'Demanda por puesto'!$P$39/(parametros_recargas!$N$77*C39*C71))</f>
        <v>0.021710745118771</v>
      </c>
      <c r="D7" s="27" t="n">
        <f aca="false">IF(parametros_recargas!$N$77*D39*D71=0,0,'Demanda por puesto'!$P$71/(parametros_recargas!$N$77*D39*D71))</f>
        <v>0.0458211929989779</v>
      </c>
      <c r="E7" s="27" t="n">
        <f aca="false">IF(parametros_recargas!$N$77*E39*E71=0,0,'Demanda por puesto'!$P$103/(parametros_recargas!$N$77*E39*E71))</f>
        <v>0.0754443471419338</v>
      </c>
      <c r="F7" s="27" t="n">
        <f aca="false">IF(parametros_recargas!$N$77*F39*F71=0,0,'Demanda por puesto'!$P$135/(parametros_recargas!$N$77*F39*F71))</f>
        <v>0.107160088820217</v>
      </c>
      <c r="G7" s="27" t="n">
        <f aca="false">IF(parametros_recargas!$N$77*G39*G71=0,0,'Demanda por puesto'!$P$167/(parametros_recargas!$N$77*G39*G71))</f>
        <v>0.141853737582999</v>
      </c>
      <c r="H7" s="27" t="n">
        <f aca="false">IF(parametros_recargas!$N$77*H39*H71=0,0,'Demanda por puesto'!$P$199/(parametros_recargas!$N$77*H39*H71))</f>
        <v>0.175672059615441</v>
      </c>
      <c r="I7" s="27" t="n">
        <f aca="false">IF(parametros_recargas!$N$77*I39*I71=0,0,'Demanda por puesto'!$P$231/(parametros_recargas!$N$77*I39*I71))</f>
        <v>0.201190225759281</v>
      </c>
      <c r="J7" s="27" t="n">
        <f aca="false">IF(parametros_recargas!$N$77*J39*J71=0,0,'Demanda por puesto'!$P$263/(parametros_recargas!$N$77*J39*J71))</f>
        <v>0.22428797071664</v>
      </c>
      <c r="K7" s="27" t="n">
        <f aca="false">IF(parametros_recargas!$N$77*K39*K71=0,0,'Demanda por puesto'!$P$295/(parametros_recargas!$N$77*K39*K71))</f>
        <v>0.247253641619505</v>
      </c>
      <c r="N7" s="28" t="s">
        <v>302</v>
      </c>
      <c r="O7" s="4" t="s">
        <v>303</v>
      </c>
    </row>
    <row r="8" customFormat="false" ht="15" hidden="false" customHeight="false" outlineLevel="0" collapsed="false">
      <c r="A8" s="12" t="str">
        <f aca="false">parametros_recargas!$B$78</f>
        <v>Recuperación de CO₂</v>
      </c>
      <c r="B8" s="27" t="n">
        <f aca="false">IF(parametros_recargas!$N$78*B40*B72=0,0,'Demanda por puesto'!$P$8/(parametros_recargas!$N$78*B40*B72))</f>
        <v>0.00588649203539725</v>
      </c>
      <c r="C8" s="27" t="n">
        <f aca="false">IF(parametros_recargas!$N$78*C40*C72=0,0,'Demanda por puesto'!$P$40/(parametros_recargas!$N$78*C40*C72))</f>
        <v>0.0177997612610605</v>
      </c>
      <c r="D8" s="27" t="n">
        <f aca="false">IF(parametros_recargas!$N$78*D40*D72=0,0,'Demanda por puesto'!$P$72/(parametros_recargas!$N$78*D40*D72))</f>
        <v>0.0392894350764738</v>
      </c>
      <c r="E8" s="27" t="n">
        <f aca="false">IF(parametros_recargas!$N$78*E40*E72=0,0,'Demanda por puesto'!$P$104/(parametros_recargas!$N$78*E40*E72))</f>
        <v>0.0671006779811672</v>
      </c>
      <c r="F8" s="27" t="n">
        <f aca="false">IF(parametros_recargas!$N$78*F40*F72=0,0,'Demanda por puesto'!$P$136/(parametros_recargas!$N$78*F40*F72))</f>
        <v>0.0958098625663802</v>
      </c>
      <c r="G8" s="27" t="n">
        <f aca="false">IF(parametros_recargas!$N$78*G40*G72=0,0,'Demanda por puesto'!$P$168/(parametros_recargas!$N$78*G40*G72))</f>
        <v>0.127489484482734</v>
      </c>
      <c r="H8" s="27" t="n">
        <f aca="false">IF(parametros_recargas!$N$78*H40*H72=0,0,'Demanda por puesto'!$P$200/(parametros_recargas!$N$78*H40*H72))</f>
        <v>0.157845759389834</v>
      </c>
      <c r="I8" s="27" t="n">
        <f aca="false">IF(parametros_recargas!$N$78*I40*I72=0,0,'Demanda por puesto'!$P$232/(parametros_recargas!$N$78*I40*I72))</f>
        <v>0.179812535271554</v>
      </c>
      <c r="J8" s="27" t="n">
        <f aca="false">IF(parametros_recargas!$N$78*J40*J72=0,0,'Demanda por puesto'!$P$264/(parametros_recargas!$N$78*J40*J72))</f>
        <v>0.199952772620158</v>
      </c>
      <c r="K8" s="27" t="n">
        <f aca="false">IF(parametros_recargas!$N$78*K40*K72=0,0,'Demanda por puesto'!$P$296/(parametros_recargas!$N$78*K40*K72))</f>
        <v>0.220043033431661</v>
      </c>
    </row>
    <row r="9" customFormat="false" ht="15" hidden="false" customHeight="false" outlineLevel="0" collapsed="false">
      <c r="A9" s="12" t="str">
        <f aca="false">parametros_recargas!$B$79</f>
        <v>Recuperación de halogenado</v>
      </c>
      <c r="B9" s="27" t="n">
        <f aca="false">IF(parametros_recargas!$N$79*B41*B73=0,0,'Demanda por puesto'!$P$9/(parametros_recargas!$N$79*B41*B73))</f>
        <v>0.000422206704670315</v>
      </c>
      <c r="C9" s="27" t="n">
        <f aca="false">IF(parametros_recargas!$N$79*C41*C73=0,0,'Demanda por puesto'!$P$41/(parametros_recargas!$N$79*C41*C73))</f>
        <v>0.00194761145769346</v>
      </c>
      <c r="D9" s="27" t="n">
        <f aca="false">IF(parametros_recargas!$N$79*D41*D73=0,0,'Demanda por puesto'!$P$73/(parametros_recargas!$N$79*D41*D73))</f>
        <v>0.00386955537854535</v>
      </c>
      <c r="E9" s="27" t="n">
        <f aca="false">IF(parametros_recargas!$N$79*E41*E73=0,0,'Demanda por puesto'!$P$105/(parametros_recargas!$N$79*E41*E73))</f>
        <v>0.00608881071898716</v>
      </c>
      <c r="F9" s="27" t="n">
        <f aca="false">IF(parametros_recargas!$N$79*F41*F73=0,0,'Demanda por puesto'!$P$137/(parametros_recargas!$N$79*F41*F73))</f>
        <v>0.00864931345569803</v>
      </c>
      <c r="G9" s="27" t="n">
        <f aca="false">IF(parametros_recargas!$N$79*G41*G73=0,0,'Demanda por puesto'!$P$169/(parametros_recargas!$N$79*G41*G73))</f>
        <v>0.0113528482688884</v>
      </c>
      <c r="H9" s="27" t="n">
        <f aca="false">IF(parametros_recargas!$N$79*H41*H73=0,0,'Demanda por puesto'!$P$201/(parametros_recargas!$N$79*H41*H73))</f>
        <v>0.0143113557324049</v>
      </c>
      <c r="I9" s="27" t="n">
        <f aca="false">IF(parametros_recargas!$N$79*I41*I73=0,0,'Demanda por puesto'!$P$233/(parametros_recargas!$N$79*I41*I73))</f>
        <v>0.0166289325655391</v>
      </c>
      <c r="J9" s="27" t="n">
        <f aca="false">IF(parametros_recargas!$N$79*J41*J73=0,0,'Demanda por puesto'!$P$265/(parametros_recargas!$N$79*J41*J73))</f>
        <v>0.0187240957124016</v>
      </c>
      <c r="K9" s="27" t="n">
        <f aca="false">IF(parametros_recargas!$N$79*K41*K73=0,0,'Demanda por puesto'!$P$297/(parametros_recargas!$N$79*K41*K73))</f>
        <v>0.0207807043212393</v>
      </c>
      <c r="N9" s="6" t="s">
        <v>71</v>
      </c>
      <c r="O9" s="29" t="n">
        <f aca="false">parametros_recargas!B7</f>
        <v>0.9</v>
      </c>
    </row>
    <row r="10" customFormat="false" ht="15" hidden="false" customHeight="false" outlineLevel="0" collapsed="false">
      <c r="A10" s="12" t="str">
        <f aca="false">parametros_recargas!$B$80</f>
        <v>Desarme y limpieza — recinto</v>
      </c>
      <c r="B10" s="27" t="n">
        <f aca="false">IF(parametros_recargas!$N$80*B42*B74=0,0,'Demanda por puesto'!$P$10/(parametros_recargas!$N$80*B42*B74))</f>
        <v>0.120496429459978</v>
      </c>
      <c r="C10" s="27" t="n">
        <f aca="false">IF(parametros_recargas!$N$80*C42*C74=0,0,'Demanda por puesto'!$P$42/(parametros_recargas!$N$80*C42*C74))</f>
        <v>0.406118896087045</v>
      </c>
      <c r="D10" s="27" t="n">
        <f aca="false">IF(parametros_recargas!$N$80*D42*D74=0,0,'Demanda por puesto'!$P$74/(parametros_recargas!$N$80*D42*D74))</f>
        <v>0.778171108789417</v>
      </c>
      <c r="E10" s="27" t="n">
        <f aca="false">IF(parametros_recargas!$N$80*E42*E74=0,0,'Demanda por puesto'!$P$106/(parametros_recargas!$N$80*E42*E74))</f>
        <v>1.30960978957441</v>
      </c>
      <c r="F10" s="27" t="n">
        <f aca="false">IF(parametros_recargas!$N$80*F42*F74=0,0,'Demanda por puesto'!$P$138/(parametros_recargas!$N$80*F42*F74))</f>
        <v>1.89760037546549</v>
      </c>
      <c r="G10" s="27" t="n">
        <f aca="false">IF(parametros_recargas!$N$80*G42*G74=0,0,'Demanda por puesto'!$P$170/(parametros_recargas!$N$80*G42*G74))</f>
        <v>2.53977686299089</v>
      </c>
      <c r="H10" s="27" t="n">
        <f aca="false">IF(parametros_recargas!$N$80*H42*H74=0,0,'Demanda por puesto'!$P$202/(parametros_recargas!$N$80*H42*H74))</f>
        <v>3.11207837831058</v>
      </c>
      <c r="I10" s="27" t="n">
        <f aca="false">IF(parametros_recargas!$N$80*I42*I74=0,0,'Demanda por puesto'!$P$234/(parametros_recargas!$N$80*I42*I74))</f>
        <v>3.54298522289122</v>
      </c>
      <c r="J10" s="27" t="n">
        <f aca="false">IF(parametros_recargas!$N$80*J42*J74=0,0,'Demanda por puesto'!$P$266/(parametros_recargas!$N$80*J42*J74))</f>
        <v>3.86301194227406</v>
      </c>
      <c r="K10" s="27" t="n">
        <f aca="false">IF(parametros_recargas!$N$80*K42*K74=0,0,'Demanda por puesto'!$P$298/(parametros_recargas!$N$80*K42*K74))</f>
        <v>4.18708251959461</v>
      </c>
      <c r="N10" s="6" t="s">
        <v>73</v>
      </c>
      <c r="O10" s="16" t="n">
        <f aca="false">parametros_recargas!B8</f>
        <v>2</v>
      </c>
    </row>
    <row r="11" customFormat="false" ht="15" hidden="false" customHeight="false" outlineLevel="0" collapsed="false">
      <c r="A11" s="12" t="str">
        <f aca="false">parametros_recargas!$B$81</f>
        <v>Desarme e inspección interior — zona general</v>
      </c>
      <c r="B11" s="27" t="n">
        <f aca="false">IF(parametros_recargas!$N$81*B43*B75=0,0,'Demanda por puesto'!$P$11/(parametros_recargas!$N$81*B43*B75))</f>
        <v>0.0156806659060175</v>
      </c>
      <c r="C11" s="27" t="n">
        <f aca="false">IF(parametros_recargas!$N$81*C43*C75=0,0,'Demanda por puesto'!$P$43/(parametros_recargas!$N$81*C43*C75))</f>
        <v>0.0524102509181887</v>
      </c>
      <c r="D11" s="27" t="n">
        <f aca="false">IF(parametros_recargas!$N$81*D43*D75=0,0,'Demanda por puesto'!$P$75/(parametros_recargas!$N$81*D43*D75))</f>
        <v>0.1120010706508</v>
      </c>
      <c r="E11" s="27" t="n">
        <f aca="false">IF(parametros_recargas!$N$81*E43*E75=0,0,'Demanda por puesto'!$P$107/(parametros_recargas!$N$81*E43*E75))</f>
        <v>0.186372065232998</v>
      </c>
      <c r="F11" s="27" t="n">
        <f aca="false">IF(parametros_recargas!$N$81*F43*F75=0,0,'Demanda por puesto'!$P$139/(parametros_recargas!$N$81*F43*F75))</f>
        <v>0.265150711201582</v>
      </c>
      <c r="G11" s="27" t="n">
        <f aca="false">IF(parametros_recargas!$N$81*G43*G75=0,0,'Demanda por puesto'!$P$171/(parametros_recargas!$N$81*G43*G75))</f>
        <v>0.351525262659461</v>
      </c>
      <c r="H11" s="27" t="n">
        <f aca="false">IF(parametros_recargas!$N$81*H43*H75=0,0,'Demanda por puesto'!$P$203/(parametros_recargas!$N$81*H43*H75))</f>
        <v>0.435392963743138</v>
      </c>
      <c r="I11" s="27" t="n">
        <f aca="false">IF(parametros_recargas!$N$81*I43*I75=0,0,'Demanda por puesto'!$P$235/(parametros_recargas!$N$81*I43*I75))</f>
        <v>0.497902741931528</v>
      </c>
      <c r="J11" s="27" t="n">
        <f aca="false">IF(parametros_recargas!$N$81*J43*J75=0,0,'Demanda por puesto'!$P$267/(parametros_recargas!$N$81*J43*J75))</f>
        <v>0.554703100639028</v>
      </c>
      <c r="K11" s="27" t="n">
        <f aca="false">IF(parametros_recargas!$N$81*K43*K75=0,0,'Demanda por puesto'!$P$299/(parametros_recargas!$N$81*K43*K75))</f>
        <v>0.611224578703364</v>
      </c>
    </row>
    <row r="12" customFormat="false" ht="15" hidden="false" customHeight="false" outlineLevel="0" collapsed="false">
      <c r="A12" s="12" t="str">
        <f aca="false">parametros_recargas!$B$82</f>
        <v>Laboratorio — Puffer y mufla</v>
      </c>
      <c r="B12" s="27" t="n">
        <f aca="false">IF(parametros_recargas!$N$82*B44*B76=0,0,'Demanda por puesto'!$P$12/(parametros_recargas!$N$82*B44*B76))</f>
        <v>0.00386616034715486</v>
      </c>
      <c r="C12" s="27" t="n">
        <f aca="false">IF(parametros_recargas!$N$82*C44*C76=0,0,'Demanda por puesto'!$P$44/(parametros_recargas!$N$82*C44*C76))</f>
        <v>0.0130223696720545</v>
      </c>
      <c r="D12" s="27" t="n">
        <f aca="false">IF(parametros_recargas!$N$82*D44*D76=0,0,'Demanda por puesto'!$P$76/(parametros_recargas!$N$82*D44*D76))</f>
        <v>0.0249547398260164</v>
      </c>
      <c r="E12" s="27" t="n">
        <f aca="false">IF(parametros_recargas!$N$82*E44*E76=0,0,'Demanda por puesto'!$P$108/(parametros_recargas!$N$82*E44*E76))</f>
        <v>0.0420043120465658</v>
      </c>
      <c r="F12" s="27" t="n">
        <f aca="false">IF(parametros_recargas!$N$82*F44*F76=0,0,'Demanda por puesto'!$P$140/(parametros_recargas!$N$82*F44*F76))</f>
        <v>0.0608675493179742</v>
      </c>
      <c r="G12" s="27" t="n">
        <f aca="false">IF(parametros_recargas!$N$82*G44*G76=0,0,'Demanda por puesto'!$P$172/(parametros_recargas!$N$82*G44*G76))</f>
        <v>0.0814729136676717</v>
      </c>
      <c r="H12" s="27" t="n">
        <f aca="false">IF(parametros_recargas!$N$82*H44*H76=0,0,'Demanda por puesto'!$P$204/(parametros_recargas!$N$82*H44*H76))</f>
        <v>0.0998244866381204</v>
      </c>
      <c r="I12" s="27" t="n">
        <f aca="false">IF(parametros_recargas!$N$82*I44*I76=0,0,'Demanda por puesto'!$P$236/(parametros_recargas!$N$82*I44*I76))</f>
        <v>0.113643544025941</v>
      </c>
      <c r="J12" s="27" t="n">
        <f aca="false">IF(parametros_recargas!$N$82*J44*J76=0,0,'Demanda por puesto'!$P$268/(parametros_recargas!$N$82*J44*J76))</f>
        <v>0.123902525960507</v>
      </c>
      <c r="K12" s="27" t="n">
        <f aca="false">IF(parametros_recargas!$N$82*K44*K76=0,0,'Demanda por puesto'!$P$300/(parametros_recargas!$N$82*K44*K76))</f>
        <v>0.134291594752261</v>
      </c>
      <c r="N12" s="2" t="s">
        <v>304</v>
      </c>
    </row>
    <row r="13" customFormat="false" ht="15" hidden="false" customHeight="false" outlineLevel="0" collapsed="false">
      <c r="A13" s="12" t="str">
        <f aca="false">parametros_recargas!$B$83</f>
        <v>Prueba hidráulica</v>
      </c>
      <c r="B13" s="27" t="n">
        <f aca="false">IF(parametros_recargas!$N$83*B45*B77=0,0,'Demanda por puesto'!$P$13/(parametros_recargas!$N$83*B45*B77))</f>
        <v>0.0896520964601674</v>
      </c>
      <c r="C13" s="27" t="n">
        <f aca="false">IF(parametros_recargas!$N$83*C45*C77=0,0,'Demanda por puesto'!$P$45/(parametros_recargas!$N$83*C45*C77))</f>
        <v>0.300985258027208</v>
      </c>
      <c r="D13" s="27" t="n">
        <f aca="false">IF(parametros_recargas!$N$83*D45*D77=0,0,'Demanda por puesto'!$P$77/(parametros_recargas!$N$83*D45*D77))</f>
        <v>0.58897276008745</v>
      </c>
      <c r="E13" s="27" t="n">
        <f aca="false">IF(parametros_recargas!$N$83*E45*E77=0,0,'Demanda por puesto'!$P$109/(parametros_recargas!$N$83*E45*E77))</f>
        <v>0.989734578457749</v>
      </c>
      <c r="F13" s="27" t="n">
        <f aca="false">IF(parametros_recargas!$N$83*F45*F77=0,0,'Demanda por puesto'!$P$141/(parametros_recargas!$N$83*F45*F77))</f>
        <v>1.42924367042127</v>
      </c>
      <c r="G13" s="27" t="n">
        <f aca="false">IF(parametros_recargas!$N$83*G45*G77=0,0,'Demanda por puesto'!$P$173/(parametros_recargas!$N$83*G45*G77))</f>
        <v>1.9096692339327</v>
      </c>
      <c r="H13" s="27" t="n">
        <f aca="false">IF(parametros_recargas!$N$83*H45*H77=0,0,'Demanda por puesto'!$P$205/(parametros_recargas!$N$83*H45*H77))</f>
        <v>2.34477806636495</v>
      </c>
      <c r="I13" s="27" t="n">
        <f aca="false">IF(parametros_recargas!$N$83*I45*I77=0,0,'Demanda por puesto'!$P$237/(parametros_recargas!$N$83*I45*I77))</f>
        <v>2.67146511290455</v>
      </c>
      <c r="J13" s="27" t="n">
        <f aca="false">IF(parametros_recargas!$N$83*J45*J77=0,0,'Demanda por puesto'!$P$269/(parametros_recargas!$N$83*J45*J77))</f>
        <v>2.92475508493746</v>
      </c>
      <c r="K13" s="27" t="n">
        <f aca="false">IF(parametros_recargas!$N$83*K45*K77=0,0,'Demanda por puesto'!$P$301/(parametros_recargas!$N$83*K45*K77))</f>
        <v>3.18024335275947</v>
      </c>
    </row>
    <row r="14" customFormat="false" ht="15" hidden="false" customHeight="false" outlineLevel="0" collapsed="false">
      <c r="A14" s="12" t="str">
        <f aca="false">parametros_recargas!$B$84</f>
        <v>Secado</v>
      </c>
      <c r="B14" s="27" t="n">
        <f aca="false">IF(parametros_recargas!$N$84*B46*B78=0,0,'Demanda por puesto'!$P$14/(parametros_recargas!$N$84*B46*B78))</f>
        <v>0.0502733772171537</v>
      </c>
      <c r="C14" s="27" t="n">
        <f aca="false">IF(parametros_recargas!$N$84*C46*C78=0,0,'Demanda por puesto'!$P$46/(parametros_recargas!$N$84*C46*C78))</f>
        <v>0.168169956730686</v>
      </c>
      <c r="D14" s="27" t="n">
        <f aca="false">IF(parametros_recargas!$N$84*D46*D78=0,0,'Demanda por puesto'!$P$78/(parametros_recargas!$N$84*D46*D78))</f>
        <v>0.325916624269055</v>
      </c>
      <c r="E14" s="27" t="n">
        <f aca="false">IF(parametros_recargas!$N$84*E46*E78=0,0,'Demanda por puesto'!$P$110/(parametros_recargas!$N$84*E46*E78))</f>
        <v>0.549052530714003</v>
      </c>
      <c r="F14" s="27" t="n">
        <f aca="false">IF(parametros_recargas!$N$84*F46*F78=0,0,'Demanda por puesto'!$P$142/(parametros_recargas!$N$84*F46*F78))</f>
        <v>0.794517408635978</v>
      </c>
      <c r="G14" s="27" t="n">
        <f aca="false">IF(parametros_recargas!$N$84*G46*G78=0,0,'Demanda por puesto'!$P$174/(parametros_recargas!$N$84*G46*G78))</f>
        <v>1.06280229390537</v>
      </c>
      <c r="H14" s="27" t="n">
        <f aca="false">IF(parametros_recargas!$N$84*H46*H78=0,0,'Demanda por puesto'!$P$206/(parametros_recargas!$N$84*H46*H78))</f>
        <v>1.30355703302283</v>
      </c>
      <c r="I14" s="27" t="n">
        <f aca="false">IF(parametros_recargas!$N$84*I46*I78=0,0,'Demanda por puesto'!$P$238/(parametros_recargas!$N$84*I46*I78))</f>
        <v>1.48423312278582</v>
      </c>
      <c r="J14" s="27" t="n">
        <f aca="false">IF(parametros_recargas!$N$84*J46*J78=0,0,'Demanda por puesto'!$P$270/(parametros_recargas!$N$84*J46*J78))</f>
        <v>1.6212212563044</v>
      </c>
      <c r="K14" s="27" t="n">
        <f aca="false">IF(parametros_recargas!$N$84*K46*K78=0,0,'Demanda por puesto'!$P$302/(parametros_recargas!$N$84*K46*K78))</f>
        <v>1.75970636336849</v>
      </c>
    </row>
    <row r="15" customFormat="false" ht="15" hidden="false" customHeight="false" outlineLevel="0" collapsed="false">
      <c r="A15" s="12" t="str">
        <f aca="false">parametros_recargas!$B$85</f>
        <v>Inspección interior con videoscopio</v>
      </c>
      <c r="B15" s="27" t="n">
        <f aca="false">IF(parametros_recargas!$N$85*B47*B79=0,0,'Demanda por puesto'!$P$15/(parametros_recargas!$N$85*B47*B79))</f>
        <v>0.0237402059081003</v>
      </c>
      <c r="C15" s="27" t="n">
        <f aca="false">IF(parametros_recargas!$N$85*C47*C79=0,0,'Demanda por puesto'!$P$47/(parametros_recargas!$N$85*C47*C79))</f>
        <v>0.0794135906783793</v>
      </c>
      <c r="D15" s="27" t="n">
        <f aca="false">IF(parametros_recargas!$N$85*D47*D79=0,0,'Demanda por puesto'!$P$79/(parametros_recargas!$N$85*D47*D79))</f>
        <v>0.153905072571498</v>
      </c>
      <c r="E15" s="27" t="n">
        <f aca="false">IF(parametros_recargas!$N$85*E47*E79=0,0,'Demanda por puesto'!$P$111/(parametros_recargas!$N$85*E47*E79))</f>
        <v>0.259274806170502</v>
      </c>
      <c r="F15" s="27" t="n">
        <f aca="false">IF(parametros_recargas!$N$85*F47*F79=0,0,'Demanda por puesto'!$P$143/(parametros_recargas!$N$85*F47*F79))</f>
        <v>0.375188776300323</v>
      </c>
      <c r="G15" s="27" t="n">
        <f aca="false">IF(parametros_recargas!$N$85*G47*G79=0,0,'Demanda por puesto'!$P$175/(parametros_recargas!$N$85*G47*G79))</f>
        <v>0.50187886101087</v>
      </c>
      <c r="H15" s="27" t="n">
        <f aca="false">IF(parametros_recargas!$N$85*H47*H79=0,0,'Demanda por puesto'!$P$207/(parametros_recargas!$N$85*H47*H79))</f>
        <v>0.61556859892745</v>
      </c>
      <c r="I15" s="27" t="n">
        <f aca="false">IF(parametros_recargas!$N$85*I47*I79=0,0,'Demanda por puesto'!$P$239/(parametros_recargas!$N$85*I47*I79))</f>
        <v>0.700887863537748</v>
      </c>
      <c r="J15" s="27" t="n">
        <f aca="false">IF(parametros_recargas!$N$85*J47*J79=0,0,'Demanda por puesto'!$P$271/(parametros_recargas!$N$85*J47*J79))</f>
        <v>0.765576704365968</v>
      </c>
      <c r="K15" s="27" t="n">
        <f aca="false">IF(parametros_recargas!$N$85*K47*K79=0,0,'Demanda por puesto'!$P$303/(parametros_recargas!$N$85*K47*K79))</f>
        <v>0.830972449368453</v>
      </c>
    </row>
    <row r="16" customFormat="false" ht="15" hidden="false" customHeight="false" outlineLevel="0" collapsed="false">
      <c r="A16" s="12" t="str">
        <f aca="false">parametros_recargas!$B$86</f>
        <v>Pintura</v>
      </c>
      <c r="B16" s="27" t="n">
        <f aca="false">IF(parametros_recargas!$N$86*B48*B80=0,0,'Demanda por puesto'!$P$16/(parametros_recargas!$N$86*B48*B80))</f>
        <v>0.104632353289969</v>
      </c>
      <c r="C16" s="27" t="n">
        <f aca="false">IF(parametros_recargas!$N$86*C48*C80=0,0,'Demanda por puesto'!$P$48/(parametros_recargas!$N$86*C48*C80))</f>
        <v>0.350478460088649</v>
      </c>
      <c r="D16" s="27" t="n">
        <f aca="false">IF(parametros_recargas!$N$86*D48*D80=0,0,'Demanda por puesto'!$P$80/(parametros_recargas!$N$86*D48*D80))</f>
        <v>0.68224621243466</v>
      </c>
      <c r="E16" s="27" t="n">
        <f aca="false">IF(parametros_recargas!$N$86*E48*E80=0,0,'Demanda por puesto'!$P$112/(parametros_recargas!$N$86*E48*E80))</f>
        <v>1.14814182695133</v>
      </c>
      <c r="F16" s="27" t="n">
        <f aca="false">IF(parametros_recargas!$N$86*F48*F80=0,0,'Demanda por puesto'!$P$144/(parametros_recargas!$N$86*F48*F80))</f>
        <v>1.65990871980986</v>
      </c>
      <c r="G16" s="27" t="n">
        <f aca="false">IF(parametros_recargas!$N$86*G48*G80=0,0,'Demanda por puesto'!$P$176/(parametros_recargas!$N$86*G48*G80))</f>
        <v>2.21929187485707</v>
      </c>
      <c r="H16" s="27" t="n">
        <f aca="false">IF(parametros_recargas!$N$86*H48*H80=0,0,'Demanda por puesto'!$P$208/(parametros_recargas!$N$86*H48*H80))</f>
        <v>2.72334210462584</v>
      </c>
      <c r="I16" s="27" t="n">
        <f aca="false">IF(parametros_recargas!$N$86*I48*I80=0,0,'Demanda por puesto'!$P$240/(parametros_recargas!$N$86*I48*I80))</f>
        <v>3.10165565753532</v>
      </c>
      <c r="J16" s="27" t="n">
        <f aca="false">IF(parametros_recargas!$N$86*J48*J80=0,0,'Demanda por puesto'!$P$272/(parametros_recargas!$N$86*J48*J80))</f>
        <v>3.39142376740191</v>
      </c>
      <c r="K16" s="27" t="n">
        <f aca="false">IF(parametros_recargas!$N$86*K48*K80=0,0,'Demanda por puesto'!$P$304/(parametros_recargas!$N$86*K48*K80))</f>
        <v>3.68406305710758</v>
      </c>
    </row>
    <row r="17" customFormat="false" ht="15" hidden="false" customHeight="false" outlineLevel="0" collapsed="false">
      <c r="A17" s="12" t="str">
        <f aca="false">parametros_recargas!$B$87</f>
        <v>Carga de polvo ABC</v>
      </c>
      <c r="B17" s="27" t="n">
        <f aca="false">IF(parametros_recargas!$N$87*B49*B81=0,0,'Demanda por puesto'!$P$17/(parametros_recargas!$N$87*B49*B81))</f>
        <v>0.128727644125903</v>
      </c>
      <c r="C17" s="27" t="n">
        <f aca="false">IF(parametros_recargas!$N$87*C49*C81=0,0,'Demanda por puesto'!$P$49/(parametros_recargas!$N$87*C49*C81))</f>
        <v>0.433323604548818</v>
      </c>
      <c r="D17" s="27" t="n">
        <f aca="false">IF(parametros_recargas!$N$87*D49*D81=0,0,'Demanda por puesto'!$P$81/(parametros_recargas!$N$87*D49*D81))</f>
        <v>0.830456013333638</v>
      </c>
      <c r="E17" s="27" t="n">
        <f aca="false">IF(parametros_recargas!$N$87*E49*E81=0,0,'Demanda por puesto'!$P$113/(parametros_recargas!$N$87*E49*E81))</f>
        <v>1.39792396638581</v>
      </c>
      <c r="F17" s="27" t="n">
        <f aca="false">IF(parametros_recargas!$N$87*F49*F81=0,0,'Demanda por puesto'!$P$145/(parametros_recargas!$N$87*F49*F81))</f>
        <v>2.02585150191262</v>
      </c>
      <c r="G17" s="27" t="n">
        <f aca="false">IF(parametros_recargas!$N$87*G49*G81=0,0,'Demanda por puesto'!$P$177/(parametros_recargas!$N$87*G49*G81))</f>
        <v>2.71167445383787</v>
      </c>
      <c r="H17" s="27" t="n">
        <f aca="false">IF(parametros_recargas!$N$87*H49*H81=0,0,'Demanda por puesto'!$P$209/(parametros_recargas!$N$87*H49*H81))</f>
        <v>3.32226081730357</v>
      </c>
      <c r="I17" s="27" t="n">
        <f aca="false">IF(parametros_recargas!$N$87*I49*I81=0,0,'Demanda por puesto'!$P$241/(parametros_recargas!$N$87*I49*I81))</f>
        <v>3.78212293185186</v>
      </c>
      <c r="J17" s="27" t="n">
        <f aca="false">IF(parametros_recargas!$N$87*J49*J81=0,0,'Demanda por puesto'!$P$273/(parametros_recargas!$N$87*J49*J81))</f>
        <v>4.12335340360671</v>
      </c>
      <c r="K17" s="27" t="n">
        <f aca="false">IF(parametros_recargas!$N$87*K49*K81=0,0,'Demanda por puesto'!$P$305/(parametros_recargas!$N$87*K49*K81))</f>
        <v>4.46890826460706</v>
      </c>
    </row>
    <row r="18" customFormat="false" ht="15" hidden="false" customHeight="false" outlineLevel="0" collapsed="false">
      <c r="A18" s="12" t="str">
        <f aca="false">parametros_recargas!$B$88</f>
        <v>Carga de polvo BC</v>
      </c>
      <c r="B18" s="27" t="n">
        <f aca="false">IF(parametros_recargas!$N$88*B50*B82=0,0,'Demanda por puesto'!$P$18/(parametros_recargas!$N$88*B50*B82))</f>
        <v>0.000190673985184831</v>
      </c>
      <c r="C18" s="27" t="n">
        <f aca="false">IF(parametros_recargas!$N$88*C50*C82=0,0,'Demanda por puesto'!$P$50/(parametros_recargas!$N$88*C50*C82))</f>
        <v>0.00099767766748234</v>
      </c>
      <c r="D18" s="27" t="n">
        <f aca="false">IF(parametros_recargas!$N$88*D50*D82=0,0,'Demanda por puesto'!$P$82/(parametros_recargas!$N$88*D50*D82))</f>
        <v>0.00180764768585532</v>
      </c>
      <c r="E18" s="27" t="n">
        <f aca="false">IF(parametros_recargas!$N$88*E50*E82=0,0,'Demanda por puesto'!$P$114/(parametros_recargas!$N$88*E50*E82))</f>
        <v>0.00293176971660699</v>
      </c>
      <c r="F18" s="27" t="n">
        <f aca="false">IF(parametros_recargas!$N$88*F50*F82=0,0,'Demanda por puesto'!$P$146/(parametros_recargas!$N$88*F50*F82))</f>
        <v>0.00405050203880688</v>
      </c>
      <c r="G18" s="27" t="n">
        <f aca="false">IF(parametros_recargas!$N$88*G50*G82=0,0,'Demanda por puesto'!$P$178/(parametros_recargas!$N$88*G50*G82))</f>
        <v>0.00540100860219315</v>
      </c>
      <c r="H18" s="27" t="n">
        <f aca="false">IF(parametros_recargas!$N$88*H50*H82=0,0,'Demanda por puesto'!$P$210/(parametros_recargas!$N$88*H50*H82))</f>
        <v>0.00689707442196823</v>
      </c>
      <c r="I18" s="27" t="n">
        <f aca="false">IF(parametros_recargas!$N$88*I50*I82=0,0,'Demanda por puesto'!$P$242/(parametros_recargas!$N$88*I50*I82))</f>
        <v>0.00791819177796022</v>
      </c>
      <c r="J18" s="27" t="n">
        <f aca="false">IF(parametros_recargas!$N$88*J50*J82=0,0,'Demanda por puesto'!$P$274/(parametros_recargas!$N$88*J50*J82))</f>
        <v>0.00888972934678395</v>
      </c>
      <c r="K18" s="27" t="n">
        <f aca="false">IF(parametros_recargas!$N$88*K50*K82=0,0,'Demanda por puesto'!$P$306/(parametros_recargas!$N$88*K50*K82))</f>
        <v>0.00987690376316945</v>
      </c>
    </row>
    <row r="19" customFormat="false" ht="15" hidden="false" customHeight="false" outlineLevel="0" collapsed="false">
      <c r="A19" s="12" t="str">
        <f aca="false">parametros_recargas!$B$89</f>
        <v>Descarga y carga Clase D</v>
      </c>
      <c r="B19" s="27" t="n">
        <f aca="false">IF(parametros_recargas!$N$89*B51*B83=0,0,'Demanda por puesto'!$P$19/(parametros_recargas!$N$89*B51*B83))</f>
        <v>0.000667358948146909</v>
      </c>
      <c r="C19" s="27" t="n">
        <f aca="false">IF(parametros_recargas!$N$89*C51*C83=0,0,'Demanda por puesto'!$P$51/(parametros_recargas!$N$89*C51*C83))</f>
        <v>0.00349187183618819</v>
      </c>
      <c r="D19" s="27" t="n">
        <f aca="false">IF(parametros_recargas!$N$89*D51*D83=0,0,'Demanda por puesto'!$P$83/(parametros_recargas!$N$89*D51*D83))</f>
        <v>0.00632676690049361</v>
      </c>
      <c r="E19" s="27" t="n">
        <f aca="false">IF(parametros_recargas!$N$89*E51*E83=0,0,'Demanda por puesto'!$P$115/(parametros_recargas!$N$89*E51*E83))</f>
        <v>0.00954449125193609</v>
      </c>
      <c r="F19" s="27" t="n">
        <f aca="false">IF(parametros_recargas!$N$89*F51*F83=0,0,'Demanda por puesto'!$P$147/(parametros_recargas!$N$89*F51*F83))</f>
        <v>0.0132014726999694</v>
      </c>
      <c r="G19" s="27" t="n">
        <f aca="false">IF(parametros_recargas!$N$89*G51*G83=0,0,'Demanda por puesto'!$P$179/(parametros_recargas!$N$89*G51*G83))</f>
        <v>0.0166103357272475</v>
      </c>
      <c r="H19" s="27" t="n">
        <f aca="false">IF(parametros_recargas!$N$89*H51*H83=0,0,'Demanda por puesto'!$P$211/(parametros_recargas!$N$89*H51*H83))</f>
        <v>0.0214556961702741</v>
      </c>
      <c r="I19" s="27" t="n">
        <f aca="false">IF(parametros_recargas!$N$89*I51*I83=0,0,'Demanda por puesto'!$P$243/(parametros_recargas!$N$89*I51*I83))</f>
        <v>0.0248753370519605</v>
      </c>
      <c r="J19" s="27" t="n">
        <f aca="false">IF(parametros_recargas!$N$89*J51*J83=0,0,'Demanda por puesto'!$P$275/(parametros_recargas!$N$89*J51*J83))</f>
        <v>0.0280594438322161</v>
      </c>
      <c r="K19" s="27" t="n">
        <f aca="false">IF(parametros_recargas!$N$89*K51*K83=0,0,'Demanda por puesto'!$P$307/(parametros_recargas!$N$89*K51*K83))</f>
        <v>0.0312137748559233</v>
      </c>
    </row>
    <row r="20" customFormat="false" ht="15" hidden="false" customHeight="false" outlineLevel="0" collapsed="false">
      <c r="A20" s="12" t="str">
        <f aca="false">parametros_recargas!$B$90</f>
        <v>Carga de agua / AFFF / sales K</v>
      </c>
      <c r="B20" s="27" t="n">
        <f aca="false">IF(parametros_recargas!$N$90*B52*B84=0,0,'Demanda por puesto'!$P$20/(parametros_recargas!$N$90*B52*B84))</f>
        <v>0.00594721259453126</v>
      </c>
      <c r="C20" s="27" t="n">
        <f aca="false">IF(parametros_recargas!$N$90*C52*C84=0,0,'Demanda por puesto'!$P$52/(parametros_recargas!$N$90*C52*C84))</f>
        <v>0.0206769001131152</v>
      </c>
      <c r="D20" s="27" t="n">
        <f aca="false">IF(parametros_recargas!$N$90*D52*D84=0,0,'Demanda por puesto'!$P$84/(parametros_recargas!$N$90*D52*D84))</f>
        <v>0.043639231427598</v>
      </c>
      <c r="E20" s="27" t="n">
        <f aca="false">IF(parametros_recargas!$N$90*E52*E84=0,0,'Demanda por puesto'!$P$116/(parametros_recargas!$N$90*E52*E84))</f>
        <v>0.0718517591827941</v>
      </c>
      <c r="F20" s="27" t="n">
        <f aca="false">IF(parametros_recargas!$N$90*F52*F84=0,0,'Demanda por puesto'!$P$148/(parametros_recargas!$N$90*F52*F84))</f>
        <v>0.102057227447826</v>
      </c>
      <c r="G20" s="27" t="n">
        <f aca="false">IF(parametros_recargas!$N$90*G52*G84=0,0,'Demanda por puesto'!$P$180/(parametros_recargas!$N$90*G52*G84))</f>
        <v>0.135098797698094</v>
      </c>
      <c r="H20" s="27" t="n">
        <f aca="false">IF(parametros_recargas!$N$90*H52*H84=0,0,'Demanda por puesto'!$P$212/(parametros_recargas!$N$90*H52*H84))</f>
        <v>0.167306723443277</v>
      </c>
      <c r="I20" s="27" t="n">
        <f aca="false">IF(parametros_recargas!$N$90*I52*I84=0,0,'Demanda por puesto'!$P$244/(parametros_recargas!$N$90*I52*I84))</f>
        <v>0.191609738818362</v>
      </c>
      <c r="J20" s="27" t="n">
        <f aca="false">IF(parametros_recargas!$N$90*J52*J84=0,0,'Demanda por puesto'!$P$276/(parametros_recargas!$N$90*J52*J84))</f>
        <v>0.213607591158704</v>
      </c>
      <c r="K20" s="27" t="n">
        <f aca="false">IF(parametros_recargas!$N$90*K52*K84=0,0,'Demanda por puesto'!$P$308/(parametros_recargas!$N$90*K52*K84))</f>
        <v>0.235479658685243</v>
      </c>
    </row>
    <row r="21" customFormat="false" ht="15" hidden="false" customHeight="false" outlineLevel="0" collapsed="false">
      <c r="A21" s="12" t="str">
        <f aca="false">parametros_recargas!$B$91</f>
        <v>Carga de CO₂</v>
      </c>
      <c r="B21" s="27" t="n">
        <f aca="false">IF(parametros_recargas!$N$91*B53*B85=0,0,'Demanda por puesto'!$P$21/(parametros_recargas!$N$91*B53*B85))</f>
        <v>0.00826980344485077</v>
      </c>
      <c r="C21" s="27" t="n">
        <f aca="false">IF(parametros_recargas!$N$91*C53*C85=0,0,'Demanda por puesto'!$P$53/(parametros_recargas!$N$91*C53*C85))</f>
        <v>0.0250064938691972</v>
      </c>
      <c r="D21" s="27" t="n">
        <f aca="false">IF(parametros_recargas!$N$91*D53*D85=0,0,'Demanda por puesto'!$P$85/(parametros_recargas!$N$91*D53*D85))</f>
        <v>0.0551968648879242</v>
      </c>
      <c r="E21" s="27" t="n">
        <f aca="false">IF(parametros_recargas!$N$91*E53*E85=0,0,'Demanda por puesto'!$P$117/(parametros_recargas!$N$91*E53*E85))</f>
        <v>0.0942682695540301</v>
      </c>
      <c r="F21" s="27" t="n">
        <f aca="false">IF(parametros_recargas!$N$91*F53*F85=0,0,'Demanda por puesto'!$P$149/(parametros_recargas!$N$91*F53*F85))</f>
        <v>0.134601172776183</v>
      </c>
      <c r="G21" s="27" t="n">
        <f aca="false">IF(parametros_recargas!$N$91*G53*G85=0,0,'Demanda por puesto'!$P$181/(parametros_recargas!$N$91*G53*G85))</f>
        <v>0.179107178200133</v>
      </c>
      <c r="H21" s="27" t="n">
        <f aca="false">IF(parametros_recargas!$N$91*H53*H85=0,0,'Demanda por puesto'!$P$213/(parametros_recargas!$N$91*H53*H85))</f>
        <v>0.221754042459864</v>
      </c>
      <c r="I21" s="27" t="n">
        <f aca="false">IF(parametros_recargas!$N$91*I53*I85=0,0,'Demanda por puesto'!$P$245/(parametros_recargas!$N$91*I53*I85))</f>
        <v>0.252614683698573</v>
      </c>
      <c r="J21" s="27" t="n">
        <f aca="false">IF(parametros_recargas!$N$91*J53*J85=0,0,'Demanda por puesto'!$P$277/(parametros_recargas!$N$91*J53*J85))</f>
        <v>0.280909261046857</v>
      </c>
      <c r="K21" s="27" t="n">
        <f aca="false">IF(parametros_recargas!$N$91*K53*K85=0,0,'Demanda por puesto'!$P$309/(parametros_recargas!$N$91*K53*K85))</f>
        <v>0.309133627455212</v>
      </c>
    </row>
    <row r="22" customFormat="false" ht="15" hidden="false" customHeight="false" outlineLevel="0" collapsed="false">
      <c r="A22" s="12" t="str">
        <f aca="false">parametros_recargas!$B$92</f>
        <v>Ensamblaje y marbete — recinto</v>
      </c>
      <c r="B22" s="27" t="n">
        <f aca="false">IF(parametros_recargas!$N$92*B54*B86=0,0,'Demanda por puesto'!$P$22/(parametros_recargas!$N$92*B54*B86))</f>
        <v>0.146056278133307</v>
      </c>
      <c r="C22" s="27" t="n">
        <f aca="false">IF(parametros_recargas!$N$92*C54*C86=0,0,'Demanda por puesto'!$P$54/(parametros_recargas!$N$92*C54*C86))</f>
        <v>0.492265328590357</v>
      </c>
      <c r="D22" s="27" t="n">
        <f aca="false">IF(parametros_recargas!$N$92*D54*D86=0,0,'Demanda por puesto'!$P$86/(parametros_recargas!$N$92*D54*D86))</f>
        <v>0.943237707623536</v>
      </c>
      <c r="E22" s="27" t="n">
        <f aca="false">IF(parametros_recargas!$N$92*E54*E86=0,0,'Demanda por puesto'!$P$118/(parametros_recargas!$N$92*E54*E86))</f>
        <v>1.58740580554474</v>
      </c>
      <c r="F22" s="27" t="n">
        <f aca="false">IF(parametros_recargas!$N$92*F54*F86=0,0,'Demanda por puesto'!$P$150/(parametros_recargas!$N$92*F54*F86))</f>
        <v>2.3001216672309</v>
      </c>
      <c r="G22" s="27" t="n">
        <f aca="false">IF(parametros_recargas!$N$92*G54*G86=0,0,'Demanda por puesto'!$P$182/(parametros_recargas!$N$92*G54*G86))</f>
        <v>3.07851740968593</v>
      </c>
      <c r="H22" s="27" t="n">
        <f aca="false">IF(parametros_recargas!$N$92*H54*H86=0,0,'Demanda por puesto'!$P$214/(parametros_recargas!$N$92*H54*H86))</f>
        <v>3.77221621613404</v>
      </c>
      <c r="I22" s="27" t="n">
        <f aca="false">IF(parametros_recargas!$N$92*I54*I86=0,0,'Demanda por puesto'!$P$246/(parametros_recargas!$N$92*I54*I86))</f>
        <v>4.29452754289845</v>
      </c>
      <c r="J22" s="27" t="n">
        <f aca="false">IF(parametros_recargas!$N$92*J54*J86=0,0,'Demanda por puesto'!$P$278/(parametros_recargas!$N$92*J54*J86))</f>
        <v>4.68243871790795</v>
      </c>
      <c r="K22" s="27" t="n">
        <f aca="false">IF(parametros_recargas!$N$92*K54*K86=0,0,'Demanda por puesto'!$P$310/(parametros_recargas!$N$92*K54*K86))</f>
        <v>5.07525153890256</v>
      </c>
    </row>
    <row r="23" customFormat="false" ht="15" hidden="false" customHeight="false" outlineLevel="0" collapsed="false">
      <c r="A23" s="12" t="str">
        <f aca="false">parametros_recargas!$B$93</f>
        <v>Presurización — recinto</v>
      </c>
      <c r="B23" s="27" t="n">
        <f aca="false">IF(parametros_recargas!$N$93*B55*B87=0,0,'Demanda por puesto'!$P$23/(parametros_recargas!$N$93*B55*B87))</f>
        <v>0.088850902531095</v>
      </c>
      <c r="C23" s="27" t="n">
        <f aca="false">IF(parametros_recargas!$N$93*C55*C87=0,0,'Demanda por puesto'!$P$55/(parametros_recargas!$N$93*C55*C87))</f>
        <v>0.299461408225801</v>
      </c>
      <c r="D23" s="27" t="n">
        <f aca="false">IF(parametros_recargas!$N$93*D55*D87=0,0,'Demanda por puesto'!$P$87/(parametros_recargas!$N$93*D55*D87))</f>
        <v>0.573802938804318</v>
      </c>
      <c r="E23" s="27" t="n">
        <f aca="false">IF(parametros_recargas!$N$93*E55*E87=0,0,'Demanda por puesto'!$P$119/(parametros_recargas!$N$93*E55*E87))</f>
        <v>0.965671865039715</v>
      </c>
      <c r="F23" s="27" t="n">
        <f aca="false">IF(parametros_recargas!$N$93*F55*F87=0,0,'Demanda por puesto'!$P$151/(parametros_recargas!$N$93*F55*F87))</f>
        <v>1.3992406808988</v>
      </c>
      <c r="G23" s="27" t="n">
        <f aca="false">IF(parametros_recargas!$N$93*G55*G87=0,0,'Demanda por puesto'!$P$183/(parametros_recargas!$N$93*G55*G87))</f>
        <v>1.87276475755894</v>
      </c>
      <c r="H23" s="27" t="n">
        <f aca="false">IF(parametros_recargas!$N$93*H55*H87=0,0,'Demanda por puesto'!$P$215/(parametros_recargas!$N$93*H55*H87))</f>
        <v>2.29476486481487</v>
      </c>
      <c r="I23" s="27" t="n">
        <f aca="false">IF(parametros_recargas!$N$93*I55*I87=0,0,'Demanda por puesto'!$P$247/(parametros_recargas!$N$93*I55*I87))</f>
        <v>2.61250425526322</v>
      </c>
      <c r="J23" s="27" t="n">
        <f aca="false">IF(parametros_recargas!$N$93*J55*J87=0,0,'Demanda por puesto'!$P$279/(parametros_recargas!$N$93*J55*J87))</f>
        <v>2.84848355339401</v>
      </c>
      <c r="K23" s="27" t="n">
        <f aca="false">IF(parametros_recargas!$N$93*K55*K87=0,0,'Demanda por puesto'!$P$311/(parametros_recargas!$N$93*K55*K87))</f>
        <v>3.08744468616572</v>
      </c>
    </row>
    <row r="24" customFormat="false" ht="15" hidden="false" customHeight="false" outlineLevel="0" collapsed="false">
      <c r="A24" s="12" t="str">
        <f aca="false">parametros_recargas!$B$94</f>
        <v>Ensamblaje y presurización — zona general</v>
      </c>
      <c r="B24" s="27" t="n">
        <f aca="false">IF(parametros_recargas!$N$94*B56*B88=0,0,'Demanda por puesto'!$P$24/(parametros_recargas!$N$94*B56*B88))</f>
        <v>0.0151460977501305</v>
      </c>
      <c r="C24" s="27" t="n">
        <f aca="false">IF(parametros_recargas!$N$94*C56*C88=0,0,'Demanda por puesto'!$P$56/(parametros_recargas!$N$94*C56*C88))</f>
        <v>0.050623537818705</v>
      </c>
      <c r="D24" s="27" t="n">
        <f aca="false">IF(parametros_recargas!$N$94*D56*D88=0,0,'Demanda por puesto'!$P$88/(parametros_recargas!$N$94*D56*D88))</f>
        <v>0.108182852333159</v>
      </c>
      <c r="E24" s="27" t="n">
        <f aca="false">IF(parametros_recargas!$N$94*E56*E88=0,0,'Demanda por puesto'!$P$120/(parametros_recargas!$N$94*E56*E88))</f>
        <v>0.180018472100055</v>
      </c>
      <c r="F24" s="27" t="n">
        <f aca="false">IF(parametros_recargas!$N$94*F56*F88=0,0,'Demanda por puesto'!$P$152/(parametros_recargas!$N$94*F56*F88))</f>
        <v>0.256111482410619</v>
      </c>
      <c r="G24" s="27" t="n">
        <f aca="false">IF(parametros_recargas!$N$94*G56*G88=0,0,'Demanda por puesto'!$P$184/(parametros_recargas!$N$94*G56*G88))</f>
        <v>0.339541446886979</v>
      </c>
      <c r="H24" s="27" t="n">
        <f aca="false">IF(parametros_recargas!$N$94*H56*H88=0,0,'Demanda por puesto'!$P$216/(parametros_recargas!$N$94*H56*H88))</f>
        <v>0.42055002179735</v>
      </c>
      <c r="I24" s="27" t="n">
        <f aca="false">IF(parametros_recargas!$N$94*I56*I88=0,0,'Demanda por puesto'!$P$248/(parametros_recargas!$N$94*I56*I88))</f>
        <v>0.480928784820226</v>
      </c>
      <c r="J24" s="27" t="n">
        <f aca="false">IF(parametros_recargas!$N$94*J56*J88=0,0,'Demanda por puesto'!$P$280/(parametros_recargas!$N$94*J56*J88))</f>
        <v>0.535792767662698</v>
      </c>
      <c r="K24" s="27" t="n">
        <f aca="false">IF(parametros_recargas!$N$94*K56*K88=0,0,'Demanda por puesto'!$P$312/(parametros_recargas!$N$94*K56*K88))</f>
        <v>0.590387377156658</v>
      </c>
    </row>
    <row r="25" customFormat="false" ht="15" hidden="false" customHeight="false" outlineLevel="0" collapsed="false">
      <c r="A25" s="12" t="str">
        <f aca="false">parametros_recargas!$B$95</f>
        <v>Carga y presurización de halogenado</v>
      </c>
      <c r="B25" s="27" t="n">
        <f aca="false">IF(parametros_recargas!$N$95*B57*B89=0,0,'Demanda por puesto'!$P$25/(parametros_recargas!$N$95*B57*B89))</f>
        <v>0.000390427705394054</v>
      </c>
      <c r="C25" s="27" t="n">
        <f aca="false">IF(parametros_recargas!$N$95*C57*C89=0,0,'Demanda por puesto'!$P$57/(parametros_recargas!$N$95*C57*C89))</f>
        <v>0.00180101704689933</v>
      </c>
      <c r="D25" s="27" t="n">
        <f aca="false">IF(parametros_recargas!$N$95*D57*D89=0,0,'Demanda por puesto'!$P$89/(parametros_recargas!$N$95*D57*D89))</f>
        <v>0.0035782985220957</v>
      </c>
      <c r="E25" s="27" t="n">
        <f aca="false">IF(parametros_recargas!$N$95*E57*E89=0,0,'Demanda por puesto'!$P$121/(parametros_recargas!$N$95*E57*E89))</f>
        <v>0.00563051313798812</v>
      </c>
      <c r="F25" s="27" t="n">
        <f aca="false">IF(parametros_recargas!$N$95*F57*F89=0,0,'Demanda por puesto'!$P$153/(parametros_recargas!$N$95*F57*F89))</f>
        <v>0.00799828986225839</v>
      </c>
      <c r="G25" s="27" t="n">
        <f aca="false">IF(parametros_recargas!$N$95*G57*G89=0,0,'Demanda por puesto'!$P$185/(parametros_recargas!$N$95*G57*G89))</f>
        <v>0.0104983328077893</v>
      </c>
      <c r="H25" s="27" t="n">
        <f aca="false">IF(parametros_recargas!$N$95*H57*H89=0,0,'Demanda por puesto'!$P$217/(parametros_recargas!$N$95*H57*H89))</f>
        <v>0.0132341569138368</v>
      </c>
      <c r="I25" s="27" t="n">
        <f aca="false">IF(parametros_recargas!$N$95*I57*I89=0,0,'Demanda por puesto'!$P$249/(parametros_recargas!$N$95*I57*I89))</f>
        <v>0.0153772924799609</v>
      </c>
      <c r="J25" s="27" t="n">
        <f aca="false">IF(parametros_recargas!$N$95*J57*J89=0,0,'Demanda por puesto'!$P$281/(parametros_recargas!$N$95*J57*J89))</f>
        <v>0.017314755174909</v>
      </c>
      <c r="K25" s="27" t="n">
        <f aca="false">IF(parametros_recargas!$N$95*K57*K89=0,0,'Demanda por puesto'!$P$313/(parametros_recargas!$N$95*K57*K89))</f>
        <v>0.0192165652863074</v>
      </c>
    </row>
    <row r="26" customFormat="false" ht="15" hidden="false" customHeight="false" outlineLevel="0" collapsed="false">
      <c r="A26" s="12" t="str">
        <f aca="false">parametros_recargas!$B$96</f>
        <v>Control de peso (CO₂ y halogenados sin recarga)</v>
      </c>
      <c r="B26" s="27" t="n">
        <f aca="false">IF(parametros_recargas!$N$96*B58*B90=0,0,'Demanda por puesto'!$P$26/(parametros_recargas!$N$96*B58*B90))</f>
        <v>0.0033249912419447</v>
      </c>
      <c r="C26" s="27" t="n">
        <f aca="false">IF(parametros_recargas!$N$96*C58*C90=0,0,'Demanda por puesto'!$P$58/(parametros_recargas!$N$96*C58*C90))</f>
        <v>0.0102273570242359</v>
      </c>
      <c r="D26" s="27" t="n">
        <f aca="false">IF(parametros_recargas!$N$96*D58*D90=0,0,'Demanda por puesto'!$P$90/(parametros_recargas!$N$96*D58*D90))</f>
        <v>0.0224640423928138</v>
      </c>
      <c r="E26" s="27" t="n">
        <f aca="false">IF(parametros_recargas!$N$96*E58*E90=0,0,'Demanda por puesto'!$P$122/(parametros_recargas!$N$96*E58*E90))</f>
        <v>0.0382311885963417</v>
      </c>
      <c r="F26" s="27" t="n">
        <f aca="false">IF(parametros_recargas!$N$96*F58*F90=0,0,'Demanda por puesto'!$P$154/(parametros_recargas!$N$96*F58*F90))</f>
        <v>0.0545769814158642</v>
      </c>
      <c r="G26" s="27" t="n">
        <f aca="false">IF(parametros_recargas!$N$96*G58*G90=0,0,'Demanda por puesto'!$P$186/(parametros_recargas!$N$96*G58*G90))</f>
        <v>0.0725825588174711</v>
      </c>
      <c r="H26" s="27" t="n">
        <f aca="false">IF(parametros_recargas!$N$96*H58*H90=0,0,'Demanda por puesto'!$P$218/(parametros_recargas!$N$96*H58*H90))</f>
        <v>0.0899309362710696</v>
      </c>
      <c r="I26" s="27" t="n">
        <f aca="false">IF(parametros_recargas!$N$96*I58*I90=0,0,'Demanda por puesto'!$P$250/(parametros_recargas!$N$96*I58*I90))</f>
        <v>0.102530381096824</v>
      </c>
      <c r="J26" s="27" t="n">
        <f aca="false">IF(parametros_recargas!$N$96*J58*J90=0,0,'Demanda por puesto'!$P$282/(parametros_recargas!$N$96*J58*J90))</f>
        <v>0.114074515107086</v>
      </c>
      <c r="K26" s="27" t="n">
        <f aca="false">IF(parametros_recargas!$N$96*K58*K90=0,0,'Demanda por puesto'!$P$314/(parametros_recargas!$N$96*K58*K90))</f>
        <v>0.12558139530473</v>
      </c>
    </row>
    <row r="27" customFormat="false" ht="15" hidden="false" customHeight="false" outlineLevel="0" collapsed="false">
      <c r="A27" s="12" t="str">
        <f aca="false">parametros_recargas!$B$97</f>
        <v>Ensayo de pérdidas</v>
      </c>
      <c r="B27" s="27" t="n">
        <f aca="false">IF(parametros_recargas!$N$97*B59*B91=0,0,'Demanda por puesto'!$P$27/(parametros_recargas!$N$97*B59*B91))</f>
        <v>0.111607843509301</v>
      </c>
      <c r="C27" s="27" t="n">
        <f aca="false">IF(parametros_recargas!$N$97*C59*C91=0,0,'Demanda por puesto'!$P$59/(parametros_recargas!$N$97*C59*C91))</f>
        <v>0.373843690761226</v>
      </c>
      <c r="D27" s="27" t="n">
        <f aca="false">IF(parametros_recargas!$N$97*D59*D91=0,0,'Demanda por puesto'!$P$91/(parametros_recargas!$N$97*D59*D91))</f>
        <v>0.727729293263637</v>
      </c>
      <c r="E27" s="27" t="n">
        <f aca="false">IF(parametros_recargas!$N$97*E59*E91=0,0,'Demanda por puesto'!$P$123/(parametros_recargas!$N$97*E59*E91))</f>
        <v>1.22468461541475</v>
      </c>
      <c r="F27" s="27" t="n">
        <f aca="false">IF(parametros_recargas!$N$97*F59*F91=0,0,'Demanda por puesto'!$P$155/(parametros_recargas!$N$97*F59*F91))</f>
        <v>1.77056930113051</v>
      </c>
      <c r="G27" s="27" t="n">
        <f aca="false">IF(parametros_recargas!$N$97*G59*G91=0,0,'Demanda por puesto'!$P$187/(parametros_recargas!$N$97*G59*G91))</f>
        <v>2.36724466651421</v>
      </c>
      <c r="H27" s="27" t="n">
        <f aca="false">IF(parametros_recargas!$N$97*H59*H91=0,0,'Demanda por puesto'!$P$219/(parametros_recargas!$N$97*H59*H91))</f>
        <v>2.90489824493423</v>
      </c>
      <c r="I27" s="27" t="n">
        <f aca="false">IF(parametros_recargas!$N$97*I59*I91=0,0,'Demanda por puesto'!$P$251/(parametros_recargas!$N$97*I59*I91))</f>
        <v>3.30843270137101</v>
      </c>
      <c r="J27" s="27" t="n">
        <f aca="false">IF(parametros_recargas!$N$97*J59*J91=0,0,'Demanda por puesto'!$P$283/(parametros_recargas!$N$97*J59*J91))</f>
        <v>3.61751868522871</v>
      </c>
      <c r="K27" s="27" t="n">
        <f aca="false">IF(parametros_recargas!$N$97*K59*K91=0,0,'Demanda por puesto'!$P$315/(parametros_recargas!$N$97*K59*K91))</f>
        <v>3.92966726091475</v>
      </c>
    </row>
    <row r="28" customFormat="false" ht="15" hidden="false" customHeight="false" outlineLevel="0" collapsed="false">
      <c r="A28" s="12" t="str">
        <f aca="false">parametros_recargas!$B$98</f>
        <v>Precinto, etiqueta y despacho</v>
      </c>
      <c r="B28" s="27" t="n">
        <f aca="false">IF(parametros_recargas!$N$98*B60*B92=0,0,'Demanda por puesto'!$P$28/(parametros_recargas!$N$98*B60*B92))</f>
        <v>0.119978431772498</v>
      </c>
      <c r="C28" s="27" t="n">
        <f aca="false">IF(parametros_recargas!$N$98*C60*C92=0,0,'Demanda por puesto'!$P$60/(parametros_recargas!$N$98*C60*C92))</f>
        <v>0.401881967568318</v>
      </c>
      <c r="D28" s="27" t="n">
        <f aca="false">IF(parametros_recargas!$N$98*D60*D92=0,0,'Demanda por puesto'!$P$92/(parametros_recargas!$N$98*D60*D92))</f>
        <v>0.78230899025841</v>
      </c>
      <c r="E28" s="27" t="n">
        <f aca="false">IF(parametros_recargas!$N$98*E60*E92=0,0,'Demanda por puesto'!$P$124/(parametros_recargas!$N$98*E60*E92))</f>
        <v>1.31653596157086</v>
      </c>
      <c r="F28" s="27" t="n">
        <f aca="false">IF(parametros_recargas!$N$98*F60*F92=0,0,'Demanda por puesto'!$P$156/(parametros_recargas!$N$98*F60*F92))</f>
        <v>1.9033619987153</v>
      </c>
      <c r="G28" s="27" t="n">
        <f aca="false">IF(parametros_recargas!$N$98*G60*G92=0,0,'Demanda por puesto'!$P$188/(parametros_recargas!$N$98*G60*G92))</f>
        <v>2.54478801650278</v>
      </c>
      <c r="H28" s="27" t="n">
        <f aca="false">IF(parametros_recargas!$N$98*H60*H92=0,0,'Demanda por puesto'!$P$220/(parametros_recargas!$N$98*H60*H92))</f>
        <v>3.1227656133043</v>
      </c>
      <c r="I28" s="27" t="n">
        <f aca="false">IF(parametros_recargas!$N$98*I60*I92=0,0,'Demanda por puesto'!$P$252/(parametros_recargas!$N$98*I60*I92))</f>
        <v>3.55656515397383</v>
      </c>
      <c r="J28" s="27" t="n">
        <f aca="false">IF(parametros_recargas!$N$98*J60*J92=0,0,'Demanda por puesto'!$P$284/(parametros_recargas!$N$98*J60*J92))</f>
        <v>3.88883258662086</v>
      </c>
      <c r="K28" s="27" t="n">
        <f aca="false">IF(parametros_recargas!$N$98*K60*K92=0,0,'Demanda por puesto'!$P$316/(parametros_recargas!$N$98*K60*K92))</f>
        <v>4.22439230548336</v>
      </c>
    </row>
    <row r="29" customFormat="false" ht="15" hidden="false" customHeight="false" outlineLevel="0" collapsed="false">
      <c r="A29" s="12" t="str">
        <f aca="false">parametros_recargas!$B$99</f>
        <v>Inutilización y disposición final</v>
      </c>
      <c r="B29" s="27" t="n">
        <f aca="false">IF(parametros_recargas!$N$99*B61*B93=0,0,'Demanda por puesto'!$P$29/(parametros_recargas!$N$99*B61*B93))</f>
        <v>0.0427804794909671</v>
      </c>
      <c r="C29" s="27" t="n">
        <f aca="false">IF(parametros_recargas!$N$99*C61*C93=0,0,'Demanda por puesto'!$P$61/(parametros_recargas!$N$99*C61*C93))</f>
        <v>0.143541508700353</v>
      </c>
      <c r="D29" s="27" t="n">
        <f aca="false">IF(parametros_recargas!$N$99*D61*D93=0,0,'Demanda por puesto'!$P$93/(parametros_recargas!$N$99*D61*D93))</f>
        <v>0.278831374070436</v>
      </c>
      <c r="E29" s="27" t="n">
        <f aca="false">IF(parametros_recargas!$N$99*E61*E93=0,0,'Demanda por puesto'!$P$125/(parametros_recargas!$N$99*E61*E93))</f>
        <v>0.469116670121459</v>
      </c>
      <c r="F29" s="27" t="n">
        <f aca="false">IF(parametros_recargas!$N$99*F61*F93=0,0,'Demanda por puesto'!$P$157/(parametros_recargas!$N$99*F61*F93))</f>
        <v>0.678370532676384</v>
      </c>
      <c r="G29" s="27" t="n">
        <f aca="false">IF(parametros_recargas!$N$99*G61*G93=0,0,'Demanda por puesto'!$P$189/(parametros_recargas!$N$99*G61*G93))</f>
        <v>0.907056021908587</v>
      </c>
      <c r="H29" s="27" t="n">
        <f aca="false">IF(parametros_recargas!$N$99*H61*H93=0,0,'Demanda por puesto'!$P$221/(parametros_recargas!$N$99*H61*H93))</f>
        <v>1.11289085335783</v>
      </c>
      <c r="I29" s="27" t="n">
        <f aca="false">IF(parametros_recargas!$N$99*I61*I93=0,0,'Demanda por puesto'!$P$253/(parametros_recargas!$N$99*I61*I93))</f>
        <v>1.26748326125635</v>
      </c>
      <c r="J29" s="27" t="n">
        <f aca="false">IF(parametros_recargas!$N$99*J61*J93=0,0,'Demanda por puesto'!$P$285/(parametros_recargas!$N$99*J61*J93))</f>
        <v>1.38547242339469</v>
      </c>
      <c r="K29" s="27" t="n">
        <f aca="false">IF(parametros_recargas!$N$99*K61*K93=0,0,'Demanda por puesto'!$P$317/(parametros_recargas!$N$99*K61*K93))</f>
        <v>1.50466233483371</v>
      </c>
    </row>
    <row r="30" customFormat="false" ht="15" hidden="false" customHeight="false" outlineLevel="0" collapsed="false">
      <c r="A30" s="12" t="str">
        <f aca="false">parametros_recargas!$B$100</f>
        <v>PH de mangueras (CO₂ y rodantes)</v>
      </c>
      <c r="B30" s="27" t="n">
        <f aca="false">IF(parametros_recargas!$N$100*B62*B94=0,0,'Demanda por puesto'!$P$30/(parametros_recargas!$N$100*B62*B94))</f>
        <v>0.0124764348522961</v>
      </c>
      <c r="C30" s="27" t="n">
        <f aca="false">IF(parametros_recargas!$N$100*C62*C94=0,0,'Demanda por puesto'!$P$62/(parametros_recargas!$N$100*C62*C94))</f>
        <v>0.0482221672184284</v>
      </c>
      <c r="D30" s="27" t="n">
        <f aca="false">IF(parametros_recargas!$N$100*D62*D94=0,0,'Demanda por puesto'!$P$94/(parametros_recargas!$N$100*D62*D94))</f>
        <v>0.0998026708378201</v>
      </c>
      <c r="E30" s="27" t="n">
        <f aca="false">IF(parametros_recargas!$N$100*E62*E94=0,0,'Demanda por puesto'!$P$126/(parametros_recargas!$N$100*E62*E94))</f>
        <v>0.16210417057138</v>
      </c>
      <c r="F30" s="27" t="n">
        <f aca="false">IF(parametros_recargas!$N$100*F62*F94=0,0,'Demanda por puesto'!$P$158/(parametros_recargas!$N$100*F62*F94))</f>
        <v>0.241182086246142</v>
      </c>
      <c r="G30" s="27" t="n">
        <f aca="false">IF(parametros_recargas!$N$100*G62*G94=0,0,'Demanda por puesto'!$P$190/(parametros_recargas!$N$100*G62*G94))</f>
        <v>0.343110220762954</v>
      </c>
      <c r="H30" s="27" t="n">
        <f aca="false">IF(parametros_recargas!$N$100*H62*H94=0,0,'Demanda por puesto'!$P$222/(parametros_recargas!$N$100*H62*H94))</f>
        <v>0.459220410147369</v>
      </c>
      <c r="I30" s="27" t="n">
        <f aca="false">IF(parametros_recargas!$N$100*I62*I94=0,0,'Demanda por puesto'!$P$254/(parametros_recargas!$N$100*I62*I94))</f>
        <v>0.563829901534632</v>
      </c>
      <c r="J30" s="27" t="n">
        <f aca="false">IF(parametros_recargas!$N$100*J62*J94=0,0,'Demanda por puesto'!$P$286/(parametros_recargas!$N$100*J62*J94))</f>
        <v>0.652102573743634</v>
      </c>
      <c r="K30" s="27" t="n">
        <f aca="false">IF(parametros_recargas!$N$100*K62*K94=0,0,'Demanda por puesto'!$P$318/(parametros_recargas!$N$100*K62*K94))</f>
        <v>0.737683342379241</v>
      </c>
    </row>
    <row r="31" customFormat="false" ht="15" hidden="false" customHeight="false" outlineLevel="0" collapsed="false">
      <c r="A31" s="6" t="s">
        <v>305</v>
      </c>
      <c r="B31" s="29" t="n">
        <f aca="false">MAX(B2:B30)</f>
        <v>0.146056278133307</v>
      </c>
      <c r="C31" s="29" t="n">
        <f aca="false">MAX(C2:C30)</f>
        <v>0.492265328590357</v>
      </c>
      <c r="D31" s="29" t="n">
        <f aca="false">MAX(D2:D30)</f>
        <v>0.943237707623536</v>
      </c>
      <c r="E31" s="29" t="n">
        <f aca="false">MAX(E2:E30)</f>
        <v>1.58740580554474</v>
      </c>
      <c r="F31" s="29" t="n">
        <f aca="false">MAX(F2:F30)</f>
        <v>2.3001216672309</v>
      </c>
      <c r="G31" s="29" t="n">
        <f aca="false">MAX(G2:G30)</f>
        <v>3.07851740968593</v>
      </c>
      <c r="H31" s="29" t="n">
        <f aca="false">MAX(H2:H30)</f>
        <v>3.77221621613404</v>
      </c>
      <c r="I31" s="29" t="n">
        <f aca="false">MAX(I2:I30)</f>
        <v>4.29452754289845</v>
      </c>
      <c r="J31" s="29" t="n">
        <f aca="false">MAX(J2:J30)</f>
        <v>4.68243871790795</v>
      </c>
      <c r="K31" s="29" t="n">
        <f aca="false">MAX(K2:K30)</f>
        <v>5.07525153890256</v>
      </c>
    </row>
    <row r="33" customFormat="false" ht="15" hidden="false" customHeight="false" outlineLevel="0" collapsed="false">
      <c r="A33" s="3" t="s">
        <v>306</v>
      </c>
      <c r="B33" s="3" t="n">
        <v>2026</v>
      </c>
      <c r="C33" s="3" t="n">
        <v>2027</v>
      </c>
      <c r="D33" s="3" t="n">
        <v>2028</v>
      </c>
      <c r="E33" s="3" t="n">
        <v>2029</v>
      </c>
      <c r="F33" s="3" t="n">
        <v>2030</v>
      </c>
      <c r="G33" s="3" t="n">
        <v>2031</v>
      </c>
      <c r="H33" s="3" t="n">
        <v>2032</v>
      </c>
      <c r="I33" s="3" t="n">
        <v>2033</v>
      </c>
      <c r="J33" s="3" t="n">
        <v>2034</v>
      </c>
      <c r="K33" s="3" t="n">
        <v>2035</v>
      </c>
    </row>
    <row r="34" customFormat="false" ht="15" hidden="false" customHeight="false" outlineLevel="0" collapsed="false">
      <c r="A34" s="12" t="str">
        <f aca="false">parametros_recargas!$B$72</f>
        <v>Recepción y registro</v>
      </c>
      <c r="B34" s="14" t="n">
        <v>1</v>
      </c>
      <c r="C34" s="14" t="n">
        <v>1</v>
      </c>
      <c r="D34" s="14" t="n">
        <v>1</v>
      </c>
      <c r="E34" s="14" t="n">
        <v>1</v>
      </c>
      <c r="F34" s="14" t="n">
        <v>1</v>
      </c>
      <c r="G34" s="14" t="n">
        <v>1</v>
      </c>
      <c r="H34" s="14" t="n">
        <v>1</v>
      </c>
      <c r="I34" s="14" t="n">
        <v>1</v>
      </c>
      <c r="J34" s="14" t="n">
        <v>1</v>
      </c>
      <c r="K34" s="14" t="n">
        <v>1</v>
      </c>
    </row>
    <row r="35" customFormat="false" ht="15" hidden="false" customHeight="false" outlineLevel="0" collapsed="false">
      <c r="A35" s="12" t="str">
        <f aca="false">parametros_recargas!$B$73</f>
        <v>Inspección visual</v>
      </c>
      <c r="B35" s="14" t="n">
        <v>1</v>
      </c>
      <c r="C35" s="14" t="n">
        <v>1</v>
      </c>
      <c r="D35" s="14" t="n">
        <v>1</v>
      </c>
      <c r="E35" s="14" t="n">
        <v>1</v>
      </c>
      <c r="F35" s="14" t="n">
        <v>1</v>
      </c>
      <c r="G35" s="14" t="n">
        <v>1</v>
      </c>
      <c r="H35" s="14" t="n">
        <v>1</v>
      </c>
      <c r="I35" s="14" t="n">
        <v>1</v>
      </c>
      <c r="J35" s="14" t="n">
        <v>1</v>
      </c>
      <c r="K35" s="14" t="n">
        <v>1</v>
      </c>
    </row>
    <row r="36" customFormat="false" ht="15" hidden="false" customHeight="false" outlineLevel="0" collapsed="false">
      <c r="A36" s="12" t="str">
        <f aca="false">parametros_recargas!$B$74</f>
        <v>Descarga ABC — ruta recuperable</v>
      </c>
      <c r="B36" s="14" t="n">
        <v>1</v>
      </c>
      <c r="C36" s="14" t="n">
        <v>1</v>
      </c>
      <c r="D36" s="14" t="n">
        <v>1</v>
      </c>
      <c r="E36" s="14" t="n">
        <v>1</v>
      </c>
      <c r="F36" s="14" t="n">
        <v>1</v>
      </c>
      <c r="G36" s="14" t="n">
        <v>1</v>
      </c>
      <c r="H36" s="14" t="n">
        <v>1</v>
      </c>
      <c r="I36" s="14" t="n">
        <v>1</v>
      </c>
      <c r="J36" s="14" t="n">
        <v>1</v>
      </c>
      <c r="K36" s="14" t="n">
        <v>1</v>
      </c>
    </row>
    <row r="37" customFormat="false" ht="15" hidden="false" customHeight="false" outlineLevel="0" collapsed="false">
      <c r="A37" s="12" t="str">
        <f aca="false">parametros_recargas!$B$75</f>
        <v>Descarga ABC — ruta descarte</v>
      </c>
      <c r="B37" s="14" t="n">
        <v>1</v>
      </c>
      <c r="C37" s="14" t="n">
        <v>1</v>
      </c>
      <c r="D37" s="14" t="n">
        <v>1</v>
      </c>
      <c r="E37" s="14" t="n">
        <v>1</v>
      </c>
      <c r="F37" s="14" t="n">
        <v>1</v>
      </c>
      <c r="G37" s="14" t="n">
        <v>1</v>
      </c>
      <c r="H37" s="14" t="n">
        <v>1</v>
      </c>
      <c r="I37" s="14" t="n">
        <v>1</v>
      </c>
      <c r="J37" s="14" t="n">
        <v>1</v>
      </c>
      <c r="K37" s="14" t="n">
        <v>1</v>
      </c>
    </row>
    <row r="38" customFormat="false" ht="15" hidden="false" customHeight="false" outlineLevel="0" collapsed="false">
      <c r="A38" s="12" t="str">
        <f aca="false">parametros_recargas!$B$76</f>
        <v>Descarga BC</v>
      </c>
      <c r="B38" s="14" t="n">
        <v>1</v>
      </c>
      <c r="C38" s="14" t="n">
        <v>1</v>
      </c>
      <c r="D38" s="14" t="n">
        <v>1</v>
      </c>
      <c r="E38" s="14" t="n">
        <v>1</v>
      </c>
      <c r="F38" s="14" t="n">
        <v>1</v>
      </c>
      <c r="G38" s="14" t="n">
        <v>1</v>
      </c>
      <c r="H38" s="14" t="n">
        <v>1</v>
      </c>
      <c r="I38" s="14" t="n">
        <v>1</v>
      </c>
      <c r="J38" s="14" t="n">
        <v>1</v>
      </c>
      <c r="K38" s="14" t="n">
        <v>1</v>
      </c>
    </row>
    <row r="39" customFormat="false" ht="15" hidden="false" customHeight="false" outlineLevel="0" collapsed="false">
      <c r="A39" s="12" t="str">
        <f aca="false">parametros_recargas!$B$77</f>
        <v>Descarga de agua / AFFF / sales K</v>
      </c>
      <c r="B39" s="14" t="n">
        <v>1</v>
      </c>
      <c r="C39" s="14" t="n">
        <v>1</v>
      </c>
      <c r="D39" s="14" t="n">
        <v>1</v>
      </c>
      <c r="E39" s="14" t="n">
        <v>1</v>
      </c>
      <c r="F39" s="14" t="n">
        <v>1</v>
      </c>
      <c r="G39" s="14" t="n">
        <v>1</v>
      </c>
      <c r="H39" s="14" t="n">
        <v>1</v>
      </c>
      <c r="I39" s="14" t="n">
        <v>1</v>
      </c>
      <c r="J39" s="14" t="n">
        <v>1</v>
      </c>
      <c r="K39" s="14" t="n">
        <v>1</v>
      </c>
    </row>
    <row r="40" customFormat="false" ht="15" hidden="false" customHeight="false" outlineLevel="0" collapsed="false">
      <c r="A40" s="12" t="str">
        <f aca="false">parametros_recargas!$B$78</f>
        <v>Recuperación de CO₂</v>
      </c>
      <c r="B40" s="14" t="n">
        <v>1</v>
      </c>
      <c r="C40" s="14" t="n">
        <v>1</v>
      </c>
      <c r="D40" s="14" t="n">
        <v>1</v>
      </c>
      <c r="E40" s="14" t="n">
        <v>1</v>
      </c>
      <c r="F40" s="14" t="n">
        <v>1</v>
      </c>
      <c r="G40" s="14" t="n">
        <v>1</v>
      </c>
      <c r="H40" s="14" t="n">
        <v>1</v>
      </c>
      <c r="I40" s="14" t="n">
        <v>1</v>
      </c>
      <c r="J40" s="14" t="n">
        <v>1</v>
      </c>
      <c r="K40" s="14" t="n">
        <v>1</v>
      </c>
    </row>
    <row r="41" customFormat="false" ht="15" hidden="false" customHeight="false" outlineLevel="0" collapsed="false">
      <c r="A41" s="12" t="str">
        <f aca="false">parametros_recargas!$B$79</f>
        <v>Recuperación de halogenado</v>
      </c>
      <c r="B41" s="14" t="n">
        <v>1</v>
      </c>
      <c r="C41" s="14" t="n">
        <v>1</v>
      </c>
      <c r="D41" s="14" t="n">
        <v>1</v>
      </c>
      <c r="E41" s="14" t="n">
        <v>1</v>
      </c>
      <c r="F41" s="14" t="n">
        <v>1</v>
      </c>
      <c r="G41" s="14" t="n">
        <v>1</v>
      </c>
      <c r="H41" s="14" t="n">
        <v>1</v>
      </c>
      <c r="I41" s="14" t="n">
        <v>1</v>
      </c>
      <c r="J41" s="14" t="n">
        <v>1</v>
      </c>
      <c r="K41" s="14" t="n">
        <v>1</v>
      </c>
    </row>
    <row r="42" customFormat="false" ht="15" hidden="false" customHeight="false" outlineLevel="0" collapsed="false">
      <c r="A42" s="12" t="str">
        <f aca="false">parametros_recargas!$B$80</f>
        <v>Desarme y limpieza — recinto</v>
      </c>
      <c r="B42" s="14" t="n">
        <v>1</v>
      </c>
      <c r="C42" s="14" t="n">
        <v>1</v>
      </c>
      <c r="D42" s="14" t="n">
        <v>1</v>
      </c>
      <c r="E42" s="14" t="n">
        <v>1</v>
      </c>
      <c r="F42" s="14" t="n">
        <v>1</v>
      </c>
      <c r="G42" s="14" t="n">
        <v>1</v>
      </c>
      <c r="H42" s="14" t="n">
        <v>1</v>
      </c>
      <c r="I42" s="14" t="n">
        <v>1</v>
      </c>
      <c r="J42" s="14" t="n">
        <v>1</v>
      </c>
      <c r="K42" s="14" t="n">
        <v>1</v>
      </c>
    </row>
    <row r="43" customFormat="false" ht="15" hidden="false" customHeight="false" outlineLevel="0" collapsed="false">
      <c r="A43" s="12" t="str">
        <f aca="false">parametros_recargas!$B$81</f>
        <v>Desarme e inspección interior — zona general</v>
      </c>
      <c r="B43" s="14" t="n">
        <v>1</v>
      </c>
      <c r="C43" s="14" t="n">
        <v>1</v>
      </c>
      <c r="D43" s="14" t="n">
        <v>1</v>
      </c>
      <c r="E43" s="14" t="n">
        <v>1</v>
      </c>
      <c r="F43" s="14" t="n">
        <v>1</v>
      </c>
      <c r="G43" s="14" t="n">
        <v>1</v>
      </c>
      <c r="H43" s="14" t="n">
        <v>1</v>
      </c>
      <c r="I43" s="14" t="n">
        <v>1</v>
      </c>
      <c r="J43" s="14" t="n">
        <v>1</v>
      </c>
      <c r="K43" s="14" t="n">
        <v>1</v>
      </c>
    </row>
    <row r="44" customFormat="false" ht="15" hidden="false" customHeight="false" outlineLevel="0" collapsed="false">
      <c r="A44" s="12" t="str">
        <f aca="false">parametros_recargas!$B$82</f>
        <v>Laboratorio — Puffer y mufla</v>
      </c>
      <c r="B44" s="14" t="n">
        <v>1</v>
      </c>
      <c r="C44" s="14" t="n">
        <v>1</v>
      </c>
      <c r="D44" s="14" t="n">
        <v>1</v>
      </c>
      <c r="E44" s="14" t="n">
        <v>1</v>
      </c>
      <c r="F44" s="14" t="n">
        <v>1</v>
      </c>
      <c r="G44" s="14" t="n">
        <v>1</v>
      </c>
      <c r="H44" s="14" t="n">
        <v>1</v>
      </c>
      <c r="I44" s="14" t="n">
        <v>1</v>
      </c>
      <c r="J44" s="14" t="n">
        <v>1</v>
      </c>
      <c r="K44" s="14" t="n">
        <v>1</v>
      </c>
    </row>
    <row r="45" customFormat="false" ht="15" hidden="false" customHeight="false" outlineLevel="0" collapsed="false">
      <c r="A45" s="12" t="str">
        <f aca="false">parametros_recargas!$B$83</f>
        <v>Prueba hidráulica</v>
      </c>
      <c r="B45" s="14" t="n">
        <v>1</v>
      </c>
      <c r="C45" s="14" t="n">
        <v>1</v>
      </c>
      <c r="D45" s="14" t="n">
        <v>1</v>
      </c>
      <c r="E45" s="14" t="n">
        <v>1</v>
      </c>
      <c r="F45" s="14" t="n">
        <v>1</v>
      </c>
      <c r="G45" s="14" t="n">
        <v>1</v>
      </c>
      <c r="H45" s="14" t="n">
        <v>1</v>
      </c>
      <c r="I45" s="14" t="n">
        <v>1</v>
      </c>
      <c r="J45" s="14" t="n">
        <v>1</v>
      </c>
      <c r="K45" s="14" t="n">
        <v>1</v>
      </c>
    </row>
    <row r="46" customFormat="false" ht="15" hidden="false" customHeight="false" outlineLevel="0" collapsed="false">
      <c r="A46" s="12" t="str">
        <f aca="false">parametros_recargas!$B$84</f>
        <v>Secado</v>
      </c>
      <c r="B46" s="14" t="n">
        <v>1</v>
      </c>
      <c r="C46" s="14" t="n">
        <v>1</v>
      </c>
      <c r="D46" s="14" t="n">
        <v>1</v>
      </c>
      <c r="E46" s="14" t="n">
        <v>1</v>
      </c>
      <c r="F46" s="14" t="n">
        <v>1</v>
      </c>
      <c r="G46" s="14" t="n">
        <v>1</v>
      </c>
      <c r="H46" s="14" t="n">
        <v>1</v>
      </c>
      <c r="I46" s="14" t="n">
        <v>1</v>
      </c>
      <c r="J46" s="14" t="n">
        <v>1</v>
      </c>
      <c r="K46" s="14" t="n">
        <v>1</v>
      </c>
    </row>
    <row r="47" customFormat="false" ht="15" hidden="false" customHeight="false" outlineLevel="0" collapsed="false">
      <c r="A47" s="12" t="str">
        <f aca="false">parametros_recargas!$B$85</f>
        <v>Inspección interior con videoscopio</v>
      </c>
      <c r="B47" s="14" t="n">
        <v>1</v>
      </c>
      <c r="C47" s="14" t="n">
        <v>1</v>
      </c>
      <c r="D47" s="14" t="n">
        <v>1</v>
      </c>
      <c r="E47" s="14" t="n">
        <v>1</v>
      </c>
      <c r="F47" s="14" t="n">
        <v>1</v>
      </c>
      <c r="G47" s="14" t="n">
        <v>1</v>
      </c>
      <c r="H47" s="14" t="n">
        <v>1</v>
      </c>
      <c r="I47" s="14" t="n">
        <v>1</v>
      </c>
      <c r="J47" s="14" t="n">
        <v>1</v>
      </c>
      <c r="K47" s="14" t="n">
        <v>1</v>
      </c>
    </row>
    <row r="48" customFormat="false" ht="15" hidden="false" customHeight="false" outlineLevel="0" collapsed="false">
      <c r="A48" s="12" t="str">
        <f aca="false">parametros_recargas!$B$86</f>
        <v>Pintura</v>
      </c>
      <c r="B48" s="14" t="n">
        <v>1</v>
      </c>
      <c r="C48" s="14" t="n">
        <v>1</v>
      </c>
      <c r="D48" s="14" t="n">
        <v>1</v>
      </c>
      <c r="E48" s="14" t="n">
        <v>1</v>
      </c>
      <c r="F48" s="14" t="n">
        <v>1</v>
      </c>
      <c r="G48" s="14" t="n">
        <v>1</v>
      </c>
      <c r="H48" s="14" t="n">
        <v>1</v>
      </c>
      <c r="I48" s="14" t="n">
        <v>1</v>
      </c>
      <c r="J48" s="14" t="n">
        <v>1</v>
      </c>
      <c r="K48" s="14" t="n">
        <v>1</v>
      </c>
    </row>
    <row r="49" customFormat="false" ht="15" hidden="false" customHeight="false" outlineLevel="0" collapsed="false">
      <c r="A49" s="12" t="str">
        <f aca="false">parametros_recargas!$B$87</f>
        <v>Carga de polvo ABC</v>
      </c>
      <c r="B49" s="14" t="n">
        <v>1</v>
      </c>
      <c r="C49" s="14" t="n">
        <v>1</v>
      </c>
      <c r="D49" s="14" t="n">
        <v>1</v>
      </c>
      <c r="E49" s="14" t="n">
        <v>1</v>
      </c>
      <c r="F49" s="14" t="n">
        <v>1</v>
      </c>
      <c r="G49" s="14" t="n">
        <v>1</v>
      </c>
      <c r="H49" s="14" t="n">
        <v>1</v>
      </c>
      <c r="I49" s="14" t="n">
        <v>1</v>
      </c>
      <c r="J49" s="14" t="n">
        <v>1</v>
      </c>
      <c r="K49" s="14" t="n">
        <v>1</v>
      </c>
    </row>
    <row r="50" customFormat="false" ht="15" hidden="false" customHeight="false" outlineLevel="0" collapsed="false">
      <c r="A50" s="12" t="str">
        <f aca="false">parametros_recargas!$B$88</f>
        <v>Carga de polvo BC</v>
      </c>
      <c r="B50" s="14" t="n">
        <v>1</v>
      </c>
      <c r="C50" s="14" t="n">
        <v>1</v>
      </c>
      <c r="D50" s="14" t="n">
        <v>1</v>
      </c>
      <c r="E50" s="14" t="n">
        <v>1</v>
      </c>
      <c r="F50" s="14" t="n">
        <v>1</v>
      </c>
      <c r="G50" s="14" t="n">
        <v>1</v>
      </c>
      <c r="H50" s="14" t="n">
        <v>1</v>
      </c>
      <c r="I50" s="14" t="n">
        <v>1</v>
      </c>
      <c r="J50" s="14" t="n">
        <v>1</v>
      </c>
      <c r="K50" s="14" t="n">
        <v>1</v>
      </c>
    </row>
    <row r="51" customFormat="false" ht="15" hidden="false" customHeight="false" outlineLevel="0" collapsed="false">
      <c r="A51" s="12" t="str">
        <f aca="false">parametros_recargas!$B$89</f>
        <v>Descarga y carga Clase D</v>
      </c>
      <c r="B51" s="14" t="n">
        <v>1</v>
      </c>
      <c r="C51" s="14" t="n">
        <v>1</v>
      </c>
      <c r="D51" s="14" t="n">
        <v>1</v>
      </c>
      <c r="E51" s="14" t="n">
        <v>1</v>
      </c>
      <c r="F51" s="14" t="n">
        <v>1</v>
      </c>
      <c r="G51" s="14" t="n">
        <v>1</v>
      </c>
      <c r="H51" s="14" t="n">
        <v>1</v>
      </c>
      <c r="I51" s="14" t="n">
        <v>1</v>
      </c>
      <c r="J51" s="14" t="n">
        <v>1</v>
      </c>
      <c r="K51" s="14" t="n">
        <v>1</v>
      </c>
    </row>
    <row r="52" customFormat="false" ht="15" hidden="false" customHeight="false" outlineLevel="0" collapsed="false">
      <c r="A52" s="12" t="str">
        <f aca="false">parametros_recargas!$B$90</f>
        <v>Carga de agua / AFFF / sales K</v>
      </c>
      <c r="B52" s="14" t="n">
        <v>1</v>
      </c>
      <c r="C52" s="14" t="n">
        <v>1</v>
      </c>
      <c r="D52" s="14" t="n">
        <v>1</v>
      </c>
      <c r="E52" s="14" t="n">
        <v>1</v>
      </c>
      <c r="F52" s="14" t="n">
        <v>1</v>
      </c>
      <c r="G52" s="14" t="n">
        <v>1</v>
      </c>
      <c r="H52" s="14" t="n">
        <v>1</v>
      </c>
      <c r="I52" s="14" t="n">
        <v>1</v>
      </c>
      <c r="J52" s="14" t="n">
        <v>1</v>
      </c>
      <c r="K52" s="14" t="n">
        <v>1</v>
      </c>
    </row>
    <row r="53" customFormat="false" ht="15" hidden="false" customHeight="false" outlineLevel="0" collapsed="false">
      <c r="A53" s="12" t="str">
        <f aca="false">parametros_recargas!$B$91</f>
        <v>Carga de CO₂</v>
      </c>
      <c r="B53" s="14" t="n">
        <v>1</v>
      </c>
      <c r="C53" s="14" t="n">
        <v>1</v>
      </c>
      <c r="D53" s="14" t="n">
        <v>1</v>
      </c>
      <c r="E53" s="14" t="n">
        <v>1</v>
      </c>
      <c r="F53" s="14" t="n">
        <v>1</v>
      </c>
      <c r="G53" s="14" t="n">
        <v>1</v>
      </c>
      <c r="H53" s="14" t="n">
        <v>1</v>
      </c>
      <c r="I53" s="14" t="n">
        <v>1</v>
      </c>
      <c r="J53" s="14" t="n">
        <v>1</v>
      </c>
      <c r="K53" s="14" t="n">
        <v>1</v>
      </c>
    </row>
    <row r="54" customFormat="false" ht="15" hidden="false" customHeight="false" outlineLevel="0" collapsed="false">
      <c r="A54" s="12" t="str">
        <f aca="false">parametros_recargas!$B$92</f>
        <v>Ensamblaje y marbete — recinto</v>
      </c>
      <c r="B54" s="14" t="n">
        <v>1</v>
      </c>
      <c r="C54" s="14" t="n">
        <v>1</v>
      </c>
      <c r="D54" s="14" t="n">
        <v>1</v>
      </c>
      <c r="E54" s="14" t="n">
        <v>1</v>
      </c>
      <c r="F54" s="14" t="n">
        <v>1</v>
      </c>
      <c r="G54" s="14" t="n">
        <v>1</v>
      </c>
      <c r="H54" s="14" t="n">
        <v>1</v>
      </c>
      <c r="I54" s="14" t="n">
        <v>1</v>
      </c>
      <c r="J54" s="14" t="n">
        <v>1</v>
      </c>
      <c r="K54" s="14" t="n">
        <v>1</v>
      </c>
    </row>
    <row r="55" customFormat="false" ht="15" hidden="false" customHeight="false" outlineLevel="0" collapsed="false">
      <c r="A55" s="12" t="str">
        <f aca="false">parametros_recargas!$B$93</f>
        <v>Presurización — recinto</v>
      </c>
      <c r="B55" s="14" t="n">
        <v>1</v>
      </c>
      <c r="C55" s="14" t="n">
        <v>1</v>
      </c>
      <c r="D55" s="14" t="n">
        <v>1</v>
      </c>
      <c r="E55" s="14" t="n">
        <v>1</v>
      </c>
      <c r="F55" s="14" t="n">
        <v>1</v>
      </c>
      <c r="G55" s="14" t="n">
        <v>1</v>
      </c>
      <c r="H55" s="14" t="n">
        <v>1</v>
      </c>
      <c r="I55" s="14" t="n">
        <v>1</v>
      </c>
      <c r="J55" s="14" t="n">
        <v>1</v>
      </c>
      <c r="K55" s="14" t="n">
        <v>1</v>
      </c>
    </row>
    <row r="56" customFormat="false" ht="15" hidden="false" customHeight="false" outlineLevel="0" collapsed="false">
      <c r="A56" s="12" t="str">
        <f aca="false">parametros_recargas!$B$94</f>
        <v>Ensamblaje y presurización — zona general</v>
      </c>
      <c r="B56" s="14" t="n">
        <v>1</v>
      </c>
      <c r="C56" s="14" t="n">
        <v>1</v>
      </c>
      <c r="D56" s="14" t="n">
        <v>1</v>
      </c>
      <c r="E56" s="14" t="n">
        <v>1</v>
      </c>
      <c r="F56" s="14" t="n">
        <v>1</v>
      </c>
      <c r="G56" s="14" t="n">
        <v>1</v>
      </c>
      <c r="H56" s="14" t="n">
        <v>1</v>
      </c>
      <c r="I56" s="14" t="n">
        <v>1</v>
      </c>
      <c r="J56" s="14" t="n">
        <v>1</v>
      </c>
      <c r="K56" s="14" t="n">
        <v>1</v>
      </c>
    </row>
    <row r="57" customFormat="false" ht="15" hidden="false" customHeight="false" outlineLevel="0" collapsed="false">
      <c r="A57" s="12" t="str">
        <f aca="false">parametros_recargas!$B$95</f>
        <v>Carga y presurización de halogenado</v>
      </c>
      <c r="B57" s="14" t="n">
        <v>1</v>
      </c>
      <c r="C57" s="14" t="n">
        <v>1</v>
      </c>
      <c r="D57" s="14" t="n">
        <v>1</v>
      </c>
      <c r="E57" s="14" t="n">
        <v>1</v>
      </c>
      <c r="F57" s="14" t="n">
        <v>1</v>
      </c>
      <c r="G57" s="14" t="n">
        <v>1</v>
      </c>
      <c r="H57" s="14" t="n">
        <v>1</v>
      </c>
      <c r="I57" s="14" t="n">
        <v>1</v>
      </c>
      <c r="J57" s="14" t="n">
        <v>1</v>
      </c>
      <c r="K57" s="14" t="n">
        <v>1</v>
      </c>
    </row>
    <row r="58" customFormat="false" ht="15" hidden="false" customHeight="false" outlineLevel="0" collapsed="false">
      <c r="A58" s="12" t="str">
        <f aca="false">parametros_recargas!$B$96</f>
        <v>Control de peso (CO₂ y halogenados sin recarga)</v>
      </c>
      <c r="B58" s="14" t="n">
        <v>1</v>
      </c>
      <c r="C58" s="14" t="n">
        <v>1</v>
      </c>
      <c r="D58" s="14" t="n">
        <v>1</v>
      </c>
      <c r="E58" s="14" t="n">
        <v>1</v>
      </c>
      <c r="F58" s="14" t="n">
        <v>1</v>
      </c>
      <c r="G58" s="14" t="n">
        <v>1</v>
      </c>
      <c r="H58" s="14" t="n">
        <v>1</v>
      </c>
      <c r="I58" s="14" t="n">
        <v>1</v>
      </c>
      <c r="J58" s="14" t="n">
        <v>1</v>
      </c>
      <c r="K58" s="14" t="n">
        <v>1</v>
      </c>
    </row>
    <row r="59" customFormat="false" ht="15" hidden="false" customHeight="false" outlineLevel="0" collapsed="false">
      <c r="A59" s="12" t="str">
        <f aca="false">parametros_recargas!$B$97</f>
        <v>Ensayo de pérdidas</v>
      </c>
      <c r="B59" s="14" t="n">
        <v>1</v>
      </c>
      <c r="C59" s="14" t="n">
        <v>1</v>
      </c>
      <c r="D59" s="14" t="n">
        <v>1</v>
      </c>
      <c r="E59" s="14" t="n">
        <v>1</v>
      </c>
      <c r="F59" s="14" t="n">
        <v>1</v>
      </c>
      <c r="G59" s="14" t="n">
        <v>1</v>
      </c>
      <c r="H59" s="14" t="n">
        <v>1</v>
      </c>
      <c r="I59" s="14" t="n">
        <v>1</v>
      </c>
      <c r="J59" s="14" t="n">
        <v>1</v>
      </c>
      <c r="K59" s="14" t="n">
        <v>1</v>
      </c>
    </row>
    <row r="60" customFormat="false" ht="15" hidden="false" customHeight="false" outlineLevel="0" collapsed="false">
      <c r="A60" s="12" t="str">
        <f aca="false">parametros_recargas!$B$98</f>
        <v>Precinto, etiqueta y despacho</v>
      </c>
      <c r="B60" s="14" t="n">
        <v>1</v>
      </c>
      <c r="C60" s="14" t="n">
        <v>1</v>
      </c>
      <c r="D60" s="14" t="n">
        <v>1</v>
      </c>
      <c r="E60" s="14" t="n">
        <v>1</v>
      </c>
      <c r="F60" s="14" t="n">
        <v>1</v>
      </c>
      <c r="G60" s="14" t="n">
        <v>1</v>
      </c>
      <c r="H60" s="14" t="n">
        <v>1</v>
      </c>
      <c r="I60" s="14" t="n">
        <v>1</v>
      </c>
      <c r="J60" s="14" t="n">
        <v>1</v>
      </c>
      <c r="K60" s="14" t="n">
        <v>1</v>
      </c>
    </row>
    <row r="61" customFormat="false" ht="15" hidden="false" customHeight="false" outlineLevel="0" collapsed="false">
      <c r="A61" s="12" t="str">
        <f aca="false">parametros_recargas!$B$99</f>
        <v>Inutilización y disposición final</v>
      </c>
      <c r="B61" s="14" t="n">
        <v>1</v>
      </c>
      <c r="C61" s="14" t="n">
        <v>1</v>
      </c>
      <c r="D61" s="14" t="n">
        <v>1</v>
      </c>
      <c r="E61" s="14" t="n">
        <v>1</v>
      </c>
      <c r="F61" s="14" t="n">
        <v>1</v>
      </c>
      <c r="G61" s="14" t="n">
        <v>1</v>
      </c>
      <c r="H61" s="14" t="n">
        <v>1</v>
      </c>
      <c r="I61" s="14" t="n">
        <v>1</v>
      </c>
      <c r="J61" s="14" t="n">
        <v>1</v>
      </c>
      <c r="K61" s="14" t="n">
        <v>1</v>
      </c>
    </row>
    <row r="62" customFormat="false" ht="15" hidden="false" customHeight="false" outlineLevel="0" collapsed="false">
      <c r="A62" s="12" t="str">
        <f aca="false">parametros_recargas!$B$100</f>
        <v>PH de mangueras (CO₂ y rodantes)</v>
      </c>
      <c r="B62" s="14" t="n">
        <v>1</v>
      </c>
      <c r="C62" s="14" t="n">
        <v>1</v>
      </c>
      <c r="D62" s="14" t="n">
        <v>1</v>
      </c>
      <c r="E62" s="14" t="n">
        <v>1</v>
      </c>
      <c r="F62" s="14" t="n">
        <v>1</v>
      </c>
      <c r="G62" s="14" t="n">
        <v>1</v>
      </c>
      <c r="H62" s="14" t="n">
        <v>1</v>
      </c>
      <c r="I62" s="14" t="n">
        <v>1</v>
      </c>
      <c r="J62" s="14" t="n">
        <v>1</v>
      </c>
      <c r="K62" s="14" t="n">
        <v>1</v>
      </c>
    </row>
    <row r="63" customFormat="false" ht="15" hidden="false" customHeight="false" outlineLevel="0" collapsed="false">
      <c r="A63" s="6" t="s">
        <v>307</v>
      </c>
      <c r="B63" s="16" t="n">
        <f aca="false">SUM(B34:B62)</f>
        <v>29</v>
      </c>
      <c r="C63" s="16" t="n">
        <f aca="false">SUM(C34:C62)</f>
        <v>29</v>
      </c>
      <c r="D63" s="16" t="n">
        <f aca="false">SUM(D34:D62)</f>
        <v>29</v>
      </c>
      <c r="E63" s="16" t="n">
        <f aca="false">SUM(E34:E62)</f>
        <v>29</v>
      </c>
      <c r="F63" s="16" t="n">
        <f aca="false">SUM(F34:F62)</f>
        <v>29</v>
      </c>
      <c r="G63" s="16" t="n">
        <f aca="false">SUM(G34:G62)</f>
        <v>29</v>
      </c>
      <c r="H63" s="16" t="n">
        <f aca="false">SUM(H34:H62)</f>
        <v>29</v>
      </c>
      <c r="I63" s="16" t="n">
        <f aca="false">SUM(I34:I62)</f>
        <v>29</v>
      </c>
      <c r="J63" s="16" t="n">
        <f aca="false">SUM(J34:J62)</f>
        <v>29</v>
      </c>
      <c r="K63" s="16" t="n">
        <f aca="false">SUM(K34:K62)</f>
        <v>29</v>
      </c>
    </row>
    <row r="65" customFormat="false" ht="15" hidden="false" customHeight="false" outlineLevel="0" collapsed="false">
      <c r="A65" s="3" t="s">
        <v>308</v>
      </c>
      <c r="B65" s="3" t="n">
        <v>2026</v>
      </c>
      <c r="C65" s="3" t="n">
        <v>2027</v>
      </c>
      <c r="D65" s="3" t="n">
        <v>2028</v>
      </c>
      <c r="E65" s="3" t="n">
        <v>2029</v>
      </c>
      <c r="F65" s="3" t="n">
        <v>2030</v>
      </c>
      <c r="G65" s="3" t="n">
        <v>2031</v>
      </c>
      <c r="H65" s="3" t="n">
        <v>2032</v>
      </c>
      <c r="I65" s="3" t="n">
        <v>2033</v>
      </c>
      <c r="J65" s="3" t="n">
        <v>2034</v>
      </c>
      <c r="K65" s="3" t="n">
        <v>2035</v>
      </c>
    </row>
    <row r="66" customFormat="false" ht="15" hidden="false" customHeight="false" outlineLevel="0" collapsed="false">
      <c r="A66" s="12" t="str">
        <f aca="false">parametros_recargas!$B$72</f>
        <v>Recepción y registro</v>
      </c>
      <c r="B66" s="14" t="n">
        <v>1</v>
      </c>
      <c r="C66" s="14" t="n">
        <v>1</v>
      </c>
      <c r="D66" s="14" t="n">
        <v>1</v>
      </c>
      <c r="E66" s="14" t="n">
        <v>1</v>
      </c>
      <c r="F66" s="14" t="n">
        <v>1</v>
      </c>
      <c r="G66" s="14" t="n">
        <v>1</v>
      </c>
      <c r="H66" s="14" t="n">
        <v>1</v>
      </c>
      <c r="I66" s="14" t="n">
        <v>1</v>
      </c>
      <c r="J66" s="14" t="n">
        <v>1</v>
      </c>
      <c r="K66" s="14" t="n">
        <v>1</v>
      </c>
    </row>
    <row r="67" customFormat="false" ht="15" hidden="false" customHeight="false" outlineLevel="0" collapsed="false">
      <c r="A67" s="12" t="str">
        <f aca="false">parametros_recargas!$B$73</f>
        <v>Inspección visual</v>
      </c>
      <c r="B67" s="14" t="n">
        <v>1</v>
      </c>
      <c r="C67" s="14" t="n">
        <v>1</v>
      </c>
      <c r="D67" s="14" t="n">
        <v>1</v>
      </c>
      <c r="E67" s="14" t="n">
        <v>1</v>
      </c>
      <c r="F67" s="14" t="n">
        <v>1</v>
      </c>
      <c r="G67" s="14" t="n">
        <v>1</v>
      </c>
      <c r="H67" s="14" t="n">
        <v>1</v>
      </c>
      <c r="I67" s="14" t="n">
        <v>1</v>
      </c>
      <c r="J67" s="14" t="n">
        <v>1</v>
      </c>
      <c r="K67" s="14" t="n">
        <v>1</v>
      </c>
    </row>
    <row r="68" customFormat="false" ht="15" hidden="false" customHeight="false" outlineLevel="0" collapsed="false">
      <c r="A68" s="12" t="str">
        <f aca="false">parametros_recargas!$B$74</f>
        <v>Descarga ABC — ruta recuperable</v>
      </c>
      <c r="B68" s="14" t="n">
        <v>1</v>
      </c>
      <c r="C68" s="14" t="n">
        <v>1</v>
      </c>
      <c r="D68" s="14" t="n">
        <v>1</v>
      </c>
      <c r="E68" s="14" t="n">
        <v>1</v>
      </c>
      <c r="F68" s="14" t="n">
        <v>1</v>
      </c>
      <c r="G68" s="14" t="n">
        <v>1</v>
      </c>
      <c r="H68" s="14" t="n">
        <v>1</v>
      </c>
      <c r="I68" s="14" t="n">
        <v>1</v>
      </c>
      <c r="J68" s="14" t="n">
        <v>1</v>
      </c>
      <c r="K68" s="14" t="n">
        <v>1</v>
      </c>
    </row>
    <row r="69" customFormat="false" ht="15" hidden="false" customHeight="false" outlineLevel="0" collapsed="false">
      <c r="A69" s="12" t="str">
        <f aca="false">parametros_recargas!$B$75</f>
        <v>Descarga ABC — ruta descarte</v>
      </c>
      <c r="B69" s="14" t="n">
        <v>1</v>
      </c>
      <c r="C69" s="14" t="n">
        <v>1</v>
      </c>
      <c r="D69" s="14" t="n">
        <v>1</v>
      </c>
      <c r="E69" s="14" t="n">
        <v>1</v>
      </c>
      <c r="F69" s="14" t="n">
        <v>1</v>
      </c>
      <c r="G69" s="14" t="n">
        <v>1</v>
      </c>
      <c r="H69" s="14" t="n">
        <v>1</v>
      </c>
      <c r="I69" s="14" t="n">
        <v>1</v>
      </c>
      <c r="J69" s="14" t="n">
        <v>1</v>
      </c>
      <c r="K69" s="14" t="n">
        <v>1</v>
      </c>
    </row>
    <row r="70" customFormat="false" ht="15" hidden="false" customHeight="false" outlineLevel="0" collapsed="false">
      <c r="A70" s="12" t="str">
        <f aca="false">parametros_recargas!$B$76</f>
        <v>Descarga BC</v>
      </c>
      <c r="B70" s="14" t="n">
        <v>1</v>
      </c>
      <c r="C70" s="14" t="n">
        <v>1</v>
      </c>
      <c r="D70" s="14" t="n">
        <v>1</v>
      </c>
      <c r="E70" s="14" t="n">
        <v>1</v>
      </c>
      <c r="F70" s="14" t="n">
        <v>1</v>
      </c>
      <c r="G70" s="14" t="n">
        <v>1</v>
      </c>
      <c r="H70" s="14" t="n">
        <v>1</v>
      </c>
      <c r="I70" s="14" t="n">
        <v>1</v>
      </c>
      <c r="J70" s="14" t="n">
        <v>1</v>
      </c>
      <c r="K70" s="14" t="n">
        <v>1</v>
      </c>
    </row>
    <row r="71" customFormat="false" ht="15" hidden="false" customHeight="false" outlineLevel="0" collapsed="false">
      <c r="A71" s="12" t="str">
        <f aca="false">parametros_recargas!$B$77</f>
        <v>Descarga de agua / AFFF / sales K</v>
      </c>
      <c r="B71" s="14" t="n">
        <v>1</v>
      </c>
      <c r="C71" s="14" t="n">
        <v>1</v>
      </c>
      <c r="D71" s="14" t="n">
        <v>1</v>
      </c>
      <c r="E71" s="14" t="n">
        <v>1</v>
      </c>
      <c r="F71" s="14" t="n">
        <v>1</v>
      </c>
      <c r="G71" s="14" t="n">
        <v>1</v>
      </c>
      <c r="H71" s="14" t="n">
        <v>1</v>
      </c>
      <c r="I71" s="14" t="n">
        <v>1</v>
      </c>
      <c r="J71" s="14" t="n">
        <v>1</v>
      </c>
      <c r="K71" s="14" t="n">
        <v>1</v>
      </c>
    </row>
    <row r="72" customFormat="false" ht="15" hidden="false" customHeight="false" outlineLevel="0" collapsed="false">
      <c r="A72" s="12" t="str">
        <f aca="false">parametros_recargas!$B$78</f>
        <v>Recuperación de CO₂</v>
      </c>
      <c r="B72" s="14" t="n">
        <v>1</v>
      </c>
      <c r="C72" s="14" t="n">
        <v>1</v>
      </c>
      <c r="D72" s="14" t="n">
        <v>1</v>
      </c>
      <c r="E72" s="14" t="n">
        <v>1</v>
      </c>
      <c r="F72" s="14" t="n">
        <v>1</v>
      </c>
      <c r="G72" s="14" t="n">
        <v>1</v>
      </c>
      <c r="H72" s="14" t="n">
        <v>1</v>
      </c>
      <c r="I72" s="14" t="n">
        <v>1</v>
      </c>
      <c r="J72" s="14" t="n">
        <v>1</v>
      </c>
      <c r="K72" s="14" t="n">
        <v>1</v>
      </c>
    </row>
    <row r="73" customFormat="false" ht="15" hidden="false" customHeight="false" outlineLevel="0" collapsed="false">
      <c r="A73" s="12" t="str">
        <f aca="false">parametros_recargas!$B$79</f>
        <v>Recuperación de halogenado</v>
      </c>
      <c r="B73" s="14" t="n">
        <v>1</v>
      </c>
      <c r="C73" s="14" t="n">
        <v>1</v>
      </c>
      <c r="D73" s="14" t="n">
        <v>1</v>
      </c>
      <c r="E73" s="14" t="n">
        <v>1</v>
      </c>
      <c r="F73" s="14" t="n">
        <v>1</v>
      </c>
      <c r="G73" s="14" t="n">
        <v>1</v>
      </c>
      <c r="H73" s="14" t="n">
        <v>1</v>
      </c>
      <c r="I73" s="14" t="n">
        <v>1</v>
      </c>
      <c r="J73" s="14" t="n">
        <v>1</v>
      </c>
      <c r="K73" s="14" t="n">
        <v>1</v>
      </c>
    </row>
    <row r="74" customFormat="false" ht="15" hidden="false" customHeight="false" outlineLevel="0" collapsed="false">
      <c r="A74" s="12" t="str">
        <f aca="false">parametros_recargas!$B$80</f>
        <v>Desarme y limpieza — recinto</v>
      </c>
      <c r="B74" s="14" t="n">
        <v>1</v>
      </c>
      <c r="C74" s="14" t="n">
        <v>1</v>
      </c>
      <c r="D74" s="14" t="n">
        <v>1</v>
      </c>
      <c r="E74" s="14" t="n">
        <v>1</v>
      </c>
      <c r="F74" s="14" t="n">
        <v>1</v>
      </c>
      <c r="G74" s="14" t="n">
        <v>1</v>
      </c>
      <c r="H74" s="14" t="n">
        <v>1</v>
      </c>
      <c r="I74" s="14" t="n">
        <v>1</v>
      </c>
      <c r="J74" s="14" t="n">
        <v>1</v>
      </c>
      <c r="K74" s="14" t="n">
        <v>1</v>
      </c>
    </row>
    <row r="75" customFormat="false" ht="15" hidden="false" customHeight="false" outlineLevel="0" collapsed="false">
      <c r="A75" s="12" t="str">
        <f aca="false">parametros_recargas!$B$81</f>
        <v>Desarme e inspección interior — zona general</v>
      </c>
      <c r="B75" s="14" t="n">
        <v>1</v>
      </c>
      <c r="C75" s="14" t="n">
        <v>1</v>
      </c>
      <c r="D75" s="14" t="n">
        <v>1</v>
      </c>
      <c r="E75" s="14" t="n">
        <v>1</v>
      </c>
      <c r="F75" s="14" t="n">
        <v>1</v>
      </c>
      <c r="G75" s="14" t="n">
        <v>1</v>
      </c>
      <c r="H75" s="14" t="n">
        <v>1</v>
      </c>
      <c r="I75" s="14" t="n">
        <v>1</v>
      </c>
      <c r="J75" s="14" t="n">
        <v>1</v>
      </c>
      <c r="K75" s="14" t="n">
        <v>1</v>
      </c>
    </row>
    <row r="76" customFormat="false" ht="15" hidden="false" customHeight="false" outlineLevel="0" collapsed="false">
      <c r="A76" s="12" t="str">
        <f aca="false">parametros_recargas!$B$82</f>
        <v>Laboratorio — Puffer y mufla</v>
      </c>
      <c r="B76" s="14" t="n">
        <v>1</v>
      </c>
      <c r="C76" s="14" t="n">
        <v>1</v>
      </c>
      <c r="D76" s="14" t="n">
        <v>1</v>
      </c>
      <c r="E76" s="14" t="n">
        <v>1</v>
      </c>
      <c r="F76" s="14" t="n">
        <v>1</v>
      </c>
      <c r="G76" s="14" t="n">
        <v>1</v>
      </c>
      <c r="H76" s="14" t="n">
        <v>1</v>
      </c>
      <c r="I76" s="14" t="n">
        <v>1</v>
      </c>
      <c r="J76" s="14" t="n">
        <v>1</v>
      </c>
      <c r="K76" s="14" t="n">
        <v>1</v>
      </c>
    </row>
    <row r="77" customFormat="false" ht="15" hidden="false" customHeight="false" outlineLevel="0" collapsed="false">
      <c r="A77" s="12" t="str">
        <f aca="false">parametros_recargas!$B$83</f>
        <v>Prueba hidráulica</v>
      </c>
      <c r="B77" s="14" t="n">
        <v>1</v>
      </c>
      <c r="C77" s="14" t="n">
        <v>1</v>
      </c>
      <c r="D77" s="14" t="n">
        <v>1</v>
      </c>
      <c r="E77" s="14" t="n">
        <v>1</v>
      </c>
      <c r="F77" s="14" t="n">
        <v>1</v>
      </c>
      <c r="G77" s="14" t="n">
        <v>1</v>
      </c>
      <c r="H77" s="14" t="n">
        <v>1</v>
      </c>
      <c r="I77" s="14" t="n">
        <v>1</v>
      </c>
      <c r="J77" s="14" t="n">
        <v>1</v>
      </c>
      <c r="K77" s="14" t="n">
        <v>1</v>
      </c>
    </row>
    <row r="78" customFormat="false" ht="15" hidden="false" customHeight="false" outlineLevel="0" collapsed="false">
      <c r="A78" s="12" t="str">
        <f aca="false">parametros_recargas!$B$84</f>
        <v>Secado</v>
      </c>
      <c r="B78" s="14" t="n">
        <v>1</v>
      </c>
      <c r="C78" s="14" t="n">
        <v>1</v>
      </c>
      <c r="D78" s="14" t="n">
        <v>1</v>
      </c>
      <c r="E78" s="14" t="n">
        <v>1</v>
      </c>
      <c r="F78" s="14" t="n">
        <v>1</v>
      </c>
      <c r="G78" s="14" t="n">
        <v>1</v>
      </c>
      <c r="H78" s="14" t="n">
        <v>1</v>
      </c>
      <c r="I78" s="14" t="n">
        <v>1</v>
      </c>
      <c r="J78" s="14" t="n">
        <v>1</v>
      </c>
      <c r="K78" s="14" t="n">
        <v>1</v>
      </c>
    </row>
    <row r="79" customFormat="false" ht="15" hidden="false" customHeight="false" outlineLevel="0" collapsed="false">
      <c r="A79" s="12" t="str">
        <f aca="false">parametros_recargas!$B$85</f>
        <v>Inspección interior con videoscopio</v>
      </c>
      <c r="B79" s="14" t="n">
        <v>1</v>
      </c>
      <c r="C79" s="14" t="n">
        <v>1</v>
      </c>
      <c r="D79" s="14" t="n">
        <v>1</v>
      </c>
      <c r="E79" s="14" t="n">
        <v>1</v>
      </c>
      <c r="F79" s="14" t="n">
        <v>1</v>
      </c>
      <c r="G79" s="14" t="n">
        <v>1</v>
      </c>
      <c r="H79" s="14" t="n">
        <v>1</v>
      </c>
      <c r="I79" s="14" t="n">
        <v>1</v>
      </c>
      <c r="J79" s="14" t="n">
        <v>1</v>
      </c>
      <c r="K79" s="14" t="n">
        <v>1</v>
      </c>
    </row>
    <row r="80" customFormat="false" ht="15" hidden="false" customHeight="false" outlineLevel="0" collapsed="false">
      <c r="A80" s="12" t="str">
        <f aca="false">parametros_recargas!$B$86</f>
        <v>Pintura</v>
      </c>
      <c r="B80" s="14" t="n">
        <v>1</v>
      </c>
      <c r="C80" s="14" t="n">
        <v>1</v>
      </c>
      <c r="D80" s="14" t="n">
        <v>1</v>
      </c>
      <c r="E80" s="14" t="n">
        <v>1</v>
      </c>
      <c r="F80" s="14" t="n">
        <v>1</v>
      </c>
      <c r="G80" s="14" t="n">
        <v>1</v>
      </c>
      <c r="H80" s="14" t="n">
        <v>1</v>
      </c>
      <c r="I80" s="14" t="n">
        <v>1</v>
      </c>
      <c r="J80" s="14" t="n">
        <v>1</v>
      </c>
      <c r="K80" s="14" t="n">
        <v>1</v>
      </c>
    </row>
    <row r="81" customFormat="false" ht="15" hidden="false" customHeight="false" outlineLevel="0" collapsed="false">
      <c r="A81" s="12" t="str">
        <f aca="false">parametros_recargas!$B$87</f>
        <v>Carga de polvo ABC</v>
      </c>
      <c r="B81" s="14" t="n">
        <v>1</v>
      </c>
      <c r="C81" s="14" t="n">
        <v>1</v>
      </c>
      <c r="D81" s="14" t="n">
        <v>1</v>
      </c>
      <c r="E81" s="14" t="n">
        <v>1</v>
      </c>
      <c r="F81" s="14" t="n">
        <v>1</v>
      </c>
      <c r="G81" s="14" t="n">
        <v>1</v>
      </c>
      <c r="H81" s="14" t="n">
        <v>1</v>
      </c>
      <c r="I81" s="14" t="n">
        <v>1</v>
      </c>
      <c r="J81" s="14" t="n">
        <v>1</v>
      </c>
      <c r="K81" s="14" t="n">
        <v>1</v>
      </c>
    </row>
    <row r="82" customFormat="false" ht="15" hidden="false" customHeight="false" outlineLevel="0" collapsed="false">
      <c r="A82" s="12" t="str">
        <f aca="false">parametros_recargas!$B$88</f>
        <v>Carga de polvo BC</v>
      </c>
      <c r="B82" s="14" t="n">
        <v>1</v>
      </c>
      <c r="C82" s="14" t="n">
        <v>1</v>
      </c>
      <c r="D82" s="14" t="n">
        <v>1</v>
      </c>
      <c r="E82" s="14" t="n">
        <v>1</v>
      </c>
      <c r="F82" s="14" t="n">
        <v>1</v>
      </c>
      <c r="G82" s="14" t="n">
        <v>1</v>
      </c>
      <c r="H82" s="14" t="n">
        <v>1</v>
      </c>
      <c r="I82" s="14" t="n">
        <v>1</v>
      </c>
      <c r="J82" s="14" t="n">
        <v>1</v>
      </c>
      <c r="K82" s="14" t="n">
        <v>1</v>
      </c>
    </row>
    <row r="83" customFormat="false" ht="15" hidden="false" customHeight="false" outlineLevel="0" collapsed="false">
      <c r="A83" s="12" t="str">
        <f aca="false">parametros_recargas!$B$89</f>
        <v>Descarga y carga Clase D</v>
      </c>
      <c r="B83" s="14" t="n">
        <v>1</v>
      </c>
      <c r="C83" s="14" t="n">
        <v>1</v>
      </c>
      <c r="D83" s="14" t="n">
        <v>1</v>
      </c>
      <c r="E83" s="14" t="n">
        <v>1</v>
      </c>
      <c r="F83" s="14" t="n">
        <v>1</v>
      </c>
      <c r="G83" s="14" t="n">
        <v>1</v>
      </c>
      <c r="H83" s="14" t="n">
        <v>1</v>
      </c>
      <c r="I83" s="14" t="n">
        <v>1</v>
      </c>
      <c r="J83" s="14" t="n">
        <v>1</v>
      </c>
      <c r="K83" s="14" t="n">
        <v>1</v>
      </c>
    </row>
    <row r="84" customFormat="false" ht="15" hidden="false" customHeight="false" outlineLevel="0" collapsed="false">
      <c r="A84" s="12" t="str">
        <f aca="false">parametros_recargas!$B$90</f>
        <v>Carga de agua / AFFF / sales K</v>
      </c>
      <c r="B84" s="14" t="n">
        <v>1</v>
      </c>
      <c r="C84" s="14" t="n">
        <v>1</v>
      </c>
      <c r="D84" s="14" t="n">
        <v>1</v>
      </c>
      <c r="E84" s="14" t="n">
        <v>1</v>
      </c>
      <c r="F84" s="14" t="n">
        <v>1</v>
      </c>
      <c r="G84" s="14" t="n">
        <v>1</v>
      </c>
      <c r="H84" s="14" t="n">
        <v>1</v>
      </c>
      <c r="I84" s="14" t="n">
        <v>1</v>
      </c>
      <c r="J84" s="14" t="n">
        <v>1</v>
      </c>
      <c r="K84" s="14" t="n">
        <v>1</v>
      </c>
    </row>
    <row r="85" customFormat="false" ht="15" hidden="false" customHeight="false" outlineLevel="0" collapsed="false">
      <c r="A85" s="12" t="str">
        <f aca="false">parametros_recargas!$B$91</f>
        <v>Carga de CO₂</v>
      </c>
      <c r="B85" s="14" t="n">
        <v>1</v>
      </c>
      <c r="C85" s="14" t="n">
        <v>1</v>
      </c>
      <c r="D85" s="14" t="n">
        <v>1</v>
      </c>
      <c r="E85" s="14" t="n">
        <v>1</v>
      </c>
      <c r="F85" s="14" t="n">
        <v>1</v>
      </c>
      <c r="G85" s="14" t="n">
        <v>1</v>
      </c>
      <c r="H85" s="14" t="n">
        <v>1</v>
      </c>
      <c r="I85" s="14" t="n">
        <v>1</v>
      </c>
      <c r="J85" s="14" t="n">
        <v>1</v>
      </c>
      <c r="K85" s="14" t="n">
        <v>1</v>
      </c>
    </row>
    <row r="86" customFormat="false" ht="15" hidden="false" customHeight="false" outlineLevel="0" collapsed="false">
      <c r="A86" s="12" t="str">
        <f aca="false">parametros_recargas!$B$92</f>
        <v>Ensamblaje y marbete — recinto</v>
      </c>
      <c r="B86" s="14" t="n">
        <v>1</v>
      </c>
      <c r="C86" s="14" t="n">
        <v>1</v>
      </c>
      <c r="D86" s="14" t="n">
        <v>1</v>
      </c>
      <c r="E86" s="14" t="n">
        <v>1</v>
      </c>
      <c r="F86" s="14" t="n">
        <v>1</v>
      </c>
      <c r="G86" s="14" t="n">
        <v>1</v>
      </c>
      <c r="H86" s="14" t="n">
        <v>1</v>
      </c>
      <c r="I86" s="14" t="n">
        <v>1</v>
      </c>
      <c r="J86" s="14" t="n">
        <v>1</v>
      </c>
      <c r="K86" s="14" t="n">
        <v>1</v>
      </c>
    </row>
    <row r="87" customFormat="false" ht="15" hidden="false" customHeight="false" outlineLevel="0" collapsed="false">
      <c r="A87" s="12" t="str">
        <f aca="false">parametros_recargas!$B$93</f>
        <v>Presurización — recinto</v>
      </c>
      <c r="B87" s="14" t="n">
        <v>1</v>
      </c>
      <c r="C87" s="14" t="n">
        <v>1</v>
      </c>
      <c r="D87" s="14" t="n">
        <v>1</v>
      </c>
      <c r="E87" s="14" t="n">
        <v>1</v>
      </c>
      <c r="F87" s="14" t="n">
        <v>1</v>
      </c>
      <c r="G87" s="14" t="n">
        <v>1</v>
      </c>
      <c r="H87" s="14" t="n">
        <v>1</v>
      </c>
      <c r="I87" s="14" t="n">
        <v>1</v>
      </c>
      <c r="J87" s="14" t="n">
        <v>1</v>
      </c>
      <c r="K87" s="14" t="n">
        <v>1</v>
      </c>
    </row>
    <row r="88" customFormat="false" ht="15" hidden="false" customHeight="false" outlineLevel="0" collapsed="false">
      <c r="A88" s="12" t="str">
        <f aca="false">parametros_recargas!$B$94</f>
        <v>Ensamblaje y presurización — zona general</v>
      </c>
      <c r="B88" s="14" t="n">
        <v>1</v>
      </c>
      <c r="C88" s="14" t="n">
        <v>1</v>
      </c>
      <c r="D88" s="14" t="n">
        <v>1</v>
      </c>
      <c r="E88" s="14" t="n">
        <v>1</v>
      </c>
      <c r="F88" s="14" t="n">
        <v>1</v>
      </c>
      <c r="G88" s="14" t="n">
        <v>1</v>
      </c>
      <c r="H88" s="14" t="n">
        <v>1</v>
      </c>
      <c r="I88" s="14" t="n">
        <v>1</v>
      </c>
      <c r="J88" s="14" t="n">
        <v>1</v>
      </c>
      <c r="K88" s="14" t="n">
        <v>1</v>
      </c>
    </row>
    <row r="89" customFormat="false" ht="15" hidden="false" customHeight="false" outlineLevel="0" collapsed="false">
      <c r="A89" s="12" t="str">
        <f aca="false">parametros_recargas!$B$95</f>
        <v>Carga y presurización de halogenado</v>
      </c>
      <c r="B89" s="14" t="n">
        <v>1</v>
      </c>
      <c r="C89" s="14" t="n">
        <v>1</v>
      </c>
      <c r="D89" s="14" t="n">
        <v>1</v>
      </c>
      <c r="E89" s="14" t="n">
        <v>1</v>
      </c>
      <c r="F89" s="14" t="n">
        <v>1</v>
      </c>
      <c r="G89" s="14" t="n">
        <v>1</v>
      </c>
      <c r="H89" s="14" t="n">
        <v>1</v>
      </c>
      <c r="I89" s="14" t="n">
        <v>1</v>
      </c>
      <c r="J89" s="14" t="n">
        <v>1</v>
      </c>
      <c r="K89" s="14" t="n">
        <v>1</v>
      </c>
    </row>
    <row r="90" customFormat="false" ht="15" hidden="false" customHeight="false" outlineLevel="0" collapsed="false">
      <c r="A90" s="12" t="str">
        <f aca="false">parametros_recargas!$B$96</f>
        <v>Control de peso (CO₂ y halogenados sin recarga)</v>
      </c>
      <c r="B90" s="14" t="n">
        <v>1</v>
      </c>
      <c r="C90" s="14" t="n">
        <v>1</v>
      </c>
      <c r="D90" s="14" t="n">
        <v>1</v>
      </c>
      <c r="E90" s="14" t="n">
        <v>1</v>
      </c>
      <c r="F90" s="14" t="n">
        <v>1</v>
      </c>
      <c r="G90" s="14" t="n">
        <v>1</v>
      </c>
      <c r="H90" s="14" t="n">
        <v>1</v>
      </c>
      <c r="I90" s="14" t="n">
        <v>1</v>
      </c>
      <c r="J90" s="14" t="n">
        <v>1</v>
      </c>
      <c r="K90" s="14" t="n">
        <v>1</v>
      </c>
    </row>
    <row r="91" customFormat="false" ht="15" hidden="false" customHeight="false" outlineLevel="0" collapsed="false">
      <c r="A91" s="12" t="str">
        <f aca="false">parametros_recargas!$B$97</f>
        <v>Ensayo de pérdidas</v>
      </c>
      <c r="B91" s="14" t="n">
        <v>1</v>
      </c>
      <c r="C91" s="14" t="n">
        <v>1</v>
      </c>
      <c r="D91" s="14" t="n">
        <v>1</v>
      </c>
      <c r="E91" s="14" t="n">
        <v>1</v>
      </c>
      <c r="F91" s="14" t="n">
        <v>1</v>
      </c>
      <c r="G91" s="14" t="n">
        <v>1</v>
      </c>
      <c r="H91" s="14" t="n">
        <v>1</v>
      </c>
      <c r="I91" s="14" t="n">
        <v>1</v>
      </c>
      <c r="J91" s="14" t="n">
        <v>1</v>
      </c>
      <c r="K91" s="14" t="n">
        <v>1</v>
      </c>
    </row>
    <row r="92" customFormat="false" ht="15" hidden="false" customHeight="false" outlineLevel="0" collapsed="false">
      <c r="A92" s="12" t="str">
        <f aca="false">parametros_recargas!$B$98</f>
        <v>Precinto, etiqueta y despacho</v>
      </c>
      <c r="B92" s="14" t="n">
        <v>1</v>
      </c>
      <c r="C92" s="14" t="n">
        <v>1</v>
      </c>
      <c r="D92" s="14" t="n">
        <v>1</v>
      </c>
      <c r="E92" s="14" t="n">
        <v>1</v>
      </c>
      <c r="F92" s="14" t="n">
        <v>1</v>
      </c>
      <c r="G92" s="14" t="n">
        <v>1</v>
      </c>
      <c r="H92" s="14" t="n">
        <v>1</v>
      </c>
      <c r="I92" s="14" t="n">
        <v>1</v>
      </c>
      <c r="J92" s="14" t="n">
        <v>1</v>
      </c>
      <c r="K92" s="14" t="n">
        <v>1</v>
      </c>
    </row>
    <row r="93" customFormat="false" ht="15" hidden="false" customHeight="false" outlineLevel="0" collapsed="false">
      <c r="A93" s="12" t="str">
        <f aca="false">parametros_recargas!$B$99</f>
        <v>Inutilización y disposición final</v>
      </c>
      <c r="B93" s="14" t="n">
        <v>1</v>
      </c>
      <c r="C93" s="14" t="n">
        <v>1</v>
      </c>
      <c r="D93" s="14" t="n">
        <v>1</v>
      </c>
      <c r="E93" s="14" t="n">
        <v>1</v>
      </c>
      <c r="F93" s="14" t="n">
        <v>1</v>
      </c>
      <c r="G93" s="14" t="n">
        <v>1</v>
      </c>
      <c r="H93" s="14" t="n">
        <v>1</v>
      </c>
      <c r="I93" s="14" t="n">
        <v>1</v>
      </c>
      <c r="J93" s="14" t="n">
        <v>1</v>
      </c>
      <c r="K93" s="14" t="n">
        <v>1</v>
      </c>
    </row>
    <row r="94" customFormat="false" ht="15" hidden="false" customHeight="false" outlineLevel="0" collapsed="false">
      <c r="A94" s="12" t="str">
        <f aca="false">parametros_recargas!$B$100</f>
        <v>PH de mangueras (CO₂ y rodantes)</v>
      </c>
      <c r="B94" s="14" t="n">
        <v>1</v>
      </c>
      <c r="C94" s="14" t="n">
        <v>1</v>
      </c>
      <c r="D94" s="14" t="n">
        <v>1</v>
      </c>
      <c r="E94" s="14" t="n">
        <v>1</v>
      </c>
      <c r="F94" s="14" t="n">
        <v>1</v>
      </c>
      <c r="G94" s="14" t="n">
        <v>1</v>
      </c>
      <c r="H94" s="14" t="n">
        <v>1</v>
      </c>
      <c r="I94" s="14" t="n">
        <v>1</v>
      </c>
      <c r="J94" s="14" t="n">
        <v>1</v>
      </c>
      <c r="K94" s="14" t="n">
        <v>1</v>
      </c>
    </row>
    <row r="95" customFormat="false" ht="15" hidden="false" customHeight="false" outlineLevel="0" collapsed="false">
      <c r="A95" s="6" t="s">
        <v>309</v>
      </c>
      <c r="B95" s="16" t="n">
        <f aca="false">MAX(B66:B94)</f>
        <v>1</v>
      </c>
      <c r="C95" s="16" t="n">
        <f aca="false">MAX(C66:C94)</f>
        <v>1</v>
      </c>
      <c r="D95" s="16" t="n">
        <f aca="false">MAX(D66:D94)</f>
        <v>1</v>
      </c>
      <c r="E95" s="16" t="n">
        <f aca="false">MAX(E66:E94)</f>
        <v>1</v>
      </c>
      <c r="F95" s="16" t="n">
        <f aca="false">MAX(F66:F94)</f>
        <v>1</v>
      </c>
      <c r="G95" s="16" t="n">
        <f aca="false">MAX(G66:G94)</f>
        <v>1</v>
      </c>
      <c r="H95" s="16" t="n">
        <f aca="false">MAX(H66:H94)</f>
        <v>1</v>
      </c>
      <c r="I95" s="16" t="n">
        <f aca="false">MAX(I66:I94)</f>
        <v>1</v>
      </c>
      <c r="J95" s="16" t="n">
        <f aca="false">MAX(J66:J94)</f>
        <v>1</v>
      </c>
      <c r="K95" s="16" t="n">
        <f aca="false">MAX(K66:K94)</f>
        <v>1</v>
      </c>
    </row>
    <row r="97" customFormat="false" ht="15" hidden="false" customHeight="false" outlineLevel="0" collapsed="false">
      <c r="A97" s="3" t="s">
        <v>310</v>
      </c>
      <c r="B97" s="3" t="n">
        <v>2026</v>
      </c>
      <c r="C97" s="3" t="n">
        <v>2027</v>
      </c>
      <c r="D97" s="3" t="n">
        <v>2028</v>
      </c>
      <c r="E97" s="3" t="n">
        <v>2029</v>
      </c>
      <c r="F97" s="3" t="n">
        <v>2030</v>
      </c>
      <c r="G97" s="3" t="n">
        <v>2031</v>
      </c>
      <c r="H97" s="3" t="n">
        <v>2032</v>
      </c>
      <c r="I97" s="3" t="n">
        <v>2033</v>
      </c>
      <c r="J97" s="3" t="n">
        <v>2034</v>
      </c>
      <c r="K97" s="3" t="n">
        <v>2035</v>
      </c>
    </row>
    <row r="98" customFormat="false" ht="15" hidden="false" customHeight="false" outlineLevel="0" collapsed="false">
      <c r="A98" s="12" t="str">
        <f aca="false">parametros_recargas!$B$72</f>
        <v>Recepción y registro</v>
      </c>
      <c r="B98" s="24" t="n">
        <f aca="false">IF(parametros_recargas!$N$72=0,0,ROUNDUP('Demanda por puesto'!$P$2/(parametros_recargas!$N$72*$O$9),0))</f>
        <v>1</v>
      </c>
      <c r="C98" s="24" t="n">
        <f aca="false">IF(parametros_recargas!$N$72=0,0,ROUNDUP('Demanda por puesto'!$P$34/(parametros_recargas!$N$72*$O$9),0))</f>
        <v>1</v>
      </c>
      <c r="D98" s="24" t="n">
        <f aca="false">IF(parametros_recargas!$N$72=0,0,ROUNDUP('Demanda por puesto'!$P$66/(parametros_recargas!$N$72*$O$9),0))</f>
        <v>1</v>
      </c>
      <c r="E98" s="24" t="n">
        <f aca="false">IF(parametros_recargas!$N$72=0,0,ROUNDUP('Demanda por puesto'!$P$98/(parametros_recargas!$N$72*$O$9),0))</f>
        <v>2</v>
      </c>
      <c r="F98" s="24" t="n">
        <f aca="false">IF(parametros_recargas!$N$72=0,0,ROUNDUP('Demanda por puesto'!$P$130/(parametros_recargas!$N$72*$O$9),0))</f>
        <v>2</v>
      </c>
      <c r="G98" s="24" t="n">
        <f aca="false">IF(parametros_recargas!$N$72=0,0,ROUNDUP('Demanda por puesto'!$P$162/(parametros_recargas!$N$72*$O$9),0))</f>
        <v>3</v>
      </c>
      <c r="H98" s="24" t="n">
        <f aca="false">IF(parametros_recargas!$N$72=0,0,ROUNDUP('Demanda por puesto'!$P$194/(parametros_recargas!$N$72*$O$9),0))</f>
        <v>4</v>
      </c>
      <c r="I98" s="24" t="n">
        <f aca="false">IF(parametros_recargas!$N$72=0,0,ROUNDUP('Demanda por puesto'!$P$226/(parametros_recargas!$N$72*$O$9),0))</f>
        <v>4</v>
      </c>
      <c r="J98" s="24" t="n">
        <f aca="false">IF(parametros_recargas!$N$72=0,0,ROUNDUP('Demanda por puesto'!$P$258/(parametros_recargas!$N$72*$O$9),0))</f>
        <v>4</v>
      </c>
      <c r="K98" s="24" t="n">
        <f aca="false">IF(parametros_recargas!$N$72=0,0,ROUNDUP('Demanda por puesto'!$P$290/(parametros_recargas!$N$72*$O$9),0))</f>
        <v>5</v>
      </c>
    </row>
    <row r="99" customFormat="false" ht="15" hidden="false" customHeight="false" outlineLevel="0" collapsed="false">
      <c r="A99" s="12" t="str">
        <f aca="false">parametros_recargas!$B$73</f>
        <v>Inspección visual</v>
      </c>
      <c r="B99" s="24" t="n">
        <f aca="false">IF(parametros_recargas!$N$73=0,0,ROUNDUP('Demanda por puesto'!$P$3/(parametros_recargas!$N$73*$O$9),0))</f>
        <v>1</v>
      </c>
      <c r="C99" s="24" t="n">
        <f aca="false">IF(parametros_recargas!$N$73=0,0,ROUNDUP('Demanda por puesto'!$P$35/(parametros_recargas!$N$73*$O$9),0))</f>
        <v>1</v>
      </c>
      <c r="D99" s="24" t="n">
        <f aca="false">IF(parametros_recargas!$N$73=0,0,ROUNDUP('Demanda por puesto'!$P$67/(parametros_recargas!$N$73*$O$9),0))</f>
        <v>1</v>
      </c>
      <c r="E99" s="24" t="n">
        <f aca="false">IF(parametros_recargas!$N$73=0,0,ROUNDUP('Demanda por puesto'!$P$99/(parametros_recargas!$N$73*$O$9),0))</f>
        <v>2</v>
      </c>
      <c r="F99" s="24" t="n">
        <f aca="false">IF(parametros_recargas!$N$73=0,0,ROUNDUP('Demanda por puesto'!$P$131/(parametros_recargas!$N$73*$O$9),0))</f>
        <v>3</v>
      </c>
      <c r="G99" s="24" t="n">
        <f aca="false">IF(parametros_recargas!$N$73=0,0,ROUNDUP('Demanda por puesto'!$P$163/(parametros_recargas!$N$73*$O$9),0))</f>
        <v>3</v>
      </c>
      <c r="H99" s="24" t="n">
        <f aca="false">IF(parametros_recargas!$N$73=0,0,ROUNDUP('Demanda por puesto'!$P$195/(parametros_recargas!$N$73*$O$9),0))</f>
        <v>4</v>
      </c>
      <c r="I99" s="24" t="n">
        <f aca="false">IF(parametros_recargas!$N$73=0,0,ROUNDUP('Demanda por puesto'!$P$227/(parametros_recargas!$N$73*$O$9),0))</f>
        <v>5</v>
      </c>
      <c r="J99" s="24" t="n">
        <f aca="false">IF(parametros_recargas!$N$73=0,0,ROUNDUP('Demanda por puesto'!$P$259/(parametros_recargas!$N$73*$O$9),0))</f>
        <v>5</v>
      </c>
      <c r="K99" s="24" t="n">
        <f aca="false">IF(parametros_recargas!$N$73=0,0,ROUNDUP('Demanda por puesto'!$P$291/(parametros_recargas!$N$73*$O$9),0))</f>
        <v>5</v>
      </c>
    </row>
    <row r="100" customFormat="false" ht="15" hidden="false" customHeight="false" outlineLevel="0" collapsed="false">
      <c r="A100" s="12" t="str">
        <f aca="false">parametros_recargas!$B$74</f>
        <v>Descarga ABC — ruta recuperable</v>
      </c>
      <c r="B100" s="24" t="n">
        <f aca="false">IF(parametros_recargas!$N$74=0,0,ROUNDUP('Demanda por puesto'!$P$4/(parametros_recargas!$N$74*$O$9),0))</f>
        <v>1</v>
      </c>
      <c r="C100" s="24" t="n">
        <f aca="false">IF(parametros_recargas!$N$74=0,0,ROUNDUP('Demanda por puesto'!$P$36/(parametros_recargas!$N$74*$O$9),0))</f>
        <v>1</v>
      </c>
      <c r="D100" s="24" t="n">
        <f aca="false">IF(parametros_recargas!$N$74=0,0,ROUNDUP('Demanda por puesto'!$P$68/(parametros_recargas!$N$74*$O$9),0))</f>
        <v>1</v>
      </c>
      <c r="E100" s="24" t="n">
        <f aca="false">IF(parametros_recargas!$N$74=0,0,ROUNDUP('Demanda por puesto'!$P$100/(parametros_recargas!$N$74*$O$9),0))</f>
        <v>2</v>
      </c>
      <c r="F100" s="24" t="n">
        <f aca="false">IF(parametros_recargas!$N$74=0,0,ROUNDUP('Demanda por puesto'!$P$132/(parametros_recargas!$N$74*$O$9),0))</f>
        <v>2</v>
      </c>
      <c r="G100" s="24" t="n">
        <f aca="false">IF(parametros_recargas!$N$74=0,0,ROUNDUP('Demanda por puesto'!$P$164/(parametros_recargas!$N$74*$O$9),0))</f>
        <v>3</v>
      </c>
      <c r="H100" s="24" t="n">
        <f aca="false">IF(parametros_recargas!$N$74=0,0,ROUNDUP('Demanda por puesto'!$P$196/(parametros_recargas!$N$74*$O$9),0))</f>
        <v>3</v>
      </c>
      <c r="I100" s="24" t="n">
        <f aca="false">IF(parametros_recargas!$N$74=0,0,ROUNDUP('Demanda por puesto'!$P$228/(parametros_recargas!$N$74*$O$9),0))</f>
        <v>3</v>
      </c>
      <c r="J100" s="24" t="n">
        <f aca="false">IF(parametros_recargas!$N$74=0,0,ROUNDUP('Demanda por puesto'!$P$260/(parametros_recargas!$N$74*$O$9),0))</f>
        <v>4</v>
      </c>
      <c r="K100" s="24" t="n">
        <f aca="false">IF(parametros_recargas!$N$74=0,0,ROUNDUP('Demanda por puesto'!$P$292/(parametros_recargas!$N$74*$O$9),0))</f>
        <v>4</v>
      </c>
    </row>
    <row r="101" customFormat="false" ht="15" hidden="false" customHeight="false" outlineLevel="0" collapsed="false">
      <c r="A101" s="12" t="str">
        <f aca="false">parametros_recargas!$B$75</f>
        <v>Descarga ABC — ruta descarte</v>
      </c>
      <c r="B101" s="24" t="n">
        <f aca="false">IF(parametros_recargas!$N$75=0,0,ROUNDUP('Demanda por puesto'!$P$5/(parametros_recargas!$N$75*$O$9),0))</f>
        <v>1</v>
      </c>
      <c r="C101" s="24" t="n">
        <f aca="false">IF(parametros_recargas!$N$75=0,0,ROUNDUP('Demanda por puesto'!$P$37/(parametros_recargas!$N$75*$O$9),0))</f>
        <v>1</v>
      </c>
      <c r="D101" s="24" t="n">
        <f aca="false">IF(parametros_recargas!$N$75=0,0,ROUNDUP('Demanda por puesto'!$P$69/(parametros_recargas!$N$75*$O$9),0))</f>
        <v>1</v>
      </c>
      <c r="E101" s="24" t="n">
        <f aca="false">IF(parametros_recargas!$N$75=0,0,ROUNDUP('Demanda por puesto'!$P$101/(parametros_recargas!$N$75*$O$9),0))</f>
        <v>1</v>
      </c>
      <c r="F101" s="24" t="n">
        <f aca="false">IF(parametros_recargas!$N$75=0,0,ROUNDUP('Demanda por puesto'!$P$133/(parametros_recargas!$N$75*$O$9),0))</f>
        <v>1</v>
      </c>
      <c r="G101" s="24" t="n">
        <f aca="false">IF(parametros_recargas!$N$75=0,0,ROUNDUP('Demanda por puesto'!$P$165/(parametros_recargas!$N$75*$O$9),0))</f>
        <v>1</v>
      </c>
      <c r="H101" s="24" t="n">
        <f aca="false">IF(parametros_recargas!$N$75=0,0,ROUNDUP('Demanda por puesto'!$P$197/(parametros_recargas!$N$75*$O$9),0))</f>
        <v>1</v>
      </c>
      <c r="I101" s="24" t="n">
        <f aca="false">IF(parametros_recargas!$N$75=0,0,ROUNDUP('Demanda por puesto'!$P$229/(parametros_recargas!$N$75*$O$9),0))</f>
        <v>1</v>
      </c>
      <c r="J101" s="24" t="n">
        <f aca="false">IF(parametros_recargas!$N$75=0,0,ROUNDUP('Demanda por puesto'!$P$261/(parametros_recargas!$N$75*$O$9),0))</f>
        <v>1</v>
      </c>
      <c r="K101" s="24" t="n">
        <f aca="false">IF(parametros_recargas!$N$75=0,0,ROUNDUP('Demanda por puesto'!$P$293/(parametros_recargas!$N$75*$O$9),0))</f>
        <v>1</v>
      </c>
    </row>
    <row r="102" customFormat="false" ht="15" hidden="false" customHeight="false" outlineLevel="0" collapsed="false">
      <c r="A102" s="12" t="str">
        <f aca="false">parametros_recargas!$B$76</f>
        <v>Descarga BC</v>
      </c>
      <c r="B102" s="24" t="n">
        <f aca="false">IF(parametros_recargas!$N$76=0,0,ROUNDUP('Demanda por puesto'!$P$6/(parametros_recargas!$N$76*$O$9),0))</f>
        <v>1</v>
      </c>
      <c r="C102" s="24" t="n">
        <f aca="false">IF(parametros_recargas!$N$76=0,0,ROUNDUP('Demanda por puesto'!$P$38/(parametros_recargas!$N$76*$O$9),0))</f>
        <v>1</v>
      </c>
      <c r="D102" s="24" t="n">
        <f aca="false">IF(parametros_recargas!$N$76=0,0,ROUNDUP('Demanda por puesto'!$P$70/(parametros_recargas!$N$76*$O$9),0))</f>
        <v>1</v>
      </c>
      <c r="E102" s="24" t="n">
        <f aca="false">IF(parametros_recargas!$N$76=0,0,ROUNDUP('Demanda por puesto'!$P$102/(parametros_recargas!$N$76*$O$9),0))</f>
        <v>1</v>
      </c>
      <c r="F102" s="24" t="n">
        <f aca="false">IF(parametros_recargas!$N$76=0,0,ROUNDUP('Demanda por puesto'!$P$134/(parametros_recargas!$N$76*$O$9),0))</f>
        <v>1</v>
      </c>
      <c r="G102" s="24" t="n">
        <f aca="false">IF(parametros_recargas!$N$76=0,0,ROUNDUP('Demanda por puesto'!$P$166/(parametros_recargas!$N$76*$O$9),0))</f>
        <v>1</v>
      </c>
      <c r="H102" s="24" t="n">
        <f aca="false">IF(parametros_recargas!$N$76=0,0,ROUNDUP('Demanda por puesto'!$P$198/(parametros_recargas!$N$76*$O$9),0))</f>
        <v>1</v>
      </c>
      <c r="I102" s="24" t="n">
        <f aca="false">IF(parametros_recargas!$N$76=0,0,ROUNDUP('Demanda por puesto'!$P$230/(parametros_recargas!$N$76*$O$9),0))</f>
        <v>1</v>
      </c>
      <c r="J102" s="24" t="n">
        <f aca="false">IF(parametros_recargas!$N$76=0,0,ROUNDUP('Demanda por puesto'!$P$262/(parametros_recargas!$N$76*$O$9),0))</f>
        <v>1</v>
      </c>
      <c r="K102" s="24" t="n">
        <f aca="false">IF(parametros_recargas!$N$76=0,0,ROUNDUP('Demanda por puesto'!$P$294/(parametros_recargas!$N$76*$O$9),0))</f>
        <v>1</v>
      </c>
    </row>
    <row r="103" customFormat="false" ht="15" hidden="false" customHeight="false" outlineLevel="0" collapsed="false">
      <c r="A103" s="12" t="str">
        <f aca="false">parametros_recargas!$B$77</f>
        <v>Descarga de agua / AFFF / sales K</v>
      </c>
      <c r="B103" s="24" t="n">
        <f aca="false">IF(parametros_recargas!$N$77=0,0,ROUNDUP('Demanda por puesto'!$P$7/(parametros_recargas!$N$77*$O$9),0))</f>
        <v>1</v>
      </c>
      <c r="C103" s="24" t="n">
        <f aca="false">IF(parametros_recargas!$N$77=0,0,ROUNDUP('Demanda por puesto'!$P$39/(parametros_recargas!$N$77*$O$9),0))</f>
        <v>1</v>
      </c>
      <c r="D103" s="24" t="n">
        <f aca="false">IF(parametros_recargas!$N$77=0,0,ROUNDUP('Demanda por puesto'!$P$71/(parametros_recargas!$N$77*$O$9),0))</f>
        <v>1</v>
      </c>
      <c r="E103" s="24" t="n">
        <f aca="false">IF(parametros_recargas!$N$77=0,0,ROUNDUP('Demanda por puesto'!$P$103/(parametros_recargas!$N$77*$O$9),0))</f>
        <v>1</v>
      </c>
      <c r="F103" s="24" t="n">
        <f aca="false">IF(parametros_recargas!$N$77=0,0,ROUNDUP('Demanda por puesto'!$P$135/(parametros_recargas!$N$77*$O$9),0))</f>
        <v>1</v>
      </c>
      <c r="G103" s="24" t="n">
        <f aca="false">IF(parametros_recargas!$N$77=0,0,ROUNDUP('Demanda por puesto'!$P$167/(parametros_recargas!$N$77*$O$9),0))</f>
        <v>1</v>
      </c>
      <c r="H103" s="24" t="n">
        <f aca="false">IF(parametros_recargas!$N$77=0,0,ROUNDUP('Demanda por puesto'!$P$199/(parametros_recargas!$N$77*$O$9),0))</f>
        <v>1</v>
      </c>
      <c r="I103" s="24" t="n">
        <f aca="false">IF(parametros_recargas!$N$77=0,0,ROUNDUP('Demanda por puesto'!$P$231/(parametros_recargas!$N$77*$O$9),0))</f>
        <v>1</v>
      </c>
      <c r="J103" s="24" t="n">
        <f aca="false">IF(parametros_recargas!$N$77=0,0,ROUNDUP('Demanda por puesto'!$P$263/(parametros_recargas!$N$77*$O$9),0))</f>
        <v>1</v>
      </c>
      <c r="K103" s="24" t="n">
        <f aca="false">IF(parametros_recargas!$N$77=0,0,ROUNDUP('Demanda por puesto'!$P$295/(parametros_recargas!$N$77*$O$9),0))</f>
        <v>1</v>
      </c>
    </row>
    <row r="104" customFormat="false" ht="15" hidden="false" customHeight="false" outlineLevel="0" collapsed="false">
      <c r="A104" s="12" t="str">
        <f aca="false">parametros_recargas!$B$78</f>
        <v>Recuperación de CO₂</v>
      </c>
      <c r="B104" s="24" t="n">
        <f aca="false">IF(parametros_recargas!$N$78=0,0,ROUNDUP('Demanda por puesto'!$P$8/(parametros_recargas!$N$78*$O$9),0))</f>
        <v>1</v>
      </c>
      <c r="C104" s="24" t="n">
        <f aca="false">IF(parametros_recargas!$N$78=0,0,ROUNDUP('Demanda por puesto'!$P$40/(parametros_recargas!$N$78*$O$9),0))</f>
        <v>1</v>
      </c>
      <c r="D104" s="24" t="n">
        <f aca="false">IF(parametros_recargas!$N$78=0,0,ROUNDUP('Demanda por puesto'!$P$72/(parametros_recargas!$N$78*$O$9),0))</f>
        <v>1</v>
      </c>
      <c r="E104" s="24" t="n">
        <f aca="false">IF(parametros_recargas!$N$78=0,0,ROUNDUP('Demanda por puesto'!$P$104/(parametros_recargas!$N$78*$O$9),0))</f>
        <v>1</v>
      </c>
      <c r="F104" s="24" t="n">
        <f aca="false">IF(parametros_recargas!$N$78=0,0,ROUNDUP('Demanda por puesto'!$P$136/(parametros_recargas!$N$78*$O$9),0))</f>
        <v>1</v>
      </c>
      <c r="G104" s="24" t="n">
        <f aca="false">IF(parametros_recargas!$N$78=0,0,ROUNDUP('Demanda por puesto'!$P$168/(parametros_recargas!$N$78*$O$9),0))</f>
        <v>1</v>
      </c>
      <c r="H104" s="24" t="n">
        <f aca="false">IF(parametros_recargas!$N$78=0,0,ROUNDUP('Demanda por puesto'!$P$200/(parametros_recargas!$N$78*$O$9),0))</f>
        <v>1</v>
      </c>
      <c r="I104" s="24" t="n">
        <f aca="false">IF(parametros_recargas!$N$78=0,0,ROUNDUP('Demanda por puesto'!$P$232/(parametros_recargas!$N$78*$O$9),0))</f>
        <v>1</v>
      </c>
      <c r="J104" s="24" t="n">
        <f aca="false">IF(parametros_recargas!$N$78=0,0,ROUNDUP('Demanda por puesto'!$P$264/(parametros_recargas!$N$78*$O$9),0))</f>
        <v>1</v>
      </c>
      <c r="K104" s="24" t="n">
        <f aca="false">IF(parametros_recargas!$N$78=0,0,ROUNDUP('Demanda por puesto'!$P$296/(parametros_recargas!$N$78*$O$9),0))</f>
        <v>1</v>
      </c>
    </row>
    <row r="105" customFormat="false" ht="15" hidden="false" customHeight="false" outlineLevel="0" collapsed="false">
      <c r="A105" s="12" t="str">
        <f aca="false">parametros_recargas!$B$79</f>
        <v>Recuperación de halogenado</v>
      </c>
      <c r="B105" s="24" t="n">
        <f aca="false">IF(parametros_recargas!$N$79=0,0,ROUNDUP('Demanda por puesto'!$P$9/(parametros_recargas!$N$79*$O$9),0))</f>
        <v>1</v>
      </c>
      <c r="C105" s="24" t="n">
        <f aca="false">IF(parametros_recargas!$N$79=0,0,ROUNDUP('Demanda por puesto'!$P$41/(parametros_recargas!$N$79*$O$9),0))</f>
        <v>1</v>
      </c>
      <c r="D105" s="24" t="n">
        <f aca="false">IF(parametros_recargas!$N$79=0,0,ROUNDUP('Demanda por puesto'!$P$73/(parametros_recargas!$N$79*$O$9),0))</f>
        <v>1</v>
      </c>
      <c r="E105" s="24" t="n">
        <f aca="false">IF(parametros_recargas!$N$79=0,0,ROUNDUP('Demanda por puesto'!$P$105/(parametros_recargas!$N$79*$O$9),0))</f>
        <v>1</v>
      </c>
      <c r="F105" s="24" t="n">
        <f aca="false">IF(parametros_recargas!$N$79=0,0,ROUNDUP('Demanda por puesto'!$P$137/(parametros_recargas!$N$79*$O$9),0))</f>
        <v>1</v>
      </c>
      <c r="G105" s="24" t="n">
        <f aca="false">IF(parametros_recargas!$N$79=0,0,ROUNDUP('Demanda por puesto'!$P$169/(parametros_recargas!$N$79*$O$9),0))</f>
        <v>1</v>
      </c>
      <c r="H105" s="24" t="n">
        <f aca="false">IF(parametros_recargas!$N$79=0,0,ROUNDUP('Demanda por puesto'!$P$201/(parametros_recargas!$N$79*$O$9),0))</f>
        <v>1</v>
      </c>
      <c r="I105" s="24" t="n">
        <f aca="false">IF(parametros_recargas!$N$79=0,0,ROUNDUP('Demanda por puesto'!$P$233/(parametros_recargas!$N$79*$O$9),0))</f>
        <v>1</v>
      </c>
      <c r="J105" s="24" t="n">
        <f aca="false">IF(parametros_recargas!$N$79=0,0,ROUNDUP('Demanda por puesto'!$P$265/(parametros_recargas!$N$79*$O$9),0))</f>
        <v>1</v>
      </c>
      <c r="K105" s="24" t="n">
        <f aca="false">IF(parametros_recargas!$N$79=0,0,ROUNDUP('Demanda por puesto'!$P$297/(parametros_recargas!$N$79*$O$9),0))</f>
        <v>1</v>
      </c>
    </row>
    <row r="106" customFormat="false" ht="15" hidden="false" customHeight="false" outlineLevel="0" collapsed="false">
      <c r="A106" s="12" t="str">
        <f aca="false">parametros_recargas!$B$80</f>
        <v>Desarme y limpieza — recinto</v>
      </c>
      <c r="B106" s="24" t="n">
        <f aca="false">IF(parametros_recargas!$N$80=0,0,ROUNDUP('Demanda por puesto'!$P$10/(parametros_recargas!$N$80*$O$9),0))</f>
        <v>1</v>
      </c>
      <c r="C106" s="24" t="n">
        <f aca="false">IF(parametros_recargas!$N$80=0,0,ROUNDUP('Demanda por puesto'!$P$42/(parametros_recargas!$N$80*$O$9),0))</f>
        <v>1</v>
      </c>
      <c r="D106" s="24" t="n">
        <f aca="false">IF(parametros_recargas!$N$80=0,0,ROUNDUP('Demanda por puesto'!$P$74/(parametros_recargas!$N$80*$O$9),0))</f>
        <v>1</v>
      </c>
      <c r="E106" s="24" t="n">
        <f aca="false">IF(parametros_recargas!$N$80=0,0,ROUNDUP('Demanda por puesto'!$P$106/(parametros_recargas!$N$80*$O$9),0))</f>
        <v>2</v>
      </c>
      <c r="F106" s="24" t="n">
        <f aca="false">IF(parametros_recargas!$N$80=0,0,ROUNDUP('Demanda por puesto'!$P$138/(parametros_recargas!$N$80*$O$9),0))</f>
        <v>3</v>
      </c>
      <c r="G106" s="24" t="n">
        <f aca="false">IF(parametros_recargas!$N$80=0,0,ROUNDUP('Demanda por puesto'!$P$170/(parametros_recargas!$N$80*$O$9),0))</f>
        <v>3</v>
      </c>
      <c r="H106" s="24" t="n">
        <f aca="false">IF(parametros_recargas!$N$80=0,0,ROUNDUP('Demanda por puesto'!$P$202/(parametros_recargas!$N$80*$O$9),0))</f>
        <v>4</v>
      </c>
      <c r="I106" s="24" t="n">
        <f aca="false">IF(parametros_recargas!$N$80=0,0,ROUNDUP('Demanda por puesto'!$P$234/(parametros_recargas!$N$80*$O$9),0))</f>
        <v>4</v>
      </c>
      <c r="J106" s="24" t="n">
        <f aca="false">IF(parametros_recargas!$N$80=0,0,ROUNDUP('Demanda por puesto'!$P$266/(parametros_recargas!$N$80*$O$9),0))</f>
        <v>5</v>
      </c>
      <c r="K106" s="24" t="n">
        <f aca="false">IF(parametros_recargas!$N$80=0,0,ROUNDUP('Demanda por puesto'!$P$298/(parametros_recargas!$N$80*$O$9),0))</f>
        <v>5</v>
      </c>
    </row>
    <row r="107" customFormat="false" ht="15" hidden="false" customHeight="false" outlineLevel="0" collapsed="false">
      <c r="A107" s="12" t="str">
        <f aca="false">parametros_recargas!$B$81</f>
        <v>Desarme e inspección interior — zona general</v>
      </c>
      <c r="B107" s="24" t="n">
        <f aca="false">IF(parametros_recargas!$N$81=0,0,ROUNDUP('Demanda por puesto'!$P$11/(parametros_recargas!$N$81*$O$9),0))</f>
        <v>1</v>
      </c>
      <c r="C107" s="24" t="n">
        <f aca="false">IF(parametros_recargas!$N$81=0,0,ROUNDUP('Demanda por puesto'!$P$43/(parametros_recargas!$N$81*$O$9),0))</f>
        <v>1</v>
      </c>
      <c r="D107" s="24" t="n">
        <f aca="false">IF(parametros_recargas!$N$81=0,0,ROUNDUP('Demanda por puesto'!$P$75/(parametros_recargas!$N$81*$O$9),0))</f>
        <v>1</v>
      </c>
      <c r="E107" s="24" t="n">
        <f aca="false">IF(parametros_recargas!$N$81=0,0,ROUNDUP('Demanda por puesto'!$P$107/(parametros_recargas!$N$81*$O$9),0))</f>
        <v>1</v>
      </c>
      <c r="F107" s="24" t="n">
        <f aca="false">IF(parametros_recargas!$N$81=0,0,ROUNDUP('Demanda por puesto'!$P$139/(parametros_recargas!$N$81*$O$9),0))</f>
        <v>1</v>
      </c>
      <c r="G107" s="24" t="n">
        <f aca="false">IF(parametros_recargas!$N$81=0,0,ROUNDUP('Demanda por puesto'!$P$171/(parametros_recargas!$N$81*$O$9),0))</f>
        <v>1</v>
      </c>
      <c r="H107" s="24" t="n">
        <f aca="false">IF(parametros_recargas!$N$81=0,0,ROUNDUP('Demanda por puesto'!$P$203/(parametros_recargas!$N$81*$O$9),0))</f>
        <v>1</v>
      </c>
      <c r="I107" s="24" t="n">
        <f aca="false">IF(parametros_recargas!$N$81=0,0,ROUNDUP('Demanda por puesto'!$P$235/(parametros_recargas!$N$81*$O$9),0))</f>
        <v>1</v>
      </c>
      <c r="J107" s="24" t="n">
        <f aca="false">IF(parametros_recargas!$N$81=0,0,ROUNDUP('Demanda por puesto'!$P$267/(parametros_recargas!$N$81*$O$9),0))</f>
        <v>1</v>
      </c>
      <c r="K107" s="24" t="n">
        <f aca="false">IF(parametros_recargas!$N$81=0,0,ROUNDUP('Demanda por puesto'!$P$299/(parametros_recargas!$N$81*$O$9),0))</f>
        <v>1</v>
      </c>
    </row>
    <row r="108" customFormat="false" ht="15" hidden="false" customHeight="false" outlineLevel="0" collapsed="false">
      <c r="A108" s="12" t="str">
        <f aca="false">parametros_recargas!$B$82</f>
        <v>Laboratorio — Puffer y mufla</v>
      </c>
      <c r="B108" s="24" t="n">
        <f aca="false">IF(parametros_recargas!$N$82=0,0,ROUNDUP('Demanda por puesto'!$P$12/(parametros_recargas!$N$82*$O$9),0))</f>
        <v>1</v>
      </c>
      <c r="C108" s="24" t="n">
        <f aca="false">IF(parametros_recargas!$N$82=0,0,ROUNDUP('Demanda por puesto'!$P$44/(parametros_recargas!$N$82*$O$9),0))</f>
        <v>1</v>
      </c>
      <c r="D108" s="24" t="n">
        <f aca="false">IF(parametros_recargas!$N$82=0,0,ROUNDUP('Demanda por puesto'!$P$76/(parametros_recargas!$N$82*$O$9),0))</f>
        <v>1</v>
      </c>
      <c r="E108" s="24" t="n">
        <f aca="false">IF(parametros_recargas!$N$82=0,0,ROUNDUP('Demanda por puesto'!$P$108/(parametros_recargas!$N$82*$O$9),0))</f>
        <v>1</v>
      </c>
      <c r="F108" s="24" t="n">
        <f aca="false">IF(parametros_recargas!$N$82=0,0,ROUNDUP('Demanda por puesto'!$P$140/(parametros_recargas!$N$82*$O$9),0))</f>
        <v>1</v>
      </c>
      <c r="G108" s="24" t="n">
        <f aca="false">IF(parametros_recargas!$N$82=0,0,ROUNDUP('Demanda por puesto'!$P$172/(parametros_recargas!$N$82*$O$9),0))</f>
        <v>1</v>
      </c>
      <c r="H108" s="24" t="n">
        <f aca="false">IF(parametros_recargas!$N$82=0,0,ROUNDUP('Demanda por puesto'!$P$204/(parametros_recargas!$N$82*$O$9),0))</f>
        <v>1</v>
      </c>
      <c r="I108" s="24" t="n">
        <f aca="false">IF(parametros_recargas!$N$82=0,0,ROUNDUP('Demanda por puesto'!$P$236/(parametros_recargas!$N$82*$O$9),0))</f>
        <v>1</v>
      </c>
      <c r="J108" s="24" t="n">
        <f aca="false">IF(parametros_recargas!$N$82=0,0,ROUNDUP('Demanda por puesto'!$P$268/(parametros_recargas!$N$82*$O$9),0))</f>
        <v>1</v>
      </c>
      <c r="K108" s="24" t="n">
        <f aca="false">IF(parametros_recargas!$N$82=0,0,ROUNDUP('Demanda por puesto'!$P$300/(parametros_recargas!$N$82*$O$9),0))</f>
        <v>1</v>
      </c>
    </row>
    <row r="109" customFormat="false" ht="15" hidden="false" customHeight="false" outlineLevel="0" collapsed="false">
      <c r="A109" s="12" t="str">
        <f aca="false">parametros_recargas!$B$83</f>
        <v>Prueba hidráulica</v>
      </c>
      <c r="B109" s="24" t="n">
        <f aca="false">IF(parametros_recargas!$N$83=0,0,ROUNDUP('Demanda por puesto'!$P$13/(parametros_recargas!$N$83*$O$9),0))</f>
        <v>1</v>
      </c>
      <c r="C109" s="24" t="n">
        <f aca="false">IF(parametros_recargas!$N$83=0,0,ROUNDUP('Demanda por puesto'!$P$45/(parametros_recargas!$N$83*$O$9),0))</f>
        <v>1</v>
      </c>
      <c r="D109" s="24" t="n">
        <f aca="false">IF(parametros_recargas!$N$83=0,0,ROUNDUP('Demanda por puesto'!$P$77/(parametros_recargas!$N$83*$O$9),0))</f>
        <v>1</v>
      </c>
      <c r="E109" s="24" t="n">
        <f aca="false">IF(parametros_recargas!$N$83=0,0,ROUNDUP('Demanda por puesto'!$P$109/(parametros_recargas!$N$83*$O$9),0))</f>
        <v>2</v>
      </c>
      <c r="F109" s="24" t="n">
        <f aca="false">IF(parametros_recargas!$N$83=0,0,ROUNDUP('Demanda por puesto'!$P$141/(parametros_recargas!$N$83*$O$9),0))</f>
        <v>2</v>
      </c>
      <c r="G109" s="24" t="n">
        <f aca="false">IF(parametros_recargas!$N$83=0,0,ROUNDUP('Demanda por puesto'!$P$173/(parametros_recargas!$N$83*$O$9),0))</f>
        <v>3</v>
      </c>
      <c r="H109" s="24" t="n">
        <f aca="false">IF(parametros_recargas!$N$83=0,0,ROUNDUP('Demanda por puesto'!$P$205/(parametros_recargas!$N$83*$O$9),0))</f>
        <v>3</v>
      </c>
      <c r="I109" s="24" t="n">
        <f aca="false">IF(parametros_recargas!$N$83=0,0,ROUNDUP('Demanda por puesto'!$P$237/(parametros_recargas!$N$83*$O$9),0))</f>
        <v>3</v>
      </c>
      <c r="J109" s="24" t="n">
        <f aca="false">IF(parametros_recargas!$N$83=0,0,ROUNDUP('Demanda por puesto'!$P$269/(parametros_recargas!$N$83*$O$9),0))</f>
        <v>4</v>
      </c>
      <c r="K109" s="24" t="n">
        <f aca="false">IF(parametros_recargas!$N$83=0,0,ROUNDUP('Demanda por puesto'!$P$301/(parametros_recargas!$N$83*$O$9),0))</f>
        <v>4</v>
      </c>
    </row>
    <row r="110" customFormat="false" ht="15" hidden="false" customHeight="false" outlineLevel="0" collapsed="false">
      <c r="A110" s="12" t="str">
        <f aca="false">parametros_recargas!$B$84</f>
        <v>Secado</v>
      </c>
      <c r="B110" s="24" t="n">
        <f aca="false">IF(parametros_recargas!$N$84=0,0,ROUNDUP('Demanda por puesto'!$P$14/(parametros_recargas!$N$84*$O$9),0))</f>
        <v>1</v>
      </c>
      <c r="C110" s="24" t="n">
        <f aca="false">IF(parametros_recargas!$N$84=0,0,ROUNDUP('Demanda por puesto'!$P$46/(parametros_recargas!$N$84*$O$9),0))</f>
        <v>1</v>
      </c>
      <c r="D110" s="24" t="n">
        <f aca="false">IF(parametros_recargas!$N$84=0,0,ROUNDUP('Demanda por puesto'!$P$78/(parametros_recargas!$N$84*$O$9),0))</f>
        <v>1</v>
      </c>
      <c r="E110" s="24" t="n">
        <f aca="false">IF(parametros_recargas!$N$84=0,0,ROUNDUP('Demanda por puesto'!$P$110/(parametros_recargas!$N$84*$O$9),0))</f>
        <v>1</v>
      </c>
      <c r="F110" s="24" t="n">
        <f aca="false">IF(parametros_recargas!$N$84=0,0,ROUNDUP('Demanda por puesto'!$P$142/(parametros_recargas!$N$84*$O$9),0))</f>
        <v>1</v>
      </c>
      <c r="G110" s="24" t="n">
        <f aca="false">IF(parametros_recargas!$N$84=0,0,ROUNDUP('Demanda por puesto'!$P$174/(parametros_recargas!$N$84*$O$9),0))</f>
        <v>2</v>
      </c>
      <c r="H110" s="24" t="n">
        <f aca="false">IF(parametros_recargas!$N$84=0,0,ROUNDUP('Demanda por puesto'!$P$206/(parametros_recargas!$N$84*$O$9),0))</f>
        <v>2</v>
      </c>
      <c r="I110" s="24" t="n">
        <f aca="false">IF(parametros_recargas!$N$84=0,0,ROUNDUP('Demanda por puesto'!$P$238/(parametros_recargas!$N$84*$O$9),0))</f>
        <v>2</v>
      </c>
      <c r="J110" s="24" t="n">
        <f aca="false">IF(parametros_recargas!$N$84=0,0,ROUNDUP('Demanda por puesto'!$P$270/(parametros_recargas!$N$84*$O$9),0))</f>
        <v>2</v>
      </c>
      <c r="K110" s="24" t="n">
        <f aca="false">IF(parametros_recargas!$N$84=0,0,ROUNDUP('Demanda por puesto'!$P$302/(parametros_recargas!$N$84*$O$9),0))</f>
        <v>2</v>
      </c>
    </row>
    <row r="111" customFormat="false" ht="15" hidden="false" customHeight="false" outlineLevel="0" collapsed="false">
      <c r="A111" s="12" t="str">
        <f aca="false">parametros_recargas!$B$85</f>
        <v>Inspección interior con videoscopio</v>
      </c>
      <c r="B111" s="24" t="n">
        <f aca="false">IF(parametros_recargas!$N$85=0,0,ROUNDUP('Demanda por puesto'!$P$15/(parametros_recargas!$N$85*$O$9),0))</f>
        <v>1</v>
      </c>
      <c r="C111" s="24" t="n">
        <f aca="false">IF(parametros_recargas!$N$85=0,0,ROUNDUP('Demanda por puesto'!$P$47/(parametros_recargas!$N$85*$O$9),0))</f>
        <v>1</v>
      </c>
      <c r="D111" s="24" t="n">
        <f aca="false">IF(parametros_recargas!$N$85=0,0,ROUNDUP('Demanda por puesto'!$P$79/(parametros_recargas!$N$85*$O$9),0))</f>
        <v>1</v>
      </c>
      <c r="E111" s="24" t="n">
        <f aca="false">IF(parametros_recargas!$N$85=0,0,ROUNDUP('Demanda por puesto'!$P$111/(parametros_recargas!$N$85*$O$9),0))</f>
        <v>1</v>
      </c>
      <c r="F111" s="24" t="n">
        <f aca="false">IF(parametros_recargas!$N$85=0,0,ROUNDUP('Demanda por puesto'!$P$143/(parametros_recargas!$N$85*$O$9),0))</f>
        <v>1</v>
      </c>
      <c r="G111" s="24" t="n">
        <f aca="false">IF(parametros_recargas!$N$85=0,0,ROUNDUP('Demanda por puesto'!$P$175/(parametros_recargas!$N$85*$O$9),0))</f>
        <v>1</v>
      </c>
      <c r="H111" s="24" t="n">
        <f aca="false">IF(parametros_recargas!$N$85=0,0,ROUNDUP('Demanda por puesto'!$P$207/(parametros_recargas!$N$85*$O$9),0))</f>
        <v>1</v>
      </c>
      <c r="I111" s="24" t="n">
        <f aca="false">IF(parametros_recargas!$N$85=0,0,ROUNDUP('Demanda por puesto'!$P$239/(parametros_recargas!$N$85*$O$9),0))</f>
        <v>1</v>
      </c>
      <c r="J111" s="24" t="n">
        <f aca="false">IF(parametros_recargas!$N$85=0,0,ROUNDUP('Demanda por puesto'!$P$271/(parametros_recargas!$N$85*$O$9),0))</f>
        <v>1</v>
      </c>
      <c r="K111" s="24" t="n">
        <f aca="false">IF(parametros_recargas!$N$85=0,0,ROUNDUP('Demanda por puesto'!$P$303/(parametros_recargas!$N$85*$O$9),0))</f>
        <v>1</v>
      </c>
    </row>
    <row r="112" customFormat="false" ht="15" hidden="false" customHeight="false" outlineLevel="0" collapsed="false">
      <c r="A112" s="12" t="str">
        <f aca="false">parametros_recargas!$B$86</f>
        <v>Pintura</v>
      </c>
      <c r="B112" s="24" t="n">
        <f aca="false">IF(parametros_recargas!$N$86=0,0,ROUNDUP('Demanda por puesto'!$P$16/(parametros_recargas!$N$86*$O$9),0))</f>
        <v>1</v>
      </c>
      <c r="C112" s="24" t="n">
        <f aca="false">IF(parametros_recargas!$N$86=0,0,ROUNDUP('Demanda por puesto'!$P$48/(parametros_recargas!$N$86*$O$9),0))</f>
        <v>1</v>
      </c>
      <c r="D112" s="24" t="n">
        <f aca="false">IF(parametros_recargas!$N$86=0,0,ROUNDUP('Demanda por puesto'!$P$80/(parametros_recargas!$N$86*$O$9),0))</f>
        <v>1</v>
      </c>
      <c r="E112" s="24" t="n">
        <f aca="false">IF(parametros_recargas!$N$86=0,0,ROUNDUP('Demanda por puesto'!$P$112/(parametros_recargas!$N$86*$O$9),0))</f>
        <v>2</v>
      </c>
      <c r="F112" s="24" t="n">
        <f aca="false">IF(parametros_recargas!$N$86=0,0,ROUNDUP('Demanda por puesto'!$P$144/(parametros_recargas!$N$86*$O$9),0))</f>
        <v>2</v>
      </c>
      <c r="G112" s="24" t="n">
        <f aca="false">IF(parametros_recargas!$N$86=0,0,ROUNDUP('Demanda por puesto'!$P$176/(parametros_recargas!$N$86*$O$9),0))</f>
        <v>3</v>
      </c>
      <c r="H112" s="24" t="n">
        <f aca="false">IF(parametros_recargas!$N$86=0,0,ROUNDUP('Demanda por puesto'!$P$208/(parametros_recargas!$N$86*$O$9),0))</f>
        <v>4</v>
      </c>
      <c r="I112" s="24" t="n">
        <f aca="false">IF(parametros_recargas!$N$86=0,0,ROUNDUP('Demanda por puesto'!$P$240/(parametros_recargas!$N$86*$O$9),0))</f>
        <v>4</v>
      </c>
      <c r="J112" s="24" t="n">
        <f aca="false">IF(parametros_recargas!$N$86=0,0,ROUNDUP('Demanda por puesto'!$P$272/(parametros_recargas!$N$86*$O$9),0))</f>
        <v>4</v>
      </c>
      <c r="K112" s="24" t="n">
        <f aca="false">IF(parametros_recargas!$N$86=0,0,ROUNDUP('Demanda por puesto'!$P$304/(parametros_recargas!$N$86*$O$9),0))</f>
        <v>5</v>
      </c>
    </row>
    <row r="113" customFormat="false" ht="15" hidden="false" customHeight="false" outlineLevel="0" collapsed="false">
      <c r="A113" s="12" t="str">
        <f aca="false">parametros_recargas!$B$87</f>
        <v>Carga de polvo ABC</v>
      </c>
      <c r="B113" s="24" t="n">
        <f aca="false">IF(parametros_recargas!$N$87=0,0,ROUNDUP('Demanda por puesto'!$P$17/(parametros_recargas!$N$87*$O$9),0))</f>
        <v>1</v>
      </c>
      <c r="C113" s="24" t="n">
        <f aca="false">IF(parametros_recargas!$N$87=0,0,ROUNDUP('Demanda por puesto'!$P$49/(parametros_recargas!$N$87*$O$9),0))</f>
        <v>1</v>
      </c>
      <c r="D113" s="24" t="n">
        <f aca="false">IF(parametros_recargas!$N$87=0,0,ROUNDUP('Demanda por puesto'!$P$81/(parametros_recargas!$N$87*$O$9),0))</f>
        <v>1</v>
      </c>
      <c r="E113" s="24" t="n">
        <f aca="false">IF(parametros_recargas!$N$87=0,0,ROUNDUP('Demanda por puesto'!$P$113/(parametros_recargas!$N$87*$O$9),0))</f>
        <v>2</v>
      </c>
      <c r="F113" s="24" t="n">
        <f aca="false">IF(parametros_recargas!$N$87=0,0,ROUNDUP('Demanda por puesto'!$P$145/(parametros_recargas!$N$87*$O$9),0))</f>
        <v>3</v>
      </c>
      <c r="G113" s="24" t="n">
        <f aca="false">IF(parametros_recargas!$N$87=0,0,ROUNDUP('Demanda por puesto'!$P$177/(parametros_recargas!$N$87*$O$9),0))</f>
        <v>4</v>
      </c>
      <c r="H113" s="24" t="n">
        <f aca="false">IF(parametros_recargas!$N$87=0,0,ROUNDUP('Demanda por puesto'!$P$209/(parametros_recargas!$N$87*$O$9),0))</f>
        <v>4</v>
      </c>
      <c r="I113" s="24" t="n">
        <f aca="false">IF(parametros_recargas!$N$87=0,0,ROUNDUP('Demanda por puesto'!$P$241/(parametros_recargas!$N$87*$O$9),0))</f>
        <v>5</v>
      </c>
      <c r="J113" s="24" t="n">
        <f aca="false">IF(parametros_recargas!$N$87=0,0,ROUNDUP('Demanda por puesto'!$P$273/(parametros_recargas!$N$87*$O$9),0))</f>
        <v>5</v>
      </c>
      <c r="K113" s="24" t="n">
        <f aca="false">IF(parametros_recargas!$N$87=0,0,ROUNDUP('Demanda por puesto'!$P$305/(parametros_recargas!$N$87*$O$9),0))</f>
        <v>5</v>
      </c>
    </row>
    <row r="114" customFormat="false" ht="15" hidden="false" customHeight="false" outlineLevel="0" collapsed="false">
      <c r="A114" s="12" t="str">
        <f aca="false">parametros_recargas!$B$88</f>
        <v>Carga de polvo BC</v>
      </c>
      <c r="B114" s="24" t="n">
        <f aca="false">IF(parametros_recargas!$N$88=0,0,ROUNDUP('Demanda por puesto'!$P$18/(parametros_recargas!$N$88*$O$9),0))</f>
        <v>1</v>
      </c>
      <c r="C114" s="24" t="n">
        <f aca="false">IF(parametros_recargas!$N$88=0,0,ROUNDUP('Demanda por puesto'!$P$50/(parametros_recargas!$N$88*$O$9),0))</f>
        <v>1</v>
      </c>
      <c r="D114" s="24" t="n">
        <f aca="false">IF(parametros_recargas!$N$88=0,0,ROUNDUP('Demanda por puesto'!$P$82/(parametros_recargas!$N$88*$O$9),0))</f>
        <v>1</v>
      </c>
      <c r="E114" s="24" t="n">
        <f aca="false">IF(parametros_recargas!$N$88=0,0,ROUNDUP('Demanda por puesto'!$P$114/(parametros_recargas!$N$88*$O$9),0))</f>
        <v>1</v>
      </c>
      <c r="F114" s="24" t="n">
        <f aca="false">IF(parametros_recargas!$N$88=0,0,ROUNDUP('Demanda por puesto'!$P$146/(parametros_recargas!$N$88*$O$9),0))</f>
        <v>1</v>
      </c>
      <c r="G114" s="24" t="n">
        <f aca="false">IF(parametros_recargas!$N$88=0,0,ROUNDUP('Demanda por puesto'!$P$178/(parametros_recargas!$N$88*$O$9),0))</f>
        <v>1</v>
      </c>
      <c r="H114" s="24" t="n">
        <f aca="false">IF(parametros_recargas!$N$88=0,0,ROUNDUP('Demanda por puesto'!$P$210/(parametros_recargas!$N$88*$O$9),0))</f>
        <v>1</v>
      </c>
      <c r="I114" s="24" t="n">
        <f aca="false">IF(parametros_recargas!$N$88=0,0,ROUNDUP('Demanda por puesto'!$P$242/(parametros_recargas!$N$88*$O$9),0))</f>
        <v>1</v>
      </c>
      <c r="J114" s="24" t="n">
        <f aca="false">IF(parametros_recargas!$N$88=0,0,ROUNDUP('Demanda por puesto'!$P$274/(parametros_recargas!$N$88*$O$9),0))</f>
        <v>1</v>
      </c>
      <c r="K114" s="24" t="n">
        <f aca="false">IF(parametros_recargas!$N$88=0,0,ROUNDUP('Demanda por puesto'!$P$306/(parametros_recargas!$N$88*$O$9),0))</f>
        <v>1</v>
      </c>
    </row>
    <row r="115" customFormat="false" ht="15" hidden="false" customHeight="false" outlineLevel="0" collapsed="false">
      <c r="A115" s="12" t="str">
        <f aca="false">parametros_recargas!$B$89</f>
        <v>Descarga y carga Clase D</v>
      </c>
      <c r="B115" s="24" t="n">
        <f aca="false">IF(parametros_recargas!$N$89=0,0,ROUNDUP('Demanda por puesto'!$P$19/(parametros_recargas!$N$89*$O$9),0))</f>
        <v>1</v>
      </c>
      <c r="C115" s="24" t="n">
        <f aca="false">IF(parametros_recargas!$N$89=0,0,ROUNDUP('Demanda por puesto'!$P$51/(parametros_recargas!$N$89*$O$9),0))</f>
        <v>1</v>
      </c>
      <c r="D115" s="24" t="n">
        <f aca="false">IF(parametros_recargas!$N$89=0,0,ROUNDUP('Demanda por puesto'!$P$83/(parametros_recargas!$N$89*$O$9),0))</f>
        <v>1</v>
      </c>
      <c r="E115" s="24" t="n">
        <f aca="false">IF(parametros_recargas!$N$89=0,0,ROUNDUP('Demanda por puesto'!$P$115/(parametros_recargas!$N$89*$O$9),0))</f>
        <v>1</v>
      </c>
      <c r="F115" s="24" t="n">
        <f aca="false">IF(parametros_recargas!$N$89=0,0,ROUNDUP('Demanda por puesto'!$P$147/(parametros_recargas!$N$89*$O$9),0))</f>
        <v>1</v>
      </c>
      <c r="G115" s="24" t="n">
        <f aca="false">IF(parametros_recargas!$N$89=0,0,ROUNDUP('Demanda por puesto'!$P$179/(parametros_recargas!$N$89*$O$9),0))</f>
        <v>1</v>
      </c>
      <c r="H115" s="24" t="n">
        <f aca="false">IF(parametros_recargas!$N$89=0,0,ROUNDUP('Demanda por puesto'!$P$211/(parametros_recargas!$N$89*$O$9),0))</f>
        <v>1</v>
      </c>
      <c r="I115" s="24" t="n">
        <f aca="false">IF(parametros_recargas!$N$89=0,0,ROUNDUP('Demanda por puesto'!$P$243/(parametros_recargas!$N$89*$O$9),0))</f>
        <v>1</v>
      </c>
      <c r="J115" s="24" t="n">
        <f aca="false">IF(parametros_recargas!$N$89=0,0,ROUNDUP('Demanda por puesto'!$P$275/(parametros_recargas!$N$89*$O$9),0))</f>
        <v>1</v>
      </c>
      <c r="K115" s="24" t="n">
        <f aca="false">IF(parametros_recargas!$N$89=0,0,ROUNDUP('Demanda por puesto'!$P$307/(parametros_recargas!$N$89*$O$9),0))</f>
        <v>1</v>
      </c>
    </row>
    <row r="116" customFormat="false" ht="15" hidden="false" customHeight="false" outlineLevel="0" collapsed="false">
      <c r="A116" s="12" t="str">
        <f aca="false">parametros_recargas!$B$90</f>
        <v>Carga de agua / AFFF / sales K</v>
      </c>
      <c r="B116" s="24" t="n">
        <f aca="false">IF(parametros_recargas!$N$90=0,0,ROUNDUP('Demanda por puesto'!$P$20/(parametros_recargas!$N$90*$O$9),0))</f>
        <v>1</v>
      </c>
      <c r="C116" s="24" t="n">
        <f aca="false">IF(parametros_recargas!$N$90=0,0,ROUNDUP('Demanda por puesto'!$P$52/(parametros_recargas!$N$90*$O$9),0))</f>
        <v>1</v>
      </c>
      <c r="D116" s="24" t="n">
        <f aca="false">IF(parametros_recargas!$N$90=0,0,ROUNDUP('Demanda por puesto'!$P$84/(parametros_recargas!$N$90*$O$9),0))</f>
        <v>1</v>
      </c>
      <c r="E116" s="24" t="n">
        <f aca="false">IF(parametros_recargas!$N$90=0,0,ROUNDUP('Demanda por puesto'!$P$116/(parametros_recargas!$N$90*$O$9),0))</f>
        <v>1</v>
      </c>
      <c r="F116" s="24" t="n">
        <f aca="false">IF(parametros_recargas!$N$90=0,0,ROUNDUP('Demanda por puesto'!$P$148/(parametros_recargas!$N$90*$O$9),0))</f>
        <v>1</v>
      </c>
      <c r="G116" s="24" t="n">
        <f aca="false">IF(parametros_recargas!$N$90=0,0,ROUNDUP('Demanda por puesto'!$P$180/(parametros_recargas!$N$90*$O$9),0))</f>
        <v>1</v>
      </c>
      <c r="H116" s="24" t="n">
        <f aca="false">IF(parametros_recargas!$N$90=0,0,ROUNDUP('Demanda por puesto'!$P$212/(parametros_recargas!$N$90*$O$9),0))</f>
        <v>1</v>
      </c>
      <c r="I116" s="24" t="n">
        <f aca="false">IF(parametros_recargas!$N$90=0,0,ROUNDUP('Demanda por puesto'!$P$244/(parametros_recargas!$N$90*$O$9),0))</f>
        <v>1</v>
      </c>
      <c r="J116" s="24" t="n">
        <f aca="false">IF(parametros_recargas!$N$90=0,0,ROUNDUP('Demanda por puesto'!$P$276/(parametros_recargas!$N$90*$O$9),0))</f>
        <v>1</v>
      </c>
      <c r="K116" s="24" t="n">
        <f aca="false">IF(parametros_recargas!$N$90=0,0,ROUNDUP('Demanda por puesto'!$P$308/(parametros_recargas!$N$90*$O$9),0))</f>
        <v>1</v>
      </c>
    </row>
    <row r="117" customFormat="false" ht="15" hidden="false" customHeight="false" outlineLevel="0" collapsed="false">
      <c r="A117" s="12" t="str">
        <f aca="false">parametros_recargas!$B$91</f>
        <v>Carga de CO₂</v>
      </c>
      <c r="B117" s="24" t="n">
        <f aca="false">IF(parametros_recargas!$N$91=0,0,ROUNDUP('Demanda por puesto'!$P$21/(parametros_recargas!$N$91*$O$9),0))</f>
        <v>1</v>
      </c>
      <c r="C117" s="24" t="n">
        <f aca="false">IF(parametros_recargas!$N$91=0,0,ROUNDUP('Demanda por puesto'!$P$53/(parametros_recargas!$N$91*$O$9),0))</f>
        <v>1</v>
      </c>
      <c r="D117" s="24" t="n">
        <f aca="false">IF(parametros_recargas!$N$91=0,0,ROUNDUP('Demanda por puesto'!$P$85/(parametros_recargas!$N$91*$O$9),0))</f>
        <v>1</v>
      </c>
      <c r="E117" s="24" t="n">
        <f aca="false">IF(parametros_recargas!$N$91=0,0,ROUNDUP('Demanda por puesto'!$P$117/(parametros_recargas!$N$91*$O$9),0))</f>
        <v>1</v>
      </c>
      <c r="F117" s="24" t="n">
        <f aca="false">IF(parametros_recargas!$N$91=0,0,ROUNDUP('Demanda por puesto'!$P$149/(parametros_recargas!$N$91*$O$9),0))</f>
        <v>1</v>
      </c>
      <c r="G117" s="24" t="n">
        <f aca="false">IF(parametros_recargas!$N$91=0,0,ROUNDUP('Demanda por puesto'!$P$181/(parametros_recargas!$N$91*$O$9),0))</f>
        <v>1</v>
      </c>
      <c r="H117" s="24" t="n">
        <f aca="false">IF(parametros_recargas!$N$91=0,0,ROUNDUP('Demanda por puesto'!$P$213/(parametros_recargas!$N$91*$O$9),0))</f>
        <v>1</v>
      </c>
      <c r="I117" s="24" t="n">
        <f aca="false">IF(parametros_recargas!$N$91=0,0,ROUNDUP('Demanda por puesto'!$P$245/(parametros_recargas!$N$91*$O$9),0))</f>
        <v>1</v>
      </c>
      <c r="J117" s="24" t="n">
        <f aca="false">IF(parametros_recargas!$N$91=0,0,ROUNDUP('Demanda por puesto'!$P$277/(parametros_recargas!$N$91*$O$9),0))</f>
        <v>1</v>
      </c>
      <c r="K117" s="24" t="n">
        <f aca="false">IF(parametros_recargas!$N$91=0,0,ROUNDUP('Demanda por puesto'!$P$309/(parametros_recargas!$N$91*$O$9),0))</f>
        <v>1</v>
      </c>
    </row>
    <row r="118" customFormat="false" ht="15" hidden="false" customHeight="false" outlineLevel="0" collapsed="false">
      <c r="A118" s="12" t="str">
        <f aca="false">parametros_recargas!$B$92</f>
        <v>Ensamblaje y marbete — recinto</v>
      </c>
      <c r="B118" s="24" t="n">
        <f aca="false">IF(parametros_recargas!$N$92=0,0,ROUNDUP('Demanda por puesto'!$P$22/(parametros_recargas!$N$92*$O$9),0))</f>
        <v>1</v>
      </c>
      <c r="C118" s="24" t="n">
        <f aca="false">IF(parametros_recargas!$N$92=0,0,ROUNDUP('Demanda por puesto'!$P$54/(parametros_recargas!$N$92*$O$9),0))</f>
        <v>1</v>
      </c>
      <c r="D118" s="24" t="n">
        <f aca="false">IF(parametros_recargas!$N$92=0,0,ROUNDUP('Demanda por puesto'!$P$86/(parametros_recargas!$N$92*$O$9),0))</f>
        <v>2</v>
      </c>
      <c r="E118" s="24" t="n">
        <f aca="false">IF(parametros_recargas!$N$92=0,0,ROUNDUP('Demanda por puesto'!$P$118/(parametros_recargas!$N$92*$O$9),0))</f>
        <v>2</v>
      </c>
      <c r="F118" s="24" t="n">
        <f aca="false">IF(parametros_recargas!$N$92=0,0,ROUNDUP('Demanda por puesto'!$P$150/(parametros_recargas!$N$92*$O$9),0))</f>
        <v>3</v>
      </c>
      <c r="G118" s="24" t="n">
        <f aca="false">IF(parametros_recargas!$N$92=0,0,ROUNDUP('Demanda por puesto'!$P$182/(parametros_recargas!$N$92*$O$9),0))</f>
        <v>4</v>
      </c>
      <c r="H118" s="24" t="n">
        <f aca="false">IF(parametros_recargas!$N$92=0,0,ROUNDUP('Demanda por puesto'!$P$214/(parametros_recargas!$N$92*$O$9),0))</f>
        <v>5</v>
      </c>
      <c r="I118" s="24" t="n">
        <f aca="false">IF(parametros_recargas!$N$92=0,0,ROUNDUP('Demanda por puesto'!$P$246/(parametros_recargas!$N$92*$O$9),0))</f>
        <v>5</v>
      </c>
      <c r="J118" s="24" t="n">
        <f aca="false">IF(parametros_recargas!$N$92=0,0,ROUNDUP('Demanda por puesto'!$P$278/(parametros_recargas!$N$92*$O$9),0))</f>
        <v>6</v>
      </c>
      <c r="K118" s="24" t="n">
        <f aca="false">IF(parametros_recargas!$N$92=0,0,ROUNDUP('Demanda por puesto'!$P$310/(parametros_recargas!$N$92*$O$9),0))</f>
        <v>6</v>
      </c>
    </row>
    <row r="119" customFormat="false" ht="15" hidden="false" customHeight="false" outlineLevel="0" collapsed="false">
      <c r="A119" s="12" t="str">
        <f aca="false">parametros_recargas!$B$93</f>
        <v>Presurización — recinto</v>
      </c>
      <c r="B119" s="24" t="n">
        <f aca="false">IF(parametros_recargas!$N$93=0,0,ROUNDUP('Demanda por puesto'!$P$23/(parametros_recargas!$N$93*$O$9),0))</f>
        <v>1</v>
      </c>
      <c r="C119" s="24" t="n">
        <f aca="false">IF(parametros_recargas!$N$93=0,0,ROUNDUP('Demanda por puesto'!$P$55/(parametros_recargas!$N$93*$O$9),0))</f>
        <v>1</v>
      </c>
      <c r="D119" s="24" t="n">
        <f aca="false">IF(parametros_recargas!$N$93=0,0,ROUNDUP('Demanda por puesto'!$P$87/(parametros_recargas!$N$93*$O$9),0))</f>
        <v>1</v>
      </c>
      <c r="E119" s="24" t="n">
        <f aca="false">IF(parametros_recargas!$N$93=0,0,ROUNDUP('Demanda por puesto'!$P$119/(parametros_recargas!$N$93*$O$9),0))</f>
        <v>2</v>
      </c>
      <c r="F119" s="24" t="n">
        <f aca="false">IF(parametros_recargas!$N$93=0,0,ROUNDUP('Demanda por puesto'!$P$151/(parametros_recargas!$N$93*$O$9),0))</f>
        <v>2</v>
      </c>
      <c r="G119" s="24" t="n">
        <f aca="false">IF(parametros_recargas!$N$93=0,0,ROUNDUP('Demanda por puesto'!$P$183/(parametros_recargas!$N$93*$O$9),0))</f>
        <v>3</v>
      </c>
      <c r="H119" s="24" t="n">
        <f aca="false">IF(parametros_recargas!$N$93=0,0,ROUNDUP('Demanda por puesto'!$P$215/(parametros_recargas!$N$93*$O$9),0))</f>
        <v>3</v>
      </c>
      <c r="I119" s="24" t="n">
        <f aca="false">IF(parametros_recargas!$N$93=0,0,ROUNDUP('Demanda por puesto'!$P$247/(parametros_recargas!$N$93*$O$9),0))</f>
        <v>3</v>
      </c>
      <c r="J119" s="24" t="n">
        <f aca="false">IF(parametros_recargas!$N$93=0,0,ROUNDUP('Demanda por puesto'!$P$279/(parametros_recargas!$N$93*$O$9),0))</f>
        <v>4</v>
      </c>
      <c r="K119" s="24" t="n">
        <f aca="false">IF(parametros_recargas!$N$93=0,0,ROUNDUP('Demanda por puesto'!$P$311/(parametros_recargas!$N$93*$O$9),0))</f>
        <v>4</v>
      </c>
    </row>
    <row r="120" customFormat="false" ht="15" hidden="false" customHeight="false" outlineLevel="0" collapsed="false">
      <c r="A120" s="12" t="str">
        <f aca="false">parametros_recargas!$B$94</f>
        <v>Ensamblaje y presurización — zona general</v>
      </c>
      <c r="B120" s="24" t="n">
        <f aca="false">IF(parametros_recargas!$N$94=0,0,ROUNDUP('Demanda por puesto'!$P$24/(parametros_recargas!$N$94*$O$9),0))</f>
        <v>1</v>
      </c>
      <c r="C120" s="24" t="n">
        <f aca="false">IF(parametros_recargas!$N$94=0,0,ROUNDUP('Demanda por puesto'!$P$56/(parametros_recargas!$N$94*$O$9),0))</f>
        <v>1</v>
      </c>
      <c r="D120" s="24" t="n">
        <f aca="false">IF(parametros_recargas!$N$94=0,0,ROUNDUP('Demanda por puesto'!$P$88/(parametros_recargas!$N$94*$O$9),0))</f>
        <v>1</v>
      </c>
      <c r="E120" s="24" t="n">
        <f aca="false">IF(parametros_recargas!$N$94=0,0,ROUNDUP('Demanda por puesto'!$P$120/(parametros_recargas!$N$94*$O$9),0))</f>
        <v>1</v>
      </c>
      <c r="F120" s="24" t="n">
        <f aca="false">IF(parametros_recargas!$N$94=0,0,ROUNDUP('Demanda por puesto'!$P$152/(parametros_recargas!$N$94*$O$9),0))</f>
        <v>1</v>
      </c>
      <c r="G120" s="24" t="n">
        <f aca="false">IF(parametros_recargas!$N$94=0,0,ROUNDUP('Demanda por puesto'!$P$184/(parametros_recargas!$N$94*$O$9),0))</f>
        <v>1</v>
      </c>
      <c r="H120" s="24" t="n">
        <f aca="false">IF(parametros_recargas!$N$94=0,0,ROUNDUP('Demanda por puesto'!$P$216/(parametros_recargas!$N$94*$O$9),0))</f>
        <v>1</v>
      </c>
      <c r="I120" s="24" t="n">
        <f aca="false">IF(parametros_recargas!$N$94=0,0,ROUNDUP('Demanda por puesto'!$P$248/(parametros_recargas!$N$94*$O$9),0))</f>
        <v>1</v>
      </c>
      <c r="J120" s="24" t="n">
        <f aca="false">IF(parametros_recargas!$N$94=0,0,ROUNDUP('Demanda por puesto'!$P$280/(parametros_recargas!$N$94*$O$9),0))</f>
        <v>1</v>
      </c>
      <c r="K120" s="24" t="n">
        <f aca="false">IF(parametros_recargas!$N$94=0,0,ROUNDUP('Demanda por puesto'!$P$312/(parametros_recargas!$N$94*$O$9),0))</f>
        <v>1</v>
      </c>
    </row>
    <row r="121" customFormat="false" ht="15" hidden="false" customHeight="false" outlineLevel="0" collapsed="false">
      <c r="A121" s="12" t="str">
        <f aca="false">parametros_recargas!$B$95</f>
        <v>Carga y presurización de halogenado</v>
      </c>
      <c r="B121" s="24" t="n">
        <f aca="false">IF(parametros_recargas!$N$95=0,0,ROUNDUP('Demanda por puesto'!$P$25/(parametros_recargas!$N$95*$O$9),0))</f>
        <v>1</v>
      </c>
      <c r="C121" s="24" t="n">
        <f aca="false">IF(parametros_recargas!$N$95=0,0,ROUNDUP('Demanda por puesto'!$P$57/(parametros_recargas!$N$95*$O$9),0))</f>
        <v>1</v>
      </c>
      <c r="D121" s="24" t="n">
        <f aca="false">IF(parametros_recargas!$N$95=0,0,ROUNDUP('Demanda por puesto'!$P$89/(parametros_recargas!$N$95*$O$9),0))</f>
        <v>1</v>
      </c>
      <c r="E121" s="24" t="n">
        <f aca="false">IF(parametros_recargas!$N$95=0,0,ROUNDUP('Demanda por puesto'!$P$121/(parametros_recargas!$N$95*$O$9),0))</f>
        <v>1</v>
      </c>
      <c r="F121" s="24" t="n">
        <f aca="false">IF(parametros_recargas!$N$95=0,0,ROUNDUP('Demanda por puesto'!$P$153/(parametros_recargas!$N$95*$O$9),0))</f>
        <v>1</v>
      </c>
      <c r="G121" s="24" t="n">
        <f aca="false">IF(parametros_recargas!$N$95=0,0,ROUNDUP('Demanda por puesto'!$P$185/(parametros_recargas!$N$95*$O$9),0))</f>
        <v>1</v>
      </c>
      <c r="H121" s="24" t="n">
        <f aca="false">IF(parametros_recargas!$N$95=0,0,ROUNDUP('Demanda por puesto'!$P$217/(parametros_recargas!$N$95*$O$9),0))</f>
        <v>1</v>
      </c>
      <c r="I121" s="24" t="n">
        <f aca="false">IF(parametros_recargas!$N$95=0,0,ROUNDUP('Demanda por puesto'!$P$249/(parametros_recargas!$N$95*$O$9),0))</f>
        <v>1</v>
      </c>
      <c r="J121" s="24" t="n">
        <f aca="false">IF(parametros_recargas!$N$95=0,0,ROUNDUP('Demanda por puesto'!$P$281/(parametros_recargas!$N$95*$O$9),0))</f>
        <v>1</v>
      </c>
      <c r="K121" s="24" t="n">
        <f aca="false">IF(parametros_recargas!$N$95=0,0,ROUNDUP('Demanda por puesto'!$P$313/(parametros_recargas!$N$95*$O$9),0))</f>
        <v>1</v>
      </c>
    </row>
    <row r="122" customFormat="false" ht="15" hidden="false" customHeight="false" outlineLevel="0" collapsed="false">
      <c r="A122" s="12" t="str">
        <f aca="false">parametros_recargas!$B$96</f>
        <v>Control de peso (CO₂ y halogenados sin recarga)</v>
      </c>
      <c r="B122" s="24" t="n">
        <f aca="false">IF(parametros_recargas!$N$96=0,0,ROUNDUP('Demanda por puesto'!$P$26/(parametros_recargas!$N$96*$O$9),0))</f>
        <v>1</v>
      </c>
      <c r="C122" s="24" t="n">
        <f aca="false">IF(parametros_recargas!$N$96=0,0,ROUNDUP('Demanda por puesto'!$P$58/(parametros_recargas!$N$96*$O$9),0))</f>
        <v>1</v>
      </c>
      <c r="D122" s="24" t="n">
        <f aca="false">IF(parametros_recargas!$N$96=0,0,ROUNDUP('Demanda por puesto'!$P$90/(parametros_recargas!$N$96*$O$9),0))</f>
        <v>1</v>
      </c>
      <c r="E122" s="24" t="n">
        <f aca="false">IF(parametros_recargas!$N$96=0,0,ROUNDUP('Demanda por puesto'!$P$122/(parametros_recargas!$N$96*$O$9),0))</f>
        <v>1</v>
      </c>
      <c r="F122" s="24" t="n">
        <f aca="false">IF(parametros_recargas!$N$96=0,0,ROUNDUP('Demanda por puesto'!$P$154/(parametros_recargas!$N$96*$O$9),0))</f>
        <v>1</v>
      </c>
      <c r="G122" s="24" t="n">
        <f aca="false">IF(parametros_recargas!$N$96=0,0,ROUNDUP('Demanda por puesto'!$P$186/(parametros_recargas!$N$96*$O$9),0))</f>
        <v>1</v>
      </c>
      <c r="H122" s="24" t="n">
        <f aca="false">IF(parametros_recargas!$N$96=0,0,ROUNDUP('Demanda por puesto'!$P$218/(parametros_recargas!$N$96*$O$9),0))</f>
        <v>1</v>
      </c>
      <c r="I122" s="24" t="n">
        <f aca="false">IF(parametros_recargas!$N$96=0,0,ROUNDUP('Demanda por puesto'!$P$250/(parametros_recargas!$N$96*$O$9),0))</f>
        <v>1</v>
      </c>
      <c r="J122" s="24" t="n">
        <f aca="false">IF(parametros_recargas!$N$96=0,0,ROUNDUP('Demanda por puesto'!$P$282/(parametros_recargas!$N$96*$O$9),0))</f>
        <v>1</v>
      </c>
      <c r="K122" s="24" t="n">
        <f aca="false">IF(parametros_recargas!$N$96=0,0,ROUNDUP('Demanda por puesto'!$P$314/(parametros_recargas!$N$96*$O$9),0))</f>
        <v>1</v>
      </c>
    </row>
    <row r="123" customFormat="false" ht="15" hidden="false" customHeight="false" outlineLevel="0" collapsed="false">
      <c r="A123" s="12" t="str">
        <f aca="false">parametros_recargas!$B$97</f>
        <v>Ensayo de pérdidas</v>
      </c>
      <c r="B123" s="24" t="n">
        <f aca="false">IF(parametros_recargas!$N$97=0,0,ROUNDUP('Demanda por puesto'!$P$27/(parametros_recargas!$N$97*$O$9),0))</f>
        <v>1</v>
      </c>
      <c r="C123" s="24" t="n">
        <f aca="false">IF(parametros_recargas!$N$97=0,0,ROUNDUP('Demanda por puesto'!$P$59/(parametros_recargas!$N$97*$O$9),0))</f>
        <v>1</v>
      </c>
      <c r="D123" s="24" t="n">
        <f aca="false">IF(parametros_recargas!$N$97=0,0,ROUNDUP('Demanda por puesto'!$P$91/(parametros_recargas!$N$97*$O$9),0))</f>
        <v>1</v>
      </c>
      <c r="E123" s="24" t="n">
        <f aca="false">IF(parametros_recargas!$N$97=0,0,ROUNDUP('Demanda por puesto'!$P$123/(parametros_recargas!$N$97*$O$9),0))</f>
        <v>2</v>
      </c>
      <c r="F123" s="24" t="n">
        <f aca="false">IF(parametros_recargas!$N$97=0,0,ROUNDUP('Demanda por puesto'!$P$155/(parametros_recargas!$N$97*$O$9),0))</f>
        <v>2</v>
      </c>
      <c r="G123" s="24" t="n">
        <f aca="false">IF(parametros_recargas!$N$97=0,0,ROUNDUP('Demanda por puesto'!$P$187/(parametros_recargas!$N$97*$O$9),0))</f>
        <v>3</v>
      </c>
      <c r="H123" s="24" t="n">
        <f aca="false">IF(parametros_recargas!$N$97=0,0,ROUNDUP('Demanda por puesto'!$P$219/(parametros_recargas!$N$97*$O$9),0))</f>
        <v>4</v>
      </c>
      <c r="I123" s="24" t="n">
        <f aca="false">IF(parametros_recargas!$N$97=0,0,ROUNDUP('Demanda por puesto'!$P$251/(parametros_recargas!$N$97*$O$9),0))</f>
        <v>4</v>
      </c>
      <c r="J123" s="24" t="n">
        <f aca="false">IF(parametros_recargas!$N$97=0,0,ROUNDUP('Demanda por puesto'!$P$283/(parametros_recargas!$N$97*$O$9),0))</f>
        <v>5</v>
      </c>
      <c r="K123" s="24" t="n">
        <f aca="false">IF(parametros_recargas!$N$97=0,0,ROUNDUP('Demanda por puesto'!$P$315/(parametros_recargas!$N$97*$O$9),0))</f>
        <v>5</v>
      </c>
    </row>
    <row r="124" customFormat="false" ht="15" hidden="false" customHeight="false" outlineLevel="0" collapsed="false">
      <c r="A124" s="12" t="str">
        <f aca="false">parametros_recargas!$B$98</f>
        <v>Precinto, etiqueta y despacho</v>
      </c>
      <c r="B124" s="24" t="n">
        <f aca="false">IF(parametros_recargas!$N$98=0,0,ROUNDUP('Demanda por puesto'!$P$28/(parametros_recargas!$N$98*$O$9),0))</f>
        <v>1</v>
      </c>
      <c r="C124" s="24" t="n">
        <f aca="false">IF(parametros_recargas!$N$98=0,0,ROUNDUP('Demanda por puesto'!$P$60/(parametros_recargas!$N$98*$O$9),0))</f>
        <v>1</v>
      </c>
      <c r="D124" s="24" t="n">
        <f aca="false">IF(parametros_recargas!$N$98=0,0,ROUNDUP('Demanda por puesto'!$P$92/(parametros_recargas!$N$98*$O$9),0))</f>
        <v>1</v>
      </c>
      <c r="E124" s="24" t="n">
        <f aca="false">IF(parametros_recargas!$N$98=0,0,ROUNDUP('Demanda por puesto'!$P$124/(parametros_recargas!$N$98*$O$9),0))</f>
        <v>2</v>
      </c>
      <c r="F124" s="24" t="n">
        <f aca="false">IF(parametros_recargas!$N$98=0,0,ROUNDUP('Demanda por puesto'!$P$156/(parametros_recargas!$N$98*$O$9),0))</f>
        <v>3</v>
      </c>
      <c r="G124" s="24" t="n">
        <f aca="false">IF(parametros_recargas!$N$98=0,0,ROUNDUP('Demanda por puesto'!$P$188/(parametros_recargas!$N$98*$O$9),0))</f>
        <v>3</v>
      </c>
      <c r="H124" s="24" t="n">
        <f aca="false">IF(parametros_recargas!$N$98=0,0,ROUNDUP('Demanda por puesto'!$P$220/(parametros_recargas!$N$98*$O$9),0))</f>
        <v>4</v>
      </c>
      <c r="I124" s="24" t="n">
        <f aca="false">IF(parametros_recargas!$N$98=0,0,ROUNDUP('Demanda por puesto'!$P$252/(parametros_recargas!$N$98*$O$9),0))</f>
        <v>4</v>
      </c>
      <c r="J124" s="24" t="n">
        <f aca="false">IF(parametros_recargas!$N$98=0,0,ROUNDUP('Demanda por puesto'!$P$284/(parametros_recargas!$N$98*$O$9),0))</f>
        <v>5</v>
      </c>
      <c r="K124" s="24" t="n">
        <f aca="false">IF(parametros_recargas!$N$98=0,0,ROUNDUP('Demanda por puesto'!$P$316/(parametros_recargas!$N$98*$O$9),0))</f>
        <v>5</v>
      </c>
    </row>
    <row r="125" customFormat="false" ht="15" hidden="false" customHeight="false" outlineLevel="0" collapsed="false">
      <c r="A125" s="12" t="str">
        <f aca="false">parametros_recargas!$B$99</f>
        <v>Inutilización y disposición final</v>
      </c>
      <c r="B125" s="24" t="n">
        <f aca="false">IF(parametros_recargas!$N$99=0,0,ROUNDUP('Demanda por puesto'!$P$29/(parametros_recargas!$N$99*$O$9),0))</f>
        <v>1</v>
      </c>
      <c r="C125" s="24" t="n">
        <f aca="false">IF(parametros_recargas!$N$99=0,0,ROUNDUP('Demanda por puesto'!$P$61/(parametros_recargas!$N$99*$O$9),0))</f>
        <v>1</v>
      </c>
      <c r="D125" s="24" t="n">
        <f aca="false">IF(parametros_recargas!$N$99=0,0,ROUNDUP('Demanda por puesto'!$P$93/(parametros_recargas!$N$99*$O$9),0))</f>
        <v>1</v>
      </c>
      <c r="E125" s="24" t="n">
        <f aca="false">IF(parametros_recargas!$N$99=0,0,ROUNDUP('Demanda por puesto'!$P$125/(parametros_recargas!$N$99*$O$9),0))</f>
        <v>1</v>
      </c>
      <c r="F125" s="24" t="n">
        <f aca="false">IF(parametros_recargas!$N$99=0,0,ROUNDUP('Demanda por puesto'!$P$157/(parametros_recargas!$N$99*$O$9),0))</f>
        <v>1</v>
      </c>
      <c r="G125" s="24" t="n">
        <f aca="false">IF(parametros_recargas!$N$99=0,0,ROUNDUP('Demanda por puesto'!$P$189/(parametros_recargas!$N$99*$O$9),0))</f>
        <v>2</v>
      </c>
      <c r="H125" s="24" t="n">
        <f aca="false">IF(parametros_recargas!$N$99=0,0,ROUNDUP('Demanda por puesto'!$P$221/(parametros_recargas!$N$99*$O$9),0))</f>
        <v>2</v>
      </c>
      <c r="I125" s="24" t="n">
        <f aca="false">IF(parametros_recargas!$N$99=0,0,ROUNDUP('Demanda por puesto'!$P$253/(parametros_recargas!$N$99*$O$9),0))</f>
        <v>2</v>
      </c>
      <c r="J125" s="24" t="n">
        <f aca="false">IF(parametros_recargas!$N$99=0,0,ROUNDUP('Demanda por puesto'!$P$285/(parametros_recargas!$N$99*$O$9),0))</f>
        <v>2</v>
      </c>
      <c r="K125" s="24" t="n">
        <f aca="false">IF(parametros_recargas!$N$99=0,0,ROUNDUP('Demanda por puesto'!$P$317/(parametros_recargas!$N$99*$O$9),0))</f>
        <v>2</v>
      </c>
    </row>
    <row r="126" customFormat="false" ht="15" hidden="false" customHeight="false" outlineLevel="0" collapsed="false">
      <c r="A126" s="12" t="str">
        <f aca="false">parametros_recargas!$B$100</f>
        <v>PH de mangueras (CO₂ y rodantes)</v>
      </c>
      <c r="B126" s="24" t="n">
        <f aca="false">IF(parametros_recargas!$N$100=0,0,ROUNDUP('Demanda por puesto'!$P$30/(parametros_recargas!$N$100*$O$9),0))</f>
        <v>1</v>
      </c>
      <c r="C126" s="24" t="n">
        <f aca="false">IF(parametros_recargas!$N$100=0,0,ROUNDUP('Demanda por puesto'!$P$62/(parametros_recargas!$N$100*$O$9),0))</f>
        <v>1</v>
      </c>
      <c r="D126" s="24" t="n">
        <f aca="false">IF(parametros_recargas!$N$100=0,0,ROUNDUP('Demanda por puesto'!$P$94/(parametros_recargas!$N$100*$O$9),0))</f>
        <v>1</v>
      </c>
      <c r="E126" s="24" t="n">
        <f aca="false">IF(parametros_recargas!$N$100=0,0,ROUNDUP('Demanda por puesto'!$P$126/(parametros_recargas!$N$100*$O$9),0))</f>
        <v>1</v>
      </c>
      <c r="F126" s="24" t="n">
        <f aca="false">IF(parametros_recargas!$N$100=0,0,ROUNDUP('Demanda por puesto'!$P$158/(parametros_recargas!$N$100*$O$9),0))</f>
        <v>1</v>
      </c>
      <c r="G126" s="24" t="n">
        <f aca="false">IF(parametros_recargas!$N$100=0,0,ROUNDUP('Demanda por puesto'!$P$190/(parametros_recargas!$N$100*$O$9),0))</f>
        <v>1</v>
      </c>
      <c r="H126" s="24" t="n">
        <f aca="false">IF(parametros_recargas!$N$100=0,0,ROUNDUP('Demanda por puesto'!$P$222/(parametros_recargas!$N$100*$O$9),0))</f>
        <v>1</v>
      </c>
      <c r="I126" s="24" t="n">
        <f aca="false">IF(parametros_recargas!$N$100=0,0,ROUNDUP('Demanda por puesto'!$P$254/(parametros_recargas!$N$100*$O$9),0))</f>
        <v>1</v>
      </c>
      <c r="J126" s="24" t="n">
        <f aca="false">IF(parametros_recargas!$N$100=0,0,ROUNDUP('Demanda por puesto'!$P$286/(parametros_recargas!$N$100*$O$9),0))</f>
        <v>1</v>
      </c>
      <c r="K126" s="24" t="n">
        <f aca="false">IF(parametros_recargas!$N$100=0,0,ROUNDUP('Demanda por puesto'!$P$318/(parametros_recargas!$N$100*$O$9),0))</f>
        <v>1</v>
      </c>
    </row>
    <row r="127" customFormat="false" ht="15" hidden="false" customHeight="false" outlineLevel="0" collapsed="false">
      <c r="A127" s="6" t="s">
        <v>311</v>
      </c>
      <c r="B127" s="16" t="n">
        <f aca="false">SUM(B98:B126)</f>
        <v>29</v>
      </c>
      <c r="C127" s="16" t="n">
        <f aca="false">SUM(C98:C126)</f>
        <v>29</v>
      </c>
      <c r="D127" s="16" t="n">
        <f aca="false">SUM(D98:D126)</f>
        <v>30</v>
      </c>
      <c r="E127" s="16" t="n">
        <f aca="false">SUM(E98:E126)</f>
        <v>40</v>
      </c>
      <c r="F127" s="16" t="n">
        <f aca="false">SUM(F98:F126)</f>
        <v>45</v>
      </c>
      <c r="G127" s="16" t="n">
        <f aca="false">SUM(G98:G126)</f>
        <v>55</v>
      </c>
      <c r="H127" s="16" t="n">
        <f aca="false">SUM(H98:H126)</f>
        <v>62</v>
      </c>
      <c r="I127" s="16" t="n">
        <f aca="false">SUM(I98:I126)</f>
        <v>64</v>
      </c>
      <c r="J127" s="16" t="n">
        <f aca="false">SUM(J98:J126)</f>
        <v>71</v>
      </c>
      <c r="K127" s="16" t="n">
        <f aca="false">SUM(K98:K126)</f>
        <v>73</v>
      </c>
    </row>
    <row r="129" customFormat="false" ht="15" hidden="false" customHeight="false" outlineLevel="0" collapsed="false">
      <c r="A129" s="3" t="s">
        <v>312</v>
      </c>
      <c r="B129" s="3" t="n">
        <v>2026</v>
      </c>
      <c r="C129" s="3" t="n">
        <v>2027</v>
      </c>
      <c r="D129" s="3" t="n">
        <v>2028</v>
      </c>
      <c r="E129" s="3" t="n">
        <v>2029</v>
      </c>
      <c r="F129" s="3" t="n">
        <v>2030</v>
      </c>
      <c r="G129" s="3" t="n">
        <v>2031</v>
      </c>
      <c r="H129" s="3" t="n">
        <v>2032</v>
      </c>
      <c r="I129" s="3" t="n">
        <v>2033</v>
      </c>
      <c r="J129" s="3" t="n">
        <v>2034</v>
      </c>
      <c r="K129" s="3" t="n">
        <v>2035</v>
      </c>
    </row>
    <row r="130" customFormat="false" ht="15" hidden="false" customHeight="false" outlineLevel="0" collapsed="false">
      <c r="A130" s="12" t="str">
        <f aca="false">parametros_recargas!$B$72</f>
        <v>Recepción y registro</v>
      </c>
      <c r="B130" s="12" t="str">
        <f aca="false">IF('Demanda por puesto'!$P$2=0,"—",IF(parametros_recargas!$N$72=0,$N$7,IF(B2&lt;=$O$9,$N$2,IF(parametros_recargas!$D$72="Tercerizado",$N$6,IF(B66&lt;$O$10,$N$3,IF(parametros_recargas!$D$72="Manual",$N$5,$N$4))))))</f>
        <v>OK</v>
      </c>
      <c r="C130" s="12" t="str">
        <f aca="false">IF('Demanda por puesto'!$P$34=0,"—",IF(parametros_recargas!$N$72=0,$N$7,IF(C2&lt;=$O$9,$N$2,IF(parametros_recargas!$D$72="Tercerizado",$N$6,IF(C66&lt;$O$10,$N$3,IF(parametros_recargas!$D$72="Manual",$N$5,$N$4))))))</f>
        <v>OK</v>
      </c>
      <c r="D130" s="12" t="str">
        <f aca="false">IF('Demanda por puesto'!$P$66=0,"—",IF(parametros_recargas!$N$72=0,$N$7,IF(D2&lt;=$O$9,$N$2,IF(parametros_recargas!$D$72="Tercerizado",$N$6,IF(D66&lt;$O$10,$N$3,IF(parametros_recargas!$D$72="Manual",$N$5,$N$4))))))</f>
        <v>OK</v>
      </c>
      <c r="E130" s="12" t="str">
        <f aca="false">IF('Demanda por puesto'!$P$98=0,"—",IF(parametros_recargas!$N$72=0,$N$7,IF(E2&lt;=$O$9,$N$2,IF(parametros_recargas!$D$72="Tercerizado",$N$6,IF(E66&lt;$O$10,$N$3,IF(parametros_recargas!$D$72="Manual",$N$5,$N$4))))))</f>
        <v>Agrega turno</v>
      </c>
      <c r="F130" s="12" t="str">
        <f aca="false">IF('Demanda por puesto'!$P$130=0,"—",IF(parametros_recargas!$N$72=0,$N$7,IF(F2&lt;=$O$9,$N$2,IF(parametros_recargas!$D$72="Tercerizado",$N$6,IF(F66&lt;$O$10,$N$3,IF(parametros_recargas!$D$72="Manual",$N$5,$N$4))))))</f>
        <v>Agrega turno</v>
      </c>
      <c r="G130" s="12" t="str">
        <f aca="false">IF('Demanda por puesto'!$P$162=0,"—",IF(parametros_recargas!$N$72=0,$N$7,IF(G2&lt;=$O$9,$N$2,IF(parametros_recargas!$D$72="Tercerizado",$N$6,IF(G66&lt;$O$10,$N$3,IF(parametros_recargas!$D$72="Manual",$N$5,$N$4))))))</f>
        <v>Agrega turno</v>
      </c>
      <c r="H130" s="12" t="str">
        <f aca="false">IF('Demanda por puesto'!$P$194=0,"—",IF(parametros_recargas!$N$72=0,$N$7,IF(H2&lt;=$O$9,$N$2,IF(parametros_recargas!$D$72="Tercerizado",$N$6,IF(H66&lt;$O$10,$N$3,IF(parametros_recargas!$D$72="Manual",$N$5,$N$4))))))</f>
        <v>Agrega turno</v>
      </c>
      <c r="I130" s="12" t="str">
        <f aca="false">IF('Demanda por puesto'!$P$226=0,"—",IF(parametros_recargas!$N$72=0,$N$7,IF(I2&lt;=$O$9,$N$2,IF(parametros_recargas!$D$72="Tercerizado",$N$6,IF(I66&lt;$O$10,$N$3,IF(parametros_recargas!$D$72="Manual",$N$5,$N$4))))))</f>
        <v>Agrega turno</v>
      </c>
      <c r="J130" s="12" t="str">
        <f aca="false">IF('Demanda por puesto'!$P$258=0,"—",IF(parametros_recargas!$N$72=0,$N$7,IF(J2&lt;=$O$9,$N$2,IF(parametros_recargas!$D$72="Tercerizado",$N$6,IF(J66&lt;$O$10,$N$3,IF(parametros_recargas!$D$72="Manual",$N$5,$N$4))))))</f>
        <v>Agrega turno</v>
      </c>
      <c r="K130" s="12" t="str">
        <f aca="false">IF('Demanda por puesto'!$P$290=0,"—",IF(parametros_recargas!$N$72=0,$N$7,IF(K2&lt;=$O$9,$N$2,IF(parametros_recargas!$D$72="Tercerizado",$N$6,IF(K66&lt;$O$10,$N$3,IF(parametros_recargas!$D$72="Manual",$N$5,$N$4))))))</f>
        <v>Agrega turno</v>
      </c>
    </row>
    <row r="131" customFormat="false" ht="15" hidden="false" customHeight="false" outlineLevel="0" collapsed="false">
      <c r="A131" s="12" t="str">
        <f aca="false">parametros_recargas!$B$73</f>
        <v>Inspección visual</v>
      </c>
      <c r="B131" s="12" t="str">
        <f aca="false">IF('Demanda por puesto'!$P$3=0,"—",IF(parametros_recargas!$N$73=0,$N$7,IF(B3&lt;=$O$9,$N$2,IF(parametros_recargas!$D$73="Tercerizado",$N$6,IF(B67&lt;$O$10,$N$3,IF(parametros_recargas!$D$73="Manual",$N$5,$N$4))))))</f>
        <v>OK</v>
      </c>
      <c r="C131" s="12" t="str">
        <f aca="false">IF('Demanda por puesto'!$P$35=0,"—",IF(parametros_recargas!$N$73=0,$N$7,IF(C3&lt;=$O$9,$N$2,IF(parametros_recargas!$D$73="Tercerizado",$N$6,IF(C67&lt;$O$10,$N$3,IF(parametros_recargas!$D$73="Manual",$N$5,$N$4))))))</f>
        <v>OK</v>
      </c>
      <c r="D131" s="12" t="str">
        <f aca="false">IF('Demanda por puesto'!$P$67=0,"—",IF(parametros_recargas!$N$73=0,$N$7,IF(D3&lt;=$O$9,$N$2,IF(parametros_recargas!$D$73="Tercerizado",$N$6,IF(D67&lt;$O$10,$N$3,IF(parametros_recargas!$D$73="Manual",$N$5,$N$4))))))</f>
        <v>OK</v>
      </c>
      <c r="E131" s="12" t="str">
        <f aca="false">IF('Demanda por puesto'!$P$99=0,"—",IF(parametros_recargas!$N$73=0,$N$7,IF(E3&lt;=$O$9,$N$2,IF(parametros_recargas!$D$73="Tercerizado",$N$6,IF(E67&lt;$O$10,$N$3,IF(parametros_recargas!$D$73="Manual",$N$5,$N$4))))))</f>
        <v>Agrega turno</v>
      </c>
      <c r="F131" s="12" t="str">
        <f aca="false">IF('Demanda por puesto'!$P$131=0,"—",IF(parametros_recargas!$N$73=0,$N$7,IF(F3&lt;=$O$9,$N$2,IF(parametros_recargas!$D$73="Tercerizado",$N$6,IF(F67&lt;$O$10,$N$3,IF(parametros_recargas!$D$73="Manual",$N$5,$N$4))))))</f>
        <v>Agrega turno</v>
      </c>
      <c r="G131" s="12" t="str">
        <f aca="false">IF('Demanda por puesto'!$P$163=0,"—",IF(parametros_recargas!$N$73=0,$N$7,IF(G3&lt;=$O$9,$N$2,IF(parametros_recargas!$D$73="Tercerizado",$N$6,IF(G67&lt;$O$10,$N$3,IF(parametros_recargas!$D$73="Manual",$N$5,$N$4))))))</f>
        <v>Agrega turno</v>
      </c>
      <c r="H131" s="12" t="str">
        <f aca="false">IF('Demanda por puesto'!$P$195=0,"—",IF(parametros_recargas!$N$73=0,$N$7,IF(H3&lt;=$O$9,$N$2,IF(parametros_recargas!$D$73="Tercerizado",$N$6,IF(H67&lt;$O$10,$N$3,IF(parametros_recargas!$D$73="Manual",$N$5,$N$4))))))</f>
        <v>Agrega turno</v>
      </c>
      <c r="I131" s="12" t="str">
        <f aca="false">IF('Demanda por puesto'!$P$227=0,"—",IF(parametros_recargas!$N$73=0,$N$7,IF(I3&lt;=$O$9,$N$2,IF(parametros_recargas!$D$73="Tercerizado",$N$6,IF(I67&lt;$O$10,$N$3,IF(parametros_recargas!$D$73="Manual",$N$5,$N$4))))))</f>
        <v>Agrega turno</v>
      </c>
      <c r="J131" s="12" t="str">
        <f aca="false">IF('Demanda por puesto'!$P$259=0,"—",IF(parametros_recargas!$N$73=0,$N$7,IF(J3&lt;=$O$9,$N$2,IF(parametros_recargas!$D$73="Tercerizado",$N$6,IF(J67&lt;$O$10,$N$3,IF(parametros_recargas!$D$73="Manual",$N$5,$N$4))))))</f>
        <v>Agrega turno</v>
      </c>
      <c r="K131" s="12" t="str">
        <f aca="false">IF('Demanda por puesto'!$P$291=0,"—",IF(parametros_recargas!$N$73=0,$N$7,IF(K3&lt;=$O$9,$N$2,IF(parametros_recargas!$D$73="Tercerizado",$N$6,IF(K67&lt;$O$10,$N$3,IF(parametros_recargas!$D$73="Manual",$N$5,$N$4))))))</f>
        <v>Agrega turno</v>
      </c>
    </row>
    <row r="132" customFormat="false" ht="15" hidden="false" customHeight="false" outlineLevel="0" collapsed="false">
      <c r="A132" s="12" t="str">
        <f aca="false">parametros_recargas!$B$74</f>
        <v>Descarga ABC — ruta recuperable</v>
      </c>
      <c r="B132" s="12" t="str">
        <f aca="false">IF('Demanda por puesto'!$P$4=0,"—",IF(parametros_recargas!$N$74=0,$N$7,IF(B4&lt;=$O$9,$N$2,IF(parametros_recargas!$D$74="Tercerizado",$N$6,IF(B68&lt;$O$10,$N$3,IF(parametros_recargas!$D$74="Manual",$N$5,$N$4))))))</f>
        <v>OK</v>
      </c>
      <c r="C132" s="12" t="str">
        <f aca="false">IF('Demanda por puesto'!$P$36=0,"—",IF(parametros_recargas!$N$74=0,$N$7,IF(C4&lt;=$O$9,$N$2,IF(parametros_recargas!$D$74="Tercerizado",$N$6,IF(C68&lt;$O$10,$N$3,IF(parametros_recargas!$D$74="Manual",$N$5,$N$4))))))</f>
        <v>OK</v>
      </c>
      <c r="D132" s="12" t="str">
        <f aca="false">IF('Demanda por puesto'!$P$68=0,"—",IF(parametros_recargas!$N$74=0,$N$7,IF(D4&lt;=$O$9,$N$2,IF(parametros_recargas!$D$74="Tercerizado",$N$6,IF(D68&lt;$O$10,$N$3,IF(parametros_recargas!$D$74="Manual",$N$5,$N$4))))))</f>
        <v>OK</v>
      </c>
      <c r="E132" s="12" t="str">
        <f aca="false">IF('Demanda por puesto'!$P$100=0,"—",IF(parametros_recargas!$N$74=0,$N$7,IF(E4&lt;=$O$9,$N$2,IF(parametros_recargas!$D$74="Tercerizado",$N$6,IF(E68&lt;$O$10,$N$3,IF(parametros_recargas!$D$74="Manual",$N$5,$N$4))))))</f>
        <v>Agrega turno</v>
      </c>
      <c r="F132" s="12" t="str">
        <f aca="false">IF('Demanda por puesto'!$P$132=0,"—",IF(parametros_recargas!$N$74=0,$N$7,IF(F4&lt;=$O$9,$N$2,IF(parametros_recargas!$D$74="Tercerizado",$N$6,IF(F68&lt;$O$10,$N$3,IF(parametros_recargas!$D$74="Manual",$N$5,$N$4))))))</f>
        <v>Agrega turno</v>
      </c>
      <c r="G132" s="12" t="str">
        <f aca="false">IF('Demanda por puesto'!$P$164=0,"—",IF(parametros_recargas!$N$74=0,$N$7,IF(G4&lt;=$O$9,$N$2,IF(parametros_recargas!$D$74="Tercerizado",$N$6,IF(G68&lt;$O$10,$N$3,IF(parametros_recargas!$D$74="Manual",$N$5,$N$4))))))</f>
        <v>Agrega turno</v>
      </c>
      <c r="H132" s="12" t="str">
        <f aca="false">IF('Demanda por puesto'!$P$196=0,"—",IF(parametros_recargas!$N$74=0,$N$7,IF(H4&lt;=$O$9,$N$2,IF(parametros_recargas!$D$74="Tercerizado",$N$6,IF(H68&lt;$O$10,$N$3,IF(parametros_recargas!$D$74="Manual",$N$5,$N$4))))))</f>
        <v>Agrega turno</v>
      </c>
      <c r="I132" s="12" t="str">
        <f aca="false">IF('Demanda por puesto'!$P$228=0,"—",IF(parametros_recargas!$N$74=0,$N$7,IF(I4&lt;=$O$9,$N$2,IF(parametros_recargas!$D$74="Tercerizado",$N$6,IF(I68&lt;$O$10,$N$3,IF(parametros_recargas!$D$74="Manual",$N$5,$N$4))))))</f>
        <v>Agrega turno</v>
      </c>
      <c r="J132" s="12" t="str">
        <f aca="false">IF('Demanda por puesto'!$P$260=0,"—",IF(parametros_recargas!$N$74=0,$N$7,IF(J4&lt;=$O$9,$N$2,IF(parametros_recargas!$D$74="Tercerizado",$N$6,IF(J68&lt;$O$10,$N$3,IF(parametros_recargas!$D$74="Manual",$N$5,$N$4))))))</f>
        <v>Agrega turno</v>
      </c>
      <c r="K132" s="12" t="str">
        <f aca="false">IF('Demanda por puesto'!$P$292=0,"—",IF(parametros_recargas!$N$74=0,$N$7,IF(K4&lt;=$O$9,$N$2,IF(parametros_recargas!$D$74="Tercerizado",$N$6,IF(K68&lt;$O$10,$N$3,IF(parametros_recargas!$D$74="Manual",$N$5,$N$4))))))</f>
        <v>Agrega turno</v>
      </c>
    </row>
    <row r="133" customFormat="false" ht="15" hidden="false" customHeight="false" outlineLevel="0" collapsed="false">
      <c r="A133" s="12" t="str">
        <f aca="false">parametros_recargas!$B$75</f>
        <v>Descarga ABC — ruta descarte</v>
      </c>
      <c r="B133" s="12" t="str">
        <f aca="false">IF('Demanda por puesto'!$P$5=0,"—",IF(parametros_recargas!$N$75=0,$N$7,IF(B5&lt;=$O$9,$N$2,IF(parametros_recargas!$D$75="Tercerizado",$N$6,IF(B69&lt;$O$10,$N$3,IF(parametros_recargas!$D$75="Manual",$N$5,$N$4))))))</f>
        <v>OK</v>
      </c>
      <c r="C133" s="12" t="str">
        <f aca="false">IF('Demanda por puesto'!$P$37=0,"—",IF(parametros_recargas!$N$75=0,$N$7,IF(C5&lt;=$O$9,$N$2,IF(parametros_recargas!$D$75="Tercerizado",$N$6,IF(C69&lt;$O$10,$N$3,IF(parametros_recargas!$D$75="Manual",$N$5,$N$4))))))</f>
        <v>OK</v>
      </c>
      <c r="D133" s="12" t="str">
        <f aca="false">IF('Demanda por puesto'!$P$69=0,"—",IF(parametros_recargas!$N$75=0,$N$7,IF(D5&lt;=$O$9,$N$2,IF(parametros_recargas!$D$75="Tercerizado",$N$6,IF(D69&lt;$O$10,$N$3,IF(parametros_recargas!$D$75="Manual",$N$5,$N$4))))))</f>
        <v>OK</v>
      </c>
      <c r="E133" s="12" t="str">
        <f aca="false">IF('Demanda por puesto'!$P$101=0,"—",IF(parametros_recargas!$N$75=0,$N$7,IF(E5&lt;=$O$9,$N$2,IF(parametros_recargas!$D$75="Tercerizado",$N$6,IF(E69&lt;$O$10,$N$3,IF(parametros_recargas!$D$75="Manual",$N$5,$N$4))))))</f>
        <v>OK</v>
      </c>
      <c r="F133" s="12" t="str">
        <f aca="false">IF('Demanda por puesto'!$P$133=0,"—",IF(parametros_recargas!$N$75=0,$N$7,IF(F5&lt;=$O$9,$N$2,IF(parametros_recargas!$D$75="Tercerizado",$N$6,IF(F69&lt;$O$10,$N$3,IF(parametros_recargas!$D$75="Manual",$N$5,$N$4))))))</f>
        <v>OK</v>
      </c>
      <c r="G133" s="12" t="str">
        <f aca="false">IF('Demanda por puesto'!$P$165=0,"—",IF(parametros_recargas!$N$75=0,$N$7,IF(G5&lt;=$O$9,$N$2,IF(parametros_recargas!$D$75="Tercerizado",$N$6,IF(G69&lt;$O$10,$N$3,IF(parametros_recargas!$D$75="Manual",$N$5,$N$4))))))</f>
        <v>OK</v>
      </c>
      <c r="H133" s="12" t="str">
        <f aca="false">IF('Demanda por puesto'!$P$197=0,"—",IF(parametros_recargas!$N$75=0,$N$7,IF(H5&lt;=$O$9,$N$2,IF(parametros_recargas!$D$75="Tercerizado",$N$6,IF(H69&lt;$O$10,$N$3,IF(parametros_recargas!$D$75="Manual",$N$5,$N$4))))))</f>
        <v>OK</v>
      </c>
      <c r="I133" s="12" t="str">
        <f aca="false">IF('Demanda por puesto'!$P$229=0,"—",IF(parametros_recargas!$N$75=0,$N$7,IF(I5&lt;=$O$9,$N$2,IF(parametros_recargas!$D$75="Tercerizado",$N$6,IF(I69&lt;$O$10,$N$3,IF(parametros_recargas!$D$75="Manual",$N$5,$N$4))))))</f>
        <v>OK</v>
      </c>
      <c r="J133" s="12" t="str">
        <f aca="false">IF('Demanda por puesto'!$P$261=0,"—",IF(parametros_recargas!$N$75=0,$N$7,IF(J5&lt;=$O$9,$N$2,IF(parametros_recargas!$D$75="Tercerizado",$N$6,IF(J69&lt;$O$10,$N$3,IF(parametros_recargas!$D$75="Manual",$N$5,$N$4))))))</f>
        <v>OK</v>
      </c>
      <c r="K133" s="12" t="str">
        <f aca="false">IF('Demanda por puesto'!$P$293=0,"—",IF(parametros_recargas!$N$75=0,$N$7,IF(K5&lt;=$O$9,$N$2,IF(parametros_recargas!$D$75="Tercerizado",$N$6,IF(K69&lt;$O$10,$N$3,IF(parametros_recargas!$D$75="Manual",$N$5,$N$4))))))</f>
        <v>OK</v>
      </c>
    </row>
    <row r="134" customFormat="false" ht="15" hidden="false" customHeight="false" outlineLevel="0" collapsed="false">
      <c r="A134" s="12" t="str">
        <f aca="false">parametros_recargas!$B$76</f>
        <v>Descarga BC</v>
      </c>
      <c r="B134" s="12" t="str">
        <f aca="false">IF('Demanda por puesto'!$P$6=0,"—",IF(parametros_recargas!$N$76=0,$N$7,IF(B6&lt;=$O$9,$N$2,IF(parametros_recargas!$D$76="Tercerizado",$N$6,IF(B70&lt;$O$10,$N$3,IF(parametros_recargas!$D$76="Manual",$N$5,$N$4))))))</f>
        <v>OK</v>
      </c>
      <c r="C134" s="12" t="str">
        <f aca="false">IF('Demanda por puesto'!$P$38=0,"—",IF(parametros_recargas!$N$76=0,$N$7,IF(C6&lt;=$O$9,$N$2,IF(parametros_recargas!$D$76="Tercerizado",$N$6,IF(C70&lt;$O$10,$N$3,IF(parametros_recargas!$D$76="Manual",$N$5,$N$4))))))</f>
        <v>OK</v>
      </c>
      <c r="D134" s="12" t="str">
        <f aca="false">IF('Demanda por puesto'!$P$70=0,"—",IF(parametros_recargas!$N$76=0,$N$7,IF(D6&lt;=$O$9,$N$2,IF(parametros_recargas!$D$76="Tercerizado",$N$6,IF(D70&lt;$O$10,$N$3,IF(parametros_recargas!$D$76="Manual",$N$5,$N$4))))))</f>
        <v>OK</v>
      </c>
      <c r="E134" s="12" t="str">
        <f aca="false">IF('Demanda por puesto'!$P$102=0,"—",IF(parametros_recargas!$N$76=0,$N$7,IF(E6&lt;=$O$9,$N$2,IF(parametros_recargas!$D$76="Tercerizado",$N$6,IF(E70&lt;$O$10,$N$3,IF(parametros_recargas!$D$76="Manual",$N$5,$N$4))))))</f>
        <v>OK</v>
      </c>
      <c r="F134" s="12" t="str">
        <f aca="false">IF('Demanda por puesto'!$P$134=0,"—",IF(parametros_recargas!$N$76=0,$N$7,IF(F6&lt;=$O$9,$N$2,IF(parametros_recargas!$D$76="Tercerizado",$N$6,IF(F70&lt;$O$10,$N$3,IF(parametros_recargas!$D$76="Manual",$N$5,$N$4))))))</f>
        <v>OK</v>
      </c>
      <c r="G134" s="12" t="str">
        <f aca="false">IF('Demanda por puesto'!$P$166=0,"—",IF(parametros_recargas!$N$76=0,$N$7,IF(G6&lt;=$O$9,$N$2,IF(parametros_recargas!$D$76="Tercerizado",$N$6,IF(G70&lt;$O$10,$N$3,IF(parametros_recargas!$D$76="Manual",$N$5,$N$4))))))</f>
        <v>OK</v>
      </c>
      <c r="H134" s="12" t="str">
        <f aca="false">IF('Demanda por puesto'!$P$198=0,"—",IF(parametros_recargas!$N$76=0,$N$7,IF(H6&lt;=$O$9,$N$2,IF(parametros_recargas!$D$76="Tercerizado",$N$6,IF(H70&lt;$O$10,$N$3,IF(parametros_recargas!$D$76="Manual",$N$5,$N$4))))))</f>
        <v>OK</v>
      </c>
      <c r="I134" s="12" t="str">
        <f aca="false">IF('Demanda por puesto'!$P$230=0,"—",IF(parametros_recargas!$N$76=0,$N$7,IF(I6&lt;=$O$9,$N$2,IF(parametros_recargas!$D$76="Tercerizado",$N$6,IF(I70&lt;$O$10,$N$3,IF(parametros_recargas!$D$76="Manual",$N$5,$N$4))))))</f>
        <v>OK</v>
      </c>
      <c r="J134" s="12" t="str">
        <f aca="false">IF('Demanda por puesto'!$P$262=0,"—",IF(parametros_recargas!$N$76=0,$N$7,IF(J6&lt;=$O$9,$N$2,IF(parametros_recargas!$D$76="Tercerizado",$N$6,IF(J70&lt;$O$10,$N$3,IF(parametros_recargas!$D$76="Manual",$N$5,$N$4))))))</f>
        <v>OK</v>
      </c>
      <c r="K134" s="12" t="str">
        <f aca="false">IF('Demanda por puesto'!$P$294=0,"—",IF(parametros_recargas!$N$76=0,$N$7,IF(K6&lt;=$O$9,$N$2,IF(parametros_recargas!$D$76="Tercerizado",$N$6,IF(K70&lt;$O$10,$N$3,IF(parametros_recargas!$D$76="Manual",$N$5,$N$4))))))</f>
        <v>OK</v>
      </c>
    </row>
    <row r="135" customFormat="false" ht="15" hidden="false" customHeight="false" outlineLevel="0" collapsed="false">
      <c r="A135" s="12" t="str">
        <f aca="false">parametros_recargas!$B$77</f>
        <v>Descarga de agua / AFFF / sales K</v>
      </c>
      <c r="B135" s="12" t="str">
        <f aca="false">IF('Demanda por puesto'!$P$7=0,"—",IF(parametros_recargas!$N$77=0,$N$7,IF(B7&lt;=$O$9,$N$2,IF(parametros_recargas!$D$77="Tercerizado",$N$6,IF(B71&lt;$O$10,$N$3,IF(parametros_recargas!$D$77="Manual",$N$5,$N$4))))))</f>
        <v>OK</v>
      </c>
      <c r="C135" s="12" t="str">
        <f aca="false">IF('Demanda por puesto'!$P$39=0,"—",IF(parametros_recargas!$N$77=0,$N$7,IF(C7&lt;=$O$9,$N$2,IF(parametros_recargas!$D$77="Tercerizado",$N$6,IF(C71&lt;$O$10,$N$3,IF(parametros_recargas!$D$77="Manual",$N$5,$N$4))))))</f>
        <v>OK</v>
      </c>
      <c r="D135" s="12" t="str">
        <f aca="false">IF('Demanda por puesto'!$P$71=0,"—",IF(parametros_recargas!$N$77=0,$N$7,IF(D7&lt;=$O$9,$N$2,IF(parametros_recargas!$D$77="Tercerizado",$N$6,IF(D71&lt;$O$10,$N$3,IF(parametros_recargas!$D$77="Manual",$N$5,$N$4))))))</f>
        <v>OK</v>
      </c>
      <c r="E135" s="12" t="str">
        <f aca="false">IF('Demanda por puesto'!$P$103=0,"—",IF(parametros_recargas!$N$77=0,$N$7,IF(E7&lt;=$O$9,$N$2,IF(parametros_recargas!$D$77="Tercerizado",$N$6,IF(E71&lt;$O$10,$N$3,IF(parametros_recargas!$D$77="Manual",$N$5,$N$4))))))</f>
        <v>OK</v>
      </c>
      <c r="F135" s="12" t="str">
        <f aca="false">IF('Demanda por puesto'!$P$135=0,"—",IF(parametros_recargas!$N$77=0,$N$7,IF(F7&lt;=$O$9,$N$2,IF(parametros_recargas!$D$77="Tercerizado",$N$6,IF(F71&lt;$O$10,$N$3,IF(parametros_recargas!$D$77="Manual",$N$5,$N$4))))))</f>
        <v>OK</v>
      </c>
      <c r="G135" s="12" t="str">
        <f aca="false">IF('Demanda por puesto'!$P$167=0,"—",IF(parametros_recargas!$N$77=0,$N$7,IF(G7&lt;=$O$9,$N$2,IF(parametros_recargas!$D$77="Tercerizado",$N$6,IF(G71&lt;$O$10,$N$3,IF(parametros_recargas!$D$77="Manual",$N$5,$N$4))))))</f>
        <v>OK</v>
      </c>
      <c r="H135" s="12" t="str">
        <f aca="false">IF('Demanda por puesto'!$P$199=0,"—",IF(parametros_recargas!$N$77=0,$N$7,IF(H7&lt;=$O$9,$N$2,IF(parametros_recargas!$D$77="Tercerizado",$N$6,IF(H71&lt;$O$10,$N$3,IF(parametros_recargas!$D$77="Manual",$N$5,$N$4))))))</f>
        <v>OK</v>
      </c>
      <c r="I135" s="12" t="str">
        <f aca="false">IF('Demanda por puesto'!$P$231=0,"—",IF(parametros_recargas!$N$77=0,$N$7,IF(I7&lt;=$O$9,$N$2,IF(parametros_recargas!$D$77="Tercerizado",$N$6,IF(I71&lt;$O$10,$N$3,IF(parametros_recargas!$D$77="Manual",$N$5,$N$4))))))</f>
        <v>OK</v>
      </c>
      <c r="J135" s="12" t="str">
        <f aca="false">IF('Demanda por puesto'!$P$263=0,"—",IF(parametros_recargas!$N$77=0,$N$7,IF(J7&lt;=$O$9,$N$2,IF(parametros_recargas!$D$77="Tercerizado",$N$6,IF(J71&lt;$O$10,$N$3,IF(parametros_recargas!$D$77="Manual",$N$5,$N$4))))))</f>
        <v>OK</v>
      </c>
      <c r="K135" s="12" t="str">
        <f aca="false">IF('Demanda por puesto'!$P$295=0,"—",IF(parametros_recargas!$N$77=0,$N$7,IF(K7&lt;=$O$9,$N$2,IF(parametros_recargas!$D$77="Tercerizado",$N$6,IF(K71&lt;$O$10,$N$3,IF(parametros_recargas!$D$77="Manual",$N$5,$N$4))))))</f>
        <v>OK</v>
      </c>
    </row>
    <row r="136" customFormat="false" ht="15" hidden="false" customHeight="false" outlineLevel="0" collapsed="false">
      <c r="A136" s="12" t="str">
        <f aca="false">parametros_recargas!$B$78</f>
        <v>Recuperación de CO₂</v>
      </c>
      <c r="B136" s="12" t="str">
        <f aca="false">IF('Demanda por puesto'!$P$8=0,"—",IF(parametros_recargas!$N$78=0,$N$7,IF(B8&lt;=$O$9,$N$2,IF(parametros_recargas!$D$78="Tercerizado",$N$6,IF(B72&lt;$O$10,$N$3,IF(parametros_recargas!$D$78="Manual",$N$5,$N$4))))))</f>
        <v>OK</v>
      </c>
      <c r="C136" s="12" t="str">
        <f aca="false">IF('Demanda por puesto'!$P$40=0,"—",IF(parametros_recargas!$N$78=0,$N$7,IF(C8&lt;=$O$9,$N$2,IF(parametros_recargas!$D$78="Tercerizado",$N$6,IF(C72&lt;$O$10,$N$3,IF(parametros_recargas!$D$78="Manual",$N$5,$N$4))))))</f>
        <v>OK</v>
      </c>
      <c r="D136" s="12" t="str">
        <f aca="false">IF('Demanda por puesto'!$P$72=0,"—",IF(parametros_recargas!$N$78=0,$N$7,IF(D8&lt;=$O$9,$N$2,IF(parametros_recargas!$D$78="Tercerizado",$N$6,IF(D72&lt;$O$10,$N$3,IF(parametros_recargas!$D$78="Manual",$N$5,$N$4))))))</f>
        <v>OK</v>
      </c>
      <c r="E136" s="12" t="str">
        <f aca="false">IF('Demanda por puesto'!$P$104=0,"—",IF(parametros_recargas!$N$78=0,$N$7,IF(E8&lt;=$O$9,$N$2,IF(parametros_recargas!$D$78="Tercerizado",$N$6,IF(E72&lt;$O$10,$N$3,IF(parametros_recargas!$D$78="Manual",$N$5,$N$4))))))</f>
        <v>OK</v>
      </c>
      <c r="F136" s="12" t="str">
        <f aca="false">IF('Demanda por puesto'!$P$136=0,"—",IF(parametros_recargas!$N$78=0,$N$7,IF(F8&lt;=$O$9,$N$2,IF(parametros_recargas!$D$78="Tercerizado",$N$6,IF(F72&lt;$O$10,$N$3,IF(parametros_recargas!$D$78="Manual",$N$5,$N$4))))))</f>
        <v>OK</v>
      </c>
      <c r="G136" s="12" t="str">
        <f aca="false">IF('Demanda por puesto'!$P$168=0,"—",IF(parametros_recargas!$N$78=0,$N$7,IF(G8&lt;=$O$9,$N$2,IF(parametros_recargas!$D$78="Tercerizado",$N$6,IF(G72&lt;$O$10,$N$3,IF(parametros_recargas!$D$78="Manual",$N$5,$N$4))))))</f>
        <v>OK</v>
      </c>
      <c r="H136" s="12" t="str">
        <f aca="false">IF('Demanda por puesto'!$P$200=0,"—",IF(parametros_recargas!$N$78=0,$N$7,IF(H8&lt;=$O$9,$N$2,IF(parametros_recargas!$D$78="Tercerizado",$N$6,IF(H72&lt;$O$10,$N$3,IF(parametros_recargas!$D$78="Manual",$N$5,$N$4))))))</f>
        <v>OK</v>
      </c>
      <c r="I136" s="12" t="str">
        <f aca="false">IF('Demanda por puesto'!$P$232=0,"—",IF(parametros_recargas!$N$78=0,$N$7,IF(I8&lt;=$O$9,$N$2,IF(parametros_recargas!$D$78="Tercerizado",$N$6,IF(I72&lt;$O$10,$N$3,IF(parametros_recargas!$D$78="Manual",$N$5,$N$4))))))</f>
        <v>OK</v>
      </c>
      <c r="J136" s="12" t="str">
        <f aca="false">IF('Demanda por puesto'!$P$264=0,"—",IF(parametros_recargas!$N$78=0,$N$7,IF(J8&lt;=$O$9,$N$2,IF(parametros_recargas!$D$78="Tercerizado",$N$6,IF(J72&lt;$O$10,$N$3,IF(parametros_recargas!$D$78="Manual",$N$5,$N$4))))))</f>
        <v>OK</v>
      </c>
      <c r="K136" s="12" t="str">
        <f aca="false">IF('Demanda por puesto'!$P$296=0,"—",IF(parametros_recargas!$N$78=0,$N$7,IF(K8&lt;=$O$9,$N$2,IF(parametros_recargas!$D$78="Tercerizado",$N$6,IF(K72&lt;$O$10,$N$3,IF(parametros_recargas!$D$78="Manual",$N$5,$N$4))))))</f>
        <v>OK</v>
      </c>
    </row>
    <row r="137" customFormat="false" ht="15" hidden="false" customHeight="false" outlineLevel="0" collapsed="false">
      <c r="A137" s="12" t="str">
        <f aca="false">parametros_recargas!$B$79</f>
        <v>Recuperación de halogenado</v>
      </c>
      <c r="B137" s="12" t="str">
        <f aca="false">IF('Demanda por puesto'!$P$9=0,"—",IF(parametros_recargas!$N$79=0,$N$7,IF(B9&lt;=$O$9,$N$2,IF(parametros_recargas!$D$79="Tercerizado",$N$6,IF(B73&lt;$O$10,$N$3,IF(parametros_recargas!$D$79="Manual",$N$5,$N$4))))))</f>
        <v>OK</v>
      </c>
      <c r="C137" s="12" t="str">
        <f aca="false">IF('Demanda por puesto'!$P$41=0,"—",IF(parametros_recargas!$N$79=0,$N$7,IF(C9&lt;=$O$9,$N$2,IF(parametros_recargas!$D$79="Tercerizado",$N$6,IF(C73&lt;$O$10,$N$3,IF(parametros_recargas!$D$79="Manual",$N$5,$N$4))))))</f>
        <v>OK</v>
      </c>
      <c r="D137" s="12" t="str">
        <f aca="false">IF('Demanda por puesto'!$P$73=0,"—",IF(parametros_recargas!$N$79=0,$N$7,IF(D9&lt;=$O$9,$N$2,IF(parametros_recargas!$D$79="Tercerizado",$N$6,IF(D73&lt;$O$10,$N$3,IF(parametros_recargas!$D$79="Manual",$N$5,$N$4))))))</f>
        <v>OK</v>
      </c>
      <c r="E137" s="12" t="str">
        <f aca="false">IF('Demanda por puesto'!$P$105=0,"—",IF(parametros_recargas!$N$79=0,$N$7,IF(E9&lt;=$O$9,$N$2,IF(parametros_recargas!$D$79="Tercerizado",$N$6,IF(E73&lt;$O$10,$N$3,IF(parametros_recargas!$D$79="Manual",$N$5,$N$4))))))</f>
        <v>OK</v>
      </c>
      <c r="F137" s="12" t="str">
        <f aca="false">IF('Demanda por puesto'!$P$137=0,"—",IF(parametros_recargas!$N$79=0,$N$7,IF(F9&lt;=$O$9,$N$2,IF(parametros_recargas!$D$79="Tercerizado",$N$6,IF(F73&lt;$O$10,$N$3,IF(parametros_recargas!$D$79="Manual",$N$5,$N$4))))))</f>
        <v>OK</v>
      </c>
      <c r="G137" s="12" t="str">
        <f aca="false">IF('Demanda por puesto'!$P$169=0,"—",IF(parametros_recargas!$N$79=0,$N$7,IF(G9&lt;=$O$9,$N$2,IF(parametros_recargas!$D$79="Tercerizado",$N$6,IF(G73&lt;$O$10,$N$3,IF(parametros_recargas!$D$79="Manual",$N$5,$N$4))))))</f>
        <v>OK</v>
      </c>
      <c r="H137" s="12" t="str">
        <f aca="false">IF('Demanda por puesto'!$P$201=0,"—",IF(parametros_recargas!$N$79=0,$N$7,IF(H9&lt;=$O$9,$N$2,IF(parametros_recargas!$D$79="Tercerizado",$N$6,IF(H73&lt;$O$10,$N$3,IF(parametros_recargas!$D$79="Manual",$N$5,$N$4))))))</f>
        <v>OK</v>
      </c>
      <c r="I137" s="12" t="str">
        <f aca="false">IF('Demanda por puesto'!$P$233=0,"—",IF(parametros_recargas!$N$79=0,$N$7,IF(I9&lt;=$O$9,$N$2,IF(parametros_recargas!$D$79="Tercerizado",$N$6,IF(I73&lt;$O$10,$N$3,IF(parametros_recargas!$D$79="Manual",$N$5,$N$4))))))</f>
        <v>OK</v>
      </c>
      <c r="J137" s="12" t="str">
        <f aca="false">IF('Demanda por puesto'!$P$265=0,"—",IF(parametros_recargas!$N$79=0,$N$7,IF(J9&lt;=$O$9,$N$2,IF(parametros_recargas!$D$79="Tercerizado",$N$6,IF(J73&lt;$O$10,$N$3,IF(parametros_recargas!$D$79="Manual",$N$5,$N$4))))))</f>
        <v>OK</v>
      </c>
      <c r="K137" s="12" t="str">
        <f aca="false">IF('Demanda por puesto'!$P$297=0,"—",IF(parametros_recargas!$N$79=0,$N$7,IF(K9&lt;=$O$9,$N$2,IF(parametros_recargas!$D$79="Tercerizado",$N$6,IF(K73&lt;$O$10,$N$3,IF(parametros_recargas!$D$79="Manual",$N$5,$N$4))))))</f>
        <v>OK</v>
      </c>
    </row>
    <row r="138" customFormat="false" ht="15" hidden="false" customHeight="false" outlineLevel="0" collapsed="false">
      <c r="A138" s="12" t="str">
        <f aca="false">parametros_recargas!$B$80</f>
        <v>Desarme y limpieza — recinto</v>
      </c>
      <c r="B138" s="12" t="str">
        <f aca="false">IF('Demanda por puesto'!$P$10=0,"—",IF(parametros_recargas!$N$80=0,$N$7,IF(B10&lt;=$O$9,$N$2,IF(parametros_recargas!$D$80="Tercerizado",$N$6,IF(B74&lt;$O$10,$N$3,IF(parametros_recargas!$D$80="Manual",$N$5,$N$4))))))</f>
        <v>OK</v>
      </c>
      <c r="C138" s="12" t="str">
        <f aca="false">IF('Demanda por puesto'!$P$42=0,"—",IF(parametros_recargas!$N$80=0,$N$7,IF(C10&lt;=$O$9,$N$2,IF(parametros_recargas!$D$80="Tercerizado",$N$6,IF(C74&lt;$O$10,$N$3,IF(parametros_recargas!$D$80="Manual",$N$5,$N$4))))))</f>
        <v>OK</v>
      </c>
      <c r="D138" s="12" t="str">
        <f aca="false">IF('Demanda por puesto'!$P$74=0,"—",IF(parametros_recargas!$N$80=0,$N$7,IF(D10&lt;=$O$9,$N$2,IF(parametros_recargas!$D$80="Tercerizado",$N$6,IF(D74&lt;$O$10,$N$3,IF(parametros_recargas!$D$80="Manual",$N$5,$N$4))))))</f>
        <v>OK</v>
      </c>
      <c r="E138" s="12" t="str">
        <f aca="false">IF('Demanda por puesto'!$P$106=0,"—",IF(parametros_recargas!$N$80=0,$N$7,IF(E10&lt;=$O$9,$N$2,IF(parametros_recargas!$D$80="Tercerizado",$N$6,IF(E74&lt;$O$10,$N$3,IF(parametros_recargas!$D$80="Manual",$N$5,$N$4))))))</f>
        <v>Agrega turno</v>
      </c>
      <c r="F138" s="12" t="str">
        <f aca="false">IF('Demanda por puesto'!$P$138=0,"—",IF(parametros_recargas!$N$80=0,$N$7,IF(F10&lt;=$O$9,$N$2,IF(parametros_recargas!$D$80="Tercerizado",$N$6,IF(F74&lt;$O$10,$N$3,IF(parametros_recargas!$D$80="Manual",$N$5,$N$4))))))</f>
        <v>Agrega turno</v>
      </c>
      <c r="G138" s="12" t="str">
        <f aca="false">IF('Demanda por puesto'!$P$170=0,"—",IF(parametros_recargas!$N$80=0,$N$7,IF(G10&lt;=$O$9,$N$2,IF(parametros_recargas!$D$80="Tercerizado",$N$6,IF(G74&lt;$O$10,$N$3,IF(parametros_recargas!$D$80="Manual",$N$5,$N$4))))))</f>
        <v>Agrega turno</v>
      </c>
      <c r="H138" s="12" t="str">
        <f aca="false">IF('Demanda por puesto'!$P$202=0,"—",IF(parametros_recargas!$N$80=0,$N$7,IF(H10&lt;=$O$9,$N$2,IF(parametros_recargas!$D$80="Tercerizado",$N$6,IF(H74&lt;$O$10,$N$3,IF(parametros_recargas!$D$80="Manual",$N$5,$N$4))))))</f>
        <v>Agrega turno</v>
      </c>
      <c r="I138" s="12" t="str">
        <f aca="false">IF('Demanda por puesto'!$P$234=0,"—",IF(parametros_recargas!$N$80=0,$N$7,IF(I10&lt;=$O$9,$N$2,IF(parametros_recargas!$D$80="Tercerizado",$N$6,IF(I74&lt;$O$10,$N$3,IF(parametros_recargas!$D$80="Manual",$N$5,$N$4))))))</f>
        <v>Agrega turno</v>
      </c>
      <c r="J138" s="12" t="str">
        <f aca="false">IF('Demanda por puesto'!$P$266=0,"—",IF(parametros_recargas!$N$80=0,$N$7,IF(J10&lt;=$O$9,$N$2,IF(parametros_recargas!$D$80="Tercerizado",$N$6,IF(J74&lt;$O$10,$N$3,IF(parametros_recargas!$D$80="Manual",$N$5,$N$4))))))</f>
        <v>Agrega turno</v>
      </c>
      <c r="K138" s="12" t="str">
        <f aca="false">IF('Demanda por puesto'!$P$298=0,"—",IF(parametros_recargas!$N$80=0,$N$7,IF(K10&lt;=$O$9,$N$2,IF(parametros_recargas!$D$80="Tercerizado",$N$6,IF(K74&lt;$O$10,$N$3,IF(parametros_recargas!$D$80="Manual",$N$5,$N$4))))))</f>
        <v>Agrega turno</v>
      </c>
    </row>
    <row r="139" customFormat="false" ht="15" hidden="false" customHeight="false" outlineLevel="0" collapsed="false">
      <c r="A139" s="12" t="str">
        <f aca="false">parametros_recargas!$B$81</f>
        <v>Desarme e inspección interior — zona general</v>
      </c>
      <c r="B139" s="12" t="str">
        <f aca="false">IF('Demanda por puesto'!$P$11=0,"—",IF(parametros_recargas!$N$81=0,$N$7,IF(B11&lt;=$O$9,$N$2,IF(parametros_recargas!$D$81="Tercerizado",$N$6,IF(B75&lt;$O$10,$N$3,IF(parametros_recargas!$D$81="Manual",$N$5,$N$4))))))</f>
        <v>OK</v>
      </c>
      <c r="C139" s="12" t="str">
        <f aca="false">IF('Demanda por puesto'!$P$43=0,"—",IF(parametros_recargas!$N$81=0,$N$7,IF(C11&lt;=$O$9,$N$2,IF(parametros_recargas!$D$81="Tercerizado",$N$6,IF(C75&lt;$O$10,$N$3,IF(parametros_recargas!$D$81="Manual",$N$5,$N$4))))))</f>
        <v>OK</v>
      </c>
      <c r="D139" s="12" t="str">
        <f aca="false">IF('Demanda por puesto'!$P$75=0,"—",IF(parametros_recargas!$N$81=0,$N$7,IF(D11&lt;=$O$9,$N$2,IF(parametros_recargas!$D$81="Tercerizado",$N$6,IF(D75&lt;$O$10,$N$3,IF(parametros_recargas!$D$81="Manual",$N$5,$N$4))))))</f>
        <v>OK</v>
      </c>
      <c r="E139" s="12" t="str">
        <f aca="false">IF('Demanda por puesto'!$P$107=0,"—",IF(parametros_recargas!$N$81=0,$N$7,IF(E11&lt;=$O$9,$N$2,IF(parametros_recargas!$D$81="Tercerizado",$N$6,IF(E75&lt;$O$10,$N$3,IF(parametros_recargas!$D$81="Manual",$N$5,$N$4))))))</f>
        <v>OK</v>
      </c>
      <c r="F139" s="12" t="str">
        <f aca="false">IF('Demanda por puesto'!$P$139=0,"—",IF(parametros_recargas!$N$81=0,$N$7,IF(F11&lt;=$O$9,$N$2,IF(parametros_recargas!$D$81="Tercerizado",$N$6,IF(F75&lt;$O$10,$N$3,IF(parametros_recargas!$D$81="Manual",$N$5,$N$4))))))</f>
        <v>OK</v>
      </c>
      <c r="G139" s="12" t="str">
        <f aca="false">IF('Demanda por puesto'!$P$171=0,"—",IF(parametros_recargas!$N$81=0,$N$7,IF(G11&lt;=$O$9,$N$2,IF(parametros_recargas!$D$81="Tercerizado",$N$6,IF(G75&lt;$O$10,$N$3,IF(parametros_recargas!$D$81="Manual",$N$5,$N$4))))))</f>
        <v>OK</v>
      </c>
      <c r="H139" s="12" t="str">
        <f aca="false">IF('Demanda por puesto'!$P$203=0,"—",IF(parametros_recargas!$N$81=0,$N$7,IF(H11&lt;=$O$9,$N$2,IF(parametros_recargas!$D$81="Tercerizado",$N$6,IF(H75&lt;$O$10,$N$3,IF(parametros_recargas!$D$81="Manual",$N$5,$N$4))))))</f>
        <v>OK</v>
      </c>
      <c r="I139" s="12" t="str">
        <f aca="false">IF('Demanda por puesto'!$P$235=0,"—",IF(parametros_recargas!$N$81=0,$N$7,IF(I11&lt;=$O$9,$N$2,IF(parametros_recargas!$D$81="Tercerizado",$N$6,IF(I75&lt;$O$10,$N$3,IF(parametros_recargas!$D$81="Manual",$N$5,$N$4))))))</f>
        <v>OK</v>
      </c>
      <c r="J139" s="12" t="str">
        <f aca="false">IF('Demanda por puesto'!$P$267=0,"—",IF(parametros_recargas!$N$81=0,$N$7,IF(J11&lt;=$O$9,$N$2,IF(parametros_recargas!$D$81="Tercerizado",$N$6,IF(J75&lt;$O$10,$N$3,IF(parametros_recargas!$D$81="Manual",$N$5,$N$4))))))</f>
        <v>OK</v>
      </c>
      <c r="K139" s="12" t="str">
        <f aca="false">IF('Demanda por puesto'!$P$299=0,"—",IF(parametros_recargas!$N$81=0,$N$7,IF(K11&lt;=$O$9,$N$2,IF(parametros_recargas!$D$81="Tercerizado",$N$6,IF(K75&lt;$O$10,$N$3,IF(parametros_recargas!$D$81="Manual",$N$5,$N$4))))))</f>
        <v>OK</v>
      </c>
    </row>
    <row r="140" customFormat="false" ht="15" hidden="false" customHeight="false" outlineLevel="0" collapsed="false">
      <c r="A140" s="12" t="str">
        <f aca="false">parametros_recargas!$B$82</f>
        <v>Laboratorio — Puffer y mufla</v>
      </c>
      <c r="B140" s="12" t="str">
        <f aca="false">IF('Demanda por puesto'!$P$12=0,"—",IF(parametros_recargas!$N$82=0,$N$7,IF(B12&lt;=$O$9,$N$2,IF(parametros_recargas!$D$82="Tercerizado",$N$6,IF(B76&lt;$O$10,$N$3,IF(parametros_recargas!$D$82="Manual",$N$5,$N$4))))))</f>
        <v>OK</v>
      </c>
      <c r="C140" s="12" t="str">
        <f aca="false">IF('Demanda por puesto'!$P$44=0,"—",IF(parametros_recargas!$N$82=0,$N$7,IF(C12&lt;=$O$9,$N$2,IF(parametros_recargas!$D$82="Tercerizado",$N$6,IF(C76&lt;$O$10,$N$3,IF(parametros_recargas!$D$82="Manual",$N$5,$N$4))))))</f>
        <v>OK</v>
      </c>
      <c r="D140" s="12" t="str">
        <f aca="false">IF('Demanda por puesto'!$P$76=0,"—",IF(parametros_recargas!$N$82=0,$N$7,IF(D12&lt;=$O$9,$N$2,IF(parametros_recargas!$D$82="Tercerizado",$N$6,IF(D76&lt;$O$10,$N$3,IF(parametros_recargas!$D$82="Manual",$N$5,$N$4))))))</f>
        <v>OK</v>
      </c>
      <c r="E140" s="12" t="str">
        <f aca="false">IF('Demanda por puesto'!$P$108=0,"—",IF(parametros_recargas!$N$82=0,$N$7,IF(E12&lt;=$O$9,$N$2,IF(parametros_recargas!$D$82="Tercerizado",$N$6,IF(E76&lt;$O$10,$N$3,IF(parametros_recargas!$D$82="Manual",$N$5,$N$4))))))</f>
        <v>OK</v>
      </c>
      <c r="F140" s="12" t="str">
        <f aca="false">IF('Demanda por puesto'!$P$140=0,"—",IF(parametros_recargas!$N$82=0,$N$7,IF(F12&lt;=$O$9,$N$2,IF(parametros_recargas!$D$82="Tercerizado",$N$6,IF(F76&lt;$O$10,$N$3,IF(parametros_recargas!$D$82="Manual",$N$5,$N$4))))))</f>
        <v>OK</v>
      </c>
      <c r="G140" s="12" t="str">
        <f aca="false">IF('Demanda por puesto'!$P$172=0,"—",IF(parametros_recargas!$N$82=0,$N$7,IF(G12&lt;=$O$9,$N$2,IF(parametros_recargas!$D$82="Tercerizado",$N$6,IF(G76&lt;$O$10,$N$3,IF(parametros_recargas!$D$82="Manual",$N$5,$N$4))))))</f>
        <v>OK</v>
      </c>
      <c r="H140" s="12" t="str">
        <f aca="false">IF('Demanda por puesto'!$P$204=0,"—",IF(parametros_recargas!$N$82=0,$N$7,IF(H12&lt;=$O$9,$N$2,IF(parametros_recargas!$D$82="Tercerizado",$N$6,IF(H76&lt;$O$10,$N$3,IF(parametros_recargas!$D$82="Manual",$N$5,$N$4))))))</f>
        <v>OK</v>
      </c>
      <c r="I140" s="12" t="str">
        <f aca="false">IF('Demanda por puesto'!$P$236=0,"—",IF(parametros_recargas!$N$82=0,$N$7,IF(I12&lt;=$O$9,$N$2,IF(parametros_recargas!$D$82="Tercerizado",$N$6,IF(I76&lt;$O$10,$N$3,IF(parametros_recargas!$D$82="Manual",$N$5,$N$4))))))</f>
        <v>OK</v>
      </c>
      <c r="J140" s="12" t="str">
        <f aca="false">IF('Demanda por puesto'!$P$268=0,"—",IF(parametros_recargas!$N$82=0,$N$7,IF(J12&lt;=$O$9,$N$2,IF(parametros_recargas!$D$82="Tercerizado",$N$6,IF(J76&lt;$O$10,$N$3,IF(parametros_recargas!$D$82="Manual",$N$5,$N$4))))))</f>
        <v>OK</v>
      </c>
      <c r="K140" s="12" t="str">
        <f aca="false">IF('Demanda por puesto'!$P$300=0,"—",IF(parametros_recargas!$N$82=0,$N$7,IF(K12&lt;=$O$9,$N$2,IF(parametros_recargas!$D$82="Tercerizado",$N$6,IF(K76&lt;$O$10,$N$3,IF(parametros_recargas!$D$82="Manual",$N$5,$N$4))))))</f>
        <v>OK</v>
      </c>
    </row>
    <row r="141" customFormat="false" ht="15" hidden="false" customHeight="false" outlineLevel="0" collapsed="false">
      <c r="A141" s="12" t="str">
        <f aca="false">parametros_recargas!$B$83</f>
        <v>Prueba hidráulica</v>
      </c>
      <c r="B141" s="12" t="str">
        <f aca="false">IF('Demanda por puesto'!$P$13=0,"—",IF(parametros_recargas!$N$83=0,$N$7,IF(B13&lt;=$O$9,$N$2,IF(parametros_recargas!$D$83="Tercerizado",$N$6,IF(B77&lt;$O$10,$N$3,IF(parametros_recargas!$D$83="Manual",$N$5,$N$4))))))</f>
        <v>OK</v>
      </c>
      <c r="C141" s="12" t="str">
        <f aca="false">IF('Demanda por puesto'!$P$45=0,"—",IF(parametros_recargas!$N$83=0,$N$7,IF(C13&lt;=$O$9,$N$2,IF(parametros_recargas!$D$83="Tercerizado",$N$6,IF(C77&lt;$O$10,$N$3,IF(parametros_recargas!$D$83="Manual",$N$5,$N$4))))))</f>
        <v>OK</v>
      </c>
      <c r="D141" s="12" t="str">
        <f aca="false">IF('Demanda por puesto'!$P$77=0,"—",IF(parametros_recargas!$N$83=0,$N$7,IF(D13&lt;=$O$9,$N$2,IF(parametros_recargas!$D$83="Tercerizado",$N$6,IF(D77&lt;$O$10,$N$3,IF(parametros_recargas!$D$83="Manual",$N$5,$N$4))))))</f>
        <v>OK</v>
      </c>
      <c r="E141" s="12" t="str">
        <f aca="false">IF('Demanda por puesto'!$P$109=0,"—",IF(parametros_recargas!$N$83=0,$N$7,IF(E13&lt;=$O$9,$N$2,IF(parametros_recargas!$D$83="Tercerizado",$N$6,IF(E77&lt;$O$10,$N$3,IF(parametros_recargas!$D$83="Manual",$N$5,$N$4))))))</f>
        <v>Agrega turno</v>
      </c>
      <c r="F141" s="12" t="str">
        <f aca="false">IF('Demanda por puesto'!$P$141=0,"—",IF(parametros_recargas!$N$83=0,$N$7,IF(F13&lt;=$O$9,$N$2,IF(parametros_recargas!$D$83="Tercerizado",$N$6,IF(F77&lt;$O$10,$N$3,IF(parametros_recargas!$D$83="Manual",$N$5,$N$4))))))</f>
        <v>Agrega turno</v>
      </c>
      <c r="G141" s="12" t="str">
        <f aca="false">IF('Demanda por puesto'!$P$173=0,"—",IF(parametros_recargas!$N$83=0,$N$7,IF(G13&lt;=$O$9,$N$2,IF(parametros_recargas!$D$83="Tercerizado",$N$6,IF(G77&lt;$O$10,$N$3,IF(parametros_recargas!$D$83="Manual",$N$5,$N$4))))))</f>
        <v>Agrega turno</v>
      </c>
      <c r="H141" s="12" t="str">
        <f aca="false">IF('Demanda por puesto'!$P$205=0,"—",IF(parametros_recargas!$N$83=0,$N$7,IF(H13&lt;=$O$9,$N$2,IF(parametros_recargas!$D$83="Tercerizado",$N$6,IF(H77&lt;$O$10,$N$3,IF(parametros_recargas!$D$83="Manual",$N$5,$N$4))))))</f>
        <v>Agrega turno</v>
      </c>
      <c r="I141" s="12" t="str">
        <f aca="false">IF('Demanda por puesto'!$P$237=0,"—",IF(parametros_recargas!$N$83=0,$N$7,IF(I13&lt;=$O$9,$N$2,IF(parametros_recargas!$D$83="Tercerizado",$N$6,IF(I77&lt;$O$10,$N$3,IF(parametros_recargas!$D$83="Manual",$N$5,$N$4))))))</f>
        <v>Agrega turno</v>
      </c>
      <c r="J141" s="12" t="str">
        <f aca="false">IF('Demanda por puesto'!$P$269=0,"—",IF(parametros_recargas!$N$83=0,$N$7,IF(J13&lt;=$O$9,$N$2,IF(parametros_recargas!$D$83="Tercerizado",$N$6,IF(J77&lt;$O$10,$N$3,IF(parametros_recargas!$D$83="Manual",$N$5,$N$4))))))</f>
        <v>Agrega turno</v>
      </c>
      <c r="K141" s="12" t="str">
        <f aca="false">IF('Demanda por puesto'!$P$301=0,"—",IF(parametros_recargas!$N$83=0,$N$7,IF(K13&lt;=$O$9,$N$2,IF(parametros_recargas!$D$83="Tercerizado",$N$6,IF(K77&lt;$O$10,$N$3,IF(parametros_recargas!$D$83="Manual",$N$5,$N$4))))))</f>
        <v>Agrega turno</v>
      </c>
    </row>
    <row r="142" customFormat="false" ht="15" hidden="false" customHeight="false" outlineLevel="0" collapsed="false">
      <c r="A142" s="12" t="str">
        <f aca="false">parametros_recargas!$B$84</f>
        <v>Secado</v>
      </c>
      <c r="B142" s="12" t="str">
        <f aca="false">IF('Demanda por puesto'!$P$14=0,"—",IF(parametros_recargas!$N$84=0,$N$7,IF(B14&lt;=$O$9,$N$2,IF(parametros_recargas!$D$84="Tercerizado",$N$6,IF(B78&lt;$O$10,$N$3,IF(parametros_recargas!$D$84="Manual",$N$5,$N$4))))))</f>
        <v>OK</v>
      </c>
      <c r="C142" s="12" t="str">
        <f aca="false">IF('Demanda por puesto'!$P$46=0,"—",IF(parametros_recargas!$N$84=0,$N$7,IF(C14&lt;=$O$9,$N$2,IF(parametros_recargas!$D$84="Tercerizado",$N$6,IF(C78&lt;$O$10,$N$3,IF(parametros_recargas!$D$84="Manual",$N$5,$N$4))))))</f>
        <v>OK</v>
      </c>
      <c r="D142" s="12" t="str">
        <f aca="false">IF('Demanda por puesto'!$P$78=0,"—",IF(parametros_recargas!$N$84=0,$N$7,IF(D14&lt;=$O$9,$N$2,IF(parametros_recargas!$D$84="Tercerizado",$N$6,IF(D78&lt;$O$10,$N$3,IF(parametros_recargas!$D$84="Manual",$N$5,$N$4))))))</f>
        <v>OK</v>
      </c>
      <c r="E142" s="12" t="str">
        <f aca="false">IF('Demanda por puesto'!$P$110=0,"—",IF(parametros_recargas!$N$84=0,$N$7,IF(E14&lt;=$O$9,$N$2,IF(parametros_recargas!$D$84="Tercerizado",$N$6,IF(E78&lt;$O$10,$N$3,IF(parametros_recargas!$D$84="Manual",$N$5,$N$4))))))</f>
        <v>OK</v>
      </c>
      <c r="F142" s="12" t="str">
        <f aca="false">IF('Demanda por puesto'!$P$142=0,"—",IF(parametros_recargas!$N$84=0,$N$7,IF(F14&lt;=$O$9,$N$2,IF(parametros_recargas!$D$84="Tercerizado",$N$6,IF(F78&lt;$O$10,$N$3,IF(parametros_recargas!$D$84="Manual",$N$5,$N$4))))))</f>
        <v>OK</v>
      </c>
      <c r="G142" s="12" t="str">
        <f aca="false">IF('Demanda por puesto'!$P$174=0,"—",IF(parametros_recargas!$N$84=0,$N$7,IF(G14&lt;=$O$9,$N$2,IF(parametros_recargas!$D$84="Tercerizado",$N$6,IF(G78&lt;$O$10,$N$3,IF(parametros_recargas!$D$84="Manual",$N$5,$N$4))))))</f>
        <v>Agrega turno</v>
      </c>
      <c r="H142" s="12" t="str">
        <f aca="false">IF('Demanda por puesto'!$P$206=0,"—",IF(parametros_recargas!$N$84=0,$N$7,IF(H14&lt;=$O$9,$N$2,IF(parametros_recargas!$D$84="Tercerizado",$N$6,IF(H78&lt;$O$10,$N$3,IF(parametros_recargas!$D$84="Manual",$N$5,$N$4))))))</f>
        <v>Agrega turno</v>
      </c>
      <c r="I142" s="12" t="str">
        <f aca="false">IF('Demanda por puesto'!$P$238=0,"—",IF(parametros_recargas!$N$84=0,$N$7,IF(I14&lt;=$O$9,$N$2,IF(parametros_recargas!$D$84="Tercerizado",$N$6,IF(I78&lt;$O$10,$N$3,IF(parametros_recargas!$D$84="Manual",$N$5,$N$4))))))</f>
        <v>Agrega turno</v>
      </c>
      <c r="J142" s="12" t="str">
        <f aca="false">IF('Demanda por puesto'!$P$270=0,"—",IF(parametros_recargas!$N$84=0,$N$7,IF(J14&lt;=$O$9,$N$2,IF(parametros_recargas!$D$84="Tercerizado",$N$6,IF(J78&lt;$O$10,$N$3,IF(parametros_recargas!$D$84="Manual",$N$5,$N$4))))))</f>
        <v>Agrega turno</v>
      </c>
      <c r="K142" s="12" t="str">
        <f aca="false">IF('Demanda por puesto'!$P$302=0,"—",IF(parametros_recargas!$N$84=0,$N$7,IF(K14&lt;=$O$9,$N$2,IF(parametros_recargas!$D$84="Tercerizado",$N$6,IF(K78&lt;$O$10,$N$3,IF(parametros_recargas!$D$84="Manual",$N$5,$N$4))))))</f>
        <v>Agrega turno</v>
      </c>
    </row>
    <row r="143" customFormat="false" ht="15" hidden="false" customHeight="false" outlineLevel="0" collapsed="false">
      <c r="A143" s="12" t="str">
        <f aca="false">parametros_recargas!$B$85</f>
        <v>Inspección interior con videoscopio</v>
      </c>
      <c r="B143" s="12" t="str">
        <f aca="false">IF('Demanda por puesto'!$P$15=0,"—",IF(parametros_recargas!$N$85=0,$N$7,IF(B15&lt;=$O$9,$N$2,IF(parametros_recargas!$D$85="Tercerizado",$N$6,IF(B79&lt;$O$10,$N$3,IF(parametros_recargas!$D$85="Manual",$N$5,$N$4))))))</f>
        <v>OK</v>
      </c>
      <c r="C143" s="12" t="str">
        <f aca="false">IF('Demanda por puesto'!$P$47=0,"—",IF(parametros_recargas!$N$85=0,$N$7,IF(C15&lt;=$O$9,$N$2,IF(parametros_recargas!$D$85="Tercerizado",$N$6,IF(C79&lt;$O$10,$N$3,IF(parametros_recargas!$D$85="Manual",$N$5,$N$4))))))</f>
        <v>OK</v>
      </c>
      <c r="D143" s="12" t="str">
        <f aca="false">IF('Demanda por puesto'!$P$79=0,"—",IF(parametros_recargas!$N$85=0,$N$7,IF(D15&lt;=$O$9,$N$2,IF(parametros_recargas!$D$85="Tercerizado",$N$6,IF(D79&lt;$O$10,$N$3,IF(parametros_recargas!$D$85="Manual",$N$5,$N$4))))))</f>
        <v>OK</v>
      </c>
      <c r="E143" s="12" t="str">
        <f aca="false">IF('Demanda por puesto'!$P$111=0,"—",IF(parametros_recargas!$N$85=0,$N$7,IF(E15&lt;=$O$9,$N$2,IF(parametros_recargas!$D$85="Tercerizado",$N$6,IF(E79&lt;$O$10,$N$3,IF(parametros_recargas!$D$85="Manual",$N$5,$N$4))))))</f>
        <v>OK</v>
      </c>
      <c r="F143" s="12" t="str">
        <f aca="false">IF('Demanda por puesto'!$P$143=0,"—",IF(parametros_recargas!$N$85=0,$N$7,IF(F15&lt;=$O$9,$N$2,IF(parametros_recargas!$D$85="Tercerizado",$N$6,IF(F79&lt;$O$10,$N$3,IF(parametros_recargas!$D$85="Manual",$N$5,$N$4))))))</f>
        <v>OK</v>
      </c>
      <c r="G143" s="12" t="str">
        <f aca="false">IF('Demanda por puesto'!$P$175=0,"—",IF(parametros_recargas!$N$85=0,$N$7,IF(G15&lt;=$O$9,$N$2,IF(parametros_recargas!$D$85="Tercerizado",$N$6,IF(G79&lt;$O$10,$N$3,IF(parametros_recargas!$D$85="Manual",$N$5,$N$4))))))</f>
        <v>OK</v>
      </c>
      <c r="H143" s="12" t="str">
        <f aca="false">IF('Demanda por puesto'!$P$207=0,"—",IF(parametros_recargas!$N$85=0,$N$7,IF(H15&lt;=$O$9,$N$2,IF(parametros_recargas!$D$85="Tercerizado",$N$6,IF(H79&lt;$O$10,$N$3,IF(parametros_recargas!$D$85="Manual",$N$5,$N$4))))))</f>
        <v>OK</v>
      </c>
      <c r="I143" s="12" t="str">
        <f aca="false">IF('Demanda por puesto'!$P$239=0,"—",IF(parametros_recargas!$N$85=0,$N$7,IF(I15&lt;=$O$9,$N$2,IF(parametros_recargas!$D$85="Tercerizado",$N$6,IF(I79&lt;$O$10,$N$3,IF(parametros_recargas!$D$85="Manual",$N$5,$N$4))))))</f>
        <v>OK</v>
      </c>
      <c r="J143" s="12" t="str">
        <f aca="false">IF('Demanda por puesto'!$P$271=0,"—",IF(parametros_recargas!$N$85=0,$N$7,IF(J15&lt;=$O$9,$N$2,IF(parametros_recargas!$D$85="Tercerizado",$N$6,IF(J79&lt;$O$10,$N$3,IF(parametros_recargas!$D$85="Manual",$N$5,$N$4))))))</f>
        <v>OK</v>
      </c>
      <c r="K143" s="12" t="str">
        <f aca="false">IF('Demanda por puesto'!$P$303=0,"—",IF(parametros_recargas!$N$85=0,$N$7,IF(K15&lt;=$O$9,$N$2,IF(parametros_recargas!$D$85="Tercerizado",$N$6,IF(K79&lt;$O$10,$N$3,IF(parametros_recargas!$D$85="Manual",$N$5,$N$4))))))</f>
        <v>OK</v>
      </c>
    </row>
    <row r="144" customFormat="false" ht="15" hidden="false" customHeight="false" outlineLevel="0" collapsed="false">
      <c r="A144" s="12" t="str">
        <f aca="false">parametros_recargas!$B$86</f>
        <v>Pintura</v>
      </c>
      <c r="B144" s="12" t="str">
        <f aca="false">IF('Demanda por puesto'!$P$16=0,"—",IF(parametros_recargas!$N$86=0,$N$7,IF(B16&lt;=$O$9,$N$2,IF(parametros_recargas!$D$86="Tercerizado",$N$6,IF(B80&lt;$O$10,$N$3,IF(parametros_recargas!$D$86="Manual",$N$5,$N$4))))))</f>
        <v>OK</v>
      </c>
      <c r="C144" s="12" t="str">
        <f aca="false">IF('Demanda por puesto'!$P$48=0,"—",IF(parametros_recargas!$N$86=0,$N$7,IF(C16&lt;=$O$9,$N$2,IF(parametros_recargas!$D$86="Tercerizado",$N$6,IF(C80&lt;$O$10,$N$3,IF(parametros_recargas!$D$86="Manual",$N$5,$N$4))))))</f>
        <v>OK</v>
      </c>
      <c r="D144" s="12" t="str">
        <f aca="false">IF('Demanda por puesto'!$P$80=0,"—",IF(parametros_recargas!$N$86=0,$N$7,IF(D16&lt;=$O$9,$N$2,IF(parametros_recargas!$D$86="Tercerizado",$N$6,IF(D80&lt;$O$10,$N$3,IF(parametros_recargas!$D$86="Manual",$N$5,$N$4))))))</f>
        <v>OK</v>
      </c>
      <c r="E144" s="12" t="str">
        <f aca="false">IF('Demanda por puesto'!$P$112=0,"—",IF(parametros_recargas!$N$86=0,$N$7,IF(E16&lt;=$O$9,$N$2,IF(parametros_recargas!$D$86="Tercerizado",$N$6,IF(E80&lt;$O$10,$N$3,IF(parametros_recargas!$D$86="Manual",$N$5,$N$4))))))</f>
        <v>Agrega turno</v>
      </c>
      <c r="F144" s="12" t="str">
        <f aca="false">IF('Demanda por puesto'!$P$144=0,"—",IF(parametros_recargas!$N$86=0,$N$7,IF(F16&lt;=$O$9,$N$2,IF(parametros_recargas!$D$86="Tercerizado",$N$6,IF(F80&lt;$O$10,$N$3,IF(parametros_recargas!$D$86="Manual",$N$5,$N$4))))))</f>
        <v>Agrega turno</v>
      </c>
      <c r="G144" s="12" t="str">
        <f aca="false">IF('Demanda por puesto'!$P$176=0,"—",IF(parametros_recargas!$N$86=0,$N$7,IF(G16&lt;=$O$9,$N$2,IF(parametros_recargas!$D$86="Tercerizado",$N$6,IF(G80&lt;$O$10,$N$3,IF(parametros_recargas!$D$86="Manual",$N$5,$N$4))))))</f>
        <v>Agrega turno</v>
      </c>
      <c r="H144" s="12" t="str">
        <f aca="false">IF('Demanda por puesto'!$P$208=0,"—",IF(parametros_recargas!$N$86=0,$N$7,IF(H16&lt;=$O$9,$N$2,IF(parametros_recargas!$D$86="Tercerizado",$N$6,IF(H80&lt;$O$10,$N$3,IF(parametros_recargas!$D$86="Manual",$N$5,$N$4))))))</f>
        <v>Agrega turno</v>
      </c>
      <c r="I144" s="12" t="str">
        <f aca="false">IF('Demanda por puesto'!$P$240=0,"—",IF(parametros_recargas!$N$86=0,$N$7,IF(I16&lt;=$O$9,$N$2,IF(parametros_recargas!$D$86="Tercerizado",$N$6,IF(I80&lt;$O$10,$N$3,IF(parametros_recargas!$D$86="Manual",$N$5,$N$4))))))</f>
        <v>Agrega turno</v>
      </c>
      <c r="J144" s="12" t="str">
        <f aca="false">IF('Demanda por puesto'!$P$272=0,"—",IF(parametros_recargas!$N$86=0,$N$7,IF(J16&lt;=$O$9,$N$2,IF(parametros_recargas!$D$86="Tercerizado",$N$6,IF(J80&lt;$O$10,$N$3,IF(parametros_recargas!$D$86="Manual",$N$5,$N$4))))))</f>
        <v>Agrega turno</v>
      </c>
      <c r="K144" s="12" t="str">
        <f aca="false">IF('Demanda por puesto'!$P$304=0,"—",IF(parametros_recargas!$N$86=0,$N$7,IF(K16&lt;=$O$9,$N$2,IF(parametros_recargas!$D$86="Tercerizado",$N$6,IF(K80&lt;$O$10,$N$3,IF(parametros_recargas!$D$86="Manual",$N$5,$N$4))))))</f>
        <v>Agrega turno</v>
      </c>
    </row>
    <row r="145" customFormat="false" ht="15" hidden="false" customHeight="false" outlineLevel="0" collapsed="false">
      <c r="A145" s="12" t="str">
        <f aca="false">parametros_recargas!$B$87</f>
        <v>Carga de polvo ABC</v>
      </c>
      <c r="B145" s="12" t="str">
        <f aca="false">IF('Demanda por puesto'!$P$17=0,"—",IF(parametros_recargas!$N$87=0,$N$7,IF(B17&lt;=$O$9,$N$2,IF(parametros_recargas!$D$87="Tercerizado",$N$6,IF(B81&lt;$O$10,$N$3,IF(parametros_recargas!$D$87="Manual",$N$5,$N$4))))))</f>
        <v>OK</v>
      </c>
      <c r="C145" s="12" t="str">
        <f aca="false">IF('Demanda por puesto'!$P$49=0,"—",IF(parametros_recargas!$N$87=0,$N$7,IF(C17&lt;=$O$9,$N$2,IF(parametros_recargas!$D$87="Tercerizado",$N$6,IF(C81&lt;$O$10,$N$3,IF(parametros_recargas!$D$87="Manual",$N$5,$N$4))))))</f>
        <v>OK</v>
      </c>
      <c r="D145" s="12" t="str">
        <f aca="false">IF('Demanda por puesto'!$P$81=0,"—",IF(parametros_recargas!$N$87=0,$N$7,IF(D17&lt;=$O$9,$N$2,IF(parametros_recargas!$D$87="Tercerizado",$N$6,IF(D81&lt;$O$10,$N$3,IF(parametros_recargas!$D$87="Manual",$N$5,$N$4))))))</f>
        <v>OK</v>
      </c>
      <c r="E145" s="12" t="str">
        <f aca="false">IF('Demanda por puesto'!$P$113=0,"—",IF(parametros_recargas!$N$87=0,$N$7,IF(E17&lt;=$O$9,$N$2,IF(parametros_recargas!$D$87="Tercerizado",$N$6,IF(E81&lt;$O$10,$N$3,IF(parametros_recargas!$D$87="Manual",$N$5,$N$4))))))</f>
        <v>Agrega turno</v>
      </c>
      <c r="F145" s="12" t="str">
        <f aca="false">IF('Demanda por puesto'!$P$145=0,"—",IF(parametros_recargas!$N$87=0,$N$7,IF(F17&lt;=$O$9,$N$2,IF(parametros_recargas!$D$87="Tercerizado",$N$6,IF(F81&lt;$O$10,$N$3,IF(parametros_recargas!$D$87="Manual",$N$5,$N$4))))))</f>
        <v>Agrega turno</v>
      </c>
      <c r="G145" s="12" t="str">
        <f aca="false">IF('Demanda por puesto'!$P$177=0,"—",IF(parametros_recargas!$N$87=0,$N$7,IF(G17&lt;=$O$9,$N$2,IF(parametros_recargas!$D$87="Tercerizado",$N$6,IF(G81&lt;$O$10,$N$3,IF(parametros_recargas!$D$87="Manual",$N$5,$N$4))))))</f>
        <v>Agrega turno</v>
      </c>
      <c r="H145" s="12" t="str">
        <f aca="false">IF('Demanda por puesto'!$P$209=0,"—",IF(parametros_recargas!$N$87=0,$N$7,IF(H17&lt;=$O$9,$N$2,IF(parametros_recargas!$D$87="Tercerizado",$N$6,IF(H81&lt;$O$10,$N$3,IF(parametros_recargas!$D$87="Manual",$N$5,$N$4))))))</f>
        <v>Agrega turno</v>
      </c>
      <c r="I145" s="12" t="str">
        <f aca="false">IF('Demanda por puesto'!$P$241=0,"—",IF(parametros_recargas!$N$87=0,$N$7,IF(I17&lt;=$O$9,$N$2,IF(parametros_recargas!$D$87="Tercerizado",$N$6,IF(I81&lt;$O$10,$N$3,IF(parametros_recargas!$D$87="Manual",$N$5,$N$4))))))</f>
        <v>Agrega turno</v>
      </c>
      <c r="J145" s="12" t="str">
        <f aca="false">IF('Demanda por puesto'!$P$273=0,"—",IF(parametros_recargas!$N$87=0,$N$7,IF(J17&lt;=$O$9,$N$2,IF(parametros_recargas!$D$87="Tercerizado",$N$6,IF(J81&lt;$O$10,$N$3,IF(parametros_recargas!$D$87="Manual",$N$5,$N$4))))))</f>
        <v>Agrega turno</v>
      </c>
      <c r="K145" s="12" t="str">
        <f aca="false">IF('Demanda por puesto'!$P$305=0,"—",IF(parametros_recargas!$N$87=0,$N$7,IF(K17&lt;=$O$9,$N$2,IF(parametros_recargas!$D$87="Tercerizado",$N$6,IF(K81&lt;$O$10,$N$3,IF(parametros_recargas!$D$87="Manual",$N$5,$N$4))))))</f>
        <v>Agrega turno</v>
      </c>
    </row>
    <row r="146" customFormat="false" ht="15" hidden="false" customHeight="false" outlineLevel="0" collapsed="false">
      <c r="A146" s="12" t="str">
        <f aca="false">parametros_recargas!$B$88</f>
        <v>Carga de polvo BC</v>
      </c>
      <c r="B146" s="12" t="str">
        <f aca="false">IF('Demanda por puesto'!$P$18=0,"—",IF(parametros_recargas!$N$88=0,$N$7,IF(B18&lt;=$O$9,$N$2,IF(parametros_recargas!$D$88="Tercerizado",$N$6,IF(B82&lt;$O$10,$N$3,IF(parametros_recargas!$D$88="Manual",$N$5,$N$4))))))</f>
        <v>OK</v>
      </c>
      <c r="C146" s="12" t="str">
        <f aca="false">IF('Demanda por puesto'!$P$50=0,"—",IF(parametros_recargas!$N$88=0,$N$7,IF(C18&lt;=$O$9,$N$2,IF(parametros_recargas!$D$88="Tercerizado",$N$6,IF(C82&lt;$O$10,$N$3,IF(parametros_recargas!$D$88="Manual",$N$5,$N$4))))))</f>
        <v>OK</v>
      </c>
      <c r="D146" s="12" t="str">
        <f aca="false">IF('Demanda por puesto'!$P$82=0,"—",IF(parametros_recargas!$N$88=0,$N$7,IF(D18&lt;=$O$9,$N$2,IF(parametros_recargas!$D$88="Tercerizado",$N$6,IF(D82&lt;$O$10,$N$3,IF(parametros_recargas!$D$88="Manual",$N$5,$N$4))))))</f>
        <v>OK</v>
      </c>
      <c r="E146" s="12" t="str">
        <f aca="false">IF('Demanda por puesto'!$P$114=0,"—",IF(parametros_recargas!$N$88=0,$N$7,IF(E18&lt;=$O$9,$N$2,IF(parametros_recargas!$D$88="Tercerizado",$N$6,IF(E82&lt;$O$10,$N$3,IF(parametros_recargas!$D$88="Manual",$N$5,$N$4))))))</f>
        <v>OK</v>
      </c>
      <c r="F146" s="12" t="str">
        <f aca="false">IF('Demanda por puesto'!$P$146=0,"—",IF(parametros_recargas!$N$88=0,$N$7,IF(F18&lt;=$O$9,$N$2,IF(parametros_recargas!$D$88="Tercerizado",$N$6,IF(F82&lt;$O$10,$N$3,IF(parametros_recargas!$D$88="Manual",$N$5,$N$4))))))</f>
        <v>OK</v>
      </c>
      <c r="G146" s="12" t="str">
        <f aca="false">IF('Demanda por puesto'!$P$178=0,"—",IF(parametros_recargas!$N$88=0,$N$7,IF(G18&lt;=$O$9,$N$2,IF(parametros_recargas!$D$88="Tercerizado",$N$6,IF(G82&lt;$O$10,$N$3,IF(parametros_recargas!$D$88="Manual",$N$5,$N$4))))))</f>
        <v>OK</v>
      </c>
      <c r="H146" s="12" t="str">
        <f aca="false">IF('Demanda por puesto'!$P$210=0,"—",IF(parametros_recargas!$N$88=0,$N$7,IF(H18&lt;=$O$9,$N$2,IF(parametros_recargas!$D$88="Tercerizado",$N$6,IF(H82&lt;$O$10,$N$3,IF(parametros_recargas!$D$88="Manual",$N$5,$N$4))))))</f>
        <v>OK</v>
      </c>
      <c r="I146" s="12" t="str">
        <f aca="false">IF('Demanda por puesto'!$P$242=0,"—",IF(parametros_recargas!$N$88=0,$N$7,IF(I18&lt;=$O$9,$N$2,IF(parametros_recargas!$D$88="Tercerizado",$N$6,IF(I82&lt;$O$10,$N$3,IF(parametros_recargas!$D$88="Manual",$N$5,$N$4))))))</f>
        <v>OK</v>
      </c>
      <c r="J146" s="12" t="str">
        <f aca="false">IF('Demanda por puesto'!$P$274=0,"—",IF(parametros_recargas!$N$88=0,$N$7,IF(J18&lt;=$O$9,$N$2,IF(parametros_recargas!$D$88="Tercerizado",$N$6,IF(J82&lt;$O$10,$N$3,IF(parametros_recargas!$D$88="Manual",$N$5,$N$4))))))</f>
        <v>OK</v>
      </c>
      <c r="K146" s="12" t="str">
        <f aca="false">IF('Demanda por puesto'!$P$306=0,"—",IF(parametros_recargas!$N$88=0,$N$7,IF(K18&lt;=$O$9,$N$2,IF(parametros_recargas!$D$88="Tercerizado",$N$6,IF(K82&lt;$O$10,$N$3,IF(parametros_recargas!$D$88="Manual",$N$5,$N$4))))))</f>
        <v>OK</v>
      </c>
    </row>
    <row r="147" customFormat="false" ht="15" hidden="false" customHeight="false" outlineLevel="0" collapsed="false">
      <c r="A147" s="12" t="str">
        <f aca="false">parametros_recargas!$B$89</f>
        <v>Descarga y carga Clase D</v>
      </c>
      <c r="B147" s="12" t="str">
        <f aca="false">IF('Demanda por puesto'!$P$19=0,"—",IF(parametros_recargas!$N$89=0,$N$7,IF(B19&lt;=$O$9,$N$2,IF(parametros_recargas!$D$89="Tercerizado",$N$6,IF(B83&lt;$O$10,$N$3,IF(parametros_recargas!$D$89="Manual",$N$5,$N$4))))))</f>
        <v>OK</v>
      </c>
      <c r="C147" s="12" t="str">
        <f aca="false">IF('Demanda por puesto'!$P$51=0,"—",IF(parametros_recargas!$N$89=0,$N$7,IF(C19&lt;=$O$9,$N$2,IF(parametros_recargas!$D$89="Tercerizado",$N$6,IF(C83&lt;$O$10,$N$3,IF(parametros_recargas!$D$89="Manual",$N$5,$N$4))))))</f>
        <v>OK</v>
      </c>
      <c r="D147" s="12" t="str">
        <f aca="false">IF('Demanda por puesto'!$P$83=0,"—",IF(parametros_recargas!$N$89=0,$N$7,IF(D19&lt;=$O$9,$N$2,IF(parametros_recargas!$D$89="Tercerizado",$N$6,IF(D83&lt;$O$10,$N$3,IF(parametros_recargas!$D$89="Manual",$N$5,$N$4))))))</f>
        <v>OK</v>
      </c>
      <c r="E147" s="12" t="str">
        <f aca="false">IF('Demanda por puesto'!$P$115=0,"—",IF(parametros_recargas!$N$89=0,$N$7,IF(E19&lt;=$O$9,$N$2,IF(parametros_recargas!$D$89="Tercerizado",$N$6,IF(E83&lt;$O$10,$N$3,IF(parametros_recargas!$D$89="Manual",$N$5,$N$4))))))</f>
        <v>OK</v>
      </c>
      <c r="F147" s="12" t="str">
        <f aca="false">IF('Demanda por puesto'!$P$147=0,"—",IF(parametros_recargas!$N$89=0,$N$7,IF(F19&lt;=$O$9,$N$2,IF(parametros_recargas!$D$89="Tercerizado",$N$6,IF(F83&lt;$O$10,$N$3,IF(parametros_recargas!$D$89="Manual",$N$5,$N$4))))))</f>
        <v>OK</v>
      </c>
      <c r="G147" s="12" t="str">
        <f aca="false">IF('Demanda por puesto'!$P$179=0,"—",IF(parametros_recargas!$N$89=0,$N$7,IF(G19&lt;=$O$9,$N$2,IF(parametros_recargas!$D$89="Tercerizado",$N$6,IF(G83&lt;$O$10,$N$3,IF(parametros_recargas!$D$89="Manual",$N$5,$N$4))))))</f>
        <v>OK</v>
      </c>
      <c r="H147" s="12" t="str">
        <f aca="false">IF('Demanda por puesto'!$P$211=0,"—",IF(parametros_recargas!$N$89=0,$N$7,IF(H19&lt;=$O$9,$N$2,IF(parametros_recargas!$D$89="Tercerizado",$N$6,IF(H83&lt;$O$10,$N$3,IF(parametros_recargas!$D$89="Manual",$N$5,$N$4))))))</f>
        <v>OK</v>
      </c>
      <c r="I147" s="12" t="str">
        <f aca="false">IF('Demanda por puesto'!$P$243=0,"—",IF(parametros_recargas!$N$89=0,$N$7,IF(I19&lt;=$O$9,$N$2,IF(parametros_recargas!$D$89="Tercerizado",$N$6,IF(I83&lt;$O$10,$N$3,IF(parametros_recargas!$D$89="Manual",$N$5,$N$4))))))</f>
        <v>OK</v>
      </c>
      <c r="J147" s="12" t="str">
        <f aca="false">IF('Demanda por puesto'!$P$275=0,"—",IF(parametros_recargas!$N$89=0,$N$7,IF(J19&lt;=$O$9,$N$2,IF(parametros_recargas!$D$89="Tercerizado",$N$6,IF(J83&lt;$O$10,$N$3,IF(parametros_recargas!$D$89="Manual",$N$5,$N$4))))))</f>
        <v>OK</v>
      </c>
      <c r="K147" s="12" t="str">
        <f aca="false">IF('Demanda por puesto'!$P$307=0,"—",IF(parametros_recargas!$N$89=0,$N$7,IF(K19&lt;=$O$9,$N$2,IF(parametros_recargas!$D$89="Tercerizado",$N$6,IF(K83&lt;$O$10,$N$3,IF(parametros_recargas!$D$89="Manual",$N$5,$N$4))))))</f>
        <v>OK</v>
      </c>
    </row>
    <row r="148" customFormat="false" ht="15" hidden="false" customHeight="false" outlineLevel="0" collapsed="false">
      <c r="A148" s="12" t="str">
        <f aca="false">parametros_recargas!$B$90</f>
        <v>Carga de agua / AFFF / sales K</v>
      </c>
      <c r="B148" s="12" t="str">
        <f aca="false">IF('Demanda por puesto'!$P$20=0,"—",IF(parametros_recargas!$N$90=0,$N$7,IF(B20&lt;=$O$9,$N$2,IF(parametros_recargas!$D$90="Tercerizado",$N$6,IF(B84&lt;$O$10,$N$3,IF(parametros_recargas!$D$90="Manual",$N$5,$N$4))))))</f>
        <v>OK</v>
      </c>
      <c r="C148" s="12" t="str">
        <f aca="false">IF('Demanda por puesto'!$P$52=0,"—",IF(parametros_recargas!$N$90=0,$N$7,IF(C20&lt;=$O$9,$N$2,IF(parametros_recargas!$D$90="Tercerizado",$N$6,IF(C84&lt;$O$10,$N$3,IF(parametros_recargas!$D$90="Manual",$N$5,$N$4))))))</f>
        <v>OK</v>
      </c>
      <c r="D148" s="12" t="str">
        <f aca="false">IF('Demanda por puesto'!$P$84=0,"—",IF(parametros_recargas!$N$90=0,$N$7,IF(D20&lt;=$O$9,$N$2,IF(parametros_recargas!$D$90="Tercerizado",$N$6,IF(D84&lt;$O$10,$N$3,IF(parametros_recargas!$D$90="Manual",$N$5,$N$4))))))</f>
        <v>OK</v>
      </c>
      <c r="E148" s="12" t="str">
        <f aca="false">IF('Demanda por puesto'!$P$116=0,"—",IF(parametros_recargas!$N$90=0,$N$7,IF(E20&lt;=$O$9,$N$2,IF(parametros_recargas!$D$90="Tercerizado",$N$6,IF(E84&lt;$O$10,$N$3,IF(parametros_recargas!$D$90="Manual",$N$5,$N$4))))))</f>
        <v>OK</v>
      </c>
      <c r="F148" s="12" t="str">
        <f aca="false">IF('Demanda por puesto'!$P$148=0,"—",IF(parametros_recargas!$N$90=0,$N$7,IF(F20&lt;=$O$9,$N$2,IF(parametros_recargas!$D$90="Tercerizado",$N$6,IF(F84&lt;$O$10,$N$3,IF(parametros_recargas!$D$90="Manual",$N$5,$N$4))))))</f>
        <v>OK</v>
      </c>
      <c r="G148" s="12" t="str">
        <f aca="false">IF('Demanda por puesto'!$P$180=0,"—",IF(parametros_recargas!$N$90=0,$N$7,IF(G20&lt;=$O$9,$N$2,IF(parametros_recargas!$D$90="Tercerizado",$N$6,IF(G84&lt;$O$10,$N$3,IF(parametros_recargas!$D$90="Manual",$N$5,$N$4))))))</f>
        <v>OK</v>
      </c>
      <c r="H148" s="12" t="str">
        <f aca="false">IF('Demanda por puesto'!$P$212=0,"—",IF(parametros_recargas!$N$90=0,$N$7,IF(H20&lt;=$O$9,$N$2,IF(parametros_recargas!$D$90="Tercerizado",$N$6,IF(H84&lt;$O$10,$N$3,IF(parametros_recargas!$D$90="Manual",$N$5,$N$4))))))</f>
        <v>OK</v>
      </c>
      <c r="I148" s="12" t="str">
        <f aca="false">IF('Demanda por puesto'!$P$244=0,"—",IF(parametros_recargas!$N$90=0,$N$7,IF(I20&lt;=$O$9,$N$2,IF(parametros_recargas!$D$90="Tercerizado",$N$6,IF(I84&lt;$O$10,$N$3,IF(parametros_recargas!$D$90="Manual",$N$5,$N$4))))))</f>
        <v>OK</v>
      </c>
      <c r="J148" s="12" t="str">
        <f aca="false">IF('Demanda por puesto'!$P$276=0,"—",IF(parametros_recargas!$N$90=0,$N$7,IF(J20&lt;=$O$9,$N$2,IF(parametros_recargas!$D$90="Tercerizado",$N$6,IF(J84&lt;$O$10,$N$3,IF(parametros_recargas!$D$90="Manual",$N$5,$N$4))))))</f>
        <v>OK</v>
      </c>
      <c r="K148" s="12" t="str">
        <f aca="false">IF('Demanda por puesto'!$P$308=0,"—",IF(parametros_recargas!$N$90=0,$N$7,IF(K20&lt;=$O$9,$N$2,IF(parametros_recargas!$D$90="Tercerizado",$N$6,IF(K84&lt;$O$10,$N$3,IF(parametros_recargas!$D$90="Manual",$N$5,$N$4))))))</f>
        <v>OK</v>
      </c>
    </row>
    <row r="149" customFormat="false" ht="15" hidden="false" customHeight="false" outlineLevel="0" collapsed="false">
      <c r="A149" s="12" t="str">
        <f aca="false">parametros_recargas!$B$91</f>
        <v>Carga de CO₂</v>
      </c>
      <c r="B149" s="12" t="str">
        <f aca="false">IF('Demanda por puesto'!$P$21=0,"—",IF(parametros_recargas!$N$91=0,$N$7,IF(B21&lt;=$O$9,$N$2,IF(parametros_recargas!$D$91="Tercerizado",$N$6,IF(B85&lt;$O$10,$N$3,IF(parametros_recargas!$D$91="Manual",$N$5,$N$4))))))</f>
        <v>OK</v>
      </c>
      <c r="C149" s="12" t="str">
        <f aca="false">IF('Demanda por puesto'!$P$53=0,"—",IF(parametros_recargas!$N$91=0,$N$7,IF(C21&lt;=$O$9,$N$2,IF(parametros_recargas!$D$91="Tercerizado",$N$6,IF(C85&lt;$O$10,$N$3,IF(parametros_recargas!$D$91="Manual",$N$5,$N$4))))))</f>
        <v>OK</v>
      </c>
      <c r="D149" s="12" t="str">
        <f aca="false">IF('Demanda por puesto'!$P$85=0,"—",IF(parametros_recargas!$N$91=0,$N$7,IF(D21&lt;=$O$9,$N$2,IF(parametros_recargas!$D$91="Tercerizado",$N$6,IF(D85&lt;$O$10,$N$3,IF(parametros_recargas!$D$91="Manual",$N$5,$N$4))))))</f>
        <v>OK</v>
      </c>
      <c r="E149" s="12" t="str">
        <f aca="false">IF('Demanda por puesto'!$P$117=0,"—",IF(parametros_recargas!$N$91=0,$N$7,IF(E21&lt;=$O$9,$N$2,IF(parametros_recargas!$D$91="Tercerizado",$N$6,IF(E85&lt;$O$10,$N$3,IF(parametros_recargas!$D$91="Manual",$N$5,$N$4))))))</f>
        <v>OK</v>
      </c>
      <c r="F149" s="12" t="str">
        <f aca="false">IF('Demanda por puesto'!$P$149=0,"—",IF(parametros_recargas!$N$91=0,$N$7,IF(F21&lt;=$O$9,$N$2,IF(parametros_recargas!$D$91="Tercerizado",$N$6,IF(F85&lt;$O$10,$N$3,IF(parametros_recargas!$D$91="Manual",$N$5,$N$4))))))</f>
        <v>OK</v>
      </c>
      <c r="G149" s="12" t="str">
        <f aca="false">IF('Demanda por puesto'!$P$181=0,"—",IF(parametros_recargas!$N$91=0,$N$7,IF(G21&lt;=$O$9,$N$2,IF(parametros_recargas!$D$91="Tercerizado",$N$6,IF(G85&lt;$O$10,$N$3,IF(parametros_recargas!$D$91="Manual",$N$5,$N$4))))))</f>
        <v>OK</v>
      </c>
      <c r="H149" s="12" t="str">
        <f aca="false">IF('Demanda por puesto'!$P$213=0,"—",IF(parametros_recargas!$N$91=0,$N$7,IF(H21&lt;=$O$9,$N$2,IF(parametros_recargas!$D$91="Tercerizado",$N$6,IF(H85&lt;$O$10,$N$3,IF(parametros_recargas!$D$91="Manual",$N$5,$N$4))))))</f>
        <v>OK</v>
      </c>
      <c r="I149" s="12" t="str">
        <f aca="false">IF('Demanda por puesto'!$P$245=0,"—",IF(parametros_recargas!$N$91=0,$N$7,IF(I21&lt;=$O$9,$N$2,IF(parametros_recargas!$D$91="Tercerizado",$N$6,IF(I85&lt;$O$10,$N$3,IF(parametros_recargas!$D$91="Manual",$N$5,$N$4))))))</f>
        <v>OK</v>
      </c>
      <c r="J149" s="12" t="str">
        <f aca="false">IF('Demanda por puesto'!$P$277=0,"—",IF(parametros_recargas!$N$91=0,$N$7,IF(J21&lt;=$O$9,$N$2,IF(parametros_recargas!$D$91="Tercerizado",$N$6,IF(J85&lt;$O$10,$N$3,IF(parametros_recargas!$D$91="Manual",$N$5,$N$4))))))</f>
        <v>OK</v>
      </c>
      <c r="K149" s="12" t="str">
        <f aca="false">IF('Demanda por puesto'!$P$309=0,"—",IF(parametros_recargas!$N$91=0,$N$7,IF(K21&lt;=$O$9,$N$2,IF(parametros_recargas!$D$91="Tercerizado",$N$6,IF(K85&lt;$O$10,$N$3,IF(parametros_recargas!$D$91="Manual",$N$5,$N$4))))))</f>
        <v>OK</v>
      </c>
    </row>
    <row r="150" customFormat="false" ht="15" hidden="false" customHeight="false" outlineLevel="0" collapsed="false">
      <c r="A150" s="12" t="str">
        <f aca="false">parametros_recargas!$B$92</f>
        <v>Ensamblaje y marbete — recinto</v>
      </c>
      <c r="B150" s="12" t="str">
        <f aca="false">IF('Demanda por puesto'!$P$22=0,"—",IF(parametros_recargas!$N$92=0,$N$7,IF(B22&lt;=$O$9,$N$2,IF(parametros_recargas!$D$92="Tercerizado",$N$6,IF(B86&lt;$O$10,$N$3,IF(parametros_recargas!$D$92="Manual",$N$5,$N$4))))))</f>
        <v>OK</v>
      </c>
      <c r="C150" s="12" t="str">
        <f aca="false">IF('Demanda por puesto'!$P$54=0,"—",IF(parametros_recargas!$N$92=0,$N$7,IF(C22&lt;=$O$9,$N$2,IF(parametros_recargas!$D$92="Tercerizado",$N$6,IF(C86&lt;$O$10,$N$3,IF(parametros_recargas!$D$92="Manual",$N$5,$N$4))))))</f>
        <v>OK</v>
      </c>
      <c r="D150" s="12" t="str">
        <f aca="false">IF('Demanda por puesto'!$P$86=0,"—",IF(parametros_recargas!$N$92=0,$N$7,IF(D22&lt;=$O$9,$N$2,IF(parametros_recargas!$D$92="Tercerizado",$N$6,IF(D86&lt;$O$10,$N$3,IF(parametros_recargas!$D$92="Manual",$N$5,$N$4))))))</f>
        <v>Agrega turno</v>
      </c>
      <c r="E150" s="12" t="str">
        <f aca="false">IF('Demanda por puesto'!$P$118=0,"—",IF(parametros_recargas!$N$92=0,$N$7,IF(E22&lt;=$O$9,$N$2,IF(parametros_recargas!$D$92="Tercerizado",$N$6,IF(E86&lt;$O$10,$N$3,IF(parametros_recargas!$D$92="Manual",$N$5,$N$4))))))</f>
        <v>Agrega turno</v>
      </c>
      <c r="F150" s="12" t="str">
        <f aca="false">IF('Demanda por puesto'!$P$150=0,"—",IF(parametros_recargas!$N$92=0,$N$7,IF(F22&lt;=$O$9,$N$2,IF(parametros_recargas!$D$92="Tercerizado",$N$6,IF(F86&lt;$O$10,$N$3,IF(parametros_recargas!$D$92="Manual",$N$5,$N$4))))))</f>
        <v>Agrega turno</v>
      </c>
      <c r="G150" s="12" t="str">
        <f aca="false">IF('Demanda por puesto'!$P$182=0,"—",IF(parametros_recargas!$N$92=0,$N$7,IF(G22&lt;=$O$9,$N$2,IF(parametros_recargas!$D$92="Tercerizado",$N$6,IF(G86&lt;$O$10,$N$3,IF(parametros_recargas!$D$92="Manual",$N$5,$N$4))))))</f>
        <v>Agrega turno</v>
      </c>
      <c r="H150" s="12" t="str">
        <f aca="false">IF('Demanda por puesto'!$P$214=0,"—",IF(parametros_recargas!$N$92=0,$N$7,IF(H22&lt;=$O$9,$N$2,IF(parametros_recargas!$D$92="Tercerizado",$N$6,IF(H86&lt;$O$10,$N$3,IF(parametros_recargas!$D$92="Manual",$N$5,$N$4))))))</f>
        <v>Agrega turno</v>
      </c>
      <c r="I150" s="12" t="str">
        <f aca="false">IF('Demanda por puesto'!$P$246=0,"—",IF(parametros_recargas!$N$92=0,$N$7,IF(I22&lt;=$O$9,$N$2,IF(parametros_recargas!$D$92="Tercerizado",$N$6,IF(I86&lt;$O$10,$N$3,IF(parametros_recargas!$D$92="Manual",$N$5,$N$4))))))</f>
        <v>Agrega turno</v>
      </c>
      <c r="J150" s="12" t="str">
        <f aca="false">IF('Demanda por puesto'!$P$278=0,"—",IF(parametros_recargas!$N$92=0,$N$7,IF(J22&lt;=$O$9,$N$2,IF(parametros_recargas!$D$92="Tercerizado",$N$6,IF(J86&lt;$O$10,$N$3,IF(parametros_recargas!$D$92="Manual",$N$5,$N$4))))))</f>
        <v>Agrega turno</v>
      </c>
      <c r="K150" s="12" t="str">
        <f aca="false">IF('Demanda por puesto'!$P$310=0,"—",IF(parametros_recargas!$N$92=0,$N$7,IF(K22&lt;=$O$9,$N$2,IF(parametros_recargas!$D$92="Tercerizado",$N$6,IF(K86&lt;$O$10,$N$3,IF(parametros_recargas!$D$92="Manual",$N$5,$N$4))))))</f>
        <v>Agrega turno</v>
      </c>
    </row>
    <row r="151" customFormat="false" ht="15" hidden="false" customHeight="false" outlineLevel="0" collapsed="false">
      <c r="A151" s="12" t="str">
        <f aca="false">parametros_recargas!$B$93</f>
        <v>Presurización — recinto</v>
      </c>
      <c r="B151" s="12" t="str">
        <f aca="false">IF('Demanda por puesto'!$P$23=0,"—",IF(parametros_recargas!$N$93=0,$N$7,IF(B23&lt;=$O$9,$N$2,IF(parametros_recargas!$D$93="Tercerizado",$N$6,IF(B87&lt;$O$10,$N$3,IF(parametros_recargas!$D$93="Manual",$N$5,$N$4))))))</f>
        <v>OK</v>
      </c>
      <c r="C151" s="12" t="str">
        <f aca="false">IF('Demanda por puesto'!$P$55=0,"—",IF(parametros_recargas!$N$93=0,$N$7,IF(C23&lt;=$O$9,$N$2,IF(parametros_recargas!$D$93="Tercerizado",$N$6,IF(C87&lt;$O$10,$N$3,IF(parametros_recargas!$D$93="Manual",$N$5,$N$4))))))</f>
        <v>OK</v>
      </c>
      <c r="D151" s="12" t="str">
        <f aca="false">IF('Demanda por puesto'!$P$87=0,"—",IF(parametros_recargas!$N$93=0,$N$7,IF(D23&lt;=$O$9,$N$2,IF(parametros_recargas!$D$93="Tercerizado",$N$6,IF(D87&lt;$O$10,$N$3,IF(parametros_recargas!$D$93="Manual",$N$5,$N$4))))))</f>
        <v>OK</v>
      </c>
      <c r="E151" s="12" t="str">
        <f aca="false">IF('Demanda por puesto'!$P$119=0,"—",IF(parametros_recargas!$N$93=0,$N$7,IF(E23&lt;=$O$9,$N$2,IF(parametros_recargas!$D$93="Tercerizado",$N$6,IF(E87&lt;$O$10,$N$3,IF(parametros_recargas!$D$93="Manual",$N$5,$N$4))))))</f>
        <v>Agrega turno</v>
      </c>
      <c r="F151" s="12" t="str">
        <f aca="false">IF('Demanda por puesto'!$P$151=0,"—",IF(parametros_recargas!$N$93=0,$N$7,IF(F23&lt;=$O$9,$N$2,IF(parametros_recargas!$D$93="Tercerizado",$N$6,IF(F87&lt;$O$10,$N$3,IF(parametros_recargas!$D$93="Manual",$N$5,$N$4))))))</f>
        <v>Agrega turno</v>
      </c>
      <c r="G151" s="12" t="str">
        <f aca="false">IF('Demanda por puesto'!$P$183=0,"—",IF(parametros_recargas!$N$93=0,$N$7,IF(G23&lt;=$O$9,$N$2,IF(parametros_recargas!$D$93="Tercerizado",$N$6,IF(G87&lt;$O$10,$N$3,IF(parametros_recargas!$D$93="Manual",$N$5,$N$4))))))</f>
        <v>Agrega turno</v>
      </c>
      <c r="H151" s="12" t="str">
        <f aca="false">IF('Demanda por puesto'!$P$215=0,"—",IF(parametros_recargas!$N$93=0,$N$7,IF(H23&lt;=$O$9,$N$2,IF(parametros_recargas!$D$93="Tercerizado",$N$6,IF(H87&lt;$O$10,$N$3,IF(parametros_recargas!$D$93="Manual",$N$5,$N$4))))))</f>
        <v>Agrega turno</v>
      </c>
      <c r="I151" s="12" t="str">
        <f aca="false">IF('Demanda por puesto'!$P$247=0,"—",IF(parametros_recargas!$N$93=0,$N$7,IF(I23&lt;=$O$9,$N$2,IF(parametros_recargas!$D$93="Tercerizado",$N$6,IF(I87&lt;$O$10,$N$3,IF(parametros_recargas!$D$93="Manual",$N$5,$N$4))))))</f>
        <v>Agrega turno</v>
      </c>
      <c r="J151" s="12" t="str">
        <f aca="false">IF('Demanda por puesto'!$P$279=0,"—",IF(parametros_recargas!$N$93=0,$N$7,IF(J23&lt;=$O$9,$N$2,IF(parametros_recargas!$D$93="Tercerizado",$N$6,IF(J87&lt;$O$10,$N$3,IF(parametros_recargas!$D$93="Manual",$N$5,$N$4))))))</f>
        <v>Agrega turno</v>
      </c>
      <c r="K151" s="12" t="str">
        <f aca="false">IF('Demanda por puesto'!$P$311=0,"—",IF(parametros_recargas!$N$93=0,$N$7,IF(K23&lt;=$O$9,$N$2,IF(parametros_recargas!$D$93="Tercerizado",$N$6,IF(K87&lt;$O$10,$N$3,IF(parametros_recargas!$D$93="Manual",$N$5,$N$4))))))</f>
        <v>Agrega turno</v>
      </c>
    </row>
    <row r="152" customFormat="false" ht="15" hidden="false" customHeight="false" outlineLevel="0" collapsed="false">
      <c r="A152" s="12" t="str">
        <f aca="false">parametros_recargas!$B$94</f>
        <v>Ensamblaje y presurización — zona general</v>
      </c>
      <c r="B152" s="12" t="str">
        <f aca="false">IF('Demanda por puesto'!$P$24=0,"—",IF(parametros_recargas!$N$94=0,$N$7,IF(B24&lt;=$O$9,$N$2,IF(parametros_recargas!$D$94="Tercerizado",$N$6,IF(B88&lt;$O$10,$N$3,IF(parametros_recargas!$D$94="Manual",$N$5,$N$4))))))</f>
        <v>OK</v>
      </c>
      <c r="C152" s="12" t="str">
        <f aca="false">IF('Demanda por puesto'!$P$56=0,"—",IF(parametros_recargas!$N$94=0,$N$7,IF(C24&lt;=$O$9,$N$2,IF(parametros_recargas!$D$94="Tercerizado",$N$6,IF(C88&lt;$O$10,$N$3,IF(parametros_recargas!$D$94="Manual",$N$5,$N$4))))))</f>
        <v>OK</v>
      </c>
      <c r="D152" s="12" t="str">
        <f aca="false">IF('Demanda por puesto'!$P$88=0,"—",IF(parametros_recargas!$N$94=0,$N$7,IF(D24&lt;=$O$9,$N$2,IF(parametros_recargas!$D$94="Tercerizado",$N$6,IF(D88&lt;$O$10,$N$3,IF(parametros_recargas!$D$94="Manual",$N$5,$N$4))))))</f>
        <v>OK</v>
      </c>
      <c r="E152" s="12" t="str">
        <f aca="false">IF('Demanda por puesto'!$P$120=0,"—",IF(parametros_recargas!$N$94=0,$N$7,IF(E24&lt;=$O$9,$N$2,IF(parametros_recargas!$D$94="Tercerizado",$N$6,IF(E88&lt;$O$10,$N$3,IF(parametros_recargas!$D$94="Manual",$N$5,$N$4))))))</f>
        <v>OK</v>
      </c>
      <c r="F152" s="12" t="str">
        <f aca="false">IF('Demanda por puesto'!$P$152=0,"—",IF(parametros_recargas!$N$94=0,$N$7,IF(F24&lt;=$O$9,$N$2,IF(parametros_recargas!$D$94="Tercerizado",$N$6,IF(F88&lt;$O$10,$N$3,IF(parametros_recargas!$D$94="Manual",$N$5,$N$4))))))</f>
        <v>OK</v>
      </c>
      <c r="G152" s="12" t="str">
        <f aca="false">IF('Demanda por puesto'!$P$184=0,"—",IF(parametros_recargas!$N$94=0,$N$7,IF(G24&lt;=$O$9,$N$2,IF(parametros_recargas!$D$94="Tercerizado",$N$6,IF(G88&lt;$O$10,$N$3,IF(parametros_recargas!$D$94="Manual",$N$5,$N$4))))))</f>
        <v>OK</v>
      </c>
      <c r="H152" s="12" t="str">
        <f aca="false">IF('Demanda por puesto'!$P$216=0,"—",IF(parametros_recargas!$N$94=0,$N$7,IF(H24&lt;=$O$9,$N$2,IF(parametros_recargas!$D$94="Tercerizado",$N$6,IF(H88&lt;$O$10,$N$3,IF(parametros_recargas!$D$94="Manual",$N$5,$N$4))))))</f>
        <v>OK</v>
      </c>
      <c r="I152" s="12" t="str">
        <f aca="false">IF('Demanda por puesto'!$P$248=0,"—",IF(parametros_recargas!$N$94=0,$N$7,IF(I24&lt;=$O$9,$N$2,IF(parametros_recargas!$D$94="Tercerizado",$N$6,IF(I88&lt;$O$10,$N$3,IF(parametros_recargas!$D$94="Manual",$N$5,$N$4))))))</f>
        <v>OK</v>
      </c>
      <c r="J152" s="12" t="str">
        <f aca="false">IF('Demanda por puesto'!$P$280=0,"—",IF(parametros_recargas!$N$94=0,$N$7,IF(J24&lt;=$O$9,$N$2,IF(parametros_recargas!$D$94="Tercerizado",$N$6,IF(J88&lt;$O$10,$N$3,IF(parametros_recargas!$D$94="Manual",$N$5,$N$4))))))</f>
        <v>OK</v>
      </c>
      <c r="K152" s="12" t="str">
        <f aca="false">IF('Demanda por puesto'!$P$312=0,"—",IF(parametros_recargas!$N$94=0,$N$7,IF(K24&lt;=$O$9,$N$2,IF(parametros_recargas!$D$94="Tercerizado",$N$6,IF(K88&lt;$O$10,$N$3,IF(parametros_recargas!$D$94="Manual",$N$5,$N$4))))))</f>
        <v>OK</v>
      </c>
    </row>
    <row r="153" customFormat="false" ht="15" hidden="false" customHeight="false" outlineLevel="0" collapsed="false">
      <c r="A153" s="12" t="str">
        <f aca="false">parametros_recargas!$B$95</f>
        <v>Carga y presurización de halogenado</v>
      </c>
      <c r="B153" s="12" t="str">
        <f aca="false">IF('Demanda por puesto'!$P$25=0,"—",IF(parametros_recargas!$N$95=0,$N$7,IF(B25&lt;=$O$9,$N$2,IF(parametros_recargas!$D$95="Tercerizado",$N$6,IF(B89&lt;$O$10,$N$3,IF(parametros_recargas!$D$95="Manual",$N$5,$N$4))))))</f>
        <v>OK</v>
      </c>
      <c r="C153" s="12" t="str">
        <f aca="false">IF('Demanda por puesto'!$P$57=0,"—",IF(parametros_recargas!$N$95=0,$N$7,IF(C25&lt;=$O$9,$N$2,IF(parametros_recargas!$D$95="Tercerizado",$N$6,IF(C89&lt;$O$10,$N$3,IF(parametros_recargas!$D$95="Manual",$N$5,$N$4))))))</f>
        <v>OK</v>
      </c>
      <c r="D153" s="12" t="str">
        <f aca="false">IF('Demanda por puesto'!$P$89=0,"—",IF(parametros_recargas!$N$95=0,$N$7,IF(D25&lt;=$O$9,$N$2,IF(parametros_recargas!$D$95="Tercerizado",$N$6,IF(D89&lt;$O$10,$N$3,IF(parametros_recargas!$D$95="Manual",$N$5,$N$4))))))</f>
        <v>OK</v>
      </c>
      <c r="E153" s="12" t="str">
        <f aca="false">IF('Demanda por puesto'!$P$121=0,"—",IF(parametros_recargas!$N$95=0,$N$7,IF(E25&lt;=$O$9,$N$2,IF(parametros_recargas!$D$95="Tercerizado",$N$6,IF(E89&lt;$O$10,$N$3,IF(parametros_recargas!$D$95="Manual",$N$5,$N$4))))))</f>
        <v>OK</v>
      </c>
      <c r="F153" s="12" t="str">
        <f aca="false">IF('Demanda por puesto'!$P$153=0,"—",IF(parametros_recargas!$N$95=0,$N$7,IF(F25&lt;=$O$9,$N$2,IF(parametros_recargas!$D$95="Tercerizado",$N$6,IF(F89&lt;$O$10,$N$3,IF(parametros_recargas!$D$95="Manual",$N$5,$N$4))))))</f>
        <v>OK</v>
      </c>
      <c r="G153" s="12" t="str">
        <f aca="false">IF('Demanda por puesto'!$P$185=0,"—",IF(parametros_recargas!$N$95=0,$N$7,IF(G25&lt;=$O$9,$N$2,IF(parametros_recargas!$D$95="Tercerizado",$N$6,IF(G89&lt;$O$10,$N$3,IF(parametros_recargas!$D$95="Manual",$N$5,$N$4))))))</f>
        <v>OK</v>
      </c>
      <c r="H153" s="12" t="str">
        <f aca="false">IF('Demanda por puesto'!$P$217=0,"—",IF(parametros_recargas!$N$95=0,$N$7,IF(H25&lt;=$O$9,$N$2,IF(parametros_recargas!$D$95="Tercerizado",$N$6,IF(H89&lt;$O$10,$N$3,IF(parametros_recargas!$D$95="Manual",$N$5,$N$4))))))</f>
        <v>OK</v>
      </c>
      <c r="I153" s="12" t="str">
        <f aca="false">IF('Demanda por puesto'!$P$249=0,"—",IF(parametros_recargas!$N$95=0,$N$7,IF(I25&lt;=$O$9,$N$2,IF(parametros_recargas!$D$95="Tercerizado",$N$6,IF(I89&lt;$O$10,$N$3,IF(parametros_recargas!$D$95="Manual",$N$5,$N$4))))))</f>
        <v>OK</v>
      </c>
      <c r="J153" s="12" t="str">
        <f aca="false">IF('Demanda por puesto'!$P$281=0,"—",IF(parametros_recargas!$N$95=0,$N$7,IF(J25&lt;=$O$9,$N$2,IF(parametros_recargas!$D$95="Tercerizado",$N$6,IF(J89&lt;$O$10,$N$3,IF(parametros_recargas!$D$95="Manual",$N$5,$N$4))))))</f>
        <v>OK</v>
      </c>
      <c r="K153" s="12" t="str">
        <f aca="false">IF('Demanda por puesto'!$P$313=0,"—",IF(parametros_recargas!$N$95=0,$N$7,IF(K25&lt;=$O$9,$N$2,IF(parametros_recargas!$D$95="Tercerizado",$N$6,IF(K89&lt;$O$10,$N$3,IF(parametros_recargas!$D$95="Manual",$N$5,$N$4))))))</f>
        <v>OK</v>
      </c>
    </row>
    <row r="154" customFormat="false" ht="15" hidden="false" customHeight="false" outlineLevel="0" collapsed="false">
      <c r="A154" s="12" t="str">
        <f aca="false">parametros_recargas!$B$96</f>
        <v>Control de peso (CO₂ y halogenados sin recarga)</v>
      </c>
      <c r="B154" s="12" t="str">
        <f aca="false">IF('Demanda por puesto'!$P$26=0,"—",IF(parametros_recargas!$N$96=0,$N$7,IF(B26&lt;=$O$9,$N$2,IF(parametros_recargas!$D$96="Tercerizado",$N$6,IF(B90&lt;$O$10,$N$3,IF(parametros_recargas!$D$96="Manual",$N$5,$N$4))))))</f>
        <v>OK</v>
      </c>
      <c r="C154" s="12" t="str">
        <f aca="false">IF('Demanda por puesto'!$P$58=0,"—",IF(parametros_recargas!$N$96=0,$N$7,IF(C26&lt;=$O$9,$N$2,IF(parametros_recargas!$D$96="Tercerizado",$N$6,IF(C90&lt;$O$10,$N$3,IF(parametros_recargas!$D$96="Manual",$N$5,$N$4))))))</f>
        <v>OK</v>
      </c>
      <c r="D154" s="12" t="str">
        <f aca="false">IF('Demanda por puesto'!$P$90=0,"—",IF(parametros_recargas!$N$96=0,$N$7,IF(D26&lt;=$O$9,$N$2,IF(parametros_recargas!$D$96="Tercerizado",$N$6,IF(D90&lt;$O$10,$N$3,IF(parametros_recargas!$D$96="Manual",$N$5,$N$4))))))</f>
        <v>OK</v>
      </c>
      <c r="E154" s="12" t="str">
        <f aca="false">IF('Demanda por puesto'!$P$122=0,"—",IF(parametros_recargas!$N$96=0,$N$7,IF(E26&lt;=$O$9,$N$2,IF(parametros_recargas!$D$96="Tercerizado",$N$6,IF(E90&lt;$O$10,$N$3,IF(parametros_recargas!$D$96="Manual",$N$5,$N$4))))))</f>
        <v>OK</v>
      </c>
      <c r="F154" s="12" t="str">
        <f aca="false">IF('Demanda por puesto'!$P$154=0,"—",IF(parametros_recargas!$N$96=0,$N$7,IF(F26&lt;=$O$9,$N$2,IF(parametros_recargas!$D$96="Tercerizado",$N$6,IF(F90&lt;$O$10,$N$3,IF(parametros_recargas!$D$96="Manual",$N$5,$N$4))))))</f>
        <v>OK</v>
      </c>
      <c r="G154" s="12" t="str">
        <f aca="false">IF('Demanda por puesto'!$P$186=0,"—",IF(parametros_recargas!$N$96=0,$N$7,IF(G26&lt;=$O$9,$N$2,IF(parametros_recargas!$D$96="Tercerizado",$N$6,IF(G90&lt;$O$10,$N$3,IF(parametros_recargas!$D$96="Manual",$N$5,$N$4))))))</f>
        <v>OK</v>
      </c>
      <c r="H154" s="12" t="str">
        <f aca="false">IF('Demanda por puesto'!$P$218=0,"—",IF(parametros_recargas!$N$96=0,$N$7,IF(H26&lt;=$O$9,$N$2,IF(parametros_recargas!$D$96="Tercerizado",$N$6,IF(H90&lt;$O$10,$N$3,IF(parametros_recargas!$D$96="Manual",$N$5,$N$4))))))</f>
        <v>OK</v>
      </c>
      <c r="I154" s="12" t="str">
        <f aca="false">IF('Demanda por puesto'!$P$250=0,"—",IF(parametros_recargas!$N$96=0,$N$7,IF(I26&lt;=$O$9,$N$2,IF(parametros_recargas!$D$96="Tercerizado",$N$6,IF(I90&lt;$O$10,$N$3,IF(parametros_recargas!$D$96="Manual",$N$5,$N$4))))))</f>
        <v>OK</v>
      </c>
      <c r="J154" s="12" t="str">
        <f aca="false">IF('Demanda por puesto'!$P$282=0,"—",IF(parametros_recargas!$N$96=0,$N$7,IF(J26&lt;=$O$9,$N$2,IF(parametros_recargas!$D$96="Tercerizado",$N$6,IF(J90&lt;$O$10,$N$3,IF(parametros_recargas!$D$96="Manual",$N$5,$N$4))))))</f>
        <v>OK</v>
      </c>
      <c r="K154" s="12" t="str">
        <f aca="false">IF('Demanda por puesto'!$P$314=0,"—",IF(parametros_recargas!$N$96=0,$N$7,IF(K26&lt;=$O$9,$N$2,IF(parametros_recargas!$D$96="Tercerizado",$N$6,IF(K90&lt;$O$10,$N$3,IF(parametros_recargas!$D$96="Manual",$N$5,$N$4))))))</f>
        <v>OK</v>
      </c>
    </row>
    <row r="155" customFormat="false" ht="15" hidden="false" customHeight="false" outlineLevel="0" collapsed="false">
      <c r="A155" s="12" t="str">
        <f aca="false">parametros_recargas!$B$97</f>
        <v>Ensayo de pérdidas</v>
      </c>
      <c r="B155" s="12" t="str">
        <f aca="false">IF('Demanda por puesto'!$P$27=0,"—",IF(parametros_recargas!$N$97=0,$N$7,IF(B27&lt;=$O$9,$N$2,IF(parametros_recargas!$D$97="Tercerizado",$N$6,IF(B91&lt;$O$10,$N$3,IF(parametros_recargas!$D$97="Manual",$N$5,$N$4))))))</f>
        <v>OK</v>
      </c>
      <c r="C155" s="12" t="str">
        <f aca="false">IF('Demanda por puesto'!$P$59=0,"—",IF(parametros_recargas!$N$97=0,$N$7,IF(C27&lt;=$O$9,$N$2,IF(parametros_recargas!$D$97="Tercerizado",$N$6,IF(C91&lt;$O$10,$N$3,IF(parametros_recargas!$D$97="Manual",$N$5,$N$4))))))</f>
        <v>OK</v>
      </c>
      <c r="D155" s="12" t="str">
        <f aca="false">IF('Demanda por puesto'!$P$91=0,"—",IF(parametros_recargas!$N$97=0,$N$7,IF(D27&lt;=$O$9,$N$2,IF(parametros_recargas!$D$97="Tercerizado",$N$6,IF(D91&lt;$O$10,$N$3,IF(parametros_recargas!$D$97="Manual",$N$5,$N$4))))))</f>
        <v>OK</v>
      </c>
      <c r="E155" s="12" t="str">
        <f aca="false">IF('Demanda por puesto'!$P$123=0,"—",IF(parametros_recargas!$N$97=0,$N$7,IF(E27&lt;=$O$9,$N$2,IF(parametros_recargas!$D$97="Tercerizado",$N$6,IF(E91&lt;$O$10,$N$3,IF(parametros_recargas!$D$97="Manual",$N$5,$N$4))))))</f>
        <v>Agrega turno</v>
      </c>
      <c r="F155" s="12" t="str">
        <f aca="false">IF('Demanda por puesto'!$P$155=0,"—",IF(parametros_recargas!$N$97=0,$N$7,IF(F27&lt;=$O$9,$N$2,IF(parametros_recargas!$D$97="Tercerizado",$N$6,IF(F91&lt;$O$10,$N$3,IF(parametros_recargas!$D$97="Manual",$N$5,$N$4))))))</f>
        <v>Agrega turno</v>
      </c>
      <c r="G155" s="12" t="str">
        <f aca="false">IF('Demanda por puesto'!$P$187=0,"—",IF(parametros_recargas!$N$97=0,$N$7,IF(G27&lt;=$O$9,$N$2,IF(parametros_recargas!$D$97="Tercerizado",$N$6,IF(G91&lt;$O$10,$N$3,IF(parametros_recargas!$D$97="Manual",$N$5,$N$4))))))</f>
        <v>Agrega turno</v>
      </c>
      <c r="H155" s="12" t="str">
        <f aca="false">IF('Demanda por puesto'!$P$219=0,"—",IF(parametros_recargas!$N$97=0,$N$7,IF(H27&lt;=$O$9,$N$2,IF(parametros_recargas!$D$97="Tercerizado",$N$6,IF(H91&lt;$O$10,$N$3,IF(parametros_recargas!$D$97="Manual",$N$5,$N$4))))))</f>
        <v>Agrega turno</v>
      </c>
      <c r="I155" s="12" t="str">
        <f aca="false">IF('Demanda por puesto'!$P$251=0,"—",IF(parametros_recargas!$N$97=0,$N$7,IF(I27&lt;=$O$9,$N$2,IF(parametros_recargas!$D$97="Tercerizado",$N$6,IF(I91&lt;$O$10,$N$3,IF(parametros_recargas!$D$97="Manual",$N$5,$N$4))))))</f>
        <v>Agrega turno</v>
      </c>
      <c r="J155" s="12" t="str">
        <f aca="false">IF('Demanda por puesto'!$P$283=0,"—",IF(parametros_recargas!$N$97=0,$N$7,IF(J27&lt;=$O$9,$N$2,IF(parametros_recargas!$D$97="Tercerizado",$N$6,IF(J91&lt;$O$10,$N$3,IF(parametros_recargas!$D$97="Manual",$N$5,$N$4))))))</f>
        <v>Agrega turno</v>
      </c>
      <c r="K155" s="12" t="str">
        <f aca="false">IF('Demanda por puesto'!$P$315=0,"—",IF(parametros_recargas!$N$97=0,$N$7,IF(K27&lt;=$O$9,$N$2,IF(parametros_recargas!$D$97="Tercerizado",$N$6,IF(K91&lt;$O$10,$N$3,IF(parametros_recargas!$D$97="Manual",$N$5,$N$4))))))</f>
        <v>Agrega turno</v>
      </c>
    </row>
    <row r="156" customFormat="false" ht="15" hidden="false" customHeight="false" outlineLevel="0" collapsed="false">
      <c r="A156" s="12" t="str">
        <f aca="false">parametros_recargas!$B$98</f>
        <v>Precinto, etiqueta y despacho</v>
      </c>
      <c r="B156" s="12" t="str">
        <f aca="false">IF('Demanda por puesto'!$P$28=0,"—",IF(parametros_recargas!$N$98=0,$N$7,IF(B28&lt;=$O$9,$N$2,IF(parametros_recargas!$D$98="Tercerizado",$N$6,IF(B92&lt;$O$10,$N$3,IF(parametros_recargas!$D$98="Manual",$N$5,$N$4))))))</f>
        <v>OK</v>
      </c>
      <c r="C156" s="12" t="str">
        <f aca="false">IF('Demanda por puesto'!$P$60=0,"—",IF(parametros_recargas!$N$98=0,$N$7,IF(C28&lt;=$O$9,$N$2,IF(parametros_recargas!$D$98="Tercerizado",$N$6,IF(C92&lt;$O$10,$N$3,IF(parametros_recargas!$D$98="Manual",$N$5,$N$4))))))</f>
        <v>OK</v>
      </c>
      <c r="D156" s="12" t="str">
        <f aca="false">IF('Demanda por puesto'!$P$92=0,"—",IF(parametros_recargas!$N$98=0,$N$7,IF(D28&lt;=$O$9,$N$2,IF(parametros_recargas!$D$98="Tercerizado",$N$6,IF(D92&lt;$O$10,$N$3,IF(parametros_recargas!$D$98="Manual",$N$5,$N$4))))))</f>
        <v>OK</v>
      </c>
      <c r="E156" s="12" t="str">
        <f aca="false">IF('Demanda por puesto'!$P$124=0,"—",IF(parametros_recargas!$N$98=0,$N$7,IF(E28&lt;=$O$9,$N$2,IF(parametros_recargas!$D$98="Tercerizado",$N$6,IF(E92&lt;$O$10,$N$3,IF(parametros_recargas!$D$98="Manual",$N$5,$N$4))))))</f>
        <v>Agrega turno</v>
      </c>
      <c r="F156" s="12" t="str">
        <f aca="false">IF('Demanda por puesto'!$P$156=0,"—",IF(parametros_recargas!$N$98=0,$N$7,IF(F28&lt;=$O$9,$N$2,IF(parametros_recargas!$D$98="Tercerizado",$N$6,IF(F92&lt;$O$10,$N$3,IF(parametros_recargas!$D$98="Manual",$N$5,$N$4))))))</f>
        <v>Agrega turno</v>
      </c>
      <c r="G156" s="12" t="str">
        <f aca="false">IF('Demanda por puesto'!$P$188=0,"—",IF(parametros_recargas!$N$98=0,$N$7,IF(G28&lt;=$O$9,$N$2,IF(parametros_recargas!$D$98="Tercerizado",$N$6,IF(G92&lt;$O$10,$N$3,IF(parametros_recargas!$D$98="Manual",$N$5,$N$4))))))</f>
        <v>Agrega turno</v>
      </c>
      <c r="H156" s="12" t="str">
        <f aca="false">IF('Demanda por puesto'!$P$220=0,"—",IF(parametros_recargas!$N$98=0,$N$7,IF(H28&lt;=$O$9,$N$2,IF(parametros_recargas!$D$98="Tercerizado",$N$6,IF(H92&lt;$O$10,$N$3,IF(parametros_recargas!$D$98="Manual",$N$5,$N$4))))))</f>
        <v>Agrega turno</v>
      </c>
      <c r="I156" s="12" t="str">
        <f aca="false">IF('Demanda por puesto'!$P$252=0,"—",IF(parametros_recargas!$N$98=0,$N$7,IF(I28&lt;=$O$9,$N$2,IF(parametros_recargas!$D$98="Tercerizado",$N$6,IF(I92&lt;$O$10,$N$3,IF(parametros_recargas!$D$98="Manual",$N$5,$N$4))))))</f>
        <v>Agrega turno</v>
      </c>
      <c r="J156" s="12" t="str">
        <f aca="false">IF('Demanda por puesto'!$P$284=0,"—",IF(parametros_recargas!$N$98=0,$N$7,IF(J28&lt;=$O$9,$N$2,IF(parametros_recargas!$D$98="Tercerizado",$N$6,IF(J92&lt;$O$10,$N$3,IF(parametros_recargas!$D$98="Manual",$N$5,$N$4))))))</f>
        <v>Agrega turno</v>
      </c>
      <c r="K156" s="12" t="str">
        <f aca="false">IF('Demanda por puesto'!$P$316=0,"—",IF(parametros_recargas!$N$98=0,$N$7,IF(K28&lt;=$O$9,$N$2,IF(parametros_recargas!$D$98="Tercerizado",$N$6,IF(K92&lt;$O$10,$N$3,IF(parametros_recargas!$D$98="Manual",$N$5,$N$4))))))</f>
        <v>Agrega turno</v>
      </c>
    </row>
    <row r="157" customFormat="false" ht="15" hidden="false" customHeight="false" outlineLevel="0" collapsed="false">
      <c r="A157" s="12" t="str">
        <f aca="false">parametros_recargas!$B$99</f>
        <v>Inutilización y disposición final</v>
      </c>
      <c r="B157" s="12" t="str">
        <f aca="false">IF('Demanda por puesto'!$P$29=0,"—",IF(parametros_recargas!$N$99=0,$N$7,IF(B29&lt;=$O$9,$N$2,IF(parametros_recargas!$D$99="Tercerizado",$N$6,IF(B93&lt;$O$10,$N$3,IF(parametros_recargas!$D$99="Manual",$N$5,$N$4))))))</f>
        <v>OK</v>
      </c>
      <c r="C157" s="12" t="str">
        <f aca="false">IF('Demanda por puesto'!$P$61=0,"—",IF(parametros_recargas!$N$99=0,$N$7,IF(C29&lt;=$O$9,$N$2,IF(parametros_recargas!$D$99="Tercerizado",$N$6,IF(C93&lt;$O$10,$N$3,IF(parametros_recargas!$D$99="Manual",$N$5,$N$4))))))</f>
        <v>OK</v>
      </c>
      <c r="D157" s="12" t="str">
        <f aca="false">IF('Demanda por puesto'!$P$93=0,"—",IF(parametros_recargas!$N$99=0,$N$7,IF(D29&lt;=$O$9,$N$2,IF(parametros_recargas!$D$99="Tercerizado",$N$6,IF(D93&lt;$O$10,$N$3,IF(parametros_recargas!$D$99="Manual",$N$5,$N$4))))))</f>
        <v>OK</v>
      </c>
      <c r="E157" s="12" t="str">
        <f aca="false">IF('Demanda por puesto'!$P$125=0,"—",IF(parametros_recargas!$N$99=0,$N$7,IF(E29&lt;=$O$9,$N$2,IF(parametros_recargas!$D$99="Tercerizado",$N$6,IF(E93&lt;$O$10,$N$3,IF(parametros_recargas!$D$99="Manual",$N$5,$N$4))))))</f>
        <v>OK</v>
      </c>
      <c r="F157" s="12" t="str">
        <f aca="false">IF('Demanda por puesto'!$P$157=0,"—",IF(parametros_recargas!$N$99=0,$N$7,IF(F29&lt;=$O$9,$N$2,IF(parametros_recargas!$D$99="Tercerizado",$N$6,IF(F93&lt;$O$10,$N$3,IF(parametros_recargas!$D$99="Manual",$N$5,$N$4))))))</f>
        <v>OK</v>
      </c>
      <c r="G157" s="12" t="str">
        <f aca="false">IF('Demanda por puesto'!$P$189=0,"—",IF(parametros_recargas!$N$99=0,$N$7,IF(G29&lt;=$O$9,$N$2,IF(parametros_recargas!$D$99="Tercerizado",$N$6,IF(G93&lt;$O$10,$N$3,IF(parametros_recargas!$D$99="Manual",$N$5,$N$4))))))</f>
        <v>Agrega turno</v>
      </c>
      <c r="H157" s="12" t="str">
        <f aca="false">IF('Demanda por puesto'!$P$221=0,"—",IF(parametros_recargas!$N$99=0,$N$7,IF(H29&lt;=$O$9,$N$2,IF(parametros_recargas!$D$99="Tercerizado",$N$6,IF(H93&lt;$O$10,$N$3,IF(parametros_recargas!$D$99="Manual",$N$5,$N$4))))))</f>
        <v>Agrega turno</v>
      </c>
      <c r="I157" s="12" t="str">
        <f aca="false">IF('Demanda por puesto'!$P$253=0,"—",IF(parametros_recargas!$N$99=0,$N$7,IF(I29&lt;=$O$9,$N$2,IF(parametros_recargas!$D$99="Tercerizado",$N$6,IF(I93&lt;$O$10,$N$3,IF(parametros_recargas!$D$99="Manual",$N$5,$N$4))))))</f>
        <v>Agrega turno</v>
      </c>
      <c r="J157" s="12" t="str">
        <f aca="false">IF('Demanda por puesto'!$P$285=0,"—",IF(parametros_recargas!$N$99=0,$N$7,IF(J29&lt;=$O$9,$N$2,IF(parametros_recargas!$D$99="Tercerizado",$N$6,IF(J93&lt;$O$10,$N$3,IF(parametros_recargas!$D$99="Manual",$N$5,$N$4))))))</f>
        <v>Agrega turno</v>
      </c>
      <c r="K157" s="12" t="str">
        <f aca="false">IF('Demanda por puesto'!$P$317=0,"—",IF(parametros_recargas!$N$99=0,$N$7,IF(K29&lt;=$O$9,$N$2,IF(parametros_recargas!$D$99="Tercerizado",$N$6,IF(K93&lt;$O$10,$N$3,IF(parametros_recargas!$D$99="Manual",$N$5,$N$4))))))</f>
        <v>Agrega turno</v>
      </c>
    </row>
    <row r="158" customFormat="false" ht="15" hidden="false" customHeight="false" outlineLevel="0" collapsed="false">
      <c r="A158" s="12" t="str">
        <f aca="false">parametros_recargas!$B$100</f>
        <v>PH de mangueras (CO₂ y rodantes)</v>
      </c>
      <c r="B158" s="12" t="str">
        <f aca="false">IF('Demanda por puesto'!$P$30=0,"—",IF(parametros_recargas!$N$100=0,$N$7,IF(B30&lt;=$O$9,$N$2,IF(parametros_recargas!$D$100="Tercerizado",$N$6,IF(B94&lt;$O$10,$N$3,IF(parametros_recargas!$D$100="Manual",$N$5,$N$4))))))</f>
        <v>OK</v>
      </c>
      <c r="C158" s="12" t="str">
        <f aca="false">IF('Demanda por puesto'!$P$62=0,"—",IF(parametros_recargas!$N$100=0,$N$7,IF(C30&lt;=$O$9,$N$2,IF(parametros_recargas!$D$100="Tercerizado",$N$6,IF(C94&lt;$O$10,$N$3,IF(parametros_recargas!$D$100="Manual",$N$5,$N$4))))))</f>
        <v>OK</v>
      </c>
      <c r="D158" s="12" t="str">
        <f aca="false">IF('Demanda por puesto'!$P$94=0,"—",IF(parametros_recargas!$N$100=0,$N$7,IF(D30&lt;=$O$9,$N$2,IF(parametros_recargas!$D$100="Tercerizado",$N$6,IF(D94&lt;$O$10,$N$3,IF(parametros_recargas!$D$100="Manual",$N$5,$N$4))))))</f>
        <v>OK</v>
      </c>
      <c r="E158" s="12" t="str">
        <f aca="false">IF('Demanda por puesto'!$P$126=0,"—",IF(parametros_recargas!$N$100=0,$N$7,IF(E30&lt;=$O$9,$N$2,IF(parametros_recargas!$D$100="Tercerizado",$N$6,IF(E94&lt;$O$10,$N$3,IF(parametros_recargas!$D$100="Manual",$N$5,$N$4))))))</f>
        <v>OK</v>
      </c>
      <c r="F158" s="12" t="str">
        <f aca="false">IF('Demanda por puesto'!$P$158=0,"—",IF(parametros_recargas!$N$100=0,$N$7,IF(F30&lt;=$O$9,$N$2,IF(parametros_recargas!$D$100="Tercerizado",$N$6,IF(F94&lt;$O$10,$N$3,IF(parametros_recargas!$D$100="Manual",$N$5,$N$4))))))</f>
        <v>OK</v>
      </c>
      <c r="G158" s="12" t="str">
        <f aca="false">IF('Demanda por puesto'!$P$190=0,"—",IF(parametros_recargas!$N$100=0,$N$7,IF(G30&lt;=$O$9,$N$2,IF(parametros_recargas!$D$100="Tercerizado",$N$6,IF(G94&lt;$O$10,$N$3,IF(parametros_recargas!$D$100="Manual",$N$5,$N$4))))))</f>
        <v>OK</v>
      </c>
      <c r="H158" s="12" t="str">
        <f aca="false">IF('Demanda por puesto'!$P$222=0,"—",IF(parametros_recargas!$N$100=0,$N$7,IF(H30&lt;=$O$9,$N$2,IF(parametros_recargas!$D$100="Tercerizado",$N$6,IF(H94&lt;$O$10,$N$3,IF(parametros_recargas!$D$100="Manual",$N$5,$N$4))))))</f>
        <v>OK</v>
      </c>
      <c r="I158" s="12" t="str">
        <f aca="false">IF('Demanda por puesto'!$P$254=0,"—",IF(parametros_recargas!$N$100=0,$N$7,IF(I30&lt;=$O$9,$N$2,IF(parametros_recargas!$D$100="Tercerizado",$N$6,IF(I94&lt;$O$10,$N$3,IF(parametros_recargas!$D$100="Manual",$N$5,$N$4))))))</f>
        <v>OK</v>
      </c>
      <c r="J158" s="12" t="str">
        <f aca="false">IF('Demanda por puesto'!$P$286=0,"—",IF(parametros_recargas!$N$100=0,$N$7,IF(J30&lt;=$O$9,$N$2,IF(parametros_recargas!$D$100="Tercerizado",$N$6,IF(J94&lt;$O$10,$N$3,IF(parametros_recargas!$D$100="Manual",$N$5,$N$4))))))</f>
        <v>OK</v>
      </c>
      <c r="K158" s="12" t="str">
        <f aca="false">IF('Demanda por puesto'!$P$318=0,"—",IF(parametros_recargas!$N$100=0,$N$7,IF(K30&lt;=$O$9,$N$2,IF(parametros_recargas!$D$100="Tercerizado",$N$6,IF(K94&lt;$O$10,$N$3,IF(parametros_recargas!$D$100="Manual",$N$5,$N$4))))))</f>
        <v>OK</v>
      </c>
    </row>
  </sheetData>
  <conditionalFormatting sqref="B2:K31">
    <cfRule type="cellIs" priority="2" operator="greaterThan" aboveAverage="0" equalAverage="0" bottom="0" percent="0" rank="0" text="" dxfId="0">
      <formula>$O$9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9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1" min="2" style="0" width="11"/>
    <col collapsed="false" customWidth="true" hidden="false" outlineLevel="0" max="12" min="12" style="0" width="70"/>
  </cols>
  <sheetData>
    <row r="1" customFormat="false" ht="15" hidden="false" customHeight="false" outlineLevel="0" collapsed="false">
      <c r="A1" s="1" t="s">
        <v>313</v>
      </c>
    </row>
    <row r="2" customFormat="false" ht="15" hidden="false" customHeight="false" outlineLevel="0" collapsed="false">
      <c r="A2" s="2" t="s">
        <v>314</v>
      </c>
    </row>
    <row r="4" customFormat="false" ht="15" hidden="false" customHeight="false" outlineLevel="0" collapsed="false">
      <c r="A4" s="3" t="s">
        <v>61</v>
      </c>
      <c r="B4" s="3" t="s">
        <v>46</v>
      </c>
      <c r="C4" s="3"/>
      <c r="D4" s="3"/>
      <c r="E4" s="3"/>
      <c r="F4" s="3"/>
      <c r="G4" s="3"/>
      <c r="H4" s="3"/>
      <c r="I4" s="3"/>
      <c r="J4" s="3"/>
      <c r="K4" s="3"/>
      <c r="L4" s="3" t="s">
        <v>62</v>
      </c>
    </row>
    <row r="5" customFormat="false" ht="23.85" hidden="false" customHeight="false" outlineLevel="0" collapsed="false">
      <c r="A5" s="4" t="s">
        <v>315</v>
      </c>
      <c r="B5" s="14" t="n">
        <v>1</v>
      </c>
      <c r="L5" s="4" t="s">
        <v>316</v>
      </c>
    </row>
    <row r="6" customFormat="false" ht="15" hidden="false" customHeight="false" outlineLevel="0" collapsed="false">
      <c r="A6" s="4" t="s">
        <v>63</v>
      </c>
      <c r="B6" s="16" t="n">
        <f aca="false">parametros_recargas!B2</f>
        <v>20</v>
      </c>
    </row>
    <row r="8" customFormat="false" ht="15" hidden="false" customHeight="false" outlineLevel="0" collapsed="false">
      <c r="A8" s="1" t="s">
        <v>317</v>
      </c>
    </row>
    <row r="9" customFormat="false" ht="23.85" hidden="false" customHeight="false" outlineLevel="0" collapsed="false">
      <c r="A9" s="3" t="s">
        <v>138</v>
      </c>
      <c r="B9" s="3" t="s">
        <v>270</v>
      </c>
      <c r="C9" s="3" t="s">
        <v>318</v>
      </c>
      <c r="D9" s="3" t="s">
        <v>319</v>
      </c>
      <c r="E9" s="3"/>
      <c r="F9" s="3"/>
      <c r="G9" s="3"/>
      <c r="H9" s="3"/>
      <c r="I9" s="3"/>
      <c r="J9" s="3"/>
      <c r="K9" s="3"/>
      <c r="L9" s="3" t="s">
        <v>320</v>
      </c>
    </row>
    <row r="10" customFormat="false" ht="15" hidden="false" customHeight="true" outlineLevel="0" collapsed="false">
      <c r="A10" s="12" t="str">
        <f aca="false">datos_base!A2</f>
        <v>ABC 1 kg</v>
      </c>
      <c r="B10" s="12" t="str">
        <f aca="false">parametros_recargas!B51</f>
        <v>ABC</v>
      </c>
      <c r="C10" s="14" t="n">
        <v>0</v>
      </c>
      <c r="D10" s="28" t="s">
        <v>5</v>
      </c>
      <c r="E10" s="28"/>
      <c r="F10" s="28"/>
      <c r="L10" s="4" t="s">
        <v>321</v>
      </c>
    </row>
    <row r="11" customFormat="false" ht="15" hidden="false" customHeight="true" outlineLevel="0" collapsed="false">
      <c r="A11" s="12" t="str">
        <f aca="false">datos_base!A3</f>
        <v>ABC 2,5 kg</v>
      </c>
      <c r="B11" s="12" t="str">
        <f aca="false">parametros_recargas!B52</f>
        <v>ABC</v>
      </c>
      <c r="C11" s="14" t="n">
        <v>1</v>
      </c>
      <c r="D11" s="28" t="s">
        <v>5</v>
      </c>
      <c r="E11" s="28"/>
      <c r="F11" s="28"/>
      <c r="L11" s="4" t="s">
        <v>322</v>
      </c>
    </row>
    <row r="12" customFormat="false" ht="15" hidden="false" customHeight="true" outlineLevel="0" collapsed="false">
      <c r="A12" s="12" t="str">
        <f aca="false">datos_base!A4</f>
        <v>ABC 5 kg</v>
      </c>
      <c r="B12" s="12" t="str">
        <f aca="false">parametros_recargas!B53</f>
        <v>ABC</v>
      </c>
      <c r="C12" s="14" t="n">
        <v>1</v>
      </c>
      <c r="D12" s="28" t="s">
        <v>5</v>
      </c>
      <c r="E12" s="28"/>
      <c r="F12" s="28"/>
      <c r="L12" s="4" t="s">
        <v>322</v>
      </c>
    </row>
    <row r="13" customFormat="false" ht="15" hidden="false" customHeight="true" outlineLevel="0" collapsed="false">
      <c r="A13" s="12" t="str">
        <f aca="false">datos_base!A5</f>
        <v>ABC 10 kg</v>
      </c>
      <c r="B13" s="12" t="str">
        <f aca="false">parametros_recargas!B54</f>
        <v>ABC</v>
      </c>
      <c r="C13" s="14" t="n">
        <v>1</v>
      </c>
      <c r="D13" s="28" t="s">
        <v>6</v>
      </c>
      <c r="E13" s="28"/>
      <c r="F13" s="28"/>
      <c r="L13" s="4" t="s">
        <v>322</v>
      </c>
    </row>
    <row r="14" customFormat="false" ht="15" hidden="false" customHeight="true" outlineLevel="0" collapsed="false">
      <c r="A14" s="12" t="str">
        <f aca="false">datos_base!A6</f>
        <v>Agua 10 l</v>
      </c>
      <c r="B14" s="12" t="str">
        <f aca="false">parametros_recargas!B55</f>
        <v>Agua</v>
      </c>
      <c r="C14" s="14" t="n">
        <v>1</v>
      </c>
      <c r="D14" s="28" t="s">
        <v>7</v>
      </c>
      <c r="E14" s="28"/>
      <c r="F14" s="28"/>
      <c r="L14" s="4" t="s">
        <v>322</v>
      </c>
    </row>
    <row r="15" customFormat="false" ht="15" hidden="false" customHeight="true" outlineLevel="0" collapsed="false">
      <c r="A15" s="12" t="str">
        <f aca="false">datos_base!A7</f>
        <v>AFFF 10 l</v>
      </c>
      <c r="B15" s="12" t="str">
        <f aca="false">parametros_recargas!B56</f>
        <v>AFFF</v>
      </c>
      <c r="C15" s="14" t="n">
        <v>1</v>
      </c>
      <c r="D15" s="28" t="s">
        <v>8</v>
      </c>
      <c r="E15" s="28"/>
      <c r="F15" s="28"/>
      <c r="L15" s="4" t="s">
        <v>322</v>
      </c>
    </row>
    <row r="16" customFormat="false" ht="15" hidden="false" customHeight="true" outlineLevel="0" collapsed="false">
      <c r="A16" s="12" t="str">
        <f aca="false">datos_base!A8</f>
        <v>AFFF 50 l s/ruedas</v>
      </c>
      <c r="B16" s="12" t="str">
        <f aca="false">parametros_recargas!B57</f>
        <v>AFFF</v>
      </c>
      <c r="C16" s="14" t="n">
        <v>1</v>
      </c>
      <c r="D16" s="28" t="s">
        <v>9</v>
      </c>
      <c r="E16" s="28"/>
      <c r="F16" s="28"/>
      <c r="L16" s="4" t="s">
        <v>322</v>
      </c>
    </row>
    <row r="17" customFormat="false" ht="15" hidden="false" customHeight="true" outlineLevel="0" collapsed="false">
      <c r="A17" s="12" t="str">
        <f aca="false">datos_base!A9</f>
        <v>BC 5 kg</v>
      </c>
      <c r="B17" s="12" t="str">
        <f aca="false">parametros_recargas!B58</f>
        <v>BC</v>
      </c>
      <c r="C17" s="14" t="n">
        <v>1</v>
      </c>
      <c r="D17" s="28" t="s">
        <v>10</v>
      </c>
      <c r="E17" s="28"/>
      <c r="F17" s="28"/>
      <c r="L17" s="4" t="s">
        <v>322</v>
      </c>
    </row>
    <row r="18" customFormat="false" ht="15" hidden="false" customHeight="true" outlineLevel="0" collapsed="false">
      <c r="A18" s="12" t="str">
        <f aca="false">datos_base!A10</f>
        <v>Sales K 6 l</v>
      </c>
      <c r="B18" s="12" t="str">
        <f aca="false">parametros_recargas!B59</f>
        <v>Sales K</v>
      </c>
      <c r="C18" s="14" t="n">
        <v>1</v>
      </c>
      <c r="D18" s="28" t="s">
        <v>11</v>
      </c>
      <c r="E18" s="28"/>
      <c r="F18" s="28"/>
      <c r="L18" s="4" t="s">
        <v>322</v>
      </c>
    </row>
    <row r="19" customFormat="false" ht="15" hidden="false" customHeight="true" outlineLevel="0" collapsed="false">
      <c r="A19" s="12" t="str">
        <f aca="false">datos_base!A11</f>
        <v>CO₂ 2 kg</v>
      </c>
      <c r="B19" s="12" t="str">
        <f aca="false">parametros_recargas!B60</f>
        <v>CO₂</v>
      </c>
      <c r="C19" s="14" t="n">
        <v>1</v>
      </c>
      <c r="D19" s="28" t="s">
        <v>13</v>
      </c>
      <c r="E19" s="28"/>
      <c r="F19" s="28"/>
      <c r="L19" s="4" t="s">
        <v>322</v>
      </c>
    </row>
    <row r="20" customFormat="false" ht="15" hidden="false" customHeight="true" outlineLevel="0" collapsed="false">
      <c r="A20" s="12" t="str">
        <f aca="false">datos_base!A12</f>
        <v>CO₂ 5 kg</v>
      </c>
      <c r="B20" s="12" t="str">
        <f aca="false">parametros_recargas!B61</f>
        <v>CO₂</v>
      </c>
      <c r="C20" s="14" t="n">
        <v>1</v>
      </c>
      <c r="D20" s="28" t="s">
        <v>13</v>
      </c>
      <c r="E20" s="28"/>
      <c r="F20" s="28"/>
      <c r="L20" s="4" t="s">
        <v>322</v>
      </c>
    </row>
    <row r="21" customFormat="false" ht="15" hidden="false" customHeight="true" outlineLevel="0" collapsed="false">
      <c r="A21" s="12" t="str">
        <f aca="false">datos_base!A13</f>
        <v>HCFC/HFC 5 kg</v>
      </c>
      <c r="B21" s="12" t="str">
        <f aca="false">parametros_recargas!B62</f>
        <v>Halogenado</v>
      </c>
      <c r="C21" s="14" t="n">
        <v>1</v>
      </c>
      <c r="D21" s="28" t="s">
        <v>14</v>
      </c>
      <c r="E21" s="28"/>
      <c r="F21" s="28"/>
      <c r="L21" s="4" t="s">
        <v>322</v>
      </c>
    </row>
    <row r="22" customFormat="false" ht="15" hidden="false" customHeight="true" outlineLevel="0" collapsed="false">
      <c r="A22" s="12" t="str">
        <f aca="false">datos_base!A14</f>
        <v>Clase D 9 l</v>
      </c>
      <c r="B22" s="12" t="str">
        <f aca="false">parametros_recargas!B63</f>
        <v>Clase D</v>
      </c>
      <c r="C22" s="14" t="n">
        <v>1</v>
      </c>
      <c r="D22" s="28" t="s">
        <v>15</v>
      </c>
      <c r="E22" s="28"/>
      <c r="F22" s="28"/>
      <c r="L22" s="4" t="s">
        <v>322</v>
      </c>
    </row>
    <row r="23" customFormat="false" ht="15" hidden="false" customHeight="true" outlineLevel="0" collapsed="false">
      <c r="A23" s="12" t="str">
        <f aca="false">datos_base!A15</f>
        <v>ABC 25 kg s/ruedas</v>
      </c>
      <c r="B23" s="12" t="str">
        <f aca="false">parametros_recargas!B64</f>
        <v>ABC</v>
      </c>
      <c r="C23" s="14" t="n">
        <v>1</v>
      </c>
      <c r="D23" s="28" t="s">
        <v>17</v>
      </c>
      <c r="E23" s="28"/>
      <c r="F23" s="28"/>
      <c r="L23" s="4" t="s">
        <v>322</v>
      </c>
    </row>
    <row r="24" customFormat="false" ht="15" hidden="false" customHeight="true" outlineLevel="0" collapsed="false">
      <c r="A24" s="12" t="str">
        <f aca="false">datos_base!A16</f>
        <v>ABC 50 kg s/ruedas</v>
      </c>
      <c r="B24" s="12" t="str">
        <f aca="false">parametros_recargas!B65</f>
        <v>ABC</v>
      </c>
      <c r="C24" s="14" t="n">
        <v>1</v>
      </c>
      <c r="D24" s="28" t="s">
        <v>17</v>
      </c>
      <c r="E24" s="28"/>
      <c r="F24" s="28"/>
      <c r="L24" s="4" t="s">
        <v>322</v>
      </c>
    </row>
    <row r="25" customFormat="false" ht="15" hidden="false" customHeight="true" outlineLevel="0" collapsed="false">
      <c r="A25" s="12" t="str">
        <f aca="false">datos_base!A17</f>
        <v>ABC 70 kg s/ruedas</v>
      </c>
      <c r="B25" s="12" t="str">
        <f aca="false">parametros_recargas!B66</f>
        <v>ABC</v>
      </c>
      <c r="C25" s="14" t="n">
        <v>1</v>
      </c>
      <c r="D25" s="28" t="s">
        <v>19</v>
      </c>
      <c r="E25" s="28"/>
      <c r="F25" s="28"/>
      <c r="L25" s="4" t="s">
        <v>322</v>
      </c>
    </row>
    <row r="26" customFormat="false" ht="15" hidden="false" customHeight="true" outlineLevel="0" collapsed="false">
      <c r="A26" s="12" t="str">
        <f aca="false">datos_base!A18</f>
        <v>ABC 100 kg s/ruedas</v>
      </c>
      <c r="B26" s="12" t="str">
        <f aca="false">parametros_recargas!B67</f>
        <v>ABC</v>
      </c>
      <c r="C26" s="14" t="n">
        <v>1</v>
      </c>
      <c r="D26" s="28" t="s">
        <v>19</v>
      </c>
      <c r="E26" s="28"/>
      <c r="F26" s="28"/>
      <c r="L26" s="4" t="s">
        <v>322</v>
      </c>
    </row>
    <row r="28" customFormat="false" ht="15" hidden="false" customHeight="false" outlineLevel="0" collapsed="false">
      <c r="A28" s="1" t="s">
        <v>323</v>
      </c>
    </row>
    <row r="29" customFormat="false" ht="15" hidden="false" customHeight="false" outlineLevel="0" collapsed="false">
      <c r="A29" s="3" t="s">
        <v>138</v>
      </c>
      <c r="B29" s="3" t="n">
        <v>2026</v>
      </c>
      <c r="C29" s="3" t="n">
        <v>2027</v>
      </c>
      <c r="D29" s="3" t="n">
        <v>2028</v>
      </c>
      <c r="E29" s="3" t="n">
        <v>2029</v>
      </c>
      <c r="F29" s="3" t="n">
        <v>2030</v>
      </c>
      <c r="G29" s="3" t="n">
        <v>2031</v>
      </c>
      <c r="H29" s="3" t="n">
        <v>2032</v>
      </c>
      <c r="I29" s="3" t="n">
        <v>2033</v>
      </c>
      <c r="J29" s="3" t="n">
        <v>2034</v>
      </c>
      <c r="K29" s="3" t="n">
        <v>2035</v>
      </c>
    </row>
    <row r="30" customFormat="false" ht="15" hidden="false" customHeight="false" outlineLevel="0" collapsed="false">
      <c r="A30" s="12" t="str">
        <f aca="false">datos_base!A2</f>
        <v>ABC 1 kg</v>
      </c>
      <c r="B30" s="25" t="n">
        <f aca="false">datos_base!B2*MAX(parametros_recargas!$F$37:$Q$37)/$B$6</f>
        <v>18.7296338842473</v>
      </c>
      <c r="C30" s="25" t="n">
        <f aca="false">datos_base!C2*MAX(parametros_recargas!$F$38:$Q$38)/$B$6</f>
        <v>67.8643707826184</v>
      </c>
      <c r="D30" s="25" t="n">
        <f aca="false">datos_base!D2*MAX(parametros_recargas!$F$39:$Q$39)/$B$6</f>
        <v>118.367336300451</v>
      </c>
      <c r="E30" s="25" t="n">
        <f aca="false">datos_base!E2*MAX(parametros_recargas!$F$40:$Q$40)/$B$6</f>
        <v>197.218825869709</v>
      </c>
      <c r="F30" s="25" t="n">
        <f aca="false">datos_base!F2*MAX(parametros_recargas!$F$41:$Q$41)/$B$6</f>
        <v>286.721139813751</v>
      </c>
      <c r="G30" s="25" t="n">
        <f aca="false">datos_base!G2*MAX(parametros_recargas!$F$42:$Q$42)/$B$6</f>
        <v>383.806390174027</v>
      </c>
      <c r="H30" s="25" t="n">
        <f aca="false">datos_base!H2*MAX(parametros_recargas!$F$43:$Q$43)/$B$6</f>
        <v>463.956039744549</v>
      </c>
      <c r="I30" s="25" t="n">
        <f aca="false">datos_base!I2*MAX(parametros_recargas!$F$44:$Q$44)/$B$6</f>
        <v>525.482958784001</v>
      </c>
      <c r="J30" s="25" t="n">
        <f aca="false">datos_base!J2*MAX(parametros_recargas!$F$45:$Q$45)/$B$6</f>
        <v>562.239436812983</v>
      </c>
      <c r="K30" s="25" t="n">
        <f aca="false">datos_base!K2*MAX(parametros_recargas!$F$46:$Q$46)/$B$6</f>
        <v>600.781367701295</v>
      </c>
    </row>
    <row r="31" customFormat="false" ht="15" hidden="false" customHeight="false" outlineLevel="0" collapsed="false">
      <c r="A31" s="12" t="str">
        <f aca="false">datos_base!A3</f>
        <v>ABC 2,5 kg</v>
      </c>
      <c r="B31" s="25" t="n">
        <f aca="false">datos_base!B3*MAX(parametros_recargas!$F$37:$Q$37)/$B$6</f>
        <v>1.77735400334772</v>
      </c>
      <c r="C31" s="25" t="n">
        <f aca="false">datos_base!C3*MAX(parametros_recargas!$F$38:$Q$38)/$B$6</f>
        <v>5.14829273007215</v>
      </c>
      <c r="D31" s="25" t="n">
        <f aca="false">datos_base!D3*MAX(parametros_recargas!$F$39:$Q$39)/$B$6</f>
        <v>11.4204002974065</v>
      </c>
      <c r="E31" s="25" t="n">
        <f aca="false">datos_base!E3*MAX(parametros_recargas!$F$40:$Q$40)/$B$6</f>
        <v>19.0927766134621</v>
      </c>
      <c r="F31" s="25" t="n">
        <f aca="false">datos_base!F3*MAX(parametros_recargas!$F$41:$Q$41)/$B$6</f>
        <v>26.7118312482036</v>
      </c>
      <c r="G31" s="25" t="n">
        <f aca="false">datos_base!G3*MAX(parametros_recargas!$F$42:$Q$42)/$B$6</f>
        <v>34.0758910100597</v>
      </c>
      <c r="H31" s="25" t="n">
        <f aca="false">datos_base!H3*MAX(parametros_recargas!$F$43:$Q$43)/$B$6</f>
        <v>40.2628744127723</v>
      </c>
      <c r="I31" s="25" t="n">
        <f aca="false">datos_base!I3*MAX(parametros_recargas!$F$44:$Q$44)/$B$6</f>
        <v>43.727004997237</v>
      </c>
      <c r="J31" s="25" t="n">
        <f aca="false">datos_base!J3*MAX(parametros_recargas!$F$45:$Q$45)/$B$6</f>
        <v>47.2368735671884</v>
      </c>
      <c r="K31" s="25" t="n">
        <f aca="false">datos_base!K3*MAX(parametros_recargas!$F$46:$Q$46)/$B$6</f>
        <v>50.8727671927578</v>
      </c>
    </row>
    <row r="32" customFormat="false" ht="15" hidden="false" customHeight="false" outlineLevel="0" collapsed="false">
      <c r="A32" s="12" t="str">
        <f aca="false">datos_base!A4</f>
        <v>ABC 5 kg</v>
      </c>
      <c r="B32" s="25" t="n">
        <f aca="false">datos_base!B4*MAX(parametros_recargas!$F$37:$Q$37)/$B$6</f>
        <v>10.5047750252094</v>
      </c>
      <c r="C32" s="25" t="n">
        <f aca="false">datos_base!C4*MAX(parametros_recargas!$F$38:$Q$38)/$B$6</f>
        <v>31.4021581906785</v>
      </c>
      <c r="D32" s="25" t="n">
        <f aca="false">datos_base!D4*MAX(parametros_recargas!$F$39:$Q$39)/$B$6</f>
        <v>68.8821671933679</v>
      </c>
      <c r="E32" s="25" t="n">
        <f aca="false">datos_base!E4*MAX(parametros_recargas!$F$40:$Q$40)/$B$6</f>
        <v>118.248892916261</v>
      </c>
      <c r="F32" s="25" t="n">
        <f aca="false">datos_base!F4*MAX(parametros_recargas!$F$41:$Q$41)/$B$6</f>
        <v>164.701992925777</v>
      </c>
      <c r="G32" s="25" t="n">
        <f aca="false">datos_base!G4*MAX(parametros_recargas!$F$42:$Q$42)/$B$6</f>
        <v>210.272145372272</v>
      </c>
      <c r="H32" s="25" t="n">
        <f aca="false">datos_base!H4*MAX(parametros_recargas!$F$43:$Q$43)/$B$6</f>
        <v>247.428851131358</v>
      </c>
      <c r="I32" s="25" t="n">
        <f aca="false">datos_base!I4*MAX(parametros_recargas!$F$44:$Q$44)/$B$6</f>
        <v>267.447504257226</v>
      </c>
      <c r="J32" s="25" t="n">
        <f aca="false">datos_base!J4*MAX(parametros_recargas!$F$45:$Q$45)/$B$6</f>
        <v>288.03217405886</v>
      </c>
      <c r="K32" s="25" t="n">
        <f aca="false">datos_base!K4*MAX(parametros_recargas!$F$46:$Q$46)/$B$6</f>
        <v>309.431758902617</v>
      </c>
    </row>
    <row r="33" customFormat="false" ht="15" hidden="false" customHeight="false" outlineLevel="0" collapsed="false">
      <c r="A33" s="12" t="str">
        <f aca="false">datos_base!A5</f>
        <v>ABC 10 kg</v>
      </c>
      <c r="B33" s="25" t="n">
        <f aca="false">datos_base!B5*MAX(parametros_recargas!$F$37:$Q$37)/$B$6</f>
        <v>0.637395914876052</v>
      </c>
      <c r="C33" s="25" t="n">
        <f aca="false">datos_base!C5*MAX(parametros_recargas!$F$38:$Q$38)/$B$6</f>
        <v>1.75040277202189</v>
      </c>
      <c r="D33" s="25" t="n">
        <f aca="false">datos_base!D5*MAX(parametros_recargas!$F$39:$Q$39)/$B$6</f>
        <v>3.97181902112489</v>
      </c>
      <c r="E33" s="25" t="n">
        <f aca="false">datos_base!E5*MAX(parametros_recargas!$F$40:$Q$40)/$B$6</f>
        <v>6.89815132508005</v>
      </c>
      <c r="F33" s="25" t="n">
        <f aca="false">datos_base!F5*MAX(parametros_recargas!$F$41:$Q$41)/$B$6</f>
        <v>9.67975335405511</v>
      </c>
      <c r="G33" s="25" t="n">
        <f aca="false">datos_base!G5*MAX(parametros_recargas!$F$42:$Q$42)/$B$6</f>
        <v>12.4561739683834</v>
      </c>
      <c r="H33" s="25" t="n">
        <f aca="false">datos_base!H5*MAX(parametros_recargas!$F$43:$Q$43)/$B$6</f>
        <v>14.6584397472827</v>
      </c>
      <c r="I33" s="25" t="n">
        <f aca="false">datos_base!I5*MAX(parametros_recargas!$F$44:$Q$44)/$B$6</f>
        <v>15.8331117901567</v>
      </c>
      <c r="J33" s="25" t="n">
        <f aca="false">datos_base!J5*MAX(parametros_recargas!$F$45:$Q$45)/$B$6</f>
        <v>17.0533632367015</v>
      </c>
      <c r="K33" s="25" t="n">
        <f aca="false">datos_base!K5*MAX(parametros_recargas!$F$46:$Q$46)/$B$6</f>
        <v>18.3217772735558</v>
      </c>
    </row>
    <row r="34" customFormat="false" ht="15" hidden="false" customHeight="false" outlineLevel="0" collapsed="false">
      <c r="A34" s="12" t="str">
        <f aca="false">datos_base!A6</f>
        <v>Agua 10 l</v>
      </c>
      <c r="B34" s="25" t="n">
        <f aca="false">datos_base!B6*MAX(parametros_recargas!$F$37:$Q$37)/$B$6</f>
        <v>0.858032965647594</v>
      </c>
      <c r="C34" s="25" t="n">
        <f aca="false">datos_base!C6*MAX(parametros_recargas!$F$38:$Q$38)/$B$6</f>
        <v>2.57301278522959</v>
      </c>
      <c r="D34" s="25" t="n">
        <f aca="false">datos_base!D6*MAX(parametros_recargas!$F$39:$Q$39)/$B$6</f>
        <v>5.71321544565204</v>
      </c>
      <c r="E34" s="25" t="n">
        <f aca="false">datos_base!E6*MAX(parametros_recargas!$F$40:$Q$40)/$B$6</f>
        <v>9.73439249385905</v>
      </c>
      <c r="F34" s="25" t="n">
        <f aca="false">datos_base!F6*MAX(parametros_recargas!$F$41:$Q$41)/$B$6</f>
        <v>13.5805670667905</v>
      </c>
      <c r="G34" s="25" t="n">
        <f aca="false">datos_base!G6*MAX(parametros_recargas!$F$42:$Q$42)/$B$6</f>
        <v>17.4425954821404</v>
      </c>
      <c r="H34" s="25" t="n">
        <f aca="false">datos_base!H6*MAX(parametros_recargas!$F$43:$Q$43)/$B$6</f>
        <v>20.5526482352261</v>
      </c>
      <c r="I34" s="25" t="n">
        <f aca="false">datos_base!I6*MAX(parametros_recargas!$F$44:$Q$44)/$B$6</f>
        <v>22.2874513821984</v>
      </c>
      <c r="J34" s="25" t="n">
        <f aca="false">datos_base!J6*MAX(parametros_recargas!$F$45:$Q$45)/$B$6</f>
        <v>24.0439073122079</v>
      </c>
      <c r="K34" s="25" t="n">
        <f aca="false">datos_base!K6*MAX(parametros_recargas!$F$46:$Q$46)/$B$6</f>
        <v>25.8662219458384</v>
      </c>
    </row>
    <row r="35" customFormat="false" ht="15" hidden="false" customHeight="false" outlineLevel="0" collapsed="false">
      <c r="A35" s="12" t="str">
        <f aca="false">datos_base!A7</f>
        <v>AFFF 10 l</v>
      </c>
      <c r="B35" s="25" t="n">
        <f aca="false">datos_base!B7*MAX(parametros_recargas!$F$37:$Q$37)/$B$6</f>
        <v>0.122576138719081</v>
      </c>
      <c r="C35" s="25" t="n">
        <f aca="false">datos_base!C7*MAX(parametros_recargas!$F$38:$Q$38)/$B$6</f>
        <v>0.645092171311805</v>
      </c>
      <c r="D35" s="25" t="n">
        <f aca="false">datos_base!D7*MAX(parametros_recargas!$F$39:$Q$39)/$B$6</f>
        <v>1.2268660412716</v>
      </c>
      <c r="E35" s="25" t="n">
        <f aca="false">datos_base!E7*MAX(parametros_recargas!$F$40:$Q$40)/$B$6</f>
        <v>1.85575882233197</v>
      </c>
      <c r="F35" s="25" t="n">
        <f aca="false">datos_base!F7*MAX(parametros_recargas!$F$41:$Q$41)/$B$6</f>
        <v>2.53066859045805</v>
      </c>
      <c r="G35" s="25" t="n">
        <f aca="false">datos_base!G7*MAX(parametros_recargas!$F$42:$Q$42)/$B$6</f>
        <v>3.14763797632806</v>
      </c>
      <c r="H35" s="25" t="n">
        <f aca="false">datos_base!H7*MAX(parametros_recargas!$F$43:$Q$43)/$B$6</f>
        <v>3.75583135883016</v>
      </c>
      <c r="I35" s="25" t="n">
        <f aca="false">datos_base!I7*MAX(parametros_recargas!$F$44:$Q$44)/$B$6</f>
        <v>4.14372069395161</v>
      </c>
      <c r="J35" s="25" t="n">
        <f aca="false">datos_base!J7*MAX(parametros_recargas!$F$45:$Q$45)/$B$6</f>
        <v>4.52247634159974</v>
      </c>
      <c r="K35" s="25" t="n">
        <f aca="false">datos_base!K7*MAX(parametros_recargas!$F$46:$Q$46)/$B$6</f>
        <v>4.91086864801049</v>
      </c>
    </row>
    <row r="36" customFormat="false" ht="15" hidden="false" customHeight="false" outlineLevel="0" collapsed="false">
      <c r="A36" s="12" t="str">
        <f aca="false">datos_base!A8</f>
        <v>AFFF 50 l s/ruedas</v>
      </c>
      <c r="B36" s="25" t="n">
        <f aca="false">datos_base!B8*MAX(parametros_recargas!$F$37:$Q$37)/$B$6</f>
        <v>0.0612880666665528</v>
      </c>
      <c r="C36" s="25" t="n">
        <f aca="false">datos_base!C8*MAX(parametros_recargas!$F$38:$Q$38)/$B$6</f>
        <v>0.332805946649385</v>
      </c>
      <c r="D36" s="25" t="n">
        <f aca="false">datos_base!D8*MAX(parametros_recargas!$F$39:$Q$39)/$B$6</f>
        <v>0.637304030094147</v>
      </c>
      <c r="E36" s="25" t="n">
        <f aca="false">datos_base!E8*MAX(parametros_recargas!$F$40:$Q$40)/$B$6</f>
        <v>0.989963287677692</v>
      </c>
      <c r="F36" s="25" t="n">
        <f aca="false">datos_base!F8*MAX(parametros_recargas!$F$41:$Q$41)/$B$6</f>
        <v>1.3572264761531</v>
      </c>
      <c r="G36" s="25" t="n">
        <f aca="false">datos_base!G8*MAX(parametros_recargas!$F$42:$Q$42)/$B$6</f>
        <v>1.68199064000946</v>
      </c>
      <c r="H36" s="25" t="n">
        <f aca="false">datos_base!H8*MAX(parametros_recargas!$F$43:$Q$43)/$B$6</f>
        <v>1.9772202677224</v>
      </c>
      <c r="I36" s="25" t="n">
        <f aca="false">datos_base!I8*MAX(parametros_recargas!$F$44:$Q$44)/$B$6</f>
        <v>2.18029419291011</v>
      </c>
      <c r="J36" s="25" t="n">
        <f aca="false">datos_base!J8*MAX(parametros_recargas!$F$45:$Q$45)/$B$6</f>
        <v>2.36725360092895</v>
      </c>
      <c r="K36" s="25" t="n">
        <f aca="false">datos_base!K8*MAX(parametros_recargas!$F$46:$Q$46)/$B$6</f>
        <v>2.55989959539504</v>
      </c>
    </row>
    <row r="37" customFormat="false" ht="15" hidden="false" customHeight="false" outlineLevel="0" collapsed="false">
      <c r="A37" s="12" t="str">
        <f aca="false">datos_base!A9</f>
        <v>BC 5 kg</v>
      </c>
      <c r="B37" s="25" t="n">
        <f aca="false">datos_base!B9*MAX(parametros_recargas!$F$37:$Q$37)/$B$6</f>
        <v>0.0367728399999317</v>
      </c>
      <c r="C37" s="25" t="n">
        <f aca="false">datos_base!C9*MAX(parametros_recargas!$F$38:$Q$38)/$B$6</f>
        <v>0.188242597776356</v>
      </c>
      <c r="D37" s="25" t="n">
        <f aca="false">datos_base!D9*MAX(parametros_recargas!$F$39:$Q$39)/$B$6</f>
        <v>0.344451101319716</v>
      </c>
      <c r="E37" s="25" t="n">
        <f aca="false">datos_base!E9*MAX(parametros_recargas!$F$40:$Q$40)/$B$6</f>
        <v>0.561246064393253</v>
      </c>
      <c r="F37" s="25" t="n">
        <f aca="false">datos_base!F9*MAX(parametros_recargas!$F$41:$Q$41)/$B$6</f>
        <v>0.747834917007994</v>
      </c>
      <c r="G37" s="25" t="n">
        <f aca="false">datos_base!G9*MAX(parametros_recargas!$F$42:$Q$42)/$B$6</f>
        <v>0.954123087565822</v>
      </c>
      <c r="H37" s="25" t="n">
        <f aca="false">datos_base!H9*MAX(parametros_recargas!$F$43:$Q$43)/$B$6</f>
        <v>1.15931673376054</v>
      </c>
      <c r="I37" s="25" t="n">
        <f aca="false">datos_base!I9*MAX(parametros_recargas!$F$44:$Q$44)/$B$6</f>
        <v>1.25207984289233</v>
      </c>
      <c r="J37" s="25" t="n">
        <f aca="false">datos_base!J9*MAX(parametros_recargas!$F$45:$Q$45)/$B$6</f>
        <v>1.36444780259405</v>
      </c>
      <c r="K37" s="25" t="n">
        <f aca="false">datos_base!K9*MAX(parametros_recargas!$F$46:$Q$46)/$B$6</f>
        <v>1.47983144003982</v>
      </c>
    </row>
    <row r="38" customFormat="false" ht="15" hidden="false" customHeight="false" outlineLevel="0" collapsed="false">
      <c r="A38" s="12" t="str">
        <f aca="false">datos_base!A10</f>
        <v>Sales K 6 l</v>
      </c>
      <c r="B38" s="25" t="n">
        <f aca="false">datos_base!B10*MAX(parametros_recargas!$F$37:$Q$37)/$B$6</f>
        <v>0.441274096157107</v>
      </c>
      <c r="C38" s="25" t="n">
        <f aca="false">datos_base!C10*MAX(parametros_recargas!$F$38:$Q$38)/$B$6</f>
        <v>1.34124023405156</v>
      </c>
      <c r="D38" s="25" t="n">
        <f aca="false">datos_base!D10*MAX(parametros_recargas!$F$39:$Q$39)/$B$6</f>
        <v>2.89309890824537</v>
      </c>
      <c r="E38" s="25" t="n">
        <f aca="false">datos_base!E10*MAX(parametros_recargas!$F$40:$Q$40)/$B$6</f>
        <v>4.78160046679699</v>
      </c>
      <c r="F38" s="25" t="n">
        <f aca="false">datos_base!F10*MAX(parametros_recargas!$F$41:$Q$41)/$B$6</f>
        <v>6.67253632520515</v>
      </c>
      <c r="G38" s="25" t="n">
        <f aca="false">datos_base!G10*MAX(parametros_recargas!$F$42:$Q$42)/$B$6</f>
        <v>8.49463666665529</v>
      </c>
      <c r="H38" s="25" t="n">
        <f aca="false">datos_base!H10*MAX(parametros_recargas!$F$43:$Q$43)/$B$6</f>
        <v>10.049341599128</v>
      </c>
      <c r="I38" s="25" t="n">
        <f aca="false">datos_base!I10*MAX(parametros_recargas!$F$44:$Q$44)/$B$6</f>
        <v>10.9709081594109</v>
      </c>
      <c r="J38" s="25" t="n">
        <f aca="false">datos_base!J10*MAX(parametros_recargas!$F$45:$Q$45)/$B$6</f>
        <v>11.8475718229224</v>
      </c>
      <c r="K38" s="25" t="n">
        <f aca="false">datos_base!K10*MAX(parametros_recargas!$F$46:$Q$46)/$B$6</f>
        <v>12.7560517983151</v>
      </c>
    </row>
    <row r="39" customFormat="false" ht="15" hidden="false" customHeight="false" outlineLevel="0" collapsed="false">
      <c r="A39" s="12" t="str">
        <f aca="false">datos_base!A11</f>
        <v>CO₂ 2 kg</v>
      </c>
      <c r="B39" s="25" t="n">
        <f aca="false">datos_base!B11*MAX(parametros_recargas!$F$37:$Q$37)/$B$6</f>
        <v>2.42700753155708</v>
      </c>
      <c r="C39" s="25" t="n">
        <f aca="false">datos_base!C11*MAX(parametros_recargas!$F$38:$Q$38)/$B$6</f>
        <v>6.78692865208373</v>
      </c>
      <c r="D39" s="25" t="n">
        <f aca="false">datos_base!D11*MAX(parametros_recargas!$F$39:$Q$39)/$B$6</f>
        <v>15.3265483122515</v>
      </c>
      <c r="E39" s="25" t="n">
        <f aca="false">datos_base!E11*MAX(parametros_recargas!$F$40:$Q$40)/$B$6</f>
        <v>26.6060271250894</v>
      </c>
      <c r="F39" s="25" t="n">
        <f aca="false">datos_base!F11*MAX(parametros_recargas!$F$41:$Q$41)/$B$6</f>
        <v>37.1547165664929</v>
      </c>
      <c r="G39" s="25" t="n">
        <f aca="false">datos_base!G11*MAX(parametros_recargas!$F$42:$Q$42)/$B$6</f>
        <v>47.4491865446957</v>
      </c>
      <c r="H39" s="25" t="n">
        <f aca="false">datos_base!H11*MAX(parametros_recargas!$F$43:$Q$43)/$B$6</f>
        <v>55.779148210908</v>
      </c>
      <c r="I39" s="25" t="n">
        <f aca="false">datos_base!I11*MAX(parametros_recargas!$F$44:$Q$44)/$B$6</f>
        <v>60.1414522133244</v>
      </c>
      <c r="J39" s="25" t="n">
        <f aca="false">datos_base!J11*MAX(parametros_recargas!$F$45:$Q$45)/$B$6</f>
        <v>64.7719819641988</v>
      </c>
      <c r="K39" s="25" t="n">
        <f aca="false">datos_base!K11*MAX(parametros_recargas!$F$46:$Q$46)/$B$6</f>
        <v>69.5856826836399</v>
      </c>
    </row>
    <row r="40" customFormat="false" ht="15" hidden="false" customHeight="false" outlineLevel="0" collapsed="false">
      <c r="A40" s="12" t="str">
        <f aca="false">datos_base!A12</f>
        <v>CO₂ 5 kg</v>
      </c>
      <c r="B40" s="25" t="n">
        <f aca="false">datos_base!B12*MAX(parametros_recargas!$F$37:$Q$37)/$B$6</f>
        <v>0.674168760261959</v>
      </c>
      <c r="C40" s="25" t="n">
        <f aca="false">datos_base!C12*MAX(parametros_recargas!$F$38:$Q$38)/$B$6</f>
        <v>2.57383988219856</v>
      </c>
      <c r="D40" s="25" t="n">
        <f aca="false">datos_base!D12*MAX(parametros_recargas!$F$39:$Q$39)/$B$6</f>
        <v>5.33060935405342</v>
      </c>
      <c r="E40" s="25" t="n">
        <f aca="false">datos_base!E12*MAX(parametros_recargas!$F$40:$Q$40)/$B$6</f>
        <v>8.65707395767189</v>
      </c>
      <c r="F40" s="25" t="n">
        <f aca="false">datos_base!F12*MAX(parametros_recargas!$F$41:$Q$41)/$B$6</f>
        <v>12.0623898912423</v>
      </c>
      <c r="G40" s="25" t="n">
        <f aca="false">datos_base!G12*MAX(parametros_recargas!$F$42:$Q$42)/$B$6</f>
        <v>15.4410052803543</v>
      </c>
      <c r="H40" s="25" t="n">
        <f aca="false">datos_base!H12*MAX(parametros_recargas!$F$43:$Q$43)/$B$6</f>
        <v>18.3994510448744</v>
      </c>
      <c r="I40" s="25" t="n">
        <f aca="false">datos_base!I12*MAX(parametros_recargas!$F$44:$Q$44)/$B$6</f>
        <v>20.2598875069739</v>
      </c>
      <c r="J40" s="25" t="n">
        <f aca="false">datos_base!J12*MAX(parametros_recargas!$F$45:$Q$45)/$B$6</f>
        <v>21.9939909283725</v>
      </c>
      <c r="K40" s="25" t="n">
        <f aca="false">datos_base!K12*MAX(parametros_recargas!$F$46:$Q$46)/$B$6</f>
        <v>23.7810942787313</v>
      </c>
    </row>
    <row r="41" customFormat="false" ht="15" hidden="false" customHeight="false" outlineLevel="0" collapsed="false">
      <c r="A41" s="12" t="str">
        <f aca="false">datos_base!A13</f>
        <v>HCFC/HFC 5 kg</v>
      </c>
      <c r="B41" s="25" t="n">
        <f aca="false">datos_base!B13*MAX(parametros_recargas!$F$37:$Q$37)/$B$6</f>
        <v>0.0980609120524602</v>
      </c>
      <c r="C41" s="25" t="n">
        <f aca="false">datos_base!C13*MAX(parametros_recargas!$F$38:$Q$38)/$B$6</f>
        <v>0.448181800926653</v>
      </c>
      <c r="D41" s="25" t="n">
        <f aca="false">datos_base!D13*MAX(parametros_recargas!$F$39:$Q$39)/$B$6</f>
        <v>0.894568776092253</v>
      </c>
      <c r="E41" s="25" t="n">
        <f aca="false">datos_base!E13*MAX(parametros_recargas!$F$40:$Q$40)/$B$6</f>
        <v>1.41000872613035</v>
      </c>
      <c r="F41" s="25" t="n">
        <f aca="false">datos_base!F13*MAX(parametros_recargas!$F$41:$Q$41)/$B$6</f>
        <v>1.95470613594707</v>
      </c>
      <c r="G41" s="25" t="n">
        <f aca="false">datos_base!G13*MAX(parametros_recargas!$F$42:$Q$42)/$B$6</f>
        <v>2.46595723234398</v>
      </c>
      <c r="H41" s="25" t="n">
        <f aca="false">datos_base!H13*MAX(parametros_recargas!$F$43:$Q$43)/$B$6</f>
        <v>2.96976111634351</v>
      </c>
      <c r="I41" s="25" t="n">
        <f aca="false">datos_base!I13*MAX(parametros_recargas!$F$44:$Q$44)/$B$6</f>
        <v>3.28720369264135</v>
      </c>
      <c r="J41" s="25" t="n">
        <f aca="false">datos_base!J13*MAX(parametros_recargas!$F$45:$Q$45)/$B$6</f>
        <v>3.58632222997715</v>
      </c>
      <c r="K41" s="25" t="n">
        <f aca="false">datos_base!K13*MAX(parametros_recargas!$F$46:$Q$46)/$B$6</f>
        <v>3.89315283159968</v>
      </c>
    </row>
    <row r="42" customFormat="false" ht="15" hidden="false" customHeight="false" outlineLevel="0" collapsed="false">
      <c r="A42" s="12" t="str">
        <f aca="false">datos_base!A14</f>
        <v>Clase D 9 l</v>
      </c>
      <c r="B42" s="25" t="n">
        <f aca="false">datos_base!B14*MAX(parametros_recargas!$F$37:$Q$37)/$B$6</f>
        <v>0.0367728399999317</v>
      </c>
      <c r="C42" s="25" t="n">
        <f aca="false">datos_base!C14*MAX(parametros_recargas!$F$38:$Q$38)/$B$6</f>
        <v>0.188242597776356</v>
      </c>
      <c r="D42" s="25" t="n">
        <f aca="false">datos_base!D14*MAX(parametros_recargas!$F$39:$Q$39)/$B$6</f>
        <v>0.344451101319716</v>
      </c>
      <c r="E42" s="25" t="n">
        <f aca="false">datos_base!E14*MAX(parametros_recargas!$F$40:$Q$40)/$B$6</f>
        <v>0.521754279868587</v>
      </c>
      <c r="F42" s="25" t="n">
        <f aca="false">datos_base!F14*MAX(parametros_recargas!$F$41:$Q$41)/$B$6</f>
        <v>0.698261420882665</v>
      </c>
      <c r="G42" s="25" t="n">
        <f aca="false">datos_base!G14*MAX(parametros_recargas!$F$42:$Q$42)/$B$6</f>
        <v>0.83609673054901</v>
      </c>
      <c r="H42" s="25" t="n">
        <f aca="false">datos_base!H14*MAX(parametros_recargas!$F$43:$Q$43)/$B$6</f>
        <v>1.03225264611714</v>
      </c>
      <c r="I42" s="25" t="n">
        <f aca="false">datos_base!I14*MAX(parametros_recargas!$F$44:$Q$44)/$B$6</f>
        <v>1.12484850422368</v>
      </c>
      <c r="J42" s="25" t="n">
        <f aca="false">datos_base!J14*MAX(parametros_recargas!$F$45:$Q$45)/$B$6</f>
        <v>1.22946595265953</v>
      </c>
      <c r="K42" s="25" t="n">
        <f aca="false">datos_base!K14*MAX(parametros_recargas!$F$46:$Q$46)/$B$6</f>
        <v>1.33660936280938</v>
      </c>
    </row>
    <row r="43" customFormat="false" ht="15" hidden="false" customHeight="false" outlineLevel="0" collapsed="false">
      <c r="A43" s="12" t="str">
        <f aca="false">datos_base!A15</f>
        <v>ABC 25 kg s/ruedas</v>
      </c>
      <c r="B43" s="25" t="n">
        <f aca="false">datos_base!B15*MAX(parametros_recargas!$F$37:$Q$37)/$B$6</f>
        <v>0.0949965073726386</v>
      </c>
      <c r="C43" s="25" t="n">
        <f aca="false">datos_base!C15*MAX(parametros_recargas!$F$38:$Q$38)/$B$6</f>
        <v>0.343860215268604</v>
      </c>
      <c r="D43" s="25" t="n">
        <f aca="false">datos_base!D15*MAX(parametros_recargas!$F$39:$Q$39)/$B$6</f>
        <v>0.724127154612291</v>
      </c>
      <c r="E43" s="25" t="n">
        <f aca="false">datos_base!E15*MAX(parametros_recargas!$F$40:$Q$40)/$B$6</f>
        <v>1.18434659823263</v>
      </c>
      <c r="F43" s="25" t="n">
        <f aca="false">datos_base!F15*MAX(parametros_recargas!$F$41:$Q$41)/$B$6</f>
        <v>1.64721345479025</v>
      </c>
      <c r="G43" s="25" t="n">
        <f aca="false">datos_base!G15*MAX(parametros_recargas!$F$42:$Q$42)/$B$6</f>
        <v>2.1026886244448</v>
      </c>
      <c r="H43" s="25" t="n">
        <f aca="false">datos_base!H15*MAX(parametros_recargas!$F$43:$Q$43)/$B$6</f>
        <v>2.49069785040743</v>
      </c>
      <c r="I43" s="25" t="n">
        <f aca="false">datos_base!I15*MAX(parametros_recargas!$F$44:$Q$44)/$B$6</f>
        <v>2.72752963768982</v>
      </c>
      <c r="J43" s="25" t="n">
        <f aca="false">datos_base!J15*MAX(parametros_recargas!$F$45:$Q$45)/$B$6</f>
        <v>2.95462084229038</v>
      </c>
      <c r="K43" s="25" t="n">
        <f aca="false">datos_base!K15*MAX(parametros_recargas!$F$46:$Q$46)/$B$6</f>
        <v>3.18916536653041</v>
      </c>
    </row>
    <row r="44" customFormat="false" ht="15" hidden="false" customHeight="false" outlineLevel="0" collapsed="false">
      <c r="A44" s="12" t="str">
        <f aca="false">datos_base!A16</f>
        <v>ABC 50 kg s/ruedas</v>
      </c>
      <c r="B44" s="25" t="n">
        <f aca="false">datos_base!B16*MAX(parametros_recargas!$F$37:$Q$37)/$B$6</f>
        <v>0.20899231298822</v>
      </c>
      <c r="C44" s="25" t="n">
        <f aca="false">datos_base!C16*MAX(parametros_recargas!$F$38:$Q$38)/$B$6</f>
        <v>0.756492478389658</v>
      </c>
      <c r="D44" s="25" t="n">
        <f aca="false">datos_base!D16*MAX(parametros_recargas!$F$39:$Q$39)/$B$6</f>
        <v>1.59307974247207</v>
      </c>
      <c r="E44" s="25" t="n">
        <f aca="false">datos_base!E16*MAX(parametros_recargas!$F$40:$Q$40)/$B$6</f>
        <v>2.60556251540803</v>
      </c>
      <c r="F44" s="25" t="n">
        <f aca="false">datos_base!F16*MAX(parametros_recargas!$F$41:$Q$41)/$B$6</f>
        <v>3.6238695984971</v>
      </c>
      <c r="G44" s="25" t="n">
        <f aca="false">datos_base!G16*MAX(parametros_recargas!$F$42:$Q$42)/$B$6</f>
        <v>4.62591497704757</v>
      </c>
      <c r="H44" s="25" t="n">
        <f aca="false">datos_base!H16*MAX(parametros_recargas!$F$43:$Q$43)/$B$6</f>
        <v>5.47953527278221</v>
      </c>
      <c r="I44" s="25" t="n">
        <f aca="false">datos_base!I16*MAX(parametros_recargas!$F$44:$Q$44)/$B$6</f>
        <v>6.00056520169129</v>
      </c>
      <c r="J44" s="25" t="n">
        <f aca="false">datos_base!J16*MAX(parametros_recargas!$F$45:$Q$45)/$B$6</f>
        <v>6.50016584997803</v>
      </c>
      <c r="K44" s="25" t="n">
        <f aca="false">datos_base!K16*MAX(parametros_recargas!$F$46:$Q$46)/$B$6</f>
        <v>7.01616380208178</v>
      </c>
    </row>
    <row r="45" customFormat="false" ht="15" hidden="false" customHeight="false" outlineLevel="0" collapsed="false">
      <c r="A45" s="12" t="str">
        <f aca="false">datos_base!A17</f>
        <v>ABC 70 kg s/ruedas</v>
      </c>
      <c r="B45" s="25" t="n">
        <f aca="false">datos_base!B17*MAX(parametros_recargas!$F$37:$Q$37)/$B$6</f>
        <v>0.0455983211690373</v>
      </c>
      <c r="C45" s="25" t="n">
        <f aca="false">datos_base!C17*MAX(parametros_recargas!$F$38:$Q$38)/$B$6</f>
        <v>0.165052902849057</v>
      </c>
      <c r="D45" s="25" t="n">
        <f aca="false">datos_base!D17*MAX(parametros_recargas!$F$39:$Q$39)/$B$6</f>
        <v>0.347581033593893</v>
      </c>
      <c r="E45" s="25" t="n">
        <f aca="false">datos_base!E17*MAX(parametros_recargas!$F$40:$Q$40)/$B$6</f>
        <v>0.568486366870162</v>
      </c>
      <c r="F45" s="25" t="n">
        <f aca="false">datos_base!F17*MAX(parametros_recargas!$F$41:$Q$41)/$B$6</f>
        <v>0.790662458163222</v>
      </c>
      <c r="G45" s="25" t="n">
        <f aca="false">datos_base!G17*MAX(parametros_recargas!$F$42:$Q$42)/$B$6</f>
        <v>1.00929054038731</v>
      </c>
      <c r="H45" s="25" t="n">
        <f aca="false">datos_base!H17*MAX(parametros_recargas!$F$43:$Q$43)/$B$6</f>
        <v>1.19553496769267</v>
      </c>
      <c r="I45" s="25" t="n">
        <f aca="false">datos_base!I17*MAX(parametros_recargas!$F$44:$Q$44)/$B$6</f>
        <v>1.30921422498744</v>
      </c>
      <c r="J45" s="25" t="n">
        <f aca="false">datos_base!J17*MAX(parametros_recargas!$F$45:$Q$45)/$B$6</f>
        <v>1.41821800491154</v>
      </c>
      <c r="K45" s="25" t="n">
        <f aca="false">datos_base!K17*MAX(parametros_recargas!$F$46:$Q$46)/$B$6</f>
        <v>1.53079937605703</v>
      </c>
    </row>
    <row r="46" customFormat="false" ht="15" hidden="false" customHeight="false" outlineLevel="0" collapsed="false">
      <c r="A46" s="12" t="str">
        <f aca="false">datos_base!A18</f>
        <v>ABC 100 kg s/ruedas</v>
      </c>
      <c r="B46" s="25" t="n">
        <f aca="false">datos_base!B18*MAX(parametros_recargas!$F$37:$Q$37)/$B$6</f>
        <v>0.0303988825746834</v>
      </c>
      <c r="C46" s="25" t="n">
        <f aca="false">datos_base!C18*MAX(parametros_recargas!$F$38:$Q$38)/$B$6</f>
        <v>0.110035268566038</v>
      </c>
      <c r="D46" s="25" t="n">
        <f aca="false">datos_base!D18*MAX(parametros_recargas!$F$39:$Q$39)/$B$6</f>
        <v>0.231720691645956</v>
      </c>
      <c r="E46" s="25" t="n">
        <f aca="false">datos_base!E18*MAX(parametros_recargas!$F$40:$Q$40)/$B$6</f>
        <v>0.378990912419685</v>
      </c>
      <c r="F46" s="25" t="n">
        <f aca="false">datos_base!F18*MAX(parametros_recargas!$F$41:$Q$41)/$B$6</f>
        <v>0.527108304308014</v>
      </c>
      <c r="G46" s="25" t="n">
        <f aca="false">datos_base!G18*MAX(parametros_recargas!$F$42:$Q$42)/$B$6</f>
        <v>0.672860359168536</v>
      </c>
      <c r="H46" s="25" t="n">
        <f aca="false">datos_base!H18*MAX(parametros_recargas!$F$43:$Q$43)/$B$6</f>
        <v>0.797023313890518</v>
      </c>
      <c r="I46" s="25" t="n">
        <f aca="false">datos_base!I18*MAX(parametros_recargas!$F$44:$Q$44)/$B$6</f>
        <v>0.872809483324961</v>
      </c>
      <c r="J46" s="25" t="n">
        <f aca="false">datos_base!J18*MAX(parametros_recargas!$F$45:$Q$45)/$B$6</f>
        <v>0.945478668920761</v>
      </c>
      <c r="K46" s="25" t="n">
        <f aca="false">datos_base!K18*MAX(parametros_recargas!$F$46:$Q$46)/$B$6</f>
        <v>1.02053291533082</v>
      </c>
    </row>
    <row r="48" customFormat="false" ht="15" hidden="false" customHeight="false" outlineLevel="0" collapsed="false">
      <c r="A48" s="1" t="s">
        <v>324</v>
      </c>
    </row>
    <row r="49" customFormat="false" ht="15" hidden="false" customHeight="false" outlineLevel="0" collapsed="false">
      <c r="A49" s="3" t="s">
        <v>270</v>
      </c>
      <c r="B49" s="3" t="n">
        <v>2026</v>
      </c>
      <c r="C49" s="3" t="n">
        <v>2027</v>
      </c>
      <c r="D49" s="3" t="n">
        <v>2028</v>
      </c>
      <c r="E49" s="3" t="n">
        <v>2029</v>
      </c>
      <c r="F49" s="3" t="n">
        <v>2030</v>
      </c>
      <c r="G49" s="3" t="n">
        <v>2031</v>
      </c>
      <c r="H49" s="3" t="n">
        <v>2032</v>
      </c>
      <c r="I49" s="3" t="n">
        <v>2033</v>
      </c>
      <c r="J49" s="3" t="n">
        <v>2034</v>
      </c>
      <c r="K49" s="3" t="n">
        <v>2035</v>
      </c>
    </row>
    <row r="50" customFormat="false" ht="15" hidden="false" customHeight="false" outlineLevel="0" collapsed="false">
      <c r="A50" s="4" t="s">
        <v>143</v>
      </c>
      <c r="B50" s="27" t="n">
        <f aca="false">SUMPRODUCT(MAX((parametros_recargas!$E$72:$E$99&gt;0)*'Resumen Capacidad'!B$2:B$29))</f>
        <v>0.146056278133307</v>
      </c>
      <c r="C50" s="27" t="n">
        <f aca="false">SUMPRODUCT(MAX((parametros_recargas!$E$72:$E$99&gt;0)*'Resumen Capacidad'!C$2:C$29))</f>
        <v>0.492265328590357</v>
      </c>
      <c r="D50" s="27" t="n">
        <f aca="false">SUMPRODUCT(MAX((parametros_recargas!$E$72:$E$99&gt;0)*'Resumen Capacidad'!D$2:D$29))</f>
        <v>0.943237707623536</v>
      </c>
      <c r="E50" s="27" t="n">
        <f aca="false">SUMPRODUCT(MAX((parametros_recargas!$E$72:$E$99&gt;0)*'Resumen Capacidad'!E$2:E$29))</f>
        <v>1.58740580554474</v>
      </c>
      <c r="F50" s="27" t="n">
        <f aca="false">SUMPRODUCT(MAX((parametros_recargas!$E$72:$E$99&gt;0)*'Resumen Capacidad'!F$2:F$29))</f>
        <v>2.3001216672309</v>
      </c>
      <c r="G50" s="27" t="n">
        <f aca="false">SUMPRODUCT(MAX((parametros_recargas!$E$72:$E$99&gt;0)*'Resumen Capacidad'!G$2:G$29))</f>
        <v>3.07851740968593</v>
      </c>
      <c r="H50" s="27" t="n">
        <f aca="false">SUMPRODUCT(MAX((parametros_recargas!$E$72:$E$99&gt;0)*'Resumen Capacidad'!H$2:H$29))</f>
        <v>3.77221621613404</v>
      </c>
      <c r="I50" s="27" t="n">
        <f aca="false">SUMPRODUCT(MAX((parametros_recargas!$E$72:$E$99&gt;0)*'Resumen Capacidad'!I$2:I$29))</f>
        <v>4.29452754289845</v>
      </c>
      <c r="J50" s="27" t="n">
        <f aca="false">SUMPRODUCT(MAX((parametros_recargas!$E$72:$E$99&gt;0)*'Resumen Capacidad'!J$2:J$29))</f>
        <v>4.68243871790795</v>
      </c>
      <c r="K50" s="27" t="n">
        <f aca="false">SUMPRODUCT(MAX((parametros_recargas!$E$72:$E$99&gt;0)*'Resumen Capacidad'!K$2:K$29))</f>
        <v>5.07525153890256</v>
      </c>
    </row>
    <row r="51" customFormat="false" ht="15" hidden="false" customHeight="false" outlineLevel="0" collapsed="false">
      <c r="A51" s="4" t="s">
        <v>149</v>
      </c>
      <c r="B51" s="27" t="n">
        <f aca="false">SUMPRODUCT(MAX((parametros_recargas!$F$72:$F$99&gt;0)*'Resumen Capacidad'!B$2:B$29))</f>
        <v>0.146056278133307</v>
      </c>
      <c r="C51" s="27" t="n">
        <f aca="false">SUMPRODUCT(MAX((parametros_recargas!$F$72:$F$99&gt;0)*'Resumen Capacidad'!C$2:C$29))</f>
        <v>0.492265328590357</v>
      </c>
      <c r="D51" s="27" t="n">
        <f aca="false">SUMPRODUCT(MAX((parametros_recargas!$F$72:$F$99&gt;0)*'Resumen Capacidad'!D$2:D$29))</f>
        <v>0.943237707623536</v>
      </c>
      <c r="E51" s="27" t="n">
        <f aca="false">SUMPRODUCT(MAX((parametros_recargas!$F$72:$F$99&gt;0)*'Resumen Capacidad'!E$2:E$29))</f>
        <v>1.58740580554474</v>
      </c>
      <c r="F51" s="27" t="n">
        <f aca="false">SUMPRODUCT(MAX((parametros_recargas!$F$72:$F$99&gt;0)*'Resumen Capacidad'!F$2:F$29))</f>
        <v>2.3001216672309</v>
      </c>
      <c r="G51" s="27" t="n">
        <f aca="false">SUMPRODUCT(MAX((parametros_recargas!$F$72:$F$99&gt;0)*'Resumen Capacidad'!G$2:G$29))</f>
        <v>3.07851740968593</v>
      </c>
      <c r="H51" s="27" t="n">
        <f aca="false">SUMPRODUCT(MAX((parametros_recargas!$F$72:$F$99&gt;0)*'Resumen Capacidad'!H$2:H$29))</f>
        <v>3.77221621613404</v>
      </c>
      <c r="I51" s="27" t="n">
        <f aca="false">SUMPRODUCT(MAX((parametros_recargas!$F$72:$F$99&gt;0)*'Resumen Capacidad'!I$2:I$29))</f>
        <v>4.29452754289845</v>
      </c>
      <c r="J51" s="27" t="n">
        <f aca="false">SUMPRODUCT(MAX((parametros_recargas!$F$72:$F$99&gt;0)*'Resumen Capacidad'!J$2:J$29))</f>
        <v>4.68243871790795</v>
      </c>
      <c r="K51" s="27" t="n">
        <f aca="false">SUMPRODUCT(MAX((parametros_recargas!$F$72:$F$99&gt;0)*'Resumen Capacidad'!K$2:K$29))</f>
        <v>5.07525153890256</v>
      </c>
    </row>
    <row r="52" customFormat="false" ht="15" hidden="false" customHeight="false" outlineLevel="0" collapsed="false">
      <c r="A52" s="4" t="s">
        <v>155</v>
      </c>
      <c r="B52" s="27" t="n">
        <f aca="false">SUMPRODUCT(MAX((parametros_recargas!$G$72:$G$99&gt;0)*'Resumen Capacidad'!B$2:B$29))</f>
        <v>0.146056278133307</v>
      </c>
      <c r="C52" s="27" t="n">
        <f aca="false">SUMPRODUCT(MAX((parametros_recargas!$G$72:$G$99&gt;0)*'Resumen Capacidad'!C$2:C$29))</f>
        <v>0.492265328590357</v>
      </c>
      <c r="D52" s="27" t="n">
        <f aca="false">SUMPRODUCT(MAX((parametros_recargas!$G$72:$G$99&gt;0)*'Resumen Capacidad'!D$2:D$29))</f>
        <v>0.943237707623536</v>
      </c>
      <c r="E52" s="27" t="n">
        <f aca="false">SUMPRODUCT(MAX((parametros_recargas!$G$72:$G$99&gt;0)*'Resumen Capacidad'!E$2:E$29))</f>
        <v>1.58740580554474</v>
      </c>
      <c r="F52" s="27" t="n">
        <f aca="false">SUMPRODUCT(MAX((parametros_recargas!$G$72:$G$99&gt;0)*'Resumen Capacidad'!F$2:F$29))</f>
        <v>2.3001216672309</v>
      </c>
      <c r="G52" s="27" t="n">
        <f aca="false">SUMPRODUCT(MAX((parametros_recargas!$G$72:$G$99&gt;0)*'Resumen Capacidad'!G$2:G$29))</f>
        <v>3.07851740968593</v>
      </c>
      <c r="H52" s="27" t="n">
        <f aca="false">SUMPRODUCT(MAX((parametros_recargas!$G$72:$G$99&gt;0)*'Resumen Capacidad'!H$2:H$29))</f>
        <v>3.77221621613404</v>
      </c>
      <c r="I52" s="27" t="n">
        <f aca="false">SUMPRODUCT(MAX((parametros_recargas!$G$72:$G$99&gt;0)*'Resumen Capacidad'!I$2:I$29))</f>
        <v>4.29452754289845</v>
      </c>
      <c r="J52" s="27" t="n">
        <f aca="false">SUMPRODUCT(MAX((parametros_recargas!$G$72:$G$99&gt;0)*'Resumen Capacidad'!J$2:J$29))</f>
        <v>4.68243871790795</v>
      </c>
      <c r="K52" s="27" t="n">
        <f aca="false">SUMPRODUCT(MAX((parametros_recargas!$G$72:$G$99&gt;0)*'Resumen Capacidad'!K$2:K$29))</f>
        <v>5.07525153890256</v>
      </c>
    </row>
    <row r="53" customFormat="false" ht="15" hidden="false" customHeight="false" outlineLevel="0" collapsed="false">
      <c r="A53" s="4" t="s">
        <v>146</v>
      </c>
      <c r="B53" s="27" t="n">
        <f aca="false">SUMPRODUCT(MAX((parametros_recargas!$H$72:$H$99&gt;0)*'Resumen Capacidad'!B$2:B$29))</f>
        <v>0.125558823947963</v>
      </c>
      <c r="C53" s="27" t="n">
        <f aca="false">SUMPRODUCT(MAX((parametros_recargas!$H$72:$H$99&gt;0)*'Resumen Capacidad'!C$2:C$29))</f>
        <v>0.420574152106379</v>
      </c>
      <c r="D53" s="27" t="n">
        <f aca="false">SUMPRODUCT(MAX((parametros_recargas!$H$72:$H$99&gt;0)*'Resumen Capacidad'!D$2:D$29))</f>
        <v>0.818695454921592</v>
      </c>
      <c r="E53" s="27" t="n">
        <f aca="false">SUMPRODUCT(MAX((parametros_recargas!$H$72:$H$99&gt;0)*'Resumen Capacidad'!E$2:E$29))</f>
        <v>1.37777019234159</v>
      </c>
      <c r="F53" s="27" t="n">
        <f aca="false">SUMPRODUCT(MAX((parametros_recargas!$H$72:$H$99&gt;0)*'Resumen Capacidad'!F$2:F$29))</f>
        <v>1.99189046377183</v>
      </c>
      <c r="G53" s="27" t="n">
        <f aca="false">SUMPRODUCT(MAX((parametros_recargas!$H$72:$H$99&gt;0)*'Resumen Capacidad'!G$2:G$29))</f>
        <v>2.66315024982849</v>
      </c>
      <c r="H53" s="27" t="n">
        <f aca="false">SUMPRODUCT(MAX((parametros_recargas!$H$72:$H$99&gt;0)*'Resumen Capacidad'!H$2:H$29))</f>
        <v>3.26801052555101</v>
      </c>
      <c r="I53" s="27" t="n">
        <f aca="false">SUMPRODUCT(MAX((parametros_recargas!$H$72:$H$99&gt;0)*'Resumen Capacidad'!I$2:I$29))</f>
        <v>3.72198678904238</v>
      </c>
      <c r="J53" s="27" t="n">
        <f aca="false">SUMPRODUCT(MAX((parametros_recargas!$H$72:$H$99&gt;0)*'Resumen Capacidad'!J$2:J$29))</f>
        <v>4.06970852088229</v>
      </c>
      <c r="K53" s="27" t="n">
        <f aca="false">SUMPRODUCT(MAX((parametros_recargas!$H$72:$H$99&gt;0)*'Resumen Capacidad'!K$2:K$29))</f>
        <v>4.4208756685291</v>
      </c>
    </row>
    <row r="54" customFormat="false" ht="15" hidden="false" customHeight="false" outlineLevel="0" collapsed="false">
      <c r="A54" s="4" t="s">
        <v>147</v>
      </c>
      <c r="B54" s="27" t="n">
        <f aca="false">SUMPRODUCT(MAX((parametros_recargas!$I$72:$I$99&gt;0)*'Resumen Capacidad'!B$2:B$29))</f>
        <v>0.125558823947963</v>
      </c>
      <c r="C54" s="27" t="n">
        <f aca="false">SUMPRODUCT(MAX((parametros_recargas!$I$72:$I$99&gt;0)*'Resumen Capacidad'!C$2:C$29))</f>
        <v>0.420574152106379</v>
      </c>
      <c r="D54" s="27" t="n">
        <f aca="false">SUMPRODUCT(MAX((parametros_recargas!$I$72:$I$99&gt;0)*'Resumen Capacidad'!D$2:D$29))</f>
        <v>0.818695454921592</v>
      </c>
      <c r="E54" s="27" t="n">
        <f aca="false">SUMPRODUCT(MAX((parametros_recargas!$I$72:$I$99&gt;0)*'Resumen Capacidad'!E$2:E$29))</f>
        <v>1.37777019234159</v>
      </c>
      <c r="F54" s="27" t="n">
        <f aca="false">SUMPRODUCT(MAX((parametros_recargas!$I$72:$I$99&gt;0)*'Resumen Capacidad'!F$2:F$29))</f>
        <v>1.99189046377183</v>
      </c>
      <c r="G54" s="27" t="n">
        <f aca="false">SUMPRODUCT(MAX((parametros_recargas!$I$72:$I$99&gt;0)*'Resumen Capacidad'!G$2:G$29))</f>
        <v>2.66315024982849</v>
      </c>
      <c r="H54" s="27" t="n">
        <f aca="false">SUMPRODUCT(MAX((parametros_recargas!$I$72:$I$99&gt;0)*'Resumen Capacidad'!H$2:H$29))</f>
        <v>3.26801052555101</v>
      </c>
      <c r="I54" s="27" t="n">
        <f aca="false">SUMPRODUCT(MAX((parametros_recargas!$I$72:$I$99&gt;0)*'Resumen Capacidad'!I$2:I$29))</f>
        <v>3.72198678904238</v>
      </c>
      <c r="J54" s="27" t="n">
        <f aca="false">SUMPRODUCT(MAX((parametros_recargas!$I$72:$I$99&gt;0)*'Resumen Capacidad'!J$2:J$29))</f>
        <v>4.06970852088229</v>
      </c>
      <c r="K54" s="27" t="n">
        <f aca="false">SUMPRODUCT(MAX((parametros_recargas!$I$72:$I$99&gt;0)*'Resumen Capacidad'!K$2:K$29))</f>
        <v>4.4208756685291</v>
      </c>
    </row>
    <row r="55" customFormat="false" ht="15" hidden="false" customHeight="false" outlineLevel="0" collapsed="false">
      <c r="A55" s="4" t="s">
        <v>150</v>
      </c>
      <c r="B55" s="27" t="n">
        <f aca="false">SUMPRODUCT(MAX((parametros_recargas!$J$72:$J$99&gt;0)*'Resumen Capacidad'!B$2:B$29))</f>
        <v>0.125558823947963</v>
      </c>
      <c r="C55" s="27" t="n">
        <f aca="false">SUMPRODUCT(MAX((parametros_recargas!$J$72:$J$99&gt;0)*'Resumen Capacidad'!C$2:C$29))</f>
        <v>0.420574152106379</v>
      </c>
      <c r="D55" s="27" t="n">
        <f aca="false">SUMPRODUCT(MAX((parametros_recargas!$J$72:$J$99&gt;0)*'Resumen Capacidad'!D$2:D$29))</f>
        <v>0.818695454921592</v>
      </c>
      <c r="E55" s="27" t="n">
        <f aca="false">SUMPRODUCT(MAX((parametros_recargas!$J$72:$J$99&gt;0)*'Resumen Capacidad'!E$2:E$29))</f>
        <v>1.37777019234159</v>
      </c>
      <c r="F55" s="27" t="n">
        <f aca="false">SUMPRODUCT(MAX((parametros_recargas!$J$72:$J$99&gt;0)*'Resumen Capacidad'!F$2:F$29))</f>
        <v>1.99189046377183</v>
      </c>
      <c r="G55" s="27" t="n">
        <f aca="false">SUMPRODUCT(MAX((parametros_recargas!$J$72:$J$99&gt;0)*'Resumen Capacidad'!G$2:G$29))</f>
        <v>2.66315024982849</v>
      </c>
      <c r="H55" s="27" t="n">
        <f aca="false">SUMPRODUCT(MAX((parametros_recargas!$J$72:$J$99&gt;0)*'Resumen Capacidad'!H$2:H$29))</f>
        <v>3.26801052555101</v>
      </c>
      <c r="I55" s="27" t="n">
        <f aca="false">SUMPRODUCT(MAX((parametros_recargas!$J$72:$J$99&gt;0)*'Resumen Capacidad'!I$2:I$29))</f>
        <v>3.72198678904238</v>
      </c>
      <c r="J55" s="27" t="n">
        <f aca="false">SUMPRODUCT(MAX((parametros_recargas!$J$72:$J$99&gt;0)*'Resumen Capacidad'!J$2:J$29))</f>
        <v>4.06970852088229</v>
      </c>
      <c r="K55" s="27" t="n">
        <f aca="false">SUMPRODUCT(MAX((parametros_recargas!$J$72:$J$99&gt;0)*'Resumen Capacidad'!K$2:K$29))</f>
        <v>4.4208756685291</v>
      </c>
    </row>
    <row r="56" customFormat="false" ht="15" hidden="false" customHeight="false" outlineLevel="0" collapsed="false">
      <c r="A56" s="4" t="s">
        <v>151</v>
      </c>
      <c r="B56" s="27" t="n">
        <f aca="false">SUMPRODUCT(MAX((parametros_recargas!$K$72:$K$99&gt;0)*'Resumen Capacidad'!B$2:B$29))</f>
        <v>0.125558823947963</v>
      </c>
      <c r="C56" s="27" t="n">
        <f aca="false">SUMPRODUCT(MAX((parametros_recargas!$K$72:$K$99&gt;0)*'Resumen Capacidad'!C$2:C$29))</f>
        <v>0.420574152106379</v>
      </c>
      <c r="D56" s="27" t="n">
        <f aca="false">SUMPRODUCT(MAX((parametros_recargas!$K$72:$K$99&gt;0)*'Resumen Capacidad'!D$2:D$29))</f>
        <v>0.818695454921592</v>
      </c>
      <c r="E56" s="27" t="n">
        <f aca="false">SUMPRODUCT(MAX((parametros_recargas!$K$72:$K$99&gt;0)*'Resumen Capacidad'!E$2:E$29))</f>
        <v>1.37777019234159</v>
      </c>
      <c r="F56" s="27" t="n">
        <f aca="false">SUMPRODUCT(MAX((parametros_recargas!$K$72:$K$99&gt;0)*'Resumen Capacidad'!F$2:F$29))</f>
        <v>1.99189046377183</v>
      </c>
      <c r="G56" s="27" t="n">
        <f aca="false">SUMPRODUCT(MAX((parametros_recargas!$K$72:$K$99&gt;0)*'Resumen Capacidad'!G$2:G$29))</f>
        <v>2.66315024982849</v>
      </c>
      <c r="H56" s="27" t="n">
        <f aca="false">SUMPRODUCT(MAX((parametros_recargas!$K$72:$K$99&gt;0)*'Resumen Capacidad'!H$2:H$29))</f>
        <v>3.26801052555101</v>
      </c>
      <c r="I56" s="27" t="n">
        <f aca="false">SUMPRODUCT(MAX((parametros_recargas!$K$72:$K$99&gt;0)*'Resumen Capacidad'!I$2:I$29))</f>
        <v>3.72198678904238</v>
      </c>
      <c r="J56" s="27" t="n">
        <f aca="false">SUMPRODUCT(MAX((parametros_recargas!$K$72:$K$99&gt;0)*'Resumen Capacidad'!J$2:J$29))</f>
        <v>4.06970852088229</v>
      </c>
      <c r="K56" s="27" t="n">
        <f aca="false">SUMPRODUCT(MAX((parametros_recargas!$K$72:$K$99&gt;0)*'Resumen Capacidad'!K$2:K$29))</f>
        <v>4.4208756685291</v>
      </c>
    </row>
    <row r="57" customFormat="false" ht="15" hidden="false" customHeight="false" outlineLevel="0" collapsed="false">
      <c r="A57" s="4" t="s">
        <v>154</v>
      </c>
      <c r="B57" s="27" t="n">
        <f aca="false">SUMPRODUCT(MAX((parametros_recargas!$L$72:$L$99&gt;0)*'Resumen Capacidad'!B$2:B$29))</f>
        <v>0.125558823947963</v>
      </c>
      <c r="C57" s="27" t="n">
        <f aca="false">SUMPRODUCT(MAX((parametros_recargas!$L$72:$L$99&gt;0)*'Resumen Capacidad'!C$2:C$29))</f>
        <v>0.420574152106379</v>
      </c>
      <c r="D57" s="27" t="n">
        <f aca="false">SUMPRODUCT(MAX((parametros_recargas!$L$72:$L$99&gt;0)*'Resumen Capacidad'!D$2:D$29))</f>
        <v>0.818695454921592</v>
      </c>
      <c r="E57" s="27" t="n">
        <f aca="false">SUMPRODUCT(MAX((parametros_recargas!$L$72:$L$99&gt;0)*'Resumen Capacidad'!E$2:E$29))</f>
        <v>1.37777019234159</v>
      </c>
      <c r="F57" s="27" t="n">
        <f aca="false">SUMPRODUCT(MAX((parametros_recargas!$L$72:$L$99&gt;0)*'Resumen Capacidad'!F$2:F$29))</f>
        <v>1.99189046377183</v>
      </c>
      <c r="G57" s="27" t="n">
        <f aca="false">SUMPRODUCT(MAX((parametros_recargas!$L$72:$L$99&gt;0)*'Resumen Capacidad'!G$2:G$29))</f>
        <v>2.66315024982849</v>
      </c>
      <c r="H57" s="27" t="n">
        <f aca="false">SUMPRODUCT(MAX((parametros_recargas!$L$72:$L$99&gt;0)*'Resumen Capacidad'!H$2:H$29))</f>
        <v>3.26801052555101</v>
      </c>
      <c r="I57" s="27" t="n">
        <f aca="false">SUMPRODUCT(MAX((parametros_recargas!$L$72:$L$99&gt;0)*'Resumen Capacidad'!I$2:I$29))</f>
        <v>3.72198678904238</v>
      </c>
      <c r="J57" s="27" t="n">
        <f aca="false">SUMPRODUCT(MAX((parametros_recargas!$L$72:$L$99&gt;0)*'Resumen Capacidad'!J$2:J$29))</f>
        <v>4.06970852088229</v>
      </c>
      <c r="K57" s="27" t="n">
        <f aca="false">SUMPRODUCT(MAX((parametros_recargas!$L$72:$L$99&gt;0)*'Resumen Capacidad'!K$2:K$29))</f>
        <v>4.4208756685291</v>
      </c>
    </row>
    <row r="58" customFormat="false" ht="15" hidden="false" customHeight="false" outlineLevel="0" collapsed="false">
      <c r="A58" s="1" t="s">
        <v>325</v>
      </c>
    </row>
    <row r="59" customFormat="false" ht="15" hidden="false" customHeight="false" outlineLevel="0" collapsed="false">
      <c r="A59" s="3" t="s">
        <v>270</v>
      </c>
      <c r="B59" s="3" t="n">
        <v>2026</v>
      </c>
      <c r="C59" s="3" t="n">
        <v>2027</v>
      </c>
      <c r="D59" s="3" t="n">
        <v>2028</v>
      </c>
      <c r="E59" s="3" t="n">
        <v>2029</v>
      </c>
      <c r="F59" s="3" t="n">
        <v>2030</v>
      </c>
      <c r="G59" s="3" t="n">
        <v>2031</v>
      </c>
      <c r="H59" s="3" t="n">
        <v>2032</v>
      </c>
      <c r="I59" s="3" t="n">
        <v>2033</v>
      </c>
      <c r="J59" s="3" t="n">
        <v>2034</v>
      </c>
      <c r="K59" s="3" t="n">
        <v>2035</v>
      </c>
    </row>
    <row r="60" customFormat="false" ht="15" hidden="false" customHeight="false" outlineLevel="0" collapsed="false">
      <c r="A60" s="4" t="s">
        <v>143</v>
      </c>
      <c r="B60" s="30" t="n">
        <f aca="false">MAX(0,B50-1)*$B$6</f>
        <v>0</v>
      </c>
      <c r="C60" s="30" t="n">
        <f aca="false">MAX(0,C50-1)*$B$6</f>
        <v>0</v>
      </c>
      <c r="D60" s="30" t="n">
        <f aca="false">MAX(0,D50-1)*$B$6</f>
        <v>0</v>
      </c>
      <c r="E60" s="30" t="n">
        <f aca="false">MAX(0,E50-1)*$B$6</f>
        <v>11.7481161108947</v>
      </c>
      <c r="F60" s="30" t="n">
        <f aca="false">MAX(0,F50-1)*$B$6</f>
        <v>26.0024333446181</v>
      </c>
      <c r="G60" s="30" t="n">
        <f aca="false">MAX(0,G50-1)*$B$6</f>
        <v>41.5703481937186</v>
      </c>
      <c r="H60" s="30" t="n">
        <f aca="false">MAX(0,H50-1)*$B$6</f>
        <v>55.4443243226808</v>
      </c>
      <c r="I60" s="30" t="n">
        <f aca="false">MAX(0,I50-1)*$B$6</f>
        <v>65.8905508579689</v>
      </c>
      <c r="J60" s="30" t="n">
        <f aca="false">MAX(0,J50-1)*$B$6</f>
        <v>73.6487743581591</v>
      </c>
      <c r="K60" s="30" t="n">
        <f aca="false">MAX(0,K50-1)*$B$6</f>
        <v>81.5050307780511</v>
      </c>
    </row>
    <row r="61" customFormat="false" ht="15" hidden="false" customHeight="false" outlineLevel="0" collapsed="false">
      <c r="A61" s="4" t="s">
        <v>149</v>
      </c>
      <c r="B61" s="30" t="n">
        <f aca="false">MAX(0,B51-1)*$B$6</f>
        <v>0</v>
      </c>
      <c r="C61" s="30" t="n">
        <f aca="false">MAX(0,C51-1)*$B$6</f>
        <v>0</v>
      </c>
      <c r="D61" s="30" t="n">
        <f aca="false">MAX(0,D51-1)*$B$6</f>
        <v>0</v>
      </c>
      <c r="E61" s="30" t="n">
        <f aca="false">MAX(0,E51-1)*$B$6</f>
        <v>11.7481161108947</v>
      </c>
      <c r="F61" s="30" t="n">
        <f aca="false">MAX(0,F51-1)*$B$6</f>
        <v>26.0024333446181</v>
      </c>
      <c r="G61" s="30" t="n">
        <f aca="false">MAX(0,G51-1)*$B$6</f>
        <v>41.5703481937186</v>
      </c>
      <c r="H61" s="30" t="n">
        <f aca="false">MAX(0,H51-1)*$B$6</f>
        <v>55.4443243226808</v>
      </c>
      <c r="I61" s="30" t="n">
        <f aca="false">MAX(0,I51-1)*$B$6</f>
        <v>65.8905508579689</v>
      </c>
      <c r="J61" s="30" t="n">
        <f aca="false">MAX(0,J51-1)*$B$6</f>
        <v>73.6487743581591</v>
      </c>
      <c r="K61" s="30" t="n">
        <f aca="false">MAX(0,K51-1)*$B$6</f>
        <v>81.5050307780511</v>
      </c>
    </row>
    <row r="62" customFormat="false" ht="15" hidden="false" customHeight="false" outlineLevel="0" collapsed="false">
      <c r="A62" s="4" t="s">
        <v>155</v>
      </c>
      <c r="B62" s="30" t="n">
        <f aca="false">MAX(0,B52-1)*$B$6</f>
        <v>0</v>
      </c>
      <c r="C62" s="30" t="n">
        <f aca="false">MAX(0,C52-1)*$B$6</f>
        <v>0</v>
      </c>
      <c r="D62" s="30" t="n">
        <f aca="false">MAX(0,D52-1)*$B$6</f>
        <v>0</v>
      </c>
      <c r="E62" s="30" t="n">
        <f aca="false">MAX(0,E52-1)*$B$6</f>
        <v>11.7481161108947</v>
      </c>
      <c r="F62" s="30" t="n">
        <f aca="false">MAX(0,F52-1)*$B$6</f>
        <v>26.0024333446181</v>
      </c>
      <c r="G62" s="30" t="n">
        <f aca="false">MAX(0,G52-1)*$B$6</f>
        <v>41.5703481937186</v>
      </c>
      <c r="H62" s="30" t="n">
        <f aca="false">MAX(0,H52-1)*$B$6</f>
        <v>55.4443243226808</v>
      </c>
      <c r="I62" s="30" t="n">
        <f aca="false">MAX(0,I52-1)*$B$6</f>
        <v>65.8905508579689</v>
      </c>
      <c r="J62" s="30" t="n">
        <f aca="false">MAX(0,J52-1)*$B$6</f>
        <v>73.6487743581591</v>
      </c>
      <c r="K62" s="30" t="n">
        <f aca="false">MAX(0,K52-1)*$B$6</f>
        <v>81.5050307780511</v>
      </c>
    </row>
    <row r="63" customFormat="false" ht="15" hidden="false" customHeight="false" outlineLevel="0" collapsed="false">
      <c r="A63" s="4" t="s">
        <v>146</v>
      </c>
      <c r="B63" s="30" t="n">
        <f aca="false">MAX(0,B53-1)*$B$6</f>
        <v>0</v>
      </c>
      <c r="C63" s="30" t="n">
        <f aca="false">MAX(0,C53-1)*$B$6</f>
        <v>0</v>
      </c>
      <c r="D63" s="30" t="n">
        <f aca="false">MAX(0,D53-1)*$B$6</f>
        <v>0</v>
      </c>
      <c r="E63" s="30" t="n">
        <f aca="false">MAX(0,E53-1)*$B$6</f>
        <v>7.5554038468319</v>
      </c>
      <c r="F63" s="30" t="n">
        <f aca="false">MAX(0,F53-1)*$B$6</f>
        <v>19.8378092754366</v>
      </c>
      <c r="G63" s="30" t="n">
        <f aca="false">MAX(0,G53-1)*$B$6</f>
        <v>33.2630049965698</v>
      </c>
      <c r="H63" s="30" t="n">
        <f aca="false">MAX(0,H53-1)*$B$6</f>
        <v>45.3602105110202</v>
      </c>
      <c r="I63" s="30" t="n">
        <f aca="false">MAX(0,I53-1)*$B$6</f>
        <v>54.4397357808477</v>
      </c>
      <c r="J63" s="30" t="n">
        <f aca="false">MAX(0,J53-1)*$B$6</f>
        <v>61.3941704176459</v>
      </c>
      <c r="K63" s="30" t="n">
        <f aca="false">MAX(0,K53-1)*$B$6</f>
        <v>68.4175133705819</v>
      </c>
    </row>
    <row r="64" customFormat="false" ht="15" hidden="false" customHeight="false" outlineLevel="0" collapsed="false">
      <c r="A64" s="4" t="s">
        <v>147</v>
      </c>
      <c r="B64" s="30" t="n">
        <f aca="false">MAX(0,B54-1)*$B$6</f>
        <v>0</v>
      </c>
      <c r="C64" s="30" t="n">
        <f aca="false">MAX(0,C54-1)*$B$6</f>
        <v>0</v>
      </c>
      <c r="D64" s="30" t="n">
        <f aca="false">MAX(0,D54-1)*$B$6</f>
        <v>0</v>
      </c>
      <c r="E64" s="30" t="n">
        <f aca="false">MAX(0,E54-1)*$B$6</f>
        <v>7.5554038468319</v>
      </c>
      <c r="F64" s="30" t="n">
        <f aca="false">MAX(0,F54-1)*$B$6</f>
        <v>19.8378092754366</v>
      </c>
      <c r="G64" s="30" t="n">
        <f aca="false">MAX(0,G54-1)*$B$6</f>
        <v>33.2630049965698</v>
      </c>
      <c r="H64" s="30" t="n">
        <f aca="false">MAX(0,H54-1)*$B$6</f>
        <v>45.3602105110202</v>
      </c>
      <c r="I64" s="30" t="n">
        <f aca="false">MAX(0,I54-1)*$B$6</f>
        <v>54.4397357808477</v>
      </c>
      <c r="J64" s="30" t="n">
        <f aca="false">MAX(0,J54-1)*$B$6</f>
        <v>61.3941704176459</v>
      </c>
      <c r="K64" s="30" t="n">
        <f aca="false">MAX(0,K54-1)*$B$6</f>
        <v>68.4175133705819</v>
      </c>
    </row>
    <row r="65" customFormat="false" ht="15" hidden="false" customHeight="false" outlineLevel="0" collapsed="false">
      <c r="A65" s="4" t="s">
        <v>150</v>
      </c>
      <c r="B65" s="30" t="n">
        <f aca="false">MAX(0,B55-1)*$B$6</f>
        <v>0</v>
      </c>
      <c r="C65" s="30" t="n">
        <f aca="false">MAX(0,C55-1)*$B$6</f>
        <v>0</v>
      </c>
      <c r="D65" s="30" t="n">
        <f aca="false">MAX(0,D55-1)*$B$6</f>
        <v>0</v>
      </c>
      <c r="E65" s="30" t="n">
        <f aca="false">MAX(0,E55-1)*$B$6</f>
        <v>7.5554038468319</v>
      </c>
      <c r="F65" s="30" t="n">
        <f aca="false">MAX(0,F55-1)*$B$6</f>
        <v>19.8378092754366</v>
      </c>
      <c r="G65" s="30" t="n">
        <f aca="false">MAX(0,G55-1)*$B$6</f>
        <v>33.2630049965698</v>
      </c>
      <c r="H65" s="30" t="n">
        <f aca="false">MAX(0,H55-1)*$B$6</f>
        <v>45.3602105110202</v>
      </c>
      <c r="I65" s="30" t="n">
        <f aca="false">MAX(0,I55-1)*$B$6</f>
        <v>54.4397357808477</v>
      </c>
      <c r="J65" s="30" t="n">
        <f aca="false">MAX(0,J55-1)*$B$6</f>
        <v>61.3941704176459</v>
      </c>
      <c r="K65" s="30" t="n">
        <f aca="false">MAX(0,K55-1)*$B$6</f>
        <v>68.4175133705819</v>
      </c>
    </row>
    <row r="66" customFormat="false" ht="15" hidden="false" customHeight="false" outlineLevel="0" collapsed="false">
      <c r="A66" s="4" t="s">
        <v>151</v>
      </c>
      <c r="B66" s="30" t="n">
        <f aca="false">MAX(0,B56-1)*$B$6</f>
        <v>0</v>
      </c>
      <c r="C66" s="30" t="n">
        <f aca="false">MAX(0,C56-1)*$B$6</f>
        <v>0</v>
      </c>
      <c r="D66" s="30" t="n">
        <f aca="false">MAX(0,D56-1)*$B$6</f>
        <v>0</v>
      </c>
      <c r="E66" s="30" t="n">
        <f aca="false">MAX(0,E56-1)*$B$6</f>
        <v>7.5554038468319</v>
      </c>
      <c r="F66" s="30" t="n">
        <f aca="false">MAX(0,F56-1)*$B$6</f>
        <v>19.8378092754366</v>
      </c>
      <c r="G66" s="30" t="n">
        <f aca="false">MAX(0,G56-1)*$B$6</f>
        <v>33.2630049965698</v>
      </c>
      <c r="H66" s="30" t="n">
        <f aca="false">MAX(0,H56-1)*$B$6</f>
        <v>45.3602105110202</v>
      </c>
      <c r="I66" s="30" t="n">
        <f aca="false">MAX(0,I56-1)*$B$6</f>
        <v>54.4397357808477</v>
      </c>
      <c r="J66" s="30" t="n">
        <f aca="false">MAX(0,J56-1)*$B$6</f>
        <v>61.3941704176459</v>
      </c>
      <c r="K66" s="30" t="n">
        <f aca="false">MAX(0,K56-1)*$B$6</f>
        <v>68.4175133705819</v>
      </c>
    </row>
    <row r="67" customFormat="false" ht="15" hidden="false" customHeight="false" outlineLevel="0" collapsed="false">
      <c r="A67" s="4" t="s">
        <v>154</v>
      </c>
      <c r="B67" s="30" t="n">
        <f aca="false">MAX(0,B57-1)*$B$6</f>
        <v>0</v>
      </c>
      <c r="C67" s="30" t="n">
        <f aca="false">MAX(0,C57-1)*$B$6</f>
        <v>0</v>
      </c>
      <c r="D67" s="30" t="n">
        <f aca="false">MAX(0,D57-1)*$B$6</f>
        <v>0</v>
      </c>
      <c r="E67" s="30" t="n">
        <f aca="false">MAX(0,E57-1)*$B$6</f>
        <v>7.5554038468319</v>
      </c>
      <c r="F67" s="30" t="n">
        <f aca="false">MAX(0,F57-1)*$B$6</f>
        <v>19.8378092754366</v>
      </c>
      <c r="G67" s="30" t="n">
        <f aca="false">MAX(0,G57-1)*$B$6</f>
        <v>33.2630049965698</v>
      </c>
      <c r="H67" s="30" t="n">
        <f aca="false">MAX(0,H57-1)*$B$6</f>
        <v>45.3602105110202</v>
      </c>
      <c r="I67" s="30" t="n">
        <f aca="false">MAX(0,I57-1)*$B$6</f>
        <v>54.4397357808477</v>
      </c>
      <c r="J67" s="30" t="n">
        <f aca="false">MAX(0,J57-1)*$B$6</f>
        <v>61.3941704176459</v>
      </c>
      <c r="K67" s="30" t="n">
        <f aca="false">MAX(0,K57-1)*$B$6</f>
        <v>68.4175133705819</v>
      </c>
    </row>
    <row r="69" customFormat="false" ht="15" hidden="false" customHeight="false" outlineLevel="0" collapsed="false">
      <c r="A69" s="1" t="s">
        <v>326</v>
      </c>
    </row>
    <row r="70" customFormat="false" ht="15" hidden="false" customHeight="false" outlineLevel="0" collapsed="false">
      <c r="A70" s="3" t="s">
        <v>138</v>
      </c>
      <c r="B70" s="3" t="n">
        <v>2026</v>
      </c>
      <c r="C70" s="3" t="n">
        <v>2027</v>
      </c>
      <c r="D70" s="3" t="n">
        <v>2028</v>
      </c>
      <c r="E70" s="3" t="n">
        <v>2029</v>
      </c>
      <c r="F70" s="3" t="n">
        <v>2030</v>
      </c>
      <c r="G70" s="3" t="n">
        <v>2031</v>
      </c>
      <c r="H70" s="3" t="n">
        <v>2032</v>
      </c>
      <c r="I70" s="3" t="n">
        <v>2033</v>
      </c>
      <c r="J70" s="3" t="n">
        <v>2034</v>
      </c>
      <c r="K70" s="3" t="n">
        <v>2035</v>
      </c>
    </row>
    <row r="71" customFormat="false" ht="15" hidden="false" customHeight="false" outlineLevel="0" collapsed="false">
      <c r="A71" s="12" t="str">
        <f aca="false">datos_base!A2</f>
        <v>ABC 1 kg</v>
      </c>
      <c r="B71" s="30" t="n">
        <f aca="false">$B$5+INDEX(B$60:B$67,MATCH($B$10,$A$60:$A$67,0))</f>
        <v>1</v>
      </c>
      <c r="C71" s="30" t="n">
        <f aca="false">$B$5+INDEX(C$60:C$67,MATCH($B$10,$A$60:$A$67,0))</f>
        <v>1</v>
      </c>
      <c r="D71" s="30" t="n">
        <f aca="false">$B$5+INDEX(D$60:D$67,MATCH($B$10,$A$60:$A$67,0))</f>
        <v>1</v>
      </c>
      <c r="E71" s="30" t="n">
        <f aca="false">$B$5+INDEX(E$60:E$67,MATCH($B$10,$A$60:$A$67,0))</f>
        <v>12.7481161108947</v>
      </c>
      <c r="F71" s="30" t="n">
        <f aca="false">$B$5+INDEX(F$60:F$67,MATCH($B$10,$A$60:$A$67,0))</f>
        <v>27.0024333446181</v>
      </c>
      <c r="G71" s="30" t="n">
        <f aca="false">$B$5+INDEX(G$60:G$67,MATCH($B$10,$A$60:$A$67,0))</f>
        <v>42.5703481937186</v>
      </c>
      <c r="H71" s="30" t="n">
        <f aca="false">$B$5+INDEX(H$60:H$67,MATCH($B$10,$A$60:$A$67,0))</f>
        <v>56.4443243226808</v>
      </c>
      <c r="I71" s="30" t="n">
        <f aca="false">$B$5+INDEX(I$60:I$67,MATCH($B$10,$A$60:$A$67,0))</f>
        <v>66.8905508579689</v>
      </c>
      <c r="J71" s="30" t="n">
        <f aca="false">$B$5+INDEX(J$60:J$67,MATCH($B$10,$A$60:$A$67,0))</f>
        <v>74.6487743581591</v>
      </c>
      <c r="K71" s="30" t="n">
        <f aca="false">$B$5+INDEX(K$60:K$67,MATCH($B$10,$A$60:$A$67,0))</f>
        <v>82.5050307780511</v>
      </c>
    </row>
    <row r="72" customFormat="false" ht="15" hidden="false" customHeight="false" outlineLevel="0" collapsed="false">
      <c r="A72" s="12" t="str">
        <f aca="false">datos_base!A3</f>
        <v>ABC 2,5 kg</v>
      </c>
      <c r="B72" s="30" t="n">
        <f aca="false">$B$5+INDEX(B$60:B$67,MATCH($B$11,$A$60:$A$67,0))</f>
        <v>1</v>
      </c>
      <c r="C72" s="30" t="n">
        <f aca="false">$B$5+INDEX(C$60:C$67,MATCH($B$11,$A$60:$A$67,0))</f>
        <v>1</v>
      </c>
      <c r="D72" s="30" t="n">
        <f aca="false">$B$5+INDEX(D$60:D$67,MATCH($B$11,$A$60:$A$67,0))</f>
        <v>1</v>
      </c>
      <c r="E72" s="30" t="n">
        <f aca="false">$B$5+INDEX(E$60:E$67,MATCH($B$11,$A$60:$A$67,0))</f>
        <v>12.7481161108947</v>
      </c>
      <c r="F72" s="30" t="n">
        <f aca="false">$B$5+INDEX(F$60:F$67,MATCH($B$11,$A$60:$A$67,0))</f>
        <v>27.0024333446181</v>
      </c>
      <c r="G72" s="30" t="n">
        <f aca="false">$B$5+INDEX(G$60:G$67,MATCH($B$11,$A$60:$A$67,0))</f>
        <v>42.5703481937186</v>
      </c>
      <c r="H72" s="30" t="n">
        <f aca="false">$B$5+INDEX(H$60:H$67,MATCH($B$11,$A$60:$A$67,0))</f>
        <v>56.4443243226808</v>
      </c>
      <c r="I72" s="30" t="n">
        <f aca="false">$B$5+INDEX(I$60:I$67,MATCH($B$11,$A$60:$A$67,0))</f>
        <v>66.8905508579689</v>
      </c>
      <c r="J72" s="30" t="n">
        <f aca="false">$B$5+INDEX(J$60:J$67,MATCH($B$11,$A$60:$A$67,0))</f>
        <v>74.6487743581591</v>
      </c>
      <c r="K72" s="30" t="n">
        <f aca="false">$B$5+INDEX(K$60:K$67,MATCH($B$11,$A$60:$A$67,0))</f>
        <v>82.5050307780511</v>
      </c>
    </row>
    <row r="73" customFormat="false" ht="15" hidden="false" customHeight="false" outlineLevel="0" collapsed="false">
      <c r="A73" s="12" t="str">
        <f aca="false">datos_base!A4</f>
        <v>ABC 5 kg</v>
      </c>
      <c r="B73" s="30" t="n">
        <f aca="false">$B$5+INDEX(B$60:B$67,MATCH($B$12,$A$60:$A$67,0))</f>
        <v>1</v>
      </c>
      <c r="C73" s="30" t="n">
        <f aca="false">$B$5+INDEX(C$60:C$67,MATCH($B$12,$A$60:$A$67,0))</f>
        <v>1</v>
      </c>
      <c r="D73" s="30" t="n">
        <f aca="false">$B$5+INDEX(D$60:D$67,MATCH($B$12,$A$60:$A$67,0))</f>
        <v>1</v>
      </c>
      <c r="E73" s="30" t="n">
        <f aca="false">$B$5+INDEX(E$60:E$67,MATCH($B$12,$A$60:$A$67,0))</f>
        <v>12.7481161108947</v>
      </c>
      <c r="F73" s="30" t="n">
        <f aca="false">$B$5+INDEX(F$60:F$67,MATCH($B$12,$A$60:$A$67,0))</f>
        <v>27.0024333446181</v>
      </c>
      <c r="G73" s="30" t="n">
        <f aca="false">$B$5+INDEX(G$60:G$67,MATCH($B$12,$A$60:$A$67,0))</f>
        <v>42.5703481937186</v>
      </c>
      <c r="H73" s="30" t="n">
        <f aca="false">$B$5+INDEX(H$60:H$67,MATCH($B$12,$A$60:$A$67,0))</f>
        <v>56.4443243226808</v>
      </c>
      <c r="I73" s="30" t="n">
        <f aca="false">$B$5+INDEX(I$60:I$67,MATCH($B$12,$A$60:$A$67,0))</f>
        <v>66.8905508579689</v>
      </c>
      <c r="J73" s="30" t="n">
        <f aca="false">$B$5+INDEX(J$60:J$67,MATCH($B$12,$A$60:$A$67,0))</f>
        <v>74.6487743581591</v>
      </c>
      <c r="K73" s="30" t="n">
        <f aca="false">$B$5+INDEX(K$60:K$67,MATCH($B$12,$A$60:$A$67,0))</f>
        <v>82.5050307780511</v>
      </c>
    </row>
    <row r="74" customFormat="false" ht="15" hidden="false" customHeight="false" outlineLevel="0" collapsed="false">
      <c r="A74" s="12" t="str">
        <f aca="false">datos_base!A5</f>
        <v>ABC 10 kg</v>
      </c>
      <c r="B74" s="30" t="n">
        <f aca="false">$B$5+INDEX(B$60:B$67,MATCH($B$13,$A$60:$A$67,0))</f>
        <v>1</v>
      </c>
      <c r="C74" s="30" t="n">
        <f aca="false">$B$5+INDEX(C$60:C$67,MATCH($B$13,$A$60:$A$67,0))</f>
        <v>1</v>
      </c>
      <c r="D74" s="30" t="n">
        <f aca="false">$B$5+INDEX(D$60:D$67,MATCH($B$13,$A$60:$A$67,0))</f>
        <v>1</v>
      </c>
      <c r="E74" s="30" t="n">
        <f aca="false">$B$5+INDEX(E$60:E$67,MATCH($B$13,$A$60:$A$67,0))</f>
        <v>12.7481161108947</v>
      </c>
      <c r="F74" s="30" t="n">
        <f aca="false">$B$5+INDEX(F$60:F$67,MATCH($B$13,$A$60:$A$67,0))</f>
        <v>27.0024333446181</v>
      </c>
      <c r="G74" s="30" t="n">
        <f aca="false">$B$5+INDEX(G$60:G$67,MATCH($B$13,$A$60:$A$67,0))</f>
        <v>42.5703481937186</v>
      </c>
      <c r="H74" s="30" t="n">
        <f aca="false">$B$5+INDEX(H$60:H$67,MATCH($B$13,$A$60:$A$67,0))</f>
        <v>56.4443243226808</v>
      </c>
      <c r="I74" s="30" t="n">
        <f aca="false">$B$5+INDEX(I$60:I$67,MATCH($B$13,$A$60:$A$67,0))</f>
        <v>66.8905508579689</v>
      </c>
      <c r="J74" s="30" t="n">
        <f aca="false">$B$5+INDEX(J$60:J$67,MATCH($B$13,$A$60:$A$67,0))</f>
        <v>74.6487743581591</v>
      </c>
      <c r="K74" s="30" t="n">
        <f aca="false">$B$5+INDEX(K$60:K$67,MATCH($B$13,$A$60:$A$67,0))</f>
        <v>82.5050307780511</v>
      </c>
    </row>
    <row r="75" customFormat="false" ht="15" hidden="false" customHeight="false" outlineLevel="0" collapsed="false">
      <c r="A75" s="12" t="str">
        <f aca="false">datos_base!A6</f>
        <v>Agua 10 l</v>
      </c>
      <c r="B75" s="30" t="n">
        <f aca="false">$B$5+INDEX(B$60:B$67,MATCH($B$14,$A$60:$A$67,0))</f>
        <v>1</v>
      </c>
      <c r="C75" s="30" t="n">
        <f aca="false">$B$5+INDEX(C$60:C$67,MATCH($B$14,$A$60:$A$67,0))</f>
        <v>1</v>
      </c>
      <c r="D75" s="30" t="n">
        <f aca="false">$B$5+INDEX(D$60:D$67,MATCH($B$14,$A$60:$A$67,0))</f>
        <v>1</v>
      </c>
      <c r="E75" s="30" t="n">
        <f aca="false">$B$5+INDEX(E$60:E$67,MATCH($B$14,$A$60:$A$67,0))</f>
        <v>8.5554038468319</v>
      </c>
      <c r="F75" s="30" t="n">
        <f aca="false">$B$5+INDEX(F$60:F$67,MATCH($B$14,$A$60:$A$67,0))</f>
        <v>20.8378092754366</v>
      </c>
      <c r="G75" s="30" t="n">
        <f aca="false">$B$5+INDEX(G$60:G$67,MATCH($B$14,$A$60:$A$67,0))</f>
        <v>34.2630049965698</v>
      </c>
      <c r="H75" s="30" t="n">
        <f aca="false">$B$5+INDEX(H$60:H$67,MATCH($B$14,$A$60:$A$67,0))</f>
        <v>46.3602105110202</v>
      </c>
      <c r="I75" s="30" t="n">
        <f aca="false">$B$5+INDEX(I$60:I$67,MATCH($B$14,$A$60:$A$67,0))</f>
        <v>55.4397357808477</v>
      </c>
      <c r="J75" s="30" t="n">
        <f aca="false">$B$5+INDEX(J$60:J$67,MATCH($B$14,$A$60:$A$67,0))</f>
        <v>62.3941704176459</v>
      </c>
      <c r="K75" s="30" t="n">
        <f aca="false">$B$5+INDEX(K$60:K$67,MATCH($B$14,$A$60:$A$67,0))</f>
        <v>69.4175133705819</v>
      </c>
    </row>
    <row r="76" customFormat="false" ht="15" hidden="false" customHeight="false" outlineLevel="0" collapsed="false">
      <c r="A76" s="12" t="str">
        <f aca="false">datos_base!A7</f>
        <v>AFFF 10 l</v>
      </c>
      <c r="B76" s="30" t="n">
        <f aca="false">$B$5+INDEX(B$60:B$67,MATCH($B$15,$A$60:$A$67,0))</f>
        <v>1</v>
      </c>
      <c r="C76" s="30" t="n">
        <f aca="false">$B$5+INDEX(C$60:C$67,MATCH($B$15,$A$60:$A$67,0))</f>
        <v>1</v>
      </c>
      <c r="D76" s="30" t="n">
        <f aca="false">$B$5+INDEX(D$60:D$67,MATCH($B$15,$A$60:$A$67,0))</f>
        <v>1</v>
      </c>
      <c r="E76" s="30" t="n">
        <f aca="false">$B$5+INDEX(E$60:E$67,MATCH($B$15,$A$60:$A$67,0))</f>
        <v>8.5554038468319</v>
      </c>
      <c r="F76" s="30" t="n">
        <f aca="false">$B$5+INDEX(F$60:F$67,MATCH($B$15,$A$60:$A$67,0))</f>
        <v>20.8378092754366</v>
      </c>
      <c r="G76" s="30" t="n">
        <f aca="false">$B$5+INDEX(G$60:G$67,MATCH($B$15,$A$60:$A$67,0))</f>
        <v>34.2630049965698</v>
      </c>
      <c r="H76" s="30" t="n">
        <f aca="false">$B$5+INDEX(H$60:H$67,MATCH($B$15,$A$60:$A$67,0))</f>
        <v>46.3602105110202</v>
      </c>
      <c r="I76" s="30" t="n">
        <f aca="false">$B$5+INDEX(I$60:I$67,MATCH($B$15,$A$60:$A$67,0))</f>
        <v>55.4397357808477</v>
      </c>
      <c r="J76" s="30" t="n">
        <f aca="false">$B$5+INDEX(J$60:J$67,MATCH($B$15,$A$60:$A$67,0))</f>
        <v>62.3941704176459</v>
      </c>
      <c r="K76" s="30" t="n">
        <f aca="false">$B$5+INDEX(K$60:K$67,MATCH($B$15,$A$60:$A$67,0))</f>
        <v>69.4175133705819</v>
      </c>
    </row>
    <row r="77" customFormat="false" ht="15" hidden="false" customHeight="false" outlineLevel="0" collapsed="false">
      <c r="A77" s="12" t="str">
        <f aca="false">datos_base!A8</f>
        <v>AFFF 50 l s/ruedas</v>
      </c>
      <c r="B77" s="30" t="n">
        <f aca="false">$B$5+INDEX(B$60:B$67,MATCH($B$16,$A$60:$A$67,0))</f>
        <v>1</v>
      </c>
      <c r="C77" s="30" t="n">
        <f aca="false">$B$5+INDEX(C$60:C$67,MATCH($B$16,$A$60:$A$67,0))</f>
        <v>1</v>
      </c>
      <c r="D77" s="30" t="n">
        <f aca="false">$B$5+INDEX(D$60:D$67,MATCH($B$16,$A$60:$A$67,0))</f>
        <v>1</v>
      </c>
      <c r="E77" s="30" t="n">
        <f aca="false">$B$5+INDEX(E$60:E$67,MATCH($B$16,$A$60:$A$67,0))</f>
        <v>8.5554038468319</v>
      </c>
      <c r="F77" s="30" t="n">
        <f aca="false">$B$5+INDEX(F$60:F$67,MATCH($B$16,$A$60:$A$67,0))</f>
        <v>20.8378092754366</v>
      </c>
      <c r="G77" s="30" t="n">
        <f aca="false">$B$5+INDEX(G$60:G$67,MATCH($B$16,$A$60:$A$67,0))</f>
        <v>34.2630049965698</v>
      </c>
      <c r="H77" s="30" t="n">
        <f aca="false">$B$5+INDEX(H$60:H$67,MATCH($B$16,$A$60:$A$67,0))</f>
        <v>46.3602105110202</v>
      </c>
      <c r="I77" s="30" t="n">
        <f aca="false">$B$5+INDEX(I$60:I$67,MATCH($B$16,$A$60:$A$67,0))</f>
        <v>55.4397357808477</v>
      </c>
      <c r="J77" s="30" t="n">
        <f aca="false">$B$5+INDEX(J$60:J$67,MATCH($B$16,$A$60:$A$67,0))</f>
        <v>62.3941704176459</v>
      </c>
      <c r="K77" s="30" t="n">
        <f aca="false">$B$5+INDEX(K$60:K$67,MATCH($B$16,$A$60:$A$67,0))</f>
        <v>69.4175133705819</v>
      </c>
    </row>
    <row r="78" customFormat="false" ht="15" hidden="false" customHeight="false" outlineLevel="0" collapsed="false">
      <c r="A78" s="12" t="str">
        <f aca="false">datos_base!A9</f>
        <v>BC 5 kg</v>
      </c>
      <c r="B78" s="30" t="n">
        <f aca="false">$B$5+INDEX(B$60:B$67,MATCH($B$17,$A$60:$A$67,0))</f>
        <v>1</v>
      </c>
      <c r="C78" s="30" t="n">
        <f aca="false">$B$5+INDEX(C$60:C$67,MATCH($B$17,$A$60:$A$67,0))</f>
        <v>1</v>
      </c>
      <c r="D78" s="30" t="n">
        <f aca="false">$B$5+INDEX(D$60:D$67,MATCH($B$17,$A$60:$A$67,0))</f>
        <v>1</v>
      </c>
      <c r="E78" s="30" t="n">
        <f aca="false">$B$5+INDEX(E$60:E$67,MATCH($B$17,$A$60:$A$67,0))</f>
        <v>12.7481161108947</v>
      </c>
      <c r="F78" s="30" t="n">
        <f aca="false">$B$5+INDEX(F$60:F$67,MATCH($B$17,$A$60:$A$67,0))</f>
        <v>27.0024333446181</v>
      </c>
      <c r="G78" s="30" t="n">
        <f aca="false">$B$5+INDEX(G$60:G$67,MATCH($B$17,$A$60:$A$67,0))</f>
        <v>42.5703481937186</v>
      </c>
      <c r="H78" s="30" t="n">
        <f aca="false">$B$5+INDEX(H$60:H$67,MATCH($B$17,$A$60:$A$67,0))</f>
        <v>56.4443243226808</v>
      </c>
      <c r="I78" s="30" t="n">
        <f aca="false">$B$5+INDEX(I$60:I$67,MATCH($B$17,$A$60:$A$67,0))</f>
        <v>66.8905508579689</v>
      </c>
      <c r="J78" s="30" t="n">
        <f aca="false">$B$5+INDEX(J$60:J$67,MATCH($B$17,$A$60:$A$67,0))</f>
        <v>74.6487743581591</v>
      </c>
      <c r="K78" s="30" t="n">
        <f aca="false">$B$5+INDEX(K$60:K$67,MATCH($B$17,$A$60:$A$67,0))</f>
        <v>82.5050307780511</v>
      </c>
    </row>
    <row r="79" customFormat="false" ht="15" hidden="false" customHeight="false" outlineLevel="0" collapsed="false">
      <c r="A79" s="12" t="str">
        <f aca="false">datos_base!A10</f>
        <v>Sales K 6 l</v>
      </c>
      <c r="B79" s="30" t="n">
        <f aca="false">$B$5+INDEX(B$60:B$67,MATCH($B$18,$A$60:$A$67,0))</f>
        <v>1</v>
      </c>
      <c r="C79" s="30" t="n">
        <f aca="false">$B$5+INDEX(C$60:C$67,MATCH($B$18,$A$60:$A$67,0))</f>
        <v>1</v>
      </c>
      <c r="D79" s="30" t="n">
        <f aca="false">$B$5+INDEX(D$60:D$67,MATCH($B$18,$A$60:$A$67,0))</f>
        <v>1</v>
      </c>
      <c r="E79" s="30" t="n">
        <f aca="false">$B$5+INDEX(E$60:E$67,MATCH($B$18,$A$60:$A$67,0))</f>
        <v>8.5554038468319</v>
      </c>
      <c r="F79" s="30" t="n">
        <f aca="false">$B$5+INDEX(F$60:F$67,MATCH($B$18,$A$60:$A$67,0))</f>
        <v>20.8378092754366</v>
      </c>
      <c r="G79" s="30" t="n">
        <f aca="false">$B$5+INDEX(G$60:G$67,MATCH($B$18,$A$60:$A$67,0))</f>
        <v>34.2630049965698</v>
      </c>
      <c r="H79" s="30" t="n">
        <f aca="false">$B$5+INDEX(H$60:H$67,MATCH($B$18,$A$60:$A$67,0))</f>
        <v>46.3602105110202</v>
      </c>
      <c r="I79" s="30" t="n">
        <f aca="false">$B$5+INDEX(I$60:I$67,MATCH($B$18,$A$60:$A$67,0))</f>
        <v>55.4397357808477</v>
      </c>
      <c r="J79" s="30" t="n">
        <f aca="false">$B$5+INDEX(J$60:J$67,MATCH($B$18,$A$60:$A$67,0))</f>
        <v>62.3941704176459</v>
      </c>
      <c r="K79" s="30" t="n">
        <f aca="false">$B$5+INDEX(K$60:K$67,MATCH($B$18,$A$60:$A$67,0))</f>
        <v>69.4175133705819</v>
      </c>
    </row>
    <row r="80" customFormat="false" ht="15" hidden="false" customHeight="false" outlineLevel="0" collapsed="false">
      <c r="A80" s="12" t="str">
        <f aca="false">datos_base!A11</f>
        <v>CO₂ 2 kg</v>
      </c>
      <c r="B80" s="30" t="n">
        <f aca="false">$B$5+INDEX(B$60:B$67,MATCH($B$19,$A$60:$A$67,0))</f>
        <v>1</v>
      </c>
      <c r="C80" s="30" t="n">
        <f aca="false">$B$5+INDEX(C$60:C$67,MATCH($B$19,$A$60:$A$67,0))</f>
        <v>1</v>
      </c>
      <c r="D80" s="30" t="n">
        <f aca="false">$B$5+INDEX(D$60:D$67,MATCH($B$19,$A$60:$A$67,0))</f>
        <v>1</v>
      </c>
      <c r="E80" s="30" t="n">
        <f aca="false">$B$5+INDEX(E$60:E$67,MATCH($B$19,$A$60:$A$67,0))</f>
        <v>8.5554038468319</v>
      </c>
      <c r="F80" s="30" t="n">
        <f aca="false">$B$5+INDEX(F$60:F$67,MATCH($B$19,$A$60:$A$67,0))</f>
        <v>20.8378092754366</v>
      </c>
      <c r="G80" s="30" t="n">
        <f aca="false">$B$5+INDEX(G$60:G$67,MATCH($B$19,$A$60:$A$67,0))</f>
        <v>34.2630049965698</v>
      </c>
      <c r="H80" s="30" t="n">
        <f aca="false">$B$5+INDEX(H$60:H$67,MATCH($B$19,$A$60:$A$67,0))</f>
        <v>46.3602105110202</v>
      </c>
      <c r="I80" s="30" t="n">
        <f aca="false">$B$5+INDEX(I$60:I$67,MATCH($B$19,$A$60:$A$67,0))</f>
        <v>55.4397357808477</v>
      </c>
      <c r="J80" s="30" t="n">
        <f aca="false">$B$5+INDEX(J$60:J$67,MATCH($B$19,$A$60:$A$67,0))</f>
        <v>62.3941704176459</v>
      </c>
      <c r="K80" s="30" t="n">
        <f aca="false">$B$5+INDEX(K$60:K$67,MATCH($B$19,$A$60:$A$67,0))</f>
        <v>69.4175133705819</v>
      </c>
    </row>
    <row r="81" customFormat="false" ht="15" hidden="false" customHeight="false" outlineLevel="0" collapsed="false">
      <c r="A81" s="12" t="str">
        <f aca="false">datos_base!A12</f>
        <v>CO₂ 5 kg</v>
      </c>
      <c r="B81" s="30" t="n">
        <f aca="false">$B$5+INDEX(B$60:B$67,MATCH($B$20,$A$60:$A$67,0))</f>
        <v>1</v>
      </c>
      <c r="C81" s="30" t="n">
        <f aca="false">$B$5+INDEX(C$60:C$67,MATCH($B$20,$A$60:$A$67,0))</f>
        <v>1</v>
      </c>
      <c r="D81" s="30" t="n">
        <f aca="false">$B$5+INDEX(D$60:D$67,MATCH($B$20,$A$60:$A$67,0))</f>
        <v>1</v>
      </c>
      <c r="E81" s="30" t="n">
        <f aca="false">$B$5+INDEX(E$60:E$67,MATCH($B$20,$A$60:$A$67,0))</f>
        <v>8.5554038468319</v>
      </c>
      <c r="F81" s="30" t="n">
        <f aca="false">$B$5+INDEX(F$60:F$67,MATCH($B$20,$A$60:$A$67,0))</f>
        <v>20.8378092754366</v>
      </c>
      <c r="G81" s="30" t="n">
        <f aca="false">$B$5+INDEX(G$60:G$67,MATCH($B$20,$A$60:$A$67,0))</f>
        <v>34.2630049965698</v>
      </c>
      <c r="H81" s="30" t="n">
        <f aca="false">$B$5+INDEX(H$60:H$67,MATCH($B$20,$A$60:$A$67,0))</f>
        <v>46.3602105110202</v>
      </c>
      <c r="I81" s="30" t="n">
        <f aca="false">$B$5+INDEX(I$60:I$67,MATCH($B$20,$A$60:$A$67,0))</f>
        <v>55.4397357808477</v>
      </c>
      <c r="J81" s="30" t="n">
        <f aca="false">$B$5+INDEX(J$60:J$67,MATCH($B$20,$A$60:$A$67,0))</f>
        <v>62.3941704176459</v>
      </c>
      <c r="K81" s="30" t="n">
        <f aca="false">$B$5+INDEX(K$60:K$67,MATCH($B$20,$A$60:$A$67,0))</f>
        <v>69.4175133705819</v>
      </c>
    </row>
    <row r="82" customFormat="false" ht="15" hidden="false" customHeight="false" outlineLevel="0" collapsed="false">
      <c r="A82" s="12" t="str">
        <f aca="false">datos_base!A13</f>
        <v>HCFC/HFC 5 kg</v>
      </c>
      <c r="B82" s="30" t="n">
        <f aca="false">$B$5+INDEX(B$60:B$67,MATCH($B$21,$A$60:$A$67,0))</f>
        <v>1</v>
      </c>
      <c r="C82" s="30" t="n">
        <f aca="false">$B$5+INDEX(C$60:C$67,MATCH($B$21,$A$60:$A$67,0))</f>
        <v>1</v>
      </c>
      <c r="D82" s="30" t="n">
        <f aca="false">$B$5+INDEX(D$60:D$67,MATCH($B$21,$A$60:$A$67,0))</f>
        <v>1</v>
      </c>
      <c r="E82" s="30" t="n">
        <f aca="false">$B$5+INDEX(E$60:E$67,MATCH($B$21,$A$60:$A$67,0))</f>
        <v>8.5554038468319</v>
      </c>
      <c r="F82" s="30" t="n">
        <f aca="false">$B$5+INDEX(F$60:F$67,MATCH($B$21,$A$60:$A$67,0))</f>
        <v>20.8378092754366</v>
      </c>
      <c r="G82" s="30" t="n">
        <f aca="false">$B$5+INDEX(G$60:G$67,MATCH($B$21,$A$60:$A$67,0))</f>
        <v>34.2630049965698</v>
      </c>
      <c r="H82" s="30" t="n">
        <f aca="false">$B$5+INDEX(H$60:H$67,MATCH($B$21,$A$60:$A$67,0))</f>
        <v>46.3602105110202</v>
      </c>
      <c r="I82" s="30" t="n">
        <f aca="false">$B$5+INDEX(I$60:I$67,MATCH($B$21,$A$60:$A$67,0))</f>
        <v>55.4397357808477</v>
      </c>
      <c r="J82" s="30" t="n">
        <f aca="false">$B$5+INDEX(J$60:J$67,MATCH($B$21,$A$60:$A$67,0))</f>
        <v>62.3941704176459</v>
      </c>
      <c r="K82" s="30" t="n">
        <f aca="false">$B$5+INDEX(K$60:K$67,MATCH($B$21,$A$60:$A$67,0))</f>
        <v>69.4175133705819</v>
      </c>
    </row>
    <row r="83" customFormat="false" ht="15" hidden="false" customHeight="false" outlineLevel="0" collapsed="false">
      <c r="A83" s="12" t="str">
        <f aca="false">datos_base!A14</f>
        <v>Clase D 9 l</v>
      </c>
      <c r="B83" s="30" t="n">
        <f aca="false">$B$5+INDEX(B$60:B$67,MATCH($B$22,$A$60:$A$67,0))</f>
        <v>1</v>
      </c>
      <c r="C83" s="30" t="n">
        <f aca="false">$B$5+INDEX(C$60:C$67,MATCH($B$22,$A$60:$A$67,0))</f>
        <v>1</v>
      </c>
      <c r="D83" s="30" t="n">
        <f aca="false">$B$5+INDEX(D$60:D$67,MATCH($B$22,$A$60:$A$67,0))</f>
        <v>1</v>
      </c>
      <c r="E83" s="30" t="n">
        <f aca="false">$B$5+INDEX(E$60:E$67,MATCH($B$22,$A$60:$A$67,0))</f>
        <v>12.7481161108947</v>
      </c>
      <c r="F83" s="30" t="n">
        <f aca="false">$B$5+INDEX(F$60:F$67,MATCH($B$22,$A$60:$A$67,0))</f>
        <v>27.0024333446181</v>
      </c>
      <c r="G83" s="30" t="n">
        <f aca="false">$B$5+INDEX(G$60:G$67,MATCH($B$22,$A$60:$A$67,0))</f>
        <v>42.5703481937186</v>
      </c>
      <c r="H83" s="30" t="n">
        <f aca="false">$B$5+INDEX(H$60:H$67,MATCH($B$22,$A$60:$A$67,0))</f>
        <v>56.4443243226808</v>
      </c>
      <c r="I83" s="30" t="n">
        <f aca="false">$B$5+INDEX(I$60:I$67,MATCH($B$22,$A$60:$A$67,0))</f>
        <v>66.8905508579689</v>
      </c>
      <c r="J83" s="30" t="n">
        <f aca="false">$B$5+INDEX(J$60:J$67,MATCH($B$22,$A$60:$A$67,0))</f>
        <v>74.6487743581591</v>
      </c>
      <c r="K83" s="30" t="n">
        <f aca="false">$B$5+INDEX(K$60:K$67,MATCH($B$22,$A$60:$A$67,0))</f>
        <v>82.5050307780511</v>
      </c>
    </row>
    <row r="84" customFormat="false" ht="15" hidden="false" customHeight="false" outlineLevel="0" collapsed="false">
      <c r="A84" s="12" t="str">
        <f aca="false">datos_base!A15</f>
        <v>ABC 25 kg s/ruedas</v>
      </c>
      <c r="B84" s="30" t="n">
        <f aca="false">$B$5+INDEX(B$60:B$67,MATCH($B$23,$A$60:$A$67,0))</f>
        <v>1</v>
      </c>
      <c r="C84" s="30" t="n">
        <f aca="false">$B$5+INDEX(C$60:C$67,MATCH($B$23,$A$60:$A$67,0))</f>
        <v>1</v>
      </c>
      <c r="D84" s="30" t="n">
        <f aca="false">$B$5+INDEX(D$60:D$67,MATCH($B$23,$A$60:$A$67,0))</f>
        <v>1</v>
      </c>
      <c r="E84" s="30" t="n">
        <f aca="false">$B$5+INDEX(E$60:E$67,MATCH($B$23,$A$60:$A$67,0))</f>
        <v>12.7481161108947</v>
      </c>
      <c r="F84" s="30" t="n">
        <f aca="false">$B$5+INDEX(F$60:F$67,MATCH($B$23,$A$60:$A$67,0))</f>
        <v>27.0024333446181</v>
      </c>
      <c r="G84" s="30" t="n">
        <f aca="false">$B$5+INDEX(G$60:G$67,MATCH($B$23,$A$60:$A$67,0))</f>
        <v>42.5703481937186</v>
      </c>
      <c r="H84" s="30" t="n">
        <f aca="false">$B$5+INDEX(H$60:H$67,MATCH($B$23,$A$60:$A$67,0))</f>
        <v>56.4443243226808</v>
      </c>
      <c r="I84" s="30" t="n">
        <f aca="false">$B$5+INDEX(I$60:I$67,MATCH($B$23,$A$60:$A$67,0))</f>
        <v>66.8905508579689</v>
      </c>
      <c r="J84" s="30" t="n">
        <f aca="false">$B$5+INDEX(J$60:J$67,MATCH($B$23,$A$60:$A$67,0))</f>
        <v>74.6487743581591</v>
      </c>
      <c r="K84" s="30" t="n">
        <f aca="false">$B$5+INDEX(K$60:K$67,MATCH($B$23,$A$60:$A$67,0))</f>
        <v>82.5050307780511</v>
      </c>
    </row>
    <row r="85" customFormat="false" ht="15" hidden="false" customHeight="false" outlineLevel="0" collapsed="false">
      <c r="A85" s="12" t="str">
        <f aca="false">datos_base!A16</f>
        <v>ABC 50 kg s/ruedas</v>
      </c>
      <c r="B85" s="30" t="n">
        <f aca="false">$B$5+INDEX(B$60:B$67,MATCH($B$24,$A$60:$A$67,0))</f>
        <v>1</v>
      </c>
      <c r="C85" s="30" t="n">
        <f aca="false">$B$5+INDEX(C$60:C$67,MATCH($B$24,$A$60:$A$67,0))</f>
        <v>1</v>
      </c>
      <c r="D85" s="30" t="n">
        <f aca="false">$B$5+INDEX(D$60:D$67,MATCH($B$24,$A$60:$A$67,0))</f>
        <v>1</v>
      </c>
      <c r="E85" s="30" t="n">
        <f aca="false">$B$5+INDEX(E$60:E$67,MATCH($B$24,$A$60:$A$67,0))</f>
        <v>12.7481161108947</v>
      </c>
      <c r="F85" s="30" t="n">
        <f aca="false">$B$5+INDEX(F$60:F$67,MATCH($B$24,$A$60:$A$67,0))</f>
        <v>27.0024333446181</v>
      </c>
      <c r="G85" s="30" t="n">
        <f aca="false">$B$5+INDEX(G$60:G$67,MATCH($B$24,$A$60:$A$67,0))</f>
        <v>42.5703481937186</v>
      </c>
      <c r="H85" s="30" t="n">
        <f aca="false">$B$5+INDEX(H$60:H$67,MATCH($B$24,$A$60:$A$67,0))</f>
        <v>56.4443243226808</v>
      </c>
      <c r="I85" s="30" t="n">
        <f aca="false">$B$5+INDEX(I$60:I$67,MATCH($B$24,$A$60:$A$67,0))</f>
        <v>66.8905508579689</v>
      </c>
      <c r="J85" s="30" t="n">
        <f aca="false">$B$5+INDEX(J$60:J$67,MATCH($B$24,$A$60:$A$67,0))</f>
        <v>74.6487743581591</v>
      </c>
      <c r="K85" s="30" t="n">
        <f aca="false">$B$5+INDEX(K$60:K$67,MATCH($B$24,$A$60:$A$67,0))</f>
        <v>82.5050307780511</v>
      </c>
    </row>
    <row r="86" customFormat="false" ht="15" hidden="false" customHeight="false" outlineLevel="0" collapsed="false">
      <c r="A86" s="12" t="str">
        <f aca="false">datos_base!A17</f>
        <v>ABC 70 kg s/ruedas</v>
      </c>
      <c r="B86" s="30" t="n">
        <f aca="false">$B$5+INDEX(B$60:B$67,MATCH($B$25,$A$60:$A$67,0))</f>
        <v>1</v>
      </c>
      <c r="C86" s="30" t="n">
        <f aca="false">$B$5+INDEX(C$60:C$67,MATCH($B$25,$A$60:$A$67,0))</f>
        <v>1</v>
      </c>
      <c r="D86" s="30" t="n">
        <f aca="false">$B$5+INDEX(D$60:D$67,MATCH($B$25,$A$60:$A$67,0))</f>
        <v>1</v>
      </c>
      <c r="E86" s="30" t="n">
        <f aca="false">$B$5+INDEX(E$60:E$67,MATCH($B$25,$A$60:$A$67,0))</f>
        <v>12.7481161108947</v>
      </c>
      <c r="F86" s="30" t="n">
        <f aca="false">$B$5+INDEX(F$60:F$67,MATCH($B$25,$A$60:$A$67,0))</f>
        <v>27.0024333446181</v>
      </c>
      <c r="G86" s="30" t="n">
        <f aca="false">$B$5+INDEX(G$60:G$67,MATCH($B$25,$A$60:$A$67,0))</f>
        <v>42.5703481937186</v>
      </c>
      <c r="H86" s="30" t="n">
        <f aca="false">$B$5+INDEX(H$60:H$67,MATCH($B$25,$A$60:$A$67,0))</f>
        <v>56.4443243226808</v>
      </c>
      <c r="I86" s="30" t="n">
        <f aca="false">$B$5+INDEX(I$60:I$67,MATCH($B$25,$A$60:$A$67,0))</f>
        <v>66.8905508579689</v>
      </c>
      <c r="J86" s="30" t="n">
        <f aca="false">$B$5+INDEX(J$60:J$67,MATCH($B$25,$A$60:$A$67,0))</f>
        <v>74.6487743581591</v>
      </c>
      <c r="K86" s="30" t="n">
        <f aca="false">$B$5+INDEX(K$60:K$67,MATCH($B$25,$A$60:$A$67,0))</f>
        <v>82.5050307780511</v>
      </c>
    </row>
    <row r="87" customFormat="false" ht="15" hidden="false" customHeight="false" outlineLevel="0" collapsed="false">
      <c r="A87" s="12" t="str">
        <f aca="false">datos_base!A18</f>
        <v>ABC 100 kg s/ruedas</v>
      </c>
      <c r="B87" s="30" t="n">
        <f aca="false">$B$5+INDEX(B$60:B$67,MATCH($B$26,$A$60:$A$67,0))</f>
        <v>1</v>
      </c>
      <c r="C87" s="30" t="n">
        <f aca="false">$B$5+INDEX(C$60:C$67,MATCH($B$26,$A$60:$A$67,0))</f>
        <v>1</v>
      </c>
      <c r="D87" s="30" t="n">
        <f aca="false">$B$5+INDEX(D$60:D$67,MATCH($B$26,$A$60:$A$67,0))</f>
        <v>1</v>
      </c>
      <c r="E87" s="30" t="n">
        <f aca="false">$B$5+INDEX(E$60:E$67,MATCH($B$26,$A$60:$A$67,0))</f>
        <v>12.7481161108947</v>
      </c>
      <c r="F87" s="30" t="n">
        <f aca="false">$B$5+INDEX(F$60:F$67,MATCH($B$26,$A$60:$A$67,0))</f>
        <v>27.0024333446181</v>
      </c>
      <c r="G87" s="30" t="n">
        <f aca="false">$B$5+INDEX(G$60:G$67,MATCH($B$26,$A$60:$A$67,0))</f>
        <v>42.5703481937186</v>
      </c>
      <c r="H87" s="30" t="n">
        <f aca="false">$B$5+INDEX(H$60:H$67,MATCH($B$26,$A$60:$A$67,0))</f>
        <v>56.4443243226808</v>
      </c>
      <c r="I87" s="30" t="n">
        <f aca="false">$B$5+INDEX(I$60:I$67,MATCH($B$26,$A$60:$A$67,0))</f>
        <v>66.8905508579689</v>
      </c>
      <c r="J87" s="30" t="n">
        <f aca="false">$B$5+INDEX(J$60:J$67,MATCH($B$26,$A$60:$A$67,0))</f>
        <v>74.6487743581591</v>
      </c>
      <c r="K87" s="30" t="n">
        <f aca="false">$B$5+INDEX(K$60:K$67,MATCH($B$26,$A$60:$A$67,0))</f>
        <v>82.5050307780511</v>
      </c>
    </row>
    <row r="89" customFormat="false" ht="15" hidden="false" customHeight="false" outlineLevel="0" collapsed="false">
      <c r="A89" s="1" t="s">
        <v>327</v>
      </c>
    </row>
    <row r="90" customFormat="false" ht="15" hidden="false" customHeight="false" outlineLevel="0" collapsed="false">
      <c r="A90" s="3" t="s">
        <v>138</v>
      </c>
      <c r="B90" s="3" t="n">
        <v>2026</v>
      </c>
      <c r="C90" s="3" t="n">
        <v>2027</v>
      </c>
      <c r="D90" s="3" t="n">
        <v>2028</v>
      </c>
      <c r="E90" s="3" t="n">
        <v>2029</v>
      </c>
      <c r="F90" s="3" t="n">
        <v>2030</v>
      </c>
      <c r="G90" s="3" t="n">
        <v>2031</v>
      </c>
      <c r="H90" s="3" t="n">
        <v>2032</v>
      </c>
      <c r="I90" s="3" t="n">
        <v>2033</v>
      </c>
      <c r="J90" s="3" t="n">
        <v>2034</v>
      </c>
      <c r="K90" s="3" t="n">
        <v>2035</v>
      </c>
    </row>
    <row r="91" customFormat="false" ht="15" hidden="false" customHeight="false" outlineLevel="0" collapsed="false">
      <c r="A91" s="12" t="str">
        <f aca="false">datos_base!A2</f>
        <v>ABC 1 kg</v>
      </c>
      <c r="B91" s="25" t="n">
        <f aca="false">B30*B71*$C$10</f>
        <v>0</v>
      </c>
      <c r="C91" s="25" t="n">
        <f aca="false">C30*C71*$C$10</f>
        <v>0</v>
      </c>
      <c r="D91" s="25" t="n">
        <f aca="false">D30*D71*$C$10</f>
        <v>0</v>
      </c>
      <c r="E91" s="25" t="n">
        <f aca="false">E30*E71*$C$10</f>
        <v>0</v>
      </c>
      <c r="F91" s="25" t="n">
        <f aca="false">F30*F71*$C$10</f>
        <v>0</v>
      </c>
      <c r="G91" s="25" t="n">
        <f aca="false">G30*G71*$C$10</f>
        <v>0</v>
      </c>
      <c r="H91" s="25" t="n">
        <f aca="false">H30*H71*$C$10</f>
        <v>0</v>
      </c>
      <c r="I91" s="25" t="n">
        <f aca="false">I30*I71*$C$10</f>
        <v>0</v>
      </c>
      <c r="J91" s="25" t="n">
        <f aca="false">J30*J71*$C$10</f>
        <v>0</v>
      </c>
      <c r="K91" s="25" t="n">
        <f aca="false">K30*K71*$C$10</f>
        <v>0</v>
      </c>
    </row>
    <row r="92" customFormat="false" ht="15" hidden="false" customHeight="false" outlineLevel="0" collapsed="false">
      <c r="A92" s="12" t="str">
        <f aca="false">datos_base!A3</f>
        <v>ABC 2,5 kg</v>
      </c>
      <c r="B92" s="25" t="n">
        <f aca="false">B31*B72*$C$11</f>
        <v>1.77735400334772</v>
      </c>
      <c r="C92" s="25" t="n">
        <f aca="false">C31*C72*$C$11</f>
        <v>5.14829273007215</v>
      </c>
      <c r="D92" s="25" t="n">
        <f aca="false">D31*D72*$C$11</f>
        <v>11.4204002974065</v>
      </c>
      <c r="E92" s="25" t="n">
        <f aca="false">E31*E72*$C$11</f>
        <v>243.39693314779</v>
      </c>
      <c r="F92" s="25" t="n">
        <f aca="false">F31*F72*$C$11</f>
        <v>721.284442792305</v>
      </c>
      <c r="G92" s="25" t="n">
        <f aca="false">G31*G72*$C$11</f>
        <v>1450.62254530945</v>
      </c>
      <c r="H92" s="25" t="n">
        <f aca="false">H31*H72*$C$11</f>
        <v>2272.61074151788</v>
      </c>
      <c r="I92" s="25" t="n">
        <f aca="false">I31*I72*$C$11</f>
        <v>2924.92345163435</v>
      </c>
      <c r="J92" s="25" t="n">
        <f aca="false">J31*J72*$C$11</f>
        <v>3526.17471630194</v>
      </c>
      <c r="K92" s="25" t="n">
        <f aca="false">K31*K72*$C$11</f>
        <v>4197.25922300311</v>
      </c>
    </row>
    <row r="93" customFormat="false" ht="15" hidden="false" customHeight="false" outlineLevel="0" collapsed="false">
      <c r="A93" s="12" t="str">
        <f aca="false">datos_base!A4</f>
        <v>ABC 5 kg</v>
      </c>
      <c r="B93" s="25" t="n">
        <f aca="false">B32*B73*$C$12</f>
        <v>10.5047750252094</v>
      </c>
      <c r="C93" s="25" t="n">
        <f aca="false">C32*C73*$C$12</f>
        <v>31.4021581906785</v>
      </c>
      <c r="D93" s="25" t="n">
        <f aca="false">D32*D73*$C$12</f>
        <v>68.8821671933679</v>
      </c>
      <c r="E93" s="25" t="n">
        <f aca="false">E32*E73*$C$12</f>
        <v>1507.45061688126</v>
      </c>
      <c r="F93" s="25" t="n">
        <f aca="false">F32*F73*$C$12</f>
        <v>4447.35458570405</v>
      </c>
      <c r="G93" s="25" t="n">
        <f aca="false">G32*G73*$C$12</f>
        <v>8951.35844393782</v>
      </c>
      <c r="H93" s="25" t="n">
        <f aca="false">H32*H73*$C$12</f>
        <v>13965.9543200467</v>
      </c>
      <c r="I93" s="25" t="n">
        <f aca="false">I32*I73*$C$12</f>
        <v>17889.7108853548</v>
      </c>
      <c r="J93" s="25" t="n">
        <f aca="false">J32*J73*$C$12</f>
        <v>21501.2487692099</v>
      </c>
      <c r="K93" s="25" t="n">
        <f aca="false">K32*K73*$C$12</f>
        <v>25529.6767919669</v>
      </c>
    </row>
    <row r="94" customFormat="false" ht="15" hidden="false" customHeight="false" outlineLevel="0" collapsed="false">
      <c r="A94" s="12" t="str">
        <f aca="false">datos_base!A5</f>
        <v>ABC 10 kg</v>
      </c>
      <c r="B94" s="25" t="n">
        <f aca="false">B33*B74*$C$13</f>
        <v>0.637395914876052</v>
      </c>
      <c r="C94" s="25" t="n">
        <f aca="false">C33*C74*$C$13</f>
        <v>1.75040277202189</v>
      </c>
      <c r="D94" s="25" t="n">
        <f aca="false">D33*D74*$C$13</f>
        <v>3.97181902112489</v>
      </c>
      <c r="E94" s="25" t="n">
        <f aca="false">E33*E74*$C$13</f>
        <v>87.9384340426429</v>
      </c>
      <c r="F94" s="25" t="n">
        <f aca="false">F33*F74*$C$13</f>
        <v>261.376894735216</v>
      </c>
      <c r="G94" s="25" t="n">
        <f aca="false">G33*G74*$C$13</f>
        <v>530.263662995615</v>
      </c>
      <c r="H94" s="25" t="n">
        <f aca="false">H33*H74*$C$13</f>
        <v>827.3857271601</v>
      </c>
      <c r="I94" s="25" t="n">
        <f aca="false">I33*I74*$C$13</f>
        <v>1059.08556943939</v>
      </c>
      <c r="J94" s="25" t="n">
        <f aca="false">J33*J74*$C$13</f>
        <v>1273.01266430426</v>
      </c>
      <c r="K94" s="25" t="n">
        <f aca="false">K33*K74*$C$13</f>
        <v>1511.63879786332</v>
      </c>
    </row>
    <row r="95" customFormat="false" ht="15" hidden="false" customHeight="false" outlineLevel="0" collapsed="false">
      <c r="A95" s="12" t="str">
        <f aca="false">datos_base!A6</f>
        <v>Agua 10 l</v>
      </c>
      <c r="B95" s="25" t="n">
        <f aca="false">B34*B75*$C$14</f>
        <v>0.858032965647594</v>
      </c>
      <c r="C95" s="25" t="n">
        <f aca="false">C34*C75*$C$14</f>
        <v>2.57301278522959</v>
      </c>
      <c r="D95" s="25" t="n">
        <f aca="false">D34*D75*$C$14</f>
        <v>5.71321544565204</v>
      </c>
      <c r="E95" s="25" t="n">
        <f aca="false">E34*E75*$C$14</f>
        <v>83.2816589885333</v>
      </c>
      <c r="F95" s="25" t="n">
        <f aca="false">F34*F75*$C$14</f>
        <v>282.989266390055</v>
      </c>
      <c r="G95" s="25" t="n">
        <f aca="false">G34*G75*$C$14</f>
        <v>597.635736157722</v>
      </c>
      <c r="H95" s="25" t="n">
        <f aca="false">H34*H75*$C$14</f>
        <v>952.82509874403</v>
      </c>
      <c r="I95" s="25" t="n">
        <f aca="false">I34*I75*$C$14</f>
        <v>1235.61041585757</v>
      </c>
      <c r="J95" s="25" t="n">
        <f aca="false">J34*J75*$C$14</f>
        <v>1500.19965034398</v>
      </c>
      <c r="K95" s="25" t="n">
        <f aca="false">K34*K75*$C$14</f>
        <v>1795.56880777167</v>
      </c>
    </row>
    <row r="96" customFormat="false" ht="15" hidden="false" customHeight="false" outlineLevel="0" collapsed="false">
      <c r="A96" s="12" t="str">
        <f aca="false">datos_base!A7</f>
        <v>AFFF 10 l</v>
      </c>
      <c r="B96" s="25" t="n">
        <f aca="false">B35*B76*$C$15</f>
        <v>0.122576138719081</v>
      </c>
      <c r="C96" s="25" t="n">
        <f aca="false">C35*C76*$C$15</f>
        <v>0.645092171311805</v>
      </c>
      <c r="D96" s="25" t="n">
        <f aca="false">D35*D76*$C$15</f>
        <v>1.2268660412716</v>
      </c>
      <c r="E96" s="25" t="n">
        <f aca="false">E35*E76*$C$15</f>
        <v>15.8767661673711</v>
      </c>
      <c r="F96" s="25" t="n">
        <f aca="false">F35*F76*$C$15</f>
        <v>52.7335894273028</v>
      </c>
      <c r="G96" s="25" t="n">
        <f aca="false">G35*G76*$C$15</f>
        <v>107.847535710321</v>
      </c>
      <c r="H96" s="25" t="n">
        <f aca="false">H35*H76*$C$15</f>
        <v>174.121132439257</v>
      </c>
      <c r="I96" s="25" t="n">
        <f aca="false">I35*I76*$C$15</f>
        <v>229.726780422308</v>
      </c>
      <c r="J96" s="25" t="n">
        <f aca="false">J35*J76*$C$15</f>
        <v>282.176159567546</v>
      </c>
      <c r="K96" s="25" t="n">
        <f aca="false">K35*K76*$C$15</f>
        <v>340.90029003444</v>
      </c>
    </row>
    <row r="97" customFormat="false" ht="15" hidden="false" customHeight="false" outlineLevel="0" collapsed="false">
      <c r="A97" s="12" t="str">
        <f aca="false">datos_base!A8</f>
        <v>AFFF 50 l s/ruedas</v>
      </c>
      <c r="B97" s="25" t="n">
        <f aca="false">B36*B77*$C$16</f>
        <v>0.0612880666665528</v>
      </c>
      <c r="C97" s="25" t="n">
        <f aca="false">C36*C77*$C$16</f>
        <v>0.332805946649385</v>
      </c>
      <c r="D97" s="25" t="n">
        <f aca="false">D36*D77*$C$16</f>
        <v>0.637304030094147</v>
      </c>
      <c r="E97" s="25" t="n">
        <f aca="false">E36*E77*$C$16</f>
        <v>8.46953571962007</v>
      </c>
      <c r="F97" s="25" t="n">
        <f aca="false">F36*F77*$C$16</f>
        <v>28.2816264536512</v>
      </c>
      <c r="G97" s="25" t="n">
        <f aca="false">G36*G77*$C$16</f>
        <v>57.6300537028277</v>
      </c>
      <c r="H97" s="25" t="n">
        <f aca="false">H36*H77*$C$16</f>
        <v>91.6643478382659</v>
      </c>
      <c r="I97" s="25" t="n">
        <f aca="false">I36*I77*$C$16</f>
        <v>120.874933979453</v>
      </c>
      <c r="J97" s="25" t="n">
        <f aca="false">J36*J77*$C$16</f>
        <v>147.702824598147</v>
      </c>
      <c r="K97" s="25" t="n">
        <f aca="false">K36*K77*$C$16</f>
        <v>177.701864390682</v>
      </c>
    </row>
    <row r="98" customFormat="false" ht="15" hidden="false" customHeight="false" outlineLevel="0" collapsed="false">
      <c r="A98" s="12" t="str">
        <f aca="false">datos_base!A9</f>
        <v>BC 5 kg</v>
      </c>
      <c r="B98" s="25" t="n">
        <f aca="false">B37*B78*$C$17</f>
        <v>0.0367728399999317</v>
      </c>
      <c r="C98" s="25" t="n">
        <f aca="false">C37*C78*$C$17</f>
        <v>0.188242597776356</v>
      </c>
      <c r="D98" s="25" t="n">
        <f aca="false">D37*D78*$C$17</f>
        <v>0.344451101319716</v>
      </c>
      <c r="E98" s="25" t="n">
        <f aca="false">E37*E78*$C$17</f>
        <v>7.15482999566789</v>
      </c>
      <c r="F98" s="25" t="n">
        <f aca="false">F37*F78*$C$17</f>
        <v>20.1933624992863</v>
      </c>
      <c r="G98" s="25" t="n">
        <f aca="false">G37*G78*$C$17</f>
        <v>40.6173520573429</v>
      </c>
      <c r="H98" s="25" t="n">
        <f aca="false">H37*H78*$C$17</f>
        <v>65.4368497130909</v>
      </c>
      <c r="I98" s="25" t="n">
        <f aca="false">I37*I78*$C$17</f>
        <v>83.752310409227</v>
      </c>
      <c r="J98" s="25" t="n">
        <f aca="false">J37*J78*$C$17</f>
        <v>101.854356139329</v>
      </c>
      <c r="K98" s="25" t="n">
        <f aca="false">K37*K78*$C$17</f>
        <v>122.093538506813</v>
      </c>
    </row>
    <row r="99" customFormat="false" ht="15" hidden="false" customHeight="false" outlineLevel="0" collapsed="false">
      <c r="A99" s="12" t="str">
        <f aca="false">datos_base!A10</f>
        <v>Sales K 6 l</v>
      </c>
      <c r="B99" s="25" t="n">
        <f aca="false">B38*B79*$C$18</f>
        <v>0.441274096157107</v>
      </c>
      <c r="C99" s="25" t="n">
        <f aca="false">C38*C79*$C$18</f>
        <v>1.34124023405156</v>
      </c>
      <c r="D99" s="25" t="n">
        <f aca="false">D38*D79*$C$18</f>
        <v>2.89309890824537</v>
      </c>
      <c r="E99" s="25" t="n">
        <f aca="false">E38*E79*$C$18</f>
        <v>40.9085230276481</v>
      </c>
      <c r="F99" s="25" t="n">
        <f aca="false">F38*F79*$C$18</f>
        <v>139.041039328047</v>
      </c>
      <c r="G99" s="25" t="n">
        <f aca="false">G38*G79*$C$18</f>
        <v>291.051778553655</v>
      </c>
      <c r="H99" s="25" t="n">
        <f aca="false">H38*H79*$C$18</f>
        <v>465.889592032727</v>
      </c>
      <c r="I99" s="25" t="n">
        <f aca="false">I38*I79*$C$18</f>
        <v>608.224249633686</v>
      </c>
      <c r="J99" s="25" t="n">
        <f aca="false">J38*J79*$C$18</f>
        <v>739.219415354718</v>
      </c>
      <c r="K99" s="25" t="n">
        <f aca="false">K38*K79*$C$18</f>
        <v>885.493396265371</v>
      </c>
    </row>
    <row r="100" customFormat="false" ht="15" hidden="false" customHeight="false" outlineLevel="0" collapsed="false">
      <c r="A100" s="12" t="str">
        <f aca="false">datos_base!A11</f>
        <v>CO₂ 2 kg</v>
      </c>
      <c r="B100" s="25" t="n">
        <f aca="false">B39*B80*$C$19</f>
        <v>2.42700753155708</v>
      </c>
      <c r="C100" s="25" t="n">
        <f aca="false">C39*C80*$C$19</f>
        <v>6.78692865208373</v>
      </c>
      <c r="D100" s="25" t="n">
        <f aca="false">D39*D80*$C$19</f>
        <v>15.3265483122515</v>
      </c>
      <c r="E100" s="25" t="n">
        <f aca="false">E39*E80*$C$19</f>
        <v>227.625306814904</v>
      </c>
      <c r="F100" s="25" t="n">
        <f aca="false">F39*F80*$C$19</f>
        <v>774.222897495483</v>
      </c>
      <c r="G100" s="25" t="n">
        <f aca="false">G39*G80*$C$19</f>
        <v>1625.75171566408</v>
      </c>
      <c r="H100" s="25" t="n">
        <f aca="false">H39*H80*$C$19</f>
        <v>2585.93305318309</v>
      </c>
      <c r="I100" s="25" t="n">
        <f aca="false">I39*I80*$C$19</f>
        <v>3334.22622018318</v>
      </c>
      <c r="J100" s="25" t="n">
        <f aca="false">J39*J80*$C$19</f>
        <v>4041.39408096291</v>
      </c>
      <c r="K100" s="25" t="n">
        <f aca="false">K39*K80*$C$19</f>
        <v>4830.46505809264</v>
      </c>
    </row>
    <row r="101" customFormat="false" ht="15" hidden="false" customHeight="false" outlineLevel="0" collapsed="false">
      <c r="A101" s="12" t="str">
        <f aca="false">datos_base!A12</f>
        <v>CO₂ 5 kg</v>
      </c>
      <c r="B101" s="25" t="n">
        <f aca="false">B40*B81*$C$20</f>
        <v>0.674168760261959</v>
      </c>
      <c r="C101" s="25" t="n">
        <f aca="false">C40*C81*$C$20</f>
        <v>2.57383988219856</v>
      </c>
      <c r="D101" s="25" t="n">
        <f aca="false">D40*D81*$C$20</f>
        <v>5.33060935405342</v>
      </c>
      <c r="E101" s="25" t="n">
        <f aca="false">E40*E81*$C$20</f>
        <v>74.0647638397744</v>
      </c>
      <c r="F101" s="25" t="n">
        <f aca="false">F40*F81*$C$20</f>
        <v>251.353779959662</v>
      </c>
      <c r="G101" s="25" t="n">
        <f aca="false">G40*G81*$C$20</f>
        <v>529.055241072841</v>
      </c>
      <c r="H101" s="25" t="n">
        <f aca="false">H40*H81*$C$20</f>
        <v>853.002423727587</v>
      </c>
      <c r="I101" s="25" t="n">
        <f aca="false">I40*I81*$C$20</f>
        <v>1123.20281033633</v>
      </c>
      <c r="J101" s="25" t="n">
        <f aca="false">J40*J81*$C$20</f>
        <v>1372.29681814903</v>
      </c>
      <c r="K101" s="25" t="n">
        <f aca="false">K40*K81*$C$20</f>
        <v>1650.8244300609</v>
      </c>
    </row>
    <row r="102" customFormat="false" ht="15" hidden="false" customHeight="false" outlineLevel="0" collapsed="false">
      <c r="A102" s="12" t="str">
        <f aca="false">datos_base!A13</f>
        <v>HCFC/HFC 5 kg</v>
      </c>
      <c r="B102" s="25" t="n">
        <f aca="false">B41*B82*$C$21</f>
        <v>0.0980609120524602</v>
      </c>
      <c r="C102" s="25" t="n">
        <f aca="false">C41*C82*$C$21</f>
        <v>0.448181800926653</v>
      </c>
      <c r="D102" s="25" t="n">
        <f aca="false">D41*D82*$C$21</f>
        <v>0.894568776092253</v>
      </c>
      <c r="E102" s="25" t="n">
        <f aca="false">E41*E82*$C$21</f>
        <v>12.0631940796021</v>
      </c>
      <c r="F102" s="25" t="n">
        <f aca="false">F41*F82*$C$21</f>
        <v>40.7317936503906</v>
      </c>
      <c r="G102" s="25" t="n">
        <f aca="false">G41*G82*$C$21</f>
        <v>84.4911049731291</v>
      </c>
      <c r="H102" s="25" t="n">
        <f aca="false">H41*H82*$C$21</f>
        <v>137.678750521127</v>
      </c>
      <c r="I102" s="25" t="n">
        <f aca="false">I41*I82*$C$21</f>
        <v>182.241704177863</v>
      </c>
      <c r="J102" s="25" t="n">
        <f aca="false">J41*J82*$C$21</f>
        <v>223.765600389786</v>
      </c>
      <c r="K102" s="25" t="n">
        <f aca="false">K41*K82*$C$21</f>
        <v>270.252988741289</v>
      </c>
    </row>
    <row r="103" customFormat="false" ht="15" hidden="false" customHeight="false" outlineLevel="0" collapsed="false">
      <c r="A103" s="12" t="str">
        <f aca="false">datos_base!A14</f>
        <v>Clase D 9 l</v>
      </c>
      <c r="B103" s="25" t="n">
        <f aca="false">B42*B83*$C$22</f>
        <v>0.0367728399999317</v>
      </c>
      <c r="C103" s="25" t="n">
        <f aca="false">C42*C83*$C$22</f>
        <v>0.188242597776356</v>
      </c>
      <c r="D103" s="25" t="n">
        <f aca="false">D42*D83*$C$22</f>
        <v>0.344451101319716</v>
      </c>
      <c r="E103" s="25" t="n">
        <f aca="false">E42*E83*$C$22</f>
        <v>6.65138414112102</v>
      </c>
      <c r="F103" s="25" t="n">
        <f aca="false">F42*F83*$C$22</f>
        <v>18.8547574745025</v>
      </c>
      <c r="G103" s="25" t="n">
        <f aca="false">G42*G83*$C$22</f>
        <v>35.5929289431011</v>
      </c>
      <c r="H103" s="25" t="n">
        <f aca="false">H42*H83*$C$22</f>
        <v>58.2648031403815</v>
      </c>
      <c r="I103" s="25" t="n">
        <f aca="false">I42*I83*$C$22</f>
        <v>75.241736079284</v>
      </c>
      <c r="J103" s="25" t="n">
        <f aca="false">J42*J83*$C$22</f>
        <v>91.7781264811202</v>
      </c>
      <c r="K103" s="25" t="n">
        <f aca="false">K42*K83*$C$22</f>
        <v>110.276996616819</v>
      </c>
    </row>
    <row r="104" customFormat="false" ht="15" hidden="false" customHeight="false" outlineLevel="0" collapsed="false">
      <c r="A104" s="12" t="str">
        <f aca="false">datos_base!A15</f>
        <v>ABC 25 kg s/ruedas</v>
      </c>
      <c r="B104" s="25" t="n">
        <f aca="false">B43*B84*$C$23</f>
        <v>0.0949965073726386</v>
      </c>
      <c r="C104" s="25" t="n">
        <f aca="false">C43*C84*$C$23</f>
        <v>0.343860215268604</v>
      </c>
      <c r="D104" s="25" t="n">
        <f aca="false">D43*D84*$C$23</f>
        <v>0.724127154612291</v>
      </c>
      <c r="E104" s="25" t="n">
        <f aca="false">E43*E84*$C$23</f>
        <v>15.0981879498127</v>
      </c>
      <c r="F104" s="25" t="n">
        <f aca="false">F43*F84*$C$23</f>
        <v>44.4787715173316</v>
      </c>
      <c r="G104" s="25" t="n">
        <f aca="false">G43*G84*$C$23</f>
        <v>89.5121868855864</v>
      </c>
      <c r="H104" s="25" t="n">
        <f aca="false">H43*H84*$C$23</f>
        <v>140.585757258201</v>
      </c>
      <c r="I104" s="25" t="n">
        <f aca="false">I43*I84*$C$23</f>
        <v>182.445959946508</v>
      </c>
      <c r="J104" s="25" t="n">
        <f aca="false">J43*J84*$C$23</f>
        <v>220.558824570048</v>
      </c>
      <c r="K104" s="25" t="n">
        <f aca="false">K43*K84*$C$23</f>
        <v>263.122186721886</v>
      </c>
    </row>
    <row r="105" customFormat="false" ht="15" hidden="false" customHeight="false" outlineLevel="0" collapsed="false">
      <c r="A105" s="12" t="str">
        <f aca="false">datos_base!A16</f>
        <v>ABC 50 kg s/ruedas</v>
      </c>
      <c r="B105" s="25" t="n">
        <f aca="false">B44*B85*$C$24</f>
        <v>0.20899231298822</v>
      </c>
      <c r="C105" s="25" t="n">
        <f aca="false">C44*C85*$C$24</f>
        <v>0.756492478389658</v>
      </c>
      <c r="D105" s="25" t="n">
        <f aca="false">D44*D85*$C$24</f>
        <v>1.59307974247207</v>
      </c>
      <c r="E105" s="25" t="n">
        <f aca="false">E44*E85*$C$24</f>
        <v>33.2160134806165</v>
      </c>
      <c r="F105" s="25" t="n">
        <f aca="false">F44*F85*$C$24</f>
        <v>97.8532972830057</v>
      </c>
      <c r="G105" s="25" t="n">
        <f aca="false">G44*G85*$C$24</f>
        <v>196.926811287453</v>
      </c>
      <c r="H105" s="25" t="n">
        <f aca="false">H44*H85*$C$24</f>
        <v>309.288666074488</v>
      </c>
      <c r="I105" s="25" t="n">
        <f aca="false">I44*I85*$C$24</f>
        <v>401.38111180029</v>
      </c>
      <c r="J105" s="25" t="n">
        <f aca="false">J44*J85*$C$24</f>
        <v>485.229413825621</v>
      </c>
      <c r="K105" s="25" t="n">
        <f aca="false">K44*K85*$C$24</f>
        <v>578.868810434606</v>
      </c>
    </row>
    <row r="106" customFormat="false" ht="15" hidden="false" customHeight="false" outlineLevel="0" collapsed="false">
      <c r="A106" s="12" t="str">
        <f aca="false">datos_base!A17</f>
        <v>ABC 70 kg s/ruedas</v>
      </c>
      <c r="B106" s="25" t="n">
        <f aca="false">B45*B86*$C$25</f>
        <v>0.0455983211690373</v>
      </c>
      <c r="C106" s="25" t="n">
        <f aca="false">C45*C86*$C$25</f>
        <v>0.165052902849057</v>
      </c>
      <c r="D106" s="25" t="n">
        <f aca="false">D45*D86*$C$25</f>
        <v>0.347581033593893</v>
      </c>
      <c r="E106" s="25" t="n">
        <f aca="false">E45*E86*$C$25</f>
        <v>7.24713021232153</v>
      </c>
      <c r="F106" s="25" t="n">
        <f aca="false">F45*F86*$C$25</f>
        <v>21.3498103246443</v>
      </c>
      <c r="G106" s="25" t="n">
        <f aca="false">G45*G86*$C$25</f>
        <v>42.965849732914</v>
      </c>
      <c r="H106" s="25" t="n">
        <f aca="false">H45*H86*$C$25</f>
        <v>67.4811634555507</v>
      </c>
      <c r="I106" s="25" t="n">
        <f aca="false">I45*I86*$C$25</f>
        <v>87.5740607004988</v>
      </c>
      <c r="J106" s="25" t="n">
        <f aca="false">J45*J86*$C$25</f>
        <v>105.86823583932</v>
      </c>
      <c r="K106" s="25" t="n">
        <f aca="false">K45*K86*$C$25</f>
        <v>126.298649636606</v>
      </c>
    </row>
    <row r="107" customFormat="false" ht="15" hidden="false" customHeight="false" outlineLevel="0" collapsed="false">
      <c r="A107" s="12" t="str">
        <f aca="false">datos_base!A18</f>
        <v>ABC 100 kg s/ruedas</v>
      </c>
      <c r="B107" s="25" t="n">
        <f aca="false">B46*B87*$C$26</f>
        <v>0.0303988825746834</v>
      </c>
      <c r="C107" s="25" t="n">
        <f aca="false">C46*C87*$C$26</f>
        <v>0.110035268566038</v>
      </c>
      <c r="D107" s="25" t="n">
        <f aca="false">D46*D87*$C$26</f>
        <v>0.231720691645956</v>
      </c>
      <c r="E107" s="25" t="n">
        <f aca="false">E46*E87*$C$26</f>
        <v>4.83142015650008</v>
      </c>
      <c r="F107" s="25" t="n">
        <f aca="false">F46*F87*$C$26</f>
        <v>14.2332068524718</v>
      </c>
      <c r="G107" s="25" t="n">
        <f aca="false">G46*G87*$C$26</f>
        <v>28.6438997755551</v>
      </c>
      <c r="H107" s="25" t="n">
        <f aca="false">H46*H87*$C$26</f>
        <v>44.9874424219742</v>
      </c>
      <c r="I107" s="25" t="n">
        <f aca="false">I46*I87*$C$26</f>
        <v>58.3827071336659</v>
      </c>
      <c r="J107" s="25" t="n">
        <f aca="false">J46*J87*$C$26</f>
        <v>70.5788238167185</v>
      </c>
      <c r="K107" s="25" t="n">
        <f aca="false">K46*K87*$C$26</f>
        <v>84.1990995893836</v>
      </c>
    </row>
    <row r="109" customFormat="false" ht="15" hidden="false" customHeight="false" outlineLevel="0" collapsed="false">
      <c r="A109" s="1" t="s">
        <v>328</v>
      </c>
    </row>
    <row r="110" customFormat="false" ht="15" hidden="false" customHeight="false" outlineLevel="0" collapsed="false">
      <c r="A110" s="3" t="s">
        <v>319</v>
      </c>
      <c r="B110" s="3" t="n">
        <v>2026</v>
      </c>
      <c r="C110" s="3" t="n">
        <v>2027</v>
      </c>
      <c r="D110" s="3" t="n">
        <v>2028</v>
      </c>
      <c r="E110" s="3" t="n">
        <v>2029</v>
      </c>
      <c r="F110" s="3" t="n">
        <v>2030</v>
      </c>
      <c r="G110" s="3" t="n">
        <v>2031</v>
      </c>
      <c r="H110" s="3" t="n">
        <v>2032</v>
      </c>
      <c r="I110" s="3" t="n">
        <v>2033</v>
      </c>
      <c r="J110" s="3" t="n">
        <v>2034</v>
      </c>
      <c r="K110" s="3" t="n">
        <v>2035</v>
      </c>
    </row>
    <row r="111" customFormat="false" ht="15" hidden="false" customHeight="false" outlineLevel="0" collapsed="false">
      <c r="A111" s="4" t="s">
        <v>5</v>
      </c>
      <c r="B111" s="13" t="n">
        <f aca="false">ROUNDUP(SUMIF($D$10:$D$26,$A111,B$91:B$107),0)</f>
        <v>13</v>
      </c>
      <c r="C111" s="13" t="n">
        <f aca="false">ROUNDUP(SUMIF($D$10:$D$26,$A111,C$91:C$107),0)</f>
        <v>37</v>
      </c>
      <c r="D111" s="13" t="n">
        <f aca="false">ROUNDUP(SUMIF($D$10:$D$26,$A111,D$91:D$107),0)</f>
        <v>81</v>
      </c>
      <c r="E111" s="13" t="n">
        <f aca="false">ROUNDUP(SUMIF($D$10:$D$26,$A111,E$91:E$107),0)</f>
        <v>1751</v>
      </c>
      <c r="F111" s="13" t="n">
        <f aca="false">ROUNDUP(SUMIF($D$10:$D$26,$A111,F$91:F$107),0)</f>
        <v>5169</v>
      </c>
      <c r="G111" s="13" t="n">
        <f aca="false">ROUNDUP(SUMIF($D$10:$D$26,$A111,G$91:G$107),0)</f>
        <v>10402</v>
      </c>
      <c r="H111" s="13" t="n">
        <f aca="false">ROUNDUP(SUMIF($D$10:$D$26,$A111,H$91:H$107),0)</f>
        <v>16239</v>
      </c>
      <c r="I111" s="13" t="n">
        <f aca="false">ROUNDUP(SUMIF($D$10:$D$26,$A111,I$91:I$107),0)</f>
        <v>20815</v>
      </c>
      <c r="J111" s="13" t="n">
        <f aca="false">ROUNDUP(SUMIF($D$10:$D$26,$A111,J$91:J$107),0)</f>
        <v>25028</v>
      </c>
      <c r="K111" s="13" t="n">
        <f aca="false">ROUNDUP(SUMIF($D$10:$D$26,$A111,K$91:K$107),0)</f>
        <v>29727</v>
      </c>
    </row>
    <row r="112" customFormat="false" ht="15" hidden="false" customHeight="false" outlineLevel="0" collapsed="false">
      <c r="A112" s="4" t="s">
        <v>6</v>
      </c>
      <c r="B112" s="13" t="n">
        <f aca="false">ROUNDUP(SUMIF($D$10:$D$26,$A112,B$91:B$107),0)</f>
        <v>1</v>
      </c>
      <c r="C112" s="13" t="n">
        <f aca="false">ROUNDUP(SUMIF($D$10:$D$26,$A112,C$91:C$107),0)</f>
        <v>2</v>
      </c>
      <c r="D112" s="13" t="n">
        <f aca="false">ROUNDUP(SUMIF($D$10:$D$26,$A112,D$91:D$107),0)</f>
        <v>4</v>
      </c>
      <c r="E112" s="13" t="n">
        <f aca="false">ROUNDUP(SUMIF($D$10:$D$26,$A112,E$91:E$107),0)</f>
        <v>88</v>
      </c>
      <c r="F112" s="13" t="n">
        <f aca="false">ROUNDUP(SUMIF($D$10:$D$26,$A112,F$91:F$107),0)</f>
        <v>262</v>
      </c>
      <c r="G112" s="13" t="n">
        <f aca="false">ROUNDUP(SUMIF($D$10:$D$26,$A112,G$91:G$107),0)</f>
        <v>531</v>
      </c>
      <c r="H112" s="13" t="n">
        <f aca="false">ROUNDUP(SUMIF($D$10:$D$26,$A112,H$91:H$107),0)</f>
        <v>828</v>
      </c>
      <c r="I112" s="13" t="n">
        <f aca="false">ROUNDUP(SUMIF($D$10:$D$26,$A112,I$91:I$107),0)</f>
        <v>1060</v>
      </c>
      <c r="J112" s="13" t="n">
        <f aca="false">ROUNDUP(SUMIF($D$10:$D$26,$A112,J$91:J$107),0)</f>
        <v>1274</v>
      </c>
      <c r="K112" s="13" t="n">
        <f aca="false">ROUNDUP(SUMIF($D$10:$D$26,$A112,K$91:K$107),0)</f>
        <v>1512</v>
      </c>
    </row>
    <row r="113" customFormat="false" ht="15" hidden="false" customHeight="false" outlineLevel="0" collapsed="false">
      <c r="A113" s="4" t="s">
        <v>7</v>
      </c>
      <c r="B113" s="13" t="n">
        <f aca="false">ROUNDUP(SUMIF($D$10:$D$26,$A113,B$91:B$107),0)</f>
        <v>1</v>
      </c>
      <c r="C113" s="13" t="n">
        <f aca="false">ROUNDUP(SUMIF($D$10:$D$26,$A113,C$91:C$107),0)</f>
        <v>3</v>
      </c>
      <c r="D113" s="13" t="n">
        <f aca="false">ROUNDUP(SUMIF($D$10:$D$26,$A113,D$91:D$107),0)</f>
        <v>6</v>
      </c>
      <c r="E113" s="13" t="n">
        <f aca="false">ROUNDUP(SUMIF($D$10:$D$26,$A113,E$91:E$107),0)</f>
        <v>84</v>
      </c>
      <c r="F113" s="13" t="n">
        <f aca="false">ROUNDUP(SUMIF($D$10:$D$26,$A113,F$91:F$107),0)</f>
        <v>283</v>
      </c>
      <c r="G113" s="13" t="n">
        <f aca="false">ROUNDUP(SUMIF($D$10:$D$26,$A113,G$91:G$107),0)</f>
        <v>598</v>
      </c>
      <c r="H113" s="13" t="n">
        <f aca="false">ROUNDUP(SUMIF($D$10:$D$26,$A113,H$91:H$107),0)</f>
        <v>953</v>
      </c>
      <c r="I113" s="13" t="n">
        <f aca="false">ROUNDUP(SUMIF($D$10:$D$26,$A113,I$91:I$107),0)</f>
        <v>1236</v>
      </c>
      <c r="J113" s="13" t="n">
        <f aca="false">ROUNDUP(SUMIF($D$10:$D$26,$A113,J$91:J$107),0)</f>
        <v>1501</v>
      </c>
      <c r="K113" s="13" t="n">
        <f aca="false">ROUNDUP(SUMIF($D$10:$D$26,$A113,K$91:K$107),0)</f>
        <v>1796</v>
      </c>
    </row>
    <row r="114" customFormat="false" ht="15" hidden="false" customHeight="false" outlineLevel="0" collapsed="false">
      <c r="A114" s="4" t="s">
        <v>8</v>
      </c>
      <c r="B114" s="13" t="n">
        <f aca="false">ROUNDUP(SUMIF($D$10:$D$26,$A114,B$91:B$107),0)</f>
        <v>1</v>
      </c>
      <c r="C114" s="13" t="n">
        <f aca="false">ROUNDUP(SUMIF($D$10:$D$26,$A114,C$91:C$107),0)</f>
        <v>1</v>
      </c>
      <c r="D114" s="13" t="n">
        <f aca="false">ROUNDUP(SUMIF($D$10:$D$26,$A114,D$91:D$107),0)</f>
        <v>2</v>
      </c>
      <c r="E114" s="13" t="n">
        <f aca="false">ROUNDUP(SUMIF($D$10:$D$26,$A114,E$91:E$107),0)</f>
        <v>16</v>
      </c>
      <c r="F114" s="13" t="n">
        <f aca="false">ROUNDUP(SUMIF($D$10:$D$26,$A114,F$91:F$107),0)</f>
        <v>53</v>
      </c>
      <c r="G114" s="13" t="n">
        <f aca="false">ROUNDUP(SUMIF($D$10:$D$26,$A114,G$91:G$107),0)</f>
        <v>108</v>
      </c>
      <c r="H114" s="13" t="n">
        <f aca="false">ROUNDUP(SUMIF($D$10:$D$26,$A114,H$91:H$107),0)</f>
        <v>175</v>
      </c>
      <c r="I114" s="13" t="n">
        <f aca="false">ROUNDUP(SUMIF($D$10:$D$26,$A114,I$91:I$107),0)</f>
        <v>230</v>
      </c>
      <c r="J114" s="13" t="n">
        <f aca="false">ROUNDUP(SUMIF($D$10:$D$26,$A114,J$91:J$107),0)</f>
        <v>283</v>
      </c>
      <c r="K114" s="13" t="n">
        <f aca="false">ROUNDUP(SUMIF($D$10:$D$26,$A114,K$91:K$107),0)</f>
        <v>341</v>
      </c>
    </row>
    <row r="115" customFormat="false" ht="15" hidden="false" customHeight="false" outlineLevel="0" collapsed="false">
      <c r="A115" s="4" t="s">
        <v>9</v>
      </c>
      <c r="B115" s="13" t="n">
        <f aca="false">ROUNDUP(SUMIF($D$10:$D$26,$A115,B$91:B$107),0)</f>
        <v>1</v>
      </c>
      <c r="C115" s="13" t="n">
        <f aca="false">ROUNDUP(SUMIF($D$10:$D$26,$A115,C$91:C$107),0)</f>
        <v>1</v>
      </c>
      <c r="D115" s="13" t="n">
        <f aca="false">ROUNDUP(SUMIF($D$10:$D$26,$A115,D$91:D$107),0)</f>
        <v>1</v>
      </c>
      <c r="E115" s="13" t="n">
        <f aca="false">ROUNDUP(SUMIF($D$10:$D$26,$A115,E$91:E$107),0)</f>
        <v>9</v>
      </c>
      <c r="F115" s="13" t="n">
        <f aca="false">ROUNDUP(SUMIF($D$10:$D$26,$A115,F$91:F$107),0)</f>
        <v>29</v>
      </c>
      <c r="G115" s="13" t="n">
        <f aca="false">ROUNDUP(SUMIF($D$10:$D$26,$A115,G$91:G$107),0)</f>
        <v>58</v>
      </c>
      <c r="H115" s="13" t="n">
        <f aca="false">ROUNDUP(SUMIF($D$10:$D$26,$A115,H$91:H$107),0)</f>
        <v>92</v>
      </c>
      <c r="I115" s="13" t="n">
        <f aca="false">ROUNDUP(SUMIF($D$10:$D$26,$A115,I$91:I$107),0)</f>
        <v>121</v>
      </c>
      <c r="J115" s="13" t="n">
        <f aca="false">ROUNDUP(SUMIF($D$10:$D$26,$A115,J$91:J$107),0)</f>
        <v>148</v>
      </c>
      <c r="K115" s="13" t="n">
        <f aca="false">ROUNDUP(SUMIF($D$10:$D$26,$A115,K$91:K$107),0)</f>
        <v>178</v>
      </c>
    </row>
    <row r="116" customFormat="false" ht="15" hidden="false" customHeight="false" outlineLevel="0" collapsed="false">
      <c r="A116" s="4" t="s">
        <v>10</v>
      </c>
      <c r="B116" s="13" t="n">
        <f aca="false">ROUNDUP(SUMIF($D$10:$D$26,$A116,B$91:B$107),0)</f>
        <v>1</v>
      </c>
      <c r="C116" s="13" t="n">
        <f aca="false">ROUNDUP(SUMIF($D$10:$D$26,$A116,C$91:C$107),0)</f>
        <v>1</v>
      </c>
      <c r="D116" s="13" t="n">
        <f aca="false">ROUNDUP(SUMIF($D$10:$D$26,$A116,D$91:D$107),0)</f>
        <v>1</v>
      </c>
      <c r="E116" s="13" t="n">
        <f aca="false">ROUNDUP(SUMIF($D$10:$D$26,$A116,E$91:E$107),0)</f>
        <v>8</v>
      </c>
      <c r="F116" s="13" t="n">
        <f aca="false">ROUNDUP(SUMIF($D$10:$D$26,$A116,F$91:F$107),0)</f>
        <v>21</v>
      </c>
      <c r="G116" s="13" t="n">
        <f aca="false">ROUNDUP(SUMIF($D$10:$D$26,$A116,G$91:G$107),0)</f>
        <v>41</v>
      </c>
      <c r="H116" s="13" t="n">
        <f aca="false">ROUNDUP(SUMIF($D$10:$D$26,$A116,H$91:H$107),0)</f>
        <v>66</v>
      </c>
      <c r="I116" s="13" t="n">
        <f aca="false">ROUNDUP(SUMIF($D$10:$D$26,$A116,I$91:I$107),0)</f>
        <v>84</v>
      </c>
      <c r="J116" s="13" t="n">
        <f aca="false">ROUNDUP(SUMIF($D$10:$D$26,$A116,J$91:J$107),0)</f>
        <v>102</v>
      </c>
      <c r="K116" s="13" t="n">
        <f aca="false">ROUNDUP(SUMIF($D$10:$D$26,$A116,K$91:K$107),0)</f>
        <v>123</v>
      </c>
    </row>
    <row r="117" customFormat="false" ht="15" hidden="false" customHeight="false" outlineLevel="0" collapsed="false">
      <c r="A117" s="4" t="s">
        <v>11</v>
      </c>
      <c r="B117" s="13" t="n">
        <f aca="false">ROUNDUP(SUMIF($D$10:$D$26,$A117,B$91:B$107),0)</f>
        <v>1</v>
      </c>
      <c r="C117" s="13" t="n">
        <f aca="false">ROUNDUP(SUMIF($D$10:$D$26,$A117,C$91:C$107),0)</f>
        <v>2</v>
      </c>
      <c r="D117" s="13" t="n">
        <f aca="false">ROUNDUP(SUMIF($D$10:$D$26,$A117,D$91:D$107),0)</f>
        <v>3</v>
      </c>
      <c r="E117" s="13" t="n">
        <f aca="false">ROUNDUP(SUMIF($D$10:$D$26,$A117,E$91:E$107),0)</f>
        <v>41</v>
      </c>
      <c r="F117" s="13" t="n">
        <f aca="false">ROUNDUP(SUMIF($D$10:$D$26,$A117,F$91:F$107),0)</f>
        <v>140</v>
      </c>
      <c r="G117" s="13" t="n">
        <f aca="false">ROUNDUP(SUMIF($D$10:$D$26,$A117,G$91:G$107),0)</f>
        <v>292</v>
      </c>
      <c r="H117" s="13" t="n">
        <f aca="false">ROUNDUP(SUMIF($D$10:$D$26,$A117,H$91:H$107),0)</f>
        <v>466</v>
      </c>
      <c r="I117" s="13" t="n">
        <f aca="false">ROUNDUP(SUMIF($D$10:$D$26,$A117,I$91:I$107),0)</f>
        <v>609</v>
      </c>
      <c r="J117" s="13" t="n">
        <f aca="false">ROUNDUP(SUMIF($D$10:$D$26,$A117,J$91:J$107),0)</f>
        <v>740</v>
      </c>
      <c r="K117" s="13" t="n">
        <f aca="false">ROUNDUP(SUMIF($D$10:$D$26,$A117,K$91:K$107),0)</f>
        <v>886</v>
      </c>
    </row>
    <row r="118" customFormat="false" ht="15" hidden="false" customHeight="false" outlineLevel="0" collapsed="false">
      <c r="A118" s="4" t="s">
        <v>13</v>
      </c>
      <c r="B118" s="13" t="n">
        <f aca="false">ROUNDUP(SUMIF($D$10:$D$26,$A118,B$91:B$107),0)</f>
        <v>4</v>
      </c>
      <c r="C118" s="13" t="n">
        <f aca="false">ROUNDUP(SUMIF($D$10:$D$26,$A118,C$91:C$107),0)</f>
        <v>10</v>
      </c>
      <c r="D118" s="13" t="n">
        <f aca="false">ROUNDUP(SUMIF($D$10:$D$26,$A118,D$91:D$107),0)</f>
        <v>21</v>
      </c>
      <c r="E118" s="13" t="n">
        <f aca="false">ROUNDUP(SUMIF($D$10:$D$26,$A118,E$91:E$107),0)</f>
        <v>302</v>
      </c>
      <c r="F118" s="13" t="n">
        <f aca="false">ROUNDUP(SUMIF($D$10:$D$26,$A118,F$91:F$107),0)</f>
        <v>1026</v>
      </c>
      <c r="G118" s="13" t="n">
        <f aca="false">ROUNDUP(SUMIF($D$10:$D$26,$A118,G$91:G$107),0)</f>
        <v>2155</v>
      </c>
      <c r="H118" s="13" t="n">
        <f aca="false">ROUNDUP(SUMIF($D$10:$D$26,$A118,H$91:H$107),0)</f>
        <v>3439</v>
      </c>
      <c r="I118" s="13" t="n">
        <f aca="false">ROUNDUP(SUMIF($D$10:$D$26,$A118,I$91:I$107),0)</f>
        <v>4458</v>
      </c>
      <c r="J118" s="13" t="n">
        <f aca="false">ROUNDUP(SUMIF($D$10:$D$26,$A118,J$91:J$107),0)</f>
        <v>5414</v>
      </c>
      <c r="K118" s="13" t="n">
        <f aca="false">ROUNDUP(SUMIF($D$10:$D$26,$A118,K$91:K$107),0)</f>
        <v>6482</v>
      </c>
    </row>
    <row r="119" customFormat="false" ht="15" hidden="false" customHeight="false" outlineLevel="0" collapsed="false">
      <c r="A119" s="4" t="s">
        <v>14</v>
      </c>
      <c r="B119" s="13" t="n">
        <f aca="false">ROUNDUP(SUMIF($D$10:$D$26,$A119,B$91:B$107),0)</f>
        <v>1</v>
      </c>
      <c r="C119" s="13" t="n">
        <f aca="false">ROUNDUP(SUMIF($D$10:$D$26,$A119,C$91:C$107),0)</f>
        <v>1</v>
      </c>
      <c r="D119" s="13" t="n">
        <f aca="false">ROUNDUP(SUMIF($D$10:$D$26,$A119,D$91:D$107),0)</f>
        <v>1</v>
      </c>
      <c r="E119" s="13" t="n">
        <f aca="false">ROUNDUP(SUMIF($D$10:$D$26,$A119,E$91:E$107),0)</f>
        <v>13</v>
      </c>
      <c r="F119" s="13" t="n">
        <f aca="false">ROUNDUP(SUMIF($D$10:$D$26,$A119,F$91:F$107),0)</f>
        <v>41</v>
      </c>
      <c r="G119" s="13" t="n">
        <f aca="false">ROUNDUP(SUMIF($D$10:$D$26,$A119,G$91:G$107),0)</f>
        <v>85</v>
      </c>
      <c r="H119" s="13" t="n">
        <f aca="false">ROUNDUP(SUMIF($D$10:$D$26,$A119,H$91:H$107),0)</f>
        <v>138</v>
      </c>
      <c r="I119" s="13" t="n">
        <f aca="false">ROUNDUP(SUMIF($D$10:$D$26,$A119,I$91:I$107),0)</f>
        <v>183</v>
      </c>
      <c r="J119" s="13" t="n">
        <f aca="false">ROUNDUP(SUMIF($D$10:$D$26,$A119,J$91:J$107),0)</f>
        <v>224</v>
      </c>
      <c r="K119" s="13" t="n">
        <f aca="false">ROUNDUP(SUMIF($D$10:$D$26,$A119,K$91:K$107),0)</f>
        <v>271</v>
      </c>
    </row>
    <row r="120" customFormat="false" ht="15" hidden="false" customHeight="false" outlineLevel="0" collapsed="false">
      <c r="A120" s="4" t="s">
        <v>15</v>
      </c>
      <c r="B120" s="13" t="n">
        <f aca="false">ROUNDUP(SUMIF($D$10:$D$26,$A120,B$91:B$107),0)</f>
        <v>1</v>
      </c>
      <c r="C120" s="13" t="n">
        <f aca="false">ROUNDUP(SUMIF($D$10:$D$26,$A120,C$91:C$107),0)</f>
        <v>1</v>
      </c>
      <c r="D120" s="13" t="n">
        <f aca="false">ROUNDUP(SUMIF($D$10:$D$26,$A120,D$91:D$107),0)</f>
        <v>1</v>
      </c>
      <c r="E120" s="13" t="n">
        <f aca="false">ROUNDUP(SUMIF($D$10:$D$26,$A120,E$91:E$107),0)</f>
        <v>7</v>
      </c>
      <c r="F120" s="13" t="n">
        <f aca="false">ROUNDUP(SUMIF($D$10:$D$26,$A120,F$91:F$107),0)</f>
        <v>19</v>
      </c>
      <c r="G120" s="13" t="n">
        <f aca="false">ROUNDUP(SUMIF($D$10:$D$26,$A120,G$91:G$107),0)</f>
        <v>36</v>
      </c>
      <c r="H120" s="13" t="n">
        <f aca="false">ROUNDUP(SUMIF($D$10:$D$26,$A120,H$91:H$107),0)</f>
        <v>59</v>
      </c>
      <c r="I120" s="13" t="n">
        <f aca="false">ROUNDUP(SUMIF($D$10:$D$26,$A120,I$91:I$107),0)</f>
        <v>76</v>
      </c>
      <c r="J120" s="13" t="n">
        <f aca="false">ROUNDUP(SUMIF($D$10:$D$26,$A120,J$91:J$107),0)</f>
        <v>92</v>
      </c>
      <c r="K120" s="13" t="n">
        <f aca="false">ROUNDUP(SUMIF($D$10:$D$26,$A120,K$91:K$107),0)</f>
        <v>111</v>
      </c>
    </row>
    <row r="121" customFormat="false" ht="15" hidden="false" customHeight="false" outlineLevel="0" collapsed="false">
      <c r="A121" s="4" t="s">
        <v>17</v>
      </c>
      <c r="B121" s="13" t="n">
        <f aca="false">ROUNDUP(SUMIF($D$10:$D$26,$A121,B$91:B$107),0)</f>
        <v>1</v>
      </c>
      <c r="C121" s="13" t="n">
        <f aca="false">ROUNDUP(SUMIF($D$10:$D$26,$A121,C$91:C$107),0)</f>
        <v>2</v>
      </c>
      <c r="D121" s="13" t="n">
        <f aca="false">ROUNDUP(SUMIF($D$10:$D$26,$A121,D$91:D$107),0)</f>
        <v>3</v>
      </c>
      <c r="E121" s="13" t="n">
        <f aca="false">ROUNDUP(SUMIF($D$10:$D$26,$A121,E$91:E$107),0)</f>
        <v>49</v>
      </c>
      <c r="F121" s="13" t="n">
        <f aca="false">ROUNDUP(SUMIF($D$10:$D$26,$A121,F$91:F$107),0)</f>
        <v>143</v>
      </c>
      <c r="G121" s="13" t="n">
        <f aca="false">ROUNDUP(SUMIF($D$10:$D$26,$A121,G$91:G$107),0)</f>
        <v>287</v>
      </c>
      <c r="H121" s="13" t="n">
        <f aca="false">ROUNDUP(SUMIF($D$10:$D$26,$A121,H$91:H$107),0)</f>
        <v>450</v>
      </c>
      <c r="I121" s="13" t="n">
        <f aca="false">ROUNDUP(SUMIF($D$10:$D$26,$A121,I$91:I$107),0)</f>
        <v>584</v>
      </c>
      <c r="J121" s="13" t="n">
        <f aca="false">ROUNDUP(SUMIF($D$10:$D$26,$A121,J$91:J$107),0)</f>
        <v>706</v>
      </c>
      <c r="K121" s="13" t="n">
        <f aca="false">ROUNDUP(SUMIF($D$10:$D$26,$A121,K$91:K$107),0)</f>
        <v>842</v>
      </c>
    </row>
    <row r="122" customFormat="false" ht="15" hidden="false" customHeight="false" outlineLevel="0" collapsed="false">
      <c r="A122" s="4" t="s">
        <v>19</v>
      </c>
      <c r="B122" s="13" t="n">
        <f aca="false">ROUNDUP(SUMIF($D$10:$D$26,$A122,B$91:B$107),0)</f>
        <v>1</v>
      </c>
      <c r="C122" s="13" t="n">
        <f aca="false">ROUNDUP(SUMIF($D$10:$D$26,$A122,C$91:C$107),0)</f>
        <v>1</v>
      </c>
      <c r="D122" s="13" t="n">
        <f aca="false">ROUNDUP(SUMIF($D$10:$D$26,$A122,D$91:D$107),0)</f>
        <v>1</v>
      </c>
      <c r="E122" s="13" t="n">
        <f aca="false">ROUNDUP(SUMIF($D$10:$D$26,$A122,E$91:E$107),0)</f>
        <v>13</v>
      </c>
      <c r="F122" s="13" t="n">
        <f aca="false">ROUNDUP(SUMIF($D$10:$D$26,$A122,F$91:F$107),0)</f>
        <v>36</v>
      </c>
      <c r="G122" s="13" t="n">
        <f aca="false">ROUNDUP(SUMIF($D$10:$D$26,$A122,G$91:G$107),0)</f>
        <v>72</v>
      </c>
      <c r="H122" s="13" t="n">
        <f aca="false">ROUNDUP(SUMIF($D$10:$D$26,$A122,H$91:H$107),0)</f>
        <v>113</v>
      </c>
      <c r="I122" s="13" t="n">
        <f aca="false">ROUNDUP(SUMIF($D$10:$D$26,$A122,I$91:I$107),0)</f>
        <v>146</v>
      </c>
      <c r="J122" s="13" t="n">
        <f aca="false">ROUNDUP(SUMIF($D$10:$D$26,$A122,J$91:J$107),0)</f>
        <v>177</v>
      </c>
      <c r="K122" s="13" t="n">
        <f aca="false">ROUNDUP(SUMIF($D$10:$D$26,$A122,K$91:K$107),0)</f>
        <v>211</v>
      </c>
    </row>
    <row r="123" customFormat="false" ht="15" hidden="false" customHeight="false" outlineLevel="0" collapsed="false">
      <c r="A123" s="6" t="s">
        <v>136</v>
      </c>
      <c r="B123" s="7" t="n">
        <f aca="false">SUM(B111:B122)</f>
        <v>27</v>
      </c>
      <c r="C123" s="7" t="n">
        <f aca="false">SUM(C111:C122)</f>
        <v>62</v>
      </c>
      <c r="D123" s="7" t="n">
        <f aca="false">SUM(D111:D122)</f>
        <v>125</v>
      </c>
      <c r="E123" s="7" t="n">
        <f aca="false">SUM(E111:E122)</f>
        <v>2381</v>
      </c>
      <c r="F123" s="7" t="n">
        <f aca="false">SUM(F111:F122)</f>
        <v>7222</v>
      </c>
      <c r="G123" s="7" t="n">
        <f aca="false">SUM(G111:G122)</f>
        <v>14665</v>
      </c>
      <c r="H123" s="7" t="n">
        <f aca="false">SUM(H111:H122)</f>
        <v>23018</v>
      </c>
      <c r="I123" s="7" t="n">
        <f aca="false">SUM(I111:I122)</f>
        <v>29602</v>
      </c>
      <c r="J123" s="7" t="n">
        <f aca="false">SUM(J111:J122)</f>
        <v>35689</v>
      </c>
      <c r="K123" s="7" t="n">
        <f aca="false">SUM(K111:K122)</f>
        <v>42480</v>
      </c>
    </row>
    <row r="125" customFormat="false" ht="15" hidden="false" customHeight="false" outlineLevel="0" collapsed="false">
      <c r="A125" s="1" t="s">
        <v>329</v>
      </c>
    </row>
    <row r="126" customFormat="false" ht="15" hidden="false" customHeight="false" outlineLevel="0" collapsed="false">
      <c r="A126" s="3" t="s">
        <v>319</v>
      </c>
      <c r="B126" s="3" t="n">
        <v>2026</v>
      </c>
      <c r="C126" s="3" t="n">
        <v>2027</v>
      </c>
      <c r="D126" s="3" t="n">
        <v>2028</v>
      </c>
      <c r="E126" s="3" t="n">
        <v>2029</v>
      </c>
      <c r="F126" s="3" t="n">
        <v>2030</v>
      </c>
      <c r="G126" s="3" t="n">
        <v>2031</v>
      </c>
      <c r="H126" s="3" t="n">
        <v>2032</v>
      </c>
      <c r="I126" s="3" t="n">
        <v>2033</v>
      </c>
      <c r="J126" s="3" t="n">
        <v>2034</v>
      </c>
      <c r="K126" s="3" t="n">
        <v>2035</v>
      </c>
    </row>
    <row r="127" customFormat="false" ht="15" hidden="false" customHeight="false" outlineLevel="0" collapsed="false">
      <c r="A127" s="4" t="s">
        <v>5</v>
      </c>
      <c r="B127" s="25" t="n">
        <f aca="false">SUMPRODUCT(($D$10:$D$26=$A127)*$C$10:$C$26*datos_base!B$2:B$18*B$71:B$87)/(12*$B$6)</f>
        <v>6.76291208122454</v>
      </c>
      <c r="C127" s="25" t="n">
        <f aca="false">SUMPRODUCT(($D$10:$D$26=$A127)*$C$10:$C$26*datos_base!C$2:C$18*C$71:C$87)/(12*$B$6)</f>
        <v>27.1064229268632</v>
      </c>
      <c r="D127" s="25" t="n">
        <f aca="false">SUMPRODUCT(($D$10:$D$26=$A127)*$C$10:$C$26*datos_base!D$2:D$18*D$71:D$87)/(12*$B$6)</f>
        <v>61.4578898381692</v>
      </c>
      <c r="E127" s="25" t="n">
        <f aca="false">SUMPRODUCT(($D$10:$D$26=$A127)*$C$10:$C$26*datos_base!E$2:E$18*E$71:E$87)/(12*$B$6)</f>
        <v>1475.66223208679</v>
      </c>
      <c r="F127" s="25" t="n">
        <f aca="false">SUMPRODUCT(($D$10:$D$26=$A127)*$C$10:$C$26*datos_base!F$2:F$18*F$71:F$87)/(12*$B$6)</f>
        <v>4505.21078914618</v>
      </c>
      <c r="G127" s="25" t="n">
        <f aca="false">SUMPRODUCT(($D$10:$D$26=$A127)*$C$10:$C$26*datos_base!G$2:G$18*G$71:G$87)/(12*$B$6)</f>
        <v>9436.81319720942</v>
      </c>
      <c r="H127" s="25" t="n">
        <f aca="false">SUMPRODUCT(($D$10:$D$26=$A127)*$C$10:$C$26*datos_base!H$2:H$18*H$71:H$87)/(12*$B$6)</f>
        <v>15321.9109983218</v>
      </c>
      <c r="I127" s="25" t="n">
        <f aca="false">SUMPRODUCT(($D$10:$D$26=$A127)*$C$10:$C$26*datos_base!I$2:I$18*I$71:I$87)/(12*$B$6)</f>
        <v>20135.2248546096</v>
      </c>
      <c r="J127" s="25" t="n">
        <f aca="false">SUMPRODUCT(($D$10:$D$26=$A127)*$C$10:$C$26*datos_base!J$2:J$18*J$71:J$87)/(12*$B$6)</f>
        <v>24249.688145232</v>
      </c>
      <c r="K127" s="25" t="n">
        <f aca="false">SUMPRODUCT(($D$10:$D$26=$A127)*$C$10:$C$26*datos_base!K$2:K$18*K$71:K$87)/(12*$B$6)</f>
        <v>28803.1617914483</v>
      </c>
    </row>
    <row r="128" customFormat="false" ht="15" hidden="false" customHeight="false" outlineLevel="0" collapsed="false">
      <c r="A128" s="4" t="s">
        <v>6</v>
      </c>
      <c r="B128" s="25" t="n">
        <f aca="false">SUMPRODUCT(($D$10:$D$26=$A128)*$C$10:$C$26*datos_base!B$2:B$18*B$71:B$87)/(12*$B$6)</f>
        <v>0.350969487717949</v>
      </c>
      <c r="C128" s="25" t="n">
        <f aca="false">SUMPRODUCT(($D$10:$D$26=$A128)*$C$10:$C$26*datos_base!C$2:C$18*C$71:C$87)/(12*$B$6)</f>
        <v>1.29812783797538</v>
      </c>
      <c r="D128" s="25" t="n">
        <f aca="false">SUMPRODUCT(($D$10:$D$26=$A128)*$C$10:$C$26*datos_base!D$2:D$18*D$71:D$87)/(12*$B$6)</f>
        <v>3.03974858444573</v>
      </c>
      <c r="E128" s="25" t="n">
        <f aca="false">SUMPRODUCT(($D$10:$D$26=$A128)*$C$10:$C$26*datos_base!E$2:E$18*E$71:E$87)/(12*$B$6)</f>
        <v>74.1169188964682</v>
      </c>
      <c r="F128" s="25" t="n">
        <f aca="false">SUMPRODUCT(($D$10:$D$26=$A128)*$C$10:$C$26*datos_base!F$2:F$18*F$71:F$87)/(12*$B$6)</f>
        <v>227.82748025203</v>
      </c>
      <c r="G128" s="25" t="n">
        <f aca="false">SUMPRODUCT(($D$10:$D$26=$A128)*$C$10:$C$26*datos_base!G$2:G$18*G$71:G$87)/(12*$B$6)</f>
        <v>481.062130197158</v>
      </c>
      <c r="H128" s="25" t="n">
        <f aca="false">SUMPRODUCT(($D$10:$D$26=$A128)*$C$10:$C$26*datos_base!H$2:H$18*H$71:H$87)/(12*$B$6)</f>
        <v>780.68046189836</v>
      </c>
      <c r="I128" s="25" t="n">
        <f aca="false">SUMPRODUCT(($D$10:$D$26=$A128)*$C$10:$C$26*datos_base!I$2:I$18*I$71:I$87)/(12*$B$6)</f>
        <v>1024.51600809716</v>
      </c>
      <c r="J128" s="25" t="n">
        <f aca="false">SUMPRODUCT(($D$10:$D$26=$A128)*$C$10:$C$26*datos_base!J$2:J$18*J$71:J$87)/(12*$B$6)</f>
        <v>1233.4533809355</v>
      </c>
      <c r="K128" s="25" t="n">
        <f aca="false">SUMPRODUCT(($D$10:$D$26=$A128)*$C$10:$C$26*datos_base!K$2:K$18*K$71:K$87)/(12*$B$6)</f>
        <v>1464.66412963521</v>
      </c>
    </row>
    <row r="129" customFormat="false" ht="15" hidden="false" customHeight="false" outlineLevel="0" collapsed="false">
      <c r="A129" s="4" t="s">
        <v>7</v>
      </c>
      <c r="B129" s="25" t="n">
        <f aca="false">SUMPRODUCT(($D$10:$D$26=$A129)*$C$10:$C$26*datos_base!B$2:B$18*B$71:B$87)/(12*$B$6)</f>
        <v>0.472458927599196</v>
      </c>
      <c r="C129" s="25" t="n">
        <f aca="false">SUMPRODUCT(($D$10:$D$26=$A129)*$C$10:$C$26*datos_base!C$2:C$18*C$71:C$87)/(12*$B$6)</f>
        <v>1.90818911930477</v>
      </c>
      <c r="D129" s="25" t="n">
        <f aca="false">SUMPRODUCT(($D$10:$D$26=$A129)*$C$10:$C$26*datos_base!D$2:D$18*D$71:D$87)/(12*$B$6)</f>
        <v>4.37248990228051</v>
      </c>
      <c r="E129" s="25" t="n">
        <f aca="false">SUMPRODUCT(($D$10:$D$26=$A129)*$C$10:$C$26*datos_base!E$2:E$18*E$71:E$87)/(12*$B$6)</f>
        <v>70.1920614349722</v>
      </c>
      <c r="F129" s="25" t="n">
        <f aca="false">SUMPRODUCT(($D$10:$D$26=$A129)*$C$10:$C$26*datos_base!F$2:F$18*F$71:F$87)/(12*$B$6)</f>
        <v>246.665764260953</v>
      </c>
      <c r="G129" s="25" t="n">
        <f aca="false">SUMPRODUCT(($D$10:$D$26=$A129)*$C$10:$C$26*datos_base!G$2:G$18*G$71:G$87)/(12*$B$6)</f>
        <v>542.18295610491</v>
      </c>
      <c r="H129" s="25" t="n">
        <f aca="false">SUMPRODUCT(($D$10:$D$26=$A129)*$C$10:$C$26*datos_base!H$2:H$18*H$71:H$87)/(12*$B$6)</f>
        <v>899.038880872433</v>
      </c>
      <c r="I129" s="25" t="n">
        <f aca="false">SUMPRODUCT(($D$10:$D$26=$A129)*$C$10:$C$26*datos_base!I$2:I$18*I$71:I$87)/(12*$B$6)</f>
        <v>1195.27891545889</v>
      </c>
      <c r="J129" s="25" t="n">
        <f aca="false">SUMPRODUCT(($D$10:$D$26=$A129)*$C$10:$C$26*datos_base!J$2:J$18*J$71:J$87)/(12*$B$6)</f>
        <v>1453.58045735261</v>
      </c>
      <c r="K129" s="25" t="n">
        <f aca="false">SUMPRODUCT(($D$10:$D$26=$A129)*$C$10:$C$26*datos_base!K$2:K$18*K$71:K$87)/(12*$B$6)</f>
        <v>1739.77092196387</v>
      </c>
    </row>
    <row r="130" customFormat="false" ht="15" hidden="false" customHeight="false" outlineLevel="0" collapsed="false">
      <c r="A130" s="4" t="s">
        <v>8</v>
      </c>
      <c r="B130" s="25" t="n">
        <f aca="false">SUMPRODUCT(($D$10:$D$26=$A130)*$C$10:$C$26*datos_base!B$2:B$18*B$71:B$87)/(12*$B$6)</f>
        <v>0.0674941329378396</v>
      </c>
      <c r="C130" s="25" t="n">
        <f aca="false">SUMPRODUCT(($D$10:$D$26=$A130)*$C$10:$C$26*datos_base!C$2:C$18*C$71:C$87)/(12*$B$6)</f>
        <v>0.478411094306335</v>
      </c>
      <c r="D130" s="25" t="n">
        <f aca="false">SUMPRODUCT(($D$10:$D$26=$A130)*$C$10:$C$26*datos_base!D$2:D$18*D$71:D$87)/(12*$B$6)</f>
        <v>0.938956254659272</v>
      </c>
      <c r="E130" s="25" t="n">
        <f aca="false">SUMPRODUCT(($D$10:$D$26=$A130)*$C$10:$C$26*datos_base!E$2:E$18*E$71:E$87)/(12*$B$6)</f>
        <v>13.3813730387172</v>
      </c>
      <c r="F130" s="25" t="n">
        <f aca="false">SUMPRODUCT(($D$10:$D$26=$A130)*$C$10:$C$26*datos_base!F$2:F$18*F$71:F$87)/(12*$B$6)</f>
        <v>45.9648922527686</v>
      </c>
      <c r="G130" s="25" t="n">
        <f aca="false">SUMPRODUCT(($D$10:$D$26=$A130)*$C$10:$C$26*datos_base!G$2:G$18*G$71:G$87)/(12*$B$6)</f>
        <v>97.8406948954941</v>
      </c>
      <c r="H130" s="25" t="n">
        <f aca="false">SUMPRODUCT(($D$10:$D$26=$A130)*$C$10:$C$26*datos_base!H$2:H$18*H$71:H$87)/(12*$B$6)</f>
        <v>164.292133205534</v>
      </c>
      <c r="I130" s="25" t="n">
        <f aca="false">SUMPRODUCT(($D$10:$D$26=$A130)*$C$10:$C$26*datos_base!I$2:I$18*I$71:I$87)/(12*$B$6)</f>
        <v>222.22827958638</v>
      </c>
      <c r="J130" s="25" t="n">
        <f aca="false">SUMPRODUCT(($D$10:$D$26=$A130)*$C$10:$C$26*datos_base!J$2:J$18*J$71:J$87)/(12*$B$6)</f>
        <v>273.407443458708</v>
      </c>
      <c r="K130" s="25" t="n">
        <f aca="false">SUMPRODUCT(($D$10:$D$26=$A130)*$C$10:$C$26*datos_base!K$2:K$18*K$71:K$87)/(12*$B$6)</f>
        <v>330.306702435425</v>
      </c>
    </row>
    <row r="131" customFormat="false" ht="15" hidden="false" customHeight="false" outlineLevel="0" collapsed="false">
      <c r="A131" s="4" t="s">
        <v>9</v>
      </c>
      <c r="B131" s="25" t="n">
        <f aca="false">SUMPRODUCT(($D$10:$D$26=$A131)*$C$10:$C$26*datos_base!B$2:B$18*B$71:B$87)/(12*$B$6)</f>
        <v>0.0337470649860792</v>
      </c>
      <c r="C131" s="25" t="n">
        <f aca="false">SUMPRODUCT(($D$10:$D$26=$A131)*$C$10:$C$26*datos_base!C$2:C$18*C$71:C$87)/(12*$B$6)</f>
        <v>0.246814430881118</v>
      </c>
      <c r="D131" s="25" t="n">
        <f aca="false">SUMPRODUCT(($D$10:$D$26=$A131)*$C$10:$C$26*datos_base!D$2:D$18*D$71:D$87)/(12*$B$6)</f>
        <v>0.487747304959423</v>
      </c>
      <c r="E131" s="25" t="n">
        <f aca="false">SUMPRODUCT(($D$10:$D$26=$A131)*$C$10:$C$26*datos_base!E$2:E$18*E$71:E$87)/(12*$B$6)</f>
        <v>7.13835649742661</v>
      </c>
      <c r="F131" s="25" t="n">
        <f aca="false">SUMPRODUCT(($D$10:$D$26=$A131)*$C$10:$C$26*datos_base!F$2:F$18*F$71:F$87)/(12*$B$6)</f>
        <v>24.6514968313929</v>
      </c>
      <c r="G131" s="25" t="n">
        <f aca="false">SUMPRODUCT(($D$10:$D$26=$A131)*$C$10:$C$26*datos_base!G$2:G$18*G$71:G$87)/(12*$B$6)</f>
        <v>52.2827384419289</v>
      </c>
      <c r="H131" s="25" t="n">
        <f aca="false">SUMPRODUCT(($D$10:$D$26=$A131)*$C$10:$C$26*datos_base!H$2:H$18*H$71:H$87)/(12*$B$6)</f>
        <v>86.4899684160764</v>
      </c>
      <c r="I131" s="25" t="n">
        <f aca="false">SUMPRODUCT(($D$10:$D$26=$A131)*$C$10:$C$26*datos_base!I$2:I$18*I$71:I$87)/(12*$B$6)</f>
        <v>116.929461049299</v>
      </c>
      <c r="J131" s="25" t="n">
        <f aca="false">SUMPRODUCT(($D$10:$D$26=$A131)*$C$10:$C$26*datos_base!J$2:J$18*J$71:J$87)/(12*$B$6)</f>
        <v>143.112911193132</v>
      </c>
      <c r="K131" s="25" t="n">
        <f aca="false">SUMPRODUCT(($D$10:$D$26=$A131)*$C$10:$C$26*datos_base!K$2:K$18*K$71:K$87)/(12*$B$6)</f>
        <v>172.17972104859</v>
      </c>
    </row>
    <row r="132" customFormat="false" ht="15" hidden="false" customHeight="false" outlineLevel="0" collapsed="false">
      <c r="A132" s="4" t="s">
        <v>10</v>
      </c>
      <c r="B132" s="25" t="n">
        <f aca="false">SUMPRODUCT(($D$10:$D$26=$A132)*$C$10:$C$26*datos_base!B$2:B$18*B$71:B$87)/(12*$B$6)</f>
        <v>0.0202482389916475</v>
      </c>
      <c r="C132" s="25" t="n">
        <f aca="false">SUMPRODUCT(($D$10:$D$26=$A132)*$C$10:$C$26*datos_base!C$2:C$18*C$71:C$87)/(12*$B$6)</f>
        <v>0.139603844539177</v>
      </c>
      <c r="D132" s="25" t="n">
        <f aca="false">SUMPRODUCT(($D$10:$D$26=$A132)*$C$10:$C$26*datos_base!D$2:D$18*D$71:D$87)/(12*$B$6)</f>
        <v>0.263618443357683</v>
      </c>
      <c r="E132" s="25" t="n">
        <f aca="false">SUMPRODUCT(($D$10:$D$26=$A132)*$C$10:$C$26*datos_base!E$2:E$18*E$71:E$87)/(12*$B$6)</f>
        <v>6.03028653261878</v>
      </c>
      <c r="F132" s="25" t="n">
        <f aca="false">SUMPRODUCT(($D$10:$D$26=$A132)*$C$10:$C$26*datos_base!F$2:F$18*F$71:F$87)/(12*$B$6)</f>
        <v>17.6014138536951</v>
      </c>
      <c r="G132" s="25" t="n">
        <f aca="false">SUMPRODUCT(($D$10:$D$26=$A132)*$C$10:$C$26*datos_base!G$2:G$18*G$71:G$87)/(12*$B$6)</f>
        <v>36.8485930061454</v>
      </c>
      <c r="H132" s="25" t="n">
        <f aca="false">SUMPRODUCT(($D$10:$D$26=$A132)*$C$10:$C$26*datos_base!H$2:H$18*H$71:H$87)/(12*$B$6)</f>
        <v>61.7429916691134</v>
      </c>
      <c r="I132" s="25" t="n">
        <f aca="false">SUMPRODUCT(($D$10:$D$26=$A132)*$C$10:$C$26*datos_base!I$2:I$18*I$71:I$87)/(12*$B$6)</f>
        <v>81.0185552568673</v>
      </c>
      <c r="J132" s="25" t="n">
        <f aca="false">SUMPRODUCT(($D$10:$D$26=$A132)*$C$10:$C$26*datos_base!J$2:J$18*J$71:J$87)/(12*$B$6)</f>
        <v>98.6891988319116</v>
      </c>
      <c r="K132" s="25" t="n">
        <f aca="false">SUMPRODUCT(($D$10:$D$26=$A132)*$C$10:$C$26*datos_base!K$2:K$18*K$71:K$87)/(12*$B$6)</f>
        <v>118.299442012161</v>
      </c>
    </row>
    <row r="133" customFormat="false" ht="15" hidden="false" customHeight="false" outlineLevel="0" collapsed="false">
      <c r="A133" s="4" t="s">
        <v>11</v>
      </c>
      <c r="B133" s="25" t="n">
        <f aca="false">SUMPRODUCT(($D$10:$D$26=$A133)*$C$10:$C$26*datos_base!B$2:B$18*B$71:B$87)/(12*$B$6)</f>
        <v>0.242978876796814</v>
      </c>
      <c r="C133" s="25" t="n">
        <f aca="false">SUMPRODUCT(($D$10:$D$26=$A133)*$C$10:$C$26*datos_base!C$2:C$18*C$71:C$87)/(12*$B$6)</f>
        <v>0.994686087718996</v>
      </c>
      <c r="D133" s="25" t="n">
        <f aca="false">SUMPRODUCT(($D$10:$D$26=$A133)*$C$10:$C$26*datos_base!D$2:D$18*D$71:D$87)/(12*$B$6)</f>
        <v>2.21417271638667</v>
      </c>
      <c r="E133" s="25" t="n">
        <f aca="false">SUMPRODUCT(($D$10:$D$26=$A133)*$C$10:$C$26*datos_base!E$2:E$18*E$71:E$87)/(12*$B$6)</f>
        <v>34.478822785771</v>
      </c>
      <c r="F133" s="25" t="n">
        <f aca="false">SUMPRODUCT(($D$10:$D$26=$A133)*$C$10:$C$26*datos_base!F$2:F$18*F$71:F$87)/(12*$B$6)</f>
        <v>121.194222901082</v>
      </c>
      <c r="G133" s="25" t="n">
        <f aca="false">SUMPRODUCT(($D$10:$D$26=$A133)*$C$10:$C$26*datos_base!G$2:G$18*G$71:G$87)/(12*$B$6)</f>
        <v>264.045980065299</v>
      </c>
      <c r="H133" s="25" t="n">
        <f aca="false">SUMPRODUCT(($D$10:$D$26=$A133)*$C$10:$C$26*datos_base!H$2:H$18*H$71:H$87)/(12*$B$6)</f>
        <v>439.590495656894</v>
      </c>
      <c r="I133" s="25" t="n">
        <f aca="false">SUMPRODUCT(($D$10:$D$26=$A133)*$C$10:$C$26*datos_base!I$2:I$18*I$71:I$87)/(12*$B$6)</f>
        <v>588.371231035132</v>
      </c>
      <c r="J133" s="25" t="n">
        <f aca="false">SUMPRODUCT(($D$10:$D$26=$A133)*$C$10:$C$26*datos_base!J$2:J$18*J$71:J$87)/(12*$B$6)</f>
        <v>716.247931139608</v>
      </c>
      <c r="K133" s="25" t="n">
        <f aca="false">SUMPRODUCT(($D$10:$D$26=$A133)*$C$10:$C$26*datos_base!K$2:K$18*K$71:K$87)/(12*$B$6)</f>
        <v>857.976400428439</v>
      </c>
    </row>
    <row r="134" customFormat="false" ht="15" hidden="false" customHeight="false" outlineLevel="0" collapsed="false">
      <c r="A134" s="4" t="s">
        <v>13</v>
      </c>
      <c r="B134" s="25" t="n">
        <f aca="false">SUMPRODUCT(($D$10:$D$26=$A134)*$C$10:$C$26*datos_base!B$2:B$18*B$71:B$87)/(12*$B$6)</f>
        <v>1.70760155354059</v>
      </c>
      <c r="C134" s="25" t="n">
        <f aca="false">SUMPRODUCT(($D$10:$D$26=$A134)*$C$10:$C$26*datos_base!C$2:C$18*C$71:C$87)/(12*$B$6)</f>
        <v>6.94210179132636</v>
      </c>
      <c r="D134" s="25" t="n">
        <f aca="false">SUMPRODUCT(($D$10:$D$26=$A134)*$C$10:$C$26*datos_base!D$2:D$18*D$71:D$87)/(12*$B$6)</f>
        <v>15.8095234049809</v>
      </c>
      <c r="E134" s="25" t="n">
        <f aca="false">SUMPRODUCT(($D$10:$D$26=$A134)*$C$10:$C$26*datos_base!E$2:E$18*E$71:E$87)/(12*$B$6)</f>
        <v>254.272648154499</v>
      </c>
      <c r="F134" s="25" t="n">
        <f aca="false">SUMPRODUCT(($D$10:$D$26=$A134)*$C$10:$C$26*datos_base!F$2:F$18*F$71:F$87)/(12*$B$6)</f>
        <v>893.937279599845</v>
      </c>
      <c r="G134" s="25" t="n">
        <f aca="false">SUMPRODUCT(($D$10:$D$26=$A134)*$C$10:$C$26*datos_base!G$2:G$18*G$71:G$87)/(12*$B$6)</f>
        <v>1954.86905309612</v>
      </c>
      <c r="H134" s="25" t="n">
        <f aca="false">SUMPRODUCT(($D$10:$D$26=$A134)*$C$10:$C$26*datos_base!H$2:H$18*H$71:H$87)/(12*$B$6)</f>
        <v>3244.81030844975</v>
      </c>
      <c r="I134" s="25" t="n">
        <f aca="false">SUMPRODUCT(($D$10:$D$26=$A134)*$C$10:$C$26*datos_base!I$2:I$18*I$71:I$87)/(12*$B$6)</f>
        <v>4311.93430304369</v>
      </c>
      <c r="J134" s="25" t="n">
        <f aca="false">SUMPRODUCT(($D$10:$D$26=$A134)*$C$10:$C$26*datos_base!J$2:J$18*J$71:J$87)/(12*$B$6)</f>
        <v>5245.45869030995</v>
      </c>
      <c r="K134" s="25" t="n">
        <f aca="false">SUMPRODUCT(($D$10:$D$26=$A134)*$C$10:$C$26*datos_base!K$2:K$18*K$71:K$87)/(12*$B$6)</f>
        <v>6279.88130530808</v>
      </c>
    </row>
    <row r="135" customFormat="false" ht="15" hidden="false" customHeight="false" outlineLevel="0" collapsed="false">
      <c r="A135" s="4" t="s">
        <v>14</v>
      </c>
      <c r="B135" s="25" t="n">
        <f aca="false">SUMPRODUCT(($D$10:$D$26=$A135)*$C$10:$C$26*datos_base!B$2:B$18*B$71:B$87)/(12*$B$6)</f>
        <v>0.0539953069434079</v>
      </c>
      <c r="C135" s="25" t="n">
        <f aca="false">SUMPRODUCT(($D$10:$D$26=$A135)*$C$10:$C$26*datos_base!C$2:C$18*C$71:C$87)/(12*$B$6)</f>
        <v>0.332379085291776</v>
      </c>
      <c r="D135" s="25" t="n">
        <f aca="false">SUMPRODUCT(($D$10:$D$26=$A135)*$C$10:$C$26*datos_base!D$2:D$18*D$71:D$87)/(12*$B$6)</f>
        <v>0.684639495493837</v>
      </c>
      <c r="E135" s="25" t="n">
        <f aca="false">SUMPRODUCT(($D$10:$D$26=$A135)*$C$10:$C$26*datos_base!E$2:E$18*E$71:E$87)/(12*$B$6)</f>
        <v>10.1671901139002</v>
      </c>
      <c r="F135" s="25" t="n">
        <f aca="false">SUMPRODUCT(($D$10:$D$26=$A135)*$C$10:$C$26*datos_base!F$2:F$18*F$71:F$87)/(12*$B$6)</f>
        <v>35.5036045665585</v>
      </c>
      <c r="G135" s="25" t="n">
        <f aca="false">SUMPRODUCT(($D$10:$D$26=$A135)*$C$10:$C$26*datos_base!G$2:G$18*G$71:G$87)/(12*$B$6)</f>
        <v>76.6514354603651</v>
      </c>
      <c r="H135" s="25" t="n">
        <f aca="false">SUMPRODUCT(($D$10:$D$26=$A135)*$C$10:$C$26*datos_base!H$2:H$18*H$71:H$87)/(12*$B$6)</f>
        <v>129.906894719281</v>
      </c>
      <c r="I135" s="25" t="n">
        <f aca="false">SUMPRODUCT(($D$10:$D$26=$A135)*$C$10:$C$26*datos_base!I$2:I$18*I$71:I$87)/(12*$B$6)</f>
        <v>176.293161441111</v>
      </c>
      <c r="J135" s="25" t="n">
        <f aca="false">SUMPRODUCT(($D$10:$D$26=$A135)*$C$10:$C$26*datos_base!J$2:J$18*J$71:J$87)/(12*$B$6)</f>
        <v>216.812011441135</v>
      </c>
      <c r="K135" s="25" t="n">
        <f aca="false">SUMPRODUCT(($D$10:$D$26=$A135)*$C$10:$C$26*datos_base!K$2:K$18*K$71:K$87)/(12*$B$6)</f>
        <v>261.854789051177</v>
      </c>
    </row>
    <row r="136" customFormat="false" ht="15" hidden="false" customHeight="false" outlineLevel="0" collapsed="false">
      <c r="A136" s="4" t="s">
        <v>15</v>
      </c>
      <c r="B136" s="25" t="n">
        <f aca="false">SUMPRODUCT(($D$10:$D$26=$A136)*$C$10:$C$26*datos_base!B$2:B$18*B$71:B$87)/(12*$B$6)</f>
        <v>0.0202482389916475</v>
      </c>
      <c r="C136" s="25" t="n">
        <f aca="false">SUMPRODUCT(($D$10:$D$26=$A136)*$C$10:$C$26*datos_base!C$2:C$18*C$71:C$87)/(12*$B$6)</f>
        <v>0.139603844539177</v>
      </c>
      <c r="D136" s="25" t="n">
        <f aca="false">SUMPRODUCT(($D$10:$D$26=$A136)*$C$10:$C$26*datos_base!D$2:D$18*D$71:D$87)/(12*$B$6)</f>
        <v>0.263618443357683</v>
      </c>
      <c r="E136" s="25" t="n">
        <f aca="false">SUMPRODUCT(($D$10:$D$26=$A136)*$C$10:$C$26*datos_base!E$2:E$18*E$71:E$87)/(12*$B$6)</f>
        <v>5.60596858817916</v>
      </c>
      <c r="F136" s="25" t="n">
        <f aca="false">SUMPRODUCT(($D$10:$D$26=$A136)*$C$10:$C$26*datos_base!F$2:F$18*F$71:F$87)/(12*$B$6)</f>
        <v>16.4346274391646</v>
      </c>
      <c r="G136" s="25" t="n">
        <f aca="false">SUMPRODUCT(($D$10:$D$26=$A136)*$C$10:$C$26*datos_base!G$2:G$18*G$71:G$87)/(12*$B$6)</f>
        <v>32.2903706442843</v>
      </c>
      <c r="H136" s="25" t="n">
        <f aca="false">SUMPRODUCT(($D$10:$D$26=$A136)*$C$10:$C$26*datos_base!H$2:H$18*H$71:H$87)/(12*$B$6)</f>
        <v>54.9758014126928</v>
      </c>
      <c r="I136" s="25" t="n">
        <f aca="false">SUMPRODUCT(($D$10:$D$26=$A136)*$C$10:$C$26*datos_base!I$2:I$18*I$71:I$87)/(12*$B$6)</f>
        <v>72.7857741759743</v>
      </c>
      <c r="J136" s="25" t="n">
        <f aca="false">SUMPRODUCT(($D$10:$D$26=$A136)*$C$10:$C$26*datos_base!J$2:J$18*J$71:J$87)/(12*$B$6)</f>
        <v>88.9260912937843</v>
      </c>
      <c r="K136" s="25" t="n">
        <f aca="false">SUMPRODUCT(($D$10:$D$26=$A136)*$C$10:$C$26*datos_base!K$2:K$18*K$71:K$87)/(12*$B$6)</f>
        <v>106.850103011951</v>
      </c>
    </row>
    <row r="137" customFormat="false" ht="15" hidden="false" customHeight="false" outlineLevel="0" collapsed="false">
      <c r="A137" s="4" t="s">
        <v>17</v>
      </c>
      <c r="B137" s="25" t="n">
        <f aca="false">SUMPRODUCT(($D$10:$D$26=$A137)*$C$10:$C$26*datos_base!B$2:B$18*B$71:B$87)/(12*$B$6)</f>
        <v>0.167385447669179</v>
      </c>
      <c r="C137" s="25" t="n">
        <f aca="false">SUMPRODUCT(($D$10:$D$26=$A137)*$C$10:$C$26*datos_base!C$2:C$18*C$71:C$87)/(12*$B$6)</f>
        <v>0.816039877255814</v>
      </c>
      <c r="D137" s="25" t="n">
        <f aca="false">SUMPRODUCT(($D$10:$D$26=$A137)*$C$10:$C$26*datos_base!D$2:D$18*D$71:D$87)/(12*$B$6)</f>
        <v>1.77342581517854</v>
      </c>
      <c r="E137" s="25" t="n">
        <f aca="false">SUMPRODUCT(($D$10:$D$26=$A137)*$C$10:$C$26*datos_base!E$2:E$18*E$71:E$87)/(12*$B$6)</f>
        <v>40.7205312210849</v>
      </c>
      <c r="F137" s="25" t="n">
        <f aca="false">SUMPRODUCT(($D$10:$D$26=$A137)*$C$10:$C$26*datos_base!F$2:F$18*F$71:F$87)/(12*$B$6)</f>
        <v>124.062827461047</v>
      </c>
      <c r="G137" s="25" t="n">
        <f aca="false">SUMPRODUCT(($D$10:$D$26=$A137)*$C$10:$C$26*datos_base!G$2:G$18*G$71:G$87)/(12*$B$6)</f>
        <v>259.861205375111</v>
      </c>
      <c r="H137" s="25" t="n">
        <f aca="false">SUMPRODUCT(($D$10:$D$26=$A137)*$C$10:$C$26*datos_base!H$2:H$18*H$71:H$87)/(12*$B$6)</f>
        <v>424.479370473432</v>
      </c>
      <c r="I137" s="25" t="n">
        <f aca="false">SUMPRODUCT(($D$10:$D$26=$A137)*$C$10:$C$26*datos_base!I$2:I$18*I$71:I$87)/(12*$B$6)</f>
        <v>564.770400263034</v>
      </c>
      <c r="J137" s="25" t="n">
        <f aca="false">SUMPRODUCT(($D$10:$D$26=$A137)*$C$10:$C$26*datos_base!J$2:J$18*J$71:J$87)/(12*$B$6)</f>
        <v>683.855638898486</v>
      </c>
      <c r="K137" s="25" t="n">
        <f aca="false">SUMPRODUCT(($D$10:$D$26=$A137)*$C$10:$C$26*datos_base!K$2:K$18*K$71:K$87)/(12*$B$6)</f>
        <v>815.825852547614</v>
      </c>
    </row>
    <row r="138" customFormat="false" ht="15" hidden="false" customHeight="false" outlineLevel="0" collapsed="false">
      <c r="A138" s="4" t="s">
        <v>19</v>
      </c>
      <c r="B138" s="25" t="n">
        <f aca="false">SUMPRODUCT(($D$10:$D$26=$A138)*$C$10:$C$26*datos_base!B$2:B$18*B$71:B$87)/(12*$B$6)</f>
        <v>0.0418463611758744</v>
      </c>
      <c r="C138" s="25" t="n">
        <f aca="false">SUMPRODUCT(($D$10:$D$26=$A138)*$C$10:$C$26*datos_base!C$2:C$18*C$71:C$87)/(12*$B$6)</f>
        <v>0.204009967831113</v>
      </c>
      <c r="D138" s="25" t="n">
        <f aca="false">SUMPRODUCT(($D$10:$D$26=$A138)*$C$10:$C$26*datos_base!D$2:D$18*D$71:D$87)/(12*$B$6)</f>
        <v>0.443356454536056</v>
      </c>
      <c r="E138" s="25" t="n">
        <f aca="false">SUMPRODUCT(($D$10:$D$26=$A138)*$C$10:$C$26*datos_base!E$2:E$18*E$71:E$87)/(12*$B$6)</f>
        <v>10.1801328147229</v>
      </c>
      <c r="F138" s="25" t="n">
        <f aca="false">SUMPRODUCT(($D$10:$D$26=$A138)*$C$10:$C$26*datos_base!F$2:F$18*F$71:F$87)/(12*$B$6)</f>
        <v>31.0157068452416</v>
      </c>
      <c r="G138" s="25" t="n">
        <f aca="false">SUMPRODUCT(($D$10:$D$26=$A138)*$C$10:$C$26*datos_base!G$2:G$18*G$71:G$87)/(12*$B$6)</f>
        <v>64.9653013122151</v>
      </c>
      <c r="H138" s="25" t="n">
        <f aca="false">SUMPRODUCT(($D$10:$D$26=$A138)*$C$10:$C$26*datos_base!H$2:H$18*H$71:H$87)/(12*$B$6)</f>
        <v>106.119842660207</v>
      </c>
      <c r="I138" s="25" t="n">
        <f aca="false">SUMPRODUCT(($D$10:$D$26=$A138)*$C$10:$C$26*datos_base!I$2:I$18*I$71:I$87)/(12*$B$6)</f>
        <v>141.192599966571</v>
      </c>
      <c r="J138" s="25" t="n">
        <f aca="false">SUMPRODUCT(($D$10:$D$26=$A138)*$C$10:$C$26*datos_base!J$2:J$18*J$71:J$87)/(12*$B$6)</f>
        <v>170.963909779968</v>
      </c>
      <c r="K138" s="25" t="n">
        <f aca="false">SUMPRODUCT(($D$10:$D$26=$A138)*$C$10:$C$26*datos_base!K$2:K$18*K$71:K$87)/(12*$B$6)</f>
        <v>203.956463075733</v>
      </c>
    </row>
    <row r="139" customFormat="false" ht="15" hidden="false" customHeight="false" outlineLevel="0" collapsed="false">
      <c r="A139" s="6" t="s">
        <v>136</v>
      </c>
      <c r="B139" s="26" t="n">
        <f aca="false">SUM(B127:B138)</f>
        <v>9.94188571857477</v>
      </c>
      <c r="C139" s="26" t="n">
        <f aca="false">SUM(C127:C138)</f>
        <v>40.6063899078332</v>
      </c>
      <c r="D139" s="26" t="n">
        <f aca="false">SUM(D127:D138)</f>
        <v>91.7491866578055</v>
      </c>
      <c r="E139" s="26" t="n">
        <f aca="false">SUM(E127:E138)</f>
        <v>2001.94652216515</v>
      </c>
      <c r="F139" s="26" t="n">
        <f aca="false">SUM(F127:F138)</f>
        <v>6290.07010540996</v>
      </c>
      <c r="G139" s="26" t="n">
        <f aca="false">SUM(G127:G138)</f>
        <v>13299.7136558085</v>
      </c>
      <c r="H139" s="26" t="n">
        <f aca="false">SUM(H127:H138)</f>
        <v>21714.0381477555</v>
      </c>
      <c r="I139" s="26" t="n">
        <f aca="false">SUM(I127:I138)</f>
        <v>28630.5435439837</v>
      </c>
      <c r="J139" s="26" t="n">
        <f aca="false">SUM(J127:J138)</f>
        <v>34574.1958098668</v>
      </c>
      <c r="K139" s="26" t="n">
        <f aca="false">SUM(K127:K138)</f>
        <v>41154.7276219666</v>
      </c>
    </row>
    <row r="141" customFormat="false" ht="15" hidden="false" customHeight="false" outlineLevel="0" collapsed="false">
      <c r="A141" s="1" t="s">
        <v>330</v>
      </c>
    </row>
    <row r="142" customFormat="false" ht="15" hidden="false" customHeight="false" outlineLevel="0" collapsed="false">
      <c r="A142" s="3" t="s">
        <v>319</v>
      </c>
      <c r="B142" s="3" t="n">
        <v>2026</v>
      </c>
      <c r="C142" s="3" t="n">
        <v>2027</v>
      </c>
      <c r="D142" s="3" t="n">
        <v>2028</v>
      </c>
      <c r="E142" s="3" t="n">
        <v>2029</v>
      </c>
      <c r="F142" s="3" t="n">
        <v>2030</v>
      </c>
      <c r="G142" s="3" t="n">
        <v>2031</v>
      </c>
      <c r="H142" s="3" t="n">
        <v>2032</v>
      </c>
      <c r="I142" s="3" t="n">
        <v>2033</v>
      </c>
      <c r="J142" s="3" t="n">
        <v>2034</v>
      </c>
      <c r="K142" s="3" t="n">
        <v>2035</v>
      </c>
    </row>
    <row r="143" customFormat="false" ht="15" hidden="false" customHeight="false" outlineLevel="0" collapsed="false">
      <c r="A143" s="4" t="s">
        <v>5</v>
      </c>
      <c r="B143" s="13" t="n">
        <f aca="false">B111-B127</f>
        <v>6.23708791877546</v>
      </c>
      <c r="C143" s="13" t="n">
        <f aca="false">C111-C127</f>
        <v>9.89357707313683</v>
      </c>
      <c r="D143" s="13" t="n">
        <f aca="false">D111-D127</f>
        <v>19.5421101618308</v>
      </c>
      <c r="E143" s="13" t="n">
        <f aca="false">E111-E127</f>
        <v>275.337767913214</v>
      </c>
      <c r="F143" s="13" t="n">
        <f aca="false">F111-F127</f>
        <v>663.789210853817</v>
      </c>
      <c r="G143" s="13" t="n">
        <f aca="false">G111-G127</f>
        <v>965.186802790582</v>
      </c>
      <c r="H143" s="13" t="n">
        <f aca="false">H111-H127</f>
        <v>917.08900167824</v>
      </c>
      <c r="I143" s="13" t="n">
        <f aca="false">I111-I127</f>
        <v>679.775145390406</v>
      </c>
      <c r="J143" s="13" t="n">
        <f aca="false">J111-J127</f>
        <v>778.31185476797</v>
      </c>
      <c r="K143" s="13" t="n">
        <f aca="false">K111-K127</f>
        <v>923.838208551668</v>
      </c>
    </row>
    <row r="144" customFormat="false" ht="15" hidden="false" customHeight="false" outlineLevel="0" collapsed="false">
      <c r="A144" s="4" t="s">
        <v>6</v>
      </c>
      <c r="B144" s="13" t="n">
        <f aca="false">B112-B128</f>
        <v>0.649030512282051</v>
      </c>
      <c r="C144" s="13" t="n">
        <f aca="false">C112-C128</f>
        <v>0.701872162024624</v>
      </c>
      <c r="D144" s="13" t="n">
        <f aca="false">D112-D128</f>
        <v>0.960251415554273</v>
      </c>
      <c r="E144" s="13" t="n">
        <f aca="false">E112-E128</f>
        <v>13.8830811035318</v>
      </c>
      <c r="F144" s="13" t="n">
        <f aca="false">F112-F128</f>
        <v>34.1725197479704</v>
      </c>
      <c r="G144" s="13" t="n">
        <f aca="false">G112-G128</f>
        <v>49.9378698028422</v>
      </c>
      <c r="H144" s="13" t="n">
        <f aca="false">H112-H128</f>
        <v>47.3195381016399</v>
      </c>
      <c r="I144" s="13" t="n">
        <f aca="false">I112-I128</f>
        <v>35.4839919028386</v>
      </c>
      <c r="J144" s="13" t="n">
        <f aca="false">J112-J128</f>
        <v>40.5466190644968</v>
      </c>
      <c r="K144" s="13" t="n">
        <f aca="false">K112-K128</f>
        <v>47.3358703647939</v>
      </c>
    </row>
    <row r="145" customFormat="false" ht="15" hidden="false" customHeight="false" outlineLevel="0" collapsed="false">
      <c r="A145" s="4" t="s">
        <v>7</v>
      </c>
      <c r="B145" s="13" t="n">
        <f aca="false">B113-B129</f>
        <v>0.527541072400804</v>
      </c>
      <c r="C145" s="13" t="n">
        <f aca="false">C113-C129</f>
        <v>1.09181088069523</v>
      </c>
      <c r="D145" s="13" t="n">
        <f aca="false">D113-D129</f>
        <v>1.62751009771949</v>
      </c>
      <c r="E145" s="13" t="n">
        <f aca="false">E113-E129</f>
        <v>13.8079385650278</v>
      </c>
      <c r="F145" s="13" t="n">
        <f aca="false">F113-F129</f>
        <v>36.3342357390475</v>
      </c>
      <c r="G145" s="13" t="n">
        <f aca="false">G113-G129</f>
        <v>55.8170438950904</v>
      </c>
      <c r="H145" s="13" t="n">
        <f aca="false">H113-H129</f>
        <v>53.9611191275667</v>
      </c>
      <c r="I145" s="13" t="n">
        <f aca="false">I113-I129</f>
        <v>40.7210845411128</v>
      </c>
      <c r="J145" s="13" t="n">
        <f aca="false">J113-J129</f>
        <v>47.4195426473939</v>
      </c>
      <c r="K145" s="13" t="n">
        <f aca="false">K113-K129</f>
        <v>56.2290780361275</v>
      </c>
    </row>
    <row r="146" customFormat="false" ht="15" hidden="false" customHeight="false" outlineLevel="0" collapsed="false">
      <c r="A146" s="4" t="s">
        <v>8</v>
      </c>
      <c r="B146" s="13" t="n">
        <f aca="false">B114-B130</f>
        <v>0.93250586706216</v>
      </c>
      <c r="C146" s="13" t="n">
        <f aca="false">C114-C130</f>
        <v>0.521588905693665</v>
      </c>
      <c r="D146" s="13" t="n">
        <f aca="false">D114-D130</f>
        <v>1.06104374534073</v>
      </c>
      <c r="E146" s="13" t="n">
        <f aca="false">E114-E130</f>
        <v>2.61862696128275</v>
      </c>
      <c r="F146" s="13" t="n">
        <f aca="false">F114-F130</f>
        <v>7.03510774723137</v>
      </c>
      <c r="G146" s="13" t="n">
        <f aca="false">G114-G130</f>
        <v>10.1593051045059</v>
      </c>
      <c r="H146" s="13" t="n">
        <f aca="false">H114-H130</f>
        <v>10.7078667944658</v>
      </c>
      <c r="I146" s="13" t="n">
        <f aca="false">I114-I130</f>
        <v>7.77172041361987</v>
      </c>
      <c r="J146" s="13" t="n">
        <f aca="false">J114-J130</f>
        <v>9.59255654129174</v>
      </c>
      <c r="K146" s="13" t="n">
        <f aca="false">K114-K130</f>
        <v>10.693297564575</v>
      </c>
    </row>
    <row r="147" customFormat="false" ht="15" hidden="false" customHeight="false" outlineLevel="0" collapsed="false">
      <c r="A147" s="4" t="s">
        <v>9</v>
      </c>
      <c r="B147" s="13" t="n">
        <f aca="false">B115-B131</f>
        <v>0.966252935013921</v>
      </c>
      <c r="C147" s="13" t="n">
        <f aca="false">C115-C131</f>
        <v>0.753185569118882</v>
      </c>
      <c r="D147" s="13" t="n">
        <f aca="false">D115-D131</f>
        <v>0.512252695040577</v>
      </c>
      <c r="E147" s="13" t="n">
        <f aca="false">E115-E131</f>
        <v>1.86164350257339</v>
      </c>
      <c r="F147" s="13" t="n">
        <f aca="false">F115-F131</f>
        <v>4.34850316860709</v>
      </c>
      <c r="G147" s="13" t="n">
        <f aca="false">G115-G131</f>
        <v>5.71726155807109</v>
      </c>
      <c r="H147" s="13" t="n">
        <f aca="false">H115-H131</f>
        <v>5.51003158392361</v>
      </c>
      <c r="I147" s="13" t="n">
        <f aca="false">I115-I131</f>
        <v>4.07053895070129</v>
      </c>
      <c r="J147" s="13" t="n">
        <f aca="false">J115-J131</f>
        <v>4.88708880686752</v>
      </c>
      <c r="K147" s="13" t="n">
        <f aca="false">K115-K131</f>
        <v>5.82027895140993</v>
      </c>
    </row>
    <row r="148" customFormat="false" ht="15" hidden="false" customHeight="false" outlineLevel="0" collapsed="false">
      <c r="A148" s="4" t="s">
        <v>10</v>
      </c>
      <c r="B148" s="13" t="n">
        <f aca="false">B116-B132</f>
        <v>0.979751761008353</v>
      </c>
      <c r="C148" s="13" t="n">
        <f aca="false">C116-C132</f>
        <v>0.860396155460823</v>
      </c>
      <c r="D148" s="13" t="n">
        <f aca="false">D116-D132</f>
        <v>0.736381556642318</v>
      </c>
      <c r="E148" s="13" t="n">
        <f aca="false">E116-E132</f>
        <v>1.96971346738122</v>
      </c>
      <c r="F148" s="13" t="n">
        <f aca="false">F116-F132</f>
        <v>3.39858614630493</v>
      </c>
      <c r="G148" s="13" t="n">
        <f aca="false">G116-G132</f>
        <v>4.15140699385458</v>
      </c>
      <c r="H148" s="13" t="n">
        <f aca="false">H116-H132</f>
        <v>4.25700833088661</v>
      </c>
      <c r="I148" s="13" t="n">
        <f aca="false">I116-I132</f>
        <v>2.98144474313266</v>
      </c>
      <c r="J148" s="13" t="n">
        <f aca="false">J116-J132</f>
        <v>3.3108011680884</v>
      </c>
      <c r="K148" s="13" t="n">
        <f aca="false">K116-K132</f>
        <v>4.70055798783899</v>
      </c>
    </row>
    <row r="149" customFormat="false" ht="15" hidden="false" customHeight="false" outlineLevel="0" collapsed="false">
      <c r="A149" s="4" t="s">
        <v>11</v>
      </c>
      <c r="B149" s="13" t="n">
        <f aca="false">B117-B133</f>
        <v>0.757021123203186</v>
      </c>
      <c r="C149" s="13" t="n">
        <f aca="false">C117-C133</f>
        <v>1.005313912281</v>
      </c>
      <c r="D149" s="13" t="n">
        <f aca="false">D117-D133</f>
        <v>0.785827283613329</v>
      </c>
      <c r="E149" s="13" t="n">
        <f aca="false">E117-E133</f>
        <v>6.52117721422896</v>
      </c>
      <c r="F149" s="13" t="n">
        <f aca="false">F117-F133</f>
        <v>18.8057770989183</v>
      </c>
      <c r="G149" s="13" t="n">
        <f aca="false">G117-G133</f>
        <v>27.9540199347006</v>
      </c>
      <c r="H149" s="13" t="n">
        <f aca="false">H117-H133</f>
        <v>26.4095043431055</v>
      </c>
      <c r="I149" s="13" t="n">
        <f aca="false">I117-I133</f>
        <v>20.6287689648678</v>
      </c>
      <c r="J149" s="13" t="n">
        <f aca="false">J117-J133</f>
        <v>23.7520688603923</v>
      </c>
      <c r="K149" s="13" t="n">
        <f aca="false">K117-K133</f>
        <v>28.0235995715608</v>
      </c>
    </row>
    <row r="150" customFormat="false" ht="15" hidden="false" customHeight="false" outlineLevel="0" collapsed="false">
      <c r="A150" s="4" t="s">
        <v>13</v>
      </c>
      <c r="B150" s="13" t="n">
        <f aca="false">B118-B134</f>
        <v>2.29239844645941</v>
      </c>
      <c r="C150" s="13" t="n">
        <f aca="false">C118-C134</f>
        <v>3.05789820867364</v>
      </c>
      <c r="D150" s="13" t="n">
        <f aca="false">D118-D134</f>
        <v>5.19047659501905</v>
      </c>
      <c r="E150" s="13" t="n">
        <f aca="false">E118-E134</f>
        <v>47.7273518455013</v>
      </c>
      <c r="F150" s="13" t="n">
        <f aca="false">F118-F134</f>
        <v>132.062720400156</v>
      </c>
      <c r="G150" s="13" t="n">
        <f aca="false">G118-G134</f>
        <v>200.130946903879</v>
      </c>
      <c r="H150" s="13" t="n">
        <f aca="false">H118-H134</f>
        <v>194.189691550248</v>
      </c>
      <c r="I150" s="13" t="n">
        <f aca="false">I118-I134</f>
        <v>146.065696956312</v>
      </c>
      <c r="J150" s="13" t="n">
        <f aca="false">J118-J134</f>
        <v>168.541309690051</v>
      </c>
      <c r="K150" s="13" t="n">
        <f aca="false">K118-K134</f>
        <v>202.118694691924</v>
      </c>
    </row>
    <row r="151" customFormat="false" ht="15" hidden="false" customHeight="false" outlineLevel="0" collapsed="false">
      <c r="A151" s="4" t="s">
        <v>14</v>
      </c>
      <c r="B151" s="13" t="n">
        <f aca="false">B119-B135</f>
        <v>0.946004693056592</v>
      </c>
      <c r="C151" s="13" t="n">
        <f aca="false">C119-C135</f>
        <v>0.667620914708224</v>
      </c>
      <c r="D151" s="13" t="n">
        <f aca="false">D119-D135</f>
        <v>0.315360504506163</v>
      </c>
      <c r="E151" s="13" t="n">
        <f aca="false">E119-E135</f>
        <v>2.83280988609976</v>
      </c>
      <c r="F151" s="13" t="n">
        <f aca="false">F119-F135</f>
        <v>5.4963954334415</v>
      </c>
      <c r="G151" s="13" t="n">
        <f aca="false">G119-G135</f>
        <v>8.34856453963495</v>
      </c>
      <c r="H151" s="13" t="n">
        <f aca="false">H119-H135</f>
        <v>8.09310528071885</v>
      </c>
      <c r="I151" s="13" t="n">
        <f aca="false">I119-I135</f>
        <v>6.7068385588893</v>
      </c>
      <c r="J151" s="13" t="n">
        <f aca="false">J119-J135</f>
        <v>7.18798855886493</v>
      </c>
      <c r="K151" s="13" t="n">
        <f aca="false">K119-K135</f>
        <v>9.14521094882298</v>
      </c>
    </row>
    <row r="152" customFormat="false" ht="15" hidden="false" customHeight="false" outlineLevel="0" collapsed="false">
      <c r="A152" s="4" t="s">
        <v>15</v>
      </c>
      <c r="B152" s="13" t="n">
        <f aca="false">B120-B136</f>
        <v>0.979751761008353</v>
      </c>
      <c r="C152" s="13" t="n">
        <f aca="false">C120-C136</f>
        <v>0.860396155460823</v>
      </c>
      <c r="D152" s="13" t="n">
        <f aca="false">D120-D136</f>
        <v>0.736381556642318</v>
      </c>
      <c r="E152" s="13" t="n">
        <f aca="false">E120-E136</f>
        <v>1.39403141182084</v>
      </c>
      <c r="F152" s="13" t="n">
        <f aca="false">F120-F136</f>
        <v>2.56537256083543</v>
      </c>
      <c r="G152" s="13" t="n">
        <f aca="false">G120-G136</f>
        <v>3.70962935571571</v>
      </c>
      <c r="H152" s="13" t="n">
        <f aca="false">H120-H136</f>
        <v>4.02419858730721</v>
      </c>
      <c r="I152" s="13" t="n">
        <f aca="false">I120-I136</f>
        <v>3.21422582402569</v>
      </c>
      <c r="J152" s="13" t="n">
        <f aca="false">J120-J136</f>
        <v>3.07390870621566</v>
      </c>
      <c r="K152" s="13" t="n">
        <f aca="false">K120-K136</f>
        <v>4.14989698804855</v>
      </c>
    </row>
    <row r="153" customFormat="false" ht="15" hidden="false" customHeight="false" outlineLevel="0" collapsed="false">
      <c r="A153" s="4" t="s">
        <v>17</v>
      </c>
      <c r="B153" s="13" t="n">
        <f aca="false">B121-B137</f>
        <v>0.832614552330821</v>
      </c>
      <c r="C153" s="13" t="n">
        <f aca="false">C121-C137</f>
        <v>1.18396012274419</v>
      </c>
      <c r="D153" s="13" t="n">
        <f aca="false">D121-D137</f>
        <v>1.22657418482146</v>
      </c>
      <c r="E153" s="13" t="n">
        <f aca="false">E121-E137</f>
        <v>8.27946877891512</v>
      </c>
      <c r="F153" s="13" t="n">
        <f aca="false">F121-F137</f>
        <v>18.937172538953</v>
      </c>
      <c r="G153" s="13" t="n">
        <f aca="false">G121-G137</f>
        <v>27.1387946248894</v>
      </c>
      <c r="H153" s="13" t="n">
        <f aca="false">H121-H137</f>
        <v>25.5206295265679</v>
      </c>
      <c r="I153" s="13" t="n">
        <f aca="false">I121-I137</f>
        <v>19.229599736966</v>
      </c>
      <c r="J153" s="13" t="n">
        <f aca="false">J121-J137</f>
        <v>22.1443611015136</v>
      </c>
      <c r="K153" s="13" t="n">
        <f aca="false">K121-K137</f>
        <v>26.1741474523856</v>
      </c>
    </row>
    <row r="154" customFormat="false" ht="15" hidden="false" customHeight="false" outlineLevel="0" collapsed="false">
      <c r="A154" s="4" t="s">
        <v>19</v>
      </c>
      <c r="B154" s="13" t="n">
        <f aca="false">B122-B138</f>
        <v>0.958153638824126</v>
      </c>
      <c r="C154" s="13" t="n">
        <f aca="false">C122-C138</f>
        <v>0.795990032168887</v>
      </c>
      <c r="D154" s="13" t="n">
        <f aca="false">D122-D138</f>
        <v>0.556643545463945</v>
      </c>
      <c r="E154" s="13" t="n">
        <f aca="false">E122-E138</f>
        <v>2.81986718527707</v>
      </c>
      <c r="F154" s="13" t="n">
        <f aca="false">F122-F138</f>
        <v>4.98429315475841</v>
      </c>
      <c r="G154" s="13" t="n">
        <f aca="false">G122-G138</f>
        <v>7.03469868778487</v>
      </c>
      <c r="H154" s="13" t="n">
        <f aca="false">H122-H138</f>
        <v>6.88015733979297</v>
      </c>
      <c r="I154" s="13" t="n">
        <f aca="false">I122-I138</f>
        <v>4.8074000334295</v>
      </c>
      <c r="J154" s="13" t="n">
        <f aca="false">J122-J138</f>
        <v>6.03609022003226</v>
      </c>
      <c r="K154" s="13" t="n">
        <f aca="false">K122-K138</f>
        <v>7.04353692426727</v>
      </c>
    </row>
    <row r="155" customFormat="false" ht="15" hidden="false" customHeight="false" outlineLevel="0" collapsed="false">
      <c r="A155" s="6" t="s">
        <v>136</v>
      </c>
      <c r="B155" s="7" t="n">
        <f aca="false">SUM(B143:B154)</f>
        <v>17.0581142814252</v>
      </c>
      <c r="C155" s="7" t="n">
        <f aca="false">SUM(C143:C154)</f>
        <v>21.3936100921668</v>
      </c>
      <c r="D155" s="7" t="n">
        <f aca="false">SUM(D143:D154)</f>
        <v>33.2508133421945</v>
      </c>
      <c r="E155" s="7" t="n">
        <f aca="false">SUM(E143:E154)</f>
        <v>379.053477834854</v>
      </c>
      <c r="F155" s="7" t="n">
        <f aca="false">SUM(F143:F154)</f>
        <v>931.929894590041</v>
      </c>
      <c r="G155" s="7" t="n">
        <f aca="false">SUM(G143:G154)</f>
        <v>1365.28634419155</v>
      </c>
      <c r="H155" s="7" t="n">
        <f aca="false">SUM(H143:H154)</f>
        <v>1303.96185224446</v>
      </c>
      <c r="I155" s="7" t="n">
        <f aca="false">SUM(I143:I154)</f>
        <v>971.456456016301</v>
      </c>
      <c r="J155" s="7" t="n">
        <f aca="false">SUM(J143:J154)</f>
        <v>1114.80419013318</v>
      </c>
      <c r="K155" s="7" t="n">
        <f aca="false">SUM(K143:K154)</f>
        <v>1325.27237803342</v>
      </c>
    </row>
    <row r="157" customFormat="false" ht="15" hidden="false" customHeight="false" outlineLevel="0" collapsed="false">
      <c r="A157" s="1" t="s">
        <v>331</v>
      </c>
    </row>
    <row r="158" customFormat="false" ht="15" hidden="false" customHeight="false" outlineLevel="0" collapsed="false">
      <c r="A158" s="3" t="s">
        <v>319</v>
      </c>
      <c r="B158" s="3" t="n">
        <v>2026</v>
      </c>
      <c r="C158" s="3" t="n">
        <v>2027</v>
      </c>
      <c r="D158" s="3" t="n">
        <v>2028</v>
      </c>
      <c r="E158" s="3" t="n">
        <v>2029</v>
      </c>
      <c r="F158" s="3" t="n">
        <v>2030</v>
      </c>
      <c r="G158" s="3" t="n">
        <v>2031</v>
      </c>
      <c r="H158" s="3" t="n">
        <v>2032</v>
      </c>
      <c r="I158" s="3" t="n">
        <v>2033</v>
      </c>
      <c r="J158" s="3" t="n">
        <v>2034</v>
      </c>
      <c r="K158" s="3" t="n">
        <v>2035</v>
      </c>
    </row>
    <row r="159" customFormat="false" ht="15" hidden="false" customHeight="false" outlineLevel="0" collapsed="false">
      <c r="A159" s="4" t="s">
        <v>5</v>
      </c>
      <c r="B159" s="13" t="n">
        <f aca="false">B111</f>
        <v>13</v>
      </c>
      <c r="C159" s="13" t="n">
        <f aca="false">MAX(0,C111-B111)+B111*IF(INDEX($B$10:$B$26,MATCH($A159,$A$10:$A$26,0))="CO₂",parametros_recargas!$B$23,parametros_recargas!$B$24)</f>
        <v>25.04</v>
      </c>
      <c r="D159" s="13" t="n">
        <f aca="false">MAX(0,D111-C111)+C111*IF(INDEX($B$10:$B$26,MATCH($A159,$A$10:$A$26,0))="CO₂",parametros_recargas!$B$23,parametros_recargas!$B$24)</f>
        <v>46.96</v>
      </c>
      <c r="E159" s="13" t="n">
        <f aca="false">MAX(0,E111-D111)+D111*IF(INDEX($B$10:$B$26,MATCH($A159,$A$10:$A$26,0))="CO₂",parametros_recargas!$B$23,parametros_recargas!$B$24)</f>
        <v>1676.48</v>
      </c>
      <c r="F159" s="13" t="n">
        <f aca="false">MAX(0,F111-E111)+E111*IF(INDEX($B$10:$B$26,MATCH($A159,$A$10:$A$26,0))="CO₂",parametros_recargas!$B$23,parametros_recargas!$B$24)</f>
        <v>3558.08</v>
      </c>
      <c r="G159" s="13" t="n">
        <f aca="false">MAX(0,G111-F111)+F111*IF(INDEX($B$10:$B$26,MATCH($A159,$A$10:$A$26,0))="CO₂",parametros_recargas!$B$23,parametros_recargas!$B$24)</f>
        <v>5646.52</v>
      </c>
      <c r="H159" s="13" t="n">
        <f aca="false">MAX(0,H111-G111)+G111*IF(INDEX($B$10:$B$26,MATCH($A159,$A$10:$A$26,0))="CO₂",parametros_recargas!$B$23,parametros_recargas!$B$24)</f>
        <v>6669.16</v>
      </c>
      <c r="I159" s="13" t="n">
        <f aca="false">MAX(0,I111-H111)+H111*IF(INDEX($B$10:$B$26,MATCH($A159,$A$10:$A$26,0))="CO₂",parametros_recargas!$B$23,parametros_recargas!$B$24)</f>
        <v>5875.12</v>
      </c>
      <c r="J159" s="13" t="n">
        <f aca="false">MAX(0,J111-I111)+I111*IF(INDEX($B$10:$B$26,MATCH($A159,$A$10:$A$26,0))="CO₂",parametros_recargas!$B$23,parametros_recargas!$B$24)</f>
        <v>5878.2</v>
      </c>
      <c r="K159" s="13" t="n">
        <f aca="false">MAX(0,K111-J111)+J111*IF(INDEX($B$10:$B$26,MATCH($A159,$A$10:$A$26,0))="CO₂",parametros_recargas!$B$23,parametros_recargas!$B$24)</f>
        <v>6701.24</v>
      </c>
    </row>
    <row r="160" customFormat="false" ht="15" hidden="false" customHeight="false" outlineLevel="0" collapsed="false">
      <c r="A160" s="4" t="s">
        <v>6</v>
      </c>
      <c r="B160" s="13" t="n">
        <f aca="false">B112</f>
        <v>1</v>
      </c>
      <c r="C160" s="13" t="n">
        <f aca="false">MAX(0,C112-B112)+B112*IF(INDEX($B$10:$B$26,MATCH($A160,$A$10:$A$26,0))="CO₂",parametros_recargas!$B$23,parametros_recargas!$B$24)</f>
        <v>1.08</v>
      </c>
      <c r="D160" s="13" t="n">
        <f aca="false">MAX(0,D112-C112)+C112*IF(INDEX($B$10:$B$26,MATCH($A160,$A$10:$A$26,0))="CO₂",parametros_recargas!$B$23,parametros_recargas!$B$24)</f>
        <v>2.16</v>
      </c>
      <c r="E160" s="13" t="n">
        <f aca="false">MAX(0,E112-D112)+D112*IF(INDEX($B$10:$B$26,MATCH($A160,$A$10:$A$26,0))="CO₂",parametros_recargas!$B$23,parametros_recargas!$B$24)</f>
        <v>84.32</v>
      </c>
      <c r="F160" s="13" t="n">
        <f aca="false">MAX(0,F112-E112)+E112*IF(INDEX($B$10:$B$26,MATCH($A160,$A$10:$A$26,0))="CO₂",parametros_recargas!$B$23,parametros_recargas!$B$24)</f>
        <v>181.04</v>
      </c>
      <c r="G160" s="13" t="n">
        <f aca="false">MAX(0,G112-F112)+F112*IF(INDEX($B$10:$B$26,MATCH($A160,$A$10:$A$26,0))="CO₂",parametros_recargas!$B$23,parametros_recargas!$B$24)</f>
        <v>289.96</v>
      </c>
      <c r="H160" s="13" t="n">
        <f aca="false">MAX(0,H112-G112)+G112*IF(INDEX($B$10:$B$26,MATCH($A160,$A$10:$A$26,0))="CO₂",parametros_recargas!$B$23,parametros_recargas!$B$24)</f>
        <v>339.48</v>
      </c>
      <c r="I160" s="13" t="n">
        <f aca="false">MAX(0,I112-H112)+H112*IF(INDEX($B$10:$B$26,MATCH($A160,$A$10:$A$26,0))="CO₂",parametros_recargas!$B$23,parametros_recargas!$B$24)</f>
        <v>298.24</v>
      </c>
      <c r="J160" s="13" t="n">
        <f aca="false">MAX(0,J112-I112)+I112*IF(INDEX($B$10:$B$26,MATCH($A160,$A$10:$A$26,0))="CO₂",parametros_recargas!$B$23,parametros_recargas!$B$24)</f>
        <v>298.8</v>
      </c>
      <c r="K160" s="13" t="n">
        <f aca="false">MAX(0,K112-J112)+J112*IF(INDEX($B$10:$B$26,MATCH($A160,$A$10:$A$26,0))="CO₂",parametros_recargas!$B$23,parametros_recargas!$B$24)</f>
        <v>339.92</v>
      </c>
    </row>
    <row r="161" customFormat="false" ht="15" hidden="false" customHeight="false" outlineLevel="0" collapsed="false">
      <c r="A161" s="4" t="s">
        <v>7</v>
      </c>
      <c r="B161" s="13" t="n">
        <f aca="false">B113</f>
        <v>1</v>
      </c>
      <c r="C161" s="13" t="n">
        <f aca="false">MAX(0,C113-B113)+B113*IF(INDEX($B$10:$B$26,MATCH($A161,$A$10:$A$26,0))="CO₂",parametros_recargas!$B$23,parametros_recargas!$B$24)</f>
        <v>2.08</v>
      </c>
      <c r="D161" s="13" t="n">
        <f aca="false">MAX(0,D113-C113)+C113*IF(INDEX($B$10:$B$26,MATCH($A161,$A$10:$A$26,0))="CO₂",parametros_recargas!$B$23,parametros_recargas!$B$24)</f>
        <v>3.24</v>
      </c>
      <c r="E161" s="13" t="n">
        <f aca="false">MAX(0,E113-D113)+D113*IF(INDEX($B$10:$B$26,MATCH($A161,$A$10:$A$26,0))="CO₂",parametros_recargas!$B$23,parametros_recargas!$B$24)</f>
        <v>78.48</v>
      </c>
      <c r="F161" s="13" t="n">
        <f aca="false">MAX(0,F113-E113)+E113*IF(INDEX($B$10:$B$26,MATCH($A161,$A$10:$A$26,0))="CO₂",parametros_recargas!$B$23,parametros_recargas!$B$24)</f>
        <v>205.72</v>
      </c>
      <c r="G161" s="13" t="n">
        <f aca="false">MAX(0,G113-F113)+F113*IF(INDEX($B$10:$B$26,MATCH($A161,$A$10:$A$26,0))="CO₂",parametros_recargas!$B$23,parametros_recargas!$B$24)</f>
        <v>337.64</v>
      </c>
      <c r="H161" s="13" t="n">
        <f aca="false">MAX(0,H113-G113)+G113*IF(INDEX($B$10:$B$26,MATCH($A161,$A$10:$A$26,0))="CO₂",parametros_recargas!$B$23,parametros_recargas!$B$24)</f>
        <v>402.84</v>
      </c>
      <c r="I161" s="13" t="n">
        <f aca="false">MAX(0,I113-H113)+H113*IF(INDEX($B$10:$B$26,MATCH($A161,$A$10:$A$26,0))="CO₂",parametros_recargas!$B$23,parametros_recargas!$B$24)</f>
        <v>359.24</v>
      </c>
      <c r="J161" s="13" t="n">
        <f aca="false">MAX(0,J113-I113)+I113*IF(INDEX($B$10:$B$26,MATCH($A161,$A$10:$A$26,0))="CO₂",parametros_recargas!$B$23,parametros_recargas!$B$24)</f>
        <v>363.88</v>
      </c>
      <c r="K161" s="13" t="n">
        <f aca="false">MAX(0,K113-J113)+J113*IF(INDEX($B$10:$B$26,MATCH($A161,$A$10:$A$26,0))="CO₂",parametros_recargas!$B$23,parametros_recargas!$B$24)</f>
        <v>415.08</v>
      </c>
    </row>
    <row r="162" customFormat="false" ht="15" hidden="false" customHeight="false" outlineLevel="0" collapsed="false">
      <c r="A162" s="4" t="s">
        <v>8</v>
      </c>
      <c r="B162" s="13" t="n">
        <f aca="false">B114</f>
        <v>1</v>
      </c>
      <c r="C162" s="13" t="n">
        <f aca="false">MAX(0,C114-B114)+B114*IF(INDEX($B$10:$B$26,MATCH($A162,$A$10:$A$26,0))="CO₂",parametros_recargas!$B$23,parametros_recargas!$B$24)</f>
        <v>0.08</v>
      </c>
      <c r="D162" s="13" t="n">
        <f aca="false">MAX(0,D114-C114)+C114*IF(INDEX($B$10:$B$26,MATCH($A162,$A$10:$A$26,0))="CO₂",parametros_recargas!$B$23,parametros_recargas!$B$24)</f>
        <v>1.08</v>
      </c>
      <c r="E162" s="13" t="n">
        <f aca="false">MAX(0,E114-D114)+D114*IF(INDEX($B$10:$B$26,MATCH($A162,$A$10:$A$26,0))="CO₂",parametros_recargas!$B$23,parametros_recargas!$B$24)</f>
        <v>14.16</v>
      </c>
      <c r="F162" s="13" t="n">
        <f aca="false">MAX(0,F114-E114)+E114*IF(INDEX($B$10:$B$26,MATCH($A162,$A$10:$A$26,0))="CO₂",parametros_recargas!$B$23,parametros_recargas!$B$24)</f>
        <v>38.28</v>
      </c>
      <c r="G162" s="13" t="n">
        <f aca="false">MAX(0,G114-F114)+F114*IF(INDEX($B$10:$B$26,MATCH($A162,$A$10:$A$26,0))="CO₂",parametros_recargas!$B$23,parametros_recargas!$B$24)</f>
        <v>59.24</v>
      </c>
      <c r="H162" s="13" t="n">
        <f aca="false">MAX(0,H114-G114)+G114*IF(INDEX($B$10:$B$26,MATCH($A162,$A$10:$A$26,0))="CO₂",parametros_recargas!$B$23,parametros_recargas!$B$24)</f>
        <v>75.64</v>
      </c>
      <c r="I162" s="13" t="n">
        <f aca="false">MAX(0,I114-H114)+H114*IF(INDEX($B$10:$B$26,MATCH($A162,$A$10:$A$26,0))="CO₂",parametros_recargas!$B$23,parametros_recargas!$B$24)</f>
        <v>69</v>
      </c>
      <c r="J162" s="13" t="n">
        <f aca="false">MAX(0,J114-I114)+I114*IF(INDEX($B$10:$B$26,MATCH($A162,$A$10:$A$26,0))="CO₂",parametros_recargas!$B$23,parametros_recargas!$B$24)</f>
        <v>71.4</v>
      </c>
      <c r="K162" s="13" t="n">
        <f aca="false">MAX(0,K114-J114)+J114*IF(INDEX($B$10:$B$26,MATCH($A162,$A$10:$A$26,0))="CO₂",parametros_recargas!$B$23,parametros_recargas!$B$24)</f>
        <v>80.64</v>
      </c>
    </row>
    <row r="163" customFormat="false" ht="15" hidden="false" customHeight="false" outlineLevel="0" collapsed="false">
      <c r="A163" s="4" t="s">
        <v>9</v>
      </c>
      <c r="B163" s="13" t="n">
        <f aca="false">B115</f>
        <v>1</v>
      </c>
      <c r="C163" s="13" t="n">
        <f aca="false">MAX(0,C115-B115)+B115*IF(INDEX($B$10:$B$26,MATCH($A163,$A$10:$A$26,0))="CO₂",parametros_recargas!$B$23,parametros_recargas!$B$24)</f>
        <v>0.08</v>
      </c>
      <c r="D163" s="13" t="n">
        <f aca="false">MAX(0,D115-C115)+C115*IF(INDEX($B$10:$B$26,MATCH($A163,$A$10:$A$26,0))="CO₂",parametros_recargas!$B$23,parametros_recargas!$B$24)</f>
        <v>0.08</v>
      </c>
      <c r="E163" s="13" t="n">
        <f aca="false">MAX(0,E115-D115)+D115*IF(INDEX($B$10:$B$26,MATCH($A163,$A$10:$A$26,0))="CO₂",parametros_recargas!$B$23,parametros_recargas!$B$24)</f>
        <v>8.08</v>
      </c>
      <c r="F163" s="13" t="n">
        <f aca="false">MAX(0,F115-E115)+E115*IF(INDEX($B$10:$B$26,MATCH($A163,$A$10:$A$26,0))="CO₂",parametros_recargas!$B$23,parametros_recargas!$B$24)</f>
        <v>20.72</v>
      </c>
      <c r="G163" s="13" t="n">
        <f aca="false">MAX(0,G115-F115)+F115*IF(INDEX($B$10:$B$26,MATCH($A163,$A$10:$A$26,0))="CO₂",parametros_recargas!$B$23,parametros_recargas!$B$24)</f>
        <v>31.32</v>
      </c>
      <c r="H163" s="13" t="n">
        <f aca="false">MAX(0,H115-G115)+G115*IF(INDEX($B$10:$B$26,MATCH($A163,$A$10:$A$26,0))="CO₂",parametros_recargas!$B$23,parametros_recargas!$B$24)</f>
        <v>38.64</v>
      </c>
      <c r="I163" s="13" t="n">
        <f aca="false">MAX(0,I115-H115)+H115*IF(INDEX($B$10:$B$26,MATCH($A163,$A$10:$A$26,0))="CO₂",parametros_recargas!$B$23,parametros_recargas!$B$24)</f>
        <v>36.36</v>
      </c>
      <c r="J163" s="13" t="n">
        <f aca="false">MAX(0,J115-I115)+I115*IF(INDEX($B$10:$B$26,MATCH($A163,$A$10:$A$26,0))="CO₂",parametros_recargas!$B$23,parametros_recargas!$B$24)</f>
        <v>36.68</v>
      </c>
      <c r="K163" s="13" t="n">
        <f aca="false">MAX(0,K115-J115)+J115*IF(INDEX($B$10:$B$26,MATCH($A163,$A$10:$A$26,0))="CO₂",parametros_recargas!$B$23,parametros_recargas!$B$24)</f>
        <v>41.84</v>
      </c>
    </row>
    <row r="164" customFormat="false" ht="15" hidden="false" customHeight="false" outlineLevel="0" collapsed="false">
      <c r="A164" s="4" t="s">
        <v>10</v>
      </c>
      <c r="B164" s="13" t="n">
        <f aca="false">B116</f>
        <v>1</v>
      </c>
      <c r="C164" s="13" t="n">
        <f aca="false">MAX(0,C116-B116)+B116*IF(INDEX($B$10:$B$26,MATCH($A164,$A$10:$A$26,0))="CO₂",parametros_recargas!$B$23,parametros_recargas!$B$24)</f>
        <v>0.08</v>
      </c>
      <c r="D164" s="13" t="n">
        <f aca="false">MAX(0,D116-C116)+C116*IF(INDEX($B$10:$B$26,MATCH($A164,$A$10:$A$26,0))="CO₂",parametros_recargas!$B$23,parametros_recargas!$B$24)</f>
        <v>0.08</v>
      </c>
      <c r="E164" s="13" t="n">
        <f aca="false">MAX(0,E116-D116)+D116*IF(INDEX($B$10:$B$26,MATCH($A164,$A$10:$A$26,0))="CO₂",parametros_recargas!$B$23,parametros_recargas!$B$24)</f>
        <v>7.08</v>
      </c>
      <c r="F164" s="13" t="n">
        <f aca="false">MAX(0,F116-E116)+E116*IF(INDEX($B$10:$B$26,MATCH($A164,$A$10:$A$26,0))="CO₂",parametros_recargas!$B$23,parametros_recargas!$B$24)</f>
        <v>13.64</v>
      </c>
      <c r="G164" s="13" t="n">
        <f aca="false">MAX(0,G116-F116)+F116*IF(INDEX($B$10:$B$26,MATCH($A164,$A$10:$A$26,0))="CO₂",parametros_recargas!$B$23,parametros_recargas!$B$24)</f>
        <v>21.68</v>
      </c>
      <c r="H164" s="13" t="n">
        <f aca="false">MAX(0,H116-G116)+G116*IF(INDEX($B$10:$B$26,MATCH($A164,$A$10:$A$26,0))="CO₂",parametros_recargas!$B$23,parametros_recargas!$B$24)</f>
        <v>28.28</v>
      </c>
      <c r="I164" s="13" t="n">
        <f aca="false">MAX(0,I116-H116)+H116*IF(INDEX($B$10:$B$26,MATCH($A164,$A$10:$A$26,0))="CO₂",parametros_recargas!$B$23,parametros_recargas!$B$24)</f>
        <v>23.28</v>
      </c>
      <c r="J164" s="13" t="n">
        <f aca="false">MAX(0,J116-I116)+I116*IF(INDEX($B$10:$B$26,MATCH($A164,$A$10:$A$26,0))="CO₂",parametros_recargas!$B$23,parametros_recargas!$B$24)</f>
        <v>24.72</v>
      </c>
      <c r="K164" s="13" t="n">
        <f aca="false">MAX(0,K116-J116)+J116*IF(INDEX($B$10:$B$26,MATCH($A164,$A$10:$A$26,0))="CO₂",parametros_recargas!$B$23,parametros_recargas!$B$24)</f>
        <v>29.16</v>
      </c>
    </row>
    <row r="165" customFormat="false" ht="15" hidden="false" customHeight="false" outlineLevel="0" collapsed="false">
      <c r="A165" s="4" t="s">
        <v>11</v>
      </c>
      <c r="B165" s="13" t="n">
        <f aca="false">B117</f>
        <v>1</v>
      </c>
      <c r="C165" s="13" t="n">
        <f aca="false">MAX(0,C117-B117)+B117*IF(INDEX($B$10:$B$26,MATCH($A165,$A$10:$A$26,0))="CO₂",parametros_recargas!$B$23,parametros_recargas!$B$24)</f>
        <v>1.08</v>
      </c>
      <c r="D165" s="13" t="n">
        <f aca="false">MAX(0,D117-C117)+C117*IF(INDEX($B$10:$B$26,MATCH($A165,$A$10:$A$26,0))="CO₂",parametros_recargas!$B$23,parametros_recargas!$B$24)</f>
        <v>1.16</v>
      </c>
      <c r="E165" s="13" t="n">
        <f aca="false">MAX(0,E117-D117)+D117*IF(INDEX($B$10:$B$26,MATCH($A165,$A$10:$A$26,0))="CO₂",parametros_recargas!$B$23,parametros_recargas!$B$24)</f>
        <v>38.24</v>
      </c>
      <c r="F165" s="13" t="n">
        <f aca="false">MAX(0,F117-E117)+E117*IF(INDEX($B$10:$B$26,MATCH($A165,$A$10:$A$26,0))="CO₂",parametros_recargas!$B$23,parametros_recargas!$B$24)</f>
        <v>102.28</v>
      </c>
      <c r="G165" s="13" t="n">
        <f aca="false">MAX(0,G117-F117)+F117*IF(INDEX($B$10:$B$26,MATCH($A165,$A$10:$A$26,0))="CO₂",parametros_recargas!$B$23,parametros_recargas!$B$24)</f>
        <v>163.2</v>
      </c>
      <c r="H165" s="13" t="n">
        <f aca="false">MAX(0,H117-G117)+G117*IF(INDEX($B$10:$B$26,MATCH($A165,$A$10:$A$26,0))="CO₂",parametros_recargas!$B$23,parametros_recargas!$B$24)</f>
        <v>197.36</v>
      </c>
      <c r="I165" s="13" t="n">
        <f aca="false">MAX(0,I117-H117)+H117*IF(INDEX($B$10:$B$26,MATCH($A165,$A$10:$A$26,0))="CO₂",parametros_recargas!$B$23,parametros_recargas!$B$24)</f>
        <v>180.28</v>
      </c>
      <c r="J165" s="13" t="n">
        <f aca="false">MAX(0,J117-I117)+I117*IF(INDEX($B$10:$B$26,MATCH($A165,$A$10:$A$26,0))="CO₂",parametros_recargas!$B$23,parametros_recargas!$B$24)</f>
        <v>179.72</v>
      </c>
      <c r="K165" s="13" t="n">
        <f aca="false">MAX(0,K117-J117)+J117*IF(INDEX($B$10:$B$26,MATCH($A165,$A$10:$A$26,0))="CO₂",parametros_recargas!$B$23,parametros_recargas!$B$24)</f>
        <v>205.2</v>
      </c>
    </row>
    <row r="166" customFormat="false" ht="15" hidden="false" customHeight="false" outlineLevel="0" collapsed="false">
      <c r="A166" s="4" t="s">
        <v>13</v>
      </c>
      <c r="B166" s="13" t="n">
        <f aca="false">B118</f>
        <v>4</v>
      </c>
      <c r="C166" s="13" t="n">
        <f aca="false">MAX(0,C118-B118)+B118*IF(INDEX($B$10:$B$26,MATCH($A166,$A$10:$A$26,0))="CO₂",parametros_recargas!$B$23,parametros_recargas!$B$24)</f>
        <v>6.25333333333333</v>
      </c>
      <c r="D166" s="13" t="n">
        <f aca="false">MAX(0,D118-C118)+C118*IF(INDEX($B$10:$B$26,MATCH($A166,$A$10:$A$26,0))="CO₂",parametros_recargas!$B$23,parametros_recargas!$B$24)</f>
        <v>11.6333333333333</v>
      </c>
      <c r="E166" s="13" t="n">
        <f aca="false">MAX(0,E118-D118)+D118*IF(INDEX($B$10:$B$26,MATCH($A166,$A$10:$A$26,0))="CO₂",parametros_recargas!$B$23,parametros_recargas!$B$24)</f>
        <v>282.33</v>
      </c>
      <c r="F166" s="13" t="n">
        <f aca="false">MAX(0,F118-E118)+E118*IF(INDEX($B$10:$B$26,MATCH($A166,$A$10:$A$26,0))="CO₂",parametros_recargas!$B$23,parametros_recargas!$B$24)</f>
        <v>743.126666666667</v>
      </c>
      <c r="G166" s="13" t="n">
        <f aca="false">MAX(0,G118-F118)+F118*IF(INDEX($B$10:$B$26,MATCH($A166,$A$10:$A$26,0))="CO₂",parametros_recargas!$B$23,parametros_recargas!$B$24)</f>
        <v>1193.98</v>
      </c>
      <c r="H166" s="13" t="n">
        <f aca="false">MAX(0,H118-G118)+G118*IF(INDEX($B$10:$B$26,MATCH($A166,$A$10:$A$26,0))="CO₂",parametros_recargas!$B$23,parametros_recargas!$B$24)</f>
        <v>1420.48333333333</v>
      </c>
      <c r="I166" s="13" t="n">
        <f aca="false">MAX(0,I118-H118)+H118*IF(INDEX($B$10:$B$26,MATCH($A166,$A$10:$A$26,0))="CO₂",parametros_recargas!$B$23,parametros_recargas!$B$24)</f>
        <v>1236.80333333333</v>
      </c>
      <c r="J166" s="13" t="n">
        <f aca="false">MAX(0,J118-I118)+I118*IF(INDEX($B$10:$B$26,MATCH($A166,$A$10:$A$26,0))="CO₂",parametros_recargas!$B$23,parametros_recargas!$B$24)</f>
        <v>1238.34</v>
      </c>
      <c r="K166" s="13" t="n">
        <f aca="false">MAX(0,K118-J118)+J118*IF(INDEX($B$10:$B$26,MATCH($A166,$A$10:$A$26,0))="CO₂",parametros_recargas!$B$23,parametros_recargas!$B$24)</f>
        <v>1410.88666666667</v>
      </c>
    </row>
    <row r="167" customFormat="false" ht="15" hidden="false" customHeight="false" outlineLevel="0" collapsed="false">
      <c r="A167" s="4" t="s">
        <v>14</v>
      </c>
      <c r="B167" s="13" t="n">
        <f aca="false">B119</f>
        <v>1</v>
      </c>
      <c r="C167" s="13" t="n">
        <f aca="false">MAX(0,C119-B119)+B119*IF(INDEX($B$10:$B$26,MATCH($A167,$A$10:$A$26,0))="CO₂",parametros_recargas!$B$23,parametros_recargas!$B$24)</f>
        <v>0.08</v>
      </c>
      <c r="D167" s="13" t="n">
        <f aca="false">MAX(0,D119-C119)+C119*IF(INDEX($B$10:$B$26,MATCH($A167,$A$10:$A$26,0))="CO₂",parametros_recargas!$B$23,parametros_recargas!$B$24)</f>
        <v>0.08</v>
      </c>
      <c r="E167" s="13" t="n">
        <f aca="false">MAX(0,E119-D119)+D119*IF(INDEX($B$10:$B$26,MATCH($A167,$A$10:$A$26,0))="CO₂",parametros_recargas!$B$23,parametros_recargas!$B$24)</f>
        <v>12.08</v>
      </c>
      <c r="F167" s="13" t="n">
        <f aca="false">MAX(0,F119-E119)+E119*IF(INDEX($B$10:$B$26,MATCH($A167,$A$10:$A$26,0))="CO₂",parametros_recargas!$B$23,parametros_recargas!$B$24)</f>
        <v>29.04</v>
      </c>
      <c r="G167" s="13" t="n">
        <f aca="false">MAX(0,G119-F119)+F119*IF(INDEX($B$10:$B$26,MATCH($A167,$A$10:$A$26,0))="CO₂",parametros_recargas!$B$23,parametros_recargas!$B$24)</f>
        <v>47.28</v>
      </c>
      <c r="H167" s="13" t="n">
        <f aca="false">MAX(0,H119-G119)+G119*IF(INDEX($B$10:$B$26,MATCH($A167,$A$10:$A$26,0))="CO₂",parametros_recargas!$B$23,parametros_recargas!$B$24)</f>
        <v>59.8</v>
      </c>
      <c r="I167" s="13" t="n">
        <f aca="false">MAX(0,I119-H119)+H119*IF(INDEX($B$10:$B$26,MATCH($A167,$A$10:$A$26,0))="CO₂",parametros_recargas!$B$23,parametros_recargas!$B$24)</f>
        <v>56.04</v>
      </c>
      <c r="J167" s="13" t="n">
        <f aca="false">MAX(0,J119-I119)+I119*IF(INDEX($B$10:$B$26,MATCH($A167,$A$10:$A$26,0))="CO₂",parametros_recargas!$B$23,parametros_recargas!$B$24)</f>
        <v>55.64</v>
      </c>
      <c r="K167" s="13" t="n">
        <f aca="false">MAX(0,K119-J119)+J119*IF(INDEX($B$10:$B$26,MATCH($A167,$A$10:$A$26,0))="CO₂",parametros_recargas!$B$23,parametros_recargas!$B$24)</f>
        <v>64.92</v>
      </c>
    </row>
    <row r="168" customFormat="false" ht="15" hidden="false" customHeight="false" outlineLevel="0" collapsed="false">
      <c r="A168" s="4" t="s">
        <v>15</v>
      </c>
      <c r="B168" s="13" t="n">
        <f aca="false">B120</f>
        <v>1</v>
      </c>
      <c r="C168" s="13" t="n">
        <f aca="false">MAX(0,C120-B120)+B120*IF(INDEX($B$10:$B$26,MATCH($A168,$A$10:$A$26,0))="CO₂",parametros_recargas!$B$23,parametros_recargas!$B$24)</f>
        <v>0.08</v>
      </c>
      <c r="D168" s="13" t="n">
        <f aca="false">MAX(0,D120-C120)+C120*IF(INDEX($B$10:$B$26,MATCH($A168,$A$10:$A$26,0))="CO₂",parametros_recargas!$B$23,parametros_recargas!$B$24)</f>
        <v>0.08</v>
      </c>
      <c r="E168" s="13" t="n">
        <f aca="false">MAX(0,E120-D120)+D120*IF(INDEX($B$10:$B$26,MATCH($A168,$A$10:$A$26,0))="CO₂",parametros_recargas!$B$23,parametros_recargas!$B$24)</f>
        <v>6.08</v>
      </c>
      <c r="F168" s="13" t="n">
        <f aca="false">MAX(0,F120-E120)+E120*IF(INDEX($B$10:$B$26,MATCH($A168,$A$10:$A$26,0))="CO₂",parametros_recargas!$B$23,parametros_recargas!$B$24)</f>
        <v>12.56</v>
      </c>
      <c r="G168" s="13" t="n">
        <f aca="false">MAX(0,G120-F120)+F120*IF(INDEX($B$10:$B$26,MATCH($A168,$A$10:$A$26,0))="CO₂",parametros_recargas!$B$23,parametros_recargas!$B$24)</f>
        <v>18.52</v>
      </c>
      <c r="H168" s="13" t="n">
        <f aca="false">MAX(0,H120-G120)+G120*IF(INDEX($B$10:$B$26,MATCH($A168,$A$10:$A$26,0))="CO₂",parametros_recargas!$B$23,parametros_recargas!$B$24)</f>
        <v>25.88</v>
      </c>
      <c r="I168" s="13" t="n">
        <f aca="false">MAX(0,I120-H120)+H120*IF(INDEX($B$10:$B$26,MATCH($A168,$A$10:$A$26,0))="CO₂",parametros_recargas!$B$23,parametros_recargas!$B$24)</f>
        <v>21.72</v>
      </c>
      <c r="J168" s="13" t="n">
        <f aca="false">MAX(0,J120-I120)+I120*IF(INDEX($B$10:$B$26,MATCH($A168,$A$10:$A$26,0))="CO₂",parametros_recargas!$B$23,parametros_recargas!$B$24)</f>
        <v>22.08</v>
      </c>
      <c r="K168" s="13" t="n">
        <f aca="false">MAX(0,K120-J120)+J120*IF(INDEX($B$10:$B$26,MATCH($A168,$A$10:$A$26,0))="CO₂",parametros_recargas!$B$23,parametros_recargas!$B$24)</f>
        <v>26.36</v>
      </c>
    </row>
    <row r="169" customFormat="false" ht="15" hidden="false" customHeight="false" outlineLevel="0" collapsed="false">
      <c r="A169" s="4" t="s">
        <v>17</v>
      </c>
      <c r="B169" s="13" t="n">
        <f aca="false">B121</f>
        <v>1</v>
      </c>
      <c r="C169" s="13" t="n">
        <f aca="false">MAX(0,C121-B121)+B121*IF(INDEX($B$10:$B$26,MATCH($A169,$A$10:$A$26,0))="CO₂",parametros_recargas!$B$23,parametros_recargas!$B$24)</f>
        <v>1.08</v>
      </c>
      <c r="D169" s="13" t="n">
        <f aca="false">MAX(0,D121-C121)+C121*IF(INDEX($B$10:$B$26,MATCH($A169,$A$10:$A$26,0))="CO₂",parametros_recargas!$B$23,parametros_recargas!$B$24)</f>
        <v>1.16</v>
      </c>
      <c r="E169" s="13" t="n">
        <f aca="false">MAX(0,E121-D121)+D121*IF(INDEX($B$10:$B$26,MATCH($A169,$A$10:$A$26,0))="CO₂",parametros_recargas!$B$23,parametros_recargas!$B$24)</f>
        <v>46.24</v>
      </c>
      <c r="F169" s="13" t="n">
        <f aca="false">MAX(0,F121-E121)+E121*IF(INDEX($B$10:$B$26,MATCH($A169,$A$10:$A$26,0))="CO₂",parametros_recargas!$B$23,parametros_recargas!$B$24)</f>
        <v>97.92</v>
      </c>
      <c r="G169" s="13" t="n">
        <f aca="false">MAX(0,G121-F121)+F121*IF(INDEX($B$10:$B$26,MATCH($A169,$A$10:$A$26,0))="CO₂",parametros_recargas!$B$23,parametros_recargas!$B$24)</f>
        <v>155.44</v>
      </c>
      <c r="H169" s="13" t="n">
        <f aca="false">MAX(0,H121-G121)+G121*IF(INDEX($B$10:$B$26,MATCH($A169,$A$10:$A$26,0))="CO₂",parametros_recargas!$B$23,parametros_recargas!$B$24)</f>
        <v>185.96</v>
      </c>
      <c r="I169" s="13" t="n">
        <f aca="false">MAX(0,I121-H121)+H121*IF(INDEX($B$10:$B$26,MATCH($A169,$A$10:$A$26,0))="CO₂",parametros_recargas!$B$23,parametros_recargas!$B$24)</f>
        <v>170</v>
      </c>
      <c r="J169" s="13" t="n">
        <f aca="false">MAX(0,J121-I121)+I121*IF(INDEX($B$10:$B$26,MATCH($A169,$A$10:$A$26,0))="CO₂",parametros_recargas!$B$23,parametros_recargas!$B$24)</f>
        <v>168.72</v>
      </c>
      <c r="K169" s="13" t="n">
        <f aca="false">MAX(0,K121-J121)+J121*IF(INDEX($B$10:$B$26,MATCH($A169,$A$10:$A$26,0))="CO₂",parametros_recargas!$B$23,parametros_recargas!$B$24)</f>
        <v>192.48</v>
      </c>
    </row>
    <row r="170" customFormat="false" ht="15" hidden="false" customHeight="false" outlineLevel="0" collapsed="false">
      <c r="A170" s="4" t="s">
        <v>19</v>
      </c>
      <c r="B170" s="13" t="n">
        <f aca="false">B122</f>
        <v>1</v>
      </c>
      <c r="C170" s="13" t="n">
        <f aca="false">MAX(0,C122-B122)+B122*IF(INDEX($B$10:$B$26,MATCH($A170,$A$10:$A$26,0))="CO₂",parametros_recargas!$B$23,parametros_recargas!$B$24)</f>
        <v>0.08</v>
      </c>
      <c r="D170" s="13" t="n">
        <f aca="false">MAX(0,D122-C122)+C122*IF(INDEX($B$10:$B$26,MATCH($A170,$A$10:$A$26,0))="CO₂",parametros_recargas!$B$23,parametros_recargas!$B$24)</f>
        <v>0.08</v>
      </c>
      <c r="E170" s="13" t="n">
        <f aca="false">MAX(0,E122-D122)+D122*IF(INDEX($B$10:$B$26,MATCH($A170,$A$10:$A$26,0))="CO₂",parametros_recargas!$B$23,parametros_recargas!$B$24)</f>
        <v>12.08</v>
      </c>
      <c r="F170" s="13" t="n">
        <f aca="false">MAX(0,F122-E122)+E122*IF(INDEX($B$10:$B$26,MATCH($A170,$A$10:$A$26,0))="CO₂",parametros_recargas!$B$23,parametros_recargas!$B$24)</f>
        <v>24.04</v>
      </c>
      <c r="G170" s="13" t="n">
        <f aca="false">MAX(0,G122-F122)+F122*IF(INDEX($B$10:$B$26,MATCH($A170,$A$10:$A$26,0))="CO₂",parametros_recargas!$B$23,parametros_recargas!$B$24)</f>
        <v>38.88</v>
      </c>
      <c r="H170" s="13" t="n">
        <f aca="false">MAX(0,H122-G122)+G122*IF(INDEX($B$10:$B$26,MATCH($A170,$A$10:$A$26,0))="CO₂",parametros_recargas!$B$23,parametros_recargas!$B$24)</f>
        <v>46.76</v>
      </c>
      <c r="I170" s="13" t="n">
        <f aca="false">MAX(0,I122-H122)+H122*IF(INDEX($B$10:$B$26,MATCH($A170,$A$10:$A$26,0))="CO₂",parametros_recargas!$B$23,parametros_recargas!$B$24)</f>
        <v>42.04</v>
      </c>
      <c r="J170" s="13" t="n">
        <f aca="false">MAX(0,J122-I122)+I122*IF(INDEX($B$10:$B$26,MATCH($A170,$A$10:$A$26,0))="CO₂",parametros_recargas!$B$23,parametros_recargas!$B$24)</f>
        <v>42.68</v>
      </c>
      <c r="K170" s="13" t="n">
        <f aca="false">MAX(0,K122-J122)+J122*IF(INDEX($B$10:$B$26,MATCH($A170,$A$10:$A$26,0))="CO₂",parametros_recargas!$B$23,parametros_recargas!$B$24)</f>
        <v>48.16</v>
      </c>
    </row>
    <row r="171" customFormat="false" ht="15" hidden="false" customHeight="false" outlineLevel="0" collapsed="false">
      <c r="A171" s="6" t="s">
        <v>136</v>
      </c>
      <c r="B171" s="7" t="n">
        <f aca="false">SUM(B159:B170)</f>
        <v>27</v>
      </c>
      <c r="C171" s="7" t="n">
        <f aca="false">SUM(C159:C170)</f>
        <v>37.0933333333333</v>
      </c>
      <c r="D171" s="7" t="n">
        <f aca="false">SUM(D159:D170)</f>
        <v>67.7933333333333</v>
      </c>
      <c r="E171" s="7" t="n">
        <f aca="false">SUM(E159:E170)</f>
        <v>2265.65</v>
      </c>
      <c r="F171" s="7" t="n">
        <f aca="false">SUM(F159:F170)</f>
        <v>5026.44666666667</v>
      </c>
      <c r="G171" s="7" t="n">
        <f aca="false">SUM(G159:G170)</f>
        <v>8003.66</v>
      </c>
      <c r="H171" s="7" t="n">
        <f aca="false">SUM(H159:H170)</f>
        <v>9490.28333333333</v>
      </c>
      <c r="I171" s="7" t="n">
        <f aca="false">SUM(I159:I170)</f>
        <v>8368.12333333334</v>
      </c>
      <c r="J171" s="7" t="n">
        <f aca="false">SUM(J159:J170)</f>
        <v>8380.86</v>
      </c>
      <c r="K171" s="7" t="n">
        <f aca="false">SUM(K159:K170)</f>
        <v>9555.88666666667</v>
      </c>
    </row>
    <row r="173" customFormat="false" ht="15" hidden="false" customHeight="false" outlineLevel="0" collapsed="false">
      <c r="A173" s="1" t="s">
        <v>332</v>
      </c>
    </row>
    <row r="174" customFormat="false" ht="15" hidden="false" customHeight="false" outlineLevel="0" collapsed="false">
      <c r="A174" s="3" t="s">
        <v>138</v>
      </c>
      <c r="B174" s="3" t="n">
        <v>2026</v>
      </c>
      <c r="C174" s="3" t="n">
        <v>2027</v>
      </c>
      <c r="D174" s="3" t="n">
        <v>2028</v>
      </c>
      <c r="E174" s="3" t="n">
        <v>2029</v>
      </c>
      <c r="F174" s="3" t="n">
        <v>2030</v>
      </c>
      <c r="G174" s="3" t="n">
        <v>2031</v>
      </c>
      <c r="H174" s="3" t="n">
        <v>2032</v>
      </c>
      <c r="I174" s="3" t="n">
        <v>2033</v>
      </c>
      <c r="J174" s="3" t="n">
        <v>2034</v>
      </c>
      <c r="K174" s="3" t="n">
        <v>2035</v>
      </c>
    </row>
    <row r="175" customFormat="false" ht="15" hidden="false" customHeight="false" outlineLevel="0" collapsed="false">
      <c r="A175" s="12" t="str">
        <f aca="false">datos_base!A2</f>
        <v>ABC 1 kg</v>
      </c>
      <c r="B175" s="13" t="n">
        <v>0</v>
      </c>
      <c r="C175" s="13" t="n">
        <f aca="false">SUMIF($A$111:$A$122,$A175,B$111:B$122)</f>
        <v>0</v>
      </c>
      <c r="D175" s="13" t="n">
        <f aca="false">SUMIF($A$111:$A$122,$A175,C$111:C$122)</f>
        <v>0</v>
      </c>
      <c r="E175" s="13" t="n">
        <f aca="false">SUMIF($A$111:$A$122,$A175,D$111:D$122)</f>
        <v>0</v>
      </c>
      <c r="F175" s="13" t="n">
        <f aca="false">SUMIF($A$111:$A$122,$A175,E$111:E$122)</f>
        <v>0</v>
      </c>
      <c r="G175" s="13" t="n">
        <f aca="false">SUMIF($A$111:$A$122,$A175,F$111:F$122)</f>
        <v>0</v>
      </c>
      <c r="H175" s="13" t="n">
        <f aca="false">SUMIF($A$111:$A$122,$A175,G$111:G$122)</f>
        <v>0</v>
      </c>
      <c r="I175" s="13" t="n">
        <f aca="false">SUMIF($A$111:$A$122,$A175,H$111:H$122)</f>
        <v>0</v>
      </c>
      <c r="J175" s="13" t="n">
        <f aca="false">SUMIF($A$111:$A$122,$A175,I$111:I$122)</f>
        <v>0</v>
      </c>
      <c r="K175" s="13" t="n">
        <f aca="false">SUMIF($A$111:$A$122,$A175,J$111:J$122)</f>
        <v>0</v>
      </c>
    </row>
    <row r="176" customFormat="false" ht="15" hidden="false" customHeight="false" outlineLevel="0" collapsed="false">
      <c r="A176" s="12" t="str">
        <f aca="false">datos_base!A3</f>
        <v>ABC 2,5 kg</v>
      </c>
      <c r="B176" s="13" t="n">
        <v>0</v>
      </c>
      <c r="C176" s="13" t="n">
        <f aca="false">SUMIF($A$111:$A$122,$A176,B$111:B$122)</f>
        <v>0</v>
      </c>
      <c r="D176" s="13" t="n">
        <f aca="false">SUMIF($A$111:$A$122,$A176,C$111:C$122)</f>
        <v>0</v>
      </c>
      <c r="E176" s="13" t="n">
        <f aca="false">SUMIF($A$111:$A$122,$A176,D$111:D$122)</f>
        <v>0</v>
      </c>
      <c r="F176" s="13" t="n">
        <f aca="false">SUMIF($A$111:$A$122,$A176,E$111:E$122)</f>
        <v>0</v>
      </c>
      <c r="G176" s="13" t="n">
        <f aca="false">SUMIF($A$111:$A$122,$A176,F$111:F$122)</f>
        <v>0</v>
      </c>
      <c r="H176" s="13" t="n">
        <f aca="false">SUMIF($A$111:$A$122,$A176,G$111:G$122)</f>
        <v>0</v>
      </c>
      <c r="I176" s="13" t="n">
        <f aca="false">SUMIF($A$111:$A$122,$A176,H$111:H$122)</f>
        <v>0</v>
      </c>
      <c r="J176" s="13" t="n">
        <f aca="false">SUMIF($A$111:$A$122,$A176,I$111:I$122)</f>
        <v>0</v>
      </c>
      <c r="K176" s="13" t="n">
        <f aca="false">SUMIF($A$111:$A$122,$A176,J$111:J$122)</f>
        <v>0</v>
      </c>
    </row>
    <row r="177" customFormat="false" ht="15" hidden="false" customHeight="false" outlineLevel="0" collapsed="false">
      <c r="A177" s="12" t="str">
        <f aca="false">datos_base!A4</f>
        <v>ABC 5 kg</v>
      </c>
      <c r="B177" s="13" t="n">
        <v>0</v>
      </c>
      <c r="C177" s="13" t="n">
        <f aca="false">SUMIF($A$111:$A$122,$A177,B$111:B$122)</f>
        <v>13</v>
      </c>
      <c r="D177" s="13" t="n">
        <f aca="false">SUMIF($A$111:$A$122,$A177,C$111:C$122)</f>
        <v>37</v>
      </c>
      <c r="E177" s="13" t="n">
        <f aca="false">SUMIF($A$111:$A$122,$A177,D$111:D$122)</f>
        <v>81</v>
      </c>
      <c r="F177" s="13" t="n">
        <f aca="false">SUMIF($A$111:$A$122,$A177,E$111:E$122)</f>
        <v>1751</v>
      </c>
      <c r="G177" s="13" t="n">
        <f aca="false">SUMIF($A$111:$A$122,$A177,F$111:F$122)</f>
        <v>5169</v>
      </c>
      <c r="H177" s="13" t="n">
        <f aca="false">SUMIF($A$111:$A$122,$A177,G$111:G$122)</f>
        <v>10402</v>
      </c>
      <c r="I177" s="13" t="n">
        <f aca="false">SUMIF($A$111:$A$122,$A177,H$111:H$122)</f>
        <v>16239</v>
      </c>
      <c r="J177" s="13" t="n">
        <f aca="false">SUMIF($A$111:$A$122,$A177,I$111:I$122)</f>
        <v>20815</v>
      </c>
      <c r="K177" s="13" t="n">
        <f aca="false">SUMIF($A$111:$A$122,$A177,J$111:J$122)</f>
        <v>25028</v>
      </c>
    </row>
    <row r="178" customFormat="false" ht="15" hidden="false" customHeight="false" outlineLevel="0" collapsed="false">
      <c r="A178" s="12" t="str">
        <f aca="false">datos_base!A5</f>
        <v>ABC 10 kg</v>
      </c>
      <c r="B178" s="13" t="n">
        <v>0</v>
      </c>
      <c r="C178" s="13" t="n">
        <f aca="false">SUMIF($A$111:$A$122,$A178,B$111:B$122)</f>
        <v>1</v>
      </c>
      <c r="D178" s="13" t="n">
        <f aca="false">SUMIF($A$111:$A$122,$A178,C$111:C$122)</f>
        <v>2</v>
      </c>
      <c r="E178" s="13" t="n">
        <f aca="false">SUMIF($A$111:$A$122,$A178,D$111:D$122)</f>
        <v>4</v>
      </c>
      <c r="F178" s="13" t="n">
        <f aca="false">SUMIF($A$111:$A$122,$A178,E$111:E$122)</f>
        <v>88</v>
      </c>
      <c r="G178" s="13" t="n">
        <f aca="false">SUMIF($A$111:$A$122,$A178,F$111:F$122)</f>
        <v>262</v>
      </c>
      <c r="H178" s="13" t="n">
        <f aca="false">SUMIF($A$111:$A$122,$A178,G$111:G$122)</f>
        <v>531</v>
      </c>
      <c r="I178" s="13" t="n">
        <f aca="false">SUMIF($A$111:$A$122,$A178,H$111:H$122)</f>
        <v>828</v>
      </c>
      <c r="J178" s="13" t="n">
        <f aca="false">SUMIF($A$111:$A$122,$A178,I$111:I$122)</f>
        <v>1060</v>
      </c>
      <c r="K178" s="13" t="n">
        <f aca="false">SUMIF($A$111:$A$122,$A178,J$111:J$122)</f>
        <v>1274</v>
      </c>
    </row>
    <row r="179" customFormat="false" ht="15" hidden="false" customHeight="false" outlineLevel="0" collapsed="false">
      <c r="A179" s="12" t="str">
        <f aca="false">datos_base!A6</f>
        <v>Agua 10 l</v>
      </c>
      <c r="B179" s="13" t="n">
        <v>0</v>
      </c>
      <c r="C179" s="13" t="n">
        <f aca="false">SUMIF($A$111:$A$122,$A179,B$111:B$122)</f>
        <v>1</v>
      </c>
      <c r="D179" s="13" t="n">
        <f aca="false">SUMIF($A$111:$A$122,$A179,C$111:C$122)</f>
        <v>3</v>
      </c>
      <c r="E179" s="13" t="n">
        <f aca="false">SUMIF($A$111:$A$122,$A179,D$111:D$122)</f>
        <v>6</v>
      </c>
      <c r="F179" s="13" t="n">
        <f aca="false">SUMIF($A$111:$A$122,$A179,E$111:E$122)</f>
        <v>84</v>
      </c>
      <c r="G179" s="13" t="n">
        <f aca="false">SUMIF($A$111:$A$122,$A179,F$111:F$122)</f>
        <v>283</v>
      </c>
      <c r="H179" s="13" t="n">
        <f aca="false">SUMIF($A$111:$A$122,$A179,G$111:G$122)</f>
        <v>598</v>
      </c>
      <c r="I179" s="13" t="n">
        <f aca="false">SUMIF($A$111:$A$122,$A179,H$111:H$122)</f>
        <v>953</v>
      </c>
      <c r="J179" s="13" t="n">
        <f aca="false">SUMIF($A$111:$A$122,$A179,I$111:I$122)</f>
        <v>1236</v>
      </c>
      <c r="K179" s="13" t="n">
        <f aca="false">SUMIF($A$111:$A$122,$A179,J$111:J$122)</f>
        <v>1501</v>
      </c>
    </row>
    <row r="180" customFormat="false" ht="15" hidden="false" customHeight="false" outlineLevel="0" collapsed="false">
      <c r="A180" s="12" t="str">
        <f aca="false">datos_base!A7</f>
        <v>AFFF 10 l</v>
      </c>
      <c r="B180" s="13" t="n">
        <v>0</v>
      </c>
      <c r="C180" s="13" t="n">
        <f aca="false">SUMIF($A$111:$A$122,$A180,B$111:B$122)</f>
        <v>1</v>
      </c>
      <c r="D180" s="13" t="n">
        <f aca="false">SUMIF($A$111:$A$122,$A180,C$111:C$122)</f>
        <v>1</v>
      </c>
      <c r="E180" s="13" t="n">
        <f aca="false">SUMIF($A$111:$A$122,$A180,D$111:D$122)</f>
        <v>2</v>
      </c>
      <c r="F180" s="13" t="n">
        <f aca="false">SUMIF($A$111:$A$122,$A180,E$111:E$122)</f>
        <v>16</v>
      </c>
      <c r="G180" s="13" t="n">
        <f aca="false">SUMIF($A$111:$A$122,$A180,F$111:F$122)</f>
        <v>53</v>
      </c>
      <c r="H180" s="13" t="n">
        <f aca="false">SUMIF($A$111:$A$122,$A180,G$111:G$122)</f>
        <v>108</v>
      </c>
      <c r="I180" s="13" t="n">
        <f aca="false">SUMIF($A$111:$A$122,$A180,H$111:H$122)</f>
        <v>175</v>
      </c>
      <c r="J180" s="13" t="n">
        <f aca="false">SUMIF($A$111:$A$122,$A180,I$111:I$122)</f>
        <v>230</v>
      </c>
      <c r="K180" s="13" t="n">
        <f aca="false">SUMIF($A$111:$A$122,$A180,J$111:J$122)</f>
        <v>283</v>
      </c>
    </row>
    <row r="181" customFormat="false" ht="15" hidden="false" customHeight="false" outlineLevel="0" collapsed="false">
      <c r="A181" s="12" t="str">
        <f aca="false">datos_base!A8</f>
        <v>AFFF 50 l s/ruedas</v>
      </c>
      <c r="B181" s="13" t="n">
        <v>0</v>
      </c>
      <c r="C181" s="13" t="n">
        <f aca="false">SUMIF($A$111:$A$122,$A181,B$111:B$122)</f>
        <v>1</v>
      </c>
      <c r="D181" s="13" t="n">
        <f aca="false">SUMIF($A$111:$A$122,$A181,C$111:C$122)</f>
        <v>1</v>
      </c>
      <c r="E181" s="13" t="n">
        <f aca="false">SUMIF($A$111:$A$122,$A181,D$111:D$122)</f>
        <v>1</v>
      </c>
      <c r="F181" s="13" t="n">
        <f aca="false">SUMIF($A$111:$A$122,$A181,E$111:E$122)</f>
        <v>9</v>
      </c>
      <c r="G181" s="13" t="n">
        <f aca="false">SUMIF($A$111:$A$122,$A181,F$111:F$122)</f>
        <v>29</v>
      </c>
      <c r="H181" s="13" t="n">
        <f aca="false">SUMIF($A$111:$A$122,$A181,G$111:G$122)</f>
        <v>58</v>
      </c>
      <c r="I181" s="13" t="n">
        <f aca="false">SUMIF($A$111:$A$122,$A181,H$111:H$122)</f>
        <v>92</v>
      </c>
      <c r="J181" s="13" t="n">
        <f aca="false">SUMIF($A$111:$A$122,$A181,I$111:I$122)</f>
        <v>121</v>
      </c>
      <c r="K181" s="13" t="n">
        <f aca="false">SUMIF($A$111:$A$122,$A181,J$111:J$122)</f>
        <v>148</v>
      </c>
    </row>
    <row r="182" customFormat="false" ht="15" hidden="false" customHeight="false" outlineLevel="0" collapsed="false">
      <c r="A182" s="12" t="str">
        <f aca="false">datos_base!A9</f>
        <v>BC 5 kg</v>
      </c>
      <c r="B182" s="13" t="n">
        <v>0</v>
      </c>
      <c r="C182" s="13" t="n">
        <f aca="false">SUMIF($A$111:$A$122,$A182,B$111:B$122)</f>
        <v>1</v>
      </c>
      <c r="D182" s="13" t="n">
        <f aca="false">SUMIF($A$111:$A$122,$A182,C$111:C$122)</f>
        <v>1</v>
      </c>
      <c r="E182" s="13" t="n">
        <f aca="false">SUMIF($A$111:$A$122,$A182,D$111:D$122)</f>
        <v>1</v>
      </c>
      <c r="F182" s="13" t="n">
        <f aca="false">SUMIF($A$111:$A$122,$A182,E$111:E$122)</f>
        <v>8</v>
      </c>
      <c r="G182" s="13" t="n">
        <f aca="false">SUMIF($A$111:$A$122,$A182,F$111:F$122)</f>
        <v>21</v>
      </c>
      <c r="H182" s="13" t="n">
        <f aca="false">SUMIF($A$111:$A$122,$A182,G$111:G$122)</f>
        <v>41</v>
      </c>
      <c r="I182" s="13" t="n">
        <f aca="false">SUMIF($A$111:$A$122,$A182,H$111:H$122)</f>
        <v>66</v>
      </c>
      <c r="J182" s="13" t="n">
        <f aca="false">SUMIF($A$111:$A$122,$A182,I$111:I$122)</f>
        <v>84</v>
      </c>
      <c r="K182" s="13" t="n">
        <f aca="false">SUMIF($A$111:$A$122,$A182,J$111:J$122)</f>
        <v>102</v>
      </c>
    </row>
    <row r="183" customFormat="false" ht="15" hidden="false" customHeight="false" outlineLevel="0" collapsed="false">
      <c r="A183" s="12" t="str">
        <f aca="false">datos_base!A10</f>
        <v>Sales K 6 l</v>
      </c>
      <c r="B183" s="13" t="n">
        <v>0</v>
      </c>
      <c r="C183" s="13" t="n">
        <f aca="false">SUMIF($A$111:$A$122,$A183,B$111:B$122)</f>
        <v>1</v>
      </c>
      <c r="D183" s="13" t="n">
        <f aca="false">SUMIF($A$111:$A$122,$A183,C$111:C$122)</f>
        <v>2</v>
      </c>
      <c r="E183" s="13" t="n">
        <f aca="false">SUMIF($A$111:$A$122,$A183,D$111:D$122)</f>
        <v>3</v>
      </c>
      <c r="F183" s="13" t="n">
        <f aca="false">SUMIF($A$111:$A$122,$A183,E$111:E$122)</f>
        <v>41</v>
      </c>
      <c r="G183" s="13" t="n">
        <f aca="false">SUMIF($A$111:$A$122,$A183,F$111:F$122)</f>
        <v>140</v>
      </c>
      <c r="H183" s="13" t="n">
        <f aca="false">SUMIF($A$111:$A$122,$A183,G$111:G$122)</f>
        <v>292</v>
      </c>
      <c r="I183" s="13" t="n">
        <f aca="false">SUMIF($A$111:$A$122,$A183,H$111:H$122)</f>
        <v>466</v>
      </c>
      <c r="J183" s="13" t="n">
        <f aca="false">SUMIF($A$111:$A$122,$A183,I$111:I$122)</f>
        <v>609</v>
      </c>
      <c r="K183" s="13" t="n">
        <f aca="false">SUMIF($A$111:$A$122,$A183,J$111:J$122)</f>
        <v>740</v>
      </c>
    </row>
    <row r="184" customFormat="false" ht="15" hidden="false" customHeight="false" outlineLevel="0" collapsed="false">
      <c r="A184" s="12" t="str">
        <f aca="false">datos_base!A11</f>
        <v>CO₂ 2 kg</v>
      </c>
      <c r="B184" s="13" t="n">
        <v>0</v>
      </c>
      <c r="C184" s="13" t="n">
        <f aca="false">SUMIF($A$111:$A$122,$A184,B$111:B$122)</f>
        <v>0</v>
      </c>
      <c r="D184" s="13" t="n">
        <f aca="false">SUMIF($A$111:$A$122,$A184,C$111:C$122)</f>
        <v>0</v>
      </c>
      <c r="E184" s="13" t="n">
        <f aca="false">SUMIF($A$111:$A$122,$A184,D$111:D$122)</f>
        <v>0</v>
      </c>
      <c r="F184" s="13" t="n">
        <f aca="false">SUMIF($A$111:$A$122,$A184,E$111:E$122)</f>
        <v>0</v>
      </c>
      <c r="G184" s="13" t="n">
        <f aca="false">SUMIF($A$111:$A$122,$A184,F$111:F$122)</f>
        <v>0</v>
      </c>
      <c r="H184" s="13" t="n">
        <f aca="false">SUMIF($A$111:$A$122,$A184,G$111:G$122)</f>
        <v>0</v>
      </c>
      <c r="I184" s="13" t="n">
        <f aca="false">SUMIF($A$111:$A$122,$A184,H$111:H$122)</f>
        <v>0</v>
      </c>
      <c r="J184" s="13" t="n">
        <f aca="false">SUMIF($A$111:$A$122,$A184,I$111:I$122)</f>
        <v>0</v>
      </c>
      <c r="K184" s="13" t="n">
        <f aca="false">SUMIF($A$111:$A$122,$A184,J$111:J$122)</f>
        <v>0</v>
      </c>
    </row>
    <row r="185" customFormat="false" ht="15" hidden="false" customHeight="false" outlineLevel="0" collapsed="false">
      <c r="A185" s="12" t="str">
        <f aca="false">datos_base!A12</f>
        <v>CO₂ 5 kg</v>
      </c>
      <c r="B185" s="13" t="n">
        <v>0</v>
      </c>
      <c r="C185" s="13" t="n">
        <f aca="false">SUMIF($A$111:$A$122,$A185,B$111:B$122)</f>
        <v>4</v>
      </c>
      <c r="D185" s="13" t="n">
        <f aca="false">SUMIF($A$111:$A$122,$A185,C$111:C$122)</f>
        <v>10</v>
      </c>
      <c r="E185" s="13" t="n">
        <f aca="false">SUMIF($A$111:$A$122,$A185,D$111:D$122)</f>
        <v>21</v>
      </c>
      <c r="F185" s="13" t="n">
        <f aca="false">SUMIF($A$111:$A$122,$A185,E$111:E$122)</f>
        <v>302</v>
      </c>
      <c r="G185" s="13" t="n">
        <f aca="false">SUMIF($A$111:$A$122,$A185,F$111:F$122)</f>
        <v>1026</v>
      </c>
      <c r="H185" s="13" t="n">
        <f aca="false">SUMIF($A$111:$A$122,$A185,G$111:G$122)</f>
        <v>2155</v>
      </c>
      <c r="I185" s="13" t="n">
        <f aca="false">SUMIF($A$111:$A$122,$A185,H$111:H$122)</f>
        <v>3439</v>
      </c>
      <c r="J185" s="13" t="n">
        <f aca="false">SUMIF($A$111:$A$122,$A185,I$111:I$122)</f>
        <v>4458</v>
      </c>
      <c r="K185" s="13" t="n">
        <f aca="false">SUMIF($A$111:$A$122,$A185,J$111:J$122)</f>
        <v>5414</v>
      </c>
    </row>
    <row r="186" customFormat="false" ht="15" hidden="false" customHeight="false" outlineLevel="0" collapsed="false">
      <c r="A186" s="12" t="str">
        <f aca="false">datos_base!A13</f>
        <v>HCFC/HFC 5 kg</v>
      </c>
      <c r="B186" s="13" t="n">
        <v>0</v>
      </c>
      <c r="C186" s="13" t="n">
        <f aca="false">SUMIF($A$111:$A$122,$A186,B$111:B$122)</f>
        <v>1</v>
      </c>
      <c r="D186" s="13" t="n">
        <f aca="false">SUMIF($A$111:$A$122,$A186,C$111:C$122)</f>
        <v>1</v>
      </c>
      <c r="E186" s="13" t="n">
        <f aca="false">SUMIF($A$111:$A$122,$A186,D$111:D$122)</f>
        <v>1</v>
      </c>
      <c r="F186" s="13" t="n">
        <f aca="false">SUMIF($A$111:$A$122,$A186,E$111:E$122)</f>
        <v>13</v>
      </c>
      <c r="G186" s="13" t="n">
        <f aca="false">SUMIF($A$111:$A$122,$A186,F$111:F$122)</f>
        <v>41</v>
      </c>
      <c r="H186" s="13" t="n">
        <f aca="false">SUMIF($A$111:$A$122,$A186,G$111:G$122)</f>
        <v>85</v>
      </c>
      <c r="I186" s="13" t="n">
        <f aca="false">SUMIF($A$111:$A$122,$A186,H$111:H$122)</f>
        <v>138</v>
      </c>
      <c r="J186" s="13" t="n">
        <f aca="false">SUMIF($A$111:$A$122,$A186,I$111:I$122)</f>
        <v>183</v>
      </c>
      <c r="K186" s="13" t="n">
        <f aca="false">SUMIF($A$111:$A$122,$A186,J$111:J$122)</f>
        <v>224</v>
      </c>
    </row>
    <row r="187" customFormat="false" ht="15" hidden="false" customHeight="false" outlineLevel="0" collapsed="false">
      <c r="A187" s="12" t="str">
        <f aca="false">datos_base!A14</f>
        <v>Clase D 9 l</v>
      </c>
      <c r="B187" s="13" t="n">
        <v>0</v>
      </c>
      <c r="C187" s="13" t="n">
        <f aca="false">SUMIF($A$111:$A$122,$A187,B$111:B$122)</f>
        <v>1</v>
      </c>
      <c r="D187" s="13" t="n">
        <f aca="false">SUMIF($A$111:$A$122,$A187,C$111:C$122)</f>
        <v>1</v>
      </c>
      <c r="E187" s="13" t="n">
        <f aca="false">SUMIF($A$111:$A$122,$A187,D$111:D$122)</f>
        <v>1</v>
      </c>
      <c r="F187" s="13" t="n">
        <f aca="false">SUMIF($A$111:$A$122,$A187,E$111:E$122)</f>
        <v>7</v>
      </c>
      <c r="G187" s="13" t="n">
        <f aca="false">SUMIF($A$111:$A$122,$A187,F$111:F$122)</f>
        <v>19</v>
      </c>
      <c r="H187" s="13" t="n">
        <f aca="false">SUMIF($A$111:$A$122,$A187,G$111:G$122)</f>
        <v>36</v>
      </c>
      <c r="I187" s="13" t="n">
        <f aca="false">SUMIF($A$111:$A$122,$A187,H$111:H$122)</f>
        <v>59</v>
      </c>
      <c r="J187" s="13" t="n">
        <f aca="false">SUMIF($A$111:$A$122,$A187,I$111:I$122)</f>
        <v>76</v>
      </c>
      <c r="K187" s="13" t="n">
        <f aca="false">SUMIF($A$111:$A$122,$A187,J$111:J$122)</f>
        <v>92</v>
      </c>
    </row>
    <row r="188" customFormat="false" ht="15" hidden="false" customHeight="false" outlineLevel="0" collapsed="false">
      <c r="A188" s="12" t="str">
        <f aca="false">datos_base!A15</f>
        <v>ABC 25 kg s/ruedas</v>
      </c>
      <c r="B188" s="13" t="n">
        <v>0</v>
      </c>
      <c r="C188" s="13" t="n">
        <f aca="false">SUMIF($A$111:$A$122,$A188,B$111:B$122)</f>
        <v>0</v>
      </c>
      <c r="D188" s="13" t="n">
        <f aca="false">SUMIF($A$111:$A$122,$A188,C$111:C$122)</f>
        <v>0</v>
      </c>
      <c r="E188" s="13" t="n">
        <f aca="false">SUMIF($A$111:$A$122,$A188,D$111:D$122)</f>
        <v>0</v>
      </c>
      <c r="F188" s="13" t="n">
        <f aca="false">SUMIF($A$111:$A$122,$A188,E$111:E$122)</f>
        <v>0</v>
      </c>
      <c r="G188" s="13" t="n">
        <f aca="false">SUMIF($A$111:$A$122,$A188,F$111:F$122)</f>
        <v>0</v>
      </c>
      <c r="H188" s="13" t="n">
        <f aca="false">SUMIF($A$111:$A$122,$A188,G$111:G$122)</f>
        <v>0</v>
      </c>
      <c r="I188" s="13" t="n">
        <f aca="false">SUMIF($A$111:$A$122,$A188,H$111:H$122)</f>
        <v>0</v>
      </c>
      <c r="J188" s="13" t="n">
        <f aca="false">SUMIF($A$111:$A$122,$A188,I$111:I$122)</f>
        <v>0</v>
      </c>
      <c r="K188" s="13" t="n">
        <f aca="false">SUMIF($A$111:$A$122,$A188,J$111:J$122)</f>
        <v>0</v>
      </c>
    </row>
    <row r="189" customFormat="false" ht="15" hidden="false" customHeight="false" outlineLevel="0" collapsed="false">
      <c r="A189" s="12" t="str">
        <f aca="false">datos_base!A16</f>
        <v>ABC 50 kg s/ruedas</v>
      </c>
      <c r="B189" s="13" t="n">
        <v>0</v>
      </c>
      <c r="C189" s="13" t="n">
        <f aca="false">SUMIF($A$111:$A$122,$A189,B$111:B$122)</f>
        <v>1</v>
      </c>
      <c r="D189" s="13" t="n">
        <f aca="false">SUMIF($A$111:$A$122,$A189,C$111:C$122)</f>
        <v>2</v>
      </c>
      <c r="E189" s="13" t="n">
        <f aca="false">SUMIF($A$111:$A$122,$A189,D$111:D$122)</f>
        <v>3</v>
      </c>
      <c r="F189" s="13" t="n">
        <f aca="false">SUMIF($A$111:$A$122,$A189,E$111:E$122)</f>
        <v>49</v>
      </c>
      <c r="G189" s="13" t="n">
        <f aca="false">SUMIF($A$111:$A$122,$A189,F$111:F$122)</f>
        <v>143</v>
      </c>
      <c r="H189" s="13" t="n">
        <f aca="false">SUMIF($A$111:$A$122,$A189,G$111:G$122)</f>
        <v>287</v>
      </c>
      <c r="I189" s="13" t="n">
        <f aca="false">SUMIF($A$111:$A$122,$A189,H$111:H$122)</f>
        <v>450</v>
      </c>
      <c r="J189" s="13" t="n">
        <f aca="false">SUMIF($A$111:$A$122,$A189,I$111:I$122)</f>
        <v>584</v>
      </c>
      <c r="K189" s="13" t="n">
        <f aca="false">SUMIF($A$111:$A$122,$A189,J$111:J$122)</f>
        <v>706</v>
      </c>
    </row>
    <row r="190" customFormat="false" ht="15" hidden="false" customHeight="false" outlineLevel="0" collapsed="false">
      <c r="A190" s="12" t="str">
        <f aca="false">datos_base!A17</f>
        <v>ABC 70 kg s/ruedas</v>
      </c>
      <c r="B190" s="13" t="n">
        <v>0</v>
      </c>
      <c r="C190" s="13" t="n">
        <f aca="false">SUMIF($A$111:$A$122,$A190,B$111:B$122)</f>
        <v>0</v>
      </c>
      <c r="D190" s="13" t="n">
        <f aca="false">SUMIF($A$111:$A$122,$A190,C$111:C$122)</f>
        <v>0</v>
      </c>
      <c r="E190" s="13" t="n">
        <f aca="false">SUMIF($A$111:$A$122,$A190,D$111:D$122)</f>
        <v>0</v>
      </c>
      <c r="F190" s="13" t="n">
        <f aca="false">SUMIF($A$111:$A$122,$A190,E$111:E$122)</f>
        <v>0</v>
      </c>
      <c r="G190" s="13" t="n">
        <f aca="false">SUMIF($A$111:$A$122,$A190,F$111:F$122)</f>
        <v>0</v>
      </c>
      <c r="H190" s="13" t="n">
        <f aca="false">SUMIF($A$111:$A$122,$A190,G$111:G$122)</f>
        <v>0</v>
      </c>
      <c r="I190" s="13" t="n">
        <f aca="false">SUMIF($A$111:$A$122,$A190,H$111:H$122)</f>
        <v>0</v>
      </c>
      <c r="J190" s="13" t="n">
        <f aca="false">SUMIF($A$111:$A$122,$A190,I$111:I$122)</f>
        <v>0</v>
      </c>
      <c r="K190" s="13" t="n">
        <f aca="false">SUMIF($A$111:$A$122,$A190,J$111:J$122)</f>
        <v>0</v>
      </c>
    </row>
    <row r="191" customFormat="false" ht="15" hidden="false" customHeight="false" outlineLevel="0" collapsed="false">
      <c r="A191" s="12" t="str">
        <f aca="false">datos_base!A18</f>
        <v>ABC 100 kg s/ruedas</v>
      </c>
      <c r="B191" s="13" t="n">
        <v>0</v>
      </c>
      <c r="C191" s="13" t="n">
        <f aca="false">SUMIF($A$111:$A$122,$A191,B$111:B$122)</f>
        <v>1</v>
      </c>
      <c r="D191" s="13" t="n">
        <f aca="false">SUMIF($A$111:$A$122,$A191,C$111:C$122)</f>
        <v>1</v>
      </c>
      <c r="E191" s="13" t="n">
        <f aca="false">SUMIF($A$111:$A$122,$A191,D$111:D$122)</f>
        <v>1</v>
      </c>
      <c r="F191" s="13" t="n">
        <f aca="false">SUMIF($A$111:$A$122,$A191,E$111:E$122)</f>
        <v>13</v>
      </c>
      <c r="G191" s="13" t="n">
        <f aca="false">SUMIF($A$111:$A$122,$A191,F$111:F$122)</f>
        <v>36</v>
      </c>
      <c r="H191" s="13" t="n">
        <f aca="false">SUMIF($A$111:$A$122,$A191,G$111:G$122)</f>
        <v>72</v>
      </c>
      <c r="I191" s="13" t="n">
        <f aca="false">SUMIF($A$111:$A$122,$A191,H$111:H$122)</f>
        <v>113</v>
      </c>
      <c r="J191" s="13" t="n">
        <f aca="false">SUMIF($A$111:$A$122,$A191,I$111:I$122)</f>
        <v>146</v>
      </c>
      <c r="K191" s="13" t="n">
        <f aca="false">SUMIF($A$111:$A$122,$A191,J$111:J$122)</f>
        <v>177</v>
      </c>
    </row>
    <row r="192" customFormat="false" ht="15" hidden="false" customHeight="false" outlineLevel="0" collapsed="false">
      <c r="A192" s="6" t="s">
        <v>136</v>
      </c>
      <c r="B192" s="7" t="n">
        <f aca="false">SUM(B175:B191)</f>
        <v>0</v>
      </c>
      <c r="C192" s="7" t="n">
        <f aca="false">SUM(C175:C191)</f>
        <v>27</v>
      </c>
      <c r="D192" s="7" t="n">
        <f aca="false">SUM(D175:D191)</f>
        <v>62</v>
      </c>
      <c r="E192" s="7" t="n">
        <f aca="false">SUM(E175:E191)</f>
        <v>125</v>
      </c>
      <c r="F192" s="7" t="n">
        <f aca="false">SUM(F175:F191)</f>
        <v>2381</v>
      </c>
      <c r="G192" s="7" t="n">
        <f aca="false">SUM(G175:G191)</f>
        <v>7222</v>
      </c>
      <c r="H192" s="7" t="n">
        <f aca="false">SUM(H175:H191)</f>
        <v>14665</v>
      </c>
      <c r="I192" s="7" t="n">
        <f aca="false">SUM(I175:I191)</f>
        <v>23018</v>
      </c>
      <c r="J192" s="7" t="n">
        <f aca="false">SUM(J175:J191)</f>
        <v>29602</v>
      </c>
      <c r="K192" s="7" t="n">
        <f aca="false">SUM(K175:K191)</f>
        <v>35689</v>
      </c>
    </row>
    <row r="194" customFormat="false" ht="15" hidden="false" customHeight="false" outlineLevel="0" collapsed="false">
      <c r="A194" s="2" t="s">
        <v>333</v>
      </c>
    </row>
  </sheetData>
  <mergeCells count="17">
    <mergeCell ref="D10:F10"/>
    <mergeCell ref="D11:F11"/>
    <mergeCell ref="D12:F12"/>
    <mergeCell ref="D13:F13"/>
    <mergeCell ref="D14:F14"/>
    <mergeCell ref="D15:F15"/>
    <mergeCell ref="D16:F16"/>
    <mergeCell ref="D17:F17"/>
    <mergeCell ref="D18:F18"/>
    <mergeCell ref="D19:F19"/>
    <mergeCell ref="D20:F20"/>
    <mergeCell ref="D21:F21"/>
    <mergeCell ref="D22:F22"/>
    <mergeCell ref="D23:F23"/>
    <mergeCell ref="D24:F24"/>
    <mergeCell ref="D25:F25"/>
    <mergeCell ref="D26:F26"/>
  </mergeCells>
  <dataValidations count="1">
    <dataValidation allowBlank="false" errorStyle="stop" operator="between" showDropDown="false" showErrorMessage="false" showInputMessage="false" sqref="D10:D26" type="list">
      <formula1>$A$111:$A$122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2026-10-18T19:39:25Z</dcterms:created>
  <dc:creator>openpyxl</dc:creator>
  <dc:description/>
  <dc:language>en-US</dc:language>
  <cp:lastModifiedBy/>
  <dcterms:modified xsi:type="dcterms:W3CDTF">2026-10-18T19:39:25Z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